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DieseArbeitsmappe"/>
  <bookViews>
    <workbookView xWindow="-15" yWindow="4110" windowWidth="22920" windowHeight="6405" tabRatio="662" activeTab="8"/>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7"/>
  <definedNames>
    <definedName name="_xlnm._FilterDatabase" localSheetId="4" hidden="1">Arbeitszeit!$A$4:$AS$373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LunchTime">Einstellungen!$D$8</definedName>
    <definedName name="B_OverTime">Einstellungen!$D$11</definedName>
    <definedName name="B_PauseNach">Einstellungen!$D$9</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Einstellungen!$D$10</definedName>
    <definedName name="B_WorkTime">Einstellungen!$D$6</definedName>
    <definedName name="B_WorkTimeMax">Einstellungen!$D$7</definedName>
    <definedName name="B_Year">Einstellungen!$D$13</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zug">Arbeitszeit!$W$5:$W$373</definedName>
    <definedName name="db_JAbzugBer">Arbeitszeit!$T$5:$T$373</definedName>
    <definedName name="db_Jahr">Arbeitszeit!$A$4:$AS$373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Arbeitszeit!$AE$5:$AE$373</definedName>
    <definedName name="db_jOverMax">Arbeitszeit!$AC$6:$AC$373</definedName>
    <definedName name="db_JOverVorgabe">Arbeitszeit!$AB$5:$AB$373</definedName>
    <definedName name="db_jSaldoGes">Arbeitszeit!$AD$6:$AD$373</definedName>
    <definedName name="db_jSumOverMax">Arbeitszeit!$AK$6:$AK$373</definedName>
    <definedName name="db_jUrlRest">Arbeitszeit!$AP$6:$AP$373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Einstellungen!$J$16:$S$37</definedName>
    <definedName name="g_NameAufgaben">Einstellungen!$J$16:$J$37</definedName>
    <definedName name="Gleittag">"G"</definedName>
    <definedName name="gSP_Abzug">COLUMN(Arbeitszeit!$W$4)-COLUMN(db_Jahr)+1</definedName>
    <definedName name="gSP_G_Kennung">COLUMN(Arbeitszeit!$F$4)-COLUMN(db_Jahr)+1</definedName>
    <definedName name="gSP_Geh1">COLUMN(db_JGeh1)-COLUMN(db_Jahr)+1</definedName>
    <definedName name="gSP_Geh2">COLUMN(db_JGeh2)-COLUMN(db_Jahr)+1</definedName>
    <definedName name="gSP_Ist">COLUMN(Arbeitszeit!$U$4)-COLUMN(db_Jahr)+1</definedName>
    <definedName name="gSP_KalTyp">COLUMN(Arbeitszeit!$AS$4)-COLUMN(db_Jahr)+1</definedName>
    <definedName name="gSP_KalZeit">COLUMN(Arbeitszeit!$AR$4)-COLUMN(db_Jahr)+1</definedName>
    <definedName name="gSP_Kom1">COLUMN(db_JKomm1)-COLUMN(db_Jahr)+1</definedName>
    <definedName name="gSP_Kom2">COLUMN(db_JKomm2)-COLUMN(db_Jahr)+1</definedName>
    <definedName name="gSP_Korr">COLUMN(Arbeitszeit!$AE$4)-COLUMN(db_Jahr)+1</definedName>
    <definedName name="gSP_MaxOvertime">COLUMN(Arbeitszeit!$AC$4)-COLUMN(db_Jahr)+1</definedName>
    <definedName name="gSP_SaldoGes">COLUMN(db_jSaldoGes)-COLUMN(db_Jahr)+1</definedName>
    <definedName name="gSP_Soll">COLUMN(Arbeitszeit!$X$4)-COLUMN(db_Jahr)+1</definedName>
    <definedName name="gSP_UrlR">COLUMN(Arbeitszeit!$AP$4)-COLUMN(db_Jahr)+1</definedName>
    <definedName name="gSP_V_Overtime">COLUMN(Arbeitszeit!$AB$4)-COLUMN(db_Jahr)+1</definedName>
    <definedName name="gSP_V_Soll">COLUMN(Arbeitszeit!$Y$4)-COLUMN(db_Jahr)+1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Arbeitszeit!$Z$6:$Z$373</definedName>
    <definedName name="R_ArbMax">Arbeitszeit!$AC$6:$AC$373</definedName>
    <definedName name="R_Ist">Arbeitszeit!$U$6:$U$373</definedName>
    <definedName name="R_Kalender">Kalender!$B$3:$Y$33</definedName>
    <definedName name="R_Korrekt">Arbeitszeit!$AE$6:$AE$373</definedName>
    <definedName name="R_Krank">Arbeitszeit!$AN$6:$AN$373</definedName>
    <definedName name="R_Monat">Arbeitszeit!$D$6:$D$373</definedName>
    <definedName name="R_Soll">Arbeitszeit!$X$6:$X$373</definedName>
    <definedName name="R_Urlaub">Arbeitszeit!$AO$6:$AO$373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Arbeitszeit!$AG$6:$AG$373</definedName>
    <definedName name="XcurveBasis" localSheetId="0">Classic!$S$5:$S$35</definedName>
    <definedName name="XcurveBasis" localSheetId="10">Übersicht!$G$6:$G$17</definedName>
    <definedName name="XcurveDiffMinus" localSheetId="4">Arbeitszeit!$AI$6:$AI$373</definedName>
    <definedName name="XcurveDiffMinus" localSheetId="0">Classic!$U$5:$U$35</definedName>
    <definedName name="XcurveDiffMinus" localSheetId="10">Übersicht!$I$6:$I$17</definedName>
    <definedName name="XcurveDiffOver" localSheetId="4">Arbeitszeit!$AC$6:$AC$373</definedName>
    <definedName name="XcurveDiffOver" localSheetId="0">Classic!$R$5:$R$35</definedName>
    <definedName name="XcurveDiffOver" localSheetId="10">Übersicht!$J$6:$J$17</definedName>
    <definedName name="XcurveDiffPlus" localSheetId="4">Arbeitszeit!$AH$6:$AH$373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Arbeitszeit!$AJ$6:$AJ$36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Arbeitszeit!$W$3</definedName>
    <definedName name="xNoWorkTime" localSheetId="0">Classic!$J$3</definedName>
    <definedName name="xOverTime" localSheetId="4">Arbeitszeit!$AB$3</definedName>
    <definedName name="xOverTime" localSheetId="0">Classic!$O$3</definedName>
    <definedName name="XPauseNach">Arbeitszeit!$S$3</definedName>
    <definedName name="xResturlaub" localSheetId="4">Arbeitszeit!$U$382</definedName>
    <definedName name="xResturlaub" localSheetId="0">Classic!$J$43</definedName>
    <definedName name="xResturlaub" localSheetId="8">Einstellungen!$H$5</definedName>
    <definedName name="xSaldo" localSheetId="4">Arbeitszeit!$U$380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Arbeitszeit!$AC$3</definedName>
    <definedName name="XWorkTimeMax" localSheetId="0">Classic!$R$3</definedName>
  </definedNames>
  <calcPr calcId="145621"/>
</workbook>
</file>

<file path=xl/calcChain.xml><?xml version="1.0" encoding="utf-8"?>
<calcChain xmlns="http://schemas.openxmlformats.org/spreadsheetml/2006/main">
  <c r="I17" i="38" l="1"/>
  <c r="I18" i="38"/>
  <c r="I19" i="38"/>
  <c r="S3" i="38"/>
  <c r="S35" i="38" s="1"/>
  <c r="S280" i="38" l="1"/>
  <c r="S223" i="38"/>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I13" i="38"/>
  <c r="J13" i="38" s="1"/>
  <c r="L13" i="38"/>
  <c r="M13" i="38" s="1"/>
  <c r="I14" i="38"/>
  <c r="J14"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I7" i="38"/>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I8" i="38"/>
  <c r="J8"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R3" i="48" s="1"/>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Q5" i="38" s="1"/>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16" i="47" s="1"/>
  <c r="A17" i="47" s="1"/>
  <c r="AC4" i="38"/>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M5" i="38" s="1"/>
  <c r="AN371" i="38"/>
  <c r="AO371" i="38"/>
  <c r="AN372" i="38"/>
  <c r="AO372" i="38"/>
  <c r="AN373" i="38"/>
  <c r="AO373" i="38"/>
  <c r="AE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C3" i="48"/>
  <c r="A5" i="48" s="1"/>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1" i="25"/>
  <c r="B8" i="25"/>
  <c r="B12" i="25"/>
  <c r="B10" i="25"/>
  <c r="B6" i="25"/>
  <c r="B13" i="25"/>
  <c r="B7" i="25"/>
  <c r="B5" i="48"/>
  <c r="AB119" i="38" l="1"/>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AP5" i="38"/>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40" i="48"/>
  <c r="A6" i="48"/>
  <c r="V6" i="48" s="1"/>
  <c r="V5" i="4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C2" i="23"/>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R237" i="38"/>
  <c r="R233" i="38"/>
  <c r="R185" i="38"/>
  <c r="R181" i="38"/>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R13" i="38"/>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R364" i="38"/>
  <c r="R329" i="38"/>
  <c r="R309" i="38"/>
  <c r="R301" i="38"/>
  <c r="R285" i="38"/>
  <c r="R193" i="38"/>
  <c r="R117" i="38"/>
  <c r="R53" i="38"/>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4" i="48"/>
  <c r="R281" i="38"/>
  <c r="R273" i="38"/>
  <c r="T273" i="38" s="1"/>
  <c r="R261" i="38"/>
  <c r="R129" i="38"/>
  <c r="R125" i="38"/>
  <c r="R121" i="38"/>
  <c r="R89" i="38"/>
  <c r="R81" i="38"/>
  <c r="G51" i="24"/>
  <c r="R353" i="38"/>
  <c r="R349" i="38"/>
  <c r="R341" i="38"/>
  <c r="T341" i="38" s="1"/>
  <c r="R225" i="38"/>
  <c r="T225" i="38" s="1"/>
  <c r="R217" i="38"/>
  <c r="R209" i="38"/>
  <c r="R65" i="38"/>
  <c r="R57" i="38"/>
  <c r="T57" i="38" s="1"/>
  <c r="R21" i="38"/>
  <c r="R370" i="38"/>
  <c r="R366" i="38"/>
  <c r="R362" i="38"/>
  <c r="A381" i="38"/>
  <c r="G17" i="24" s="1"/>
  <c r="H53" i="24"/>
  <c r="H45" i="24"/>
  <c r="H41" i="24"/>
  <c r="H37" i="24"/>
  <c r="H35" i="24"/>
  <c r="H31" i="24"/>
  <c r="G39" i="24"/>
  <c r="G374" i="7"/>
  <c r="R368" i="38"/>
  <c r="R359" i="38"/>
  <c r="R355" i="38"/>
  <c r="R351" i="38"/>
  <c r="R347" i="38"/>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R271" i="38"/>
  <c r="R267" i="38"/>
  <c r="R263" i="38"/>
  <c r="R259" i="38"/>
  <c r="T259" i="38" s="1"/>
  <c r="R243" i="38"/>
  <c r="R239" i="38"/>
  <c r="T239" i="38" s="1"/>
  <c r="R219" i="38"/>
  <c r="T219" i="38" s="1"/>
  <c r="R203" i="38"/>
  <c r="T203" i="38" s="1"/>
  <c r="R199" i="38"/>
  <c r="R195" i="38"/>
  <c r="T195" i="38" s="1"/>
  <c r="R179" i="38"/>
  <c r="R167" i="38"/>
  <c r="T167" i="38" s="1"/>
  <c r="R163" i="38"/>
  <c r="R155" i="38"/>
  <c r="R151" i="38"/>
  <c r="T151" i="38" s="1"/>
  <c r="R147" i="38"/>
  <c r="T147" i="38" s="1"/>
  <c r="R143" i="38"/>
  <c r="T143" i="38" s="1"/>
  <c r="R139" i="38"/>
  <c r="R135" i="38"/>
  <c r="R131" i="38"/>
  <c r="T131" i="38" s="1"/>
  <c r="R127" i="38"/>
  <c r="R123" i="38"/>
  <c r="T123" i="38" s="1"/>
  <c r="R119" i="38"/>
  <c r="R115" i="38"/>
  <c r="T115" i="38" s="1"/>
  <c r="R111" i="38"/>
  <c r="R107" i="38"/>
  <c r="R103" i="38"/>
  <c r="R99" i="38"/>
  <c r="R95" i="38"/>
  <c r="R91" i="38"/>
  <c r="R87" i="38"/>
  <c r="T87" i="38" s="1"/>
  <c r="R83" i="38"/>
  <c r="R79" i="38"/>
  <c r="R75" i="38"/>
  <c r="R71" i="38"/>
  <c r="R67" i="38"/>
  <c r="R63" i="38"/>
  <c r="R59" i="38"/>
  <c r="R55" i="38"/>
  <c r="T55" i="38" s="1"/>
  <c r="R51" i="38"/>
  <c r="R47" i="38"/>
  <c r="R43" i="38"/>
  <c r="R39" i="38"/>
  <c r="T39" i="38" s="1"/>
  <c r="R311" i="38"/>
  <c r="R307" i="38"/>
  <c r="R303" i="38"/>
  <c r="R299" i="38"/>
  <c r="T299" i="38" s="1"/>
  <c r="R291" i="38"/>
  <c r="R287" i="38"/>
  <c r="T287" i="38" s="1"/>
  <c r="R283" i="38"/>
  <c r="R255" i="38"/>
  <c r="R251" i="38"/>
  <c r="R247" i="38"/>
  <c r="R235" i="38"/>
  <c r="T235" i="38" s="1"/>
  <c r="R231" i="38"/>
  <c r="T231" i="38" s="1"/>
  <c r="R227" i="38"/>
  <c r="R223" i="38"/>
  <c r="R215" i="38"/>
  <c r="T215" i="38" s="1"/>
  <c r="R211" i="38"/>
  <c r="T211" i="38" s="1"/>
  <c r="R207" i="38"/>
  <c r="R191" i="38"/>
  <c r="R187" i="38"/>
  <c r="R183" i="38"/>
  <c r="R175" i="38"/>
  <c r="R171" i="38"/>
  <c r="R159" i="38"/>
  <c r="R325" i="38"/>
  <c r="T325" i="38" s="1"/>
  <c r="R321" i="38"/>
  <c r="R317" i="38"/>
  <c r="T317" i="38" s="1"/>
  <c r="R265" i="38"/>
  <c r="R229" i="38"/>
  <c r="R221" i="38"/>
  <c r="R213" i="38"/>
  <c r="R205" i="38"/>
  <c r="T205" i="38" s="1"/>
  <c r="R201" i="38"/>
  <c r="R197" i="38"/>
  <c r="T197" i="38" s="1"/>
  <c r="R189" i="38"/>
  <c r="R173" i="38"/>
  <c r="R169" i="38"/>
  <c r="R165" i="38"/>
  <c r="R161" i="38"/>
  <c r="R149" i="38"/>
  <c r="T149" i="38" s="1"/>
  <c r="R145" i="38"/>
  <c r="R141" i="38"/>
  <c r="R133" i="38"/>
  <c r="R109" i="38"/>
  <c r="R101" i="38"/>
  <c r="R93" i="38"/>
  <c r="R85" i="38"/>
  <c r="R77" i="38"/>
  <c r="R69" i="38"/>
  <c r="T69" i="38" s="1"/>
  <c r="R45" i="38"/>
  <c r="R41" i="38"/>
  <c r="T41" i="38" s="1"/>
  <c r="R33" i="38"/>
  <c r="R25" i="38"/>
  <c r="G35" i="24"/>
  <c r="G37" i="24"/>
  <c r="A3" i="49"/>
  <c r="A6" i="38"/>
  <c r="G47" i="24"/>
  <c r="I374" i="7"/>
  <c r="G41" i="24"/>
  <c r="G45" i="24"/>
  <c r="E3" i="49"/>
  <c r="R361" i="38"/>
  <c r="R345" i="38"/>
  <c r="R333" i="38"/>
  <c r="R313" i="38"/>
  <c r="T313" i="38" s="1"/>
  <c r="R305" i="38"/>
  <c r="T305" i="38" s="1"/>
  <c r="R297" i="38"/>
  <c r="T297" i="38" s="1"/>
  <c r="R293" i="38"/>
  <c r="R289" i="38"/>
  <c r="R277" i="38"/>
  <c r="R257" i="38"/>
  <c r="I2" i="7"/>
  <c r="G31" i="24"/>
  <c r="G2" i="7"/>
  <c r="G29" i="24"/>
  <c r="G401" i="24" s="1"/>
  <c r="F2" i="23"/>
  <c r="E2" i="23"/>
  <c r="AN374" i="38"/>
  <c r="H29" i="24"/>
  <c r="AO374" i="38"/>
  <c r="B8" i="50"/>
  <c r="B37" i="50" s="1"/>
  <c r="L3" i="7"/>
  <c r="G53" i="24"/>
  <c r="G49" i="24"/>
  <c r="G43" i="24"/>
  <c r="AT341" i="38"/>
  <c r="R371" i="38"/>
  <c r="T371" i="38" s="1"/>
  <c r="R367" i="38"/>
  <c r="R363" i="38"/>
  <c r="R360" i="38"/>
  <c r="R352" i="38"/>
  <c r="R340" i="38"/>
  <c r="R328" i="38"/>
  <c r="T328" i="38" s="1"/>
  <c r="R316" i="38"/>
  <c r="R308" i="38"/>
  <c r="T308" i="38" s="1"/>
  <c r="R304" i="38"/>
  <c r="R300" i="38"/>
  <c r="R288" i="38"/>
  <c r="R280" i="38"/>
  <c r="R276" i="38"/>
  <c r="R268" i="38"/>
  <c r="R252" i="38"/>
  <c r="R244" i="38"/>
  <c r="R236" i="38"/>
  <c r="T236" i="38" s="1"/>
  <c r="R220" i="38"/>
  <c r="R212" i="38"/>
  <c r="R208" i="38"/>
  <c r="R204" i="38"/>
  <c r="R200" i="38"/>
  <c r="R192" i="38"/>
  <c r="R180" i="38"/>
  <c r="T180" i="38" s="1"/>
  <c r="R176" i="38"/>
  <c r="R172" i="38"/>
  <c r="T172" i="38" s="1"/>
  <c r="R168" i="38"/>
  <c r="R164" i="38"/>
  <c r="R156" i="38"/>
  <c r="R148" i="38"/>
  <c r="T148" i="38" s="1"/>
  <c r="R144" i="38"/>
  <c r="R136" i="38"/>
  <c r="R132" i="38"/>
  <c r="R128" i="38"/>
  <c r="R124" i="38"/>
  <c r="T124" i="38" s="1"/>
  <c r="R108" i="38"/>
  <c r="R100" i="38"/>
  <c r="R92" i="38"/>
  <c r="T92" i="38" s="1"/>
  <c r="R84" i="38"/>
  <c r="R80" i="38"/>
  <c r="R76" i="38"/>
  <c r="R72" i="38"/>
  <c r="R64" i="38"/>
  <c r="T64" i="38" s="1"/>
  <c r="R60" i="38"/>
  <c r="R52" i="38"/>
  <c r="R48" i="38"/>
  <c r="R40" i="38"/>
  <c r="R32" i="38"/>
  <c r="R16" i="38"/>
  <c r="R12" i="38"/>
  <c r="T12" i="38" s="1"/>
  <c r="H23" i="24"/>
  <c r="G400" i="24"/>
  <c r="R373" i="38"/>
  <c r="R365" i="38"/>
  <c r="T365" i="38" s="1"/>
  <c r="R358" i="38"/>
  <c r="R354" i="38"/>
  <c r="R350" i="38"/>
  <c r="R346" i="38"/>
  <c r="R342" i="38"/>
  <c r="R338" i="38"/>
  <c r="R334" i="38"/>
  <c r="T334" i="38" s="1"/>
  <c r="R330" i="38"/>
  <c r="R326" i="38"/>
  <c r="R322" i="38"/>
  <c r="R318" i="38"/>
  <c r="R314" i="38"/>
  <c r="R310" i="38"/>
  <c r="R306" i="38"/>
  <c r="R302" i="38"/>
  <c r="R298" i="38"/>
  <c r="R294" i="38"/>
  <c r="T294" i="38" s="1"/>
  <c r="R290" i="38"/>
  <c r="T290" i="38" s="1"/>
  <c r="R286" i="38"/>
  <c r="R282" i="38"/>
  <c r="R278" i="38"/>
  <c r="R274" i="38"/>
  <c r="R270" i="38"/>
  <c r="T270" i="38" s="1"/>
  <c r="R266" i="38"/>
  <c r="R262" i="38"/>
  <c r="R258" i="38"/>
  <c r="R254" i="38"/>
  <c r="R250" i="38"/>
  <c r="R246" i="38"/>
  <c r="R242" i="38"/>
  <c r="R238" i="38"/>
  <c r="R234" i="38"/>
  <c r="R230" i="38"/>
  <c r="R226" i="38"/>
  <c r="T226" i="38" s="1"/>
  <c r="R222" i="38"/>
  <c r="R218" i="38"/>
  <c r="R214" i="38"/>
  <c r="R210" i="38"/>
  <c r="R206" i="38"/>
  <c r="R202" i="38"/>
  <c r="R198" i="38"/>
  <c r="R194" i="38"/>
  <c r="T194" i="38" s="1"/>
  <c r="R190" i="38"/>
  <c r="R186" i="38"/>
  <c r="R182" i="38"/>
  <c r="R178" i="38"/>
  <c r="R174" i="38"/>
  <c r="R170" i="38"/>
  <c r="T170" i="38" s="1"/>
  <c r="R166" i="38"/>
  <c r="T166" i="38" s="1"/>
  <c r="R162" i="38"/>
  <c r="R158" i="38"/>
  <c r="T158" i="38" s="1"/>
  <c r="R154" i="38"/>
  <c r="R150" i="38"/>
  <c r="R146" i="38"/>
  <c r="R142" i="38"/>
  <c r="R138" i="38"/>
  <c r="R134" i="38"/>
  <c r="R130" i="38"/>
  <c r="R126" i="38"/>
  <c r="R122" i="38"/>
  <c r="R118" i="38"/>
  <c r="R114" i="38"/>
  <c r="R110" i="38"/>
  <c r="R106" i="38"/>
  <c r="R102" i="38"/>
  <c r="R98" i="38"/>
  <c r="T98" i="38" s="1"/>
  <c r="R94" i="38"/>
  <c r="R90" i="38"/>
  <c r="R86" i="38"/>
  <c r="T86" i="38" s="1"/>
  <c r="R82" i="38"/>
  <c r="R78" i="38"/>
  <c r="R74" i="38"/>
  <c r="R70" i="38"/>
  <c r="R66" i="38"/>
  <c r="R62" i="38"/>
  <c r="R58" i="38"/>
  <c r="T58" i="38" s="1"/>
  <c r="R54" i="38"/>
  <c r="R50" i="38"/>
  <c r="R46" i="38"/>
  <c r="R42" i="38"/>
  <c r="R38" i="38"/>
  <c r="R35" i="38"/>
  <c r="R34" i="38"/>
  <c r="R30" i="38"/>
  <c r="R27" i="38"/>
  <c r="R26" i="38"/>
  <c r="R23" i="38"/>
  <c r="R22" i="38"/>
  <c r="T22" i="38" s="1"/>
  <c r="R14" i="38"/>
  <c r="T14" i="38" s="1"/>
  <c r="R11" i="38"/>
  <c r="R336" i="38"/>
  <c r="R324" i="38"/>
  <c r="R260" i="38"/>
  <c r="R228" i="38"/>
  <c r="R184" i="38"/>
  <c r="R116" i="38"/>
  <c r="R68" i="38"/>
  <c r="R356" i="38"/>
  <c r="R348" i="38"/>
  <c r="R344" i="38"/>
  <c r="R332" i="38"/>
  <c r="R320" i="38"/>
  <c r="R312" i="38"/>
  <c r="R296" i="38"/>
  <c r="R292" i="38"/>
  <c r="R284" i="38"/>
  <c r="R272" i="38"/>
  <c r="R264" i="38"/>
  <c r="T264" i="38" s="1"/>
  <c r="R256" i="38"/>
  <c r="R248" i="38"/>
  <c r="R240" i="38"/>
  <c r="R232" i="38"/>
  <c r="R224" i="38"/>
  <c r="T224" i="38" s="1"/>
  <c r="R216" i="38"/>
  <c r="R196" i="38"/>
  <c r="R188" i="38"/>
  <c r="R160" i="38"/>
  <c r="T160" i="38" s="1"/>
  <c r="R152" i="38"/>
  <c r="R140" i="38"/>
  <c r="R120" i="38"/>
  <c r="T120" i="38" s="1"/>
  <c r="R112" i="38"/>
  <c r="R104" i="38"/>
  <c r="T104" i="38" s="1"/>
  <c r="R96" i="38"/>
  <c r="R88" i="38"/>
  <c r="R56" i="38"/>
  <c r="R44" i="38"/>
  <c r="R36" i="38"/>
  <c r="R28" i="38"/>
  <c r="R20" i="38"/>
  <c r="T20" i="38" s="1"/>
  <c r="R8" i="38"/>
  <c r="J12" i="24"/>
  <c r="B6" i="48"/>
  <c r="C6" i="38"/>
  <c r="T26" i="38" l="1"/>
  <c r="T210" i="38"/>
  <c r="T32" i="38"/>
  <c r="T244" i="38"/>
  <c r="T280" i="38"/>
  <c r="T75" i="38"/>
  <c r="U75" i="38" s="1"/>
  <c r="E74" i="7" s="1"/>
  <c r="F74" i="7" s="1"/>
  <c r="T284" i="38"/>
  <c r="T66" i="38"/>
  <c r="U66" i="38" s="1"/>
  <c r="T130" i="38"/>
  <c r="U130" i="38" s="1"/>
  <c r="T162" i="38"/>
  <c r="AC162" i="38" s="1"/>
  <c r="T178" i="38"/>
  <c r="AC178" i="38" s="1"/>
  <c r="T242" i="38"/>
  <c r="AC242" i="38" s="1"/>
  <c r="T258" i="38"/>
  <c r="AC258" i="38" s="1"/>
  <c r="T306" i="38"/>
  <c r="T136" i="38"/>
  <c r="AC136" i="38" s="1"/>
  <c r="T77" i="38"/>
  <c r="AC77" i="38" s="1"/>
  <c r="T173" i="38"/>
  <c r="AC173" i="38" s="1"/>
  <c r="T283" i="38"/>
  <c r="AC283" i="38" s="1"/>
  <c r="T91" i="38"/>
  <c r="T139" i="38"/>
  <c r="U139" i="38" s="1"/>
  <c r="AF139" i="38" s="1"/>
  <c r="T347" i="38"/>
  <c r="U347" i="38" s="1"/>
  <c r="E346" i="7" s="1"/>
  <c r="F346" i="7" s="1"/>
  <c r="T28" i="38"/>
  <c r="AC28" i="38" s="1"/>
  <c r="T250" i="38"/>
  <c r="AC250" i="38" s="1"/>
  <c r="T45" i="38"/>
  <c r="AC45" i="38" s="1"/>
  <c r="T93" i="38"/>
  <c r="U93" i="38" s="1"/>
  <c r="T221" i="38"/>
  <c r="AC221" i="38" s="1"/>
  <c r="T321" i="38"/>
  <c r="AC321" i="38" s="1"/>
  <c r="T207" i="38"/>
  <c r="U207" i="38" s="1"/>
  <c r="E206" i="7" s="1"/>
  <c r="F206" i="7" s="1"/>
  <c r="T291" i="38"/>
  <c r="AC291" i="38" s="1"/>
  <c r="T51" i="38"/>
  <c r="AC51" i="38" s="1"/>
  <c r="T67" i="38"/>
  <c r="AC67" i="38" s="1"/>
  <c r="T116" i="38"/>
  <c r="AC116" i="38" s="1"/>
  <c r="T42" i="38"/>
  <c r="AC42" i="38" s="1"/>
  <c r="T74" i="38"/>
  <c r="U74" i="38" s="1"/>
  <c r="T186" i="38"/>
  <c r="AC186" i="38" s="1"/>
  <c r="T218" i="38"/>
  <c r="U218" i="38" s="1"/>
  <c r="T234" i="38"/>
  <c r="U234" i="38" s="1"/>
  <c r="T282" i="38"/>
  <c r="AC282" i="38" s="1"/>
  <c r="T314" i="38"/>
  <c r="AC314" i="38" s="1"/>
  <c r="T128" i="38"/>
  <c r="AC128" i="38" s="1"/>
  <c r="T96" i="38"/>
  <c r="AC96" i="38" s="1"/>
  <c r="T140" i="38"/>
  <c r="AC140" i="38" s="1"/>
  <c r="T312" i="38"/>
  <c r="AC312" i="38" s="1"/>
  <c r="T348" i="38"/>
  <c r="AC348" i="38" s="1"/>
  <c r="T23" i="38"/>
  <c r="U23" i="38" s="1"/>
  <c r="T46" i="38"/>
  <c r="U46" i="38" s="1"/>
  <c r="T222" i="38"/>
  <c r="U222" i="38" s="1"/>
  <c r="T302" i="38"/>
  <c r="U302" i="38" s="1"/>
  <c r="T304" i="38"/>
  <c r="U304" i="38" s="1"/>
  <c r="AF304" i="38" s="1"/>
  <c r="T183" i="38"/>
  <c r="AC183" i="38" s="1"/>
  <c r="T119" i="38"/>
  <c r="U119" i="38" s="1"/>
  <c r="AF119" i="38" s="1"/>
  <c r="T94" i="38"/>
  <c r="AC94" i="38" s="1"/>
  <c r="T110" i="38"/>
  <c r="U110" i="38" s="1"/>
  <c r="T238" i="38"/>
  <c r="AC238" i="38" s="1"/>
  <c r="T76" i="38"/>
  <c r="U76" i="38" s="1"/>
  <c r="E75" i="7" s="1"/>
  <c r="F75" i="7" s="1"/>
  <c r="T188" i="38"/>
  <c r="AC188" i="38" s="1"/>
  <c r="T232" i="38"/>
  <c r="U232" i="38" s="1"/>
  <c r="T296" i="38"/>
  <c r="AC296" i="38" s="1"/>
  <c r="T344" i="38"/>
  <c r="AC344" i="38" s="1"/>
  <c r="T324" i="38"/>
  <c r="AC324" i="38" s="1"/>
  <c r="T30" i="38"/>
  <c r="T122" i="38"/>
  <c r="AC122" i="38" s="1"/>
  <c r="T154" i="38"/>
  <c r="AC154" i="38" s="1"/>
  <c r="T53" i="38"/>
  <c r="AC53" i="38" s="1"/>
  <c r="T88" i="38"/>
  <c r="U88" i="38" s="1"/>
  <c r="T90" i="38"/>
  <c r="AC90" i="38" s="1"/>
  <c r="T106" i="38"/>
  <c r="U106" i="38" s="1"/>
  <c r="T138" i="38"/>
  <c r="U138" i="38" s="1"/>
  <c r="T202" i="38"/>
  <c r="AC202" i="38" s="1"/>
  <c r="T266" i="38"/>
  <c r="AC266" i="38" s="1"/>
  <c r="T346" i="38"/>
  <c r="AC346" i="38" s="1"/>
  <c r="T48" i="38"/>
  <c r="U48" i="38" s="1"/>
  <c r="E47" i="7" s="1"/>
  <c r="F47" i="7" s="1"/>
  <c r="T363" i="38"/>
  <c r="U363" i="38" s="1"/>
  <c r="AF363" i="38" s="1"/>
  <c r="T141" i="38"/>
  <c r="U141" i="38" s="1"/>
  <c r="E140" i="7" s="1"/>
  <c r="F140" i="7" s="1"/>
  <c r="T175" i="38"/>
  <c r="U175" i="38" s="1"/>
  <c r="E174" i="7" s="1"/>
  <c r="F174" i="7" s="1"/>
  <c r="T251" i="38"/>
  <c r="U251" i="38" s="1"/>
  <c r="AF251" i="38" s="1"/>
  <c r="T311" i="38"/>
  <c r="AC311" i="38" s="1"/>
  <c r="T83" i="38"/>
  <c r="U83" i="38" s="1"/>
  <c r="AF83" i="38" s="1"/>
  <c r="T99" i="38"/>
  <c r="U99" i="38" s="1"/>
  <c r="T275" i="38"/>
  <c r="AC275" i="38" s="1"/>
  <c r="T355" i="38"/>
  <c r="U355" i="38" s="1"/>
  <c r="AF355" i="38" s="1"/>
  <c r="T362" i="38"/>
  <c r="AC362" i="38" s="1"/>
  <c r="T125" i="38"/>
  <c r="U125" i="38" s="1"/>
  <c r="AF125" i="38" s="1"/>
  <c r="T301" i="38"/>
  <c r="U301" i="38" s="1"/>
  <c r="T372" i="38"/>
  <c r="U372" i="38" s="1"/>
  <c r="E371" i="7" s="1"/>
  <c r="F371" i="7" s="1"/>
  <c r="T13" i="38"/>
  <c r="AC13" i="38" s="1"/>
  <c r="T61" i="38"/>
  <c r="AC61" i="38" s="1"/>
  <c r="T181" i="38"/>
  <c r="U181" i="38" s="1"/>
  <c r="AF181" i="38" s="1"/>
  <c r="T241" i="38"/>
  <c r="U241" i="38" s="1"/>
  <c r="E240" i="7" s="1"/>
  <c r="F240" i="7" s="1"/>
  <c r="T220" i="38"/>
  <c r="AC220" i="38" s="1"/>
  <c r="T367" i="38"/>
  <c r="AC367" i="38" s="1"/>
  <c r="T333" i="38"/>
  <c r="AC333" i="38" s="1"/>
  <c r="T229" i="38"/>
  <c r="AC229" i="38" s="1"/>
  <c r="T135" i="38"/>
  <c r="AC135" i="38" s="1"/>
  <c r="T179" i="38"/>
  <c r="U179" i="38" s="1"/>
  <c r="AF179" i="38" s="1"/>
  <c r="T359" i="38"/>
  <c r="AC359" i="38" s="1"/>
  <c r="T8" i="38"/>
  <c r="U8" i="38" s="1"/>
  <c r="T44" i="38"/>
  <c r="U44" i="38" s="1"/>
  <c r="T152" i="38"/>
  <c r="U152" i="38" s="1"/>
  <c r="T216" i="38"/>
  <c r="U216" i="38" s="1"/>
  <c r="T248" i="38"/>
  <c r="AC248" i="38" s="1"/>
  <c r="T320" i="38"/>
  <c r="T356" i="38"/>
  <c r="AC356" i="38" s="1"/>
  <c r="T228" i="38"/>
  <c r="T11" i="38"/>
  <c r="AC11" i="38" s="1"/>
  <c r="T35" i="38"/>
  <c r="AC35" i="38" s="1"/>
  <c r="T50" i="38"/>
  <c r="AC50" i="38" s="1"/>
  <c r="T82" i="38"/>
  <c r="AC82" i="38" s="1"/>
  <c r="T114" i="38"/>
  <c r="U114" i="38" s="1"/>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U315" i="38" s="1"/>
  <c r="AF315" i="38" s="1"/>
  <c r="T331" i="38"/>
  <c r="AC331" i="38" s="1"/>
  <c r="T368" i="38"/>
  <c r="U368" i="38" s="1"/>
  <c r="AF368" i="38" s="1"/>
  <c r="T370" i="38"/>
  <c r="U370" i="38" s="1"/>
  <c r="T349" i="38"/>
  <c r="AC349" i="38" s="1"/>
  <c r="T89" i="38"/>
  <c r="AC89" i="38" s="1"/>
  <c r="T261" i="38"/>
  <c r="AC261" i="38" s="1"/>
  <c r="T193" i="38"/>
  <c r="U193" i="38" s="1"/>
  <c r="E192" i="7" s="1"/>
  <c r="F192" i="7" s="1"/>
  <c r="T329" i="38"/>
  <c r="AC329" i="38" s="1"/>
  <c r="T37" i="38"/>
  <c r="AC37" i="38" s="1"/>
  <c r="T97" i="38"/>
  <c r="U97" i="38" s="1"/>
  <c r="E96" i="7" s="1"/>
  <c r="F96" i="7" s="1"/>
  <c r="T153" i="38"/>
  <c r="AC153" i="38" s="1"/>
  <c r="T233" i="38"/>
  <c r="AC233" i="38" s="1"/>
  <c r="T56" i="38"/>
  <c r="U56" i="38" s="1"/>
  <c r="T332" i="38"/>
  <c r="AC332" i="38" s="1"/>
  <c r="T260" i="38"/>
  <c r="AC260" i="38" s="1"/>
  <c r="T278" i="38"/>
  <c r="AC278" i="38" s="1"/>
  <c r="T310" i="38"/>
  <c r="AC310" i="38" s="1"/>
  <c r="T168" i="38"/>
  <c r="AC168" i="38" s="1"/>
  <c r="T288" i="38"/>
  <c r="U288" i="38" s="1"/>
  <c r="E287" i="7" s="1"/>
  <c r="F287" i="7" s="1"/>
  <c r="T360" i="38"/>
  <c r="AC360" i="38" s="1"/>
  <c r="T277" i="38"/>
  <c r="AC277" i="38" s="1"/>
  <c r="T361" i="38"/>
  <c r="U361" i="38" s="1"/>
  <c r="AF361" i="38" s="1"/>
  <c r="T213" i="38"/>
  <c r="U213" i="38" s="1"/>
  <c r="T171" i="38"/>
  <c r="AC171" i="38" s="1"/>
  <c r="T247" i="38"/>
  <c r="U247" i="38" s="1"/>
  <c r="E246" i="7" s="1"/>
  <c r="F246" i="7" s="1"/>
  <c r="T47" i="38"/>
  <c r="U47" i="38" s="1"/>
  <c r="T79" i="38"/>
  <c r="AC79" i="38" s="1"/>
  <c r="T111" i="38"/>
  <c r="U111" i="38" s="1"/>
  <c r="T127" i="38"/>
  <c r="AC127" i="38" s="1"/>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U323" i="38" s="1"/>
  <c r="AF323" i="38" s="1"/>
  <c r="T281" i="38"/>
  <c r="AC281" i="38" s="1"/>
  <c r="T113" i="38"/>
  <c r="U113" i="38" s="1"/>
  <c r="AF113" i="38" s="1"/>
  <c r="T36" i="38"/>
  <c r="U36" i="38" s="1"/>
  <c r="T196" i="38"/>
  <c r="U196" i="38" s="1"/>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AC134" i="38" s="1"/>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C35" i="50"/>
  <c r="C42" i="50"/>
  <c r="AC12" i="38"/>
  <c r="U64" i="38"/>
  <c r="AF64" i="38" s="1"/>
  <c r="U317" i="38"/>
  <c r="C50" i="50"/>
  <c r="I16" i="50"/>
  <c r="AC123" i="38"/>
  <c r="C39" i="50"/>
  <c r="G21" i="50"/>
  <c r="AC104" i="38"/>
  <c r="AC98" i="38"/>
  <c r="U194" i="38"/>
  <c r="U365" i="38"/>
  <c r="AC290" i="38"/>
  <c r="U69" i="38"/>
  <c r="E68" i="7" s="1"/>
  <c r="F68" i="7" s="1"/>
  <c r="AC325" i="38"/>
  <c r="U211" i="38"/>
  <c r="E210" i="7" s="1"/>
  <c r="F210" i="7" s="1"/>
  <c r="AC231" i="38"/>
  <c r="AC299" i="38"/>
  <c r="U148" i="38"/>
  <c r="AF148" i="38" s="1"/>
  <c r="C52" i="50"/>
  <c r="C45" i="50"/>
  <c r="C43" i="50"/>
  <c r="C55" i="50"/>
  <c r="U41" i="38"/>
  <c r="E40" i="7" s="1"/>
  <c r="F40" i="7" s="1"/>
  <c r="C38" i="50"/>
  <c r="C37" i="50"/>
  <c r="C40" i="50"/>
  <c r="C44" i="50"/>
  <c r="C54" i="50"/>
  <c r="C49" i="50"/>
  <c r="C53" i="50"/>
  <c r="C46" i="50"/>
  <c r="C36" i="50"/>
  <c r="C47" i="50"/>
  <c r="AC287" i="38"/>
  <c r="U244" i="38"/>
  <c r="E243" i="7" s="1"/>
  <c r="F243" i="7" s="1"/>
  <c r="U167" i="38"/>
  <c r="AF167" i="38" s="1"/>
  <c r="D34" i="50"/>
  <c r="D50" i="50" s="1"/>
  <c r="C48" i="50"/>
  <c r="C41" i="50"/>
  <c r="C56" i="50"/>
  <c r="O5" i="48"/>
  <c r="P5" i="48"/>
  <c r="AM374" i="38"/>
  <c r="A7" i="48"/>
  <c r="U39" i="38"/>
  <c r="U87" i="38"/>
  <c r="E86" i="7" s="1"/>
  <c r="F86" i="7" s="1"/>
  <c r="U158" i="38"/>
  <c r="U334" i="38"/>
  <c r="AC341" i="38"/>
  <c r="AC149" i="38"/>
  <c r="AC151" i="38"/>
  <c r="AC219" i="38"/>
  <c r="U270" i="38"/>
  <c r="U236" i="38"/>
  <c r="E235" i="7" s="1"/>
  <c r="F235" i="7" s="1"/>
  <c r="AC143" i="38"/>
  <c r="AC273" i="38"/>
  <c r="AC86" i="38"/>
  <c r="AC32" i="38"/>
  <c r="AC55" i="38"/>
  <c r="U339" i="38"/>
  <c r="E338" i="7" s="1"/>
  <c r="F338" i="7" s="1"/>
  <c r="AC294" i="38"/>
  <c r="AC91" i="38"/>
  <c r="U22" i="38"/>
  <c r="U92" i="38"/>
  <c r="AF92" i="38" s="1"/>
  <c r="H9" i="50"/>
  <c r="U225" i="38"/>
  <c r="AF225" i="38" s="1"/>
  <c r="H25" i="50"/>
  <c r="AC51" i="24"/>
  <c r="I14" i="50"/>
  <c r="U147" i="38"/>
  <c r="E146" i="7" s="1"/>
  <c r="F146" i="7" s="1"/>
  <c r="U235" i="38"/>
  <c r="E234" i="7" s="1"/>
  <c r="F234" i="7" s="1"/>
  <c r="U215" i="38"/>
  <c r="I11" i="50"/>
  <c r="U58" i="38"/>
  <c r="U124" i="38"/>
  <c r="E123" i="7" s="1"/>
  <c r="F123" i="7" s="1"/>
  <c r="F8" i="50"/>
  <c r="U305" i="38"/>
  <c r="AF305" i="38" s="1"/>
  <c r="AC245" i="38"/>
  <c r="AC195" i="38"/>
  <c r="U239" i="38"/>
  <c r="AF239" i="38" s="1"/>
  <c r="AC317" i="38"/>
  <c r="U170" i="38"/>
  <c r="AC226" i="38"/>
  <c r="U172" i="38"/>
  <c r="E171" i="7" s="1"/>
  <c r="F171" i="7" s="1"/>
  <c r="U328" i="38"/>
  <c r="AC166" i="38"/>
  <c r="AC180" i="38"/>
  <c r="AC308" i="38"/>
  <c r="AC371" i="38"/>
  <c r="U313" i="38"/>
  <c r="AF313" i="38" s="1"/>
  <c r="U115" i="38"/>
  <c r="AF115" i="38" s="1"/>
  <c r="U131" i="38"/>
  <c r="E130" i="7" s="1"/>
  <c r="F130" i="7" s="1"/>
  <c r="AC203" i="38"/>
  <c r="AC259"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U205" i="38"/>
  <c r="E204" i="7" s="1"/>
  <c r="F204" i="7" s="1"/>
  <c r="AC205" i="38"/>
  <c r="G12" i="50"/>
  <c r="F17" i="50"/>
  <c r="H27" i="50"/>
  <c r="I19" i="50"/>
  <c r="I10" i="50"/>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E10" i="50"/>
  <c r="H20" i="50"/>
  <c r="D27" i="50"/>
  <c r="E20" i="50"/>
  <c r="F23" i="50"/>
  <c r="G13" i="50"/>
  <c r="C23" i="50"/>
  <c r="C19" i="50"/>
  <c r="C17" i="50"/>
  <c r="E25" i="50"/>
  <c r="G24" i="50"/>
  <c r="B6" i="38"/>
  <c r="F24" i="50"/>
  <c r="H17" i="50"/>
  <c r="D25" i="50"/>
  <c r="C16" i="50"/>
  <c r="E14" i="50"/>
  <c r="E27" i="50"/>
  <c r="E15" i="50"/>
  <c r="F15" i="50"/>
  <c r="G6" i="50"/>
  <c r="AC297" i="38"/>
  <c r="AC29" i="24"/>
  <c r="U280" i="38"/>
  <c r="E279" i="7" s="1"/>
  <c r="F279" i="7" s="1"/>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AC20" i="38"/>
  <c r="AC120" i="38"/>
  <c r="AC57" i="38"/>
  <c r="AC14" i="38"/>
  <c r="AC264" i="38"/>
  <c r="U26" i="38"/>
  <c r="U160" i="38"/>
  <c r="AC224" i="38"/>
  <c r="AC284" i="38"/>
  <c r="I23" i="24"/>
  <c r="H400" i="24"/>
  <c r="H401" i="24"/>
  <c r="U57" i="38"/>
  <c r="B7" i="48"/>
  <c r="C7" i="38"/>
  <c r="C5" i="7"/>
  <c r="AZ5" i="7"/>
  <c r="AU6" i="38"/>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AF12" i="38" s="1"/>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21" i="38"/>
  <c r="AR21" i="38"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U231" i="38"/>
  <c r="E230" i="7" s="1"/>
  <c r="F230" i="7" s="1"/>
  <c r="U180" i="38"/>
  <c r="AR180" i="38" s="1"/>
  <c r="AC131" i="38"/>
  <c r="AR131" i="38" s="1"/>
  <c r="E354" i="7"/>
  <c r="F354" i="7" s="1"/>
  <c r="AC85" i="38"/>
  <c r="AR85" i="38" s="1"/>
  <c r="AC368" i="38"/>
  <c r="AR368" i="38" s="1"/>
  <c r="U335" i="38"/>
  <c r="AF335" i="38" s="1"/>
  <c r="AC148" i="38"/>
  <c r="AR148" i="38" s="1"/>
  <c r="AC263" i="38"/>
  <c r="AR263" i="38" s="1"/>
  <c r="U13" i="38"/>
  <c r="AR13" i="38" s="1"/>
  <c r="AC138" i="38"/>
  <c r="AR138" i="38" s="1"/>
  <c r="AC132" i="38"/>
  <c r="AR132" i="38" s="1"/>
  <c r="AC342" i="38"/>
  <c r="AR342" i="38" s="1"/>
  <c r="AF29" i="38"/>
  <c r="AC193" i="38"/>
  <c r="AR193" i="38" s="1"/>
  <c r="AC38" i="38"/>
  <c r="AR38" i="38" s="1"/>
  <c r="E303" i="7"/>
  <c r="F303" i="7" s="1"/>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A8" i="48"/>
  <c r="V7" i="48"/>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H6" i="48"/>
  <c r="A39" i="48"/>
  <c r="I5" i="48"/>
  <c r="X6" i="48"/>
  <c r="D5" i="38"/>
  <c r="AQ6" i="38" s="1"/>
  <c r="Q5" i="48"/>
  <c r="H5" i="48"/>
  <c r="D5" i="48"/>
  <c r="F5" i="48"/>
  <c r="L6" i="48"/>
  <c r="X5" i="48"/>
  <c r="Q6" i="48"/>
  <c r="AJ5" i="38"/>
  <c r="F6" i="48"/>
  <c r="D6" i="48"/>
  <c r="L5" i="48"/>
  <c r="U312" i="38"/>
  <c r="E311" i="7" s="1"/>
  <c r="F311" i="7" s="1"/>
  <c r="E363" i="7"/>
  <c r="F363" i="7" s="1"/>
  <c r="U257" i="38"/>
  <c r="C29" i="50"/>
  <c r="C30" i="50" s="1"/>
  <c r="D29" i="50"/>
  <c r="D30" i="50" s="1"/>
  <c r="A28" i="24"/>
  <c r="D5" i="7"/>
  <c r="B5" i="7"/>
  <c r="E16" i="49"/>
  <c r="E14" i="49"/>
  <c r="E9" i="49"/>
  <c r="E10" i="49"/>
  <c r="E22" i="49"/>
  <c r="E4" i="49"/>
  <c r="E15" i="49"/>
  <c r="E17" i="49"/>
  <c r="E12" i="49"/>
  <c r="X6" i="38"/>
  <c r="Y6" i="38"/>
  <c r="N5" i="48" s="1"/>
  <c r="E23" i="49"/>
  <c r="E21" i="49"/>
  <c r="E13" i="49"/>
  <c r="U68" i="38"/>
  <c r="AR68" i="38" s="1"/>
  <c r="AC36" i="38"/>
  <c r="AR36" i="38" s="1"/>
  <c r="AC336" i="38"/>
  <c r="AR336" i="38" s="1"/>
  <c r="U292" i="38"/>
  <c r="AF292" i="38" s="1"/>
  <c r="U297" i="38"/>
  <c r="B7" i="38"/>
  <c r="A29" i="24"/>
  <c r="A8" i="38"/>
  <c r="H7" i="48" s="1"/>
  <c r="D7" i="38"/>
  <c r="AP7" i="38"/>
  <c r="AJ7" i="38"/>
  <c r="A6" i="7"/>
  <c r="AC293" i="38"/>
  <c r="AR293" i="38" s="1"/>
  <c r="E20" i="49"/>
  <c r="E25" i="49"/>
  <c r="E19" i="49"/>
  <c r="U289" i="38"/>
  <c r="U296" i="38"/>
  <c r="E295" i="7" s="1"/>
  <c r="F295" i="7" s="1"/>
  <c r="U35" i="38"/>
  <c r="E34" i="7" s="1"/>
  <c r="F34" i="7" s="1"/>
  <c r="U284" i="38"/>
  <c r="E283" i="7" s="1"/>
  <c r="F283" i="7" s="1"/>
  <c r="AC8" i="38"/>
  <c r="AR8" i="38"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I2" i="23"/>
  <c r="I33" i="23" s="1"/>
  <c r="H33" i="23" s="1"/>
  <c r="J2" i="23"/>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8" i="38"/>
  <c r="E7" i="7"/>
  <c r="F7"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U14"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B8" i="48"/>
  <c r="C6" i="7"/>
  <c r="AZ6" i="7"/>
  <c r="AU5" i="38"/>
  <c r="AU7" i="38"/>
  <c r="AF59" i="38" l="1"/>
  <c r="AR59" i="38"/>
  <c r="AF209" i="38"/>
  <c r="E208" i="7"/>
  <c r="F208" i="7" s="1"/>
  <c r="E176" i="7"/>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AF21" i="38"/>
  <c r="E46" i="50"/>
  <c r="E97" i="7"/>
  <c r="F97" i="7" s="1"/>
  <c r="E41" i="50"/>
  <c r="E47" i="50"/>
  <c r="E37" i="50"/>
  <c r="E36" i="50"/>
  <c r="E51" i="50"/>
  <c r="AF338" i="38"/>
  <c r="E20" i="7"/>
  <c r="F20" i="7" s="1"/>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M5" i="4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13"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E12" i="7"/>
  <c r="F12" i="7" s="1"/>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9" i="48"/>
  <c r="V8" i="4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R7" i="48"/>
  <c r="C7" i="48" s="1"/>
  <c r="AR230" i="38"/>
  <c r="J7" i="48"/>
  <c r="E268" i="7"/>
  <c r="F268" i="7" s="1"/>
  <c r="AF269" i="38"/>
  <c r="AR269" i="38"/>
  <c r="AF45" i="38"/>
  <c r="AR45" i="38"/>
  <c r="AR133" i="38"/>
  <c r="E132" i="7"/>
  <c r="F132" i="7" s="1"/>
  <c r="AF133" i="38"/>
  <c r="AF284" i="38"/>
  <c r="AF68" i="38"/>
  <c r="AF221" i="38"/>
  <c r="E220" i="7"/>
  <c r="F220" i="7" s="1"/>
  <c r="E67" i="7"/>
  <c r="F67" i="7" s="1"/>
  <c r="AR228" i="38"/>
  <c r="AF35" i="38"/>
  <c r="AQ7" i="38"/>
  <c r="E6" i="48"/>
  <c r="AF228" i="38"/>
  <c r="D7" i="48"/>
  <c r="AF145" i="38"/>
  <c r="E144" i="7"/>
  <c r="F144" i="7" s="1"/>
  <c r="AR145" i="38"/>
  <c r="AR35" i="38"/>
  <c r="E196" i="7"/>
  <c r="F196" i="7" s="1"/>
  <c r="AR197" i="38"/>
  <c r="AF197" i="38"/>
  <c r="AR282" i="38"/>
  <c r="E227" i="7"/>
  <c r="F227" i="7" s="1"/>
  <c r="AR320" i="38"/>
  <c r="Q7" i="48"/>
  <c r="AF229" i="38"/>
  <c r="E228" i="7"/>
  <c r="F228" i="7" s="1"/>
  <c r="AR229" i="38"/>
  <c r="Y7" i="38"/>
  <c r="N6" i="48" s="1"/>
  <c r="E281" i="7"/>
  <c r="F281" i="7" s="1"/>
  <c r="AR296" i="38"/>
  <c r="E319" i="7"/>
  <c r="F319" i="7" s="1"/>
  <c r="E291" i="7"/>
  <c r="F291" i="7" s="1"/>
  <c r="AP8" i="38"/>
  <c r="G7" i="48"/>
  <c r="L7" i="48"/>
  <c r="X7" i="48"/>
  <c r="E5" i="48"/>
  <c r="E27" i="49"/>
  <c r="AR292" i="38"/>
  <c r="E28" i="49"/>
  <c r="E288" i="7"/>
  <c r="F288" i="7" s="1"/>
  <c r="AF289" i="38"/>
  <c r="AR289" i="38"/>
  <c r="AR297" i="38"/>
  <c r="E296" i="7"/>
  <c r="F296" i="7" s="1"/>
  <c r="AF297" i="38"/>
  <c r="F7" i="48"/>
  <c r="I7" i="48"/>
  <c r="Y5" i="38"/>
  <c r="U5" i="38"/>
  <c r="B6" i="7"/>
  <c r="D6" i="7"/>
  <c r="D8" i="38"/>
  <c r="A7" i="7"/>
  <c r="A9" i="38"/>
  <c r="B8" i="38"/>
  <c r="A30" i="24"/>
  <c r="AJ8" i="38"/>
  <c r="AR257" i="38"/>
  <c r="AF257" i="38"/>
  <c r="E256" i="7"/>
  <c r="F256" i="7" s="1"/>
  <c r="L2" i="23"/>
  <c r="K2" i="23"/>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R14" i="38"/>
  <c r="AF14" i="38"/>
  <c r="E13" i="7"/>
  <c r="F13"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B9" i="48"/>
  <c r="C8" i="38"/>
  <c r="C7" i="7"/>
  <c r="C9" i="38"/>
  <c r="AZ7" i="7"/>
  <c r="AU8" i="38"/>
  <c r="F46" i="50" l="1"/>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G5" i="48"/>
  <c r="V9" i="48"/>
  <c r="A10" i="48"/>
  <c r="AQ8" i="38"/>
  <c r="X7" i="38"/>
  <c r="J7" i="38" s="1"/>
  <c r="E7" i="48"/>
  <c r="Q8" i="48"/>
  <c r="AH5" i="38"/>
  <c r="AA5" i="38"/>
  <c r="AI5" i="38"/>
  <c r="AG5" i="38"/>
  <c r="D9" i="38"/>
  <c r="B9" i="38"/>
  <c r="A31" i="24"/>
  <c r="A10" i="38"/>
  <c r="L9" i="48" s="1"/>
  <c r="A8" i="7"/>
  <c r="AJ9" i="38"/>
  <c r="I8" i="48"/>
  <c r="D8" i="48"/>
  <c r="H8" i="48"/>
  <c r="L8" i="48"/>
  <c r="F8" i="48"/>
  <c r="Q9" i="48"/>
  <c r="X8" i="48"/>
  <c r="X8" i="38"/>
  <c r="Y8" i="38"/>
  <c r="N7" i="48" s="1"/>
  <c r="B7" i="7"/>
  <c r="D7" i="7"/>
  <c r="AP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U9" i="38"/>
  <c r="AZ8" i="7"/>
  <c r="L7" i="38" l="1"/>
  <c r="M7" i="38" s="1"/>
  <c r="I6" i="48" s="1"/>
  <c r="T6" i="38"/>
  <c r="AC6" i="38" s="1"/>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D5" i="38"/>
  <c r="A38" i="48" s="1"/>
  <c r="W5" i="48" s="1"/>
  <c r="V10" i="48"/>
  <c r="A11" i="48"/>
  <c r="AQ9" i="38"/>
  <c r="I9" i="48"/>
  <c r="D9" i="48"/>
  <c r="H9" i="48"/>
  <c r="G6" i="48"/>
  <c r="M7" i="48"/>
  <c r="AH8" i="38"/>
  <c r="AA8" i="38"/>
  <c r="Z8" i="38"/>
  <c r="AS8" i="38" s="1"/>
  <c r="AI8" i="38"/>
  <c r="AG8" i="38"/>
  <c r="Y9" i="38"/>
  <c r="N8" i="48" s="1"/>
  <c r="X9" i="38"/>
  <c r="E8" i="48"/>
  <c r="B8" i="7"/>
  <c r="D8" i="7"/>
  <c r="AJ10" i="38"/>
  <c r="D10" i="38"/>
  <c r="AP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9" i="7"/>
  <c r="C10" i="38"/>
  <c r="B11" i="48"/>
  <c r="C11" i="38"/>
  <c r="AU10" i="38"/>
  <c r="AZ9" i="7"/>
  <c r="H48" i="50" l="1"/>
  <c r="R7" i="38"/>
  <c r="T7" i="38" s="1"/>
  <c r="AK6" i="38"/>
  <c r="D6" i="6" s="1"/>
  <c r="R5" i="48"/>
  <c r="C5" i="48" s="1"/>
  <c r="U6" i="38"/>
  <c r="AH6" i="38" s="1"/>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E9" i="48"/>
  <c r="A12" i="48"/>
  <c r="V11" i="48"/>
  <c r="P10" i="48"/>
  <c r="O10" i="48"/>
  <c r="AQ10" i="38"/>
  <c r="D11" i="38"/>
  <c r="AJ11" i="38"/>
  <c r="B11" i="38"/>
  <c r="AP11" i="38"/>
  <c r="A10" i="7"/>
  <c r="A33" i="24"/>
  <c r="A12" i="38"/>
  <c r="L10" i="48"/>
  <c r="G10" i="48"/>
  <c r="Q10" i="48"/>
  <c r="H10" i="48"/>
  <c r="I10" i="48"/>
  <c r="X10" i="48"/>
  <c r="R10" i="48"/>
  <c r="C10" i="48" s="1"/>
  <c r="F10" i="48"/>
  <c r="D10" i="48"/>
  <c r="J10" i="48"/>
  <c r="M8" i="48"/>
  <c r="E8" i="38"/>
  <c r="C5" i="23"/>
  <c r="B5" i="23" s="1"/>
  <c r="B9" i="7"/>
  <c r="D9" i="7"/>
  <c r="Y10" i="38"/>
  <c r="N9" i="48" s="1"/>
  <c r="X10" i="38"/>
  <c r="I10" i="38" s="1"/>
  <c r="J10" i="38" s="1"/>
  <c r="O7" i="48"/>
  <c r="S7" i="48"/>
  <c r="P7" i="48"/>
  <c r="T7" i="48"/>
  <c r="U7" i="4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B12" i="48"/>
  <c r="C10" i="7"/>
  <c r="C12" i="38"/>
  <c r="AU11" i="38"/>
  <c r="AZ10" i="7"/>
  <c r="I41" i="50" l="1"/>
  <c r="I56" i="50"/>
  <c r="U7" i="38"/>
  <c r="AI7" i="38" s="1"/>
  <c r="AA6" i="38"/>
  <c r="Z6" i="38"/>
  <c r="AS6" i="38" s="1"/>
  <c r="E6" i="38" s="1"/>
  <c r="AF6" i="38"/>
  <c r="AC7" i="38"/>
  <c r="AK7" i="38" s="1"/>
  <c r="D7" i="6" s="1"/>
  <c r="AR6" i="38"/>
  <c r="J5" i="48"/>
  <c r="T5" i="48" s="1"/>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T10" i="38" s="1"/>
  <c r="G9" i="48"/>
  <c r="AL11" i="38"/>
  <c r="R9" i="38"/>
  <c r="T9" i="38" s="1"/>
  <c r="G8" i="48"/>
  <c r="V12" i="48"/>
  <c r="A13" i="48"/>
  <c r="AQ11" i="38"/>
  <c r="E10" i="48"/>
  <c r="A13" i="38"/>
  <c r="AP12" i="38"/>
  <c r="A11" i="7"/>
  <c r="B12" i="38"/>
  <c r="A34" i="24"/>
  <c r="D12" i="38"/>
  <c r="AJ12" i="38"/>
  <c r="R11" i="48"/>
  <c r="C11" i="48" s="1"/>
  <c r="H11" i="48"/>
  <c r="I11" i="48"/>
  <c r="F11" i="48"/>
  <c r="L11" i="48"/>
  <c r="J11" i="48"/>
  <c r="D11" i="48"/>
  <c r="G11" i="48"/>
  <c r="X11" i="48"/>
  <c r="Q11" i="48"/>
  <c r="B10" i="7"/>
  <c r="D10" i="7"/>
  <c r="M9" i="48"/>
  <c r="Y11" i="38"/>
  <c r="N10" i="48" s="1"/>
  <c r="X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3" i="38"/>
  <c r="B13" i="48"/>
  <c r="C11" i="7"/>
  <c r="AU12" i="38"/>
  <c r="AZ11" i="7"/>
  <c r="AH7" i="38" l="1"/>
  <c r="C3" i="23"/>
  <c r="B3" i="23" s="1"/>
  <c r="AK8" i="38"/>
  <c r="D5" i="6" s="1"/>
  <c r="AG7" i="38"/>
  <c r="AF7" i="38"/>
  <c r="Z7" i="38"/>
  <c r="AS7" i="38" s="1"/>
  <c r="E6" i="7"/>
  <c r="F6" i="7" s="1"/>
  <c r="AD6" i="38"/>
  <c r="J6" i="48"/>
  <c r="T6" i="48" s="1"/>
  <c r="AA7" i="38"/>
  <c r="B6" i="6"/>
  <c r="J56" i="50"/>
  <c r="J46" i="50"/>
  <c r="S5" i="48"/>
  <c r="R6" i="48"/>
  <c r="C6" i="48" s="1"/>
  <c r="AR7" i="38"/>
  <c r="U5" i="48"/>
  <c r="K34" i="50"/>
  <c r="K42" i="50" s="1"/>
  <c r="J36" i="50"/>
  <c r="J50" i="50"/>
  <c r="J54" i="50"/>
  <c r="J35" i="50"/>
  <c r="J48" i="50"/>
  <c r="J47" i="50"/>
  <c r="J38" i="50"/>
  <c r="J37" i="50"/>
  <c r="J53" i="50"/>
  <c r="J52" i="50"/>
  <c r="J51" i="50"/>
  <c r="J55" i="50"/>
  <c r="J44" i="50"/>
  <c r="J39" i="50"/>
  <c r="J43" i="50"/>
  <c r="J40" i="50"/>
  <c r="J42" i="50"/>
  <c r="J49" i="50"/>
  <c r="J45" i="50"/>
  <c r="I58" i="50"/>
  <c r="I59" i="50" s="1"/>
  <c r="AL12" i="38"/>
  <c r="U9" i="38"/>
  <c r="E8" i="7" s="1"/>
  <c r="F8" i="7" s="1"/>
  <c r="AC10" i="38"/>
  <c r="R9" i="48" s="1"/>
  <c r="C9" i="48" s="1"/>
  <c r="U10" i="38"/>
  <c r="AC9" i="38"/>
  <c r="A14" i="48"/>
  <c r="V13" i="48"/>
  <c r="AQ12" i="38"/>
  <c r="E11" i="48"/>
  <c r="X12" i="38"/>
  <c r="Y12" i="38"/>
  <c r="N11" i="48" s="1"/>
  <c r="B11" i="7"/>
  <c r="D11" i="7"/>
  <c r="AP13" i="38"/>
  <c r="A12" i="7"/>
  <c r="B13" i="38"/>
  <c r="AJ13" i="38"/>
  <c r="D13" i="38"/>
  <c r="A14" i="38"/>
  <c r="A35" i="24"/>
  <c r="J12" i="48"/>
  <c r="I12" i="48"/>
  <c r="D12" i="48"/>
  <c r="F12" i="48"/>
  <c r="X12" i="48"/>
  <c r="G12" i="48"/>
  <c r="H12" i="48"/>
  <c r="R12" i="48"/>
  <c r="C12" i="48" s="1"/>
  <c r="L12" i="48"/>
  <c r="Q12" i="48"/>
  <c r="AG11" i="38"/>
  <c r="AA11" i="38"/>
  <c r="AH11" i="38"/>
  <c r="AI11" i="38"/>
  <c r="Z11" i="38"/>
  <c r="AS11" i="38" s="1"/>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4" i="38"/>
  <c r="B14" i="48"/>
  <c r="C12" i="7"/>
  <c r="AU13" i="38"/>
  <c r="AZ12" i="7"/>
  <c r="O6" i="48" l="1"/>
  <c r="W6" i="48" s="1"/>
  <c r="W7" i="48" s="1"/>
  <c r="K54" i="50"/>
  <c r="K35" i="50"/>
  <c r="D8" i="6"/>
  <c r="K44" i="50"/>
  <c r="K38" i="50"/>
  <c r="K48" i="50"/>
  <c r="K53" i="50"/>
  <c r="AD7" i="38"/>
  <c r="AD8" i="38" s="1"/>
  <c r="K50" i="50"/>
  <c r="K55" i="50"/>
  <c r="K43" i="50"/>
  <c r="K56" i="50"/>
  <c r="K45" i="50"/>
  <c r="L34" i="50"/>
  <c r="L37" i="50" s="1"/>
  <c r="B7" i="6"/>
  <c r="B8" i="6" s="1"/>
  <c r="P6" i="48"/>
  <c r="S6" i="48"/>
  <c r="U6" i="48"/>
  <c r="K36" i="50"/>
  <c r="K49" i="50"/>
  <c r="K46" i="50"/>
  <c r="K39" i="50"/>
  <c r="K52" i="50"/>
  <c r="K40" i="50"/>
  <c r="K37" i="50"/>
  <c r="K41" i="50"/>
  <c r="K47" i="50"/>
  <c r="K51" i="50"/>
  <c r="J58" i="50"/>
  <c r="J59" i="50" s="1"/>
  <c r="AL13" i="38"/>
  <c r="AI9" i="38"/>
  <c r="AF9" i="38"/>
  <c r="AA9" i="38"/>
  <c r="Z9" i="38"/>
  <c r="AS9" i="38" s="1"/>
  <c r="E9" i="38" s="1"/>
  <c r="J8" i="48"/>
  <c r="S8" i="48" s="1"/>
  <c r="AH9" i="38"/>
  <c r="AG9" i="38"/>
  <c r="AK12" i="38"/>
  <c r="D12" i="6" s="1"/>
  <c r="AK11" i="38"/>
  <c r="D11" i="6" s="1"/>
  <c r="AF10" i="38"/>
  <c r="AR10" i="38"/>
  <c r="E9" i="7"/>
  <c r="F9" i="7" s="1"/>
  <c r="J9" i="48"/>
  <c r="AH10" i="38"/>
  <c r="AG10" i="38"/>
  <c r="AI10" i="38"/>
  <c r="AA10" i="38"/>
  <c r="Z10" i="38"/>
  <c r="AK14" i="38"/>
  <c r="D14" i="6" s="1"/>
  <c r="AR9" i="38"/>
  <c r="AK13" i="38"/>
  <c r="D13" i="6" s="1"/>
  <c r="R8" i="48"/>
  <c r="C8" i="48" s="1"/>
  <c r="AK10" i="38"/>
  <c r="D10" i="6" s="1"/>
  <c r="AK9" i="38"/>
  <c r="D9" i="6" s="1"/>
  <c r="A15" i="48"/>
  <c r="V14" i="48"/>
  <c r="C4" i="23"/>
  <c r="B4" i="23" s="1"/>
  <c r="E7" i="38"/>
  <c r="E12" i="48"/>
  <c r="E11" i="38"/>
  <c r="C8" i="23"/>
  <c r="B8" i="23" s="1"/>
  <c r="A13" i="7"/>
  <c r="D14" i="38"/>
  <c r="B14" i="38"/>
  <c r="A15" i="38"/>
  <c r="A36" i="24"/>
  <c r="AJ14" i="38"/>
  <c r="AP14" i="38"/>
  <c r="G13" i="48"/>
  <c r="R13" i="48"/>
  <c r="C13" i="48" s="1"/>
  <c r="D13" i="48"/>
  <c r="H13" i="48"/>
  <c r="I13" i="48"/>
  <c r="Q13" i="48"/>
  <c r="X13" i="48"/>
  <c r="J13" i="48"/>
  <c r="F13" i="48"/>
  <c r="L13" i="48"/>
  <c r="B12" i="7"/>
  <c r="D12" i="7"/>
  <c r="AQ13" i="38"/>
  <c r="X13" i="38"/>
  <c r="Y13" i="38"/>
  <c r="N12" i="48" s="1"/>
  <c r="T10" i="48"/>
  <c r="S10" i="48"/>
  <c r="U10" i="48"/>
  <c r="AA12" i="38"/>
  <c r="AG12" i="38"/>
  <c r="Z12" i="38"/>
  <c r="AI12" i="38"/>
  <c r="AH12" i="38"/>
  <c r="M11"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B15" i="48"/>
  <c r="C15" i="38"/>
  <c r="C13" i="7"/>
  <c r="AU14" i="38"/>
  <c r="AZ13" i="7"/>
  <c r="L38" i="50" l="1"/>
  <c r="L40" i="50"/>
  <c r="L48" i="50"/>
  <c r="L35" i="50"/>
  <c r="L43" i="50"/>
  <c r="L44" i="50"/>
  <c r="L47" i="50"/>
  <c r="L56" i="50"/>
  <c r="L54" i="50"/>
  <c r="L36" i="50"/>
  <c r="L50" i="50"/>
  <c r="L39" i="50"/>
  <c r="L53" i="50"/>
  <c r="L45" i="50"/>
  <c r="L42" i="50"/>
  <c r="L52" i="50"/>
  <c r="L46" i="50"/>
  <c r="L49" i="50"/>
  <c r="L55" i="50"/>
  <c r="M34" i="50"/>
  <c r="M56" i="50" s="1"/>
  <c r="L41" i="50"/>
  <c r="L51" i="50"/>
  <c r="AD9" i="38"/>
  <c r="AD10" i="38" s="1"/>
  <c r="B9" i="6"/>
  <c r="B10" i="6" s="1"/>
  <c r="B11" i="6" s="1"/>
  <c r="B12" i="6" s="1"/>
  <c r="K58" i="50"/>
  <c r="K59" i="50" s="1"/>
  <c r="AL14" i="38"/>
  <c r="O8" i="48"/>
  <c r="W8" i="48" s="1"/>
  <c r="P8" i="48"/>
  <c r="T8" i="48"/>
  <c r="U8" i="48"/>
  <c r="C6" i="23"/>
  <c r="B6" i="23" s="1"/>
  <c r="AS10" i="38"/>
  <c r="E10" i="38" s="1"/>
  <c r="U9" i="48"/>
  <c r="T9" i="48"/>
  <c r="O9" i="48"/>
  <c r="P9" i="48"/>
  <c r="S9" i="48"/>
  <c r="A16" i="48"/>
  <c r="V15" i="48"/>
  <c r="AQ14" i="38"/>
  <c r="O11" i="48"/>
  <c r="S11" i="48"/>
  <c r="U11" i="48"/>
  <c r="P11" i="48"/>
  <c r="T11" i="48"/>
  <c r="AG13" i="38"/>
  <c r="AA13" i="38"/>
  <c r="Z13" i="38"/>
  <c r="AS13" i="38" s="1"/>
  <c r="AI13" i="38"/>
  <c r="AH13" i="38"/>
  <c r="M12" i="48"/>
  <c r="X14" i="38"/>
  <c r="Y14" i="38"/>
  <c r="N13" i="48" s="1"/>
  <c r="B13" i="7"/>
  <c r="D13" i="7"/>
  <c r="AP15" i="38"/>
  <c r="AJ15" i="38"/>
  <c r="A37" i="24"/>
  <c r="D15" i="38"/>
  <c r="A16" i="38"/>
  <c r="A14" i="7"/>
  <c r="B15" i="38"/>
  <c r="F14" i="48"/>
  <c r="L14" i="48"/>
  <c r="D14" i="48"/>
  <c r="X14" i="48"/>
  <c r="H14" i="48"/>
  <c r="I14" i="48"/>
  <c r="Q14" i="48"/>
  <c r="R29" i="50"/>
  <c r="R30" i="50" s="1"/>
  <c r="AS12" i="38"/>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B16" i="48"/>
  <c r="C14" i="7"/>
  <c r="C16" i="38"/>
  <c r="AU15" i="38"/>
  <c r="AZ14" i="7"/>
  <c r="M36" i="50" l="1"/>
  <c r="M45" i="50"/>
  <c r="M53" i="50"/>
  <c r="M54" i="50"/>
  <c r="M50" i="50"/>
  <c r="M46" i="50"/>
  <c r="M42" i="50"/>
  <c r="M40" i="50"/>
  <c r="M35" i="50"/>
  <c r="M44" i="50"/>
  <c r="M52" i="50"/>
  <c r="M38" i="50"/>
  <c r="M43" i="50"/>
  <c r="M41" i="50"/>
  <c r="M55" i="50"/>
  <c r="M48" i="50"/>
  <c r="M47" i="50"/>
  <c r="L58" i="50"/>
  <c r="L59" i="50" s="1"/>
  <c r="M37" i="50"/>
  <c r="M49" i="50"/>
  <c r="M51" i="50"/>
  <c r="N34" i="50"/>
  <c r="N39" i="50" s="1"/>
  <c r="M39" i="50"/>
  <c r="AD11" i="38"/>
  <c r="AD12" i="38" s="1"/>
  <c r="AL15" i="38"/>
  <c r="W9" i="48"/>
  <c r="W10" i="48" s="1"/>
  <c r="W11" i="48" s="1"/>
  <c r="C7" i="23"/>
  <c r="B7" i="23" s="1"/>
  <c r="AD13" i="38"/>
  <c r="V16" i="48"/>
  <c r="A17" i="48"/>
  <c r="B13" i="6"/>
  <c r="E14" i="48"/>
  <c r="Y15" i="38"/>
  <c r="N14" i="48" s="1"/>
  <c r="X15" i="38"/>
  <c r="I15" i="38" s="1"/>
  <c r="J15" i="38" s="1"/>
  <c r="E12" i="38"/>
  <c r="C9" i="23"/>
  <c r="B9" i="23" s="1"/>
  <c r="O12" i="48"/>
  <c r="S12" i="48"/>
  <c r="T12" i="48"/>
  <c r="P12" i="48"/>
  <c r="U12" i="48"/>
  <c r="D14" i="7"/>
  <c r="B14" i="7"/>
  <c r="AP16" i="38"/>
  <c r="A38" i="24"/>
  <c r="B16" i="38"/>
  <c r="A15" i="7"/>
  <c r="D16" i="38"/>
  <c r="A17" i="38"/>
  <c r="AJ16" i="38"/>
  <c r="R15" i="48"/>
  <c r="C15" i="48" s="1"/>
  <c r="F15" i="48"/>
  <c r="L15" i="48"/>
  <c r="H15" i="48"/>
  <c r="Q15" i="48"/>
  <c r="G15" i="48"/>
  <c r="X15" i="48"/>
  <c r="J15" i="48"/>
  <c r="I15" i="48"/>
  <c r="D15" i="48"/>
  <c r="Z14" i="38"/>
  <c r="AI14" i="38"/>
  <c r="AH14" i="38"/>
  <c r="AG14" i="38"/>
  <c r="AA14" i="38"/>
  <c r="M13" i="48"/>
  <c r="C10" i="23"/>
  <c r="B10" i="23" s="1"/>
  <c r="E13" i="3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7" i="38"/>
  <c r="B17" i="48"/>
  <c r="C15" i="7"/>
  <c r="AZ15" i="7"/>
  <c r="AU16" i="38"/>
  <c r="N37" i="50" l="1"/>
  <c r="N49" i="50"/>
  <c r="N40" i="50"/>
  <c r="N46" i="50"/>
  <c r="N35" i="50"/>
  <c r="N36" i="50"/>
  <c r="N48" i="50"/>
  <c r="N42" i="50"/>
  <c r="N47" i="50"/>
  <c r="N45" i="50"/>
  <c r="N56" i="50"/>
  <c r="N44" i="50"/>
  <c r="N50" i="50"/>
  <c r="N43" i="50"/>
  <c r="N54" i="50"/>
  <c r="O34" i="50"/>
  <c r="O54" i="50" s="1"/>
  <c r="N38" i="50"/>
  <c r="M58" i="50"/>
  <c r="M59" i="50" s="1"/>
  <c r="N53" i="50"/>
  <c r="N41" i="50"/>
  <c r="N55" i="50"/>
  <c r="N52" i="50"/>
  <c r="N51" i="50"/>
  <c r="AL16" i="38"/>
  <c r="W12" i="48"/>
  <c r="E15" i="48"/>
  <c r="R15" i="38"/>
  <c r="G14" i="48"/>
  <c r="AD14" i="38"/>
  <c r="A18" i="48"/>
  <c r="V17" i="48"/>
  <c r="O46" i="50"/>
  <c r="AQ16" i="38"/>
  <c r="X16" i="38"/>
  <c r="Y16" i="38"/>
  <c r="N15" i="48" s="1"/>
  <c r="B15" i="7"/>
  <c r="D15" i="7"/>
  <c r="B14" i="6"/>
  <c r="AS14" i="38"/>
  <c r="M14" i="48"/>
  <c r="U13" i="48"/>
  <c r="O13" i="48"/>
  <c r="P13" i="48"/>
  <c r="T13" i="48"/>
  <c r="S13" i="48"/>
  <c r="A16" i="7"/>
  <c r="A18" i="38"/>
  <c r="B17" i="38"/>
  <c r="A39" i="24"/>
  <c r="AJ17" i="38"/>
  <c r="AP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6" i="7"/>
  <c r="B18" i="48"/>
  <c r="C18" i="38"/>
  <c r="AZ16" i="7"/>
  <c r="AU17" i="38"/>
  <c r="O43" i="50" l="1"/>
  <c r="O53" i="50"/>
  <c r="O41" i="50"/>
  <c r="O50" i="50"/>
  <c r="O39" i="50"/>
  <c r="O42" i="50"/>
  <c r="O40" i="50"/>
  <c r="P34" i="50"/>
  <c r="P44" i="50" s="1"/>
  <c r="O35" i="50"/>
  <c r="O44" i="50"/>
  <c r="O48" i="50"/>
  <c r="O45" i="50"/>
  <c r="O55" i="50"/>
  <c r="O52" i="50"/>
  <c r="O51" i="50"/>
  <c r="O38" i="50"/>
  <c r="O47" i="50"/>
  <c r="O36" i="50"/>
  <c r="O49" i="50"/>
  <c r="O56" i="50"/>
  <c r="O37" i="50"/>
  <c r="N58" i="50"/>
  <c r="N59" i="50" s="1"/>
  <c r="T15" i="38"/>
  <c r="AC15" i="38" s="1"/>
  <c r="AL17" i="38"/>
  <c r="W13" i="48"/>
  <c r="V18" i="48"/>
  <c r="A19" i="48"/>
  <c r="I17" i="48"/>
  <c r="AQ17" i="38"/>
  <c r="D16" i="7"/>
  <c r="B16" i="7"/>
  <c r="Y17" i="38"/>
  <c r="N16" i="48" s="1"/>
  <c r="A17" i="7"/>
  <c r="AP18" i="38"/>
  <c r="AJ18" i="38"/>
  <c r="D18" i="38"/>
  <c r="A40" i="24"/>
  <c r="B18" i="38"/>
  <c r="A19" i="38"/>
  <c r="X17" i="48"/>
  <c r="D17" i="48"/>
  <c r="L17" i="48"/>
  <c r="H17" i="48"/>
  <c r="C11" i="23"/>
  <c r="B11" i="23" s="1"/>
  <c r="E14" i="38"/>
  <c r="F17" i="48"/>
  <c r="AG16" i="38"/>
  <c r="AH16" i="38"/>
  <c r="AI16" i="38"/>
  <c r="AA16" i="38"/>
  <c r="Z16" i="38"/>
  <c r="AS16" i="38" s="1"/>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C17" i="7"/>
  <c r="C19" i="38"/>
  <c r="B19" i="48"/>
  <c r="AZ17" i="7"/>
  <c r="AU18" i="38"/>
  <c r="P51" i="50" l="1"/>
  <c r="P35" i="50"/>
  <c r="P39" i="50"/>
  <c r="P36" i="50"/>
  <c r="Q34" i="50"/>
  <c r="R34" i="50" s="1"/>
  <c r="P56" i="50"/>
  <c r="O58" i="50"/>
  <c r="O59" i="50" s="1"/>
  <c r="P46" i="50"/>
  <c r="P53" i="50"/>
  <c r="P37" i="50"/>
  <c r="P47" i="50"/>
  <c r="P52" i="50"/>
  <c r="P41" i="50"/>
  <c r="P54" i="50"/>
  <c r="P40" i="50"/>
  <c r="P55" i="50"/>
  <c r="P49" i="50"/>
  <c r="P38" i="50"/>
  <c r="P43" i="50"/>
  <c r="P45" i="50"/>
  <c r="P48" i="50"/>
  <c r="P42" i="50"/>
  <c r="P50" i="50"/>
  <c r="U15" i="38"/>
  <c r="E14" i="7" s="1"/>
  <c r="F14" i="7" s="1"/>
  <c r="AK16" i="38"/>
  <c r="D16" i="6" s="1"/>
  <c r="AK15" i="38"/>
  <c r="D15" i="6" s="1"/>
  <c r="R14" i="48"/>
  <c r="C14" i="48" s="1"/>
  <c r="AL18" i="38"/>
  <c r="X17" i="38"/>
  <c r="A20" i="48"/>
  <c r="V19" i="48"/>
  <c r="AQ18" i="38"/>
  <c r="E17" i="48"/>
  <c r="A41" i="24"/>
  <c r="D19" i="38"/>
  <c r="A18" i="7"/>
  <c r="B19" i="38"/>
  <c r="A20" i="38"/>
  <c r="F19" i="48" s="1"/>
  <c r="AP19" i="38"/>
  <c r="AJ19" i="38"/>
  <c r="H18" i="48"/>
  <c r="G19" i="48"/>
  <c r="Q18" i="48"/>
  <c r="I18" i="48"/>
  <c r="L18" i="48"/>
  <c r="D18" i="48"/>
  <c r="F18" i="48"/>
  <c r="X18" i="48"/>
  <c r="Y18" i="38"/>
  <c r="N17" i="48" s="1"/>
  <c r="E16" i="38"/>
  <c r="C13" i="23"/>
  <c r="B13" i="23" s="1"/>
  <c r="D17" i="7"/>
  <c r="B17" i="7"/>
  <c r="S15" i="48"/>
  <c r="P15" i="48"/>
  <c r="T15" i="48"/>
  <c r="U15" i="48"/>
  <c r="O15" i="48"/>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B20" i="48"/>
  <c r="C18" i="7"/>
  <c r="AZ18" i="7"/>
  <c r="AU19" i="38"/>
  <c r="Q42" i="50" l="1"/>
  <c r="Q35" i="50"/>
  <c r="Q40" i="50"/>
  <c r="Q45" i="50"/>
  <c r="Q48" i="50"/>
  <c r="Q39" i="50"/>
  <c r="Q54" i="50"/>
  <c r="Q38" i="50"/>
  <c r="Z15" i="38"/>
  <c r="B15" i="6" s="1"/>
  <c r="B16" i="6" s="1"/>
  <c r="AH15" i="38"/>
  <c r="Q56" i="50"/>
  <c r="Q52" i="50"/>
  <c r="Q44" i="50"/>
  <c r="Q37" i="50"/>
  <c r="Q47" i="50"/>
  <c r="Q43" i="50"/>
  <c r="Q53" i="50"/>
  <c r="Q50" i="50"/>
  <c r="Q36" i="50"/>
  <c r="Q41" i="50"/>
  <c r="Q51" i="50"/>
  <c r="Q49" i="50"/>
  <c r="Q55" i="50"/>
  <c r="Q46" i="50"/>
  <c r="P58" i="50"/>
  <c r="P59" i="50" s="1"/>
  <c r="J14" i="48"/>
  <c r="P14" i="48" s="1"/>
  <c r="AA15" i="38"/>
  <c r="AR15" i="38"/>
  <c r="AG15" i="38"/>
  <c r="AF15" i="38"/>
  <c r="AI15" i="38"/>
  <c r="X18" i="38"/>
  <c r="M17" i="48" s="1"/>
  <c r="J18" i="38"/>
  <c r="I19" i="48"/>
  <c r="AL19" i="38"/>
  <c r="J17" i="38"/>
  <c r="M16" i="48"/>
  <c r="AD15" i="38"/>
  <c r="AD16" i="38" s="1"/>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Q19" i="38"/>
  <c r="A19" i="7"/>
  <c r="AJ20" i="38"/>
  <c r="B20" i="38"/>
  <c r="A21" i="38"/>
  <c r="A42" i="24"/>
  <c r="AP20" i="38"/>
  <c r="D20" i="38"/>
  <c r="Q19" i="48"/>
  <c r="X19" i="48"/>
  <c r="D19" i="48"/>
  <c r="E19" i="48" s="1"/>
  <c r="J19" i="48"/>
  <c r="L19" i="48"/>
  <c r="R19" i="48"/>
  <c r="C19" i="48" s="1"/>
  <c r="E18" i="48"/>
  <c r="Y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19" i="7"/>
  <c r="C20" i="38"/>
  <c r="C21" i="38"/>
  <c r="B21" i="48"/>
  <c r="AU20" i="38"/>
  <c r="AZ19" i="7"/>
  <c r="T14" i="48" l="1"/>
  <c r="U14" i="48"/>
  <c r="S14" i="48"/>
  <c r="AS15" i="38"/>
  <c r="C12" i="23" s="1"/>
  <c r="B12" i="23" s="1"/>
  <c r="Q58" i="50"/>
  <c r="Q59" i="50" s="1"/>
  <c r="O14" i="48"/>
  <c r="W14" i="48" s="1"/>
  <c r="W15" i="48" s="1"/>
  <c r="X19" i="38"/>
  <c r="J19" i="38" s="1"/>
  <c r="R17" i="38"/>
  <c r="T17" i="38" s="1"/>
  <c r="G16" i="48"/>
  <c r="R18" i="38"/>
  <c r="T18" i="38" s="1"/>
  <c r="G17" i="48"/>
  <c r="AL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G20" i="48"/>
  <c r="F20" i="48"/>
  <c r="I20" i="48"/>
  <c r="H20" i="48"/>
  <c r="Q20" i="48"/>
  <c r="L20" i="48"/>
  <c r="D20" i="48"/>
  <c r="R20" i="48"/>
  <c r="C20" i="48" s="1"/>
  <c r="J20" i="48"/>
  <c r="X20" i="48"/>
  <c r="X20" i="38"/>
  <c r="Y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B22" i="48"/>
  <c r="C22" i="38"/>
  <c r="C20" i="7"/>
  <c r="AU21" i="38"/>
  <c r="AZ20" i="7"/>
  <c r="E15" i="38" l="1"/>
  <c r="G18" i="48"/>
  <c r="R19" i="38"/>
  <c r="T19" i="38" s="1"/>
  <c r="M18" i="48"/>
  <c r="AC18" i="38"/>
  <c r="R17" i="48" s="1"/>
  <c r="C17" i="48" s="1"/>
  <c r="U17" i="38"/>
  <c r="Z17" i="38" s="1"/>
  <c r="B17" i="6" s="1"/>
  <c r="AC17" i="38"/>
  <c r="AL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Q21" i="38"/>
  <c r="E20" i="48"/>
  <c r="Y21" i="38"/>
  <c r="N20" i="48" s="1"/>
  <c r="X21" i="38"/>
  <c r="Z20" i="38"/>
  <c r="AS20" i="38" s="1"/>
  <c r="E20" i="38" s="1"/>
  <c r="AG20" i="38"/>
  <c r="AA20" i="38"/>
  <c r="AI20" i="38"/>
  <c r="AH20" i="38"/>
  <c r="M19" i="48"/>
  <c r="D20" i="7"/>
  <c r="B20" i="7"/>
  <c r="A44" i="24"/>
  <c r="AJ22" i="38"/>
  <c r="D22" i="38"/>
  <c r="AP22" i="38"/>
  <c r="B22" i="38"/>
  <c r="A23" i="38"/>
  <c r="A21" i="7"/>
  <c r="H21" i="48"/>
  <c r="J21" i="48"/>
  <c r="X21" i="48"/>
  <c r="Q21" i="48"/>
  <c r="F21" i="48"/>
  <c r="G21" i="48"/>
  <c r="L21" i="48"/>
  <c r="I21" i="48"/>
  <c r="D21" i="48"/>
  <c r="R21" i="48"/>
  <c r="C21" i="48" s="1"/>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B23" i="48"/>
  <c r="C21" i="7"/>
  <c r="C23" i="38"/>
  <c r="AU22" i="38"/>
  <c r="AZ21" i="7"/>
  <c r="J16" i="48" l="1"/>
  <c r="U16" i="48" s="1"/>
  <c r="AC19" i="38"/>
  <c r="R18" i="48" s="1"/>
  <c r="C18" i="48" s="1"/>
  <c r="U19" i="38"/>
  <c r="AF19" i="38" s="1"/>
  <c r="AF17" i="38"/>
  <c r="AI17" i="38"/>
  <c r="AD17" i="38"/>
  <c r="U18" i="38"/>
  <c r="E17" i="7" s="1"/>
  <c r="F17" i="7" s="1"/>
  <c r="AA17" i="38"/>
  <c r="AH17" i="38"/>
  <c r="AG17" i="38"/>
  <c r="E16" i="7"/>
  <c r="F16" i="7" s="1"/>
  <c r="AK18" i="38"/>
  <c r="D18" i="6" s="1"/>
  <c r="AS17" i="38"/>
  <c r="E17" i="38" s="1"/>
  <c r="AK17" i="38"/>
  <c r="D17" i="6" s="1"/>
  <c r="R16" i="48"/>
  <c r="C16" i="48" s="1"/>
  <c r="AR17" i="38"/>
  <c r="AL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Z21" i="38"/>
  <c r="AS21" i="38" s="1"/>
  <c r="E21" i="38" s="1"/>
  <c r="AI21" i="38"/>
  <c r="AG21" i="38"/>
  <c r="AH21" i="38"/>
  <c r="AA21" i="38"/>
  <c r="M20" i="48"/>
  <c r="B23" i="38"/>
  <c r="AP23" i="38"/>
  <c r="A45" i="24"/>
  <c r="AJ23" i="38"/>
  <c r="D23" i="38"/>
  <c r="A24" i="38"/>
  <c r="A22" i="7"/>
  <c r="L22" i="48"/>
  <c r="Q22" i="48"/>
  <c r="J22" i="48"/>
  <c r="F22" i="48"/>
  <c r="G22" i="48"/>
  <c r="R22" i="48"/>
  <c r="C22" i="48" s="1"/>
  <c r="I22" i="48"/>
  <c r="H22" i="48"/>
  <c r="X22" i="48"/>
  <c r="D22" i="48"/>
  <c r="X22" i="38"/>
  <c r="Y22" i="38"/>
  <c r="N21" i="48" s="1"/>
  <c r="U19" i="48"/>
  <c r="P19" i="48"/>
  <c r="T19" i="48"/>
  <c r="S19" i="48"/>
  <c r="O19" i="4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4" i="38"/>
  <c r="B24" i="48"/>
  <c r="C22" i="7"/>
  <c r="AZ22" i="7"/>
  <c r="AU23" i="38"/>
  <c r="P16" i="48" l="1"/>
  <c r="T16" i="48"/>
  <c r="AK20" i="38"/>
  <c r="D20" i="6" s="1"/>
  <c r="S16" i="48"/>
  <c r="O16" i="48"/>
  <c r="W16" i="48" s="1"/>
  <c r="E18" i="7"/>
  <c r="F18" i="7" s="1"/>
  <c r="Z19" i="38"/>
  <c r="AS19" i="38" s="1"/>
  <c r="E19" i="38" s="1"/>
  <c r="AK23" i="38"/>
  <c r="D23" i="6" s="1"/>
  <c r="AG19" i="38"/>
  <c r="AH19" i="38"/>
  <c r="AI19" i="38"/>
  <c r="J18" i="48"/>
  <c r="T18" i="48" s="1"/>
  <c r="AK21" i="38"/>
  <c r="D21" i="6" s="1"/>
  <c r="AK19" i="38"/>
  <c r="D19" i="6" s="1"/>
  <c r="AK22" i="38"/>
  <c r="D22" i="6" s="1"/>
  <c r="AA19" i="38"/>
  <c r="AR19" i="38"/>
  <c r="AH18" i="38"/>
  <c r="AI18" i="38"/>
  <c r="AA18" i="38"/>
  <c r="Z18" i="38"/>
  <c r="AS18" i="38" s="1"/>
  <c r="C15" i="23" s="1"/>
  <c r="B15" i="23" s="1"/>
  <c r="J17" i="48"/>
  <c r="T17" i="48" s="1"/>
  <c r="AG18" i="38"/>
  <c r="AR18" i="38"/>
  <c r="AF18" i="38"/>
  <c r="C14" i="23"/>
  <c r="B14" i="23" s="1"/>
  <c r="C16" i="23"/>
  <c r="B16" i="23" s="1"/>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T20" i="48"/>
  <c r="O20" i="48"/>
  <c r="S20" i="48"/>
  <c r="P20" i="48"/>
  <c r="U20" i="48"/>
  <c r="A25" i="38"/>
  <c r="A23" i="7"/>
  <c r="D24" i="38"/>
  <c r="AJ24" i="38"/>
  <c r="B24" i="38"/>
  <c r="AP24" i="38"/>
  <c r="A46" i="24"/>
  <c r="H23" i="48"/>
  <c r="F23" i="48"/>
  <c r="I23" i="48"/>
  <c r="L23" i="48"/>
  <c r="Q23" i="48"/>
  <c r="D23" i="48"/>
  <c r="X23" i="48"/>
  <c r="AH22" i="38"/>
  <c r="AG22" i="38"/>
  <c r="AI22" i="38"/>
  <c r="AA22" i="38"/>
  <c r="Z22" i="38"/>
  <c r="AS22" i="38" s="1"/>
  <c r="E22" i="38" s="1"/>
  <c r="M21" i="48"/>
  <c r="E22" i="48"/>
  <c r="AQ23" i="38"/>
  <c r="Y23" i="38"/>
  <c r="N22" i="48" s="1"/>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5" i="38"/>
  <c r="B25" i="48"/>
  <c r="C23" i="7"/>
  <c r="AZ23" i="7"/>
  <c r="AU24" i="38"/>
  <c r="P18" i="48" l="1"/>
  <c r="S18" i="48"/>
  <c r="U18" i="48"/>
  <c r="O18" i="48"/>
  <c r="O17" i="48"/>
  <c r="W17" i="48" s="1"/>
  <c r="B18" i="6"/>
  <c r="B19" i="6" s="1"/>
  <c r="B20" i="6" s="1"/>
  <c r="B21" i="6" s="1"/>
  <c r="B22" i="6" s="1"/>
  <c r="E18" i="38"/>
  <c r="AD18" i="38"/>
  <c r="AD19" i="38" s="1"/>
  <c r="S17" i="48"/>
  <c r="P17" i="48"/>
  <c r="U17" i="48"/>
  <c r="AL24" i="38"/>
  <c r="AD20"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X24" i="38"/>
  <c r="J24" i="38" s="1"/>
  <c r="Y24" i="38"/>
  <c r="N23" i="48" s="1"/>
  <c r="Z23" i="38"/>
  <c r="AS23" i="38" s="1"/>
  <c r="E23" i="38" s="1"/>
  <c r="AI23" i="38"/>
  <c r="AG23" i="38"/>
  <c r="AH23" i="38"/>
  <c r="AA23" i="38"/>
  <c r="M22" i="48"/>
  <c r="O21" i="48"/>
  <c r="U21" i="48"/>
  <c r="T21" i="48"/>
  <c r="P21" i="48"/>
  <c r="S21" i="48"/>
  <c r="B23" i="7"/>
  <c r="D23" i="7"/>
  <c r="AQ24" i="38"/>
  <c r="A26" i="38"/>
  <c r="B25" i="38"/>
  <c r="AJ25" i="38"/>
  <c r="D25" i="38"/>
  <c r="A47" i="24"/>
  <c r="AP25" i="38"/>
  <c r="A24" i="7"/>
  <c r="I24" i="48"/>
  <c r="G24" i="48"/>
  <c r="H24" i="48"/>
  <c r="Q24" i="48"/>
  <c r="R24" i="48"/>
  <c r="C24" i="48" s="1"/>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6" i="38"/>
  <c r="B26" i="48"/>
  <c r="C24" i="7"/>
  <c r="AZ24" i="7"/>
  <c r="AU25" i="38"/>
  <c r="W18" i="48" l="1"/>
  <c r="W19" i="48" s="1"/>
  <c r="W20" i="48" s="1"/>
  <c r="W21" i="48" s="1"/>
  <c r="R24" i="38"/>
  <c r="T24" i="38" s="1"/>
  <c r="G23" i="48"/>
  <c r="AD21" i="38"/>
  <c r="AD22" i="38" s="1"/>
  <c r="AD23" i="38" s="1"/>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Q25" i="38"/>
  <c r="B23" i="6"/>
  <c r="E24" i="48"/>
  <c r="A25" i="7"/>
  <c r="B26" i="38"/>
  <c r="AJ26" i="38"/>
  <c r="D26" i="38"/>
  <c r="A27" i="38"/>
  <c r="Q26" i="48" s="1"/>
  <c r="AP26" i="38"/>
  <c r="A48" i="24"/>
  <c r="D25" i="48"/>
  <c r="R25" i="48"/>
  <c r="C25" i="48" s="1"/>
  <c r="J25" i="48"/>
  <c r="I25" i="48"/>
  <c r="L25" i="48"/>
  <c r="F25" i="48"/>
  <c r="H25" i="48"/>
  <c r="G25" i="48"/>
  <c r="X25" i="48"/>
  <c r="F26" i="48"/>
  <c r="M23" i="48"/>
  <c r="D24" i="7"/>
  <c r="B24" i="7"/>
  <c r="Y25" i="38"/>
  <c r="N24" i="48" s="1"/>
  <c r="X25" i="38"/>
  <c r="S22" i="48"/>
  <c r="P22" i="48"/>
  <c r="U22" i="48"/>
  <c r="O22" i="48"/>
  <c r="T22" i="4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B27" i="48"/>
  <c r="C25" i="7"/>
  <c r="AU26" i="38"/>
  <c r="AZ25" i="7"/>
  <c r="AC24" i="38" l="1"/>
  <c r="AK26" i="38" s="1"/>
  <c r="D26" i="6" s="1"/>
  <c r="W22" i="48"/>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E26" i="48" s="1"/>
  <c r="I26" i="48"/>
  <c r="R26" i="48"/>
  <c r="C26" i="48" s="1"/>
  <c r="H26" i="48"/>
  <c r="E25" i="48"/>
  <c r="AD29" i="50"/>
  <c r="AD30" i="50" s="1"/>
  <c r="AI25" i="38"/>
  <c r="AA25" i="38"/>
  <c r="AH25" i="38"/>
  <c r="Z25" i="38"/>
  <c r="AS25" i="38" s="1"/>
  <c r="E25" i="38" s="1"/>
  <c r="AG25" i="38"/>
  <c r="M24" i="48"/>
  <c r="Y26" i="38"/>
  <c r="N25" i="48" s="1"/>
  <c r="X26" i="38"/>
  <c r="AQ26" i="38"/>
  <c r="A49" i="24"/>
  <c r="B27" i="38"/>
  <c r="AP27" i="38"/>
  <c r="A26" i="7"/>
  <c r="A28" i="38"/>
  <c r="D27" i="38"/>
  <c r="AJ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7" i="38"/>
  <c r="C28" i="38"/>
  <c r="B28" i="48"/>
  <c r="C26" i="7"/>
  <c r="AU27" i="38"/>
  <c r="AZ26" i="7"/>
  <c r="AK27" i="38" l="1"/>
  <c r="D27" i="6" s="1"/>
  <c r="AK24" i="38"/>
  <c r="D24" i="6" s="1"/>
  <c r="AK25" i="38"/>
  <c r="D25" i="6" s="1"/>
  <c r="R23" i="48"/>
  <c r="C23" i="48" s="1"/>
  <c r="AK29" i="38"/>
  <c r="D29" i="6" s="1"/>
  <c r="AK28" i="38"/>
  <c r="D28" i="6" s="1"/>
  <c r="AK30" i="38"/>
  <c r="D30" i="6" s="1"/>
  <c r="AR24" i="38"/>
  <c r="AF24" i="38"/>
  <c r="E23" i="7"/>
  <c r="J23" i="48"/>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Q27" i="38"/>
  <c r="AA26" i="38"/>
  <c r="Z26" i="38"/>
  <c r="AS26" i="38" s="1"/>
  <c r="E26" i="38" s="1"/>
  <c r="AI26" i="38"/>
  <c r="AH26" i="38"/>
  <c r="AG26" i="38"/>
  <c r="M25" i="48"/>
  <c r="A27" i="7"/>
  <c r="A50" i="24"/>
  <c r="A29" i="38"/>
  <c r="H28" i="48" s="1"/>
  <c r="AJ28" i="38"/>
  <c r="B28" i="38"/>
  <c r="D28" i="38"/>
  <c r="AP28" i="38"/>
  <c r="Q27" i="48"/>
  <c r="I27" i="48"/>
  <c r="F27" i="48"/>
  <c r="X28" i="48"/>
  <c r="J27" i="48"/>
  <c r="X27" i="48"/>
  <c r="R27" i="48"/>
  <c r="C27" i="48" s="1"/>
  <c r="G28" i="48"/>
  <c r="H27" i="48"/>
  <c r="D27" i="48"/>
  <c r="L27" i="48"/>
  <c r="G27" i="48"/>
  <c r="Y27" i="38"/>
  <c r="N26" i="48" s="1"/>
  <c r="X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Z27" i="7"/>
  <c r="AU28" i="38"/>
  <c r="AS24" i="38" l="1"/>
  <c r="E24" i="38" s="1"/>
  <c r="B24" i="6"/>
  <c r="B25" i="6" s="1"/>
  <c r="B26" i="6" s="1"/>
  <c r="AD24" i="38"/>
  <c r="F23" i="7"/>
  <c r="O23" i="48"/>
  <c r="W23" i="48" s="1"/>
  <c r="W24" i="48" s="1"/>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G27" i="38"/>
  <c r="AH27" i="38"/>
  <c r="AA27" i="38"/>
  <c r="AI27" i="38"/>
  <c r="Z27" i="38"/>
  <c r="AS27" i="38" s="1"/>
  <c r="E27" i="38" s="1"/>
  <c r="M26" i="48"/>
  <c r="X28" i="38"/>
  <c r="Y28" i="38"/>
  <c r="N27" i="48" s="1"/>
  <c r="P25" i="48"/>
  <c r="U25" i="48"/>
  <c r="T25" i="48"/>
  <c r="O25" i="48"/>
  <c r="S25" i="48"/>
  <c r="A30" i="38"/>
  <c r="A51" i="24"/>
  <c r="B29" i="38"/>
  <c r="D29" i="38"/>
  <c r="A28" i="7"/>
  <c r="AJ29" i="38"/>
  <c r="AP29" i="38"/>
  <c r="Q28" i="48"/>
  <c r="R28" i="48"/>
  <c r="C28" i="48" s="1"/>
  <c r="L28" i="48"/>
  <c r="F28" i="4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B30" i="48"/>
  <c r="C29" i="38"/>
  <c r="C30" i="38"/>
  <c r="C28" i="7"/>
  <c r="AZ28" i="7"/>
  <c r="AU29" i="38"/>
  <c r="AD25" i="38" l="1"/>
  <c r="AD26" i="38" s="1"/>
  <c r="AD27" i="38" s="1"/>
  <c r="AD28" i="38" s="1"/>
  <c r="AD29" i="38" s="1"/>
  <c r="AD30" i="38" s="1"/>
  <c r="W25" i="48"/>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Y29" i="38"/>
  <c r="N28" i="48" s="1"/>
  <c r="X29" i="38"/>
  <c r="Z28" i="38"/>
  <c r="AS28" i="38" s="1"/>
  <c r="E28" i="38" s="1"/>
  <c r="AI28" i="38"/>
  <c r="AG28" i="38"/>
  <c r="AH28" i="38"/>
  <c r="AA28" i="38"/>
  <c r="M27" i="48"/>
  <c r="B28" i="7"/>
  <c r="D28" i="7"/>
  <c r="A31" i="38"/>
  <c r="AJ30" i="38"/>
  <c r="A29" i="7"/>
  <c r="AP30" i="38"/>
  <c r="A52" i="24"/>
  <c r="B30" i="38"/>
  <c r="D30" i="38"/>
  <c r="X29" i="48"/>
  <c r="I29" i="48"/>
  <c r="J29" i="48"/>
  <c r="L29" i="48"/>
  <c r="G29" i="48"/>
  <c r="F29" i="48"/>
  <c r="R29" i="48"/>
  <c r="C29" i="48" s="1"/>
  <c r="D29" i="48"/>
  <c r="Q29" i="48"/>
  <c r="H29" i="4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C29" i="7"/>
  <c r="C31" i="38"/>
  <c r="AZ29" i="7"/>
  <c r="AU30" i="38"/>
  <c r="W26" i="48" l="1"/>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Q30" i="38"/>
  <c r="AL30" i="38"/>
  <c r="B29" i="7"/>
  <c r="D29" i="7"/>
  <c r="AG29" i="38"/>
  <c r="Z29" i="38"/>
  <c r="AS29" i="38" s="1"/>
  <c r="E29" i="38" s="1"/>
  <c r="AH29" i="38"/>
  <c r="AA29" i="38"/>
  <c r="AI29" i="38"/>
  <c r="M28" i="48"/>
  <c r="Y30" i="38"/>
  <c r="N29" i="48" s="1"/>
  <c r="X30" i="38"/>
  <c r="D31" i="38"/>
  <c r="A30" i="7"/>
  <c r="AJ31" i="38"/>
  <c r="B31" i="38"/>
  <c r="A32" i="38"/>
  <c r="AP31" i="38"/>
  <c r="A53" i="24"/>
  <c r="Q30" i="48"/>
  <c r="X30" i="48"/>
  <c r="L30" i="48"/>
  <c r="D30" i="48"/>
  <c r="H30" i="48"/>
  <c r="F30" i="48"/>
  <c r="I30" i="48"/>
  <c r="U27" i="48"/>
  <c r="S27" i="48"/>
  <c r="P27" i="48"/>
  <c r="O27" i="48"/>
  <c r="T27" i="48"/>
  <c r="AH29" i="50"/>
  <c r="B32" i="48"/>
  <c r="C32" i="38"/>
  <c r="C30" i="7"/>
  <c r="AZ30" i="7"/>
  <c r="AU31" i="38"/>
  <c r="W27" i="48" l="1"/>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Q31" i="38"/>
  <c r="AL31" i="38"/>
  <c r="S28" i="48"/>
  <c r="P28" i="48"/>
  <c r="U28" i="48"/>
  <c r="O28" i="48"/>
  <c r="W28" i="48" s="1"/>
  <c r="T28" i="48"/>
  <c r="D32" i="38"/>
  <c r="AJ32" i="38"/>
  <c r="A54" i="24"/>
  <c r="A33" i="38"/>
  <c r="AP32" i="38"/>
  <c r="A31" i="7"/>
  <c r="B32" i="38"/>
  <c r="D31" i="48"/>
  <c r="L31" i="48"/>
  <c r="I31" i="48"/>
  <c r="J31" i="48"/>
  <c r="H31" i="48"/>
  <c r="Q31" i="48"/>
  <c r="R31" i="48"/>
  <c r="C31" i="48" s="1"/>
  <c r="G31" i="48"/>
  <c r="F31" i="48"/>
  <c r="X31" i="48"/>
  <c r="X31" i="38"/>
  <c r="Y31" i="38"/>
  <c r="N30" i="48" s="1"/>
  <c r="AH30" i="38"/>
  <c r="AG30" i="38"/>
  <c r="AI30" i="38"/>
  <c r="AA30" i="38"/>
  <c r="Z30" i="38"/>
  <c r="AS30" i="38" s="1"/>
  <c r="E30" i="38" s="1"/>
  <c r="M29" i="48"/>
  <c r="C33" i="38"/>
  <c r="C31" i="7"/>
  <c r="B33" i="48"/>
  <c r="AZ31" i="7"/>
  <c r="AU32" i="38"/>
  <c r="R31" i="38" l="1"/>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P33" i="38"/>
  <c r="A55" i="24"/>
  <c r="B33" i="38"/>
  <c r="A34" i="38"/>
  <c r="X33" i="48" s="1"/>
  <c r="AJ33" i="38"/>
  <c r="X32" i="48"/>
  <c r="I32" i="48"/>
  <c r="D32" i="48"/>
  <c r="R32" i="48"/>
  <c r="C32" i="48" s="1"/>
  <c r="M30" i="48"/>
  <c r="B30" i="6"/>
  <c r="T29" i="48"/>
  <c r="S29" i="48"/>
  <c r="P29" i="48"/>
  <c r="U29" i="48"/>
  <c r="O29" i="48"/>
  <c r="W29" i="48" s="1"/>
  <c r="G32" i="48"/>
  <c r="B31" i="7"/>
  <c r="D31" i="7"/>
  <c r="X32" i="38"/>
  <c r="Y32" i="38"/>
  <c r="N31" i="48" s="1"/>
  <c r="J32" i="48"/>
  <c r="L32" i="48"/>
  <c r="AQ32" i="38"/>
  <c r="AL32" i="38"/>
  <c r="F32" i="48"/>
  <c r="H32" i="48"/>
  <c r="Q32" i="48"/>
  <c r="B34" i="48"/>
  <c r="C32" i="7"/>
  <c r="AU33" i="38"/>
  <c r="AZ32" i="7"/>
  <c r="T31" i="38" l="1"/>
  <c r="U31" i="38" s="1"/>
  <c r="F33" i="48"/>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D245" i="38" s="1"/>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J33" i="48"/>
  <c r="G33" i="48"/>
  <c r="L33" i="48"/>
  <c r="R33" i="48"/>
  <c r="C33" i="48" s="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L33" i="38"/>
  <c r="E32" i="48"/>
  <c r="Y33" i="38"/>
  <c r="N32" i="48" s="1"/>
  <c r="X33" i="38"/>
  <c r="A33" i="7"/>
  <c r="D34" i="38"/>
  <c r="AP34" i="38"/>
  <c r="B34" i="38"/>
  <c r="A56" i="24"/>
  <c r="A35" i="38"/>
  <c r="AJ34" i="38"/>
  <c r="Q33" i="48"/>
  <c r="I33" i="48"/>
  <c r="H33" i="48"/>
  <c r="D33" i="48"/>
  <c r="D32" i="7"/>
  <c r="B32" i="7"/>
  <c r="AI32" i="38"/>
  <c r="AH32" i="38"/>
  <c r="AG32" i="38"/>
  <c r="AA32" i="38"/>
  <c r="Z32" i="38"/>
  <c r="AS32" i="38" s="1"/>
  <c r="E32" i="38" s="1"/>
  <c r="M31" i="48"/>
  <c r="AQ33" i="38"/>
  <c r="C33" i="7"/>
  <c r="B35" i="48"/>
  <c r="C34" i="38"/>
  <c r="C35" i="38"/>
  <c r="AU34" i="38"/>
  <c r="AZ33" i="7"/>
  <c r="AC31" i="38" l="1"/>
  <c r="AK175" i="38" s="1"/>
  <c r="D175" i="6" s="1"/>
  <c r="E33" i="48"/>
  <c r="AA31" i="38"/>
  <c r="AG31" i="38"/>
  <c r="AF31" i="38"/>
  <c r="AH31" i="38"/>
  <c r="Z31" i="38"/>
  <c r="B31" i="6" s="1"/>
  <c r="B32" i="6" s="1"/>
  <c r="AI31" i="38"/>
  <c r="J30" i="48"/>
  <c r="S30" i="48" s="1"/>
  <c r="E30" i="7"/>
  <c r="F30" i="7" s="1"/>
  <c r="AK198" i="38"/>
  <c r="D198" i="6"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V35" i="48"/>
  <c r="AF58" i="50"/>
  <c r="AF59" i="50" s="1"/>
  <c r="P31" i="48"/>
  <c r="O31" i="48"/>
  <c r="S31" i="48"/>
  <c r="U31" i="48"/>
  <c r="T31" i="48"/>
  <c r="B33" i="7"/>
  <c r="D33" i="7"/>
  <c r="AQ34" i="38"/>
  <c r="AL34" i="38"/>
  <c r="G34" i="48"/>
  <c r="D35" i="38"/>
  <c r="B35" i="38"/>
  <c r="AP35" i="38"/>
  <c r="A36" i="38"/>
  <c r="X35" i="48" s="1"/>
  <c r="A34" i="7"/>
  <c r="A57" i="24"/>
  <c r="AJ35" i="38"/>
  <c r="H34" i="48"/>
  <c r="R34" i="48"/>
  <c r="Q34" i="48"/>
  <c r="L34" i="48"/>
  <c r="D34" i="48"/>
  <c r="F34" i="48"/>
  <c r="X34" i="48"/>
  <c r="I34" i="48"/>
  <c r="J34" i="48"/>
  <c r="Y34" i="38"/>
  <c r="N33" i="48" s="1"/>
  <c r="X34" i="38"/>
  <c r="AG33" i="38"/>
  <c r="Z33" i="38"/>
  <c r="AS33" i="38" s="1"/>
  <c r="E33" i="38" s="1"/>
  <c r="AA33" i="38"/>
  <c r="AH33" i="38"/>
  <c r="AI33" i="38"/>
  <c r="M32" i="48"/>
  <c r="C34" i="7"/>
  <c r="AU35" i="38"/>
  <c r="AZ34" i="7"/>
  <c r="AK207" i="38" l="1"/>
  <c r="D207" i="6" s="1"/>
  <c r="AK323" i="38"/>
  <c r="D323" i="6" s="1"/>
  <c r="AK146" i="38"/>
  <c r="D146" i="6" s="1"/>
  <c r="AK144" i="38"/>
  <c r="D144" i="6" s="1"/>
  <c r="AK321" i="38"/>
  <c r="D321" i="6" s="1"/>
  <c r="AK272" i="38"/>
  <c r="D272" i="6" s="1"/>
  <c r="AK56" i="38"/>
  <c r="D56" i="6" s="1"/>
  <c r="AK191" i="38"/>
  <c r="D191" i="6" s="1"/>
  <c r="AK121" i="38"/>
  <c r="D121" i="6" s="1"/>
  <c r="AK297" i="38"/>
  <c r="D297" i="6" s="1"/>
  <c r="AK352" i="38"/>
  <c r="D352" i="6" s="1"/>
  <c r="AK277" i="38"/>
  <c r="D277" i="6" s="1"/>
  <c r="AK344" i="38"/>
  <c r="D344" i="6" s="1"/>
  <c r="AK264" i="38"/>
  <c r="D264" i="6" s="1"/>
  <c r="AK39" i="38"/>
  <c r="D39" i="6" s="1"/>
  <c r="AS31" i="38"/>
  <c r="E31" i="38" s="1"/>
  <c r="AK33" i="38"/>
  <c r="D33" i="6" s="1"/>
  <c r="AK302" i="38"/>
  <c r="D302" i="6" s="1"/>
  <c r="AK106" i="38"/>
  <c r="D106" i="6" s="1"/>
  <c r="AK40" i="38"/>
  <c r="D40" i="6" s="1"/>
  <c r="AK45" i="38"/>
  <c r="D45" i="6" s="1"/>
  <c r="AK253" i="38"/>
  <c r="D253" i="6" s="1"/>
  <c r="AK367" i="38"/>
  <c r="D367" i="6" s="1"/>
  <c r="AK53" i="38"/>
  <c r="D53" i="6" s="1"/>
  <c r="AK333" i="38"/>
  <c r="D333" i="6" s="1"/>
  <c r="AK120" i="38"/>
  <c r="D120" i="6" s="1"/>
  <c r="AK157" i="38"/>
  <c r="D157" i="6" s="1"/>
  <c r="AK267" i="38"/>
  <c r="D267" i="6" s="1"/>
  <c r="AK173" i="38"/>
  <c r="D173" i="6" s="1"/>
  <c r="AK86" i="38"/>
  <c r="D86" i="6" s="1"/>
  <c r="AK96" i="38"/>
  <c r="D96" i="6" s="1"/>
  <c r="AK273" i="38"/>
  <c r="D273" i="6" s="1"/>
  <c r="AK260" i="38"/>
  <c r="D260" i="6" s="1"/>
  <c r="AK224" i="38"/>
  <c r="D224" i="6" s="1"/>
  <c r="AK293" i="38"/>
  <c r="D293" i="6" s="1"/>
  <c r="AK133" i="38"/>
  <c r="D133" i="6" s="1"/>
  <c r="AK360" i="38"/>
  <c r="D360" i="6" s="1"/>
  <c r="AK226" i="38"/>
  <c r="D226" i="6" s="1"/>
  <c r="AK110" i="38"/>
  <c r="D110" i="6" s="1"/>
  <c r="AK181" i="38"/>
  <c r="D181" i="6" s="1"/>
  <c r="AK125" i="38"/>
  <c r="D125" i="6" s="1"/>
  <c r="AK358" i="38"/>
  <c r="D358" i="6" s="1"/>
  <c r="AK286" i="38"/>
  <c r="D286" i="6" s="1"/>
  <c r="AK245" i="38"/>
  <c r="D245" i="6" s="1"/>
  <c r="AK70" i="38"/>
  <c r="D70" i="6" s="1"/>
  <c r="AK51" i="38"/>
  <c r="D51" i="6" s="1"/>
  <c r="AK287" i="38"/>
  <c r="D287" i="6" s="1"/>
  <c r="AK311" i="38"/>
  <c r="D311" i="6" s="1"/>
  <c r="AK36" i="38"/>
  <c r="D36" i="6" s="1"/>
  <c r="AK35" i="38"/>
  <c r="D35" i="6" s="1"/>
  <c r="AK164" i="38"/>
  <c r="D164" i="6" s="1"/>
  <c r="AK243" i="38"/>
  <c r="D243" i="6" s="1"/>
  <c r="AK328" i="38"/>
  <c r="D328" i="6" s="1"/>
  <c r="AK94" i="38"/>
  <c r="D94" i="6" s="1"/>
  <c r="AK307" i="38"/>
  <c r="D307" i="6" s="1"/>
  <c r="AK44" i="38"/>
  <c r="D44" i="6" s="1"/>
  <c r="AK304" i="38"/>
  <c r="D304" i="6" s="1"/>
  <c r="AK111" i="38"/>
  <c r="D111" i="6" s="1"/>
  <c r="AK128" i="38"/>
  <c r="D128" i="6" s="1"/>
  <c r="AK216" i="38"/>
  <c r="D216" i="6" s="1"/>
  <c r="AK235" i="38"/>
  <c r="D235" i="6" s="1"/>
  <c r="AK179" i="38"/>
  <c r="D179" i="6" s="1"/>
  <c r="AK237" i="38"/>
  <c r="D237" i="6" s="1"/>
  <c r="AK199" i="38"/>
  <c r="D199" i="6" s="1"/>
  <c r="AK265" i="38"/>
  <c r="D265" i="6" s="1"/>
  <c r="AK291" i="38"/>
  <c r="D291" i="6" s="1"/>
  <c r="AK300" i="38"/>
  <c r="D300" i="6" s="1"/>
  <c r="AK228" i="38"/>
  <c r="D228" i="6" s="1"/>
  <c r="AK187" i="38"/>
  <c r="D187" i="6" s="1"/>
  <c r="AK92" i="38"/>
  <c r="D92" i="6" s="1"/>
  <c r="AK313" i="38"/>
  <c r="D313" i="6" s="1"/>
  <c r="AK137" i="38"/>
  <c r="D137" i="6" s="1"/>
  <c r="AK194" i="38"/>
  <c r="D194" i="6" s="1"/>
  <c r="AK105" i="38"/>
  <c r="D105" i="6" s="1"/>
  <c r="AK215" i="38"/>
  <c r="D215" i="6" s="1"/>
  <c r="AK135" i="38"/>
  <c r="D135" i="6" s="1"/>
  <c r="AK61" i="38"/>
  <c r="D61" i="6" s="1"/>
  <c r="AK74" i="38"/>
  <c r="D74" i="6" s="1"/>
  <c r="AK348" i="38"/>
  <c r="D348" i="6" s="1"/>
  <c r="AK239" i="38"/>
  <c r="D239" i="6" s="1"/>
  <c r="AK359" i="38"/>
  <c r="D359" i="6" s="1"/>
  <c r="AK271" i="38"/>
  <c r="D271" i="6" s="1"/>
  <c r="AK278" i="38"/>
  <c r="D278" i="6" s="1"/>
  <c r="AK368" i="38"/>
  <c r="D368" i="6" s="1"/>
  <c r="AK318" i="38"/>
  <c r="D318" i="6" s="1"/>
  <c r="AK252" i="38"/>
  <c r="D252" i="6" s="1"/>
  <c r="AK38" i="38"/>
  <c r="D38" i="6" s="1"/>
  <c r="AK276" i="38"/>
  <c r="D276" i="6" s="1"/>
  <c r="AK134" i="38"/>
  <c r="D134" i="6" s="1"/>
  <c r="R30" i="48"/>
  <c r="C30" i="48" s="1"/>
  <c r="AK274" i="38"/>
  <c r="D274" i="6" s="1"/>
  <c r="AK203" i="38"/>
  <c r="D203" i="6" s="1"/>
  <c r="AK238" i="38"/>
  <c r="D238" i="6" s="1"/>
  <c r="AK55" i="38"/>
  <c r="D55" i="6" s="1"/>
  <c r="AK83" i="38"/>
  <c r="D83" i="6" s="1"/>
  <c r="AK220" i="38"/>
  <c r="D220" i="6" s="1"/>
  <c r="AK257" i="38"/>
  <c r="D257" i="6" s="1"/>
  <c r="AK66" i="38"/>
  <c r="D66" i="6" s="1"/>
  <c r="AK223" i="38"/>
  <c r="D223" i="6" s="1"/>
  <c r="AK168" i="38"/>
  <c r="D168" i="6" s="1"/>
  <c r="AK197" i="38"/>
  <c r="D197" i="6" s="1"/>
  <c r="AK330" i="38"/>
  <c r="D330" i="6" s="1"/>
  <c r="AK192" i="38"/>
  <c r="D192" i="6" s="1"/>
  <c r="AK101" i="38"/>
  <c r="D101" i="6" s="1"/>
  <c r="AK145" i="38"/>
  <c r="D145" i="6" s="1"/>
  <c r="AK151" i="38"/>
  <c r="D151" i="6" s="1"/>
  <c r="AK172" i="38"/>
  <c r="D172" i="6" s="1"/>
  <c r="AK155" i="38"/>
  <c r="D155" i="6" s="1"/>
  <c r="AK285" i="38"/>
  <c r="D285" i="6" s="1"/>
  <c r="AK231" i="38"/>
  <c r="D231" i="6" s="1"/>
  <c r="AK166" i="38"/>
  <c r="D166" i="6" s="1"/>
  <c r="AK254" i="38"/>
  <c r="D254" i="6" s="1"/>
  <c r="AK160" i="38"/>
  <c r="D160" i="6" s="1"/>
  <c r="AK154" i="38"/>
  <c r="D154" i="6" s="1"/>
  <c r="AK114" i="38"/>
  <c r="D114" i="6" s="1"/>
  <c r="AK247" i="38"/>
  <c r="D247" i="6" s="1"/>
  <c r="AK229" i="38"/>
  <c r="D229" i="6" s="1"/>
  <c r="AK346" i="38"/>
  <c r="D346" i="6" s="1"/>
  <c r="AK312" i="38"/>
  <c r="D312" i="6" s="1"/>
  <c r="AK361" i="38"/>
  <c r="D361" i="6" s="1"/>
  <c r="AK261" i="38"/>
  <c r="D261" i="6" s="1"/>
  <c r="AK123" i="38"/>
  <c r="D123" i="6" s="1"/>
  <c r="AK165" i="38"/>
  <c r="D165" i="6" s="1"/>
  <c r="AK249" i="38"/>
  <c r="D249" i="6" s="1"/>
  <c r="AK150" i="38"/>
  <c r="D150" i="6" s="1"/>
  <c r="AK315" i="38"/>
  <c r="D315" i="6" s="1"/>
  <c r="AK334" i="38"/>
  <c r="D334" i="6" s="1"/>
  <c r="AK234" i="38"/>
  <c r="D234" i="6" s="1"/>
  <c r="AK219" i="38"/>
  <c r="D219" i="6" s="1"/>
  <c r="AK337" i="38"/>
  <c r="D337" i="6" s="1"/>
  <c r="AK112" i="38"/>
  <c r="D112" i="6" s="1"/>
  <c r="AK64" i="38"/>
  <c r="D64" i="6" s="1"/>
  <c r="AK248" i="38"/>
  <c r="D248" i="6" s="1"/>
  <c r="AK79" i="38"/>
  <c r="D79" i="6" s="1"/>
  <c r="AK184" i="38"/>
  <c r="D184" i="6" s="1"/>
  <c r="AK282" i="38"/>
  <c r="D282" i="6" s="1"/>
  <c r="AK326" i="38"/>
  <c r="D326" i="6" s="1"/>
  <c r="AK310" i="38"/>
  <c r="D310" i="6" s="1"/>
  <c r="AK43" i="38"/>
  <c r="D43" i="6" s="1"/>
  <c r="AK188" i="38"/>
  <c r="D188" i="6" s="1"/>
  <c r="AK78" i="38"/>
  <c r="D78" i="6" s="1"/>
  <c r="AK365" i="38"/>
  <c r="D365" i="6" s="1"/>
  <c r="AK331" i="38"/>
  <c r="D331" i="6" s="1"/>
  <c r="AK138" i="38"/>
  <c r="D138" i="6" s="1"/>
  <c r="AK159" i="38"/>
  <c r="D159" i="6" s="1"/>
  <c r="AK158" i="38"/>
  <c r="D158" i="6" s="1"/>
  <c r="AK349" i="38"/>
  <c r="D349" i="6" s="1"/>
  <c r="AK317" i="38"/>
  <c r="D317" i="6" s="1"/>
  <c r="AK218" i="38"/>
  <c r="D218" i="6" s="1"/>
  <c r="AK91" i="38"/>
  <c r="D91" i="6" s="1"/>
  <c r="AK31" i="38"/>
  <c r="D31" i="6" s="1"/>
  <c r="AK341" i="38"/>
  <c r="D341" i="6" s="1"/>
  <c r="AK322" i="38"/>
  <c r="D322" i="6" s="1"/>
  <c r="AK147" i="38"/>
  <c r="D147" i="6" s="1"/>
  <c r="AK283" i="38"/>
  <c r="D283" i="6" s="1"/>
  <c r="AK99" i="38"/>
  <c r="D99" i="6" s="1"/>
  <c r="AK67" i="38"/>
  <c r="D67" i="6" s="1"/>
  <c r="AK68" i="38"/>
  <c r="D68" i="6" s="1"/>
  <c r="AK170" i="38"/>
  <c r="D170" i="6" s="1"/>
  <c r="AK34" i="38"/>
  <c r="D34" i="6" s="1"/>
  <c r="AK148" i="38"/>
  <c r="D148" i="6" s="1"/>
  <c r="AK222" i="38"/>
  <c r="D222" i="6" s="1"/>
  <c r="AK95" i="38"/>
  <c r="D95" i="6" s="1"/>
  <c r="AK275" i="38"/>
  <c r="D275" i="6" s="1"/>
  <c r="AK57" i="38"/>
  <c r="D57" i="6" s="1"/>
  <c r="AK209" i="38"/>
  <c r="D209" i="6" s="1"/>
  <c r="AK37" i="38"/>
  <c r="D37" i="6" s="1"/>
  <c r="AK73" i="38"/>
  <c r="D73" i="6" s="1"/>
  <c r="AK124" i="38"/>
  <c r="D124" i="6" s="1"/>
  <c r="AK161" i="38"/>
  <c r="D161" i="6" s="1"/>
  <c r="AK116" i="38"/>
  <c r="D116" i="6" s="1"/>
  <c r="AK241" i="38"/>
  <c r="D241" i="6" s="1"/>
  <c r="AK319" i="38"/>
  <c r="D319" i="6" s="1"/>
  <c r="AK242" i="38"/>
  <c r="D242" i="6" s="1"/>
  <c r="AK77" i="38"/>
  <c r="D77" i="6" s="1"/>
  <c r="AR31" i="38"/>
  <c r="AK288" i="38"/>
  <c r="D288" i="6" s="1"/>
  <c r="AK305" i="38"/>
  <c r="D305" i="6" s="1"/>
  <c r="AK212" i="38"/>
  <c r="D212" i="6" s="1"/>
  <c r="AK54" i="38"/>
  <c r="D54" i="6" s="1"/>
  <c r="AK292" i="38"/>
  <c r="D292" i="6" s="1"/>
  <c r="AK75" i="38"/>
  <c r="D75" i="6" s="1"/>
  <c r="AK327" i="38"/>
  <c r="D327" i="6" s="1"/>
  <c r="AK50" i="38"/>
  <c r="D50" i="6" s="1"/>
  <c r="AK117" i="38"/>
  <c r="D117" i="6" s="1"/>
  <c r="AK320" i="38"/>
  <c r="D320" i="6" s="1"/>
  <c r="AK152" i="38"/>
  <c r="D152" i="6" s="1"/>
  <c r="AK136" i="38"/>
  <c r="D136" i="6" s="1"/>
  <c r="AK58" i="38"/>
  <c r="D58" i="6" s="1"/>
  <c r="AK167" i="38"/>
  <c r="D167" i="6" s="1"/>
  <c r="AK62" i="38"/>
  <c r="D62" i="6" s="1"/>
  <c r="AK355" i="38"/>
  <c r="D355" i="6" s="1"/>
  <c r="AK162" i="38"/>
  <c r="D162" i="6" s="1"/>
  <c r="AK80" i="38"/>
  <c r="D80" i="6" s="1"/>
  <c r="AK201" i="38"/>
  <c r="D201" i="6" s="1"/>
  <c r="AK258" i="38"/>
  <c r="D258" i="6" s="1"/>
  <c r="AK268" i="38"/>
  <c r="D268" i="6" s="1"/>
  <c r="AK48" i="38"/>
  <c r="D48" i="6" s="1"/>
  <c r="AK211" i="38"/>
  <c r="D211" i="6" s="1"/>
  <c r="AK102" i="38"/>
  <c r="D102" i="6" s="1"/>
  <c r="AK113" i="38"/>
  <c r="D113" i="6" s="1"/>
  <c r="AK196" i="38"/>
  <c r="D196" i="6" s="1"/>
  <c r="AK281" i="38"/>
  <c r="D281" i="6" s="1"/>
  <c r="AK49" i="38"/>
  <c r="D49" i="6" s="1"/>
  <c r="AK357" i="38"/>
  <c r="D357" i="6" s="1"/>
  <c r="AK119" i="38"/>
  <c r="D119" i="6" s="1"/>
  <c r="AK256" i="38"/>
  <c r="D256" i="6" s="1"/>
  <c r="AK280" i="38"/>
  <c r="D280" i="6" s="1"/>
  <c r="AK141" i="38"/>
  <c r="D141" i="6" s="1"/>
  <c r="AK32" i="38"/>
  <c r="D32" i="6" s="1"/>
  <c r="AK139" i="38"/>
  <c r="D139" i="6" s="1"/>
  <c r="AK263" i="38"/>
  <c r="D263" i="6" s="1"/>
  <c r="AK163" i="38"/>
  <c r="D163" i="6" s="1"/>
  <c r="AK363" i="38"/>
  <c r="D363" i="6" s="1"/>
  <c r="AK308" i="38"/>
  <c r="D308" i="6" s="1"/>
  <c r="AK60" i="38"/>
  <c r="D60" i="6" s="1"/>
  <c r="AK225" i="38"/>
  <c r="D225" i="6" s="1"/>
  <c r="AK71" i="38"/>
  <c r="D71" i="6" s="1"/>
  <c r="AK174" i="38"/>
  <c r="D174" i="6" s="1"/>
  <c r="AK189" i="38"/>
  <c r="D189" i="6" s="1"/>
  <c r="AK240" i="38"/>
  <c r="D240" i="6" s="1"/>
  <c r="AK153" i="38"/>
  <c r="D153" i="6" s="1"/>
  <c r="AK115" i="38"/>
  <c r="D115" i="6" s="1"/>
  <c r="AK208" i="38"/>
  <c r="D208" i="6" s="1"/>
  <c r="AK340" i="38"/>
  <c r="D340" i="6" s="1"/>
  <c r="AK97" i="38"/>
  <c r="D97" i="6" s="1"/>
  <c r="AK149" i="38"/>
  <c r="D149" i="6" s="1"/>
  <c r="AK279" i="38"/>
  <c r="D279" i="6" s="1"/>
  <c r="AK244" i="38"/>
  <c r="D244" i="6" s="1"/>
  <c r="AK171" i="38"/>
  <c r="D171" i="6" s="1"/>
  <c r="AK143" i="38"/>
  <c r="D143" i="6" s="1"/>
  <c r="AK343" i="38"/>
  <c r="D343" i="6" s="1"/>
  <c r="AK204" i="38"/>
  <c r="D204" i="6" s="1"/>
  <c r="AK47" i="38"/>
  <c r="D47" i="6" s="1"/>
  <c r="AK93" i="38"/>
  <c r="D93" i="6" s="1"/>
  <c r="AK284" i="38"/>
  <c r="D284" i="6" s="1"/>
  <c r="AK107" i="38"/>
  <c r="D107" i="6" s="1"/>
  <c r="AK269" i="38"/>
  <c r="D269" i="6" s="1"/>
  <c r="AK213" i="38"/>
  <c r="D213" i="6" s="1"/>
  <c r="AK251" i="38"/>
  <c r="D251" i="6" s="1"/>
  <c r="AK182" i="38"/>
  <c r="D182" i="6" s="1"/>
  <c r="AK63" i="38"/>
  <c r="D63" i="6" s="1"/>
  <c r="AK118" i="38"/>
  <c r="D118" i="6" s="1"/>
  <c r="AK309" i="38"/>
  <c r="D309" i="6" s="1"/>
  <c r="AK336" i="38"/>
  <c r="D336" i="6" s="1"/>
  <c r="AK364" i="38"/>
  <c r="D364" i="6" s="1"/>
  <c r="AK202" i="38"/>
  <c r="D202" i="6" s="1"/>
  <c r="AK227" i="38"/>
  <c r="D227" i="6" s="1"/>
  <c r="AK314" i="38"/>
  <c r="D314" i="6" s="1"/>
  <c r="AK176" i="38"/>
  <c r="D176" i="6" s="1"/>
  <c r="AK52" i="38"/>
  <c r="D52" i="6" s="1"/>
  <c r="AK88" i="38"/>
  <c r="D88" i="6" s="1"/>
  <c r="AK259" i="38"/>
  <c r="D259" i="6" s="1"/>
  <c r="AK200" i="38"/>
  <c r="D200" i="6" s="1"/>
  <c r="AK132" i="38"/>
  <c r="D132" i="6" s="1"/>
  <c r="AK236" i="38"/>
  <c r="D236" i="6" s="1"/>
  <c r="AK122" i="38"/>
  <c r="D122" i="6" s="1"/>
  <c r="AK324" i="38"/>
  <c r="D324" i="6" s="1"/>
  <c r="AK127" i="38"/>
  <c r="D127" i="6" s="1"/>
  <c r="AK131" i="38"/>
  <c r="D131" i="6" s="1"/>
  <c r="AK130" i="38"/>
  <c r="D130" i="6" s="1"/>
  <c r="AK42" i="38"/>
  <c r="D42" i="6" s="1"/>
  <c r="AK270" i="38"/>
  <c r="D270" i="6" s="1"/>
  <c r="AK82" i="38"/>
  <c r="D82" i="6" s="1"/>
  <c r="AK177" i="38"/>
  <c r="D177" i="6" s="1"/>
  <c r="AK210" i="38"/>
  <c r="D210" i="6" s="1"/>
  <c r="AK129" i="38"/>
  <c r="D129" i="6" s="1"/>
  <c r="AK140" i="38"/>
  <c r="D140" i="6" s="1"/>
  <c r="AK41" i="38"/>
  <c r="D41" i="6" s="1"/>
  <c r="AK90" i="38"/>
  <c r="D90" i="6" s="1"/>
  <c r="AK356" i="38"/>
  <c r="D356" i="6" s="1"/>
  <c r="AK59" i="38"/>
  <c r="D59" i="6" s="1"/>
  <c r="AK316" i="38"/>
  <c r="D316" i="6" s="1"/>
  <c r="AK103" i="38"/>
  <c r="D103" i="6" s="1"/>
  <c r="AK109" i="38"/>
  <c r="D109" i="6" s="1"/>
  <c r="AK325" i="38"/>
  <c r="D325" i="6" s="1"/>
  <c r="AK100" i="38"/>
  <c r="D100" i="6" s="1"/>
  <c r="AK289" i="38"/>
  <c r="D289" i="6" s="1"/>
  <c r="AK230" i="38"/>
  <c r="D230" i="6" s="1"/>
  <c r="AK335" i="38"/>
  <c r="D335" i="6" s="1"/>
  <c r="AK266" i="38"/>
  <c r="D266" i="6" s="1"/>
  <c r="AK303" i="38"/>
  <c r="D303" i="6" s="1"/>
  <c r="AK353" i="38"/>
  <c r="D353" i="6" s="1"/>
  <c r="AK246" i="38"/>
  <c r="D246" i="6" s="1"/>
  <c r="AK306" i="38"/>
  <c r="D306" i="6" s="1"/>
  <c r="AK295" i="38"/>
  <c r="D295" i="6" s="1"/>
  <c r="AK296" i="38"/>
  <c r="D296" i="6" s="1"/>
  <c r="AK76" i="38"/>
  <c r="D76" i="6" s="1"/>
  <c r="AK142" i="38"/>
  <c r="D142" i="6" s="1"/>
  <c r="AK214" i="38"/>
  <c r="D214" i="6" s="1"/>
  <c r="AK65" i="38"/>
  <c r="D65" i="6" s="1"/>
  <c r="AK108" i="38"/>
  <c r="D108" i="6" s="1"/>
  <c r="AK185" i="38"/>
  <c r="D185" i="6" s="1"/>
  <c r="AK354" i="38"/>
  <c r="D354" i="6" s="1"/>
  <c r="AK332" i="38"/>
  <c r="D332" i="6" s="1"/>
  <c r="AK81" i="38"/>
  <c r="D81" i="6" s="1"/>
  <c r="AK298" i="38"/>
  <c r="D298" i="6" s="1"/>
  <c r="AK89" i="38"/>
  <c r="D89" i="6" s="1"/>
  <c r="AK345" i="38"/>
  <c r="D345" i="6" s="1"/>
  <c r="AK104" i="38"/>
  <c r="D104" i="6" s="1"/>
  <c r="AK156" i="38"/>
  <c r="D156" i="6" s="1"/>
  <c r="AK206" i="38"/>
  <c r="D206" i="6" s="1"/>
  <c r="AK350" i="38"/>
  <c r="D350" i="6" s="1"/>
  <c r="AK250" i="38"/>
  <c r="D250" i="6" s="1"/>
  <c r="AK183" i="38"/>
  <c r="D183" i="6" s="1"/>
  <c r="AK178" i="38"/>
  <c r="D178" i="6" s="1"/>
  <c r="AK339" i="38"/>
  <c r="D339" i="6" s="1"/>
  <c r="AK347" i="38"/>
  <c r="D347" i="6" s="1"/>
  <c r="AK294" i="38"/>
  <c r="D294" i="6" s="1"/>
  <c r="AK126" i="38"/>
  <c r="D126" i="6" s="1"/>
  <c r="AK190" i="38"/>
  <c r="D190" i="6" s="1"/>
  <c r="AK46" i="38"/>
  <c r="D46" i="6" s="1"/>
  <c r="AK98" i="38"/>
  <c r="D98" i="6" s="1"/>
  <c r="AK87" i="38"/>
  <c r="D87" i="6" s="1"/>
  <c r="AK193" i="38"/>
  <c r="D193" i="6" s="1"/>
  <c r="AK255" i="38"/>
  <c r="D255" i="6" s="1"/>
  <c r="AK186" i="38"/>
  <c r="D186" i="6" s="1"/>
  <c r="AK232" i="38"/>
  <c r="D232" i="6" s="1"/>
  <c r="AK290" i="38"/>
  <c r="D290" i="6" s="1"/>
  <c r="AK338" i="38"/>
  <c r="D338" i="6" s="1"/>
  <c r="AK362" i="38"/>
  <c r="D362" i="6" s="1"/>
  <c r="AK301" i="38"/>
  <c r="D301" i="6" s="1"/>
  <c r="AK233" i="38"/>
  <c r="D233" i="6" s="1"/>
  <c r="AK342" i="38"/>
  <c r="D342" i="6" s="1"/>
  <c r="AK366" i="38"/>
  <c r="D366" i="6" s="1"/>
  <c r="AK84" i="38"/>
  <c r="D84" i="6" s="1"/>
  <c r="AK205" i="38"/>
  <c r="D205" i="6" s="1"/>
  <c r="AK85" i="38"/>
  <c r="D85" i="6" s="1"/>
  <c r="AK169" i="38"/>
  <c r="D169" i="6" s="1"/>
  <c r="AK299" i="38"/>
  <c r="D299" i="6" s="1"/>
  <c r="AK351" i="38"/>
  <c r="D351" i="6" s="1"/>
  <c r="AK329" i="38"/>
  <c r="D329" i="6" s="1"/>
  <c r="AK262" i="38"/>
  <c r="D262" i="6" s="1"/>
  <c r="AK195" i="38"/>
  <c r="D195" i="6" s="1"/>
  <c r="AK72" i="38"/>
  <c r="D72" i="6" s="1"/>
  <c r="AK69" i="38"/>
  <c r="D69" i="6" s="1"/>
  <c r="AK221" i="38"/>
  <c r="D221" i="6" s="1"/>
  <c r="AK180" i="38"/>
  <c r="D180" i="6" s="1"/>
  <c r="AK217" i="38"/>
  <c r="D217"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J36" i="38"/>
  <c r="B36" i="38"/>
  <c r="AP36" i="38"/>
  <c r="A37" i="38"/>
  <c r="J35" i="48"/>
  <c r="J38" i="48" s="1"/>
  <c r="R35" i="48"/>
  <c r="C35" i="48" s="1"/>
  <c r="I35" i="48"/>
  <c r="B33" i="6"/>
  <c r="Q35" i="48"/>
  <c r="Y35" i="38"/>
  <c r="N34" i="48" s="1"/>
  <c r="X35" i="38"/>
  <c r="D35" i="48"/>
  <c r="L35" i="48"/>
  <c r="AA34" i="38"/>
  <c r="AI34" i="38"/>
  <c r="AG34" i="38"/>
  <c r="AH34" i="38"/>
  <c r="Z34" i="38"/>
  <c r="AS34" i="38" s="1"/>
  <c r="E34" i="38" s="1"/>
  <c r="M33" i="48"/>
  <c r="E34" i="48"/>
  <c r="F35" i="48"/>
  <c r="C34" i="48"/>
  <c r="B34" i="7"/>
  <c r="D34" i="7"/>
  <c r="AQ35" i="38"/>
  <c r="AL35" i="38"/>
  <c r="G35" i="48"/>
  <c r="H35" i="48"/>
  <c r="C35" i="7"/>
  <c r="C36" i="38"/>
  <c r="C37" i="38"/>
  <c r="AZ35" i="7"/>
  <c r="AU36" i="38"/>
  <c r="W32" i="48" l="1"/>
  <c r="AJ35" i="50"/>
  <c r="AJ58" i="50" s="1"/>
  <c r="AH58" i="50"/>
  <c r="R38" i="48"/>
  <c r="B37" i="38"/>
  <c r="AP37" i="38"/>
  <c r="A36" i="7"/>
  <c r="A59" i="24"/>
  <c r="A38" i="38"/>
  <c r="D37" i="38"/>
  <c r="AL37" i="38" s="1"/>
  <c r="AJ37" i="38"/>
  <c r="E35" i="48"/>
  <c r="A42" i="48" s="1"/>
  <c r="A43" i="48" s="1"/>
  <c r="AQ36" i="38"/>
  <c r="AL36" i="38"/>
  <c r="T33" i="48"/>
  <c r="S33" i="48"/>
  <c r="U33" i="48"/>
  <c r="P33" i="48"/>
  <c r="O33" i="48"/>
  <c r="AA35" i="38"/>
  <c r="AG35" i="38"/>
  <c r="AI35" i="38"/>
  <c r="Z35" i="38"/>
  <c r="AS35" i="38" s="1"/>
  <c r="E35" i="38" s="1"/>
  <c r="AH35" i="38"/>
  <c r="M34" i="48"/>
  <c r="B35" i="7"/>
  <c r="D35" i="7"/>
  <c r="B34" i="6"/>
  <c r="X36" i="38"/>
  <c r="Y36" i="38"/>
  <c r="N35" i="48" s="1"/>
  <c r="C38" i="38"/>
  <c r="C36" i="7"/>
  <c r="AU37" i="38"/>
  <c r="AZ36" i="7"/>
  <c r="W33" i="48" l="1"/>
  <c r="AQ37" i="38"/>
  <c r="U34" i="48"/>
  <c r="O34" i="48"/>
  <c r="T34" i="48"/>
  <c r="P34" i="48"/>
  <c r="S34" i="48"/>
  <c r="Y37" i="38"/>
  <c r="X37" i="38"/>
  <c r="D36" i="7"/>
  <c r="B36" i="7"/>
  <c r="Z36" i="38"/>
  <c r="AS36" i="38" s="1"/>
  <c r="E36" i="38" s="1"/>
  <c r="AH36" i="38"/>
  <c r="AI36" i="38"/>
  <c r="AG36" i="38"/>
  <c r="AA36" i="38"/>
  <c r="M35" i="48"/>
  <c r="B35" i="6"/>
  <c r="AP38" i="38"/>
  <c r="B38" i="38"/>
  <c r="AJ38" i="38"/>
  <c r="D38" i="38"/>
  <c r="AL38" i="38" s="1"/>
  <c r="A37" i="7"/>
  <c r="A39" i="38"/>
  <c r="A60" i="24"/>
  <c r="C39" i="38"/>
  <c r="C37" i="7"/>
  <c r="AZ37" i="7"/>
  <c r="AU38" i="38"/>
  <c r="W34" i="48" l="1"/>
  <c r="B36" i="6"/>
  <c r="AQ38" i="38"/>
  <c r="Y38" i="38"/>
  <c r="X38" i="38"/>
  <c r="J39" i="48"/>
  <c r="S35" i="48"/>
  <c r="U35" i="48"/>
  <c r="O35" i="48"/>
  <c r="O38" i="48" s="1"/>
  <c r="P38" i="48" s="1"/>
  <c r="P35" i="48"/>
  <c r="T35" i="48"/>
  <c r="AI37" i="38"/>
  <c r="AG37" i="38"/>
  <c r="AH37" i="38"/>
  <c r="Z37" i="38"/>
  <c r="AS37" i="38" s="1"/>
  <c r="E37" i="38" s="1"/>
  <c r="AA37" i="38"/>
  <c r="D39" i="38"/>
  <c r="B39" i="38"/>
  <c r="A38" i="7"/>
  <c r="A40" i="38"/>
  <c r="AP39" i="38"/>
  <c r="AJ39" i="38"/>
  <c r="A61" i="24"/>
  <c r="B37" i="7"/>
  <c r="D37" i="7"/>
  <c r="C38" i="7"/>
  <c r="C40" i="38"/>
  <c r="AZ38" i="7"/>
  <c r="AU39" i="38"/>
  <c r="X39" i="38" l="1"/>
  <c r="Y39" i="38"/>
  <c r="AQ39" i="38"/>
  <c r="AL39" i="38"/>
  <c r="B37" i="6"/>
  <c r="W35" i="48"/>
  <c r="B40" i="38"/>
  <c r="AJ40" i="38"/>
  <c r="A39" i="7"/>
  <c r="D40" i="38"/>
  <c r="A62" i="24"/>
  <c r="A41" i="38"/>
  <c r="AP40" i="38"/>
  <c r="AA38" i="38"/>
  <c r="AG38" i="38"/>
  <c r="AH38" i="38"/>
  <c r="Z38" i="38"/>
  <c r="AS38" i="38" s="1"/>
  <c r="E38" i="38" s="1"/>
  <c r="AI38" i="38"/>
  <c r="B38" i="7"/>
  <c r="D38" i="7"/>
  <c r="C41" i="38"/>
  <c r="C39" i="7"/>
  <c r="AU40" i="38"/>
  <c r="AZ39" i="7"/>
  <c r="AQ40" i="38" l="1"/>
  <c r="X40" i="38"/>
  <c r="Y40" i="38"/>
  <c r="AL40" i="38"/>
  <c r="D41" i="38"/>
  <c r="A42" i="38"/>
  <c r="B41" i="38"/>
  <c r="AP41" i="38"/>
  <c r="A40" i="7"/>
  <c r="A63" i="24"/>
  <c r="AJ41" i="38"/>
  <c r="D39" i="7"/>
  <c r="B39" i="7"/>
  <c r="B38" i="6"/>
  <c r="AA39" i="38"/>
  <c r="AH39" i="38"/>
  <c r="AI39" i="38"/>
  <c r="AG39" i="38"/>
  <c r="Z39" i="38"/>
  <c r="AS39" i="38" s="1"/>
  <c r="E39" i="38" s="1"/>
  <c r="C42" i="38"/>
  <c r="C40" i="7"/>
  <c r="AZ40" i="7"/>
  <c r="AU41" i="38"/>
  <c r="AQ41" i="38" l="1"/>
  <c r="X41" i="38"/>
  <c r="Y41" i="38"/>
  <c r="B39" i="6"/>
  <c r="AP42" i="38"/>
  <c r="D42" i="38"/>
  <c r="A64" i="24"/>
  <c r="AJ42" i="38"/>
  <c r="B42" i="38"/>
  <c r="A43" i="38"/>
  <c r="A41" i="7"/>
  <c r="D40" i="7"/>
  <c r="B40" i="7"/>
  <c r="AL41" i="38"/>
  <c r="AG40" i="38"/>
  <c r="AI40" i="38"/>
  <c r="AA40" i="38"/>
  <c r="Z40" i="38"/>
  <c r="AS40" i="38" s="1"/>
  <c r="E40" i="38" s="1"/>
  <c r="AH40" i="38"/>
  <c r="C43" i="38"/>
  <c r="C41" i="7"/>
  <c r="AZ41" i="7"/>
  <c r="AU42" i="38"/>
  <c r="AQ42" i="38" l="1"/>
  <c r="D41" i="7"/>
  <c r="B41" i="7"/>
  <c r="B40" i="6"/>
  <c r="Y42" i="38"/>
  <c r="X42" i="38"/>
  <c r="B43" i="38"/>
  <c r="AJ43" i="38"/>
  <c r="A65" i="24"/>
  <c r="A44" i="38"/>
  <c r="A42" i="7"/>
  <c r="AP43" i="38"/>
  <c r="D43" i="38"/>
  <c r="AL42" i="38"/>
  <c r="AA41" i="38"/>
  <c r="AI41" i="38"/>
  <c r="AG41" i="38"/>
  <c r="Z41" i="38"/>
  <c r="AS41" i="38" s="1"/>
  <c r="E41" i="38" s="1"/>
  <c r="AH41" i="38"/>
  <c r="C44" i="38"/>
  <c r="C42" i="7"/>
  <c r="AZ42" i="7"/>
  <c r="AU43" i="38"/>
  <c r="AQ43" i="38" l="1"/>
  <c r="B41" i="6"/>
  <c r="AL43" i="38"/>
  <c r="AP44" i="38"/>
  <c r="AJ44" i="38"/>
  <c r="A45" i="38"/>
  <c r="D44" i="38"/>
  <c r="B44" i="38"/>
  <c r="A66" i="24"/>
  <c r="A43" i="7"/>
  <c r="AI42" i="38"/>
  <c r="AG42" i="38"/>
  <c r="Z42" i="38"/>
  <c r="AS42" i="38" s="1"/>
  <c r="E42" i="38" s="1"/>
  <c r="AA42" i="38"/>
  <c r="AH42" i="38"/>
  <c r="Y43" i="38"/>
  <c r="X43" i="38"/>
  <c r="B42" i="7"/>
  <c r="D42" i="7"/>
  <c r="C43" i="7"/>
  <c r="C45" i="38"/>
  <c r="AU44" i="38"/>
  <c r="AZ43" i="7"/>
  <c r="AL44" i="38" l="1"/>
  <c r="B42" i="6"/>
  <c r="D43" i="7"/>
  <c r="B43" i="7"/>
  <c r="X44" i="38"/>
  <c r="Y44" i="38"/>
  <c r="AP45" i="38"/>
  <c r="B45" i="38"/>
  <c r="A67" i="24"/>
  <c r="AJ45" i="38"/>
  <c r="A46" i="38"/>
  <c r="A44" i="7"/>
  <c r="D45" i="38"/>
  <c r="AG43" i="38"/>
  <c r="AA43" i="38"/>
  <c r="AH43" i="38"/>
  <c r="AI43" i="38"/>
  <c r="Z43" i="38"/>
  <c r="AS43" i="38" s="1"/>
  <c r="E43" i="38" s="1"/>
  <c r="AQ44" i="38"/>
  <c r="C44" i="7"/>
  <c r="C46" i="38"/>
  <c r="AU45" i="38"/>
  <c r="AZ44" i="7"/>
  <c r="AL45" i="38" l="1"/>
  <c r="AQ45" i="38"/>
  <c r="B43" i="6"/>
  <c r="AA44" i="38"/>
  <c r="Z44" i="38"/>
  <c r="AS44" i="38" s="1"/>
  <c r="AI44" i="38"/>
  <c r="AH44" i="38"/>
  <c r="AG44" i="38"/>
  <c r="D44" i="7"/>
  <c r="B44" i="7"/>
  <c r="B46" i="38"/>
  <c r="D46" i="38"/>
  <c r="A47" i="38"/>
  <c r="A68" i="24"/>
  <c r="AP46" i="38"/>
  <c r="A45" i="7"/>
  <c r="AJ46" i="38"/>
  <c r="X45" i="38"/>
  <c r="Y45" i="38"/>
  <c r="C45" i="7"/>
  <c r="C47" i="38"/>
  <c r="AZ45" i="7"/>
  <c r="AU46" i="38"/>
  <c r="AL46" i="38" l="1"/>
  <c r="AQ46" i="38"/>
  <c r="B44" i="6"/>
  <c r="Y46" i="38"/>
  <c r="X46" i="38"/>
  <c r="D47" i="38"/>
  <c r="AP47" i="38"/>
  <c r="A46" i="7"/>
  <c r="A48" i="38"/>
  <c r="B47" i="38"/>
  <c r="AJ47" i="38"/>
  <c r="A69" i="24"/>
  <c r="E44" i="38"/>
  <c r="E10" i="23"/>
  <c r="D10" i="23" s="1"/>
  <c r="D45" i="7"/>
  <c r="B45" i="7"/>
  <c r="AG45" i="38"/>
  <c r="Z45" i="38"/>
  <c r="AS45" i="38" s="1"/>
  <c r="E45" i="38" s="1"/>
  <c r="AA45" i="38"/>
  <c r="AI45" i="38"/>
  <c r="AH45" i="38"/>
  <c r="C48" i="38"/>
  <c r="C46" i="7"/>
  <c r="AZ46" i="7"/>
  <c r="AU47" i="38"/>
  <c r="AL47" i="38" l="1"/>
  <c r="AP48" i="38"/>
  <c r="B48" i="38"/>
  <c r="AJ48" i="38"/>
  <c r="A47" i="7"/>
  <c r="D48" i="38"/>
  <c r="A49" i="38"/>
  <c r="A70" i="24"/>
  <c r="AG46" i="38"/>
  <c r="AI46" i="38"/>
  <c r="AA46" i="38"/>
  <c r="AH46" i="38"/>
  <c r="Z46" i="38"/>
  <c r="AS46" i="38" s="1"/>
  <c r="D46" i="7"/>
  <c r="B46" i="7"/>
  <c r="B45" i="6"/>
  <c r="X47" i="38"/>
  <c r="Y47" i="38"/>
  <c r="AQ47" i="38"/>
  <c r="C47" i="7"/>
  <c r="C49" i="38"/>
  <c r="AZ47" i="7"/>
  <c r="AU48" i="38"/>
  <c r="AL48" i="38" l="1"/>
  <c r="AQ48" i="38"/>
  <c r="AG47" i="38"/>
  <c r="AH47" i="38"/>
  <c r="AA47" i="38"/>
  <c r="Z47" i="38"/>
  <c r="AS47" i="38" s="1"/>
  <c r="E47" i="38" s="1"/>
  <c r="AI47" i="38"/>
  <c r="E46" i="38"/>
  <c r="E12" i="23"/>
  <c r="D12" i="23" s="1"/>
  <c r="B47" i="7"/>
  <c r="D47" i="7"/>
  <c r="B46" i="6"/>
  <c r="Y48" i="38"/>
  <c r="X48" i="38"/>
  <c r="A48" i="7"/>
  <c r="A50" i="38"/>
  <c r="A71" i="24"/>
  <c r="AP49" i="38"/>
  <c r="D49" i="38"/>
  <c r="AJ49" i="38"/>
  <c r="B49" i="38"/>
  <c r="C50" i="38"/>
  <c r="C48" i="7"/>
  <c r="AZ48" i="7"/>
  <c r="AU49" i="38"/>
  <c r="AL49" i="38" l="1"/>
  <c r="AQ49" i="38"/>
  <c r="X49" i="38"/>
  <c r="Y49" i="38"/>
  <c r="A49" i="7"/>
  <c r="A72" i="24"/>
  <c r="B50" i="38"/>
  <c r="AJ50" i="38"/>
  <c r="AP50" i="38"/>
  <c r="A51" i="38"/>
  <c r="D50" i="38"/>
  <c r="B47" i="6"/>
  <c r="AA48" i="38"/>
  <c r="AG48" i="38"/>
  <c r="AH48" i="38"/>
  <c r="AI48" i="38"/>
  <c r="Z48" i="38"/>
  <c r="AS48" i="38" s="1"/>
  <c r="E48" i="38" s="1"/>
  <c r="D48" i="7"/>
  <c r="B48" i="7"/>
  <c r="C51" i="38"/>
  <c r="C49" i="7"/>
  <c r="AU50" i="38"/>
  <c r="AZ49" i="7"/>
  <c r="AL50" i="38" l="1"/>
  <c r="AQ50" i="38"/>
  <c r="B48" i="6"/>
  <c r="B49" i="7"/>
  <c r="D49" i="7"/>
  <c r="Y50" i="38"/>
  <c r="X50" i="38"/>
  <c r="B51" i="38"/>
  <c r="D51" i="38"/>
  <c r="A73" i="24"/>
  <c r="A52" i="38"/>
  <c r="AJ51" i="38"/>
  <c r="AP51" i="38"/>
  <c r="A50" i="7"/>
  <c r="AG49" i="38"/>
  <c r="AA49" i="38"/>
  <c r="AH49" i="38"/>
  <c r="AI49" i="38"/>
  <c r="Z49" i="38"/>
  <c r="AS49" i="38" s="1"/>
  <c r="E49" i="38" s="1"/>
  <c r="C50" i="7"/>
  <c r="C52" i="38"/>
  <c r="AU51" i="38"/>
  <c r="AZ50" i="7"/>
  <c r="AL51" i="38" l="1"/>
  <c r="Y51" i="38"/>
  <c r="X51" i="38"/>
  <c r="AQ51" i="38"/>
  <c r="A53" i="38"/>
  <c r="A74" i="24"/>
  <c r="A51" i="7"/>
  <c r="B52" i="38"/>
  <c r="D52" i="38"/>
  <c r="AP52" i="38"/>
  <c r="AJ52" i="38"/>
  <c r="AI50" i="38"/>
  <c r="Z50" i="38"/>
  <c r="AS50" i="38" s="1"/>
  <c r="E50" i="38" s="1"/>
  <c r="AG50" i="38"/>
  <c r="AA50" i="38"/>
  <c r="AH50" i="38"/>
  <c r="B49" i="6"/>
  <c r="B50" i="6" s="1"/>
  <c r="B50" i="7"/>
  <c r="D50" i="7"/>
  <c r="C53" i="38"/>
  <c r="C51" i="7"/>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U53" i="38"/>
  <c r="AZ52" i="7"/>
  <c r="AQ53" i="38" l="1"/>
  <c r="AL53" i="38"/>
  <c r="D52" i="7"/>
  <c r="B52" i="7"/>
  <c r="Y53" i="38"/>
  <c r="X53" i="38"/>
  <c r="B51" i="6"/>
  <c r="AA52" i="38"/>
  <c r="AG52" i="38"/>
  <c r="Z52" i="38"/>
  <c r="AS52" i="38" s="1"/>
  <c r="E52" i="38" s="1"/>
  <c r="AI52" i="38"/>
  <c r="AH52" i="38"/>
  <c r="A55" i="38"/>
  <c r="AP54" i="38"/>
  <c r="D54" i="38"/>
  <c r="A53" i="7"/>
  <c r="B54" i="38"/>
  <c r="A76" i="24"/>
  <c r="AJ54" i="38"/>
  <c r="C53" i="7"/>
  <c r="C55" i="38"/>
  <c r="AZ53" i="7"/>
  <c r="AU54" i="38"/>
  <c r="AL54" i="38" l="1"/>
  <c r="B52" i="6"/>
  <c r="D53" i="7"/>
  <c r="B53" i="7"/>
  <c r="Y54" i="38"/>
  <c r="X54" i="38"/>
  <c r="Z53" i="38"/>
  <c r="AS53" i="38" s="1"/>
  <c r="E53" i="38" s="1"/>
  <c r="AG53" i="38"/>
  <c r="AA53" i="38"/>
  <c r="AH53" i="38"/>
  <c r="AI53" i="38"/>
  <c r="AQ54" i="38"/>
  <c r="A77" i="24"/>
  <c r="AP55" i="38"/>
  <c r="B55" i="38"/>
  <c r="D55" i="38"/>
  <c r="A56" i="38"/>
  <c r="A54" i="7"/>
  <c r="AJ55" i="38"/>
  <c r="C54" i="7"/>
  <c r="C56" i="38"/>
  <c r="AU55" i="38"/>
  <c r="AZ54" i="7"/>
  <c r="AL55" i="38" l="1"/>
  <c r="B53" i="6"/>
  <c r="B56" i="38"/>
  <c r="A55" i="7"/>
  <c r="AP56" i="38"/>
  <c r="D56" i="38"/>
  <c r="AJ56" i="38"/>
  <c r="A57" i="38"/>
  <c r="A78" i="24"/>
  <c r="AA54" i="38"/>
  <c r="AG54" i="38"/>
  <c r="AH54" i="38"/>
  <c r="Z54" i="38"/>
  <c r="AS54" i="38" s="1"/>
  <c r="E54" i="38" s="1"/>
  <c r="AI54" i="38"/>
  <c r="AQ55" i="38"/>
  <c r="X55" i="38"/>
  <c r="Y55" i="38"/>
  <c r="B54" i="7"/>
  <c r="D54" i="7"/>
  <c r="C55" i="7"/>
  <c r="C57" i="38"/>
  <c r="AZ55" i="7"/>
  <c r="AU56" i="38"/>
  <c r="AL56" i="38" l="1"/>
  <c r="AQ56" i="38"/>
  <c r="B54" i="6"/>
  <c r="D57" i="38"/>
  <c r="A58" i="38"/>
  <c r="A56" i="7"/>
  <c r="AP57" i="38"/>
  <c r="A79" i="24"/>
  <c r="AJ57" i="38"/>
  <c r="B57" i="38"/>
  <c r="B55" i="7"/>
  <c r="D55" i="7"/>
  <c r="AG55" i="38"/>
  <c r="AI55" i="38"/>
  <c r="AA55" i="38"/>
  <c r="AH55" i="38"/>
  <c r="Z55" i="38"/>
  <c r="AS55" i="38" s="1"/>
  <c r="E55" i="38" s="1"/>
  <c r="X56" i="38"/>
  <c r="Y56" i="38"/>
  <c r="C58" i="38"/>
  <c r="C56" i="7"/>
  <c r="AZ56" i="7"/>
  <c r="AU57" i="38"/>
  <c r="AL57" i="38" l="1"/>
  <c r="D56" i="7"/>
  <c r="B56" i="7"/>
  <c r="X57" i="38"/>
  <c r="Y57" i="38"/>
  <c r="D58" i="38"/>
  <c r="B58" i="38"/>
  <c r="A57" i="7"/>
  <c r="A59" i="38"/>
  <c r="AP58" i="38"/>
  <c r="A80" i="24"/>
  <c r="AJ58" i="38"/>
  <c r="AA56" i="38"/>
  <c r="AI56" i="38"/>
  <c r="Z56" i="38"/>
  <c r="AS56" i="38" s="1"/>
  <c r="AH56" i="38"/>
  <c r="AG56" i="38"/>
  <c r="AQ57" i="38"/>
  <c r="AQ58" i="38" s="1"/>
  <c r="B55" i="6"/>
  <c r="B56" i="6" s="1"/>
  <c r="C59" i="38"/>
  <c r="C57" i="7"/>
  <c r="AZ57" i="7"/>
  <c r="AU58" i="38"/>
  <c r="AL58" i="38" l="1"/>
  <c r="AP59" i="38"/>
  <c r="D59" i="38"/>
  <c r="A60" i="38"/>
  <c r="A58" i="7"/>
  <c r="A81" i="24"/>
  <c r="B59" i="38"/>
  <c r="AJ59" i="38"/>
  <c r="E56" i="38"/>
  <c r="E22" i="23"/>
  <c r="D22" i="23" s="1"/>
  <c r="Y58" i="38"/>
  <c r="X58" i="38"/>
  <c r="B57" i="7"/>
  <c r="D57" i="7"/>
  <c r="AH57" i="38"/>
  <c r="AG57" i="38"/>
  <c r="AA57" i="38"/>
  <c r="Z57" i="38"/>
  <c r="AS57" i="38" s="1"/>
  <c r="E57" i="38" s="1"/>
  <c r="AI57" i="38"/>
  <c r="C60" i="38"/>
  <c r="C58" i="7"/>
  <c r="AU59" i="38"/>
  <c r="AZ58" i="7"/>
  <c r="AL59" i="38" l="1"/>
  <c r="AP60" i="38"/>
  <c r="A61" i="38"/>
  <c r="A82" i="24"/>
  <c r="AJ60" i="38"/>
  <c r="B60" i="38"/>
  <c r="A59" i="7"/>
  <c r="D60" i="38"/>
  <c r="X59" i="38"/>
  <c r="Y59" i="38"/>
  <c r="AH58" i="38"/>
  <c r="Z58" i="38"/>
  <c r="AS58" i="38" s="1"/>
  <c r="E58" i="38" s="1"/>
  <c r="AG58" i="38"/>
  <c r="AI58" i="38"/>
  <c r="AA58" i="38"/>
  <c r="B57" i="6"/>
  <c r="B58" i="6" s="1"/>
  <c r="D58" i="7"/>
  <c r="B58" i="7"/>
  <c r="AQ59" i="38"/>
  <c r="C59" i="7"/>
  <c r="C61" i="38"/>
  <c r="AZ59" i="7"/>
  <c r="AU60" i="38"/>
  <c r="AL60" i="38" l="1"/>
  <c r="AQ60" i="38"/>
  <c r="X60" i="38"/>
  <c r="Y60" i="38"/>
  <c r="D59" i="7"/>
  <c r="B59" i="7"/>
  <c r="A60" i="7"/>
  <c r="AP61" i="38"/>
  <c r="D61" i="38"/>
  <c r="AJ61" i="38"/>
  <c r="A83" i="24"/>
  <c r="A62" i="38"/>
  <c r="B61" i="38"/>
  <c r="AA59" i="38"/>
  <c r="Z59" i="38"/>
  <c r="AS59" i="38" s="1"/>
  <c r="E59" i="38" s="1"/>
  <c r="AI59" i="38"/>
  <c r="AH59" i="38"/>
  <c r="AG59" i="38"/>
  <c r="C60" i="7"/>
  <c r="C62" i="38"/>
  <c r="AU61" i="38"/>
  <c r="AZ60" i="7"/>
  <c r="AL61" i="38" l="1"/>
  <c r="AQ61" i="38"/>
  <c r="B62" i="38"/>
  <c r="A63" i="38"/>
  <c r="AP62" i="38"/>
  <c r="D62" i="38"/>
  <c r="A61" i="7"/>
  <c r="A84" i="24"/>
  <c r="AJ62" i="38"/>
  <c r="B60" i="7"/>
  <c r="D60" i="7"/>
  <c r="AH60" i="38"/>
  <c r="Z60" i="38"/>
  <c r="AS60" i="38" s="1"/>
  <c r="E60" i="38" s="1"/>
  <c r="AG60" i="38"/>
  <c r="AA60" i="38"/>
  <c r="AI60" i="38"/>
  <c r="X61" i="38"/>
  <c r="Y61" i="38"/>
  <c r="B59" i="6"/>
  <c r="C61" i="7"/>
  <c r="C63" i="38"/>
  <c r="AZ61" i="7"/>
  <c r="AU62" i="38"/>
  <c r="AL62" i="38" l="1"/>
  <c r="B60" i="6"/>
  <c r="AQ62" i="38"/>
  <c r="AA61" i="38"/>
  <c r="Z61" i="38"/>
  <c r="AS61" i="38" s="1"/>
  <c r="E61" i="38" s="1"/>
  <c r="AI61" i="38"/>
  <c r="AG61" i="38"/>
  <c r="AH61" i="38"/>
  <c r="X62" i="38"/>
  <c r="Y62" i="38"/>
  <c r="B63" i="38"/>
  <c r="AJ63" i="38"/>
  <c r="A85" i="24"/>
  <c r="A64" i="38"/>
  <c r="D63" i="38"/>
  <c r="A62" i="7"/>
  <c r="AP63" i="38"/>
  <c r="B61" i="7"/>
  <c r="D61" i="7"/>
  <c r="C64" i="38"/>
  <c r="C62" i="7"/>
  <c r="AU63" i="38"/>
  <c r="AZ62" i="7"/>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28" i="23"/>
  <c r="D28" i="23" s="1"/>
  <c r="E62" i="38"/>
  <c r="B62" i="6"/>
  <c r="D65" i="38"/>
  <c r="A87" i="24"/>
  <c r="A64" i="7"/>
  <c r="A66" i="38"/>
  <c r="AP65" i="38"/>
  <c r="B65" i="38"/>
  <c r="AJ65" i="38"/>
  <c r="X64" i="38"/>
  <c r="Y64" i="38"/>
  <c r="D63" i="7"/>
  <c r="B63" i="7"/>
  <c r="C64" i="7"/>
  <c r="C66" i="38"/>
  <c r="AZ64" i="7"/>
  <c r="AU65" i="38"/>
  <c r="AL65" i="38" l="1"/>
  <c r="AQ65" i="38"/>
  <c r="B63" i="6"/>
  <c r="Y65" i="38"/>
  <c r="X65" i="38"/>
  <c r="D64" i="7"/>
  <c r="B64" i="7"/>
  <c r="AH64" i="38"/>
  <c r="AI64" i="38"/>
  <c r="Z64" i="38"/>
  <c r="AS64" i="38" s="1"/>
  <c r="AA64" i="38"/>
  <c r="AG64" i="38"/>
  <c r="B66" i="38"/>
  <c r="AJ66" i="38"/>
  <c r="A65" i="7"/>
  <c r="A67" i="38"/>
  <c r="AP66" i="38"/>
  <c r="D66" i="38"/>
  <c r="A88" i="24"/>
  <c r="C65" i="7"/>
  <c r="C67" i="38"/>
  <c r="AU66" i="38"/>
  <c r="AZ65" i="7"/>
  <c r="AL66" i="38" l="1"/>
  <c r="AQ66" i="38"/>
  <c r="B64" i="6"/>
  <c r="X66" i="38"/>
  <c r="Y66" i="38"/>
  <c r="E64" i="38"/>
  <c r="E30" i="23"/>
  <c r="D30" i="23" s="1"/>
  <c r="D67" i="38"/>
  <c r="B67" i="38"/>
  <c r="A68" i="38"/>
  <c r="AJ67" i="38"/>
  <c r="A66" i="7"/>
  <c r="AP67" i="38"/>
  <c r="A89" i="24"/>
  <c r="AA65" i="38"/>
  <c r="Z65" i="38"/>
  <c r="AS65" i="38" s="1"/>
  <c r="E65" i="38" s="1"/>
  <c r="AG65" i="38"/>
  <c r="AI65" i="38"/>
  <c r="AH65" i="38"/>
  <c r="D65" i="7"/>
  <c r="B65" i="7"/>
  <c r="C68" i="38"/>
  <c r="C66" i="7"/>
  <c r="AZ66" i="7"/>
  <c r="AU67" i="38"/>
  <c r="AL67" i="38" l="1"/>
  <c r="AA66" i="38"/>
  <c r="AH66" i="38"/>
  <c r="Z66" i="38"/>
  <c r="AS66" i="38" s="1"/>
  <c r="E66" i="38" s="1"/>
  <c r="AG66" i="38"/>
  <c r="AI66" i="38"/>
  <c r="Y67" i="38"/>
  <c r="X67" i="38"/>
  <c r="B65" i="6"/>
  <c r="A69" i="38"/>
  <c r="AJ68" i="38"/>
  <c r="A67" i="7"/>
  <c r="D68" i="38"/>
  <c r="AP68" i="38"/>
  <c r="B68" i="38"/>
  <c r="A90" i="24"/>
  <c r="B66" i="7"/>
  <c r="D66" i="7"/>
  <c r="AQ67" i="38"/>
  <c r="C67" i="7"/>
  <c r="C69" i="38"/>
  <c r="AZ67" i="7"/>
  <c r="AU68" i="38"/>
  <c r="AL68" i="38" l="1"/>
  <c r="AQ68" i="38"/>
  <c r="A70" i="38"/>
  <c r="B69" i="38"/>
  <c r="A91" i="24"/>
  <c r="AP69" i="38"/>
  <c r="AJ69" i="38"/>
  <c r="D69" i="38"/>
  <c r="A68" i="7"/>
  <c r="B66" i="6"/>
  <c r="B67" i="7"/>
  <c r="D67" i="7"/>
  <c r="AH67" i="38"/>
  <c r="Z67" i="38"/>
  <c r="AS67" i="38" s="1"/>
  <c r="E67" i="38" s="1"/>
  <c r="AA67" i="38"/>
  <c r="AG67" i="38"/>
  <c r="AI67" i="38"/>
  <c r="Y68" i="38"/>
  <c r="X68" i="38"/>
  <c r="C68" i="7"/>
  <c r="C70" i="38"/>
  <c r="AU69" i="38"/>
  <c r="AZ68" i="7"/>
  <c r="AL69" i="38" l="1"/>
  <c r="D68" i="7"/>
  <c r="B68" i="7"/>
  <c r="AG68" i="38"/>
  <c r="Z68" i="38"/>
  <c r="AS68" i="38" s="1"/>
  <c r="E68" i="38" s="1"/>
  <c r="AH68" i="38"/>
  <c r="AA68" i="38"/>
  <c r="AI68" i="38"/>
  <c r="X69" i="38"/>
  <c r="Y69" i="38"/>
  <c r="AP70" i="38"/>
  <c r="AJ70" i="38"/>
  <c r="A71" i="38"/>
  <c r="D70" i="38"/>
  <c r="A69" i="7"/>
  <c r="A92" i="24"/>
  <c r="B70" i="38"/>
  <c r="B67" i="6"/>
  <c r="AQ69" i="38"/>
  <c r="C71" i="38"/>
  <c r="C69" i="7"/>
  <c r="AZ69" i="7"/>
  <c r="AU70" i="38"/>
  <c r="AL70" i="38" l="1"/>
  <c r="B68" i="6"/>
  <c r="X70" i="38"/>
  <c r="Y70" i="38"/>
  <c r="AQ70" i="38"/>
  <c r="AG69" i="38"/>
  <c r="AH69" i="38"/>
  <c r="Z69" i="38"/>
  <c r="AS69" i="38" s="1"/>
  <c r="E69" i="38" s="1"/>
  <c r="AA69" i="38"/>
  <c r="AI69" i="38"/>
  <c r="D69" i="7"/>
  <c r="B69" i="7"/>
  <c r="A93" i="24"/>
  <c r="AP71" i="38"/>
  <c r="D71" i="38"/>
  <c r="A72" i="38"/>
  <c r="AJ71" i="38"/>
  <c r="A70" i="7"/>
  <c r="B71" i="38"/>
  <c r="C70" i="7"/>
  <c r="C72" i="38"/>
  <c r="AZ70" i="7"/>
  <c r="AU71" i="38"/>
  <c r="AL71" i="38" l="1"/>
  <c r="X71" i="38"/>
  <c r="Y71" i="38"/>
  <c r="AQ71" i="38"/>
  <c r="AP72" i="38"/>
  <c r="AJ72" i="38"/>
  <c r="A71" i="7"/>
  <c r="D72" i="38"/>
  <c r="A73" i="38"/>
  <c r="B72" i="38"/>
  <c r="A94" i="24"/>
  <c r="B69" i="6"/>
  <c r="B70" i="7"/>
  <c r="D70" i="7"/>
  <c r="AI70" i="38"/>
  <c r="AG70" i="38"/>
  <c r="Z70" i="38"/>
  <c r="AS70" i="38" s="1"/>
  <c r="E70" i="38" s="1"/>
  <c r="AA70" i="38"/>
  <c r="AH70" i="38"/>
  <c r="C73" i="38"/>
  <c r="C71" i="7"/>
  <c r="AZ71" i="7"/>
  <c r="AU72" i="38"/>
  <c r="AL72" i="38" l="1"/>
  <c r="B70" i="6"/>
  <c r="X72" i="38"/>
  <c r="Y72" i="38"/>
  <c r="AI71" i="38"/>
  <c r="AG71" i="38"/>
  <c r="Z71" i="38"/>
  <c r="AS71" i="38" s="1"/>
  <c r="E71" i="38" s="1"/>
  <c r="AA71" i="38"/>
  <c r="AH71" i="38"/>
  <c r="A72" i="7"/>
  <c r="AJ73" i="38"/>
  <c r="A95" i="24"/>
  <c r="D73" i="38"/>
  <c r="AL73" i="38" s="1"/>
  <c r="B73" i="38"/>
  <c r="A74" i="38"/>
  <c r="AP73" i="38"/>
  <c r="AQ72" i="38"/>
  <c r="B71" i="7"/>
  <c r="D71" i="7"/>
  <c r="C72" i="7"/>
  <c r="C74" i="38"/>
  <c r="AZ72" i="7"/>
  <c r="AU73" i="38"/>
  <c r="B71" i="6" l="1"/>
  <c r="AQ73" i="38"/>
  <c r="D72" i="7"/>
  <c r="B72" i="7"/>
  <c r="D74" i="38"/>
  <c r="AL74" i="38" s="1"/>
  <c r="AJ74" i="38"/>
  <c r="A73" i="7"/>
  <c r="AP74" i="38"/>
  <c r="A75" i="38"/>
  <c r="A96" i="24"/>
  <c r="B74" i="38"/>
  <c r="X73" i="38"/>
  <c r="Y73" i="38"/>
  <c r="AG72" i="38"/>
  <c r="AA72" i="38"/>
  <c r="AI72" i="38"/>
  <c r="AH72" i="38"/>
  <c r="Z72" i="38"/>
  <c r="AS72" i="38" s="1"/>
  <c r="E72" i="38" s="1"/>
  <c r="C75" i="38"/>
  <c r="C73" i="7"/>
  <c r="AU74" i="38"/>
  <c r="AZ73" i="7"/>
  <c r="AQ74" i="38" l="1"/>
  <c r="AA73" i="38"/>
  <c r="AH73" i="38"/>
  <c r="AI73" i="38"/>
  <c r="AG73" i="38"/>
  <c r="Z73" i="38"/>
  <c r="AS73" i="38" s="1"/>
  <c r="E73" i="38" s="1"/>
  <c r="A97" i="24"/>
  <c r="B75" i="38"/>
  <c r="A76" i="38"/>
  <c r="AP75" i="38"/>
  <c r="AJ75" i="38"/>
  <c r="D75" i="38"/>
  <c r="AL75" i="38" s="1"/>
  <c r="A74" i="7"/>
  <c r="B73" i="7"/>
  <c r="D73" i="7"/>
  <c r="Y74" i="38"/>
  <c r="X74" i="38"/>
  <c r="B72" i="6"/>
  <c r="B73" i="6" s="1"/>
  <c r="C74" i="7"/>
  <c r="C76" i="38"/>
  <c r="AZ74" i="7"/>
  <c r="AU75" i="38"/>
  <c r="D74" i="7" l="1"/>
  <c r="B74" i="7"/>
  <c r="D76" i="38"/>
  <c r="AL76" i="38" s="1"/>
  <c r="AJ76" i="38"/>
  <c r="AP76" i="38"/>
  <c r="B76" i="38"/>
  <c r="A75" i="7"/>
  <c r="A77" i="38"/>
  <c r="A98" i="24"/>
  <c r="X75" i="38"/>
  <c r="Y75" i="38"/>
  <c r="AA74" i="38"/>
  <c r="AH74" i="38"/>
  <c r="AI74" i="38"/>
  <c r="AG74" i="38"/>
  <c r="Z74" i="38"/>
  <c r="AS74" i="38" s="1"/>
  <c r="E74" i="38" s="1"/>
  <c r="AQ75" i="38"/>
  <c r="C75" i="7"/>
  <c r="C77" i="38"/>
  <c r="AU76" i="38"/>
  <c r="AZ75" i="7"/>
  <c r="B74" i="6" l="1"/>
  <c r="Z75" i="38"/>
  <c r="AS75" i="38" s="1"/>
  <c r="E75" i="38" s="1"/>
  <c r="AG75" i="38"/>
  <c r="AA75" i="38"/>
  <c r="AI75" i="38"/>
  <c r="AH75" i="38"/>
  <c r="B77" i="38"/>
  <c r="AJ77" i="38"/>
  <c r="A76" i="7"/>
  <c r="D77" i="38"/>
  <c r="AL77" i="38" s="1"/>
  <c r="A99" i="24"/>
  <c r="AP77" i="38"/>
  <c r="A78" i="38"/>
  <c r="Y76" i="38"/>
  <c r="X76" i="38"/>
  <c r="AQ76" i="38"/>
  <c r="D75" i="7"/>
  <c r="B75" i="7"/>
  <c r="C78" i="38"/>
  <c r="C76" i="7"/>
  <c r="AU77" i="38"/>
  <c r="AZ76" i="7"/>
  <c r="AQ77" i="38" l="1"/>
  <c r="B75" i="6"/>
  <c r="B78" i="38"/>
  <c r="A100" i="24"/>
  <c r="A79" i="38"/>
  <c r="AJ78" i="38"/>
  <c r="A77" i="7"/>
  <c r="AP78" i="38"/>
  <c r="D78" i="38"/>
  <c r="AL78" i="38" s="1"/>
  <c r="D76" i="7"/>
  <c r="B76" i="7"/>
  <c r="X77" i="38"/>
  <c r="Y77" i="38"/>
  <c r="AG76" i="38"/>
  <c r="Z76" i="38"/>
  <c r="AS76" i="38" s="1"/>
  <c r="E76" i="38" s="1"/>
  <c r="AH76" i="38"/>
  <c r="AA76" i="38"/>
  <c r="AI76" i="38"/>
  <c r="C77" i="7"/>
  <c r="C79" i="38"/>
  <c r="AU78" i="38"/>
  <c r="AZ77" i="7"/>
  <c r="B76" i="6" l="1"/>
  <c r="AP79" i="38"/>
  <c r="A101" i="24"/>
  <c r="A80" i="38"/>
  <c r="AJ79" i="38"/>
  <c r="A78" i="7"/>
  <c r="B79" i="38"/>
  <c r="D79" i="38"/>
  <c r="AL79" i="38" s="1"/>
  <c r="AG77" i="38"/>
  <c r="AI77" i="38"/>
  <c r="Z77" i="38"/>
  <c r="AS77" i="38" s="1"/>
  <c r="E77" i="38" s="1"/>
  <c r="AA77" i="38"/>
  <c r="AH77" i="38"/>
  <c r="D77" i="7"/>
  <c r="B77" i="7"/>
  <c r="X78" i="38"/>
  <c r="Y78" i="38"/>
  <c r="AQ78" i="38"/>
  <c r="C78" i="7"/>
  <c r="C80" i="38"/>
  <c r="AZ78" i="7"/>
  <c r="AU79" i="38"/>
  <c r="B77" i="6" l="1"/>
  <c r="AQ79" i="38"/>
  <c r="D78" i="7"/>
  <c r="B78" i="7"/>
  <c r="A81" i="38"/>
  <c r="D80" i="38"/>
  <c r="AL80" i="38" s="1"/>
  <c r="AP80" i="38"/>
  <c r="AJ80" i="38"/>
  <c r="A79" i="7"/>
  <c r="A102" i="24"/>
  <c r="B80" i="38"/>
  <c r="AG78" i="38"/>
  <c r="AI78" i="38"/>
  <c r="Z78" i="38"/>
  <c r="AS78" i="38" s="1"/>
  <c r="E78" i="38" s="1"/>
  <c r="AH78" i="38"/>
  <c r="AA78" i="38"/>
  <c r="Y79" i="38"/>
  <c r="X79" i="38"/>
  <c r="C79" i="7"/>
  <c r="C81" i="38"/>
  <c r="AZ79" i="7"/>
  <c r="AU80" i="38"/>
  <c r="AQ80" i="38" l="1"/>
  <c r="Y80" i="38"/>
  <c r="X80" i="38"/>
  <c r="B78" i="6"/>
  <c r="AI79" i="38"/>
  <c r="AH79" i="38"/>
  <c r="Z79" i="38"/>
  <c r="AS79" i="38" s="1"/>
  <c r="E79" i="38" s="1"/>
  <c r="AA79" i="38"/>
  <c r="AG79" i="38"/>
  <c r="B79" i="7"/>
  <c r="D79" i="7"/>
  <c r="AP81" i="38"/>
  <c r="B81" i="38"/>
  <c r="D81" i="38"/>
  <c r="AL81" i="38" s="1"/>
  <c r="AJ81" i="38"/>
  <c r="A82" i="38"/>
  <c r="A80" i="7"/>
  <c r="A103" i="24"/>
  <c r="C80" i="7"/>
  <c r="C82" i="38"/>
  <c r="AU81" i="38"/>
  <c r="AZ80" i="7"/>
  <c r="B79" i="6" l="1"/>
  <c r="AQ81" i="38"/>
  <c r="X81" i="38"/>
  <c r="Y81" i="38"/>
  <c r="AG80" i="38"/>
  <c r="AH80" i="38"/>
  <c r="AI80" i="38"/>
  <c r="Z80" i="38"/>
  <c r="AS80" i="38" s="1"/>
  <c r="E80" i="38" s="1"/>
  <c r="AA80" i="38"/>
  <c r="A104" i="24"/>
  <c r="AJ82" i="38"/>
  <c r="D82" i="38"/>
  <c r="AL82" i="38" s="1"/>
  <c r="AP82" i="38"/>
  <c r="A81" i="7"/>
  <c r="A83" i="38"/>
  <c r="B82" i="38"/>
  <c r="D80" i="7"/>
  <c r="B80" i="7"/>
  <c r="C81" i="7"/>
  <c r="C83" i="38"/>
  <c r="AZ81" i="7"/>
  <c r="AU82" i="38"/>
  <c r="B80" i="6" l="1"/>
  <c r="AQ82" i="38"/>
  <c r="AP83" i="38"/>
  <c r="A84" i="38"/>
  <c r="A105" i="24"/>
  <c r="AJ83" i="38"/>
  <c r="A82" i="7"/>
  <c r="B83" i="38"/>
  <c r="D83" i="38"/>
  <c r="AL83" i="38" s="1"/>
  <c r="Y82" i="38"/>
  <c r="X82" i="38"/>
  <c r="AA81" i="38"/>
  <c r="AI81" i="38"/>
  <c r="AG81" i="38"/>
  <c r="Z81" i="38"/>
  <c r="AS81" i="38" s="1"/>
  <c r="E81" i="38" s="1"/>
  <c r="AH81" i="38"/>
  <c r="D81" i="7"/>
  <c r="B81" i="7"/>
  <c r="C82" i="7"/>
  <c r="C84" i="38"/>
  <c r="AU83" i="38"/>
  <c r="AZ82" i="7"/>
  <c r="B81" i="6" l="1"/>
  <c r="AG82" i="38"/>
  <c r="AI82" i="38"/>
  <c r="AA82" i="38"/>
  <c r="AH82" i="38"/>
  <c r="Z82" i="38"/>
  <c r="AS82" i="38" s="1"/>
  <c r="E82" i="38" s="1"/>
  <c r="B82" i="7"/>
  <c r="D82" i="7"/>
  <c r="A106" i="24"/>
  <c r="AP84" i="38"/>
  <c r="A83" i="7"/>
  <c r="A85" i="38"/>
  <c r="B84" i="38"/>
  <c r="D84" i="38"/>
  <c r="AL84" i="38" s="1"/>
  <c r="AJ84" i="38"/>
  <c r="X83" i="38"/>
  <c r="Y83" i="38"/>
  <c r="AQ83" i="38"/>
  <c r="C85" i="38"/>
  <c r="C83" i="7"/>
  <c r="AZ83" i="7"/>
  <c r="AU84" i="38"/>
  <c r="AQ84" i="38" l="1"/>
  <c r="AP85" i="38"/>
  <c r="A84" i="7"/>
  <c r="D85" i="38"/>
  <c r="AL85" i="38" s="1"/>
  <c r="A107" i="24"/>
  <c r="A86" i="38"/>
  <c r="AJ85" i="38"/>
  <c r="B85" i="38"/>
  <c r="X84" i="38"/>
  <c r="Y84" i="38"/>
  <c r="B83" i="7"/>
  <c r="D83" i="7"/>
  <c r="AA83" i="38"/>
  <c r="AH83" i="38"/>
  <c r="Z83" i="38"/>
  <c r="AS83" i="38" s="1"/>
  <c r="E83" i="38" s="1"/>
  <c r="AG83" i="38"/>
  <c r="AI83" i="38"/>
  <c r="B82" i="6"/>
  <c r="C84" i="7"/>
  <c r="C86" i="38"/>
  <c r="AU85" i="38"/>
  <c r="AZ84" i="7"/>
  <c r="AQ85" i="38" l="1"/>
  <c r="B83" i="6"/>
  <c r="X85" i="38"/>
  <c r="Y85" i="38"/>
  <c r="D84" i="7"/>
  <c r="B84" i="7"/>
  <c r="AA84" i="38"/>
  <c r="AI84" i="38"/>
  <c r="Z84" i="38"/>
  <c r="AS84" i="38" s="1"/>
  <c r="E84" i="38" s="1"/>
  <c r="AH84" i="38"/>
  <c r="AG84" i="38"/>
  <c r="B86" i="38"/>
  <c r="A87" i="38"/>
  <c r="A85" i="7"/>
  <c r="AJ86" i="38"/>
  <c r="A108" i="24"/>
  <c r="D86" i="38"/>
  <c r="AL86" i="38" s="1"/>
  <c r="AP86" i="38"/>
  <c r="C85" i="7"/>
  <c r="C87" i="38"/>
  <c r="AZ85" i="7"/>
  <c r="AU86" i="38"/>
  <c r="Y86" i="38" l="1"/>
  <c r="X86" i="38"/>
  <c r="AH85" i="38"/>
  <c r="AG85" i="38"/>
  <c r="AA85" i="38"/>
  <c r="Z85" i="38"/>
  <c r="AS85" i="38" s="1"/>
  <c r="E85" i="38" s="1"/>
  <c r="AI85" i="38"/>
  <c r="B85" i="7"/>
  <c r="D85" i="7"/>
  <c r="B84" i="6"/>
  <c r="B85" i="6" s="1"/>
  <c r="A88" i="38"/>
  <c r="B87" i="38"/>
  <c r="A86" i="7"/>
  <c r="D87" i="38"/>
  <c r="AL87" i="38" s="1"/>
  <c r="A109" i="24"/>
  <c r="AJ87" i="38"/>
  <c r="AP87" i="38"/>
  <c r="AQ86" i="38"/>
  <c r="C86" i="7"/>
  <c r="C88" i="38"/>
  <c r="AU87" i="38"/>
  <c r="AZ86" i="7"/>
  <c r="AQ87" i="38" l="1"/>
  <c r="Y87" i="38"/>
  <c r="X87" i="38"/>
  <c r="AI86" i="38"/>
  <c r="AA86" i="38"/>
  <c r="AH86" i="38"/>
  <c r="Z86" i="38"/>
  <c r="AS86" i="38" s="1"/>
  <c r="E86" i="38" s="1"/>
  <c r="AG86" i="38"/>
  <c r="D88" i="38"/>
  <c r="AL88" i="38" s="1"/>
  <c r="B88" i="38"/>
  <c r="AP88" i="38"/>
  <c r="A87" i="7"/>
  <c r="AJ88" i="38"/>
  <c r="A110" i="24"/>
  <c r="A89" i="38"/>
  <c r="D86" i="7"/>
  <c r="B86" i="7"/>
  <c r="C87" i="7"/>
  <c r="C89" i="38"/>
  <c r="AU88" i="38"/>
  <c r="AZ87" i="7"/>
  <c r="B86" i="6" l="1"/>
  <c r="B87" i="7"/>
  <c r="D87" i="7"/>
  <c r="A90" i="38"/>
  <c r="B89" i="38"/>
  <c r="AJ89" i="38"/>
  <c r="D89" i="38"/>
  <c r="AL89" i="38" s="1"/>
  <c r="A88" i="7"/>
  <c r="AP89" i="38"/>
  <c r="A111" i="24"/>
  <c r="AI87" i="38"/>
  <c r="AA87" i="38"/>
  <c r="Z87" i="38"/>
  <c r="AS87" i="38" s="1"/>
  <c r="AG87" i="38"/>
  <c r="AH87" i="38"/>
  <c r="Y88" i="38"/>
  <c r="X88" i="38"/>
  <c r="AQ88" i="38"/>
  <c r="C90" i="38"/>
  <c r="C88" i="7"/>
  <c r="AU89" i="38"/>
  <c r="AZ88" i="7"/>
  <c r="B88" i="7" l="1"/>
  <c r="D88" i="7"/>
  <c r="AP90" i="38"/>
  <c r="A112" i="24"/>
  <c r="A89" i="7"/>
  <c r="B90" i="38"/>
  <c r="A91" i="38"/>
  <c r="D90" i="38"/>
  <c r="AL90" i="38" s="1"/>
  <c r="AJ90" i="38"/>
  <c r="AQ89" i="38"/>
  <c r="E87" i="38"/>
  <c r="Y89" i="38"/>
  <c r="X89" i="38"/>
  <c r="AG88" i="38"/>
  <c r="AH88" i="38"/>
  <c r="AA88" i="38"/>
  <c r="Z88" i="38"/>
  <c r="AS88" i="38" s="1"/>
  <c r="E88" i="38" s="1"/>
  <c r="AI88" i="38"/>
  <c r="B87" i="6"/>
  <c r="C89" i="7"/>
  <c r="C91" i="38"/>
  <c r="AU90" i="38"/>
  <c r="AZ89" i="7"/>
  <c r="B88" i="6" l="1"/>
  <c r="G25" i="23"/>
  <c r="F25" i="23" s="1"/>
  <c r="AQ90" i="38"/>
  <c r="A90" i="7"/>
  <c r="AJ91" i="38"/>
  <c r="B91" i="38"/>
  <c r="AP91" i="38"/>
  <c r="A113" i="24"/>
  <c r="D91" i="38"/>
  <c r="AL91" i="38" s="1"/>
  <c r="A92" i="38"/>
  <c r="Z89" i="38"/>
  <c r="AS89" i="38" s="1"/>
  <c r="E89" i="38" s="1"/>
  <c r="AG89" i="38"/>
  <c r="AI89" i="38"/>
  <c r="AH89" i="38"/>
  <c r="AA89" i="38"/>
  <c r="Y90" i="38"/>
  <c r="X90" i="38"/>
  <c r="B89" i="7"/>
  <c r="D89" i="7"/>
  <c r="C90" i="7"/>
  <c r="C92" i="38"/>
  <c r="AZ90" i="7"/>
  <c r="AU91" i="38"/>
  <c r="AA90" i="38" l="1"/>
  <c r="AI90" i="38"/>
  <c r="Z90" i="38"/>
  <c r="AS90" i="38" s="1"/>
  <c r="E90" i="38" s="1"/>
  <c r="AG90" i="38"/>
  <c r="AH90" i="38"/>
  <c r="A93" i="38"/>
  <c r="A91" i="7"/>
  <c r="A114" i="24"/>
  <c r="D92" i="38"/>
  <c r="AL92" i="38" s="1"/>
  <c r="AP92" i="38"/>
  <c r="B92" i="38"/>
  <c r="AJ92" i="38"/>
  <c r="D90" i="7"/>
  <c r="B90" i="7"/>
  <c r="X91" i="38"/>
  <c r="Y91" i="38"/>
  <c r="AQ91" i="38"/>
  <c r="AQ92" i="38" s="1"/>
  <c r="B89" i="6"/>
  <c r="C93" i="38"/>
  <c r="C91" i="7"/>
  <c r="AZ91" i="7"/>
  <c r="AU92" i="38"/>
  <c r="B90" i="6" l="1"/>
  <c r="Y92" i="38"/>
  <c r="X92" i="38"/>
  <c r="AA91" i="38"/>
  <c r="AG91" i="38"/>
  <c r="AH91" i="38"/>
  <c r="AI91" i="38"/>
  <c r="Z91" i="38"/>
  <c r="AS91" i="38" s="1"/>
  <c r="E91" i="38" s="1"/>
  <c r="B91" i="7"/>
  <c r="D91" i="7"/>
  <c r="A115" i="24"/>
  <c r="AJ93" i="38"/>
  <c r="B93" i="38"/>
  <c r="D93" i="38"/>
  <c r="AL93" i="38" s="1"/>
  <c r="A92" i="7"/>
  <c r="A94" i="38"/>
  <c r="AP93" i="38"/>
  <c r="C94" i="38"/>
  <c r="C92" i="7"/>
  <c r="AU93" i="38"/>
  <c r="AZ92" i="7"/>
  <c r="AQ93" i="38" l="1"/>
  <c r="AP94" i="38"/>
  <c r="AJ94" i="38"/>
  <c r="D94" i="38"/>
  <c r="AL94" i="38" s="1"/>
  <c r="A116" i="24"/>
  <c r="A93" i="7"/>
  <c r="A95" i="38"/>
  <c r="B94" i="38"/>
  <c r="Y93" i="38"/>
  <c r="X93" i="38"/>
  <c r="B92" i="7"/>
  <c r="D92" i="7"/>
  <c r="B91" i="6"/>
  <c r="AA92" i="38"/>
  <c r="AG92" i="38"/>
  <c r="Z92" i="38"/>
  <c r="AS92" i="38" s="1"/>
  <c r="E92" i="38" s="1"/>
  <c r="AH92" i="38"/>
  <c r="AI92" i="38"/>
  <c r="C93" i="7"/>
  <c r="C95" i="38"/>
  <c r="AU94" i="38"/>
  <c r="AZ93" i="7"/>
  <c r="B92" i="6" l="1"/>
  <c r="AQ94" i="38"/>
  <c r="AP95" i="38"/>
  <c r="D95" i="38"/>
  <c r="AL95" i="38" s="1"/>
  <c r="B95" i="38"/>
  <c r="AJ95" i="38"/>
  <c r="A94" i="7"/>
  <c r="A117" i="24"/>
  <c r="A96" i="38"/>
  <c r="X94" i="38"/>
  <c r="Y94" i="38"/>
  <c r="AG93" i="38"/>
  <c r="Z93" i="38"/>
  <c r="AS93" i="38" s="1"/>
  <c r="E93" i="38" s="1"/>
  <c r="AA93" i="38"/>
  <c r="AH93" i="38"/>
  <c r="AI93" i="38"/>
  <c r="D93" i="7"/>
  <c r="B93" i="7"/>
  <c r="C96" i="38"/>
  <c r="C94" i="7"/>
  <c r="AZ94" i="7"/>
  <c r="AU95" i="38"/>
  <c r="AQ95" i="38" l="1"/>
  <c r="X95" i="38"/>
  <c r="Y95" i="38"/>
  <c r="B93" i="6"/>
  <c r="A95" i="7"/>
  <c r="A118" i="24"/>
  <c r="AP96" i="38"/>
  <c r="A97" i="38"/>
  <c r="AJ96" i="38"/>
  <c r="D96" i="38"/>
  <c r="AL96" i="38" s="1"/>
  <c r="B96" i="38"/>
  <c r="Z94" i="38"/>
  <c r="AS94" i="38" s="1"/>
  <c r="E94" i="38" s="1"/>
  <c r="AA94" i="38"/>
  <c r="AI94" i="38"/>
  <c r="AH94" i="38"/>
  <c r="AG94" i="38"/>
  <c r="B94" i="7"/>
  <c r="D94" i="7"/>
  <c r="C95" i="7"/>
  <c r="C97" i="38"/>
  <c r="AZ95" i="7"/>
  <c r="AU96" i="38"/>
  <c r="AQ96" i="38" l="1"/>
  <c r="B94" i="6"/>
  <c r="A119" i="24"/>
  <c r="A96" i="7"/>
  <c r="B97" i="38"/>
  <c r="AJ97" i="38"/>
  <c r="AP97" i="38"/>
  <c r="D97" i="38"/>
  <c r="AL97" i="38" s="1"/>
  <c r="A98" i="38"/>
  <c r="AI95" i="38"/>
  <c r="AA95" i="38"/>
  <c r="AH95" i="38"/>
  <c r="AG95" i="38"/>
  <c r="Z95" i="38"/>
  <c r="AS95" i="38" s="1"/>
  <c r="E95" i="38" s="1"/>
  <c r="Y96" i="38"/>
  <c r="X96" i="38"/>
  <c r="D95" i="7"/>
  <c r="B95" i="7"/>
  <c r="C98" i="38"/>
  <c r="C96" i="7"/>
  <c r="AU97" i="38"/>
  <c r="AZ96" i="7"/>
  <c r="B96" i="7" l="1"/>
  <c r="D96" i="7"/>
  <c r="Y97" i="38"/>
  <c r="X97" i="38"/>
  <c r="B95" i="6"/>
  <c r="AH96" i="38"/>
  <c r="AA96" i="38"/>
  <c r="AG96" i="38"/>
  <c r="AI96" i="38"/>
  <c r="Z96" i="38"/>
  <c r="AS96" i="38" s="1"/>
  <c r="E96" i="38" s="1"/>
  <c r="D98" i="38"/>
  <c r="AL98" i="38" s="1"/>
  <c r="AJ98" i="38"/>
  <c r="A99" i="38"/>
  <c r="AP98" i="38"/>
  <c r="A97" i="7"/>
  <c r="A120" i="24"/>
  <c r="B98" i="38"/>
  <c r="AQ97" i="38"/>
  <c r="C99" i="38"/>
  <c r="C97" i="7"/>
  <c r="AZ97" i="7"/>
  <c r="AU98" i="38"/>
  <c r="B97" i="7" l="1"/>
  <c r="D97" i="7"/>
  <c r="X98" i="38"/>
  <c r="Y98" i="38"/>
  <c r="Z97" i="38"/>
  <c r="AS97" i="38" s="1"/>
  <c r="E97" i="38" s="1"/>
  <c r="AH97" i="38"/>
  <c r="AA97" i="38"/>
  <c r="AG97" i="38"/>
  <c r="AI97" i="38"/>
  <c r="AQ98" i="38"/>
  <c r="AP99" i="38"/>
  <c r="D99" i="38"/>
  <c r="AL99" i="38" s="1"/>
  <c r="A100" i="38"/>
  <c r="AJ99" i="38"/>
  <c r="A121" i="24"/>
  <c r="A98" i="7"/>
  <c r="B99" i="38"/>
  <c r="B96" i="6"/>
  <c r="C98" i="7"/>
  <c r="C100" i="38"/>
  <c r="AZ98" i="7"/>
  <c r="AU99" i="38"/>
  <c r="B97" i="6" l="1"/>
  <c r="AQ99" i="38"/>
  <c r="X99" i="38"/>
  <c r="Y99" i="38"/>
  <c r="AH98" i="38"/>
  <c r="AA98" i="38"/>
  <c r="AI98" i="38"/>
  <c r="AG98" i="38"/>
  <c r="Z98" i="38"/>
  <c r="AS98" i="38" s="1"/>
  <c r="E98" i="38" s="1"/>
  <c r="D98" i="7"/>
  <c r="B98" i="7"/>
  <c r="A99" i="7"/>
  <c r="A101" i="38"/>
  <c r="D100" i="38"/>
  <c r="AL100" i="38" s="1"/>
  <c r="B100" i="38"/>
  <c r="AJ100" i="38"/>
  <c r="A122" i="24"/>
  <c r="AP100" i="38"/>
  <c r="C101" i="38"/>
  <c r="C99" i="7"/>
  <c r="AU100" i="38"/>
  <c r="AZ99" i="7"/>
  <c r="AQ100" i="38" l="1"/>
  <c r="B98" i="6"/>
  <c r="AP101" i="38"/>
  <c r="AJ101" i="38"/>
  <c r="B101" i="38"/>
  <c r="A100" i="7"/>
  <c r="A123" i="24"/>
  <c r="D101" i="38"/>
  <c r="AL101" i="38" s="1"/>
  <c r="A102" i="38"/>
  <c r="X100" i="38"/>
  <c r="Y100" i="38"/>
  <c r="D99" i="7"/>
  <c r="B99" i="7"/>
  <c r="AH99" i="38"/>
  <c r="Z99" i="38"/>
  <c r="AS99" i="38" s="1"/>
  <c r="E99" i="38" s="1"/>
  <c r="AG99" i="38"/>
  <c r="AA99" i="38"/>
  <c r="AI99" i="38"/>
  <c r="C102" i="38"/>
  <c r="C100" i="7"/>
  <c r="AZ100" i="7"/>
  <c r="AU101" i="38"/>
  <c r="AQ101" i="38" l="1"/>
  <c r="B100" i="7"/>
  <c r="D100" i="7"/>
  <c r="AP102" i="38"/>
  <c r="A101" i="7"/>
  <c r="A124" i="24"/>
  <c r="AJ102" i="38"/>
  <c r="B102" i="38"/>
  <c r="A103" i="38"/>
  <c r="D102" i="38"/>
  <c r="AL102" i="38" s="1"/>
  <c r="Y101" i="38"/>
  <c r="X101" i="38"/>
  <c r="B99" i="6"/>
  <c r="AI100" i="38"/>
  <c r="AG100" i="38"/>
  <c r="Z100" i="38"/>
  <c r="AS100" i="38" s="1"/>
  <c r="E100" i="38" s="1"/>
  <c r="AA100" i="38"/>
  <c r="AH100" i="38"/>
  <c r="C101" i="7"/>
  <c r="C103" i="38"/>
  <c r="AZ101" i="7"/>
  <c r="AU102" i="38"/>
  <c r="B100" i="6" l="1"/>
  <c r="AQ102" i="38"/>
  <c r="X102" i="38"/>
  <c r="Y102" i="38"/>
  <c r="AI101" i="38"/>
  <c r="AA101" i="38"/>
  <c r="Z101" i="38"/>
  <c r="AS101" i="38" s="1"/>
  <c r="E101" i="38" s="1"/>
  <c r="AH101" i="38"/>
  <c r="AG101" i="38"/>
  <c r="A125" i="24"/>
  <c r="D103" i="38"/>
  <c r="AL103" i="38" s="1"/>
  <c r="AP103" i="38"/>
  <c r="AJ103" i="38"/>
  <c r="A104" i="38"/>
  <c r="A102" i="7"/>
  <c r="B103" i="38"/>
  <c r="B101" i="7"/>
  <c r="D101" i="7"/>
  <c r="C104" i="38"/>
  <c r="C102" i="7"/>
  <c r="AU103" i="38"/>
  <c r="AZ102" i="7"/>
  <c r="B101" i="6" l="1"/>
  <c r="AQ103" i="38"/>
  <c r="X103" i="38"/>
  <c r="Y103" i="38"/>
  <c r="B102" i="7"/>
  <c r="D102" i="7"/>
  <c r="A126" i="24"/>
  <c r="AJ104" i="38"/>
  <c r="B104" i="38"/>
  <c r="A103" i="7"/>
  <c r="AP104" i="38"/>
  <c r="D104" i="38"/>
  <c r="AL104" i="38" s="1"/>
  <c r="A105" i="38"/>
  <c r="Z102" i="38"/>
  <c r="AS102" i="38" s="1"/>
  <c r="E102" i="38" s="1"/>
  <c r="AH102" i="38"/>
  <c r="AI102" i="38"/>
  <c r="AG102" i="38"/>
  <c r="AA102" i="38"/>
  <c r="C105" i="38"/>
  <c r="C103" i="7"/>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6" i="38"/>
  <c r="C104" i="7"/>
  <c r="AZ104" i="7"/>
  <c r="AU105" i="38"/>
  <c r="AQ105" i="38" l="1"/>
  <c r="B103" i="6"/>
  <c r="Z104" i="38"/>
  <c r="AS104" i="38" s="1"/>
  <c r="E104" i="38" s="1"/>
  <c r="AA104" i="38"/>
  <c r="AI104" i="38"/>
  <c r="AG104" i="38"/>
  <c r="AH104" i="38"/>
  <c r="D106" i="38"/>
  <c r="AL106" i="38" s="1"/>
  <c r="A107" i="38"/>
  <c r="AJ106" i="38"/>
  <c r="B106" i="38"/>
  <c r="A128" i="24"/>
  <c r="AP106" i="38"/>
  <c r="A105" i="7"/>
  <c r="Y105" i="38"/>
  <c r="X105" i="38"/>
  <c r="B104" i="7"/>
  <c r="D104" i="7"/>
  <c r="C105" i="7"/>
  <c r="C107" i="38"/>
  <c r="AZ105" i="7"/>
  <c r="AU106" i="38"/>
  <c r="B104" i="6" l="1"/>
  <c r="B107" i="38"/>
  <c r="AJ107" i="38"/>
  <c r="D107" i="38"/>
  <c r="AL107" i="38" s="1"/>
  <c r="A129" i="24"/>
  <c r="A108" i="38"/>
  <c r="AP107" i="38"/>
  <c r="A106" i="7"/>
  <c r="AQ106" i="38"/>
  <c r="AH105" i="38"/>
  <c r="AA105" i="38"/>
  <c r="AG105" i="38"/>
  <c r="Z105" i="38"/>
  <c r="AS105" i="38" s="1"/>
  <c r="E105" i="38" s="1"/>
  <c r="AI105" i="38"/>
  <c r="D105" i="7"/>
  <c r="B105" i="7"/>
  <c r="Y106" i="38"/>
  <c r="X106" i="38"/>
  <c r="C106" i="7"/>
  <c r="C108" i="38"/>
  <c r="AZ106" i="7"/>
  <c r="AU107" i="38"/>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U108" i="38"/>
  <c r="AZ107" i="7"/>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U109" i="38"/>
  <c r="AZ108" i="7"/>
  <c r="B107" i="6" l="1"/>
  <c r="I13" i="23"/>
  <c r="H13" i="23" s="1"/>
  <c r="B110" i="38"/>
  <c r="A132" i="24"/>
  <c r="A109" i="7"/>
  <c r="AJ110" i="38"/>
  <c r="AP110" i="38"/>
  <c r="D110" i="38"/>
  <c r="AL110" i="38" s="1"/>
  <c r="A111" i="38"/>
  <c r="AQ109" i="38"/>
  <c r="X109" i="38"/>
  <c r="Y109" i="38"/>
  <c r="AG108" i="38"/>
  <c r="AH108" i="38"/>
  <c r="AI108" i="38"/>
  <c r="AA108" i="38"/>
  <c r="Z108" i="38"/>
  <c r="AS108" i="38" s="1"/>
  <c r="E108" i="38" s="1"/>
  <c r="D108" i="7"/>
  <c r="B108" i="7"/>
  <c r="C109" i="7"/>
  <c r="C111" i="38"/>
  <c r="AU110" i="38"/>
  <c r="AZ109" i="7"/>
  <c r="AQ110" i="38" l="1"/>
  <c r="B108" i="6"/>
  <c r="Y110" i="38"/>
  <c r="X110" i="38"/>
  <c r="A110" i="7"/>
  <c r="A133" i="24"/>
  <c r="AP111" i="38"/>
  <c r="A112" i="38"/>
  <c r="AJ111" i="38"/>
  <c r="B111" i="38"/>
  <c r="D111" i="38"/>
  <c r="AL111" i="38" s="1"/>
  <c r="D109" i="7"/>
  <c r="B109" i="7"/>
  <c r="AI109" i="38"/>
  <c r="AG109" i="38"/>
  <c r="AH109" i="38"/>
  <c r="Z109" i="38"/>
  <c r="AS109" i="38" s="1"/>
  <c r="E109" i="38" s="1"/>
  <c r="AA109" i="38"/>
  <c r="C112" i="38"/>
  <c r="C110" i="7"/>
  <c r="AU111" i="38"/>
  <c r="AZ110" i="7"/>
  <c r="AQ111" i="38" l="1"/>
  <c r="Y111" i="38"/>
  <c r="X111" i="38"/>
  <c r="D110" i="7"/>
  <c r="B110" i="7"/>
  <c r="A113" i="38"/>
  <c r="B112" i="38"/>
  <c r="A111" i="7"/>
  <c r="AP112" i="38"/>
  <c r="D112" i="38"/>
  <c r="AL112" i="38" s="1"/>
  <c r="A134" i="24"/>
  <c r="AJ112" i="38"/>
  <c r="Z110" i="38"/>
  <c r="AS110" i="38" s="1"/>
  <c r="E110" i="38" s="1"/>
  <c r="AH110" i="38"/>
  <c r="AI110" i="38"/>
  <c r="AA110" i="38"/>
  <c r="AG110" i="38"/>
  <c r="B109" i="6"/>
  <c r="C111" i="7"/>
  <c r="C113" i="38"/>
  <c r="AZ111" i="7"/>
  <c r="AU112" i="38"/>
  <c r="B110" i="6" l="1"/>
  <c r="AQ112" i="38"/>
  <c r="X112" i="38"/>
  <c r="Y112" i="38"/>
  <c r="AI111" i="38"/>
  <c r="AA111" i="38"/>
  <c r="AG111" i="38"/>
  <c r="Z111" i="38"/>
  <c r="AS111" i="38" s="1"/>
  <c r="E111" i="38" s="1"/>
  <c r="AH111" i="38"/>
  <c r="B111" i="7"/>
  <c r="D111" i="7"/>
  <c r="B113" i="38"/>
  <c r="AP113" i="38"/>
  <c r="A135" i="24"/>
  <c r="AJ113" i="38"/>
  <c r="A112" i="7"/>
  <c r="D113" i="38"/>
  <c r="AL113" i="38" s="1"/>
  <c r="A114" i="38"/>
  <c r="C112" i="7"/>
  <c r="C114" i="38"/>
  <c r="AU113" i="38"/>
  <c r="AZ112" i="7"/>
  <c r="AQ113" i="38" l="1"/>
  <c r="B112" i="7"/>
  <c r="D112" i="7"/>
  <c r="B111" i="6"/>
  <c r="X113" i="38"/>
  <c r="Y113" i="38"/>
  <c r="A136" i="24"/>
  <c r="B114" i="38"/>
  <c r="AP114" i="38"/>
  <c r="A113" i="7"/>
  <c r="A115" i="38"/>
  <c r="D114" i="38"/>
  <c r="AL114" i="38" s="1"/>
  <c r="AJ114" i="38"/>
  <c r="AA112" i="38"/>
  <c r="AI112" i="38"/>
  <c r="AH112" i="38"/>
  <c r="Z112" i="38"/>
  <c r="AS112" i="38" s="1"/>
  <c r="E112" i="38" s="1"/>
  <c r="AG112" i="38"/>
  <c r="C113" i="7"/>
  <c r="C115" i="38"/>
  <c r="AU114" i="38"/>
  <c r="AZ113" i="7"/>
  <c r="B112" i="6" l="1"/>
  <c r="X114" i="38"/>
  <c r="Y114" i="38"/>
  <c r="AA113" i="38"/>
  <c r="Z113" i="38"/>
  <c r="AS113" i="38" s="1"/>
  <c r="E113" i="38" s="1"/>
  <c r="AG113" i="38"/>
  <c r="AH113" i="38"/>
  <c r="AI113" i="38"/>
  <c r="AP115" i="38"/>
  <c r="AJ115" i="38"/>
  <c r="B115" i="38"/>
  <c r="A116" i="38"/>
  <c r="A137" i="24"/>
  <c r="A114" i="7"/>
  <c r="D115" i="38"/>
  <c r="AL115" i="38" s="1"/>
  <c r="AQ114" i="38"/>
  <c r="B113" i="7"/>
  <c r="D113" i="7"/>
  <c r="C116" i="38"/>
  <c r="C114" i="7"/>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7" i="38"/>
  <c r="C115" i="7"/>
  <c r="AZ115" i="7"/>
  <c r="AU116" i="38"/>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6" i="7"/>
  <c r="C118" i="38"/>
  <c r="AZ116" i="7"/>
  <c r="AU117" i="38"/>
  <c r="AH116" i="38" l="1"/>
  <c r="Z116" i="38"/>
  <c r="AS116" i="38" s="1"/>
  <c r="E116" i="38" s="1"/>
  <c r="AG116" i="38"/>
  <c r="AI116" i="38"/>
  <c r="AA116" i="38"/>
  <c r="AQ117" i="38"/>
  <c r="B116" i="7"/>
  <c r="D116" i="7"/>
  <c r="Y117" i="38"/>
  <c r="X117" i="38"/>
  <c r="A140" i="24"/>
  <c r="AP118" i="38"/>
  <c r="B118" i="38"/>
  <c r="D118" i="38"/>
  <c r="AL118" i="38" s="1"/>
  <c r="A117" i="7"/>
  <c r="AJ118" i="38"/>
  <c r="A119" i="38"/>
  <c r="C119" i="38"/>
  <c r="C117" i="7"/>
  <c r="AU118" i="38"/>
  <c r="AZ117" i="7"/>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Z118" i="7"/>
  <c r="AU119" i="38"/>
  <c r="D118" i="7" l="1"/>
  <c r="B118" i="7"/>
  <c r="AQ119" i="38"/>
  <c r="B117" i="6"/>
  <c r="AG118" i="38"/>
  <c r="AH118" i="38"/>
  <c r="AA118" i="38"/>
  <c r="Z118" i="38"/>
  <c r="AS118" i="38" s="1"/>
  <c r="E118" i="38" s="1"/>
  <c r="AI118" i="38"/>
  <c r="X119" i="38"/>
  <c r="Y119" i="38"/>
  <c r="A142" i="24"/>
  <c r="AP120" i="38"/>
  <c r="A119" i="7"/>
  <c r="AJ120" i="38"/>
  <c r="A121" i="38"/>
  <c r="B120" i="38"/>
  <c r="D120" i="38"/>
  <c r="AL120" i="38" s="1"/>
  <c r="C119" i="7"/>
  <c r="C121" i="38"/>
  <c r="AZ119" i="7"/>
  <c r="AU120" i="38"/>
  <c r="Y120" i="38" l="1"/>
  <c r="X120" i="38"/>
  <c r="AQ120" i="38"/>
  <c r="B118" i="6"/>
  <c r="D119" i="7"/>
  <c r="B119" i="7"/>
  <c r="AG119" i="38"/>
  <c r="AA119" i="38"/>
  <c r="AH119" i="38"/>
  <c r="Z119" i="38"/>
  <c r="AS119" i="38" s="1"/>
  <c r="E119" i="38" s="1"/>
  <c r="AI119" i="38"/>
  <c r="A143" i="24"/>
  <c r="D121" i="38"/>
  <c r="AL121" i="38" s="1"/>
  <c r="AJ121" i="38"/>
  <c r="A122" i="38"/>
  <c r="A120" i="7"/>
  <c r="AP121" i="38"/>
  <c r="B121" i="38"/>
  <c r="C120" i="7"/>
  <c r="C122" i="38"/>
  <c r="AU121" i="38"/>
  <c r="AZ120" i="7"/>
  <c r="AQ121" i="38" l="1"/>
  <c r="A144" i="24"/>
  <c r="AJ122" i="38"/>
  <c r="AP122" i="38"/>
  <c r="B122" i="38"/>
  <c r="A121" i="7"/>
  <c r="A123" i="38"/>
  <c r="D122" i="38"/>
  <c r="AL122" i="38" s="1"/>
  <c r="B119" i="6"/>
  <c r="AI120" i="38"/>
  <c r="AA120" i="38"/>
  <c r="AH120" i="38"/>
  <c r="Z120" i="38"/>
  <c r="AS120" i="38" s="1"/>
  <c r="AG120" i="38"/>
  <c r="Y121" i="38"/>
  <c r="X121" i="38"/>
  <c r="D120" i="7"/>
  <c r="B120" i="7"/>
  <c r="C121" i="7"/>
  <c r="C123" i="38"/>
  <c r="AZ121" i="7"/>
  <c r="AU122" i="38"/>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2" i="7"/>
  <c r="C124" i="38"/>
  <c r="AU123" i="38"/>
  <c r="AZ122" i="7"/>
  <c r="I27" i="23" l="1"/>
  <c r="H27" i="23" s="1"/>
  <c r="B121" i="6"/>
  <c r="D124" i="38"/>
  <c r="AL124" i="38" s="1"/>
  <c r="AJ124" i="38"/>
  <c r="A123" i="7"/>
  <c r="B124" i="38"/>
  <c r="A125" i="38"/>
  <c r="A146" i="24"/>
  <c r="AP124" i="38"/>
  <c r="AQ123" i="38"/>
  <c r="AG122" i="38"/>
  <c r="Z122" i="38"/>
  <c r="AS122" i="38" s="1"/>
  <c r="E122" i="38" s="1"/>
  <c r="AH122" i="38"/>
  <c r="AI122" i="38"/>
  <c r="AA122" i="38"/>
  <c r="D122" i="7"/>
  <c r="B122" i="7"/>
  <c r="Y123" i="38"/>
  <c r="X123" i="38"/>
  <c r="C123" i="7"/>
  <c r="C125" i="38"/>
  <c r="AU124" i="38"/>
  <c r="AZ123" i="7"/>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Z124" i="7"/>
  <c r="AU125" i="38"/>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Z125" i="7"/>
  <c r="AU126" i="38"/>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8" i="38"/>
  <c r="C126" i="7"/>
  <c r="AZ126" i="7"/>
  <c r="AU127" i="38"/>
  <c r="A129" i="38" l="1"/>
  <c r="AJ128" i="38"/>
  <c r="A150" i="24"/>
  <c r="AP128" i="38"/>
  <c r="D128" i="38"/>
  <c r="AL128" i="38" s="1"/>
  <c r="B128" i="38"/>
  <c r="A127" i="7"/>
  <c r="AQ127" i="38"/>
  <c r="D126" i="7"/>
  <c r="B126" i="7"/>
  <c r="X127" i="38"/>
  <c r="Y127" i="38"/>
  <c r="AG126" i="38"/>
  <c r="AH126" i="38"/>
  <c r="AA126" i="38"/>
  <c r="AI126" i="38"/>
  <c r="Z126" i="38"/>
  <c r="AS126" i="38" s="1"/>
  <c r="E126" i="38" s="1"/>
  <c r="C127" i="7"/>
  <c r="C129" i="38"/>
  <c r="AU128" i="38"/>
  <c r="AZ127" i="7"/>
  <c r="AQ128" i="38" l="1"/>
  <c r="B126" i="6"/>
  <c r="Y128" i="38"/>
  <c r="X128" i="38"/>
  <c r="B127" i="7"/>
  <c r="D127" i="7"/>
  <c r="AG127" i="38"/>
  <c r="AA127" i="38"/>
  <c r="AI127" i="38"/>
  <c r="Z127" i="38"/>
  <c r="AS127" i="38" s="1"/>
  <c r="E127" i="38" s="1"/>
  <c r="AH127" i="38"/>
  <c r="B129" i="38"/>
  <c r="AJ129" i="38"/>
  <c r="A151" i="24"/>
  <c r="AP129" i="38"/>
  <c r="A130" i="38"/>
  <c r="D129" i="38"/>
  <c r="AL129" i="38" s="1"/>
  <c r="A128" i="7"/>
  <c r="C130" i="38"/>
  <c r="C128" i="7"/>
  <c r="AU129" i="38"/>
  <c r="AZ128" i="7"/>
  <c r="AP130" i="38" l="1"/>
  <c r="A152" i="24"/>
  <c r="B130" i="38"/>
  <c r="A131" i="38"/>
  <c r="AJ130" i="38"/>
  <c r="A129" i="7"/>
  <c r="D130" i="38"/>
  <c r="AL130" i="38" s="1"/>
  <c r="AI128" i="38"/>
  <c r="AG128" i="38"/>
  <c r="AA128" i="38"/>
  <c r="AH128" i="38"/>
  <c r="Z128" i="38"/>
  <c r="AS128" i="38" s="1"/>
  <c r="E128" i="38" s="1"/>
  <c r="B127" i="6"/>
  <c r="D128" i="7"/>
  <c r="B128" i="7"/>
  <c r="Y129" i="38"/>
  <c r="X129" i="38"/>
  <c r="AQ129" i="38"/>
  <c r="C129" i="7"/>
  <c r="C131" i="38"/>
  <c r="AU130" i="38"/>
  <c r="AZ129" i="7"/>
  <c r="AQ130" i="38" l="1"/>
  <c r="AP131" i="38"/>
  <c r="A130" i="7"/>
  <c r="D131" i="38"/>
  <c r="AL131" i="38" s="1"/>
  <c r="A132" i="38"/>
  <c r="A153" i="24"/>
  <c r="B131" i="38"/>
  <c r="AJ131" i="38"/>
  <c r="AI129" i="38"/>
  <c r="AH129" i="38"/>
  <c r="Z129" i="38"/>
  <c r="AS129" i="38" s="1"/>
  <c r="E129" i="38" s="1"/>
  <c r="AA129" i="38"/>
  <c r="AG129" i="38"/>
  <c r="B128" i="6"/>
  <c r="D129" i="7"/>
  <c r="B129" i="7"/>
  <c r="Y130" i="38"/>
  <c r="X130" i="38"/>
  <c r="C132" i="38"/>
  <c r="C130" i="7"/>
  <c r="AZ130" i="7"/>
  <c r="AU131" i="38"/>
  <c r="B129" i="6" l="1"/>
  <c r="B130" i="7"/>
  <c r="D130" i="7"/>
  <c r="Y131" i="38"/>
  <c r="X131" i="38"/>
  <c r="Z130" i="38"/>
  <c r="AS130" i="38" s="1"/>
  <c r="E130" i="38" s="1"/>
  <c r="AH130" i="38"/>
  <c r="AG130" i="38"/>
  <c r="AI130" i="38"/>
  <c r="AA130" i="38"/>
  <c r="AP132" i="38"/>
  <c r="A133" i="38"/>
  <c r="A154" i="24"/>
  <c r="D132" i="38"/>
  <c r="B132" i="38"/>
  <c r="A131" i="7"/>
  <c r="AJ132" i="38"/>
  <c r="AQ131" i="38"/>
  <c r="C133" i="38"/>
  <c r="C131" i="7"/>
  <c r="AU132" i="38"/>
  <c r="AZ131" i="7"/>
  <c r="B130" i="6" l="1"/>
  <c r="D131" i="7"/>
  <c r="B131" i="7"/>
  <c r="A134" i="38"/>
  <c r="D133" i="38"/>
  <c r="A132" i="7"/>
  <c r="A155" i="24"/>
  <c r="AP133" i="38"/>
  <c r="B133" i="38"/>
  <c r="AJ133" i="38"/>
  <c r="Z131" i="38"/>
  <c r="AS131" i="38" s="1"/>
  <c r="E131" i="38" s="1"/>
  <c r="AG131" i="38"/>
  <c r="AH131" i="38"/>
  <c r="AI131" i="38"/>
  <c r="AA131" i="38"/>
  <c r="AQ132" i="38"/>
  <c r="AL132" i="38"/>
  <c r="Y132" i="38"/>
  <c r="X132" i="38"/>
  <c r="C132" i="7"/>
  <c r="C134" i="38"/>
  <c r="AZ132" i="7"/>
  <c r="AU133" i="38"/>
  <c r="B131" i="6" l="1"/>
  <c r="AQ133" i="38"/>
  <c r="AL133" i="38"/>
  <c r="AH132" i="38"/>
  <c r="AG132" i="38"/>
  <c r="AI132" i="38"/>
  <c r="AA132" i="38"/>
  <c r="Z132" i="38"/>
  <c r="AS132" i="38" s="1"/>
  <c r="E132" i="38" s="1"/>
  <c r="A135" i="38"/>
  <c r="AP134" i="38"/>
  <c r="D134" i="38"/>
  <c r="B134" i="38"/>
  <c r="A133" i="7"/>
  <c r="AJ134" i="38"/>
  <c r="A156" i="24"/>
  <c r="X133" i="38"/>
  <c r="Y133" i="38"/>
  <c r="D132" i="7"/>
  <c r="B132" i="7"/>
  <c r="C133" i="7"/>
  <c r="C135" i="38"/>
  <c r="AU134" i="38"/>
  <c r="AZ133" i="7"/>
  <c r="B132" i="6" l="1"/>
  <c r="AP135" i="38"/>
  <c r="B135" i="38"/>
  <c r="A136" i="38"/>
  <c r="A134" i="7"/>
  <c r="D135" i="38"/>
  <c r="A157" i="24"/>
  <c r="AJ135" i="38"/>
  <c r="AA133" i="38"/>
  <c r="AH133" i="38"/>
  <c r="Z133" i="38"/>
  <c r="AS133" i="38" s="1"/>
  <c r="E133" i="38" s="1"/>
  <c r="AI133" i="38"/>
  <c r="AG133" i="38"/>
  <c r="B133" i="7"/>
  <c r="D133" i="7"/>
  <c r="AQ134" i="38"/>
  <c r="AL134" i="38"/>
  <c r="X134" i="38"/>
  <c r="Y134" i="38"/>
  <c r="C134" i="7"/>
  <c r="C136" i="38"/>
  <c r="AZ134" i="7"/>
  <c r="AU135" i="38"/>
  <c r="AL135" i="38" l="1"/>
  <c r="B133" i="6"/>
  <c r="Y135" i="38"/>
  <c r="X135" i="38"/>
  <c r="A135" i="7"/>
  <c r="AJ136" i="38"/>
  <c r="B136" i="38"/>
  <c r="A158" i="24"/>
  <c r="D136" i="38"/>
  <c r="AP136" i="38"/>
  <c r="A137" i="38"/>
  <c r="B134" i="7"/>
  <c r="D134" i="7"/>
  <c r="AI134" i="38"/>
  <c r="AG134" i="38"/>
  <c r="Z134" i="38"/>
  <c r="AS134" i="38" s="1"/>
  <c r="E134" i="38" s="1"/>
  <c r="AA134" i="38"/>
  <c r="AH134" i="38"/>
  <c r="AQ135" i="38"/>
  <c r="C135" i="7"/>
  <c r="C137" i="38"/>
  <c r="AZ135" i="7"/>
  <c r="AU136" i="38"/>
  <c r="B134" i="6" l="1"/>
  <c r="Y136" i="38"/>
  <c r="X136" i="38"/>
  <c r="AG135" i="38"/>
  <c r="AH135" i="38"/>
  <c r="AI135" i="38"/>
  <c r="AA135" i="38"/>
  <c r="Z135" i="38"/>
  <c r="AS135" i="38" s="1"/>
  <c r="E135" i="38" s="1"/>
  <c r="AQ136" i="38"/>
  <c r="AL136" i="38"/>
  <c r="D135" i="7"/>
  <c r="B135" i="7"/>
  <c r="B137" i="38"/>
  <c r="A159" i="24"/>
  <c r="A138" i="38"/>
  <c r="A136" i="7"/>
  <c r="AP137" i="38"/>
  <c r="AJ137" i="38"/>
  <c r="D137" i="38"/>
  <c r="C136" i="7"/>
  <c r="C138" i="38"/>
  <c r="AZ136" i="7"/>
  <c r="AU137" i="38"/>
  <c r="B135" i="6" l="1"/>
  <c r="B138" i="38"/>
  <c r="D138" i="38"/>
  <c r="A137" i="7"/>
  <c r="AP138" i="38"/>
  <c r="A160" i="24"/>
  <c r="AJ138" i="38"/>
  <c r="A139" i="38"/>
  <c r="X137" i="38"/>
  <c r="Y137" i="38"/>
  <c r="Z136" i="38"/>
  <c r="AS136" i="38" s="1"/>
  <c r="E136" i="38" s="1"/>
  <c r="AH136" i="38"/>
  <c r="AG136" i="38"/>
  <c r="AI136" i="38"/>
  <c r="AA136" i="38"/>
  <c r="D136" i="7"/>
  <c r="B136" i="7"/>
  <c r="AQ137" i="38"/>
  <c r="AL137" i="38"/>
  <c r="C137" i="7"/>
  <c r="C139" i="38"/>
  <c r="AU138" i="38"/>
  <c r="AZ137" i="7"/>
  <c r="B136" i="6" l="1"/>
  <c r="X138" i="38"/>
  <c r="Y138" i="38"/>
  <c r="AQ138" i="38"/>
  <c r="AL138" i="38"/>
  <c r="A138" i="7"/>
  <c r="AP139" i="38"/>
  <c r="A140" i="38"/>
  <c r="D139" i="38"/>
  <c r="A161" i="24"/>
  <c r="B139" i="38"/>
  <c r="AJ139" i="38"/>
  <c r="B137" i="7"/>
  <c r="D137" i="7"/>
  <c r="AA137" i="38"/>
  <c r="AH137" i="38"/>
  <c r="AI137" i="38"/>
  <c r="Z137" i="38"/>
  <c r="AS137" i="38" s="1"/>
  <c r="E137" i="38" s="1"/>
  <c r="AG137" i="38"/>
  <c r="C138" i="7"/>
  <c r="C140" i="38"/>
  <c r="AU139" i="38"/>
  <c r="AZ138" i="7"/>
  <c r="Y139" i="38" l="1"/>
  <c r="X139" i="38"/>
  <c r="AP140" i="38"/>
  <c r="B140" i="38"/>
  <c r="A141" i="38"/>
  <c r="D140" i="38"/>
  <c r="AJ140" i="38"/>
  <c r="A139" i="7"/>
  <c r="A162" i="24"/>
  <c r="D138" i="7"/>
  <c r="B138" i="7"/>
  <c r="AH138" i="38"/>
  <c r="Z138" i="38"/>
  <c r="AS138" i="38" s="1"/>
  <c r="E138" i="38" s="1"/>
  <c r="AG138" i="38"/>
  <c r="AI138" i="38"/>
  <c r="AA138" i="38"/>
  <c r="AQ139" i="38"/>
  <c r="AL139" i="38"/>
  <c r="B137" i="6"/>
  <c r="C141" i="38"/>
  <c r="C139" i="7"/>
  <c r="AU140" i="38"/>
  <c r="AZ139" i="7"/>
  <c r="B138" i="6" l="1"/>
  <c r="B139" i="7"/>
  <c r="D139" i="7"/>
  <c r="AQ140" i="38"/>
  <c r="AL140" i="38"/>
  <c r="AA139" i="38"/>
  <c r="Z139" i="38"/>
  <c r="AS139" i="38" s="1"/>
  <c r="E139" i="38" s="1"/>
  <c r="AG139" i="38"/>
  <c r="AH139" i="38"/>
  <c r="AI139" i="38"/>
  <c r="X140" i="38"/>
  <c r="Y140" i="38"/>
  <c r="D141" i="38"/>
  <c r="AP141" i="38"/>
  <c r="AJ141" i="38"/>
  <c r="B141" i="38"/>
  <c r="A142" i="38"/>
  <c r="A140" i="7"/>
  <c r="A163" i="24"/>
  <c r="C142" i="38"/>
  <c r="C140" i="7"/>
  <c r="AU141" i="38"/>
  <c r="AZ140" i="7"/>
  <c r="AL141" i="38" l="1"/>
  <c r="B139" i="6"/>
  <c r="AQ141" i="38"/>
  <c r="Y141" i="38"/>
  <c r="X141" i="38"/>
  <c r="AI140" i="38"/>
  <c r="AG140" i="38"/>
  <c r="Z140" i="38"/>
  <c r="AS140" i="38" s="1"/>
  <c r="E140" i="38" s="1"/>
  <c r="AH140" i="38"/>
  <c r="AA140" i="38"/>
  <c r="B140" i="7"/>
  <c r="D140" i="7"/>
  <c r="B142" i="38"/>
  <c r="A141" i="7"/>
  <c r="A143" i="38"/>
  <c r="AJ142" i="38"/>
  <c r="D142" i="38"/>
  <c r="AP142" i="38"/>
  <c r="A164" i="24"/>
  <c r="C141" i="7"/>
  <c r="C143" i="38"/>
  <c r="AU142" i="38"/>
  <c r="AZ141" i="7"/>
  <c r="B140" i="6" l="1"/>
  <c r="D141" i="7"/>
  <c r="B141" i="7"/>
  <c r="AQ142" i="38"/>
  <c r="AL142" i="38"/>
  <c r="X142" i="38"/>
  <c r="Y142" i="38"/>
  <c r="Z141" i="38"/>
  <c r="AS141" i="38" s="1"/>
  <c r="E141" i="38" s="1"/>
  <c r="AH141" i="38"/>
  <c r="AI141" i="38"/>
  <c r="AA141" i="38"/>
  <c r="AG141" i="38"/>
  <c r="D143" i="38"/>
  <c r="A142" i="7"/>
  <c r="AP143" i="38"/>
  <c r="AJ143" i="38"/>
  <c r="A144" i="38"/>
  <c r="B143" i="38"/>
  <c r="A165" i="24"/>
  <c r="C144" i="38"/>
  <c r="C142" i="7"/>
  <c r="AZ142" i="7"/>
  <c r="AU143" i="38"/>
  <c r="B141" i="6" l="1"/>
  <c r="B142" i="7"/>
  <c r="D142" i="7"/>
  <c r="Z142" i="38"/>
  <c r="AS142" i="38" s="1"/>
  <c r="E142" i="38" s="1"/>
  <c r="AG142" i="38"/>
  <c r="AH142" i="38"/>
  <c r="AI142" i="38"/>
  <c r="AA142" i="38"/>
  <c r="X143" i="38"/>
  <c r="Y143" i="38"/>
  <c r="AJ144" i="38"/>
  <c r="A143" i="7"/>
  <c r="AP144" i="38"/>
  <c r="A145" i="38"/>
  <c r="B144" i="38"/>
  <c r="A166" i="24"/>
  <c r="D144" i="38"/>
  <c r="AQ143" i="38"/>
  <c r="AL143" i="38"/>
  <c r="C143" i="7"/>
  <c r="C145" i="38"/>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4" i="7"/>
  <c r="C146" i="38"/>
  <c r="AZ144" i="7"/>
  <c r="AU145" i="38"/>
  <c r="B146" i="38" l="1"/>
  <c r="AJ146" i="38"/>
  <c r="A168" i="24"/>
  <c r="D146" i="38"/>
  <c r="AP146" i="38"/>
  <c r="A145" i="7"/>
  <c r="A147" i="38"/>
  <c r="AA144" i="38"/>
  <c r="AG144" i="38"/>
  <c r="AI144" i="38"/>
  <c r="AH144" i="38"/>
  <c r="Z144" i="38"/>
  <c r="AS144" i="38" s="1"/>
  <c r="E144" i="38" s="1"/>
  <c r="AQ145" i="38"/>
  <c r="AL145" i="38"/>
  <c r="X145" i="38"/>
  <c r="Y145" i="38"/>
  <c r="B144" i="7"/>
  <c r="D144" i="7"/>
  <c r="C145" i="7"/>
  <c r="C147" i="38"/>
  <c r="AZ145" i="7"/>
  <c r="AU146" i="38"/>
  <c r="B144" i="6" l="1"/>
  <c r="AH145" i="38"/>
  <c r="AG145" i="38"/>
  <c r="AI145" i="38"/>
  <c r="Z145" i="38"/>
  <c r="AS145" i="38" s="1"/>
  <c r="E145" i="38" s="1"/>
  <c r="AA145" i="38"/>
  <c r="AQ146" i="38"/>
  <c r="AL146" i="38"/>
  <c r="D145" i="7"/>
  <c r="B145" i="7"/>
  <c r="X146" i="38"/>
  <c r="Y146" i="38"/>
  <c r="D147" i="38"/>
  <c r="AP147" i="38"/>
  <c r="A148" i="38"/>
  <c r="B147" i="38"/>
  <c r="A169" i="24"/>
  <c r="AJ147" i="38"/>
  <c r="A146" i="7"/>
  <c r="C148" i="38"/>
  <c r="C146" i="7"/>
  <c r="AU147" i="38"/>
  <c r="AZ146" i="7"/>
  <c r="B145" i="6" l="1"/>
  <c r="A147" i="7"/>
  <c r="B148" i="38"/>
  <c r="AJ148" i="38"/>
  <c r="A170" i="24"/>
  <c r="A149" i="38"/>
  <c r="AP148" i="38"/>
  <c r="D148" i="38"/>
  <c r="B146" i="7"/>
  <c r="D146" i="7"/>
  <c r="Z146" i="38"/>
  <c r="AS146" i="38" s="1"/>
  <c r="E146" i="38" s="1"/>
  <c r="AI146" i="38"/>
  <c r="AA146" i="38"/>
  <c r="AH146" i="38"/>
  <c r="AG146" i="38"/>
  <c r="Y147" i="38"/>
  <c r="X147" i="38"/>
  <c r="AQ147" i="38"/>
  <c r="AL147" i="38"/>
  <c r="C147" i="7"/>
  <c r="C149" i="38"/>
  <c r="AZ147" i="7"/>
  <c r="AU148" i="38"/>
  <c r="AQ148" i="38" l="1"/>
  <c r="AL148" i="38"/>
  <c r="Y148" i="38"/>
  <c r="X148" i="38"/>
  <c r="AP149" i="38"/>
  <c r="AJ149" i="38"/>
  <c r="A148" i="7"/>
  <c r="D149" i="38"/>
  <c r="A171" i="24"/>
  <c r="B149" i="38"/>
  <c r="A150" i="38"/>
  <c r="D147" i="7"/>
  <c r="B147" i="7"/>
  <c r="AH147" i="38"/>
  <c r="AA147" i="38"/>
  <c r="AI147" i="38"/>
  <c r="Z147" i="38"/>
  <c r="AS147" i="38" s="1"/>
  <c r="E147" i="38" s="1"/>
  <c r="AG147" i="38"/>
  <c r="B146" i="6"/>
  <c r="C150" i="38"/>
  <c r="C148" i="7"/>
  <c r="AZ148" i="7"/>
  <c r="AU149" i="38"/>
  <c r="B147" i="6" l="1"/>
  <c r="AG148" i="38"/>
  <c r="AH148" i="38"/>
  <c r="AI148" i="38"/>
  <c r="AA148" i="38"/>
  <c r="Z148" i="38"/>
  <c r="AS148" i="38" s="1"/>
  <c r="A149" i="7"/>
  <c r="A172" i="24"/>
  <c r="B150" i="38"/>
  <c r="D150" i="38"/>
  <c r="AP150" i="38"/>
  <c r="A151" i="38"/>
  <c r="AJ150" i="38"/>
  <c r="B148" i="7"/>
  <c r="D148" i="7"/>
  <c r="AQ149" i="38"/>
  <c r="AL149" i="38"/>
  <c r="X149" i="38"/>
  <c r="Y149" i="38"/>
  <c r="C151" i="38"/>
  <c r="C149" i="7"/>
  <c r="AZ149" i="7"/>
  <c r="AU150" i="38"/>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Z150" i="7"/>
  <c r="AU151" i="38"/>
  <c r="K25" i="23" l="1"/>
  <c r="J25" i="23" s="1"/>
  <c r="AL151" i="38"/>
  <c r="Y151" i="38"/>
  <c r="X151" i="38"/>
  <c r="AQ151" i="38"/>
  <c r="AP152" i="38"/>
  <c r="A174" i="24"/>
  <c r="A151" i="7"/>
  <c r="D152" i="38"/>
  <c r="A153" i="38"/>
  <c r="AJ152" i="38"/>
  <c r="B152" i="38"/>
  <c r="Z150" i="38"/>
  <c r="AS150" i="38" s="1"/>
  <c r="E150" i="38" s="1"/>
  <c r="AH150" i="38"/>
  <c r="AI150" i="38"/>
  <c r="AA150" i="38"/>
  <c r="AG150" i="38"/>
  <c r="B149" i="6"/>
  <c r="B150" i="7"/>
  <c r="D150" i="7"/>
  <c r="C153" i="38"/>
  <c r="C151" i="7"/>
  <c r="AU152" i="38"/>
  <c r="AZ151" i="7"/>
  <c r="B150" i="6" l="1"/>
  <c r="A152" i="7"/>
  <c r="A175" i="24"/>
  <c r="AP153" i="38"/>
  <c r="AJ153" i="38"/>
  <c r="D153" i="38"/>
  <c r="B153" i="38"/>
  <c r="A154" i="38"/>
  <c r="AQ152" i="38"/>
  <c r="AL152" i="38"/>
  <c r="B151" i="7"/>
  <c r="D151" i="7"/>
  <c r="Z151" i="38"/>
  <c r="AS151" i="38" s="1"/>
  <c r="E151" i="38" s="1"/>
  <c r="AH151" i="38"/>
  <c r="AI151" i="38"/>
  <c r="AA151" i="38"/>
  <c r="AG151" i="38"/>
  <c r="Y152" i="38"/>
  <c r="X152" i="38"/>
  <c r="C154" i="38"/>
  <c r="C152" i="7"/>
  <c r="AU153" i="38"/>
  <c r="AZ152" i="7"/>
  <c r="AL153" i="38" l="1"/>
  <c r="AG152" i="38"/>
  <c r="AH152" i="38"/>
  <c r="AI152" i="38"/>
  <c r="AA152" i="38"/>
  <c r="Z152" i="38"/>
  <c r="AS152" i="38" s="1"/>
  <c r="E152" i="38" s="1"/>
  <c r="A176" i="24"/>
  <c r="A155" i="38"/>
  <c r="A153" i="7"/>
  <c r="AJ154" i="38"/>
  <c r="B154" i="38"/>
  <c r="D154" i="38"/>
  <c r="AP154" i="38"/>
  <c r="AQ153" i="38"/>
  <c r="D152" i="7"/>
  <c r="B152" i="7"/>
  <c r="Y153" i="38"/>
  <c r="X153" i="38"/>
  <c r="B151" i="6"/>
  <c r="C153" i="7"/>
  <c r="C155" i="38"/>
  <c r="AZ153" i="7"/>
  <c r="AU154" i="38"/>
  <c r="B152" i="6" l="1"/>
  <c r="D153" i="7"/>
  <c r="B153" i="7"/>
  <c r="AQ154" i="38"/>
  <c r="AL154" i="38"/>
  <c r="A154" i="7"/>
  <c r="D155" i="38"/>
  <c r="A177" i="24"/>
  <c r="A156" i="38"/>
  <c r="AJ155" i="38"/>
  <c r="AP155" i="38"/>
  <c r="B155" i="38"/>
  <c r="AH153" i="38"/>
  <c r="Z153" i="38"/>
  <c r="AS153" i="38" s="1"/>
  <c r="E153" i="38" s="1"/>
  <c r="AI153" i="38"/>
  <c r="AG153" i="38"/>
  <c r="AA153" i="38"/>
  <c r="Y154" i="38"/>
  <c r="X154" i="38"/>
  <c r="C156" i="38"/>
  <c r="C154" i="7"/>
  <c r="AU155" i="38"/>
  <c r="AZ154" i="7"/>
  <c r="B153" i="6" l="1"/>
  <c r="A178" i="24"/>
  <c r="A157" i="38"/>
  <c r="AP156" i="38"/>
  <c r="AJ156" i="38"/>
  <c r="B156" i="38"/>
  <c r="A155" i="7"/>
  <c r="D156" i="38"/>
  <c r="AA154" i="38"/>
  <c r="Z154" i="38"/>
  <c r="AS154" i="38" s="1"/>
  <c r="E154" i="38" s="1"/>
  <c r="AG154" i="38"/>
  <c r="AH154" i="38"/>
  <c r="AI154" i="38"/>
  <c r="AQ155" i="38"/>
  <c r="AL155" i="38"/>
  <c r="Y155" i="38"/>
  <c r="X155" i="38"/>
  <c r="D154" i="7"/>
  <c r="B154" i="7"/>
  <c r="C157" i="38"/>
  <c r="C155" i="7"/>
  <c r="AZ155" i="7"/>
  <c r="AU156" i="38"/>
  <c r="B154" i="6" l="1"/>
  <c r="AL156" i="38"/>
  <c r="X156" i="38"/>
  <c r="Y156" i="38"/>
  <c r="AQ156" i="38"/>
  <c r="B155" i="7"/>
  <c r="D155" i="7"/>
  <c r="AP157" i="38"/>
  <c r="D157" i="38"/>
  <c r="A158" i="38"/>
  <c r="A156" i="7"/>
  <c r="B157" i="38"/>
  <c r="AJ157" i="38"/>
  <c r="A179" i="24"/>
  <c r="AH155" i="38"/>
  <c r="AA155" i="38"/>
  <c r="AI155" i="38"/>
  <c r="AG155" i="38"/>
  <c r="Z155" i="38"/>
  <c r="AS155" i="38" s="1"/>
  <c r="E155" i="38" s="1"/>
  <c r="C156" i="7"/>
  <c r="C158" i="38"/>
  <c r="AU157" i="38"/>
  <c r="AZ156" i="7"/>
  <c r="AL157" i="38" l="1"/>
  <c r="B155" i="6"/>
  <c r="Y157" i="38"/>
  <c r="X157" i="38"/>
  <c r="AP158" i="38"/>
  <c r="A157" i="7"/>
  <c r="A159" i="38"/>
  <c r="AJ158" i="38"/>
  <c r="D158" i="38"/>
  <c r="A180" i="24"/>
  <c r="B158" i="38"/>
  <c r="AQ157" i="38"/>
  <c r="D156" i="7"/>
  <c r="B156" i="7"/>
  <c r="AG156" i="38"/>
  <c r="AH156" i="38"/>
  <c r="AA156" i="38"/>
  <c r="AI156" i="38"/>
  <c r="Z156" i="38"/>
  <c r="AS156" i="38" s="1"/>
  <c r="E156" i="38" s="1"/>
  <c r="C157" i="7"/>
  <c r="C159" i="38"/>
  <c r="AZ157" i="7"/>
  <c r="AU158" i="38"/>
  <c r="AL158" i="38" l="1"/>
  <c r="B156" i="6"/>
  <c r="AQ158" i="38"/>
  <c r="X158" i="38"/>
  <c r="Y158" i="38"/>
  <c r="AA157" i="38"/>
  <c r="Z157" i="38"/>
  <c r="AS157" i="38" s="1"/>
  <c r="E157" i="38" s="1"/>
  <c r="AH157" i="38"/>
  <c r="AG157" i="38"/>
  <c r="AI157" i="38"/>
  <c r="B157" i="7"/>
  <c r="D157" i="7"/>
  <c r="AP159" i="38"/>
  <c r="A160" i="38"/>
  <c r="D159" i="38"/>
  <c r="B159" i="38"/>
  <c r="A158" i="7"/>
  <c r="A181" i="24"/>
  <c r="AJ159" i="38"/>
  <c r="C158" i="7"/>
  <c r="C160" i="38"/>
  <c r="AZ158" i="7"/>
  <c r="AU159" i="38"/>
  <c r="AL159" i="38" l="1"/>
  <c r="AQ159" i="38"/>
  <c r="Z158" i="38"/>
  <c r="AS158" i="38" s="1"/>
  <c r="E158" i="38" s="1"/>
  <c r="AG158" i="38"/>
  <c r="AI158" i="38"/>
  <c r="AH158" i="38"/>
  <c r="AA158" i="38"/>
  <c r="D158" i="7"/>
  <c r="B158" i="7"/>
  <c r="Y159" i="38"/>
  <c r="X159" i="38"/>
  <c r="A182" i="24"/>
  <c r="D160" i="38"/>
  <c r="AL160" i="38" s="1"/>
  <c r="B160" i="38"/>
  <c r="AP160" i="38"/>
  <c r="A159" i="7"/>
  <c r="AJ160" i="38"/>
  <c r="A161" i="38"/>
  <c r="B157" i="6"/>
  <c r="B158" i="6" s="1"/>
  <c r="C161" i="38"/>
  <c r="C159" i="7"/>
  <c r="AZ159" i="7"/>
  <c r="AU160" i="38"/>
  <c r="X160" i="38" l="1"/>
  <c r="Y160" i="38"/>
  <c r="AI159" i="38"/>
  <c r="AH159" i="38"/>
  <c r="AA159" i="38"/>
  <c r="Z159" i="38"/>
  <c r="AS159" i="38" s="1"/>
  <c r="E159" i="38" s="1"/>
  <c r="AG159" i="38"/>
  <c r="D159" i="7"/>
  <c r="B159" i="7"/>
  <c r="D161" i="38"/>
  <c r="AL161" i="38" s="1"/>
  <c r="A160" i="7"/>
  <c r="A162" i="38"/>
  <c r="AP161" i="38"/>
  <c r="B161" i="38"/>
  <c r="A183" i="24"/>
  <c r="AJ161" i="38"/>
  <c r="AQ160" i="38"/>
  <c r="C160" i="7"/>
  <c r="C162" i="38"/>
  <c r="AU161" i="38"/>
  <c r="AZ160" i="7"/>
  <c r="AQ161" i="38" l="1"/>
  <c r="A161" i="7"/>
  <c r="A184" i="24"/>
  <c r="A163" i="38"/>
  <c r="AJ162" i="38"/>
  <c r="AP162" i="38"/>
  <c r="B162" i="38"/>
  <c r="D162" i="38"/>
  <c r="B159" i="6"/>
  <c r="Y161" i="38"/>
  <c r="X161" i="38"/>
  <c r="B160" i="7"/>
  <c r="D160" i="7"/>
  <c r="AA160" i="38"/>
  <c r="AI160" i="38"/>
  <c r="Z160" i="38"/>
  <c r="AS160" i="38" s="1"/>
  <c r="AH160" i="38"/>
  <c r="AG160" i="38"/>
  <c r="C161" i="7"/>
  <c r="C163" i="38"/>
  <c r="AZ161" i="7"/>
  <c r="AU162" i="38"/>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2" i="7"/>
  <c r="C164" i="38"/>
  <c r="AU163" i="38"/>
  <c r="AZ162" i="7"/>
  <c r="M6" i="23" l="1"/>
  <c r="L6" i="23" s="1"/>
  <c r="B161" i="6"/>
  <c r="AA162" i="38"/>
  <c r="Z162" i="38"/>
  <c r="AS162" i="38" s="1"/>
  <c r="E162" i="38" s="1"/>
  <c r="AI162" i="38"/>
  <c r="AH162" i="38"/>
  <c r="AG162" i="38"/>
  <c r="D164" i="38"/>
  <c r="AJ164" i="38"/>
  <c r="A186" i="24"/>
  <c r="B164" i="38"/>
  <c r="A163" i="7"/>
  <c r="AP164" i="38"/>
  <c r="A165" i="38"/>
  <c r="AQ163" i="38"/>
  <c r="AL163" i="38"/>
  <c r="Y163" i="38"/>
  <c r="X163" i="38"/>
  <c r="B162" i="7"/>
  <c r="D162" i="7"/>
  <c r="C163" i="7"/>
  <c r="C165" i="38"/>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6" i="38"/>
  <c r="C164" i="7"/>
  <c r="AZ164" i="7"/>
  <c r="AU165" i="38"/>
  <c r="B163" i="6" l="1"/>
  <c r="AI164" i="38"/>
  <c r="Z164" i="38"/>
  <c r="AS164" i="38" s="1"/>
  <c r="E164" i="38" s="1"/>
  <c r="AG164" i="38"/>
  <c r="AA164" i="38"/>
  <c r="AH164" i="38"/>
  <c r="AQ165" i="38"/>
  <c r="AL165" i="38"/>
  <c r="Y165" i="38"/>
  <c r="X165" i="38"/>
  <c r="D164" i="7"/>
  <c r="B164" i="7"/>
  <c r="AP166" i="38"/>
  <c r="A167" i="38"/>
  <c r="A188" i="24"/>
  <c r="AJ166" i="38"/>
  <c r="B166" i="38"/>
  <c r="D166" i="38"/>
  <c r="A165" i="7"/>
  <c r="C167" i="38"/>
  <c r="C165" i="7"/>
  <c r="AU166" i="38"/>
  <c r="AZ165" i="7"/>
  <c r="B164" i="6" l="1"/>
  <c r="AL166" i="38"/>
  <c r="AQ166" i="38"/>
  <c r="D165" i="7"/>
  <c r="B165" i="7"/>
  <c r="X166" i="38"/>
  <c r="Y166" i="38"/>
  <c r="AH165" i="38"/>
  <c r="AG165" i="38"/>
  <c r="Z165" i="38"/>
  <c r="AS165" i="38" s="1"/>
  <c r="E165" i="38" s="1"/>
  <c r="AA165" i="38"/>
  <c r="AI165" i="38"/>
  <c r="B167" i="38"/>
  <c r="D167" i="38"/>
  <c r="A166" i="7"/>
  <c r="AP167" i="38"/>
  <c r="A168" i="38"/>
  <c r="A189" i="24"/>
  <c r="AJ167" i="38"/>
  <c r="C168" i="38"/>
  <c r="C166" i="7"/>
  <c r="AZ166" i="7"/>
  <c r="AU167" i="38"/>
  <c r="AQ167" i="38" l="1"/>
  <c r="AL167" i="38"/>
  <c r="AP168" i="38"/>
  <c r="A190" i="24"/>
  <c r="A167" i="7"/>
  <c r="D168" i="38"/>
  <c r="A169" i="38"/>
  <c r="B168" i="38"/>
  <c r="AJ168" i="38"/>
  <c r="AA166" i="38"/>
  <c r="Z166" i="38"/>
  <c r="AS166" i="38" s="1"/>
  <c r="E166" i="38" s="1"/>
  <c r="AH166" i="38"/>
  <c r="AG166" i="38"/>
  <c r="AI166" i="38"/>
  <c r="X167" i="38"/>
  <c r="Y167" i="38"/>
  <c r="D166" i="7"/>
  <c r="B166" i="7"/>
  <c r="B165" i="6"/>
  <c r="B166" i="6" s="1"/>
  <c r="C167" i="7"/>
  <c r="C169" i="38"/>
  <c r="AZ167" i="7"/>
  <c r="AU168" i="38"/>
  <c r="A168" i="7" l="1"/>
  <c r="A191" i="24"/>
  <c r="AP169" i="38"/>
  <c r="B169" i="38"/>
  <c r="AJ169" i="38"/>
  <c r="D169" i="38"/>
  <c r="A170" i="38"/>
  <c r="AQ168" i="38"/>
  <c r="AL168" i="38"/>
  <c r="AG167" i="38"/>
  <c r="Z167" i="38"/>
  <c r="AS167" i="38" s="1"/>
  <c r="E167" i="38" s="1"/>
  <c r="AI167" i="38"/>
  <c r="AA167" i="38"/>
  <c r="AH167" i="38"/>
  <c r="X168" i="38"/>
  <c r="Y168" i="38"/>
  <c r="B167" i="7"/>
  <c r="D167" i="7"/>
  <c r="C170" i="38"/>
  <c r="C168" i="7"/>
  <c r="AU169" i="38"/>
  <c r="AZ168" i="7"/>
  <c r="AI168" i="38" l="1"/>
  <c r="Z168" i="38"/>
  <c r="AS168" i="38" s="1"/>
  <c r="E168" i="38" s="1"/>
  <c r="AG168" i="38"/>
  <c r="AH168" i="38"/>
  <c r="AA168" i="38"/>
  <c r="B170" i="38"/>
  <c r="AJ170" i="38"/>
  <c r="AP170" i="38"/>
  <c r="A171" i="38"/>
  <c r="A169" i="7"/>
  <c r="D170" i="38"/>
  <c r="A192" i="24"/>
  <c r="B167" i="6"/>
  <c r="AQ169" i="38"/>
  <c r="AL169" i="38"/>
  <c r="Y169" i="38"/>
  <c r="X169" i="38"/>
  <c r="B168" i="7"/>
  <c r="D168" i="7"/>
  <c r="C171" i="38"/>
  <c r="C169" i="7"/>
  <c r="AZ169" i="7"/>
  <c r="AU170" i="38"/>
  <c r="B168" i="6" l="1"/>
  <c r="AQ170" i="38"/>
  <c r="Y170" i="38"/>
  <c r="X170" i="38"/>
  <c r="AL170" i="38"/>
  <c r="D169" i="7"/>
  <c r="B169" i="7"/>
  <c r="Z169" i="38"/>
  <c r="AS169" i="38" s="1"/>
  <c r="E169" i="38" s="1"/>
  <c r="AH169" i="38"/>
  <c r="AG169" i="38"/>
  <c r="AA169" i="38"/>
  <c r="AI169" i="38"/>
  <c r="A172" i="38"/>
  <c r="D171" i="38"/>
  <c r="A193" i="24"/>
  <c r="AP171" i="38"/>
  <c r="AJ171" i="38"/>
  <c r="A170" i="7"/>
  <c r="B171" i="38"/>
  <c r="C170" i="7"/>
  <c r="C172" i="38"/>
  <c r="AU171" i="38"/>
  <c r="AZ170" i="7"/>
  <c r="B169" i="6" l="1"/>
  <c r="Y171" i="38"/>
  <c r="X171" i="38"/>
  <c r="A173" i="38"/>
  <c r="A171" i="7"/>
  <c r="A194" i="24"/>
  <c r="AP172" i="38"/>
  <c r="D172" i="38"/>
  <c r="B172" i="38"/>
  <c r="AJ172" i="38"/>
  <c r="AI170" i="38"/>
  <c r="Z170" i="38"/>
  <c r="AS170" i="38" s="1"/>
  <c r="E170" i="38" s="1"/>
  <c r="AH170" i="38"/>
  <c r="AA170" i="38"/>
  <c r="AG170" i="38"/>
  <c r="D170" i="7"/>
  <c r="B170" i="7"/>
  <c r="AQ171" i="38"/>
  <c r="AL171" i="38"/>
  <c r="C171" i="7"/>
  <c r="C173" i="38"/>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2" i="7"/>
  <c r="C174" i="38"/>
  <c r="AU173" i="38"/>
  <c r="AZ172" i="7"/>
  <c r="AQ173" i="38" l="1"/>
  <c r="AL173" i="38"/>
  <c r="AA172" i="38"/>
  <c r="AI172" i="38"/>
  <c r="Z172" i="38"/>
  <c r="AS172" i="38" s="1"/>
  <c r="E172" i="38" s="1"/>
  <c r="AG172" i="38"/>
  <c r="AH172" i="38"/>
  <c r="B171" i="6"/>
  <c r="Y173" i="38"/>
  <c r="X173" i="38"/>
  <c r="D172" i="7"/>
  <c r="B172" i="7"/>
  <c r="A196" i="24"/>
  <c r="AJ174" i="38"/>
  <c r="B174" i="38"/>
  <c r="AP174" i="38"/>
  <c r="D174" i="38"/>
  <c r="A175" i="38"/>
  <c r="A173" i="7"/>
  <c r="C175" i="38"/>
  <c r="C173" i="7"/>
  <c r="AU174" i="38"/>
  <c r="AZ173" i="7"/>
  <c r="B172" i="6" l="1"/>
  <c r="D173" i="7"/>
  <c r="B173" i="7"/>
  <c r="A197" i="24"/>
  <c r="B175" i="38"/>
  <c r="A174" i="7"/>
  <c r="D175" i="38"/>
  <c r="A176" i="38"/>
  <c r="AP175" i="38"/>
  <c r="AJ175" i="38"/>
  <c r="Y174" i="38"/>
  <c r="X174" i="38"/>
  <c r="AI173" i="38"/>
  <c r="AH173" i="38"/>
  <c r="Z173" i="38"/>
  <c r="AS173" i="38" s="1"/>
  <c r="E173" i="38" s="1"/>
  <c r="AG173" i="38"/>
  <c r="AA173" i="38"/>
  <c r="AQ174" i="38"/>
  <c r="AL174" i="38"/>
  <c r="C174" i="7"/>
  <c r="C176" i="38"/>
  <c r="AU175" i="38"/>
  <c r="AZ174" i="7"/>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5" i="7"/>
  <c r="C177" i="38"/>
  <c r="AU176" i="38"/>
  <c r="AZ175" i="7"/>
  <c r="AQ176" i="38" l="1"/>
  <c r="AL176" i="38"/>
  <c r="AA175" i="38"/>
  <c r="AG175" i="38"/>
  <c r="Z175" i="38"/>
  <c r="AS175" i="38" s="1"/>
  <c r="E175" i="38" s="1"/>
  <c r="AH175" i="38"/>
  <c r="AI175" i="38"/>
  <c r="B175" i="7"/>
  <c r="D175" i="7"/>
  <c r="A178" i="38"/>
  <c r="A199" i="24"/>
  <c r="B177" i="38"/>
  <c r="AP177" i="38"/>
  <c r="D177" i="38"/>
  <c r="AJ177" i="38"/>
  <c r="A176" i="7"/>
  <c r="X176" i="38"/>
  <c r="Y176" i="38"/>
  <c r="C176" i="7"/>
  <c r="C178" i="38"/>
  <c r="AZ176" i="7"/>
  <c r="AU177" i="38"/>
  <c r="AQ177" i="38" l="1"/>
  <c r="B175" i="6"/>
  <c r="AP178" i="38"/>
  <c r="A200" i="24"/>
  <c r="A179" i="38"/>
  <c r="AJ178" i="38"/>
  <c r="B178" i="38"/>
  <c r="A177" i="7"/>
  <c r="D178" i="38"/>
  <c r="Y177" i="38"/>
  <c r="X177" i="38"/>
  <c r="AL177" i="38"/>
  <c r="AI176" i="38"/>
  <c r="Z176" i="38"/>
  <c r="AS176" i="38" s="1"/>
  <c r="E176" i="38" s="1"/>
  <c r="AG176" i="38"/>
  <c r="AH176" i="38"/>
  <c r="AA176" i="38"/>
  <c r="D176" i="7"/>
  <c r="B176" i="7"/>
  <c r="C179" i="38"/>
  <c r="C177" i="7"/>
  <c r="AU178" i="38"/>
  <c r="AZ177" i="7"/>
  <c r="B176" i="6" l="1"/>
  <c r="X178" i="38"/>
  <c r="Y178" i="38"/>
  <c r="D179" i="38"/>
  <c r="B179" i="38"/>
  <c r="A201" i="24"/>
  <c r="AP179" i="38"/>
  <c r="A180" i="38"/>
  <c r="A178" i="7"/>
  <c r="AJ179" i="38"/>
  <c r="B177" i="7"/>
  <c r="D177" i="7"/>
  <c r="AQ178" i="38"/>
  <c r="AL178" i="38"/>
  <c r="AI177" i="38"/>
  <c r="AG177" i="38"/>
  <c r="AA177" i="38"/>
  <c r="AH177" i="38"/>
  <c r="Z177" i="38"/>
  <c r="AS177" i="38" s="1"/>
  <c r="E177" i="38" s="1"/>
  <c r="C178" i="7"/>
  <c r="C180" i="38"/>
  <c r="AU179" i="38"/>
  <c r="AZ178" i="7"/>
  <c r="B180" i="38" l="1"/>
  <c r="D180" i="38"/>
  <c r="AP180" i="38"/>
  <c r="A181" i="38"/>
  <c r="A202" i="24"/>
  <c r="AJ180" i="38"/>
  <c r="A179" i="7"/>
  <c r="AQ179" i="38"/>
  <c r="AL179" i="38"/>
  <c r="Y179" i="38"/>
  <c r="X179" i="38"/>
  <c r="B177" i="6"/>
  <c r="D178" i="7"/>
  <c r="B178" i="7"/>
  <c r="Z178" i="38"/>
  <c r="AS178" i="38" s="1"/>
  <c r="E178" i="38" s="1"/>
  <c r="AG178" i="38"/>
  <c r="AH178" i="38"/>
  <c r="AA178" i="38"/>
  <c r="AI178" i="38"/>
  <c r="C181" i="38"/>
  <c r="C179" i="7"/>
  <c r="AU180" i="38"/>
  <c r="AZ179" i="7"/>
  <c r="B178" i="6" l="1"/>
  <c r="Z179" i="38"/>
  <c r="AS179" i="38" s="1"/>
  <c r="E179" i="38" s="1"/>
  <c r="AH179" i="38"/>
  <c r="AG179" i="38"/>
  <c r="AA179" i="38"/>
  <c r="AI179" i="38"/>
  <c r="B179" i="7"/>
  <c r="D179" i="7"/>
  <c r="B181" i="38"/>
  <c r="A180" i="7"/>
  <c r="A203" i="24"/>
  <c r="AJ181" i="38"/>
  <c r="AP181" i="38"/>
  <c r="D181" i="38"/>
  <c r="A182" i="38"/>
  <c r="Y180" i="38"/>
  <c r="X180" i="38"/>
  <c r="AQ180" i="38"/>
  <c r="AL180" i="38"/>
  <c r="C180" i="7"/>
  <c r="C182" i="38"/>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1" i="7"/>
  <c r="C183" i="38"/>
  <c r="AZ181" i="7"/>
  <c r="AU182" i="38"/>
  <c r="AI181" i="38" l="1"/>
  <c r="Z181" i="38"/>
  <c r="AS181" i="38" s="1"/>
  <c r="E181" i="38" s="1"/>
  <c r="AA181" i="38"/>
  <c r="AG181" i="38"/>
  <c r="AH181" i="38"/>
  <c r="D181" i="7"/>
  <c r="B181" i="7"/>
  <c r="B180" i="6"/>
  <c r="A205" i="24"/>
  <c r="A184" i="38"/>
  <c r="AP183" i="38"/>
  <c r="A182" i="7"/>
  <c r="B183" i="38"/>
  <c r="D183" i="38"/>
  <c r="AJ183" i="38"/>
  <c r="AQ182" i="38"/>
  <c r="AL182" i="38"/>
  <c r="Y182" i="38"/>
  <c r="X182" i="38"/>
  <c r="C182" i="7"/>
  <c r="C184" i="38"/>
  <c r="AU183" i="38"/>
  <c r="AZ182" i="7"/>
  <c r="B181" i="6" l="1"/>
  <c r="AQ183" i="38"/>
  <c r="Y183" i="38"/>
  <c r="X183" i="38"/>
  <c r="B182" i="7"/>
  <c r="D182" i="7"/>
  <c r="AA182" i="38"/>
  <c r="AH182" i="38"/>
  <c r="Z182" i="38"/>
  <c r="AS182" i="38" s="1"/>
  <c r="E182" i="38" s="1"/>
  <c r="AI182" i="38"/>
  <c r="AG182" i="38"/>
  <c r="B184" i="38"/>
  <c r="A206" i="24"/>
  <c r="AP184" i="38"/>
  <c r="A183" i="7"/>
  <c r="A185" i="38"/>
  <c r="D184" i="38"/>
  <c r="AJ184" i="38"/>
  <c r="AL183" i="38"/>
  <c r="C183" i="7"/>
  <c r="C185" i="38"/>
  <c r="AU184" i="38"/>
  <c r="AZ183" i="7"/>
  <c r="AQ184" i="38" l="1"/>
  <c r="AL184" i="38"/>
  <c r="A186" i="38"/>
  <c r="AP185" i="38"/>
  <c r="D185" i="38"/>
  <c r="A207" i="24"/>
  <c r="B185" i="38"/>
  <c r="AJ185" i="38"/>
  <c r="A184" i="7"/>
  <c r="B183" i="7"/>
  <c r="D183" i="7"/>
  <c r="AH183" i="38"/>
  <c r="Z183" i="38"/>
  <c r="AS183" i="38" s="1"/>
  <c r="E183" i="38" s="1"/>
  <c r="AA183" i="38"/>
  <c r="AI183" i="38"/>
  <c r="AG183" i="38"/>
  <c r="X184" i="38"/>
  <c r="Y184" i="38"/>
  <c r="B182" i="6"/>
  <c r="C186" i="38"/>
  <c r="C184" i="7"/>
  <c r="AU185" i="38"/>
  <c r="AZ184" i="7"/>
  <c r="AQ185" i="38" l="1"/>
  <c r="B183" i="6"/>
  <c r="Y185" i="38"/>
  <c r="X185" i="38"/>
  <c r="A185" i="7"/>
  <c r="AP186" i="38"/>
  <c r="A187" i="38"/>
  <c r="D186" i="38"/>
  <c r="A208" i="24"/>
  <c r="B186" i="38"/>
  <c r="AJ186" i="38"/>
  <c r="AL185" i="38"/>
  <c r="Z184" i="38"/>
  <c r="AS184" i="38" s="1"/>
  <c r="E184" i="38" s="1"/>
  <c r="AA184" i="38"/>
  <c r="AH184" i="38"/>
  <c r="AG184" i="38"/>
  <c r="AI184" i="38"/>
  <c r="D184" i="7"/>
  <c r="B184" i="7"/>
  <c r="C187" i="38"/>
  <c r="C185" i="7"/>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6" i="7"/>
  <c r="C188" i="38"/>
  <c r="AZ186" i="7"/>
  <c r="AU187" i="38"/>
  <c r="B185" i="6" l="1"/>
  <c r="AL187" i="38"/>
  <c r="AQ187" i="38"/>
  <c r="B186" i="7"/>
  <c r="D186" i="7"/>
  <c r="Y187" i="38"/>
  <c r="X187" i="38"/>
  <c r="AA186" i="38"/>
  <c r="AH186" i="38"/>
  <c r="AI186" i="38"/>
  <c r="AG186" i="38"/>
  <c r="Z186" i="38"/>
  <c r="AS186" i="38" s="1"/>
  <c r="E186" i="38" s="1"/>
  <c r="A187" i="7"/>
  <c r="A210" i="24"/>
  <c r="D188" i="38"/>
  <c r="AJ188" i="38"/>
  <c r="B188" i="38"/>
  <c r="AP188" i="38"/>
  <c r="A189" i="38"/>
  <c r="C187" i="7"/>
  <c r="C189" i="38"/>
  <c r="AU188" i="38"/>
  <c r="AZ187" i="7"/>
  <c r="AL188" i="38" l="1"/>
  <c r="B187" i="7"/>
  <c r="D187" i="7"/>
  <c r="B186" i="6"/>
  <c r="AG187" i="38"/>
  <c r="AA187" i="38"/>
  <c r="Z187" i="38"/>
  <c r="AS187" i="38" s="1"/>
  <c r="E187" i="38" s="1"/>
  <c r="AH187" i="38"/>
  <c r="AI187" i="38"/>
  <c r="Y188" i="38"/>
  <c r="X188" i="38"/>
  <c r="A211" i="24"/>
  <c r="B189" i="38"/>
  <c r="A188" i="7"/>
  <c r="A190" i="38"/>
  <c r="AP189" i="38"/>
  <c r="AJ189" i="38"/>
  <c r="D189" i="38"/>
  <c r="AQ188" i="38"/>
  <c r="C188" i="7"/>
  <c r="C190" i="38"/>
  <c r="AZ188" i="7"/>
  <c r="AU189" i="38"/>
  <c r="X189" i="38" l="1"/>
  <c r="Y189" i="38"/>
  <c r="B187" i="6"/>
  <c r="AA188" i="38"/>
  <c r="AH188" i="38"/>
  <c r="AI188" i="38"/>
  <c r="AG188" i="38"/>
  <c r="Z188" i="38"/>
  <c r="AS188" i="38" s="1"/>
  <c r="E188" i="38" s="1"/>
  <c r="AP190" i="38"/>
  <c r="B190" i="38"/>
  <c r="A189" i="7"/>
  <c r="A191" i="38"/>
  <c r="A212" i="24"/>
  <c r="AJ190" i="38"/>
  <c r="D190" i="38"/>
  <c r="AQ189" i="38"/>
  <c r="AL189" i="38"/>
  <c r="B188" i="7"/>
  <c r="D188" i="7"/>
  <c r="C191" i="38"/>
  <c r="C189" i="7"/>
  <c r="AU190" i="38"/>
  <c r="AZ189" i="7"/>
  <c r="AQ190" i="38" l="1"/>
  <c r="B189" i="7"/>
  <c r="D189" i="7"/>
  <c r="B188" i="6"/>
  <c r="AP191" i="38"/>
  <c r="D191" i="38"/>
  <c r="A213" i="24"/>
  <c r="A190" i="7"/>
  <c r="A192" i="38"/>
  <c r="AJ191" i="38"/>
  <c r="B191" i="38"/>
  <c r="X190" i="38"/>
  <c r="Y190" i="38"/>
  <c r="AL190" i="38"/>
  <c r="Z189" i="38"/>
  <c r="AS189" i="38" s="1"/>
  <c r="E189" i="38" s="1"/>
  <c r="AI189" i="38"/>
  <c r="AA189" i="38"/>
  <c r="AH189" i="38"/>
  <c r="AG189" i="38"/>
  <c r="C190" i="7"/>
  <c r="C192" i="38"/>
  <c r="AU191" i="38"/>
  <c r="AZ190" i="7"/>
  <c r="B189" i="6" l="1"/>
  <c r="AI190" i="38"/>
  <c r="AH190" i="38"/>
  <c r="Z190" i="38"/>
  <c r="AS190" i="38" s="1"/>
  <c r="E190" i="38" s="1"/>
  <c r="AA190" i="38"/>
  <c r="AG190" i="38"/>
  <c r="B190" i="7"/>
  <c r="D190" i="7"/>
  <c r="X191" i="38"/>
  <c r="Y191" i="38"/>
  <c r="AQ191" i="38"/>
  <c r="AL191" i="38"/>
  <c r="A191" i="7"/>
  <c r="A214" i="24"/>
  <c r="A193" i="38"/>
  <c r="AP192" i="38"/>
  <c r="D192" i="38"/>
  <c r="B192" i="38"/>
  <c r="AJ192" i="38"/>
  <c r="C191" i="7"/>
  <c r="C193" i="38"/>
  <c r="AZ191" i="7"/>
  <c r="AU192" i="38"/>
  <c r="B190" i="6" l="1"/>
  <c r="B193" i="38"/>
  <c r="AJ193" i="38"/>
  <c r="A215" i="24"/>
  <c r="A192" i="7"/>
  <c r="D193" i="38"/>
  <c r="A194" i="38"/>
  <c r="AP193" i="38"/>
  <c r="X192" i="38"/>
  <c r="Y192" i="38"/>
  <c r="AQ192" i="38"/>
  <c r="AL192" i="38"/>
  <c r="D191" i="7"/>
  <c r="B191" i="7"/>
  <c r="AH191" i="38"/>
  <c r="AI191" i="38"/>
  <c r="AA191" i="38"/>
  <c r="AG191" i="38"/>
  <c r="Z191" i="38"/>
  <c r="AS191" i="38" s="1"/>
  <c r="E191" i="38" s="1"/>
  <c r="C192" i="7"/>
  <c r="C194" i="38"/>
  <c r="AZ192" i="7"/>
  <c r="AU193" i="38"/>
  <c r="AL193" i="38" l="1"/>
  <c r="D194" i="38"/>
  <c r="AJ194" i="38"/>
  <c r="A195" i="38"/>
  <c r="B194" i="38"/>
  <c r="A216" i="24"/>
  <c r="A193" i="7"/>
  <c r="AP194" i="38"/>
  <c r="AQ193" i="38"/>
  <c r="X193" i="38"/>
  <c r="Y193" i="38"/>
  <c r="AA192" i="38"/>
  <c r="AG192" i="38"/>
  <c r="Z192" i="38"/>
  <c r="AS192" i="38" s="1"/>
  <c r="E192" i="38" s="1"/>
  <c r="AI192" i="38"/>
  <c r="AH192" i="38"/>
  <c r="B192" i="7"/>
  <c r="D192" i="7"/>
  <c r="B191" i="6"/>
  <c r="C195" i="38"/>
  <c r="C193" i="7"/>
  <c r="AZ193" i="7"/>
  <c r="AU194" i="38"/>
  <c r="AL194" i="38" l="1"/>
  <c r="B192" i="6"/>
  <c r="AQ194" i="38"/>
  <c r="B195" i="38"/>
  <c r="A196" i="38"/>
  <c r="A217" i="24"/>
  <c r="AJ195" i="38"/>
  <c r="AP195" i="38"/>
  <c r="D195" i="38"/>
  <c r="A194" i="7"/>
  <c r="AA193" i="38"/>
  <c r="AG193" i="38"/>
  <c r="Z193" i="38"/>
  <c r="AS193" i="38" s="1"/>
  <c r="E193" i="38" s="1"/>
  <c r="AH193" i="38"/>
  <c r="AI193" i="38"/>
  <c r="B193" i="7"/>
  <c r="D193" i="7"/>
  <c r="X194" i="38"/>
  <c r="Y194" i="38"/>
  <c r="C196" i="38"/>
  <c r="C194" i="7"/>
  <c r="AU195" i="38"/>
  <c r="AZ194" i="7"/>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5" i="7"/>
  <c r="C197" i="38"/>
  <c r="AZ195" i="7"/>
  <c r="AU196" i="38"/>
  <c r="AL196" i="38" l="1"/>
  <c r="B194" i="6"/>
  <c r="Y196" i="38"/>
  <c r="X196" i="38"/>
  <c r="D197" i="38"/>
  <c r="AJ197" i="38"/>
  <c r="A198" i="38"/>
  <c r="A196" i="7"/>
  <c r="AP197" i="38"/>
  <c r="B197" i="38"/>
  <c r="A219" i="24"/>
  <c r="AG195" i="38"/>
  <c r="AI195" i="38"/>
  <c r="AH195" i="38"/>
  <c r="AA195" i="38"/>
  <c r="Z195" i="38"/>
  <c r="AS195" i="38" s="1"/>
  <c r="E195" i="38" s="1"/>
  <c r="D195" i="7"/>
  <c r="B195" i="7"/>
  <c r="C196" i="7"/>
  <c r="C198" i="38"/>
  <c r="AU197" i="38"/>
  <c r="AZ196" i="7"/>
  <c r="AL197" i="38" l="1"/>
  <c r="Y197" i="38"/>
  <c r="X197" i="38"/>
  <c r="B195" i="6"/>
  <c r="D196" i="7"/>
  <c r="B196" i="7"/>
  <c r="A199" i="38"/>
  <c r="AJ198" i="38"/>
  <c r="D198" i="38"/>
  <c r="AP198" i="38"/>
  <c r="A220" i="24"/>
  <c r="A197" i="7"/>
  <c r="B198" i="38"/>
  <c r="AI196" i="38"/>
  <c r="Z196" i="38"/>
  <c r="AS196" i="38" s="1"/>
  <c r="E196" i="38" s="1"/>
  <c r="AH196" i="38"/>
  <c r="AA196" i="38"/>
  <c r="AG196" i="38"/>
  <c r="AQ197" i="38"/>
  <c r="C197" i="7"/>
  <c r="C199" i="38"/>
  <c r="AU198" i="38"/>
  <c r="AZ197" i="7"/>
  <c r="AL198" i="38" l="1"/>
  <c r="X198" i="38"/>
  <c r="Y198" i="38"/>
  <c r="AP199" i="38"/>
  <c r="D199" i="38"/>
  <c r="A198" i="7"/>
  <c r="AJ199" i="38"/>
  <c r="A221" i="24"/>
  <c r="A200" i="38"/>
  <c r="B199" i="38"/>
  <c r="AI197" i="38"/>
  <c r="AH197" i="38"/>
  <c r="AG197" i="38"/>
  <c r="AA197" i="38"/>
  <c r="Z197" i="38"/>
  <c r="AS197" i="38" s="1"/>
  <c r="E197" i="38" s="1"/>
  <c r="D197" i="7"/>
  <c r="B197" i="7"/>
  <c r="B196" i="6"/>
  <c r="AQ198" i="38"/>
  <c r="C198" i="7"/>
  <c r="C200" i="38"/>
  <c r="AU199" i="38"/>
  <c r="AZ198" i="7"/>
  <c r="AL199" i="38" l="1"/>
  <c r="AQ199" i="38"/>
  <c r="AP200" i="38"/>
  <c r="A222" i="24"/>
  <c r="A199" i="7"/>
  <c r="A201" i="38"/>
  <c r="B200" i="38"/>
  <c r="AJ200" i="38"/>
  <c r="D200" i="38"/>
  <c r="Y199" i="38"/>
  <c r="X199" i="38"/>
  <c r="B197" i="6"/>
  <c r="B198" i="7"/>
  <c r="D198" i="7"/>
  <c r="AI198" i="38"/>
  <c r="AG198" i="38"/>
  <c r="Z198" i="38"/>
  <c r="AS198" i="38" s="1"/>
  <c r="E198" i="38" s="1"/>
  <c r="AH198" i="38"/>
  <c r="AA198" i="38"/>
  <c r="C201" i="38"/>
  <c r="C199" i="7"/>
  <c r="AZ199" i="7"/>
  <c r="AU200" i="38"/>
  <c r="AL200" i="38" l="1"/>
  <c r="B198" i="6"/>
  <c r="AQ200" i="38"/>
  <c r="A223" i="24"/>
  <c r="AJ201" i="38"/>
  <c r="B201" i="38"/>
  <c r="A202" i="38"/>
  <c r="A200" i="7"/>
  <c r="D201" i="38"/>
  <c r="AP201" i="38"/>
  <c r="AA199" i="38"/>
  <c r="AI199" i="38"/>
  <c r="AG199" i="38"/>
  <c r="Z199" i="38"/>
  <c r="AS199" i="38" s="1"/>
  <c r="E199" i="38" s="1"/>
  <c r="AH199" i="38"/>
  <c r="X200" i="38"/>
  <c r="Y200" i="38"/>
  <c r="B199" i="7"/>
  <c r="D199" i="7"/>
  <c r="C200" i="7"/>
  <c r="C202" i="38"/>
  <c r="AU201" i="38"/>
  <c r="AZ200" i="7"/>
  <c r="AL201" i="38" l="1"/>
  <c r="AA200" i="38"/>
  <c r="Z200" i="38"/>
  <c r="AS200" i="38" s="1"/>
  <c r="E200" i="38" s="1"/>
  <c r="AI200" i="38"/>
  <c r="AH200" i="38"/>
  <c r="AG200" i="38"/>
  <c r="B199" i="6"/>
  <c r="B200" i="6" s="1"/>
  <c r="B200" i="7"/>
  <c r="D200" i="7"/>
  <c r="X201" i="38"/>
  <c r="Y201" i="38"/>
  <c r="AQ201" i="38"/>
  <c r="A224" i="24"/>
  <c r="A203" i="38"/>
  <c r="AP202" i="38"/>
  <c r="A201" i="7"/>
  <c r="D202" i="38"/>
  <c r="AL202" i="38" s="1"/>
  <c r="B202" i="38"/>
  <c r="AJ202" i="38"/>
  <c r="C201" i="7"/>
  <c r="C203" i="38"/>
  <c r="AZ201" i="7"/>
  <c r="AU202" i="38"/>
  <c r="AQ202" i="38" l="1"/>
  <c r="D201" i="7"/>
  <c r="B201" i="7"/>
  <c r="X202" i="38"/>
  <c r="Y202" i="38"/>
  <c r="A225" i="24"/>
  <c r="D203" i="38"/>
  <c r="AL203" i="38" s="1"/>
  <c r="A202" i="7"/>
  <c r="A204" i="38"/>
  <c r="B203" i="38"/>
  <c r="AJ203" i="38"/>
  <c r="AP203" i="38"/>
  <c r="AI201" i="38"/>
  <c r="AA201" i="38"/>
  <c r="Z201" i="38"/>
  <c r="AS201" i="38" s="1"/>
  <c r="E201" i="38" s="1"/>
  <c r="AH201" i="38"/>
  <c r="AG201" i="38"/>
  <c r="C204" i="38"/>
  <c r="C202" i="7"/>
  <c r="AU203" i="38"/>
  <c r="AZ202" i="7"/>
  <c r="AG202" i="38" l="1"/>
  <c r="AI202" i="38"/>
  <c r="AA202" i="38"/>
  <c r="AH202" i="38"/>
  <c r="Z202" i="38"/>
  <c r="AS202" i="38" s="1"/>
  <c r="E202" i="38" s="1"/>
  <c r="D204" i="38"/>
  <c r="AL204" i="38" s="1"/>
  <c r="A205" i="38"/>
  <c r="A203" i="7"/>
  <c r="B204" i="38"/>
  <c r="A226" i="24"/>
  <c r="AJ204" i="38"/>
  <c r="AP204" i="38"/>
  <c r="B201" i="6"/>
  <c r="B202" i="6" s="1"/>
  <c r="X203" i="38"/>
  <c r="Y203" i="38"/>
  <c r="B202" i="7"/>
  <c r="D202" i="7"/>
  <c r="AQ203" i="38"/>
  <c r="AQ204" i="38" s="1"/>
  <c r="C203" i="7"/>
  <c r="C205" i="38"/>
  <c r="AZ203" i="7"/>
  <c r="AU204" i="38"/>
  <c r="AH203" i="38" l="1"/>
  <c r="Z203" i="38"/>
  <c r="AS203" i="38" s="1"/>
  <c r="E203" i="38" s="1"/>
  <c r="AG203" i="38"/>
  <c r="AI203" i="38"/>
  <c r="AA203" i="38"/>
  <c r="Y204" i="38"/>
  <c r="X204" i="38"/>
  <c r="B205" i="38"/>
  <c r="AJ205" i="38"/>
  <c r="A206" i="38"/>
  <c r="AP205" i="38"/>
  <c r="A204" i="7"/>
  <c r="D205" i="38"/>
  <c r="AL205" i="38" s="1"/>
  <c r="A227" i="24"/>
  <c r="D203" i="7"/>
  <c r="B203" i="7"/>
  <c r="C206" i="38"/>
  <c r="C204" i="7"/>
  <c r="AZ204" i="7"/>
  <c r="AU205" i="38"/>
  <c r="B203" i="6" l="1"/>
  <c r="D204" i="7"/>
  <c r="B204" i="7"/>
  <c r="AQ205" i="38"/>
  <c r="AI204" i="38"/>
  <c r="AA204" i="38"/>
  <c r="AG204" i="38"/>
  <c r="Z204" i="38"/>
  <c r="AS204" i="38" s="1"/>
  <c r="E204" i="38" s="1"/>
  <c r="AH204" i="38"/>
  <c r="A207" i="38"/>
  <c r="A228" i="24"/>
  <c r="AP206" i="38"/>
  <c r="AJ206" i="38"/>
  <c r="B206" i="38"/>
  <c r="D206" i="38"/>
  <c r="AL206" i="38" s="1"/>
  <c r="A205" i="7"/>
  <c r="Y205" i="38"/>
  <c r="X205" i="38"/>
  <c r="C205" i="7"/>
  <c r="C207" i="38"/>
  <c r="AZ205" i="7"/>
  <c r="AU206" i="38"/>
  <c r="AQ206" i="38" l="1"/>
  <c r="Y206" i="38"/>
  <c r="X206" i="38"/>
  <c r="AI205" i="38"/>
  <c r="AG205" i="38"/>
  <c r="AH205" i="38"/>
  <c r="Z205" i="38"/>
  <c r="AS205" i="38" s="1"/>
  <c r="E205" i="38" s="1"/>
  <c r="AA205" i="38"/>
  <c r="B205" i="7"/>
  <c r="D205" i="7"/>
  <c r="B204" i="6"/>
  <c r="B205" i="6" s="1"/>
  <c r="D207" i="38"/>
  <c r="AL207" i="38" s="1"/>
  <c r="AJ207" i="38"/>
  <c r="B207" i="38"/>
  <c r="A206" i="7"/>
  <c r="A208" i="38"/>
  <c r="A229" i="24"/>
  <c r="AP207" i="38"/>
  <c r="C206" i="7"/>
  <c r="C208" i="38"/>
  <c r="AZ206" i="7"/>
  <c r="AU207" i="38"/>
  <c r="D206" i="7" l="1"/>
  <c r="B206" i="7"/>
  <c r="AG206" i="38"/>
  <c r="Z206" i="38"/>
  <c r="AS206" i="38" s="1"/>
  <c r="E206" i="38" s="1"/>
  <c r="AI206" i="38"/>
  <c r="AA206" i="38"/>
  <c r="AH206" i="38"/>
  <c r="D208" i="38"/>
  <c r="AL208" i="38" s="1"/>
  <c r="A209" i="38"/>
  <c r="AJ208" i="38"/>
  <c r="B208" i="38"/>
  <c r="A207" i="7"/>
  <c r="AP208" i="38"/>
  <c r="A230" i="24"/>
  <c r="X207" i="38"/>
  <c r="Y207" i="38"/>
  <c r="AQ207" i="38"/>
  <c r="C209" i="38"/>
  <c r="C207" i="7"/>
  <c r="AU208" i="38"/>
  <c r="AZ207" i="7"/>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08" i="7"/>
  <c r="C210" i="38"/>
  <c r="AZ208" i="7"/>
  <c r="AU209" i="38"/>
  <c r="AG208" i="38" l="1"/>
  <c r="Z208" i="38"/>
  <c r="AS208" i="38" s="1"/>
  <c r="E208" i="38" s="1"/>
  <c r="AH208" i="38"/>
  <c r="AI208" i="38"/>
  <c r="AA208" i="38"/>
  <c r="A211" i="38"/>
  <c r="AJ210" i="38"/>
  <c r="B210" i="38"/>
  <c r="A209" i="7"/>
  <c r="A232" i="24"/>
  <c r="D210" i="38"/>
  <c r="AL210" i="38" s="1"/>
  <c r="AP210" i="38"/>
  <c r="AQ209" i="38"/>
  <c r="B208" i="6"/>
  <c r="D208" i="7"/>
  <c r="B208" i="7"/>
  <c r="Y209" i="38"/>
  <c r="X209" i="38"/>
  <c r="C209" i="7"/>
  <c r="C211" i="38"/>
  <c r="AZ209" i="7"/>
  <c r="AU210" i="38"/>
  <c r="AI209" i="38" l="1"/>
  <c r="AG209" i="38"/>
  <c r="Z209" i="38"/>
  <c r="AS209" i="38" s="1"/>
  <c r="E209" i="38" s="1"/>
  <c r="AH209" i="38"/>
  <c r="AA209" i="38"/>
  <c r="X210" i="38"/>
  <c r="Y210" i="38"/>
  <c r="A210" i="7"/>
  <c r="B211" i="38"/>
  <c r="A212" i="38"/>
  <c r="A233" i="24"/>
  <c r="AP211" i="38"/>
  <c r="D211" i="38"/>
  <c r="AL211" i="38" s="1"/>
  <c r="AJ211" i="38"/>
  <c r="AQ210" i="38"/>
  <c r="B209" i="7"/>
  <c r="D209" i="7"/>
  <c r="C212" i="38"/>
  <c r="C210" i="7"/>
  <c r="AU211" i="38"/>
  <c r="AZ210" i="7"/>
  <c r="AQ211" i="38" l="1"/>
  <c r="D212" i="38"/>
  <c r="AL212" i="38" s="1"/>
  <c r="AJ212" i="38"/>
  <c r="A211" i="7"/>
  <c r="AP212" i="38"/>
  <c r="B212" i="38"/>
  <c r="A234" i="24"/>
  <c r="A213" i="38"/>
  <c r="AG210" i="38"/>
  <c r="AI210" i="38"/>
  <c r="Z210" i="38"/>
  <c r="AS210" i="38" s="1"/>
  <c r="E210" i="38" s="1"/>
  <c r="AH210" i="38"/>
  <c r="AA210" i="38"/>
  <c r="X211" i="38"/>
  <c r="Y211" i="38"/>
  <c r="B209" i="6"/>
  <c r="B210" i="7"/>
  <c r="D210" i="7"/>
  <c r="C213" i="38"/>
  <c r="C211" i="7"/>
  <c r="AZ211" i="7"/>
  <c r="AU212" i="38"/>
  <c r="AQ212" i="38" l="1"/>
  <c r="B210" i="6"/>
  <c r="A214" i="38"/>
  <c r="B213" i="38"/>
  <c r="AJ213" i="38"/>
  <c r="A212" i="7"/>
  <c r="D213" i="38"/>
  <c r="AL213" i="38" s="1"/>
  <c r="AP213" i="38"/>
  <c r="A235" i="24"/>
  <c r="X212" i="38"/>
  <c r="Y212" i="38"/>
  <c r="B211" i="7"/>
  <c r="D211" i="7"/>
  <c r="AA211" i="38"/>
  <c r="Z211" i="38"/>
  <c r="AS211" i="38" s="1"/>
  <c r="E211" i="38" s="1"/>
  <c r="AI211" i="38"/>
  <c r="AH211" i="38"/>
  <c r="AG211" i="38"/>
  <c r="C212" i="7"/>
  <c r="C214" i="38"/>
  <c r="AU213" i="38"/>
  <c r="AZ212" i="7"/>
  <c r="Y213" i="38" l="1"/>
  <c r="X213" i="38"/>
  <c r="AG212" i="38"/>
  <c r="AA212" i="38"/>
  <c r="AH212" i="38"/>
  <c r="AI212" i="38"/>
  <c r="Z212" i="38"/>
  <c r="AS212" i="38" s="1"/>
  <c r="E212" i="38" s="1"/>
  <c r="B214" i="38"/>
  <c r="AJ214" i="38"/>
  <c r="D214" i="38"/>
  <c r="AL214" i="38" s="1"/>
  <c r="A215" i="38"/>
  <c r="A213" i="7"/>
  <c r="AP214" i="38"/>
  <c r="A236" i="24"/>
  <c r="AQ213" i="38"/>
  <c r="B212" i="7"/>
  <c r="D212" i="7"/>
  <c r="B211" i="6"/>
  <c r="C215" i="38"/>
  <c r="C213" i="7"/>
  <c r="AZ213" i="7"/>
  <c r="AU214" i="38"/>
  <c r="AQ214" i="38" l="1"/>
  <c r="B212" i="6"/>
  <c r="A237" i="24"/>
  <c r="A214" i="7"/>
  <c r="AP215" i="38"/>
  <c r="A216" i="38"/>
  <c r="D215" i="38"/>
  <c r="AL215" i="38" s="1"/>
  <c r="AJ215" i="38"/>
  <c r="B215" i="38"/>
  <c r="D213" i="7"/>
  <c r="B213" i="7"/>
  <c r="AG213" i="38"/>
  <c r="Z213" i="38"/>
  <c r="AS213" i="38" s="1"/>
  <c r="E213" i="38" s="1"/>
  <c r="AA213" i="38"/>
  <c r="AI213" i="38"/>
  <c r="AH213" i="38"/>
  <c r="Y214" i="38"/>
  <c r="X214" i="38"/>
  <c r="C214" i="7"/>
  <c r="C216" i="38"/>
  <c r="AZ214" i="7"/>
  <c r="AU215" i="38"/>
  <c r="B213" i="6" l="1"/>
  <c r="X215" i="38"/>
  <c r="Y215" i="38"/>
  <c r="B214" i="7"/>
  <c r="D214" i="7"/>
  <c r="AI214" i="38"/>
  <c r="Z214" i="38"/>
  <c r="AS214" i="38" s="1"/>
  <c r="E214" i="38" s="1"/>
  <c r="AG214" i="38"/>
  <c r="AH214" i="38"/>
  <c r="AA214" i="38"/>
  <c r="A217" i="38"/>
  <c r="AJ216" i="38"/>
  <c r="D216" i="38"/>
  <c r="AL216" i="38" s="1"/>
  <c r="A238" i="24"/>
  <c r="B216" i="38"/>
  <c r="AP216" i="38"/>
  <c r="A215" i="7"/>
  <c r="AQ215" i="38"/>
  <c r="C215" i="7"/>
  <c r="C217" i="38"/>
  <c r="AU216" i="38"/>
  <c r="AZ215" i="7"/>
  <c r="AQ216" i="38" l="1"/>
  <c r="Y216" i="38"/>
  <c r="X216" i="38"/>
  <c r="AI215" i="38"/>
  <c r="AA215" i="38"/>
  <c r="Z215" i="38"/>
  <c r="AS215" i="38" s="1"/>
  <c r="E215" i="38" s="1"/>
  <c r="AG215" i="38"/>
  <c r="AH215" i="38"/>
  <c r="B217" i="38"/>
  <c r="A216" i="7"/>
  <c r="A218" i="38"/>
  <c r="D217" i="38"/>
  <c r="AL217" i="38" s="1"/>
  <c r="AP217" i="38"/>
  <c r="A239" i="24"/>
  <c r="AJ217" i="38"/>
  <c r="B215" i="7"/>
  <c r="D215" i="7"/>
  <c r="B214" i="6"/>
  <c r="C216" i="7"/>
  <c r="C218" i="38"/>
  <c r="AU217" i="38"/>
  <c r="AZ216" i="7"/>
  <c r="AQ217" i="38" l="1"/>
  <c r="B215" i="6"/>
  <c r="X217" i="38"/>
  <c r="Y217" i="38"/>
  <c r="B218" i="38"/>
  <c r="A217" i="7"/>
  <c r="A219" i="38"/>
  <c r="D218" i="38"/>
  <c r="AL218" i="38" s="1"/>
  <c r="AP218" i="38"/>
  <c r="A240" i="24"/>
  <c r="AJ218" i="38"/>
  <c r="Z216" i="38"/>
  <c r="AS216" i="38" s="1"/>
  <c r="E216" i="38" s="1"/>
  <c r="AA216" i="38"/>
  <c r="AG216" i="38"/>
  <c r="AH216" i="38"/>
  <c r="AI216" i="38"/>
  <c r="B216" i="7"/>
  <c r="D216" i="7"/>
  <c r="C219" i="38"/>
  <c r="C217" i="7"/>
  <c r="AZ217" i="7"/>
  <c r="AU218" i="38"/>
  <c r="AP219" i="38" l="1"/>
  <c r="A220" i="38"/>
  <c r="D219" i="38"/>
  <c r="AL219" i="38" s="1"/>
  <c r="AJ219" i="38"/>
  <c r="B219" i="38"/>
  <c r="A218" i="7"/>
  <c r="A241" i="24"/>
  <c r="AA217" i="38"/>
  <c r="Z217" i="38"/>
  <c r="AS217" i="38" s="1"/>
  <c r="E217" i="38" s="1"/>
  <c r="AI217" i="38"/>
  <c r="AG217" i="38"/>
  <c r="AH217" i="38"/>
  <c r="AQ218" i="38"/>
  <c r="X218" i="38"/>
  <c r="Y218" i="38"/>
  <c r="B217" i="7"/>
  <c r="D217" i="7"/>
  <c r="B216" i="6"/>
  <c r="C218" i="7"/>
  <c r="C220" i="38"/>
  <c r="AZ218" i="7"/>
  <c r="AU219" i="38"/>
  <c r="B217" i="6" l="1"/>
  <c r="X219" i="38"/>
  <c r="Y219" i="38"/>
  <c r="AI218" i="38"/>
  <c r="Z218" i="38"/>
  <c r="AS218" i="38" s="1"/>
  <c r="E218" i="38" s="1"/>
  <c r="AA218" i="38"/>
  <c r="AH218" i="38"/>
  <c r="AG218" i="38"/>
  <c r="B218" i="7"/>
  <c r="D218" i="7"/>
  <c r="A219" i="7"/>
  <c r="AJ220" i="38"/>
  <c r="B220" i="38"/>
  <c r="AP220" i="38"/>
  <c r="D220" i="38"/>
  <c r="A221" i="38"/>
  <c r="A242" i="24"/>
  <c r="AQ219" i="38"/>
  <c r="C221" i="38"/>
  <c r="C219" i="7"/>
  <c r="AZ219" i="7"/>
  <c r="AU220" i="38"/>
  <c r="B218" i="6" l="1"/>
  <c r="A243" i="24"/>
  <c r="AJ221" i="38"/>
  <c r="A220" i="7"/>
  <c r="D221" i="38"/>
  <c r="A222" i="38"/>
  <c r="B221" i="38"/>
  <c r="AP221" i="38"/>
  <c r="Y220" i="38"/>
  <c r="X220" i="38"/>
  <c r="AQ220" i="38"/>
  <c r="AL220" i="38"/>
  <c r="B219" i="7"/>
  <c r="D219" i="7"/>
  <c r="AG219" i="38"/>
  <c r="AA219" i="38"/>
  <c r="AI219" i="38"/>
  <c r="AH219" i="38"/>
  <c r="Z219" i="38"/>
  <c r="AS219" i="38" s="1"/>
  <c r="E219" i="38" s="1"/>
  <c r="C222" i="38"/>
  <c r="C220" i="7"/>
  <c r="AU221" i="38"/>
  <c r="AZ220" i="7"/>
  <c r="B219" i="6" l="1"/>
  <c r="B220" i="7"/>
  <c r="D220" i="7"/>
  <c r="AQ221" i="38"/>
  <c r="AL221" i="38"/>
  <c r="X221" i="38"/>
  <c r="Y221" i="38"/>
  <c r="AH220" i="38"/>
  <c r="Z220" i="38"/>
  <c r="AS220" i="38" s="1"/>
  <c r="E220" i="38" s="1"/>
  <c r="AG220" i="38"/>
  <c r="AA220" i="38"/>
  <c r="AI220" i="38"/>
  <c r="A221" i="7"/>
  <c r="AJ222" i="38"/>
  <c r="A223" i="38"/>
  <c r="D222" i="38"/>
  <c r="AP222" i="38"/>
  <c r="A244" i="24"/>
  <c r="B222" i="38"/>
  <c r="C221" i="7"/>
  <c r="C223" i="38"/>
  <c r="AZ221" i="7"/>
  <c r="AU222" i="38"/>
  <c r="A224" i="38" l="1"/>
  <c r="B223" i="38"/>
  <c r="D223" i="38"/>
  <c r="A222" i="7"/>
  <c r="A245" i="24"/>
  <c r="AJ223" i="38"/>
  <c r="AP223" i="38"/>
  <c r="Y222" i="38"/>
  <c r="X222" i="38"/>
  <c r="Z221" i="38"/>
  <c r="AS221" i="38" s="1"/>
  <c r="E221" i="38" s="1"/>
  <c r="AI221" i="38"/>
  <c r="AG221" i="38"/>
  <c r="AA221" i="38"/>
  <c r="AH221" i="38"/>
  <c r="AQ222" i="38"/>
  <c r="AL222" i="38"/>
  <c r="B221" i="7"/>
  <c r="D221" i="7"/>
  <c r="B220" i="6"/>
  <c r="C222" i="7"/>
  <c r="C224" i="38"/>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3" i="7"/>
  <c r="C225" i="38"/>
  <c r="AU224" i="38"/>
  <c r="AZ223" i="7"/>
  <c r="AH223" i="38" l="1"/>
  <c r="AG223" i="38"/>
  <c r="Z223" i="38"/>
  <c r="AS223" i="38" s="1"/>
  <c r="E223" i="38" s="1"/>
  <c r="AA223" i="38"/>
  <c r="AI223" i="38"/>
  <c r="B222" i="6"/>
  <c r="X224" i="38"/>
  <c r="Y224" i="38"/>
  <c r="AQ224" i="38"/>
  <c r="D225" i="38"/>
  <c r="A224" i="7"/>
  <c r="A247" i="24"/>
  <c r="A226" i="38"/>
  <c r="B225" i="38"/>
  <c r="AJ225" i="38"/>
  <c r="AP225" i="38"/>
  <c r="B223" i="7"/>
  <c r="D223" i="7"/>
  <c r="AL224" i="38"/>
  <c r="C226" i="38"/>
  <c r="C224" i="7"/>
  <c r="AU225" i="38"/>
  <c r="AZ224" i="7"/>
  <c r="Y225" i="38" l="1"/>
  <c r="X225" i="38"/>
  <c r="D224" i="7"/>
  <c r="B224" i="7"/>
  <c r="Z224" i="38"/>
  <c r="AS224" i="38" s="1"/>
  <c r="E224" i="38" s="1"/>
  <c r="AI224" i="38"/>
  <c r="AA224" i="38"/>
  <c r="AH224" i="38"/>
  <c r="AG224" i="38"/>
  <c r="AQ225" i="38"/>
  <c r="AL225" i="38"/>
  <c r="A225" i="7"/>
  <c r="AJ226" i="38"/>
  <c r="D226" i="38"/>
  <c r="B226" i="38"/>
  <c r="A227" i="38"/>
  <c r="A248" i="24"/>
  <c r="AP226" i="38"/>
  <c r="B223" i="6"/>
  <c r="C227" i="38"/>
  <c r="C225" i="7"/>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6" i="7"/>
  <c r="C228" i="38"/>
  <c r="AU227" i="38"/>
  <c r="AZ226" i="7"/>
  <c r="AH226" i="38" l="1"/>
  <c r="Z226" i="38"/>
  <c r="AS226" i="38" s="1"/>
  <c r="E226" i="38" s="1"/>
  <c r="AG226" i="38"/>
  <c r="AA226" i="38"/>
  <c r="AI226" i="38"/>
  <c r="X227" i="38"/>
  <c r="Y227" i="38"/>
  <c r="D226" i="7"/>
  <c r="B226" i="7"/>
  <c r="AQ227" i="38"/>
  <c r="AL227" i="38"/>
  <c r="D228" i="38"/>
  <c r="AJ228" i="38"/>
  <c r="A250" i="24"/>
  <c r="B228" i="38"/>
  <c r="AP228" i="38"/>
  <c r="A227" i="7"/>
  <c r="A229" i="38"/>
  <c r="B225" i="6"/>
  <c r="C227" i="7"/>
  <c r="C229" i="38"/>
  <c r="AZ227" i="7"/>
  <c r="AU228" i="38"/>
  <c r="B226" i="6" l="1"/>
  <c r="B229" i="38"/>
  <c r="D229" i="38"/>
  <c r="AJ229" i="38"/>
  <c r="A230" i="38"/>
  <c r="AP229" i="38"/>
  <c r="A228" i="7"/>
  <c r="A251" i="24"/>
  <c r="AH227" i="38"/>
  <c r="AI227" i="38"/>
  <c r="AA227" i="38"/>
  <c r="AG227" i="38"/>
  <c r="Z227" i="38"/>
  <c r="AS227" i="38" s="1"/>
  <c r="E227" i="38" s="1"/>
  <c r="AQ228" i="38"/>
  <c r="AL228" i="38"/>
  <c r="B227" i="7"/>
  <c r="D227" i="7"/>
  <c r="Y228" i="38"/>
  <c r="X228" i="38"/>
  <c r="C230" i="38"/>
  <c r="C228" i="7"/>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29" i="7"/>
  <c r="C231" i="38"/>
  <c r="AU230" i="38"/>
  <c r="AZ229" i="7"/>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0" i="7"/>
  <c r="C232" i="38"/>
  <c r="AU231" i="38"/>
  <c r="AZ230" i="7"/>
  <c r="Q13" i="23" l="1"/>
  <c r="P13" i="23" s="1"/>
  <c r="Y231" i="38"/>
  <c r="X231" i="38"/>
  <c r="Z230" i="38"/>
  <c r="AS230" i="38" s="1"/>
  <c r="E230" i="38" s="1"/>
  <c r="AG230" i="38"/>
  <c r="AI230" i="38"/>
  <c r="AH230" i="38"/>
  <c r="AA230" i="38"/>
  <c r="AQ231" i="38"/>
  <c r="AL231" i="38"/>
  <c r="B230" i="7"/>
  <c r="D230" i="7"/>
  <c r="A233" i="38"/>
  <c r="D232" i="38"/>
  <c r="AP232" i="38"/>
  <c r="B232" i="38"/>
  <c r="AJ232" i="38"/>
  <c r="A231" i="7"/>
  <c r="A254" i="24"/>
  <c r="B229" i="6"/>
  <c r="B230" i="6" s="1"/>
  <c r="C231" i="7"/>
  <c r="C233" i="38"/>
  <c r="AU232" i="38"/>
  <c r="AZ231" i="7"/>
  <c r="D233" i="38" l="1"/>
  <c r="AJ233" i="38"/>
  <c r="A234" i="38"/>
  <c r="B233" i="38"/>
  <c r="A255" i="24"/>
  <c r="A232" i="7"/>
  <c r="AP233" i="38"/>
  <c r="AI231" i="38"/>
  <c r="AA231" i="38"/>
  <c r="AG231" i="38"/>
  <c r="Z231" i="38"/>
  <c r="AS231" i="38" s="1"/>
  <c r="E231" i="38" s="1"/>
  <c r="AH231" i="38"/>
  <c r="Y232" i="38"/>
  <c r="X232" i="38"/>
  <c r="B231" i="6"/>
  <c r="B231" i="7"/>
  <c r="D231" i="7"/>
  <c r="AQ232" i="38"/>
  <c r="AL232" i="38"/>
  <c r="C232" i="7"/>
  <c r="C234" i="38"/>
  <c r="AU233" i="38"/>
  <c r="AZ232" i="7"/>
  <c r="AP234" i="38" l="1"/>
  <c r="A233" i="7"/>
  <c r="A256" i="24"/>
  <c r="AJ234" i="38"/>
  <c r="A235" i="38"/>
  <c r="B234" i="38"/>
  <c r="D234" i="38"/>
  <c r="Y233" i="38"/>
  <c r="X233" i="38"/>
  <c r="AQ233" i="38"/>
  <c r="AL233" i="38"/>
  <c r="AA232" i="38"/>
  <c r="AI232" i="38"/>
  <c r="Z232" i="38"/>
  <c r="AS232" i="38" s="1"/>
  <c r="E232" i="38" s="1"/>
  <c r="AH232" i="38"/>
  <c r="AG232" i="38"/>
  <c r="B232" i="7"/>
  <c r="D232" i="7"/>
  <c r="C235" i="38"/>
  <c r="C233" i="7"/>
  <c r="AU234" i="38"/>
  <c r="AZ233" i="7"/>
  <c r="AL234" i="38" l="1"/>
  <c r="AQ234" i="38"/>
  <c r="D233" i="7"/>
  <c r="B233" i="7"/>
  <c r="AG233" i="38"/>
  <c r="AA233" i="38"/>
  <c r="AH233" i="38"/>
  <c r="Z233" i="38"/>
  <c r="AS233" i="38" s="1"/>
  <c r="E233" i="38" s="1"/>
  <c r="AI233" i="38"/>
  <c r="B235" i="38"/>
  <c r="A257" i="24"/>
  <c r="D235" i="38"/>
  <c r="AJ235" i="38"/>
  <c r="AP235" i="38"/>
  <c r="A236" i="38"/>
  <c r="A234" i="7"/>
  <c r="Y234" i="38"/>
  <c r="X234" i="38"/>
  <c r="B232" i="6"/>
  <c r="C234" i="7"/>
  <c r="C236" i="38"/>
  <c r="AZ234" i="7"/>
  <c r="AU235" i="38"/>
  <c r="B234" i="7" l="1"/>
  <c r="D234" i="7"/>
  <c r="X235" i="38"/>
  <c r="Y235" i="38"/>
  <c r="A258" i="24"/>
  <c r="B236" i="38"/>
  <c r="AJ236" i="38"/>
  <c r="AP236" i="38"/>
  <c r="A235" i="7"/>
  <c r="D236" i="38"/>
  <c r="A237" i="38"/>
  <c r="AQ235" i="38"/>
  <c r="AL235" i="38"/>
  <c r="B233" i="6"/>
  <c r="AG234" i="38"/>
  <c r="Z234" i="38"/>
  <c r="AS234" i="38" s="1"/>
  <c r="E234" i="38" s="1"/>
  <c r="AH234" i="38"/>
  <c r="AA234" i="38"/>
  <c r="AI234" i="38"/>
  <c r="C235" i="7"/>
  <c r="C237" i="38"/>
  <c r="AU236" i="38"/>
  <c r="AZ235" i="7"/>
  <c r="B234" i="6" l="1"/>
  <c r="AQ236" i="38"/>
  <c r="AL236" i="38"/>
  <c r="D235" i="7"/>
  <c r="B235" i="7"/>
  <c r="D237" i="38"/>
  <c r="A259" i="24"/>
  <c r="AJ237" i="38"/>
  <c r="AP237" i="38"/>
  <c r="A236" i="7"/>
  <c r="A238" i="38"/>
  <c r="B237" i="38"/>
  <c r="X236" i="38"/>
  <c r="Y236" i="38"/>
  <c r="AH235" i="38"/>
  <c r="AI235" i="38"/>
  <c r="AG235" i="38"/>
  <c r="AA235" i="38"/>
  <c r="Z235" i="38"/>
  <c r="AS235" i="38" s="1"/>
  <c r="C236" i="7"/>
  <c r="C238" i="38"/>
  <c r="AZ236" i="7"/>
  <c r="AU237" i="38"/>
  <c r="AH236" i="38" l="1"/>
  <c r="AI236" i="38"/>
  <c r="AA236" i="38"/>
  <c r="AG236" i="38"/>
  <c r="Z236" i="38"/>
  <c r="AS236" i="38" s="1"/>
  <c r="E236" i="38" s="1"/>
  <c r="X237" i="38"/>
  <c r="Y237" i="38"/>
  <c r="E235" i="38"/>
  <c r="Q20" i="23"/>
  <c r="P20" i="23" s="1"/>
  <c r="A239" i="38"/>
  <c r="AJ238" i="38"/>
  <c r="D238" i="38"/>
  <c r="B238" i="38"/>
  <c r="A260" i="24"/>
  <c r="AP238" i="38"/>
  <c r="A237" i="7"/>
  <c r="B236" i="7"/>
  <c r="D236" i="7"/>
  <c r="AQ237" i="38"/>
  <c r="AL237" i="38"/>
  <c r="B235" i="6"/>
  <c r="B236" i="6" s="1"/>
  <c r="C239" i="38"/>
  <c r="C237" i="7"/>
  <c r="AZ237" i="7"/>
  <c r="AU238" i="38"/>
  <c r="AQ238" i="38" l="1"/>
  <c r="AL238" i="38"/>
  <c r="X238" i="38"/>
  <c r="Y238" i="38"/>
  <c r="B237" i="7"/>
  <c r="D237" i="7"/>
  <c r="AP239" i="38"/>
  <c r="D239" i="38"/>
  <c r="B239" i="38"/>
  <c r="A261" i="24"/>
  <c r="A238" i="7"/>
  <c r="A240" i="38"/>
  <c r="AJ239" i="38"/>
  <c r="Z237" i="38"/>
  <c r="AS237" i="38" s="1"/>
  <c r="E237" i="38" s="1"/>
  <c r="AH237" i="38"/>
  <c r="AI237" i="38"/>
  <c r="AA237" i="38"/>
  <c r="AG237" i="38"/>
  <c r="C238" i="7"/>
  <c r="C240" i="38"/>
  <c r="AU239" i="38"/>
  <c r="AZ238" i="7"/>
  <c r="B237" i="6" l="1"/>
  <c r="B238" i="7"/>
  <c r="D238" i="7"/>
  <c r="Z238" i="38"/>
  <c r="AS238" i="38" s="1"/>
  <c r="E238" i="38" s="1"/>
  <c r="AI238" i="38"/>
  <c r="AG238" i="38"/>
  <c r="AH238" i="38"/>
  <c r="AA238" i="38"/>
  <c r="X239" i="38"/>
  <c r="Y239" i="38"/>
  <c r="D240" i="38"/>
  <c r="A241" i="38"/>
  <c r="A262" i="24"/>
  <c r="A239" i="7"/>
  <c r="AP240" i="38"/>
  <c r="B240" i="38"/>
  <c r="AJ240" i="38"/>
  <c r="AQ239" i="38"/>
  <c r="AL239" i="38"/>
  <c r="C239" i="7"/>
  <c r="C241" i="38"/>
  <c r="AU240" i="38"/>
  <c r="AZ239" i="7"/>
  <c r="AL240" i="38" l="1"/>
  <c r="B238" i="6"/>
  <c r="AQ240" i="38"/>
  <c r="AH239" i="38"/>
  <c r="AG239" i="38"/>
  <c r="AI239" i="38"/>
  <c r="Z239" i="38"/>
  <c r="AS239" i="38" s="1"/>
  <c r="E239" i="38" s="1"/>
  <c r="AA239" i="38"/>
  <c r="AP241" i="38"/>
  <c r="A242" i="38"/>
  <c r="A263" i="24"/>
  <c r="A240" i="7"/>
  <c r="B241" i="38"/>
  <c r="D241" i="38"/>
  <c r="AJ241" i="38"/>
  <c r="B239" i="7"/>
  <c r="D239" i="7"/>
  <c r="X240" i="38"/>
  <c r="Y240" i="38"/>
  <c r="C240" i="7"/>
  <c r="C242" i="38"/>
  <c r="AU241" i="38"/>
  <c r="AZ240" i="7"/>
  <c r="B239" i="6" l="1"/>
  <c r="AA240" i="38"/>
  <c r="Z240" i="38"/>
  <c r="AS240" i="38" s="1"/>
  <c r="AI240" i="38"/>
  <c r="AH240" i="38"/>
  <c r="AG240" i="38"/>
  <c r="AQ241" i="38"/>
  <c r="AL241" i="38"/>
  <c r="A264" i="24"/>
  <c r="A243" i="38"/>
  <c r="A241" i="7"/>
  <c r="B242" i="38"/>
  <c r="AJ242" i="38"/>
  <c r="D242" i="38"/>
  <c r="AP242" i="38"/>
  <c r="B240" i="7"/>
  <c r="D240" i="7"/>
  <c r="Y241" i="38"/>
  <c r="X241" i="38"/>
  <c r="C241" i="7"/>
  <c r="C243" i="38"/>
  <c r="AU242" i="38"/>
  <c r="AZ241" i="7"/>
  <c r="B240" i="6" l="1"/>
  <c r="AI241" i="38"/>
  <c r="AA241" i="38"/>
  <c r="AH241" i="38"/>
  <c r="Z241" i="38"/>
  <c r="AS241" i="38" s="1"/>
  <c r="E241" i="38" s="1"/>
  <c r="AG241" i="38"/>
  <c r="Y242" i="38"/>
  <c r="X242" i="38"/>
  <c r="E240" i="38"/>
  <c r="Q25" i="23"/>
  <c r="P25" i="23" s="1"/>
  <c r="D241" i="7"/>
  <c r="B241" i="7"/>
  <c r="AQ242" i="38"/>
  <c r="AL242" i="38"/>
  <c r="AP243" i="38"/>
  <c r="AJ243" i="38"/>
  <c r="A265" i="24"/>
  <c r="A244" i="38"/>
  <c r="A242" i="7"/>
  <c r="D243" i="38"/>
  <c r="B243" i="38"/>
  <c r="C242" i="7"/>
  <c r="C244" i="38"/>
  <c r="AU243" i="38"/>
  <c r="AZ242" i="7"/>
  <c r="B241" i="6" l="1"/>
  <c r="B242" i="7"/>
  <c r="D242" i="7"/>
  <c r="AQ243" i="38"/>
  <c r="AL243" i="38"/>
  <c r="X243" i="38"/>
  <c r="Y243" i="38"/>
  <c r="Z242" i="38"/>
  <c r="AS242" i="38" s="1"/>
  <c r="E242" i="38" s="1"/>
  <c r="AA242" i="38"/>
  <c r="AH242" i="38"/>
  <c r="AI242" i="38"/>
  <c r="AG242" i="38"/>
  <c r="AP244" i="38"/>
  <c r="AJ244" i="38"/>
  <c r="D244" i="38"/>
  <c r="A245" i="38"/>
  <c r="B244" i="38"/>
  <c r="A266" i="24"/>
  <c r="A243" i="7"/>
  <c r="C245" i="38"/>
  <c r="C243" i="7"/>
  <c r="AZ243" i="7"/>
  <c r="AU244" i="38"/>
  <c r="AL244" i="38" l="1"/>
  <c r="AQ244" i="38"/>
  <c r="A267" i="24"/>
  <c r="A246" i="38"/>
  <c r="AP245" i="38"/>
  <c r="AJ245" i="38"/>
  <c r="A244" i="7"/>
  <c r="D245" i="38"/>
  <c r="B245" i="38"/>
  <c r="B243" i="7"/>
  <c r="D243" i="7"/>
  <c r="B242" i="6"/>
  <c r="Y244" i="38"/>
  <c r="X244" i="38"/>
  <c r="AI243" i="38"/>
  <c r="AA243" i="38"/>
  <c r="AH243" i="38"/>
  <c r="Z243" i="38"/>
  <c r="AS243" i="38" s="1"/>
  <c r="E243" i="38" s="1"/>
  <c r="AG243" i="38"/>
  <c r="C246" i="38"/>
  <c r="C244" i="7"/>
  <c r="AZ244" i="7"/>
  <c r="AU245" i="38"/>
  <c r="B243" i="6" l="1"/>
  <c r="AQ245" i="38"/>
  <c r="AL245" i="38"/>
  <c r="D244" i="7"/>
  <c r="B244" i="7"/>
  <c r="AI244" i="38"/>
  <c r="AA244" i="38"/>
  <c r="AG244" i="38"/>
  <c r="AH244" i="38"/>
  <c r="Z244" i="38"/>
  <c r="AS244" i="38" s="1"/>
  <c r="E244" i="38" s="1"/>
  <c r="Y245" i="38"/>
  <c r="X245" i="38"/>
  <c r="B246" i="38"/>
  <c r="AP246" i="38"/>
  <c r="A245" i="7"/>
  <c r="AJ246" i="38"/>
  <c r="A268" i="24"/>
  <c r="D246" i="38"/>
  <c r="A247" i="38"/>
  <c r="C247" i="38"/>
  <c r="C245" i="7"/>
  <c r="AZ245" i="7"/>
  <c r="AU246" i="38"/>
  <c r="Y246" i="38" l="1"/>
  <c r="X246" i="38"/>
  <c r="AH245" i="38"/>
  <c r="AI245" i="38"/>
  <c r="AA245" i="38"/>
  <c r="Z245" i="38"/>
  <c r="AS245" i="38" s="1"/>
  <c r="E245" i="38" s="1"/>
  <c r="AG245" i="38"/>
  <c r="A269" i="24"/>
  <c r="AJ247" i="38"/>
  <c r="A248" i="38"/>
  <c r="D247" i="38"/>
  <c r="B247" i="38"/>
  <c r="A246" i="7"/>
  <c r="AP247" i="38"/>
  <c r="B245" i="7"/>
  <c r="D245" i="7"/>
  <c r="AQ246" i="38"/>
  <c r="AL246" i="38"/>
  <c r="B244" i="6"/>
  <c r="C246" i="7"/>
  <c r="C248" i="38"/>
  <c r="AU247" i="38"/>
  <c r="AZ246" i="7"/>
  <c r="AL247" i="38" l="1"/>
  <c r="A247" i="7"/>
  <c r="B248" i="38"/>
  <c r="A249" i="38"/>
  <c r="AJ248" i="38"/>
  <c r="A270" i="24"/>
  <c r="D248" i="38"/>
  <c r="AP248" i="38"/>
  <c r="D246" i="7"/>
  <c r="B246" i="7"/>
  <c r="B245" i="6"/>
  <c r="AQ247" i="38"/>
  <c r="AG246" i="38"/>
  <c r="AH246" i="38"/>
  <c r="AA246" i="38"/>
  <c r="Z246" i="38"/>
  <c r="AS246" i="38" s="1"/>
  <c r="E246" i="38" s="1"/>
  <c r="AI246" i="38"/>
  <c r="Y247" i="38"/>
  <c r="X247" i="38"/>
  <c r="C247" i="7"/>
  <c r="C249" i="38"/>
  <c r="AU248" i="38"/>
  <c r="AZ247" i="7"/>
  <c r="Y248" i="38" l="1"/>
  <c r="X248" i="38"/>
  <c r="B246" i="6"/>
  <c r="AQ248" i="38"/>
  <c r="AL248" i="38"/>
  <c r="A250" i="38"/>
  <c r="A248" i="7"/>
  <c r="D249" i="38"/>
  <c r="A271" i="24"/>
  <c r="AP249" i="38"/>
  <c r="AJ249" i="38"/>
  <c r="B249" i="38"/>
  <c r="AA247" i="38"/>
  <c r="AH247" i="38"/>
  <c r="AI247" i="38"/>
  <c r="Z247" i="38"/>
  <c r="AS247" i="38" s="1"/>
  <c r="E247" i="38" s="1"/>
  <c r="AG247" i="38"/>
  <c r="B247" i="7"/>
  <c r="D247" i="7"/>
  <c r="C248" i="7"/>
  <c r="C250" i="38"/>
  <c r="AU249" i="38"/>
  <c r="AZ248" i="7"/>
  <c r="AL249" i="38" l="1"/>
  <c r="AQ249" i="38"/>
  <c r="X249" i="38"/>
  <c r="Y249" i="38"/>
  <c r="B248" i="7"/>
  <c r="D248" i="7"/>
  <c r="B247" i="6"/>
  <c r="A272" i="24"/>
  <c r="A251" i="38"/>
  <c r="D250" i="38"/>
  <c r="A249" i="7"/>
  <c r="AP250" i="38"/>
  <c r="AJ250" i="38"/>
  <c r="B250" i="38"/>
  <c r="AI248" i="38"/>
  <c r="AG248" i="38"/>
  <c r="Z248" i="38"/>
  <c r="AS248" i="38" s="1"/>
  <c r="E248" i="38" s="1"/>
  <c r="AA248" i="38"/>
  <c r="AH248" i="38"/>
  <c r="C251" i="38"/>
  <c r="C249" i="7"/>
  <c r="AU250" i="38"/>
  <c r="AZ249" i="7"/>
  <c r="AL250" i="38" l="1"/>
  <c r="AQ250" i="38"/>
  <c r="B248" i="6"/>
  <c r="D249" i="7"/>
  <c r="B249" i="7"/>
  <c r="AA249" i="38"/>
  <c r="Z249" i="38"/>
  <c r="AS249" i="38" s="1"/>
  <c r="E249" i="38" s="1"/>
  <c r="AI249" i="38"/>
  <c r="AH249" i="38"/>
  <c r="AG249" i="38"/>
  <c r="X250" i="38"/>
  <c r="Y250" i="38"/>
  <c r="A273" i="24"/>
  <c r="AP251" i="38"/>
  <c r="A250" i="7"/>
  <c r="A252" i="38"/>
  <c r="D251" i="38"/>
  <c r="AL251" i="38" s="1"/>
  <c r="B251" i="38"/>
  <c r="AJ251" i="38"/>
  <c r="C250" i="7"/>
  <c r="C252" i="38"/>
  <c r="AZ250" i="7"/>
  <c r="AU251" i="38"/>
  <c r="B249" i="6" l="1"/>
  <c r="AQ251" i="38"/>
  <c r="B252" i="38"/>
  <c r="A251" i="7"/>
  <c r="D252" i="38"/>
  <c r="AL252" i="38" s="1"/>
  <c r="AP252" i="38"/>
  <c r="A274" i="24"/>
  <c r="A253" i="38"/>
  <c r="AJ252" i="38"/>
  <c r="X251" i="38"/>
  <c r="Y251" i="38"/>
  <c r="D250" i="7"/>
  <c r="B250" i="7"/>
  <c r="AG250" i="38"/>
  <c r="AH250" i="38"/>
  <c r="AI250" i="38"/>
  <c r="AA250" i="38"/>
  <c r="Z250" i="38"/>
  <c r="AS250" i="38" s="1"/>
  <c r="E250" i="38" s="1"/>
  <c r="C251" i="7"/>
  <c r="C253" i="38"/>
  <c r="AZ251" i="7"/>
  <c r="AU252" i="38"/>
  <c r="B250" i="6" l="1"/>
  <c r="Y252" i="38"/>
  <c r="X252" i="38"/>
  <c r="Z251" i="38"/>
  <c r="AS251" i="38" s="1"/>
  <c r="E251" i="38" s="1"/>
  <c r="AG251" i="38"/>
  <c r="AH251" i="38"/>
  <c r="AA251" i="38"/>
  <c r="AI251" i="38"/>
  <c r="D253" i="38"/>
  <c r="AL253" i="38" s="1"/>
  <c r="A252" i="7"/>
  <c r="AJ253" i="38"/>
  <c r="A254" i="38"/>
  <c r="A275" i="24"/>
  <c r="B253" i="38"/>
  <c r="AP253" i="38"/>
  <c r="B251" i="7"/>
  <c r="D251" i="7"/>
  <c r="AQ252" i="38"/>
  <c r="C252" i="7"/>
  <c r="C254" i="38"/>
  <c r="AU253" i="38"/>
  <c r="AZ252" i="7"/>
  <c r="AQ253" i="38" l="1"/>
  <c r="B251" i="6"/>
  <c r="B252" i="7"/>
  <c r="D252" i="7"/>
  <c r="D254" i="38"/>
  <c r="AL254" i="38" s="1"/>
  <c r="A255" i="38"/>
  <c r="A276" i="24"/>
  <c r="AJ254" i="38"/>
  <c r="A253" i="7"/>
  <c r="B254" i="38"/>
  <c r="AP254" i="38"/>
  <c r="X253" i="38"/>
  <c r="Y253" i="38"/>
  <c r="AA252" i="38"/>
  <c r="Z252" i="38"/>
  <c r="AS252" i="38" s="1"/>
  <c r="E252" i="38" s="1"/>
  <c r="AG252" i="38"/>
  <c r="AI252" i="38"/>
  <c r="AH252" i="38"/>
  <c r="C253" i="7"/>
  <c r="C255" i="38"/>
  <c r="AZ253" i="7"/>
  <c r="AU254" i="38"/>
  <c r="AQ254" i="38" l="1"/>
  <c r="X254" i="38"/>
  <c r="Y254" i="38"/>
  <c r="Z253" i="38"/>
  <c r="AS253" i="38" s="1"/>
  <c r="E253" i="38" s="1"/>
  <c r="AA253" i="38"/>
  <c r="AH253" i="38"/>
  <c r="AG253" i="38"/>
  <c r="AI253" i="38"/>
  <c r="A254" i="7"/>
  <c r="A277" i="24"/>
  <c r="D255" i="38"/>
  <c r="AL255" i="38" s="1"/>
  <c r="A256" i="38"/>
  <c r="AP255" i="38"/>
  <c r="B255" i="38"/>
  <c r="AJ255" i="38"/>
  <c r="B252" i="6"/>
  <c r="B253" i="6" s="1"/>
  <c r="D253" i="7"/>
  <c r="B253" i="7"/>
  <c r="C254" i="7"/>
  <c r="C256" i="38"/>
  <c r="AZ254" i="7"/>
  <c r="AU255" i="38"/>
  <c r="AQ255" i="38" l="1"/>
  <c r="A255" i="7"/>
  <c r="D256" i="38"/>
  <c r="AL256" i="38" s="1"/>
  <c r="A278" i="24"/>
  <c r="A257" i="38"/>
  <c r="AJ256" i="38"/>
  <c r="AP256" i="38"/>
  <c r="B256" i="38"/>
  <c r="B254" i="7"/>
  <c r="D254" i="7"/>
  <c r="X255" i="38"/>
  <c r="Y255" i="38"/>
  <c r="AI254" i="38"/>
  <c r="AG254" i="38"/>
  <c r="AH254" i="38"/>
  <c r="AA254" i="38"/>
  <c r="Z254" i="38"/>
  <c r="AS254" i="38" s="1"/>
  <c r="E254" i="38" s="1"/>
  <c r="C255" i="7"/>
  <c r="C257" i="38"/>
  <c r="AZ255" i="7"/>
  <c r="AU256" i="38"/>
  <c r="AQ256" i="38" l="1"/>
  <c r="AA255" i="38"/>
  <c r="AG255" i="38"/>
  <c r="AI255" i="38"/>
  <c r="Z255" i="38"/>
  <c r="AS255" i="38" s="1"/>
  <c r="E255" i="38" s="1"/>
  <c r="AH255" i="38"/>
  <c r="X256" i="38"/>
  <c r="Y256" i="38"/>
  <c r="D255" i="7"/>
  <c r="B255" i="7"/>
  <c r="A256" i="7"/>
  <c r="AJ257" i="38"/>
  <c r="AP257" i="38"/>
  <c r="D257" i="38"/>
  <c r="AL257" i="38" s="1"/>
  <c r="B257" i="38"/>
  <c r="A258" i="38"/>
  <c r="A279" i="24"/>
  <c r="B254" i="6"/>
  <c r="C256" i="7"/>
  <c r="C258" i="38"/>
  <c r="AU257" i="38"/>
  <c r="AZ256" i="7"/>
  <c r="AQ257" i="38" l="1"/>
  <c r="X257" i="38"/>
  <c r="Y257" i="38"/>
  <c r="A259" i="38"/>
  <c r="A280" i="24"/>
  <c r="AP258" i="38"/>
  <c r="B258" i="38"/>
  <c r="AJ258" i="38"/>
  <c r="A257" i="7"/>
  <c r="D258" i="38"/>
  <c r="AL258" i="38" s="1"/>
  <c r="B255" i="6"/>
  <c r="B256" i="7"/>
  <c r="D256" i="7"/>
  <c r="AH256" i="38"/>
  <c r="AI256" i="38"/>
  <c r="AA256" i="38"/>
  <c r="Z256" i="38"/>
  <c r="AS256" i="38" s="1"/>
  <c r="E256" i="38" s="1"/>
  <c r="AG256" i="38"/>
  <c r="C257" i="7"/>
  <c r="C259" i="38"/>
  <c r="AU258" i="38"/>
  <c r="AZ257" i="7"/>
  <c r="B256" i="6" l="1"/>
  <c r="X258" i="38"/>
  <c r="Y258" i="38"/>
  <c r="D257" i="7"/>
  <c r="B257" i="7"/>
  <c r="A258" i="7"/>
  <c r="AP259" i="38"/>
  <c r="D259" i="38"/>
  <c r="AL259" i="38" s="1"/>
  <c r="A260" i="38"/>
  <c r="A281" i="24"/>
  <c r="B259" i="38"/>
  <c r="AJ259" i="38"/>
  <c r="AQ258" i="38"/>
  <c r="AA257" i="38"/>
  <c r="AG257" i="38"/>
  <c r="AI257" i="38"/>
  <c r="AH257" i="38"/>
  <c r="Z257" i="38"/>
  <c r="AS257" i="38" s="1"/>
  <c r="E257" i="38" s="1"/>
  <c r="C258" i="7"/>
  <c r="C260" i="38"/>
  <c r="AU259" i="38"/>
  <c r="AZ258" i="7"/>
  <c r="AQ259" i="38" l="1"/>
  <c r="AP260" i="38"/>
  <c r="AJ260" i="38"/>
  <c r="A259" i="7"/>
  <c r="D260" i="38"/>
  <c r="AL260" i="38" s="1"/>
  <c r="A261" i="38"/>
  <c r="A282" i="24"/>
  <c r="B260" i="38"/>
  <c r="X259" i="38"/>
  <c r="Y259" i="38"/>
  <c r="B257" i="6"/>
  <c r="D258" i="7"/>
  <c r="B258" i="7"/>
  <c r="AI258" i="38"/>
  <c r="AG258" i="38"/>
  <c r="AH258" i="38"/>
  <c r="AA258" i="38"/>
  <c r="Z258" i="38"/>
  <c r="AS258" i="38" s="1"/>
  <c r="E258" i="38" s="1"/>
  <c r="C261" i="38"/>
  <c r="C259" i="7"/>
  <c r="AU260" i="38"/>
  <c r="AZ259" i="7"/>
  <c r="B258" i="6" l="1"/>
  <c r="A283" i="24"/>
  <c r="AJ261" i="38"/>
  <c r="A260" i="7"/>
  <c r="A262" i="38"/>
  <c r="AP261" i="38"/>
  <c r="B261" i="38"/>
  <c r="D261" i="38"/>
  <c r="AL261" i="38" s="1"/>
  <c r="X260" i="38"/>
  <c r="Y260" i="38"/>
  <c r="AG259" i="38"/>
  <c r="AH259" i="38"/>
  <c r="Z259" i="38"/>
  <c r="AS259" i="38" s="1"/>
  <c r="E259" i="38" s="1"/>
  <c r="AA259" i="38"/>
  <c r="AI259" i="38"/>
  <c r="AQ260" i="38"/>
  <c r="B259" i="6"/>
  <c r="B259" i="7"/>
  <c r="D259" i="7"/>
  <c r="C262" i="38"/>
  <c r="C260" i="7"/>
  <c r="AZ260" i="7"/>
  <c r="AU261" i="38"/>
  <c r="AQ261" i="38" l="1"/>
  <c r="A261" i="7"/>
  <c r="A284" i="24"/>
  <c r="D262" i="38"/>
  <c r="AL262" i="38" s="1"/>
  <c r="AJ262" i="38"/>
  <c r="AP262" i="38"/>
  <c r="A263" i="38"/>
  <c r="B262" i="38"/>
  <c r="Y261" i="38"/>
  <c r="X261" i="38"/>
  <c r="B260" i="7"/>
  <c r="D260" i="7"/>
  <c r="AG260" i="38"/>
  <c r="AH260" i="38"/>
  <c r="AI260" i="38"/>
  <c r="AA260" i="38"/>
  <c r="Z260" i="38"/>
  <c r="AS260" i="38" s="1"/>
  <c r="E260" i="38" s="1"/>
  <c r="C261" i="7"/>
  <c r="C263" i="38"/>
  <c r="AZ261" i="7"/>
  <c r="AU262" i="38"/>
  <c r="AQ262" i="38" l="1"/>
  <c r="AI261" i="38"/>
  <c r="AH261" i="38"/>
  <c r="Z261" i="38"/>
  <c r="AS261" i="38" s="1"/>
  <c r="E261" i="38" s="1"/>
  <c r="AG261" i="38"/>
  <c r="AA261" i="38"/>
  <c r="AP263" i="38"/>
  <c r="D263" i="38"/>
  <c r="AL263" i="38" s="1"/>
  <c r="A262" i="7"/>
  <c r="AJ263" i="38"/>
  <c r="B263" i="38"/>
  <c r="A264" i="38"/>
  <c r="A285" i="24"/>
  <c r="B260" i="6"/>
  <c r="D261" i="7"/>
  <c r="B261" i="7"/>
  <c r="X262" i="38"/>
  <c r="Y262" i="38"/>
  <c r="C264" i="38"/>
  <c r="C262" i="7"/>
  <c r="AU263" i="38"/>
  <c r="AZ262" i="7"/>
  <c r="B261" i="6" l="1"/>
  <c r="AQ263" i="38"/>
  <c r="AP264" i="38"/>
  <c r="A286" i="24"/>
  <c r="A265" i="38"/>
  <c r="AJ264" i="38"/>
  <c r="B264" i="38"/>
  <c r="A263" i="7"/>
  <c r="D264" i="38"/>
  <c r="AL264" i="38" s="1"/>
  <c r="B262" i="7"/>
  <c r="D262" i="7"/>
  <c r="Z262" i="38"/>
  <c r="AS262" i="38" s="1"/>
  <c r="E262" i="38" s="1"/>
  <c r="AA262" i="38"/>
  <c r="AI262" i="38"/>
  <c r="AH262" i="38"/>
  <c r="AG262" i="38"/>
  <c r="X263" i="38"/>
  <c r="Y263" i="38"/>
  <c r="C265" i="38"/>
  <c r="C263" i="7"/>
  <c r="AZ263" i="7"/>
  <c r="AU264" i="38"/>
  <c r="B262" i="6" l="1"/>
  <c r="B263" i="7"/>
  <c r="D263" i="7"/>
  <c r="AQ264" i="38"/>
  <c r="D265" i="38"/>
  <c r="AL265" i="38" s="1"/>
  <c r="A264" i="7"/>
  <c r="A287" i="24"/>
  <c r="AP265" i="38"/>
  <c r="A266" i="38"/>
  <c r="B265" i="38"/>
  <c r="AJ265" i="38"/>
  <c r="AA263" i="38"/>
  <c r="AI263" i="38"/>
  <c r="AG263" i="38"/>
  <c r="AH263" i="38"/>
  <c r="Z263" i="38"/>
  <c r="AS263" i="38" s="1"/>
  <c r="E263" i="38" s="1"/>
  <c r="Y264" i="38"/>
  <c r="X264" i="38"/>
  <c r="C264" i="7"/>
  <c r="C266" i="38"/>
  <c r="AZ264" i="7"/>
  <c r="AU265" i="38"/>
  <c r="AQ265" i="38" l="1"/>
  <c r="AG264" i="38"/>
  <c r="AH264" i="38"/>
  <c r="AA264" i="38"/>
  <c r="AI264" i="38"/>
  <c r="Z264" i="38"/>
  <c r="AS264" i="38" s="1"/>
  <c r="E264" i="38" s="1"/>
  <c r="B264" i="7"/>
  <c r="D264" i="7"/>
  <c r="X265" i="38"/>
  <c r="Y265" i="38"/>
  <c r="AJ266" i="38"/>
  <c r="D266" i="38"/>
  <c r="AL266" i="38" s="1"/>
  <c r="B266" i="38"/>
  <c r="AP266" i="38"/>
  <c r="A265" i="7"/>
  <c r="A267" i="38"/>
  <c r="A288" i="24"/>
  <c r="B263" i="6"/>
  <c r="B264" i="6" s="1"/>
  <c r="C267" i="38"/>
  <c r="C265" i="7"/>
  <c r="AU266" i="38"/>
  <c r="AZ265" i="7"/>
  <c r="D265" i="7" l="1"/>
  <c r="B265" i="7"/>
  <c r="Y266" i="38"/>
  <c r="X266" i="38"/>
  <c r="AP267" i="38"/>
  <c r="B267" i="38"/>
  <c r="A289" i="24"/>
  <c r="A268" i="38"/>
  <c r="D267" i="38"/>
  <c r="AL267" i="38" s="1"/>
  <c r="A266" i="7"/>
  <c r="AJ267" i="38"/>
  <c r="AH265" i="38"/>
  <c r="AA265" i="38"/>
  <c r="Z265" i="38"/>
  <c r="AS265" i="38" s="1"/>
  <c r="E265" i="38" s="1"/>
  <c r="AI265" i="38"/>
  <c r="AG265" i="38"/>
  <c r="AQ266" i="38"/>
  <c r="C268" i="38"/>
  <c r="C266" i="7"/>
  <c r="AZ266" i="7"/>
  <c r="AU267" i="38"/>
  <c r="D266" i="7" l="1"/>
  <c r="B266" i="7"/>
  <c r="AA266" i="38"/>
  <c r="AH266" i="38"/>
  <c r="Z266" i="38"/>
  <c r="AS266" i="38" s="1"/>
  <c r="E266" i="38" s="1"/>
  <c r="AI266" i="38"/>
  <c r="AG266" i="38"/>
  <c r="A290" i="24"/>
  <c r="A267" i="7"/>
  <c r="B268" i="38"/>
  <c r="A269" i="38"/>
  <c r="AJ268" i="38"/>
  <c r="AP268" i="38"/>
  <c r="D268" i="38"/>
  <c r="AL268" i="38" s="1"/>
  <c r="AQ267" i="38"/>
  <c r="Y267" i="38"/>
  <c r="X267" i="38"/>
  <c r="B265" i="6"/>
  <c r="C267" i="7"/>
  <c r="C269" i="38"/>
  <c r="AZ267" i="7"/>
  <c r="AU268" i="38"/>
  <c r="B266" i="6" l="1"/>
  <c r="AQ268" i="38"/>
  <c r="B269" i="38"/>
  <c r="A268" i="7"/>
  <c r="AP269" i="38"/>
  <c r="A270" i="38"/>
  <c r="AJ269" i="38"/>
  <c r="D269" i="38"/>
  <c r="AL269" i="38" s="1"/>
  <c r="A291" i="24"/>
  <c r="X268" i="38"/>
  <c r="Y268" i="38"/>
  <c r="Z267" i="38"/>
  <c r="AS267" i="38" s="1"/>
  <c r="E267" i="38" s="1"/>
  <c r="AA267" i="38"/>
  <c r="AH267" i="38"/>
  <c r="AG267" i="38"/>
  <c r="AI267" i="38"/>
  <c r="D267" i="7"/>
  <c r="B267" i="7"/>
  <c r="C270" i="38"/>
  <c r="C268" i="7"/>
  <c r="AZ268" i="7"/>
  <c r="AU269" i="38"/>
  <c r="X269" i="38" l="1"/>
  <c r="Y269" i="38"/>
  <c r="AH268" i="38"/>
  <c r="Z268" i="38"/>
  <c r="AS268" i="38" s="1"/>
  <c r="E268" i="38" s="1"/>
  <c r="AG268" i="38"/>
  <c r="AI268" i="38"/>
  <c r="AA268" i="38"/>
  <c r="A269" i="7"/>
  <c r="AJ270" i="38"/>
  <c r="D270" i="38"/>
  <c r="AL270" i="38" s="1"/>
  <c r="AP270" i="38"/>
  <c r="A292" i="24"/>
  <c r="B270" i="38"/>
  <c r="A271" i="38"/>
  <c r="B267" i="6"/>
  <c r="D268" i="7"/>
  <c r="B268" i="7"/>
  <c r="AQ269" i="38"/>
  <c r="C271" i="38"/>
  <c r="C269" i="7"/>
  <c r="AU270" i="38"/>
  <c r="AZ269" i="7"/>
  <c r="B268" i="6" l="1"/>
  <c r="D269" i="7"/>
  <c r="B269" i="7"/>
  <c r="B271" i="38"/>
  <c r="AJ271" i="38"/>
  <c r="AP271" i="38"/>
  <c r="A293" i="24"/>
  <c r="A270" i="7"/>
  <c r="D271" i="38"/>
  <c r="AL271" i="38" s="1"/>
  <c r="A272" i="38"/>
  <c r="AQ270" i="38"/>
  <c r="Y270" i="38"/>
  <c r="X270" i="38"/>
  <c r="AA269" i="38"/>
  <c r="AG269" i="38"/>
  <c r="Z269" i="38"/>
  <c r="AS269" i="38" s="1"/>
  <c r="E269" i="38" s="1"/>
  <c r="AI269" i="38"/>
  <c r="AH269" i="38"/>
  <c r="C270" i="7"/>
  <c r="C272" i="38"/>
  <c r="AZ270" i="7"/>
  <c r="AU271" i="38"/>
  <c r="AQ271" i="38" l="1"/>
  <c r="D270" i="7"/>
  <c r="B270" i="7"/>
  <c r="AI270" i="38"/>
  <c r="Z270" i="38"/>
  <c r="AS270" i="38" s="1"/>
  <c r="E270" i="38" s="1"/>
  <c r="AG270" i="38"/>
  <c r="AH270" i="38"/>
  <c r="AA270" i="38"/>
  <c r="B272" i="38"/>
  <c r="A271" i="7"/>
  <c r="AP272" i="38"/>
  <c r="A273" i="38"/>
  <c r="D272" i="38"/>
  <c r="AL272" i="38" s="1"/>
  <c r="A294" i="24"/>
  <c r="AJ272" i="38"/>
  <c r="Y271" i="38"/>
  <c r="X271" i="38"/>
  <c r="B269" i="6"/>
  <c r="C273" i="38"/>
  <c r="C271" i="7"/>
  <c r="AU272" i="38"/>
  <c r="AZ271" i="7"/>
  <c r="AQ272" i="38" l="1"/>
  <c r="B270" i="6"/>
  <c r="B273" i="38"/>
  <c r="AP273" i="38"/>
  <c r="A295" i="24"/>
  <c r="A272" i="7"/>
  <c r="AJ273" i="38"/>
  <c r="A274" i="38"/>
  <c r="D273" i="38"/>
  <c r="AL273" i="38" s="1"/>
  <c r="X272" i="38"/>
  <c r="Y272" i="38"/>
  <c r="AG271" i="38"/>
  <c r="AH271" i="38"/>
  <c r="Z271" i="38"/>
  <c r="AS271" i="38" s="1"/>
  <c r="E271" i="38" s="1"/>
  <c r="AI271" i="38"/>
  <c r="AA271" i="38"/>
  <c r="B271" i="7"/>
  <c r="D271" i="7"/>
  <c r="C274" i="38"/>
  <c r="C272" i="7"/>
  <c r="AZ272" i="7"/>
  <c r="AU273" i="38"/>
  <c r="AP274" i="38" l="1"/>
  <c r="AJ274" i="38"/>
  <c r="D274" i="38"/>
  <c r="AL274" i="38" s="1"/>
  <c r="B274" i="38"/>
  <c r="A275" i="38"/>
  <c r="A296" i="24"/>
  <c r="A273" i="7"/>
  <c r="Z272" i="38"/>
  <c r="AS272" i="38" s="1"/>
  <c r="E272" i="38" s="1"/>
  <c r="AH272" i="38"/>
  <c r="AA272" i="38"/>
  <c r="AI272" i="38"/>
  <c r="AG272" i="38"/>
  <c r="X273" i="38"/>
  <c r="Y273" i="38"/>
  <c r="AQ273" i="38"/>
  <c r="AQ274" i="38" s="1"/>
  <c r="B272" i="7"/>
  <c r="D272" i="7"/>
  <c r="B271" i="6"/>
  <c r="C273" i="7"/>
  <c r="C275" i="38"/>
  <c r="AZ273" i="7"/>
  <c r="AU274" i="38"/>
  <c r="D273" i="7" l="1"/>
  <c r="B273" i="7"/>
  <c r="B272" i="6"/>
  <c r="Y274" i="38"/>
  <c r="X274" i="38"/>
  <c r="AI273" i="38"/>
  <c r="Z273" i="38"/>
  <c r="AS273" i="38" s="1"/>
  <c r="E273" i="38" s="1"/>
  <c r="AA273" i="38"/>
  <c r="AG273" i="38"/>
  <c r="AH273" i="38"/>
  <c r="AJ275" i="38"/>
  <c r="B275" i="38"/>
  <c r="A276" i="38"/>
  <c r="A297" i="24"/>
  <c r="AP275" i="38"/>
  <c r="A274" i="7"/>
  <c r="D275" i="38"/>
  <c r="AL275" i="38" s="1"/>
  <c r="C274" i="7"/>
  <c r="C276" i="38"/>
  <c r="AZ274" i="7"/>
  <c r="AU275" i="38"/>
  <c r="D274" i="7" l="1"/>
  <c r="B274" i="7"/>
  <c r="X275" i="38"/>
  <c r="Y275" i="38"/>
  <c r="B273" i="6"/>
  <c r="AQ275" i="38"/>
  <c r="A275" i="7"/>
  <c r="A277" i="38"/>
  <c r="A298" i="24"/>
  <c r="B276" i="38"/>
  <c r="D276" i="38"/>
  <c r="AL276" i="38" s="1"/>
  <c r="AP276" i="38"/>
  <c r="AJ276" i="38"/>
  <c r="AH274" i="38"/>
  <c r="AI274" i="38"/>
  <c r="Z274" i="38"/>
  <c r="AS274" i="38" s="1"/>
  <c r="E274" i="38" s="1"/>
  <c r="AG274" i="38"/>
  <c r="AA274" i="38"/>
  <c r="C275" i="7"/>
  <c r="C277" i="38"/>
  <c r="AU276" i="38"/>
  <c r="AZ275" i="7"/>
  <c r="A278" i="38" l="1"/>
  <c r="B277" i="38"/>
  <c r="D277" i="38"/>
  <c r="AL277" i="38" s="1"/>
  <c r="A276" i="7"/>
  <c r="A299" i="24"/>
  <c r="AJ277" i="38"/>
  <c r="AP277" i="38"/>
  <c r="D275" i="7"/>
  <c r="B275" i="7"/>
  <c r="AQ276" i="38"/>
  <c r="AG275" i="38"/>
  <c r="Z275" i="38"/>
  <c r="AS275" i="38" s="1"/>
  <c r="E275" i="38" s="1"/>
  <c r="AH275" i="38"/>
  <c r="AA275" i="38"/>
  <c r="AI275" i="38"/>
  <c r="X276" i="38"/>
  <c r="Y276" i="38"/>
  <c r="B274" i="6"/>
  <c r="C278" i="38"/>
  <c r="C276" i="7"/>
  <c r="AZ276" i="7"/>
  <c r="AU277" i="38"/>
  <c r="B275" i="6" l="1"/>
  <c r="AQ277" i="38"/>
  <c r="B276" i="7"/>
  <c r="D276" i="7"/>
  <c r="X277" i="38"/>
  <c r="Y277" i="38"/>
  <c r="AA276" i="38"/>
  <c r="AG276" i="38"/>
  <c r="AH276" i="38"/>
  <c r="Z276" i="38"/>
  <c r="AS276" i="38" s="1"/>
  <c r="E276" i="38" s="1"/>
  <c r="AI276" i="38"/>
  <c r="A277" i="7"/>
  <c r="A279" i="38"/>
  <c r="B278" i="38"/>
  <c r="D278" i="38"/>
  <c r="AL278" i="38" s="1"/>
  <c r="AP278" i="38"/>
  <c r="A300" i="24"/>
  <c r="AJ278" i="38"/>
  <c r="C277" i="7"/>
  <c r="C279" i="38"/>
  <c r="AZ277" i="7"/>
  <c r="AU278" i="38"/>
  <c r="AQ278" i="38" l="1"/>
  <c r="Z277" i="38"/>
  <c r="AS277" i="38" s="1"/>
  <c r="E277" i="38" s="1"/>
  <c r="AG277" i="38"/>
  <c r="AH277" i="38"/>
  <c r="AA277" i="38"/>
  <c r="AI277" i="38"/>
  <c r="Y278" i="38"/>
  <c r="X278" i="38"/>
  <c r="B276" i="6"/>
  <c r="D277" i="7"/>
  <c r="B277" i="7"/>
  <c r="A278" i="7"/>
  <c r="A301" i="24"/>
  <c r="B279" i="38"/>
  <c r="AJ279" i="38"/>
  <c r="D279" i="38"/>
  <c r="AL279" i="38" s="1"/>
  <c r="A280" i="38"/>
  <c r="AP279" i="38"/>
  <c r="C280" i="38"/>
  <c r="C278" i="7"/>
  <c r="AU279" i="38"/>
  <c r="AZ278" i="7"/>
  <c r="AQ279" i="38" l="1"/>
  <c r="B277" i="6"/>
  <c r="D280" i="38"/>
  <c r="AL280" i="38" s="1"/>
  <c r="AP280" i="38"/>
  <c r="A279" i="7"/>
  <c r="A281" i="38"/>
  <c r="A302" i="24"/>
  <c r="B280" i="38"/>
  <c r="AJ280" i="38"/>
  <c r="B278" i="7"/>
  <c r="D278" i="7"/>
  <c r="Z278" i="38"/>
  <c r="AS278" i="38" s="1"/>
  <c r="E278" i="38" s="1"/>
  <c r="AG278" i="38"/>
  <c r="AH278" i="38"/>
  <c r="AA278" i="38"/>
  <c r="AI278" i="38"/>
  <c r="X279" i="38"/>
  <c r="Y279" i="38"/>
  <c r="C279" i="7"/>
  <c r="C281" i="38"/>
  <c r="AU280" i="38"/>
  <c r="AZ279" i="7"/>
  <c r="AQ280" i="38" l="1"/>
  <c r="B278" i="6"/>
  <c r="AP281" i="38"/>
  <c r="A282" i="38"/>
  <c r="A303" i="24"/>
  <c r="AJ281" i="38"/>
  <c r="A280" i="7"/>
  <c r="D281" i="38"/>
  <c r="B281" i="38"/>
  <c r="X280" i="38"/>
  <c r="Y280" i="38"/>
  <c r="D279" i="7"/>
  <c r="B279" i="7"/>
  <c r="AI279" i="38"/>
  <c r="AA279" i="38"/>
  <c r="AH279" i="38"/>
  <c r="Z279" i="38"/>
  <c r="AS279" i="38" s="1"/>
  <c r="E279" i="38" s="1"/>
  <c r="AG279" i="38"/>
  <c r="C282" i="38"/>
  <c r="C280" i="7"/>
  <c r="AZ280" i="7"/>
  <c r="AU281" i="38"/>
  <c r="AQ281" i="38" l="1"/>
  <c r="AL281" i="38"/>
  <c r="D282" i="38"/>
  <c r="A281" i="7"/>
  <c r="A283" i="38"/>
  <c r="A304" i="24"/>
  <c r="B282" i="38"/>
  <c r="AP282" i="38"/>
  <c r="AJ282" i="38"/>
  <c r="D280" i="7"/>
  <c r="B280" i="7"/>
  <c r="Z280" i="38"/>
  <c r="AS280" i="38" s="1"/>
  <c r="E280" i="38" s="1"/>
  <c r="AH280" i="38"/>
  <c r="AI280" i="38"/>
  <c r="AA280" i="38"/>
  <c r="AG280" i="38"/>
  <c r="Y281" i="38"/>
  <c r="X281" i="38"/>
  <c r="B279" i="6"/>
  <c r="C281" i="7"/>
  <c r="C283" i="38"/>
  <c r="AZ281" i="7"/>
  <c r="AU282" i="38"/>
  <c r="AQ282" i="38" l="1"/>
  <c r="B280" i="6"/>
  <c r="D281" i="7"/>
  <c r="B281" i="7"/>
  <c r="AI281" i="38"/>
  <c r="AA281" i="38"/>
  <c r="AG281" i="38"/>
  <c r="AH281" i="38"/>
  <c r="Z281" i="38"/>
  <c r="AS281" i="38" s="1"/>
  <c r="E281" i="38" s="1"/>
  <c r="AL282" i="38"/>
  <c r="X282" i="38"/>
  <c r="Y282" i="38"/>
  <c r="A305" i="24"/>
  <c r="AP283" i="38"/>
  <c r="D283" i="38"/>
  <c r="A282" i="7"/>
  <c r="A284" i="38"/>
  <c r="B283" i="38"/>
  <c r="AJ283" i="38"/>
  <c r="C282" i="7"/>
  <c r="C284" i="38"/>
  <c r="AZ282" i="7"/>
  <c r="AU283" i="38"/>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3" i="7"/>
  <c r="C285" i="38"/>
  <c r="AU284" i="38"/>
  <c r="AZ283" i="7"/>
  <c r="X284" i="38" l="1"/>
  <c r="Y284" i="38"/>
  <c r="D285" i="38"/>
  <c r="A307" i="24"/>
  <c r="AJ285" i="38"/>
  <c r="A284" i="7"/>
  <c r="AP285" i="38"/>
  <c r="A286" i="38"/>
  <c r="B285" i="38"/>
  <c r="AI283" i="38"/>
  <c r="AA283" i="38"/>
  <c r="AG283" i="38"/>
  <c r="AH283" i="38"/>
  <c r="Z283" i="38"/>
  <c r="AS283" i="38" s="1"/>
  <c r="E283" i="38" s="1"/>
  <c r="D283" i="7"/>
  <c r="B283" i="7"/>
  <c r="AQ284" i="38"/>
  <c r="AL284" i="38"/>
  <c r="C286" i="38"/>
  <c r="C284" i="7"/>
  <c r="AZ284" i="7"/>
  <c r="AU285" i="38"/>
  <c r="B283" i="6" l="1"/>
  <c r="A287" i="38"/>
  <c r="B286" i="38"/>
  <c r="A308" i="24"/>
  <c r="AP286" i="38"/>
  <c r="AJ286" i="38"/>
  <c r="A285" i="7"/>
  <c r="D286" i="38"/>
  <c r="D284" i="7"/>
  <c r="B284" i="7"/>
  <c r="AQ285" i="38"/>
  <c r="AL285" i="38"/>
  <c r="X285" i="38"/>
  <c r="Y285" i="38"/>
  <c r="AH284" i="38"/>
  <c r="Z284" i="38"/>
  <c r="AS284" i="38" s="1"/>
  <c r="E284" i="38" s="1"/>
  <c r="AA284" i="38"/>
  <c r="AG284" i="38"/>
  <c r="AI284" i="38"/>
  <c r="C287" i="38"/>
  <c r="C285" i="7"/>
  <c r="AZ285" i="7"/>
  <c r="AU286" i="38"/>
  <c r="AL286" i="38" l="1"/>
  <c r="B284" i="6"/>
  <c r="B285" i="7"/>
  <c r="D285" i="7"/>
  <c r="AQ286" i="38"/>
  <c r="Z285" i="38"/>
  <c r="AS285" i="38" s="1"/>
  <c r="E285" i="38" s="1"/>
  <c r="AH285" i="38"/>
  <c r="AA285" i="38"/>
  <c r="AI285" i="38"/>
  <c r="AG285" i="38"/>
  <c r="Y286" i="38"/>
  <c r="X286" i="38"/>
  <c r="A286" i="7"/>
  <c r="AJ287" i="38"/>
  <c r="A288" i="38"/>
  <c r="D287" i="38"/>
  <c r="AP287" i="38"/>
  <c r="B287" i="38"/>
  <c r="A309" i="24"/>
  <c r="C286" i="7"/>
  <c r="C288" i="38"/>
  <c r="AU287" i="38"/>
  <c r="AZ286" i="7"/>
  <c r="AQ287" i="38" l="1"/>
  <c r="AL287" i="38"/>
  <c r="AA286" i="38"/>
  <c r="AI286" i="38"/>
  <c r="Z286" i="38"/>
  <c r="AS286" i="38" s="1"/>
  <c r="E286" i="38" s="1"/>
  <c r="AG286" i="38"/>
  <c r="AH286" i="38"/>
  <c r="B285" i="6"/>
  <c r="A289" i="38"/>
  <c r="A287" i="7"/>
  <c r="AJ288" i="38"/>
  <c r="D288" i="38"/>
  <c r="AP288" i="38"/>
  <c r="B288" i="38"/>
  <c r="A310" i="24"/>
  <c r="Y287" i="38"/>
  <c r="X287" i="38"/>
  <c r="D286" i="7"/>
  <c r="B286" i="7"/>
  <c r="C287" i="7"/>
  <c r="C289" i="38"/>
  <c r="AZ287" i="7"/>
  <c r="AU288" i="38"/>
  <c r="B286" i="6" l="1"/>
  <c r="AQ288" i="38"/>
  <c r="Y288" i="38"/>
  <c r="X288" i="38"/>
  <c r="B287" i="7"/>
  <c r="D287" i="7"/>
  <c r="AL288" i="38"/>
  <c r="AG287" i="38"/>
  <c r="AA287" i="38"/>
  <c r="AI287" i="38"/>
  <c r="Z287" i="38"/>
  <c r="AS287" i="38" s="1"/>
  <c r="E287" i="38" s="1"/>
  <c r="AH287" i="38"/>
  <c r="A290" i="38"/>
  <c r="D289" i="38"/>
  <c r="AJ289" i="38"/>
  <c r="A311" i="24"/>
  <c r="B289" i="38"/>
  <c r="A288" i="7"/>
  <c r="AP289" i="38"/>
  <c r="C290" i="38"/>
  <c r="C288" i="7"/>
  <c r="AU289" i="38"/>
  <c r="AZ288" i="7"/>
  <c r="AH288" i="38" l="1"/>
  <c r="AG288" i="38"/>
  <c r="AI288" i="38"/>
  <c r="AA288" i="38"/>
  <c r="Z288" i="38"/>
  <c r="AS288" i="38" s="1"/>
  <c r="E288" i="38" s="1"/>
  <c r="D290" i="38"/>
  <c r="AJ290" i="38"/>
  <c r="A289" i="7"/>
  <c r="B290" i="38"/>
  <c r="A312" i="24"/>
  <c r="AP290" i="38"/>
  <c r="A291" i="38"/>
  <c r="Y289" i="38"/>
  <c r="X289" i="38"/>
  <c r="B288" i="7"/>
  <c r="D288" i="7"/>
  <c r="AQ289" i="38"/>
  <c r="AL289" i="38"/>
  <c r="B287" i="6"/>
  <c r="C291" i="38"/>
  <c r="C289" i="7"/>
  <c r="AU290" i="38"/>
  <c r="AZ289" i="7"/>
  <c r="B288" i="6" l="1"/>
  <c r="X290" i="38"/>
  <c r="Y290" i="38"/>
  <c r="A292" i="38"/>
  <c r="A290" i="7"/>
  <c r="B291" i="38"/>
  <c r="A313" i="24"/>
  <c r="AJ291" i="38"/>
  <c r="D291" i="38"/>
  <c r="AP291" i="38"/>
  <c r="D289" i="7"/>
  <c r="B289" i="7"/>
  <c r="Z289" i="38"/>
  <c r="AS289" i="38" s="1"/>
  <c r="E289" i="38" s="1"/>
  <c r="AG289" i="38"/>
  <c r="AA289" i="38"/>
  <c r="AH289" i="38"/>
  <c r="AI289" i="38"/>
  <c r="AQ290" i="38"/>
  <c r="AL290" i="38"/>
  <c r="C292" i="38"/>
  <c r="C290" i="7"/>
  <c r="AU291" i="38"/>
  <c r="AZ290" i="7"/>
  <c r="B289" i="6" l="1"/>
  <c r="AQ291" i="38"/>
  <c r="AL291" i="38"/>
  <c r="D290" i="7"/>
  <c r="B290" i="7"/>
  <c r="X291" i="38"/>
  <c r="Y291" i="38"/>
  <c r="A314" i="24"/>
  <c r="A293" i="38"/>
  <c r="B292" i="38"/>
  <c r="AJ292" i="38"/>
  <c r="D292" i="38"/>
  <c r="AP292" i="38"/>
  <c r="A291" i="7"/>
  <c r="Z290" i="38"/>
  <c r="AS290" i="38" s="1"/>
  <c r="E290" i="38" s="1"/>
  <c r="AH290" i="38"/>
  <c r="AI290" i="38"/>
  <c r="AG290" i="38"/>
  <c r="AA290" i="38"/>
  <c r="C291" i="7"/>
  <c r="C293" i="38"/>
  <c r="AU292" i="38"/>
  <c r="AZ291" i="7"/>
  <c r="AQ292" i="38" l="1"/>
  <c r="D291" i="7"/>
  <c r="B291" i="7"/>
  <c r="AL292" i="38"/>
  <c r="X292" i="38"/>
  <c r="Y292" i="38"/>
  <c r="B290" i="6"/>
  <c r="A315" i="24"/>
  <c r="A292" i="7"/>
  <c r="AJ293" i="38"/>
  <c r="D293" i="38"/>
  <c r="B293" i="38"/>
  <c r="A294" i="38"/>
  <c r="AP293" i="38"/>
  <c r="AG291" i="38"/>
  <c r="AA291" i="38"/>
  <c r="AH291" i="38"/>
  <c r="Z291" i="38"/>
  <c r="AS291" i="38" s="1"/>
  <c r="E291" i="38" s="1"/>
  <c r="AI291" i="38"/>
  <c r="C292" i="7"/>
  <c r="C294" i="38"/>
  <c r="AZ292" i="7"/>
  <c r="AU293" i="38"/>
  <c r="AP294" i="38" l="1"/>
  <c r="A316" i="24"/>
  <c r="D294" i="38"/>
  <c r="A295" i="38"/>
  <c r="AJ294" i="38"/>
  <c r="B294" i="38"/>
  <c r="A293" i="7"/>
  <c r="B292" i="7"/>
  <c r="D292" i="7"/>
  <c r="AG292" i="38"/>
  <c r="AH292" i="38"/>
  <c r="AI292" i="38"/>
  <c r="AA292" i="38"/>
  <c r="Z292" i="38"/>
  <c r="AS292" i="38" s="1"/>
  <c r="E292" i="38" s="1"/>
  <c r="AQ293" i="38"/>
  <c r="AL293" i="38"/>
  <c r="B291" i="6"/>
  <c r="Y293" i="38"/>
  <c r="X293" i="38"/>
  <c r="C295" i="38"/>
  <c r="C293" i="7"/>
  <c r="AU294" i="38"/>
  <c r="AZ293" i="7"/>
  <c r="B292" i="6" l="1"/>
  <c r="AL294" i="38"/>
  <c r="B295" i="38"/>
  <c r="D295" i="38"/>
  <c r="AP295" i="38"/>
  <c r="AJ295" i="38"/>
  <c r="A317" i="24"/>
  <c r="A294" i="7"/>
  <c r="A296" i="38"/>
  <c r="Z293" i="38"/>
  <c r="AS293" i="38" s="1"/>
  <c r="E293" i="38" s="1"/>
  <c r="AH293" i="38"/>
  <c r="AA293" i="38"/>
  <c r="AI293" i="38"/>
  <c r="AG293" i="38"/>
  <c r="B293" i="7"/>
  <c r="D293" i="7"/>
  <c r="AQ294" i="38"/>
  <c r="Y294" i="38"/>
  <c r="X294" i="38"/>
  <c r="C296" i="38"/>
  <c r="C294" i="7"/>
  <c r="AU295" i="38"/>
  <c r="AZ294" i="7"/>
  <c r="B293" i="6" l="1"/>
  <c r="B296" i="38"/>
  <c r="AJ296" i="38"/>
  <c r="AP296" i="38"/>
  <c r="A295" i="7"/>
  <c r="A297" i="38"/>
  <c r="D296" i="38"/>
  <c r="A318" i="24"/>
  <c r="B294" i="7"/>
  <c r="D294" i="7"/>
  <c r="AG294" i="38"/>
  <c r="AH294" i="38"/>
  <c r="AI294" i="38"/>
  <c r="AA294" i="38"/>
  <c r="Z294" i="38"/>
  <c r="AS294" i="38" s="1"/>
  <c r="E294" i="38" s="1"/>
  <c r="AQ295" i="38"/>
  <c r="AL295" i="38"/>
  <c r="Y295" i="38"/>
  <c r="X295" i="38"/>
  <c r="C297" i="38"/>
  <c r="C295" i="7"/>
  <c r="AZ295" i="7"/>
  <c r="AU296" i="38"/>
  <c r="AI295" i="38" l="1"/>
  <c r="AH295" i="38"/>
  <c r="Z295" i="38"/>
  <c r="AS295" i="38" s="1"/>
  <c r="E295" i="38" s="1"/>
  <c r="AG295" i="38"/>
  <c r="AA295" i="38"/>
  <c r="D295" i="7"/>
  <c r="B295" i="7"/>
  <c r="AQ296" i="38"/>
  <c r="AL296" i="38"/>
  <c r="Y296" i="38"/>
  <c r="X296" i="38"/>
  <c r="B294" i="6"/>
  <c r="A296" i="7"/>
  <c r="AP297" i="38"/>
  <c r="B297" i="38"/>
  <c r="AJ297" i="38"/>
  <c r="A298" i="38"/>
  <c r="D297" i="38"/>
  <c r="A319" i="24"/>
  <c r="C296" i="7"/>
  <c r="C298" i="38"/>
  <c r="AZ296" i="7"/>
  <c r="AU297" i="38"/>
  <c r="X297" i="38" l="1"/>
  <c r="Y297" i="38"/>
  <c r="B295" i="6"/>
  <c r="AG296" i="38"/>
  <c r="AA296" i="38"/>
  <c r="AH296" i="38"/>
  <c r="Z296" i="38"/>
  <c r="AS296" i="38" s="1"/>
  <c r="E296" i="38" s="1"/>
  <c r="AI296" i="38"/>
  <c r="AQ297" i="38"/>
  <c r="AL297" i="38"/>
  <c r="B298" i="38"/>
  <c r="A297" i="7"/>
  <c r="D298" i="38"/>
  <c r="AP298" i="38"/>
  <c r="AJ298" i="38"/>
  <c r="A299" i="38"/>
  <c r="A320" i="24"/>
  <c r="B296" i="7"/>
  <c r="D296" i="7"/>
  <c r="C297" i="7"/>
  <c r="C299" i="38"/>
  <c r="AU298" i="38"/>
  <c r="AZ297" i="7"/>
  <c r="AL298" i="38" l="1"/>
  <c r="AQ298" i="38"/>
  <c r="B296" i="6"/>
  <c r="X298" i="38"/>
  <c r="Y298" i="38"/>
  <c r="A298" i="7"/>
  <c r="AJ299" i="38"/>
  <c r="A321" i="24"/>
  <c r="B299" i="38"/>
  <c r="D299" i="38"/>
  <c r="A300" i="38"/>
  <c r="AP299" i="38"/>
  <c r="B297" i="7"/>
  <c r="D297" i="7"/>
  <c r="AI297" i="38"/>
  <c r="Z297" i="38"/>
  <c r="AS297" i="38" s="1"/>
  <c r="E297" i="38" s="1"/>
  <c r="AG297" i="38"/>
  <c r="AH297" i="38"/>
  <c r="AA297" i="38"/>
  <c r="C298" i="7"/>
  <c r="C300" i="38"/>
  <c r="AZ298" i="7"/>
  <c r="AU299" i="38"/>
  <c r="B297" i="6" l="1"/>
  <c r="A299" i="7"/>
  <c r="AJ300" i="38"/>
  <c r="AP300" i="38"/>
  <c r="D300" i="38"/>
  <c r="A301" i="38"/>
  <c r="A322" i="24"/>
  <c r="B300" i="38"/>
  <c r="Y299" i="38"/>
  <c r="X299" i="38"/>
  <c r="AQ299" i="38"/>
  <c r="AL299" i="38"/>
  <c r="B298" i="7"/>
  <c r="D298" i="7"/>
  <c r="AA298" i="38"/>
  <c r="AH298" i="38"/>
  <c r="AG298" i="38"/>
  <c r="Z298" i="38"/>
  <c r="AS298" i="38" s="1"/>
  <c r="E298" i="38" s="1"/>
  <c r="AI298" i="38"/>
  <c r="C299" i="7"/>
  <c r="C301" i="38"/>
  <c r="AZ299" i="7"/>
  <c r="AU300" i="38"/>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2" i="38"/>
  <c r="C300" i="7"/>
  <c r="AU301" i="38"/>
  <c r="AZ300" i="7"/>
  <c r="AQ301" i="38" l="1"/>
  <c r="AL301" i="38"/>
  <c r="B300" i="7"/>
  <c r="D300" i="7"/>
  <c r="X301" i="38"/>
  <c r="Y301" i="38"/>
  <c r="A324" i="24"/>
  <c r="AJ302" i="38"/>
  <c r="A303" i="38"/>
  <c r="B302" i="38"/>
  <c r="D302" i="38"/>
  <c r="A301" i="7"/>
  <c r="AP302" i="38"/>
  <c r="AH300" i="38"/>
  <c r="Z300" i="38"/>
  <c r="AS300" i="38" s="1"/>
  <c r="E300" i="38" s="1"/>
  <c r="AA300" i="38"/>
  <c r="AI300" i="38"/>
  <c r="AG300" i="38"/>
  <c r="C303" i="38"/>
  <c r="C301" i="7"/>
  <c r="AU302" i="38"/>
  <c r="AZ301" i="7"/>
  <c r="D301" i="7" l="1"/>
  <c r="B301" i="7"/>
  <c r="X302" i="38"/>
  <c r="Y302" i="38"/>
  <c r="B300" i="6"/>
  <c r="AQ302" i="38"/>
  <c r="AL302" i="38"/>
  <c r="D303" i="38"/>
  <c r="AJ303" i="38"/>
  <c r="A325" i="24"/>
  <c r="A302" i="7"/>
  <c r="A304" i="38"/>
  <c r="AP303" i="38"/>
  <c r="B303" i="38"/>
  <c r="AA301" i="38"/>
  <c r="AI301" i="38"/>
  <c r="Z301" i="38"/>
  <c r="AS301" i="38" s="1"/>
  <c r="E301" i="38" s="1"/>
  <c r="AH301" i="38"/>
  <c r="AG301" i="38"/>
  <c r="C304" i="38"/>
  <c r="C302" i="7"/>
  <c r="AU303" i="38"/>
  <c r="AZ302" i="7"/>
  <c r="AP304" i="38" l="1"/>
  <c r="A326" i="24"/>
  <c r="D304" i="38"/>
  <c r="AJ304" i="38"/>
  <c r="B304" i="38"/>
  <c r="A303" i="7"/>
  <c r="A305" i="38"/>
  <c r="AQ303" i="38"/>
  <c r="AL303" i="38"/>
  <c r="D302" i="7"/>
  <c r="B302" i="7"/>
  <c r="AA302" i="38"/>
  <c r="AH302" i="38"/>
  <c r="Z302" i="38"/>
  <c r="AS302" i="38" s="1"/>
  <c r="E302" i="38" s="1"/>
  <c r="AI302" i="38"/>
  <c r="AG302" i="38"/>
  <c r="X303" i="38"/>
  <c r="Y303" i="38"/>
  <c r="B301" i="6"/>
  <c r="C303" i="7"/>
  <c r="C305" i="38"/>
  <c r="AZ303" i="7"/>
  <c r="AU304" i="38"/>
  <c r="B302" i="6" l="1"/>
  <c r="Y304" i="38"/>
  <c r="X304" i="38"/>
  <c r="D303" i="7"/>
  <c r="B303" i="7"/>
  <c r="A306" i="38"/>
  <c r="A304" i="7"/>
  <c r="D305" i="38"/>
  <c r="B305" i="38"/>
  <c r="AP305" i="38"/>
  <c r="A327" i="24"/>
  <c r="AJ305" i="38"/>
  <c r="AQ304" i="38"/>
  <c r="AL304" i="38"/>
  <c r="AI303" i="38"/>
  <c r="AH303" i="38"/>
  <c r="AG303" i="38"/>
  <c r="AA303" i="38"/>
  <c r="Z303" i="38"/>
  <c r="AS303" i="38" s="1"/>
  <c r="E303" i="38" s="1"/>
  <c r="C306" i="38"/>
  <c r="C304" i="7"/>
  <c r="AU305" i="38"/>
  <c r="AZ304" i="7"/>
  <c r="Y305" i="38" l="1"/>
  <c r="X305" i="38"/>
  <c r="AQ305" i="38"/>
  <c r="AL305" i="38"/>
  <c r="B304" i="7"/>
  <c r="D304" i="7"/>
  <c r="A328" i="24"/>
  <c r="D306" i="38"/>
  <c r="B306" i="38"/>
  <c r="A305" i="7"/>
  <c r="AJ306" i="38"/>
  <c r="AP306" i="38"/>
  <c r="A307" i="38"/>
  <c r="AA304" i="38"/>
  <c r="AI304" i="38"/>
  <c r="AG304" i="38"/>
  <c r="AH304" i="38"/>
  <c r="Z304" i="38"/>
  <c r="AS304" i="38" s="1"/>
  <c r="E304" i="38" s="1"/>
  <c r="B303" i="6"/>
  <c r="C305" i="7"/>
  <c r="C307" i="38"/>
  <c r="AZ305" i="7"/>
  <c r="AU306" i="38"/>
  <c r="B304" i="6" l="1"/>
  <c r="AQ306" i="38"/>
  <c r="AL306" i="38"/>
  <c r="Y306" i="38"/>
  <c r="X306" i="38"/>
  <c r="D305" i="7"/>
  <c r="B305" i="7"/>
  <c r="AH305" i="38"/>
  <c r="AI305" i="38"/>
  <c r="Z305" i="38"/>
  <c r="AS305" i="38" s="1"/>
  <c r="E305" i="38" s="1"/>
  <c r="AG305" i="38"/>
  <c r="AA305" i="38"/>
  <c r="A306" i="7"/>
  <c r="A329" i="24"/>
  <c r="D307" i="38"/>
  <c r="B307" i="38"/>
  <c r="A308" i="38"/>
  <c r="AJ307" i="38"/>
  <c r="AP307" i="38"/>
  <c r="C306" i="7"/>
  <c r="C308" i="38"/>
  <c r="AZ306" i="7"/>
  <c r="AU307" i="38"/>
  <c r="AP308" i="38" l="1"/>
  <c r="B308" i="38"/>
  <c r="D308" i="38"/>
  <c r="AJ308" i="38"/>
  <c r="A307" i="7"/>
  <c r="A330" i="24"/>
  <c r="A309" i="38"/>
  <c r="B306" i="7"/>
  <c r="D306" i="7"/>
  <c r="AA306" i="38"/>
  <c r="AH306" i="38"/>
  <c r="Z306" i="38"/>
  <c r="AS306" i="38" s="1"/>
  <c r="E306" i="38" s="1"/>
  <c r="AI306" i="38"/>
  <c r="AG306" i="38"/>
  <c r="AQ307" i="38"/>
  <c r="AL307" i="38"/>
  <c r="B305" i="6"/>
  <c r="Y307" i="38"/>
  <c r="X307" i="38"/>
  <c r="C307" i="7"/>
  <c r="C309" i="38"/>
  <c r="AU308" i="38"/>
  <c r="AZ307" i="7"/>
  <c r="X308" i="38" l="1"/>
  <c r="Y308" i="38"/>
  <c r="AA307" i="38"/>
  <c r="AG307" i="38"/>
  <c r="AH307" i="38"/>
  <c r="Z307" i="38"/>
  <c r="AS307" i="38" s="1"/>
  <c r="E307" i="38" s="1"/>
  <c r="AI307" i="38"/>
  <c r="D309" i="38"/>
  <c r="A310" i="38"/>
  <c r="A308" i="7"/>
  <c r="A331" i="24"/>
  <c r="B309" i="38"/>
  <c r="AP309" i="38"/>
  <c r="AJ309" i="38"/>
  <c r="AQ308" i="38"/>
  <c r="AL308" i="38"/>
  <c r="B306" i="6"/>
  <c r="D307" i="7"/>
  <c r="B307" i="7"/>
  <c r="C310" i="38"/>
  <c r="C308" i="7"/>
  <c r="AZ308" i="7"/>
  <c r="AU309" i="38"/>
  <c r="AL309" i="38" l="1"/>
  <c r="B307" i="6"/>
  <c r="AQ309" i="38"/>
  <c r="D308" i="7"/>
  <c r="B308" i="7"/>
  <c r="X309" i="38"/>
  <c r="Y309" i="38"/>
  <c r="A332" i="24"/>
  <c r="AJ310" i="38"/>
  <c r="AP310" i="38"/>
  <c r="A309" i="7"/>
  <c r="D310" i="38"/>
  <c r="B310" i="38"/>
  <c r="A311" i="38"/>
  <c r="AH308" i="38"/>
  <c r="AG308" i="38"/>
  <c r="AI308" i="38"/>
  <c r="AA308" i="38"/>
  <c r="Z308" i="38"/>
  <c r="AS308" i="38" s="1"/>
  <c r="C309" i="7"/>
  <c r="C311" i="38"/>
  <c r="AZ309" i="7"/>
  <c r="AU310" i="38"/>
  <c r="AL310" i="38" l="1"/>
  <c r="E308" i="38"/>
  <c r="X310" i="38"/>
  <c r="Y310" i="38"/>
  <c r="AA309" i="38"/>
  <c r="AI309" i="38"/>
  <c r="AG309" i="38"/>
  <c r="Z309" i="38"/>
  <c r="AS309" i="38" s="1"/>
  <c r="E309" i="38" s="1"/>
  <c r="AH309" i="38"/>
  <c r="AQ310" i="38"/>
  <c r="D309" i="7"/>
  <c r="B309" i="7"/>
  <c r="B308" i="6"/>
  <c r="AP311" i="38"/>
  <c r="B311" i="38"/>
  <c r="AJ311" i="38"/>
  <c r="D311" i="38"/>
  <c r="A333" i="24"/>
  <c r="A312" i="38"/>
  <c r="A310" i="7"/>
  <c r="C312" i="38"/>
  <c r="C310" i="7"/>
  <c r="AZ310" i="7"/>
  <c r="AU311" i="38"/>
  <c r="AL311" i="38" l="1"/>
  <c r="B309" i="6"/>
  <c r="U32" i="23"/>
  <c r="T32" i="23" s="1"/>
  <c r="A311" i="7"/>
  <c r="AJ312" i="38"/>
  <c r="D312" i="38"/>
  <c r="A334" i="24"/>
  <c r="B312" i="38"/>
  <c r="AP312" i="38"/>
  <c r="A313" i="38"/>
  <c r="AQ311" i="38"/>
  <c r="B310" i="7"/>
  <c r="D310" i="7"/>
  <c r="Y311" i="38"/>
  <c r="X311" i="38"/>
  <c r="Z310" i="38"/>
  <c r="AS310" i="38" s="1"/>
  <c r="E310" i="38" s="1"/>
  <c r="AA310" i="38"/>
  <c r="AG310" i="38"/>
  <c r="AH310" i="38"/>
  <c r="AI310" i="38"/>
  <c r="C313" i="38"/>
  <c r="C311" i="7"/>
  <c r="AU312" i="38"/>
  <c r="AZ311" i="7"/>
  <c r="AL312" i="38" l="1"/>
  <c r="AQ312" i="38"/>
  <c r="A335" i="24"/>
  <c r="B313" i="38"/>
  <c r="A314" i="38"/>
  <c r="A312" i="7"/>
  <c r="AP313" i="38"/>
  <c r="D313" i="38"/>
  <c r="AJ313" i="38"/>
  <c r="X312" i="38"/>
  <c r="Y312" i="38"/>
  <c r="AA311" i="38"/>
  <c r="AI311" i="38"/>
  <c r="AG311" i="38"/>
  <c r="AH311" i="38"/>
  <c r="Z311" i="38"/>
  <c r="AS311" i="38" s="1"/>
  <c r="E311" i="38" s="1"/>
  <c r="B310" i="6"/>
  <c r="B311" i="7"/>
  <c r="D311" i="7"/>
  <c r="C312" i="7"/>
  <c r="C314" i="38"/>
  <c r="AU313" i="38"/>
  <c r="AZ312" i="7"/>
  <c r="B311" i="6" l="1"/>
  <c r="AQ313" i="38"/>
  <c r="AL313" i="38"/>
  <c r="X313" i="38"/>
  <c r="Y313" i="38"/>
  <c r="A315" i="38"/>
  <c r="A336" i="24"/>
  <c r="B314" i="38"/>
  <c r="D314" i="38"/>
  <c r="A313" i="7"/>
  <c r="AP314" i="38"/>
  <c r="AJ314" i="38"/>
  <c r="AI312" i="38"/>
  <c r="AH312" i="38"/>
  <c r="Z312" i="38"/>
  <c r="AS312" i="38" s="1"/>
  <c r="E312" i="38" s="1"/>
  <c r="AA312" i="38"/>
  <c r="AG312" i="38"/>
  <c r="D312" i="7"/>
  <c r="B312" i="7"/>
  <c r="C313" i="7"/>
  <c r="C315" i="38"/>
  <c r="AU314" i="38"/>
  <c r="AZ313" i="7"/>
  <c r="AL314" i="38" l="1"/>
  <c r="AH313" i="38"/>
  <c r="Z313" i="38"/>
  <c r="AS313" i="38" s="1"/>
  <c r="E313" i="38" s="1"/>
  <c r="AA313" i="38"/>
  <c r="AI313" i="38"/>
  <c r="AG313" i="38"/>
  <c r="Y314" i="38"/>
  <c r="X314" i="38"/>
  <c r="B312" i="6"/>
  <c r="B313" i="7"/>
  <c r="D313" i="7"/>
  <c r="A337" i="24"/>
  <c r="A314" i="7"/>
  <c r="D315" i="38"/>
  <c r="B315" i="38"/>
  <c r="AP315" i="38"/>
  <c r="AJ315" i="38"/>
  <c r="A316" i="38"/>
  <c r="AQ314" i="38"/>
  <c r="C314" i="7"/>
  <c r="C316" i="38"/>
  <c r="AZ314" i="7"/>
  <c r="AU315" i="38"/>
  <c r="AQ315" i="38" l="1"/>
  <c r="B313" i="6"/>
  <c r="AL315" i="38"/>
  <c r="Y315" i="38"/>
  <c r="X315" i="38"/>
  <c r="D314" i="7"/>
  <c r="B314" i="7"/>
  <c r="Z314" i="38"/>
  <c r="AS314" i="38" s="1"/>
  <c r="E314" i="38" s="1"/>
  <c r="AA314" i="38"/>
  <c r="AI314" i="38"/>
  <c r="AG314" i="38"/>
  <c r="AH314" i="38"/>
  <c r="A317" i="38"/>
  <c r="AP316" i="38"/>
  <c r="A315" i="7"/>
  <c r="B316" i="38"/>
  <c r="D316" i="38"/>
  <c r="A338" i="24"/>
  <c r="AJ316" i="38"/>
  <c r="C317" i="38"/>
  <c r="C315" i="7"/>
  <c r="AZ315" i="7"/>
  <c r="AU316" i="38"/>
  <c r="AL316" i="38" l="1"/>
  <c r="B314" i="6"/>
  <c r="AA315" i="38"/>
  <c r="AH315" i="38"/>
  <c r="AG315" i="38"/>
  <c r="Z315" i="38"/>
  <c r="AS315" i="38" s="1"/>
  <c r="E315" i="38" s="1"/>
  <c r="AI315" i="38"/>
  <c r="A339" i="24"/>
  <c r="AJ317" i="38"/>
  <c r="D317" i="38"/>
  <c r="A316" i="7"/>
  <c r="A318" i="38"/>
  <c r="B317" i="38"/>
  <c r="AP317" i="38"/>
  <c r="X316" i="38"/>
  <c r="Y316" i="38"/>
  <c r="D315" i="7"/>
  <c r="B315" i="7"/>
  <c r="AQ316" i="38"/>
  <c r="C318" i="38"/>
  <c r="C316" i="7"/>
  <c r="AU317" i="38"/>
  <c r="AZ316" i="7"/>
  <c r="AL317" i="38" l="1"/>
  <c r="X317" i="38"/>
  <c r="Y317" i="38"/>
  <c r="AI316" i="38"/>
  <c r="AH316" i="38"/>
  <c r="AG316" i="38"/>
  <c r="Z316" i="38"/>
  <c r="AS316" i="38" s="1"/>
  <c r="E316" i="38" s="1"/>
  <c r="AA316" i="38"/>
  <c r="AP318" i="38"/>
  <c r="A317" i="7"/>
  <c r="B318" i="38"/>
  <c r="AJ318" i="38"/>
  <c r="A340" i="24"/>
  <c r="D318" i="38"/>
  <c r="A319" i="38"/>
  <c r="B315" i="6"/>
  <c r="AQ317" i="38"/>
  <c r="B316" i="7"/>
  <c r="D316" i="7"/>
  <c r="C319" i="38"/>
  <c r="C317" i="7"/>
  <c r="AU318" i="38"/>
  <c r="AZ317" i="7"/>
  <c r="AL318" i="38" l="1"/>
  <c r="AQ318" i="38"/>
  <c r="B316" i="6"/>
  <c r="Y318" i="38"/>
  <c r="X318" i="38"/>
  <c r="A320" i="38"/>
  <c r="AJ319" i="38"/>
  <c r="A318" i="7"/>
  <c r="D319" i="38"/>
  <c r="AP319" i="38"/>
  <c r="A341" i="24"/>
  <c r="B319" i="38"/>
  <c r="D317" i="7"/>
  <c r="B317" i="7"/>
  <c r="AH317" i="38"/>
  <c r="AI317" i="38"/>
  <c r="Z317" i="38"/>
  <c r="AS317" i="38" s="1"/>
  <c r="E317" i="38" s="1"/>
  <c r="AA317" i="38"/>
  <c r="AG317" i="38"/>
  <c r="C320" i="38"/>
  <c r="C318" i="7"/>
  <c r="AU319" i="38"/>
  <c r="AZ318" i="7"/>
  <c r="AL319" i="38" l="1"/>
  <c r="B317" i="6"/>
  <c r="B318" i="7"/>
  <c r="D318" i="7"/>
  <c r="AI318" i="38"/>
  <c r="AH318" i="38"/>
  <c r="AG318" i="38"/>
  <c r="Z318" i="38"/>
  <c r="AS318" i="38" s="1"/>
  <c r="E318" i="38" s="1"/>
  <c r="AA318" i="38"/>
  <c r="Y319" i="38"/>
  <c r="X319" i="38"/>
  <c r="A342" i="24"/>
  <c r="AJ320" i="38"/>
  <c r="D320" i="38"/>
  <c r="A321" i="38"/>
  <c r="AP320" i="38"/>
  <c r="B320" i="38"/>
  <c r="A319" i="7"/>
  <c r="AQ319" i="38"/>
  <c r="C319" i="7"/>
  <c r="C321" i="38"/>
  <c r="AU320" i="38"/>
  <c r="AZ319" i="7"/>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0" i="7"/>
  <c r="C322" i="38"/>
  <c r="AU321" i="38"/>
  <c r="AZ320" i="7"/>
  <c r="AQ321" i="38" l="1"/>
  <c r="AL321" i="38"/>
  <c r="B320" i="7"/>
  <c r="D320" i="7"/>
  <c r="A321" i="7"/>
  <c r="A344" i="24"/>
  <c r="A323" i="38"/>
  <c r="AP322" i="38"/>
  <c r="B322" i="38"/>
  <c r="D322" i="38"/>
  <c r="AJ322" i="38"/>
  <c r="X321" i="38"/>
  <c r="Y321" i="38"/>
  <c r="Z320" i="38"/>
  <c r="AS320" i="38" s="1"/>
  <c r="E320" i="38" s="1"/>
  <c r="AH320" i="38"/>
  <c r="AA320" i="38"/>
  <c r="AI320" i="38"/>
  <c r="AG320" i="38"/>
  <c r="C321" i="7"/>
  <c r="C323" i="38"/>
  <c r="AZ321" i="7"/>
  <c r="AU322" i="38"/>
  <c r="AL322" i="38" l="1"/>
  <c r="AQ322" i="38"/>
  <c r="B320" i="6"/>
  <c r="B321" i="7"/>
  <c r="D321" i="7"/>
  <c r="AG321" i="38"/>
  <c r="AI321" i="38"/>
  <c r="Z321" i="38"/>
  <c r="AS321" i="38" s="1"/>
  <c r="E321" i="38" s="1"/>
  <c r="AA321" i="38"/>
  <c r="AH321" i="38"/>
  <c r="X322" i="38"/>
  <c r="Y322" i="38"/>
  <c r="D323" i="38"/>
  <c r="A345" i="24"/>
  <c r="A322" i="7"/>
  <c r="AJ323" i="38"/>
  <c r="AP323" i="38"/>
  <c r="A324" i="38"/>
  <c r="B323" i="38"/>
  <c r="C324" i="38"/>
  <c r="C322" i="7"/>
  <c r="AZ322" i="7"/>
  <c r="AU323" i="38"/>
  <c r="AL323" i="38" l="1"/>
  <c r="A346" i="24"/>
  <c r="AP324" i="38"/>
  <c r="A325" i="38"/>
  <c r="D324" i="38"/>
  <c r="B324" i="38"/>
  <c r="AJ324" i="38"/>
  <c r="A323" i="7"/>
  <c r="AQ323" i="38"/>
  <c r="AQ324" i="38" s="1"/>
  <c r="Y323" i="38"/>
  <c r="X323" i="38"/>
  <c r="B322" i="7"/>
  <c r="D322" i="7"/>
  <c r="AH322" i="38"/>
  <c r="Z322" i="38"/>
  <c r="AS322" i="38" s="1"/>
  <c r="E322" i="38" s="1"/>
  <c r="AA322" i="38"/>
  <c r="AI322" i="38"/>
  <c r="AG322" i="38"/>
  <c r="B321" i="6"/>
  <c r="B322" i="6" s="1"/>
  <c r="C323" i="7"/>
  <c r="C325" i="38"/>
  <c r="AU324" i="38"/>
  <c r="AZ323" i="7"/>
  <c r="AL324" i="38" l="1"/>
  <c r="AA323" i="38"/>
  <c r="AG323" i="38"/>
  <c r="AI323" i="38"/>
  <c r="AH323" i="38"/>
  <c r="Z323" i="38"/>
  <c r="AS323" i="38" s="1"/>
  <c r="E323" i="38" s="1"/>
  <c r="D323" i="7"/>
  <c r="B323" i="7"/>
  <c r="Y324" i="38"/>
  <c r="X324" i="38"/>
  <c r="A326" i="38"/>
  <c r="AJ325" i="38"/>
  <c r="AP325" i="38"/>
  <c r="B325" i="38"/>
  <c r="A347" i="24"/>
  <c r="D325" i="38"/>
  <c r="A324" i="7"/>
  <c r="C324" i="7"/>
  <c r="C326" i="38"/>
  <c r="AZ324" i="7"/>
  <c r="AU325" i="38"/>
  <c r="AL325" i="38" l="1"/>
  <c r="B323" i="6"/>
  <c r="A348" i="24"/>
  <c r="AJ326" i="38"/>
  <c r="A325" i="7"/>
  <c r="AP326" i="38"/>
  <c r="B326" i="38"/>
  <c r="D326" i="38"/>
  <c r="A327" i="38"/>
  <c r="D324" i="7"/>
  <c r="B324" i="7"/>
  <c r="AG324" i="38"/>
  <c r="AH324" i="38"/>
  <c r="AI324" i="38"/>
  <c r="AA324" i="38"/>
  <c r="Z324" i="38"/>
  <c r="AS324" i="38" s="1"/>
  <c r="E324" i="38" s="1"/>
  <c r="Y325" i="38"/>
  <c r="X325" i="38"/>
  <c r="AQ325" i="38"/>
  <c r="C325" i="7"/>
  <c r="C327" i="38"/>
  <c r="AU326" i="38"/>
  <c r="AZ325" i="7"/>
  <c r="AL326" i="38" l="1"/>
  <c r="A326" i="7"/>
  <c r="A328" i="38"/>
  <c r="A349" i="24"/>
  <c r="B327" i="38"/>
  <c r="AJ327" i="38"/>
  <c r="D327" i="38"/>
  <c r="AP327" i="38"/>
  <c r="D325" i="7"/>
  <c r="B325" i="7"/>
  <c r="X326" i="38"/>
  <c r="Y326" i="38"/>
  <c r="AQ326" i="38"/>
  <c r="AH325" i="38"/>
  <c r="AI325" i="38"/>
  <c r="AG325" i="38"/>
  <c r="Z325" i="38"/>
  <c r="AS325" i="38" s="1"/>
  <c r="E325" i="38" s="1"/>
  <c r="AA325" i="38"/>
  <c r="B324" i="6"/>
  <c r="C326" i="7"/>
  <c r="C328" i="38"/>
  <c r="AU327" i="38"/>
  <c r="AZ326" i="7"/>
  <c r="AL327" i="38" l="1"/>
  <c r="B325" i="6"/>
  <c r="AG326" i="38"/>
  <c r="Z326" i="38"/>
  <c r="AS326" i="38" s="1"/>
  <c r="E326" i="38" s="1"/>
  <c r="AH326" i="38"/>
  <c r="AA326" i="38"/>
  <c r="AI326" i="38"/>
  <c r="AQ327" i="38"/>
  <c r="AP328" i="38"/>
  <c r="AJ328" i="38"/>
  <c r="D328" i="38"/>
  <c r="B328" i="38"/>
  <c r="A327" i="7"/>
  <c r="A350" i="24"/>
  <c r="A329" i="38"/>
  <c r="X327" i="38"/>
  <c r="Y327" i="38"/>
  <c r="D326" i="7"/>
  <c r="B326" i="7"/>
  <c r="C327" i="7"/>
  <c r="C329" i="38"/>
  <c r="AZ327" i="7"/>
  <c r="AU328" i="38"/>
  <c r="AL328" i="38" l="1"/>
  <c r="AQ328" i="38"/>
  <c r="B326" i="6"/>
  <c r="Z327" i="38"/>
  <c r="AS327" i="38" s="1"/>
  <c r="E327" i="38" s="1"/>
  <c r="AA327" i="38"/>
  <c r="AG327" i="38"/>
  <c r="AH327" i="38"/>
  <c r="AI327" i="38"/>
  <c r="X328" i="38"/>
  <c r="Y328" i="38"/>
  <c r="D327" i="7"/>
  <c r="B327" i="7"/>
  <c r="A328" i="7"/>
  <c r="A351" i="24"/>
  <c r="D329" i="38"/>
  <c r="AJ329" i="38"/>
  <c r="A330" i="38"/>
  <c r="AP329" i="38"/>
  <c r="B329" i="38"/>
  <c r="C330" i="38"/>
  <c r="C328" i="7"/>
  <c r="AZ328" i="7"/>
  <c r="AU329" i="38"/>
  <c r="AL329" i="38" l="1"/>
  <c r="A352" i="24"/>
  <c r="AJ330" i="38"/>
  <c r="A329" i="7"/>
  <c r="AP330" i="38"/>
  <c r="D330" i="38"/>
  <c r="A331" i="38"/>
  <c r="B330" i="38"/>
  <c r="B328" i="7"/>
  <c r="D328" i="7"/>
  <c r="X329" i="38"/>
  <c r="Y329" i="38"/>
  <c r="Z328" i="38"/>
  <c r="AS328" i="38" s="1"/>
  <c r="E328" i="38" s="1"/>
  <c r="AI328" i="38"/>
  <c r="AG328" i="38"/>
  <c r="AA328" i="38"/>
  <c r="AH328" i="38"/>
  <c r="B327" i="6"/>
  <c r="AQ329" i="38"/>
  <c r="C331" i="38"/>
  <c r="C329" i="7"/>
  <c r="AU330" i="38"/>
  <c r="AZ329" i="7"/>
  <c r="AL330" i="38" l="1"/>
  <c r="AQ330" i="38"/>
  <c r="B328" i="6"/>
  <c r="D329" i="7"/>
  <c r="B329" i="7"/>
  <c r="AG329" i="38"/>
  <c r="AA329" i="38"/>
  <c r="AH329" i="38"/>
  <c r="AI329" i="38"/>
  <c r="Z329" i="38"/>
  <c r="AS329" i="38" s="1"/>
  <c r="E329" i="38" s="1"/>
  <c r="A330" i="7"/>
  <c r="B331" i="38"/>
  <c r="A332" i="38"/>
  <c r="AJ331" i="38"/>
  <c r="AP331" i="38"/>
  <c r="A353" i="24"/>
  <c r="D331" i="38"/>
  <c r="X330" i="38"/>
  <c r="Y330" i="38"/>
  <c r="C332" i="38"/>
  <c r="C330" i="7"/>
  <c r="AU331" i="38"/>
  <c r="AZ330" i="7"/>
  <c r="AQ331" i="38" l="1"/>
  <c r="AL331" i="38"/>
  <c r="B329" i="6"/>
  <c r="Y331" i="38"/>
  <c r="X331" i="38"/>
  <c r="A333" i="38"/>
  <c r="A331" i="7"/>
  <c r="AP332" i="38"/>
  <c r="AJ332" i="38"/>
  <c r="B332" i="38"/>
  <c r="A354" i="24"/>
  <c r="D332" i="38"/>
  <c r="AH330" i="38"/>
  <c r="AG330" i="38"/>
  <c r="AA330" i="38"/>
  <c r="AI330" i="38"/>
  <c r="Z330" i="38"/>
  <c r="AS330" i="38" s="1"/>
  <c r="E330" i="38" s="1"/>
  <c r="B330" i="7"/>
  <c r="D330" i="7"/>
  <c r="C333" i="38"/>
  <c r="C331" i="7"/>
  <c r="AZ331" i="7"/>
  <c r="AU332" i="38"/>
  <c r="AL332" i="38" l="1"/>
  <c r="AP333" i="38"/>
  <c r="A334" i="38"/>
  <c r="A332" i="7"/>
  <c r="B333" i="38"/>
  <c r="AJ333" i="38"/>
  <c r="A355" i="24"/>
  <c r="D333" i="38"/>
  <c r="X332" i="38"/>
  <c r="Y332" i="38"/>
  <c r="AG331" i="38"/>
  <c r="AI331" i="38"/>
  <c r="Z331" i="38"/>
  <c r="AS331" i="38" s="1"/>
  <c r="E331" i="38" s="1"/>
  <c r="AA331" i="38"/>
  <c r="AH331" i="38"/>
  <c r="B330" i="6"/>
  <c r="D331" i="7"/>
  <c r="B331" i="7"/>
  <c r="AQ332" i="38"/>
  <c r="C332" i="7"/>
  <c r="C334" i="38"/>
  <c r="AZ332" i="7"/>
  <c r="AU333" i="38"/>
  <c r="AL333" i="38" l="1"/>
  <c r="AQ333" i="38"/>
  <c r="B331" i="6"/>
  <c r="D332" i="7"/>
  <c r="B332" i="7"/>
  <c r="X333" i="38"/>
  <c r="Y333" i="38"/>
  <c r="B334" i="38"/>
  <c r="AJ334" i="38"/>
  <c r="A335" i="38"/>
  <c r="D334" i="38"/>
  <c r="AP334" i="38"/>
  <c r="A356" i="24"/>
  <c r="A333" i="7"/>
  <c r="AG332" i="38"/>
  <c r="AI332" i="38"/>
  <c r="AA332" i="38"/>
  <c r="Z332" i="38"/>
  <c r="AS332" i="38" s="1"/>
  <c r="E332" i="38" s="1"/>
  <c r="AH332" i="38"/>
  <c r="C335" i="38"/>
  <c r="C333" i="7"/>
  <c r="AU334" i="38"/>
  <c r="AZ333" i="7"/>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4" i="7"/>
  <c r="C336" i="38"/>
  <c r="AZ334" i="7"/>
  <c r="AU335" i="38"/>
  <c r="AL335" i="38" l="1"/>
  <c r="D334" i="7"/>
  <c r="B334" i="7"/>
  <c r="Z334" i="38"/>
  <c r="AS334" i="38" s="1"/>
  <c r="E334" i="38" s="1"/>
  <c r="AH334" i="38"/>
  <c r="AG334" i="38"/>
  <c r="AI334" i="38"/>
  <c r="AA334" i="38"/>
  <c r="X335" i="38"/>
  <c r="Y335" i="38"/>
  <c r="AQ335" i="38"/>
  <c r="B336" i="38"/>
  <c r="A335" i="7"/>
  <c r="AP336" i="38"/>
  <c r="AJ336" i="38"/>
  <c r="A337" i="38"/>
  <c r="D336" i="38"/>
  <c r="A358" i="24"/>
  <c r="C335" i="7"/>
  <c r="C337" i="38"/>
  <c r="AU336" i="38"/>
  <c r="AZ335" i="7"/>
  <c r="AL336" i="38" l="1"/>
  <c r="AQ336" i="38"/>
  <c r="B334" i="6"/>
  <c r="D337" i="38"/>
  <c r="AP337" i="38"/>
  <c r="A336" i="7"/>
  <c r="B337" i="38"/>
  <c r="AJ337" i="38"/>
  <c r="A338" i="38"/>
  <c r="A359" i="24"/>
  <c r="Y336" i="38"/>
  <c r="X336" i="38"/>
  <c r="D335" i="7"/>
  <c r="B335" i="7"/>
  <c r="AG335" i="38"/>
  <c r="AA335" i="38"/>
  <c r="AI335" i="38"/>
  <c r="Z335" i="38"/>
  <c r="AS335" i="38" s="1"/>
  <c r="E335" i="38" s="1"/>
  <c r="AH335" i="38"/>
  <c r="C336" i="7"/>
  <c r="C338" i="38"/>
  <c r="AZ336" i="7"/>
  <c r="AU337" i="38"/>
  <c r="AL337" i="38" l="1"/>
  <c r="B335" i="6"/>
  <c r="AQ337" i="38"/>
  <c r="D336" i="7"/>
  <c r="B336" i="7"/>
  <c r="AH336" i="38"/>
  <c r="AG336" i="38"/>
  <c r="AA336" i="38"/>
  <c r="Z336" i="38"/>
  <c r="AS336" i="38" s="1"/>
  <c r="E336" i="38" s="1"/>
  <c r="AI336" i="38"/>
  <c r="A339" i="38"/>
  <c r="AJ338" i="38"/>
  <c r="A360" i="24"/>
  <c r="AP338" i="38"/>
  <c r="B338" i="38"/>
  <c r="A337" i="7"/>
  <c r="D338" i="38"/>
  <c r="X337" i="38"/>
  <c r="Y337" i="38"/>
  <c r="C337" i="7"/>
  <c r="C339" i="38"/>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38" i="7"/>
  <c r="C340" i="38"/>
  <c r="AU339" i="38"/>
  <c r="AZ338" i="7"/>
  <c r="AL339" i="38" l="1"/>
  <c r="AQ339" i="38"/>
  <c r="B338" i="7"/>
  <c r="D338" i="7"/>
  <c r="AG338" i="38"/>
  <c r="Z338" i="38"/>
  <c r="AS338" i="38" s="1"/>
  <c r="E338" i="38" s="1"/>
  <c r="AH338" i="38"/>
  <c r="AI338" i="38"/>
  <c r="AA338" i="38"/>
  <c r="A339" i="7"/>
  <c r="A362" i="24"/>
  <c r="B340" i="38"/>
  <c r="A341" i="38"/>
  <c r="AP340" i="38"/>
  <c r="AJ340" i="38"/>
  <c r="D340" i="38"/>
  <c r="X339" i="38"/>
  <c r="Y339" i="38"/>
  <c r="B337" i="6"/>
  <c r="C341" i="38"/>
  <c r="C339" i="7"/>
  <c r="AZ339" i="7"/>
  <c r="AU340" i="38"/>
  <c r="AL340" i="38" l="1"/>
  <c r="B338" i="6"/>
  <c r="AQ340" i="38"/>
  <c r="Z339" i="38"/>
  <c r="AS339" i="38" s="1"/>
  <c r="E339" i="38" s="1"/>
  <c r="AG339" i="38"/>
  <c r="AH339" i="38"/>
  <c r="AI339" i="38"/>
  <c r="AA339" i="38"/>
  <c r="B339" i="7"/>
  <c r="D339" i="7"/>
  <c r="A342" i="38"/>
  <c r="B341" i="38"/>
  <c r="AP341" i="38"/>
  <c r="AJ341" i="38"/>
  <c r="A363" i="24"/>
  <c r="D341" i="38"/>
  <c r="A340" i="7"/>
  <c r="Y340" i="38"/>
  <c r="X340" i="38"/>
  <c r="C340" i="7"/>
  <c r="C342" i="38"/>
  <c r="AU341" i="38"/>
  <c r="AZ340" i="7"/>
  <c r="AL341" i="38" l="1"/>
  <c r="AQ341" i="38"/>
  <c r="B339" i="6"/>
  <c r="AP342" i="38"/>
  <c r="B342" i="38"/>
  <c r="D342" i="38"/>
  <c r="A364" i="24"/>
  <c r="A341" i="7"/>
  <c r="AJ342" i="38"/>
  <c r="A343" i="38"/>
  <c r="AI340" i="38"/>
  <c r="AH340" i="38"/>
  <c r="AG340" i="38"/>
  <c r="Z340" i="38"/>
  <c r="AS340" i="38" s="1"/>
  <c r="E340" i="38" s="1"/>
  <c r="AA340" i="38"/>
  <c r="B340" i="7"/>
  <c r="D340" i="7"/>
  <c r="X341" i="38"/>
  <c r="Y341" i="38"/>
  <c r="C341" i="7"/>
  <c r="C343" i="38"/>
  <c r="AZ341" i="7"/>
  <c r="AU342" i="38"/>
  <c r="AL342" i="38" l="1"/>
  <c r="X342" i="38"/>
  <c r="Y342" i="38"/>
  <c r="D341" i="7"/>
  <c r="B341" i="7"/>
  <c r="B340" i="6"/>
  <c r="AH341" i="38"/>
  <c r="AI341" i="38"/>
  <c r="AG341" i="38"/>
  <c r="AA341" i="38"/>
  <c r="Z341" i="38"/>
  <c r="AS341" i="38" s="1"/>
  <c r="E341" i="38" s="1"/>
  <c r="A342" i="7"/>
  <c r="A344" i="38"/>
  <c r="AJ343" i="38"/>
  <c r="B343" i="38"/>
  <c r="AP343" i="38"/>
  <c r="D343" i="38"/>
  <c r="AL343" i="38" s="1"/>
  <c r="A365" i="24"/>
  <c r="AQ342" i="38"/>
  <c r="C344" i="38"/>
  <c r="C342" i="7"/>
  <c r="AU343" i="38"/>
  <c r="AZ342" i="7"/>
  <c r="D344" i="38" l="1"/>
  <c r="AL344" i="38" s="1"/>
  <c r="AP344" i="38"/>
  <c r="B344" i="38"/>
  <c r="AJ344" i="38"/>
  <c r="A345" i="38"/>
  <c r="A343" i="7"/>
  <c r="A366" i="24"/>
  <c r="B342" i="7"/>
  <c r="D342" i="7"/>
  <c r="AQ343" i="38"/>
  <c r="Y343" i="38"/>
  <c r="X343" i="38"/>
  <c r="B341" i="6"/>
  <c r="AA342" i="38"/>
  <c r="AI342" i="38"/>
  <c r="Z342" i="38"/>
  <c r="AS342" i="38" s="1"/>
  <c r="E342" i="38" s="1"/>
  <c r="AG342" i="38"/>
  <c r="AH342" i="38"/>
  <c r="C345" i="38"/>
  <c r="C343" i="7"/>
  <c r="AZ343" i="7"/>
  <c r="AU344" i="38"/>
  <c r="AQ344" i="38" l="1"/>
  <c r="B342" i="6"/>
  <c r="X344" i="38"/>
  <c r="Y344" i="38"/>
  <c r="B343" i="7"/>
  <c r="D343" i="7"/>
  <c r="Z343" i="38"/>
  <c r="AS343" i="38" s="1"/>
  <c r="E343" i="38" s="1"/>
  <c r="AH343" i="38"/>
  <c r="AG343" i="38"/>
  <c r="AI343" i="38"/>
  <c r="AA343" i="38"/>
  <c r="A367" i="24"/>
  <c r="D345" i="38"/>
  <c r="AL345" i="38" s="1"/>
  <c r="AJ345" i="38"/>
  <c r="AP345" i="38"/>
  <c r="A344" i="7"/>
  <c r="A346" i="38"/>
  <c r="B345" i="38"/>
  <c r="C346" i="38"/>
  <c r="C344" i="7"/>
  <c r="AU345" i="38"/>
  <c r="AZ344" i="7"/>
  <c r="X345" i="38" l="1"/>
  <c r="Y345" i="38"/>
  <c r="B344" i="7"/>
  <c r="D344" i="7"/>
  <c r="B343" i="6"/>
  <c r="Z344" i="38"/>
  <c r="AS344" i="38" s="1"/>
  <c r="E344" i="38" s="1"/>
  <c r="AG344" i="38"/>
  <c r="AH344" i="38"/>
  <c r="AA344" i="38"/>
  <c r="AI344" i="38"/>
  <c r="A368" i="24"/>
  <c r="AJ346" i="38"/>
  <c r="D346" i="38"/>
  <c r="AL346" i="38" s="1"/>
  <c r="A345" i="7"/>
  <c r="AP346" i="38"/>
  <c r="B346" i="38"/>
  <c r="A347" i="38"/>
  <c r="AQ345" i="38"/>
  <c r="C347" i="38"/>
  <c r="C345" i="7"/>
  <c r="AU346" i="38"/>
  <c r="AZ345" i="7"/>
  <c r="AQ346" i="38" l="1"/>
  <c r="X346" i="38"/>
  <c r="Y346" i="38"/>
  <c r="D345" i="7"/>
  <c r="B345" i="7"/>
  <c r="A369" i="24"/>
  <c r="AJ347" i="38"/>
  <c r="AP347" i="38"/>
  <c r="A348" i="38"/>
  <c r="B347" i="38"/>
  <c r="A346" i="7"/>
  <c r="D347" i="38"/>
  <c r="AL347" i="38" s="1"/>
  <c r="B344" i="6"/>
  <c r="Z345" i="38"/>
  <c r="AS345" i="38" s="1"/>
  <c r="E345" i="38" s="1"/>
  <c r="AG345" i="38"/>
  <c r="AA345" i="38"/>
  <c r="AI345" i="38"/>
  <c r="AH345" i="38"/>
  <c r="C348" i="38"/>
  <c r="C346" i="7"/>
  <c r="AZ346" i="7"/>
  <c r="AU347" i="38"/>
  <c r="D346" i="7" l="1"/>
  <c r="B346" i="7"/>
  <c r="Z346" i="38"/>
  <c r="AS346" i="38" s="1"/>
  <c r="E346" i="38" s="1"/>
  <c r="AH346" i="38"/>
  <c r="AG346" i="38"/>
  <c r="AA346" i="38"/>
  <c r="AI346" i="38"/>
  <c r="Y347" i="38"/>
  <c r="X347" i="38"/>
  <c r="B345" i="6"/>
  <c r="A347" i="7"/>
  <c r="B348" i="38"/>
  <c r="A370" i="24"/>
  <c r="AP348" i="38"/>
  <c r="AJ348" i="38"/>
  <c r="A349" i="38"/>
  <c r="D348" i="38"/>
  <c r="AL348" i="38" s="1"/>
  <c r="AQ347" i="38"/>
  <c r="C347" i="7"/>
  <c r="C349" i="38"/>
  <c r="AZ347" i="7"/>
  <c r="AU348" i="38"/>
  <c r="B346" i="6" l="1"/>
  <c r="D347" i="7"/>
  <c r="B347" i="7"/>
  <c r="Y348" i="38"/>
  <c r="X348" i="38"/>
  <c r="AQ348" i="38"/>
  <c r="A348" i="7"/>
  <c r="A350" i="38"/>
  <c r="AP349" i="38"/>
  <c r="D349" i="38"/>
  <c r="AL349" i="38" s="1"/>
  <c r="A371" i="24"/>
  <c r="AJ349" i="38"/>
  <c r="B349" i="38"/>
  <c r="AA347" i="38"/>
  <c r="AG347" i="38"/>
  <c r="AI347" i="38"/>
  <c r="AH347" i="38"/>
  <c r="Z347" i="38"/>
  <c r="AS347" i="38" s="1"/>
  <c r="E347" i="38" s="1"/>
  <c r="C348" i="7"/>
  <c r="C350" i="38"/>
  <c r="AU349" i="38"/>
  <c r="AZ348" i="7"/>
  <c r="AQ349" i="38" l="1"/>
  <c r="X349" i="38"/>
  <c r="Y349" i="38"/>
  <c r="A351" i="38"/>
  <c r="AP350" i="38"/>
  <c r="B350" i="38"/>
  <c r="AJ350" i="38"/>
  <c r="A349" i="7"/>
  <c r="D350" i="38"/>
  <c r="AL350" i="38" s="1"/>
  <c r="A372" i="24"/>
  <c r="Z348" i="38"/>
  <c r="AS348" i="38" s="1"/>
  <c r="E348" i="38" s="1"/>
  <c r="AI348" i="38"/>
  <c r="AG348" i="38"/>
  <c r="AH348" i="38"/>
  <c r="AA348" i="38"/>
  <c r="B348" i="7"/>
  <c r="D348" i="7"/>
  <c r="B347" i="6"/>
  <c r="C349" i="7"/>
  <c r="C351" i="38"/>
  <c r="AU350" i="38"/>
  <c r="AZ349" i="7"/>
  <c r="B348" i="6" l="1"/>
  <c r="D349" i="7"/>
  <c r="B349" i="7"/>
  <c r="B351" i="38"/>
  <c r="A373" i="24"/>
  <c r="A350" i="7"/>
  <c r="AJ351" i="38"/>
  <c r="AP351" i="38"/>
  <c r="A352" i="38"/>
  <c r="D351" i="38"/>
  <c r="AL351" i="38" s="1"/>
  <c r="Y350" i="38"/>
  <c r="X350" i="38"/>
  <c r="AQ350" i="38"/>
  <c r="AG349" i="38"/>
  <c r="AH349" i="38"/>
  <c r="Z349" i="38"/>
  <c r="AS349" i="38" s="1"/>
  <c r="E349" i="38" s="1"/>
  <c r="AA349" i="38"/>
  <c r="AI349" i="38"/>
  <c r="C352" i="38"/>
  <c r="C350" i="7"/>
  <c r="AU351" i="38"/>
  <c r="AZ350" i="7"/>
  <c r="AQ351" i="38" l="1"/>
  <c r="Z350" i="38"/>
  <c r="AS350" i="38" s="1"/>
  <c r="E350" i="38" s="1"/>
  <c r="AA350" i="38"/>
  <c r="AH350" i="38"/>
  <c r="AG350" i="38"/>
  <c r="AI350" i="38"/>
  <c r="A353" i="38"/>
  <c r="D352" i="38"/>
  <c r="AL352" i="38" s="1"/>
  <c r="A374" i="24"/>
  <c r="B352" i="38"/>
  <c r="AJ352" i="38"/>
  <c r="A351" i="7"/>
  <c r="AP352" i="38"/>
  <c r="X351" i="38"/>
  <c r="Y351" i="38"/>
  <c r="B349" i="6"/>
  <c r="B350" i="7"/>
  <c r="D350" i="7"/>
  <c r="C351" i="7"/>
  <c r="C353" i="38"/>
  <c r="AU352" i="38"/>
  <c r="AZ351" i="7"/>
  <c r="B350" i="6" l="1"/>
  <c r="X352" i="38"/>
  <c r="Y352" i="38"/>
  <c r="D351" i="7"/>
  <c r="B351" i="7"/>
  <c r="A352" i="7"/>
  <c r="A354" i="38"/>
  <c r="A375" i="24"/>
  <c r="B353" i="38"/>
  <c r="AP353" i="38"/>
  <c r="AJ353" i="38"/>
  <c r="D353" i="38"/>
  <c r="AL353" i="38" s="1"/>
  <c r="AG351" i="38"/>
  <c r="AA351" i="38"/>
  <c r="AI351" i="38"/>
  <c r="AH351" i="38"/>
  <c r="Z351" i="38"/>
  <c r="AS351" i="38" s="1"/>
  <c r="E351" i="38" s="1"/>
  <c r="AQ352" i="38"/>
  <c r="C354" i="38"/>
  <c r="C352" i="7"/>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5" i="38"/>
  <c r="C353" i="7"/>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4" i="7"/>
  <c r="C356" i="38"/>
  <c r="AU355" i="38"/>
  <c r="AZ354" i="7"/>
  <c r="AQ355" i="38" l="1"/>
  <c r="Y355" i="38"/>
  <c r="X355" i="38"/>
  <c r="AG354" i="38"/>
  <c r="AA354" i="38"/>
  <c r="AI354" i="38"/>
  <c r="Z354" i="38"/>
  <c r="AS354" i="38" s="1"/>
  <c r="E354" i="38" s="1"/>
  <c r="AH354" i="38"/>
  <c r="D354" i="7"/>
  <c r="B354" i="7"/>
  <c r="B356" i="38"/>
  <c r="D356" i="38"/>
  <c r="AL356" i="38" s="1"/>
  <c r="A355" i="7"/>
  <c r="AP356" i="38"/>
  <c r="A378" i="24"/>
  <c r="A357" i="38"/>
  <c r="AJ356" i="38"/>
  <c r="B353" i="6"/>
  <c r="C357" i="38"/>
  <c r="C355" i="7"/>
  <c r="AU356" i="38"/>
  <c r="AZ355" i="7"/>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8" i="38"/>
  <c r="C356" i="7"/>
  <c r="AZ356" i="7"/>
  <c r="AU357" i="38"/>
  <c r="X357" i="38" l="1"/>
  <c r="Y357" i="38"/>
  <c r="B356" i="7"/>
  <c r="D356" i="7"/>
  <c r="B358" i="38"/>
  <c r="A380" i="24"/>
  <c r="AP358" i="38"/>
  <c r="A357" i="7"/>
  <c r="D358" i="38"/>
  <c r="AL358" i="38" s="1"/>
  <c r="A359" i="38"/>
  <c r="AJ358" i="38"/>
  <c r="B355" i="6"/>
  <c r="AG356" i="38"/>
  <c r="Z356" i="38"/>
  <c r="AS356" i="38" s="1"/>
  <c r="E356" i="38" s="1"/>
  <c r="AA356" i="38"/>
  <c r="AH356" i="38"/>
  <c r="AI356" i="38"/>
  <c r="C359" i="38"/>
  <c r="C357" i="7"/>
  <c r="AU358" i="38"/>
  <c r="AZ357" i="7"/>
  <c r="AQ358" i="38" l="1"/>
  <c r="X358" i="38"/>
  <c r="Y358" i="38"/>
  <c r="D357" i="7"/>
  <c r="B357" i="7"/>
  <c r="A381" i="24"/>
  <c r="AJ359" i="38"/>
  <c r="D359" i="38"/>
  <c r="AL359" i="38" s="1"/>
  <c r="A360" i="38"/>
  <c r="A358" i="7"/>
  <c r="AP359" i="38"/>
  <c r="B359" i="38"/>
  <c r="B356" i="6"/>
  <c r="AA357" i="38"/>
  <c r="AG357" i="38"/>
  <c r="AH357" i="38"/>
  <c r="Z357" i="38"/>
  <c r="AS357" i="38" s="1"/>
  <c r="E357" i="38" s="1"/>
  <c r="AI357" i="38"/>
  <c r="C360" i="38"/>
  <c r="C358" i="7"/>
  <c r="AZ358" i="7"/>
  <c r="AU359" i="38"/>
  <c r="Y359" i="38" l="1"/>
  <c r="X359" i="38"/>
  <c r="D358" i="7"/>
  <c r="B358" i="7"/>
  <c r="AA358" i="38"/>
  <c r="Z358" i="38"/>
  <c r="AS358" i="38" s="1"/>
  <c r="E358" i="38" s="1"/>
  <c r="AG358" i="38"/>
  <c r="AI358" i="38"/>
  <c r="AH358" i="38"/>
  <c r="B357" i="6"/>
  <c r="B358" i="6" s="1"/>
  <c r="D360" i="38"/>
  <c r="AL360" i="38" s="1"/>
  <c r="A359" i="7"/>
  <c r="A382" i="24"/>
  <c r="AP360" i="38"/>
  <c r="B360" i="38"/>
  <c r="A361" i="38"/>
  <c r="AJ360" i="38"/>
  <c r="AQ359" i="38"/>
  <c r="C361" i="38"/>
  <c r="C359" i="7"/>
  <c r="AZ359" i="7"/>
  <c r="AU360" i="38"/>
  <c r="AQ360" i="38" l="1"/>
  <c r="AP361" i="38"/>
  <c r="A383" i="24"/>
  <c r="A360" i="7"/>
  <c r="D361" i="38"/>
  <c r="AL361" i="38" s="1"/>
  <c r="B361" i="38"/>
  <c r="AJ361" i="38"/>
  <c r="A362" i="38"/>
  <c r="D359" i="7"/>
  <c r="B359" i="7"/>
  <c r="AH359" i="38"/>
  <c r="AA359" i="38"/>
  <c r="Z359" i="38"/>
  <c r="AS359" i="38" s="1"/>
  <c r="E359" i="38" s="1"/>
  <c r="AG359" i="38"/>
  <c r="AI359" i="38"/>
  <c r="X360" i="38"/>
  <c r="Y360" i="38"/>
  <c r="C362" i="38"/>
  <c r="C360" i="7"/>
  <c r="AU361" i="38"/>
  <c r="AZ360" i="7"/>
  <c r="AQ361" i="38" l="1"/>
  <c r="B359" i="6"/>
  <c r="AP362" i="38"/>
  <c r="A361" i="7"/>
  <c r="A384" i="24"/>
  <c r="B362" i="38"/>
  <c r="A363" i="38"/>
  <c r="D362" i="38"/>
  <c r="AL362" i="38" s="1"/>
  <c r="AJ362" i="38"/>
  <c r="X361" i="38"/>
  <c r="Y361" i="38"/>
  <c r="B360" i="7"/>
  <c r="D360" i="7"/>
  <c r="AH360" i="38"/>
  <c r="AA360" i="38"/>
  <c r="AI360" i="38"/>
  <c r="Z360" i="38"/>
  <c r="AS360" i="38" s="1"/>
  <c r="E360" i="38" s="1"/>
  <c r="AG360" i="38"/>
  <c r="C361" i="7"/>
  <c r="C363" i="38"/>
  <c r="AZ361" i="7"/>
  <c r="AU362" i="38"/>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2" i="7"/>
  <c r="C364" i="38"/>
  <c r="AZ362" i="7"/>
  <c r="AU363" i="38"/>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3" i="7"/>
  <c r="C365" i="38"/>
  <c r="AU364" i="38"/>
  <c r="AZ363" i="7"/>
  <c r="D365" i="38" l="1"/>
  <c r="AL365" i="38" s="1"/>
  <c r="A364" i="7"/>
  <c r="AP365" i="38"/>
  <c r="B365" i="38"/>
  <c r="A366" i="38"/>
  <c r="A387" i="24"/>
  <c r="AJ365" i="38"/>
  <c r="X364" i="38"/>
  <c r="Y364" i="38"/>
  <c r="AI363" i="38"/>
  <c r="Z363" i="38"/>
  <c r="AS363" i="38" s="1"/>
  <c r="E363" i="38" s="1"/>
  <c r="AH363" i="38"/>
  <c r="AG363" i="38"/>
  <c r="AA363" i="38"/>
  <c r="B363" i="7"/>
  <c r="D363" i="7"/>
  <c r="B362" i="6"/>
  <c r="C364" i="7"/>
  <c r="C366" i="38"/>
  <c r="AU365" i="38"/>
  <c r="AZ364" i="7"/>
  <c r="AQ365" i="38" l="1"/>
  <c r="Y365" i="38"/>
  <c r="X365" i="38"/>
  <c r="B363" i="6"/>
  <c r="D364" i="7"/>
  <c r="B364" i="7"/>
  <c r="AH364" i="38"/>
  <c r="AA364" i="38"/>
  <c r="AI364" i="38"/>
  <c r="Z364" i="38"/>
  <c r="AS364" i="38" s="1"/>
  <c r="E364" i="38" s="1"/>
  <c r="AG364" i="38"/>
  <c r="AP366" i="38"/>
  <c r="A388" i="24"/>
  <c r="A367" i="38"/>
  <c r="A365" i="7"/>
  <c r="AJ366" i="38"/>
  <c r="D366" i="38"/>
  <c r="AL366" i="38" s="1"/>
  <c r="B366" i="38"/>
  <c r="C367" i="38"/>
  <c r="C365" i="7"/>
  <c r="AU366" i="38"/>
  <c r="AZ365" i="7"/>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U367" i="38"/>
  <c r="AZ366" i="7"/>
  <c r="AQ367" i="38" l="1"/>
  <c r="B365" i="6"/>
  <c r="D366" i="7"/>
  <c r="B366" i="7"/>
  <c r="A369" i="38"/>
  <c r="D368" i="38"/>
  <c r="AL368" i="38" s="1"/>
  <c r="A367" i="7"/>
  <c r="AJ368" i="38"/>
  <c r="A390" i="24"/>
  <c r="AP368" i="38"/>
  <c r="B368" i="38"/>
  <c r="AG366" i="38"/>
  <c r="AI366" i="38"/>
  <c r="Z366" i="38"/>
  <c r="AS366" i="38" s="1"/>
  <c r="E366" i="38" s="1"/>
  <c r="AH366" i="38"/>
  <c r="AA366" i="38"/>
  <c r="X367" i="38"/>
  <c r="Y367" i="38"/>
  <c r="C369" i="38"/>
  <c r="C367" i="7"/>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70" i="38"/>
  <c r="C368" i="7"/>
  <c r="AU369" i="38"/>
  <c r="AZ368" i="7"/>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U371" i="38"/>
  <c r="AZ370" i="7"/>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Z372" i="7"/>
  <c r="AU373" i="38"/>
  <c r="AD369" i="38" l="1"/>
  <c r="AS369" i="38"/>
  <c r="Y32" i="23" s="1"/>
  <c r="X32" i="23" s="1"/>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B373" i="6" s="1"/>
  <c r="AH373" i="38"/>
  <c r="AI373" i="38"/>
  <c r="X374" i="38"/>
  <c r="O23" i="47"/>
  <c r="J18" i="47"/>
  <c r="G11" i="47"/>
  <c r="B11" i="47"/>
  <c r="K18" i="47"/>
  <c r="M23" i="47"/>
  <c r="H16" i="47"/>
  <c r="I16" i="47"/>
  <c r="L16" i="47"/>
  <c r="H13" i="47"/>
  <c r="L13" i="47"/>
  <c r="I13" i="47"/>
  <c r="A26" i="47" l="1"/>
  <c r="A27" i="47" s="1"/>
  <c r="B18" i="47"/>
  <c r="M18" i="47"/>
  <c r="H18" i="47"/>
  <c r="G18" i="47"/>
  <c r="AS373" i="38"/>
  <c r="Z377" i="38"/>
  <c r="Z374" i="38"/>
  <c r="I18" i="47"/>
  <c r="M24" i="47"/>
  <c r="O22" i="47"/>
  <c r="L18" i="47"/>
  <c r="G7" i="24"/>
  <c r="X380" i="38"/>
  <c r="V380" i="38"/>
  <c r="E373" i="38" l="1"/>
  <c r="E31" i="23"/>
  <c r="D31" i="23" s="1"/>
  <c r="H7" i="24"/>
  <c r="H11" i="24"/>
  <c r="N24" i="47"/>
  <c r="O24" i="47"/>
</calcChain>
</file>

<file path=xl/comments1.xml><?xml version="1.0" encoding="utf-8"?>
<comments xmlns="http://schemas.openxmlformats.org/spreadsheetml/2006/main">
  <authors>
    <author xml:space="preserve"> </author>
  </authors>
  <commentList>
    <comment ref="AA11" authorId="0">
      <text>
        <r>
          <rPr>
            <b/>
            <sz val="8"/>
            <color indexed="81"/>
            <rFont val="Tahoma"/>
            <family val="2"/>
          </rPr>
          <t>Wochentag nicht gearbeitet</t>
        </r>
        <r>
          <rPr>
            <sz val="8"/>
            <color indexed="81"/>
            <rFont val="Tahoma"/>
            <family val="2"/>
          </rPr>
          <t xml:space="preserve">
""</t>
        </r>
      </text>
    </comment>
    <comment ref="AA13" authorId="0">
      <text>
        <r>
          <rPr>
            <b/>
            <sz val="8"/>
            <color indexed="81"/>
            <rFont val="Tahoma"/>
            <family val="2"/>
          </rPr>
          <t>Wochenende</t>
        </r>
        <r>
          <rPr>
            <sz val="8"/>
            <color indexed="81"/>
            <rFont val="Tahoma"/>
            <family val="2"/>
          </rPr>
          <t xml:space="preserve">
</t>
        </r>
      </text>
    </comment>
    <comment ref="AA16" authorId="0">
      <text>
        <r>
          <rPr>
            <b/>
            <sz val="8"/>
            <color indexed="81"/>
            <rFont val="Tahoma"/>
            <family val="2"/>
          </rPr>
          <t>Arbeitszeit &lt;= SOLL</t>
        </r>
        <r>
          <rPr>
            <sz val="8"/>
            <color indexed="81"/>
            <rFont val="Tahoma"/>
            <family val="2"/>
          </rPr>
          <t xml:space="preserve">
</t>
        </r>
      </text>
    </comment>
    <comment ref="AA17" authorId="0">
      <text>
        <r>
          <rPr>
            <b/>
            <sz val="8"/>
            <color indexed="81"/>
            <rFont val="Tahoma"/>
            <family val="2"/>
          </rPr>
          <t>Arbbeitszeit &gt;SOLL und &lt;MAX</t>
        </r>
        <r>
          <rPr>
            <sz val="8"/>
            <color indexed="81"/>
            <rFont val="Tahoma"/>
            <family val="2"/>
          </rPr>
          <t xml:space="preserve">
</t>
        </r>
      </text>
    </comment>
    <comment ref="AA18" authorId="0">
      <text>
        <r>
          <rPr>
            <b/>
            <sz val="8"/>
            <color indexed="81"/>
            <rFont val="Tahoma"/>
            <family val="2"/>
          </rPr>
          <t xml:space="preserve"> Arbeitszeit &gt; MAX</t>
        </r>
        <r>
          <rPr>
            <sz val="8"/>
            <color indexed="81"/>
            <rFont val="Tahoma"/>
            <family val="2"/>
          </rPr>
          <t xml:space="preserve">
</t>
        </r>
      </text>
    </comment>
    <comment ref="AA24" authorId="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authors>
    <author>Alfred Huber</author>
    <author>Huber Alfred</author>
    <author xml:space="preserve"> </author>
  </authors>
  <commentList>
    <comment ref="R4" authorId="0">
      <text>
        <r>
          <rPr>
            <b/>
            <sz val="8"/>
            <color indexed="81"/>
            <rFont val="Tahoma"/>
            <family val="2"/>
          </rPr>
          <t>IST Ges:
komplette Anwesenheitszeit inklusiv Pause(Abzug)</t>
        </r>
        <r>
          <rPr>
            <sz val="8"/>
            <color indexed="81"/>
            <rFont val="Tahoma"/>
            <family val="2"/>
          </rPr>
          <t xml:space="preserve">
</t>
        </r>
      </text>
    </comment>
    <comment ref="S4" authorId="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text>
        <r>
          <rPr>
            <b/>
            <sz val="8"/>
            <color indexed="81"/>
            <rFont val="Tahoma"/>
            <family val="2"/>
          </rPr>
          <t xml:space="preserve">Abzug nach: </t>
        </r>
        <r>
          <rPr>
            <sz val="8"/>
            <color indexed="81"/>
            <rFont val="Tahoma"/>
            <family val="2"/>
          </rPr>
          <t xml:space="preserve">
Kein Abzug bei
1. Zeit zwischen Gehen1 und Kommen2 größer als Abzug
2. Gesamte Anwesenheit kleiner als 6 Std.
Voller Abzug über 6 Std.
</t>
        </r>
      </text>
    </comment>
    <comment ref="V4" authorId="1">
      <text>
        <r>
          <rPr>
            <b/>
            <sz val="8"/>
            <color indexed="81"/>
            <rFont val="Tahoma"/>
            <family val="2"/>
          </rPr>
          <t>P:</t>
        </r>
        <r>
          <rPr>
            <sz val="8"/>
            <color indexed="81"/>
            <rFont val="Tahoma"/>
            <family val="2"/>
          </rPr>
          <t xml:space="preserve">
x = Wegezeit statt Mittagspause abziehen
"leer" = Mittagspause statt Wegezeit abziehen</t>
        </r>
      </text>
    </comment>
    <comment ref="W4" authorId="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text>
        <r>
          <rPr>
            <b/>
            <sz val="8"/>
            <color indexed="81"/>
            <rFont val="Tahoma"/>
            <family val="2"/>
          </rPr>
          <t>V_SOLL :</t>
        </r>
        <r>
          <rPr>
            <sz val="8"/>
            <color indexed="81"/>
            <rFont val="Tahoma"/>
            <family val="2"/>
          </rPr>
          <t xml:space="preserve">
SOLL Vorgabe</t>
        </r>
      </text>
    </comment>
    <comment ref="AD4" authorId="2">
      <text>
        <r>
          <rPr>
            <b/>
            <sz val="8"/>
            <color indexed="81"/>
            <rFont val="Tahoma"/>
            <family val="2"/>
          </rPr>
          <t xml:space="preserve"> SaldoGes:
ohne &gt;10Std</t>
        </r>
        <r>
          <rPr>
            <sz val="8"/>
            <color indexed="81"/>
            <rFont val="Tahoma"/>
            <family val="2"/>
          </rPr>
          <t xml:space="preserve">
</t>
        </r>
      </text>
    </comment>
    <comment ref="AE4" authorId="2">
      <text>
        <r>
          <rPr>
            <b/>
            <sz val="8"/>
            <color indexed="81"/>
            <rFont val="Tahoma"/>
            <family val="2"/>
          </rPr>
          <t>Korr :</t>
        </r>
        <r>
          <rPr>
            <sz val="8"/>
            <color indexed="81"/>
            <rFont val="Tahoma"/>
            <family val="2"/>
          </rPr>
          <t xml:space="preserve">
Korr :
Korrektur Zeitsaldo hh:mm
(z.B. Auszahlung,
Zeit abgeschnitten)</t>
        </r>
      </text>
    </comment>
    <comment ref="AF4" authorId="2">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L4" authorId="2">
      <text>
        <r>
          <rPr>
            <b/>
            <sz val="8"/>
            <color indexed="81"/>
            <rFont val="Tahoma"/>
            <family val="2"/>
          </rPr>
          <t>SAnfang:</t>
        </r>
        <r>
          <rPr>
            <sz val="8"/>
            <color indexed="81"/>
            <rFont val="Tahoma"/>
            <family val="2"/>
          </rPr>
          <t xml:space="preserve">
Zeigt den Saldo des Monatsanfangs</t>
        </r>
      </text>
    </comment>
    <comment ref="AM4" authorId="2">
      <text>
        <r>
          <rPr>
            <b/>
            <sz val="8"/>
            <color indexed="81"/>
            <rFont val="Tahoma"/>
            <family val="2"/>
          </rPr>
          <t>Tgearb :</t>
        </r>
        <r>
          <rPr>
            <sz val="8"/>
            <color indexed="81"/>
            <rFont val="Tahoma"/>
            <family val="2"/>
          </rPr>
          <t xml:space="preserve">
1=gearbeitet
0=nicht gearbeitet
-1=Abzug von gearbeitet</t>
        </r>
      </text>
    </comment>
    <comment ref="AP4" authorId="2">
      <text>
        <r>
          <rPr>
            <b/>
            <sz val="8"/>
            <color indexed="81"/>
            <rFont val="Tahoma"/>
            <family val="2"/>
          </rPr>
          <t>UrlR :</t>
        </r>
        <r>
          <rPr>
            <sz val="8"/>
            <color indexed="81"/>
            <rFont val="Tahoma"/>
            <family val="2"/>
          </rPr>
          <t xml:space="preserve">
Resturlaubssaldo</t>
        </r>
      </text>
    </comment>
    <comment ref="AQ4" authorId="2">
      <text>
        <r>
          <rPr>
            <b/>
            <sz val="8"/>
            <color indexed="81"/>
            <rFont val="Tahoma"/>
            <family val="2"/>
          </rPr>
          <t>UrlRAnf:</t>
        </r>
        <r>
          <rPr>
            <sz val="8"/>
            <color indexed="81"/>
            <rFont val="Tahoma"/>
            <family val="2"/>
          </rPr>
          <t xml:space="preserve">
Zeigt den Resturlaub am Monatsanfang</t>
        </r>
      </text>
    </comment>
    <comment ref="AR4" authorId="2">
      <text>
        <r>
          <rPr>
            <b/>
            <sz val="8"/>
            <color indexed="81"/>
            <rFont val="Tahoma"/>
            <family val="2"/>
          </rPr>
          <t>KalZeit :</t>
        </r>
        <r>
          <rPr>
            <sz val="8"/>
            <color indexed="81"/>
            <rFont val="Tahoma"/>
            <family val="2"/>
          </rPr>
          <t xml:space="preserve">
Zeit fuer Kalender in Stunden</t>
        </r>
      </text>
    </comment>
    <comment ref="AS4" authorId="2">
      <text>
        <r>
          <rPr>
            <b/>
            <sz val="8"/>
            <color indexed="81"/>
            <rFont val="Tahoma"/>
            <family val="2"/>
          </rPr>
          <t>KalTyp :</t>
        </r>
        <r>
          <rPr>
            <sz val="8"/>
            <color indexed="81"/>
            <rFont val="Tahoma"/>
            <family val="2"/>
          </rPr>
          <t xml:space="preserve">
Anzeige im Kalender
Definition siehe Kalender
</t>
        </r>
      </text>
    </comment>
  </commentList>
</comments>
</file>

<file path=xl/comments3.xml><?xml version="1.0" encoding="utf-8"?>
<comments xmlns="http://schemas.openxmlformats.org/spreadsheetml/2006/main">
  <authors>
    <author>Hofer, Andreas</author>
    <author>Alfred Huber</author>
  </authors>
  <commentList>
    <comment ref="B8" authorId="0">
      <text>
        <r>
          <rPr>
            <sz val="10"/>
            <color indexed="81"/>
            <rFont val="Tahoma"/>
            <family val="2"/>
          </rPr>
          <t>z.B. Länge der Mittagspause</t>
        </r>
      </text>
    </comment>
    <comment ref="B9" authorId="0">
      <text>
        <r>
          <rPr>
            <sz val="10"/>
            <color indexed="81"/>
            <rFont val="Tahoma"/>
            <family val="2"/>
          </rPr>
          <t>Arbeitszeit nach der automatisch eine Pause
eingerechnet wird.
Normalerweise ist das nach 6h der Fall</t>
        </r>
      </text>
    </comment>
    <comment ref="D13" authorId="1">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authors>
    <author xml:space="preserve"> </author>
  </authors>
  <commentList>
    <comment ref="K4" authorId="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<sst xmlns="http://schemas.openxmlformats.org/spreadsheetml/2006/main" count="322" uniqueCount="228">
  <si>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</si>
  <si>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</si>
  <si>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</si>
  <si>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</si>
  <si>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</si>
  <si>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</si>
  <si>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</si>
  <si>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</si>
  <si>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</si>
  <si>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</si>
  <si>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</si>
  <si>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</si>
  <si>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</si>
  <si>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</si>
  <si>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</si>
  <si>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</si>
  <si>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</si>
  <si>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</si>
  <si>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</si>
  <si>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</si>
  <si>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</si>
  <si>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</si>
  <si>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</si>
  <si>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</si>
  <si>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</si>
  <si>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</si>
  <si>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</si>
  <si>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</si>
  <si>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</si>
  <si>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</si>
  <si>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</si>
  <si>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</si>
  <si>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</si>
  <si>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</si>
  <si>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</si>
  <si>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</si>
  <si>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</si>
  <si>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</si>
  <si>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</si>
  <si>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</si>
  <si>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</si>
  <si>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</si>
  <si>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</si>
  <si>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</si>
  <si>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</si>
  <si>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</si>
  <si>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</si>
  <si>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</si>
  <si>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</si>
  <si>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</si>
  <si>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</si>
  <si>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</si>
  <si>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</si>
  <si>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</si>
  <si>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</si>
  <si>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</si>
  <si>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</si>
  <si>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</si>
  <si>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</si>
  <si>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</si>
  <si>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</si>
  <si>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</si>
  <si>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</si>
  <si>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</si>
  <si>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</si>
  <si>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</si>
  <si>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</si>
  <si>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</si>
  <si>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</si>
  <si>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</si>
  <si>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Mit der Version 3.0 wurde es grundlegend überarbeitet. Der Übersicht halber wurden die einzelnen Kalenderblätter zu einem einzigen (Arbeitszeit) zusammen 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</si>
  <si>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</si>
  <si>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</si>
  <si>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</si>
  <si>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</si>
  <si>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</si>
  <si>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</si>
  <si>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</si>
  <si>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</si>
  <si>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</si>
  <si>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</si>
  <si>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</si>
  <si>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Please add befor this line</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</si>
  <si>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</si>
  <si>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</si>
  <si>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</si>
  <si>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</si>
  <si>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</si>
  <si>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</si>
  <si>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</si>
  <si>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</si>
  <si>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</si>
  <si>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</si>
  <si>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</si>
  <si>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</si>
  <si>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</si>
  <si>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</si>
  <si>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</si>
  <si>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</si>
  <si>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</si>
  <si>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</si>
  <si>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</si>
  <si>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</si>
  <si>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</si>
  <si>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</si>
  <si>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</si>
  <si>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</si>
  <si>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</si>
  <si>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</si>
  <si>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</si>
  <si>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</si>
  <si>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</si>
  <si>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</si>
  <si>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</si>
  <si>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</si>
  <si>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</si>
  <si>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</si>
  <si>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</si>
  <si>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</si>
  <si>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</si>
  <si>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</si>
  <si>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</si>
  <si>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</si>
  <si>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</si>
  <si>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</si>
  <si>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</si>
  <si>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</si>
  <si>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</si>
  <si>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</si>
  <si>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</si>
  <si>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</si>
  <si>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</si>
  <si>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</si>
  <si>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</si>
  <si>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</si>
  <si>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</si>
  <si>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</si>
  <si>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</si>
  <si>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</si>
  <si>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</si>
  <si>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</si>
  <si>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</si>
  <si>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</si>
  <si>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</si>
  <si>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</si>
  <si>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</si>
  <si>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</si>
  <si>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</si>
  <si>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</si>
  <si>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</si>
  <si>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</si>
  <si>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</si>
  <si>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</si>
  <si>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</si>
  <si>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</si>
  <si>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</si>
  <si>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</si>
  <si>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</si>
  <si>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</si>
  <si>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</si>
  <si>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</si>
  <si>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</si>
  <si>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</si>
  <si>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</si>
  <si>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</si>
  <si>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</si>
  <si>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</si>
  <si>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</si>
  <si>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</si>
  <si>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</si>
  <si>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</si>
  <si>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</si>
  <si>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</si>
  <si>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</si>
  <si>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</si>
  <si>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</si>
  <si>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</si>
  <si>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</si>
  <si>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</si>
  <si>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</si>
  <si>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</si>
  <si>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</si>
  <si>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</si>
  <si>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</si>
  <si>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</si>
  <si>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</si>
  <si>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</si>
  <si>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</si>
  <si>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</si>
  <si>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</si>
  <si>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</si>
  <si>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</si>
  <si>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</si>
  <si>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</si>
  <si>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</si>
  <si>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</si>
  <si>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</si>
  <si>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</si>
  <si>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</si>
  <si>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</si>
  <si>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</si>
  <si>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</si>
  <si>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</si>
  <si>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</si>
  <si>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</si>
  <si>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</si>
  <si>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</si>
  <si>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</si>
  <si>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</si>
  <si>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Name</t>
  </si>
  <si>
    <t>Personalnummer</t>
  </si>
  <si>
    <t>Aufgabe 01</t>
  </si>
  <si>
    <t>Aufgabe 02</t>
  </si>
  <si>
    <t>Aufgabe 03</t>
  </si>
  <si>
    <t>Aufgabe 04</t>
  </si>
  <si>
    <t>Aufgabe 05</t>
  </si>
  <si>
    <t>Aufgabe 06</t>
  </si>
  <si>
    <t>Aufgabe 07</t>
  </si>
  <si>
    <t>Aufgabe 08</t>
  </si>
  <si>
    <t>Aufgabe 09</t>
  </si>
  <si>
    <t>Abteilung</t>
  </si>
  <si>
    <t>Gehen 1 (berechnet)</t>
  </si>
  <si>
    <t>Gehen 2 (berechnet)</t>
  </si>
  <si>
    <t>Gehen 3 (berechnet)</t>
  </si>
  <si>
    <t>Abzug nach:</t>
  </si>
  <si>
    <t>Pause nach:</t>
  </si>
  <si>
    <t>Pausenlänge:</t>
  </si>
  <si>
    <r>
      <t>Glaz V5.8d  12/2017</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</si>
</sst>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1">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medium">
        <color indexed="64"/>
      </bottom>
      <diagonal/>
    </border>
  </borders>
  <cellStyleXfs count="1">
    <xf numFmtId="0" fontId="0" fillId="0" borderId="0"/>
  </cellStyleXfs>
  <cellXfs count="743">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5" borderId="14" xfId="0" applyFont="1" applyFill="1" applyBorder="1" applyAlignment="1" applyProtection="1">
      <alignment vertical="top"/>
      <protection locked="0"/>
    </xf>
    <xf numFmtId="0" fontId="0" fillId="5" borderId="15" xfId="0" applyFill="1" applyBorder="1" applyAlignment="1" applyProtection="1">
      <alignment vertical="top"/>
      <protection locked="0"/>
    </xf>
    <xf numFmtId="0" fontId="0" fillId="5" borderId="16" xfId="0" applyFill="1" applyBorder="1" applyAlignment="1" applyProtection="1">
      <alignment vertical="top"/>
      <protection locked="0"/>
    </xf>
    <xf numFmtId="0" fontId="13" fillId="0" borderId="0" xfId="0" applyFont="1" applyAlignment="1" applyProtection="1">
      <alignment horizontal="left"/>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Border="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70" fontId="0" fillId="0" borderId="0" xfId="0" applyNumberFormat="1" applyBorder="1" applyAlignment="1" applyProtection="1">
      <alignment horizontal="center"/>
      <protection locked="0"/>
    </xf>
    <xf numFmtId="0" fontId="0" fillId="0" borderId="0" xfId="0" applyBorder="1" applyProtection="1">
      <protection locked="0"/>
    </xf>
    <xf numFmtId="0" fontId="23"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6"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NumberFormat="1"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NumberFormat="1"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pplyProtection="1">
      <alignment horizontal="left"/>
    </xf>
    <xf numFmtId="175" fontId="0" fillId="3" borderId="21" xfId="0" applyNumberFormat="1" applyFill="1" applyBorder="1" applyAlignment="1" applyProtection="1">
      <alignment horizontal="left"/>
      <protection locked="0"/>
    </xf>
    <xf numFmtId="175" fontId="0" fillId="3" borderId="16"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Border="1" applyAlignment="1">
      <alignment horizontal="center"/>
    </xf>
    <xf numFmtId="175" fontId="2" fillId="0" borderId="18" xfId="0" applyNumberFormat="1" applyFont="1" applyBorder="1" applyAlignment="1">
      <alignment horizontal="right"/>
    </xf>
    <xf numFmtId="176" fontId="2" fillId="0" borderId="3" xfId="0" applyNumberFormat="1" applyFont="1" applyFill="1" applyBorder="1" applyAlignment="1">
      <alignment horizontal="center"/>
    </xf>
    <xf numFmtId="175" fontId="15" fillId="0" borderId="3" xfId="0" applyNumberFormat="1" applyFont="1" applyFill="1" applyBorder="1" applyAlignment="1">
      <alignment horizontal="right"/>
    </xf>
    <xf numFmtId="175" fontId="30" fillId="0" borderId="0" xfId="0" applyNumberFormat="1" applyFont="1" applyFill="1" applyBorder="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5" fontId="2" fillId="0" borderId="3" xfId="0" applyNumberFormat="1" applyFont="1" applyFill="1" applyBorder="1" applyAlignment="1">
      <alignment horizontal="center"/>
    </xf>
    <xf numFmtId="175"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5"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Fill="1" applyBorder="1" applyAlignment="1">
      <alignment horizontal="center"/>
    </xf>
    <xf numFmtId="0" fontId="24" fillId="0" borderId="29" xfId="0" applyNumberFormat="1" applyFont="1" applyFill="1" applyBorder="1" applyAlignment="1">
      <alignment horizontal="center"/>
    </xf>
    <xf numFmtId="170" fontId="11" fillId="3" borderId="29" xfId="0" applyNumberFormat="1" applyFont="1" applyFill="1" applyBorder="1" applyAlignment="1" applyProtection="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1" fillId="0" borderId="29" xfId="0" applyNumberFormat="1" applyFont="1" applyFill="1" applyBorder="1" applyAlignment="1">
      <alignment horizontal="center" vertical="center"/>
    </xf>
    <xf numFmtId="170" fontId="15" fillId="0" borderId="3" xfId="0" applyNumberFormat="1" applyFont="1" applyFill="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NumberFormat="1"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NumberFormat="1"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NumberFormat="1" applyFont="1" applyFill="1" applyBorder="1" applyAlignment="1">
      <alignment horizontal="center"/>
    </xf>
    <xf numFmtId="20" fontId="6" fillId="0" borderId="3" xfId="0" applyNumberFormat="1" applyFont="1" applyFill="1" applyBorder="1" applyAlignment="1">
      <alignment horizontal="center"/>
    </xf>
    <xf numFmtId="180" fontId="30" fillId="0" borderId="0" xfId="0" applyNumberFormat="1" applyFont="1" applyFill="1" applyBorder="1"/>
    <xf numFmtId="180" fontId="2" fillId="0" borderId="3" xfId="0" applyNumberFormat="1" applyFont="1" applyFill="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70" fontId="0" fillId="0" borderId="31" xfId="0" applyNumberFormat="1" applyBorder="1"/>
    <xf numFmtId="0" fontId="0" fillId="0" borderId="32" xfId="0" applyBorder="1"/>
    <xf numFmtId="0" fontId="12" fillId="0" borderId="10" xfId="0" applyFont="1" applyFill="1" applyBorder="1" applyAlignment="1" applyProtection="1">
      <alignment horizontal="right"/>
      <protection locked="0"/>
    </xf>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Fill="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Border="1" applyAlignment="1">
      <alignment horizontal="center"/>
    </xf>
    <xf numFmtId="0" fontId="11" fillId="6" borderId="33" xfId="0" applyNumberFormat="1" applyFont="1" applyFill="1" applyBorder="1" applyAlignment="1">
      <alignment horizontal="center"/>
    </xf>
    <xf numFmtId="0" fontId="13" fillId="0" borderId="0" xfId="0" applyFont="1"/>
    <xf numFmtId="175" fontId="37"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5"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5" fontId="2" fillId="0" borderId="3" xfId="0" applyNumberFormat="1" applyFont="1" applyFill="1" applyBorder="1" applyAlignment="1" applyProtection="1">
      <alignment horizontal="center"/>
      <protection hidden="1"/>
    </xf>
    <xf numFmtId="175"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70" fontId="15" fillId="0" borderId="3" xfId="0" applyNumberFormat="1" applyFont="1" applyFill="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Fill="1" applyBorder="1" applyAlignment="1">
      <alignment horizontal="center"/>
    </xf>
    <xf numFmtId="175" fontId="2" fillId="0" borderId="34" xfId="0" applyNumberFormat="1" applyFont="1" applyFill="1" applyBorder="1" applyAlignment="1">
      <alignment horizontal="center"/>
    </xf>
    <xf numFmtId="0" fontId="15" fillId="0" borderId="34" xfId="0" applyNumberFormat="1" applyFont="1" applyFill="1" applyBorder="1" applyAlignment="1">
      <alignment horizontal="center"/>
    </xf>
    <xf numFmtId="1" fontId="15" fillId="0" borderId="34" xfId="0" applyNumberFormat="1" applyFont="1" applyFill="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Border="1" applyAlignment="1">
      <alignment horizontal="left"/>
    </xf>
    <xf numFmtId="1" fontId="0" fillId="0" borderId="0" xfId="0" applyNumberFormat="1" applyFill="1" applyBorder="1" applyAlignment="1">
      <alignment horizontal="center"/>
    </xf>
    <xf numFmtId="175" fontId="12" fillId="0" borderId="6" xfId="0" applyNumberFormat="1" applyFont="1" applyBorder="1"/>
    <xf numFmtId="1" fontId="2" fillId="0" borderId="6" xfId="0" applyNumberFormat="1" applyFont="1" applyFill="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0" fontId="2" fillId="0" borderId="0" xfId="0" applyFont="1" applyFill="1" applyBorder="1" applyAlignment="1">
      <alignment horizontal="right"/>
    </xf>
    <xf numFmtId="0" fontId="0" fillId="0" borderId="0" xfId="0" applyFill="1" applyBorder="1" applyAlignment="1">
      <alignment horizontal="right"/>
    </xf>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5"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5"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Fill="1" applyBorder="1" applyProtection="1">
      <protection hidden="1"/>
    </xf>
    <xf numFmtId="20" fontId="2" fillId="0" borderId="8" xfId="0" applyNumberFormat="1" applyFont="1" applyFill="1" applyBorder="1" applyAlignment="1">
      <alignment horizontal="left"/>
    </xf>
    <xf numFmtId="0" fontId="15" fillId="6" borderId="6" xfId="0" applyFont="1" applyFill="1" applyBorder="1"/>
    <xf numFmtId="0" fontId="2" fillId="6" borderId="7" xfId="0" applyFont="1" applyFill="1" applyBorder="1"/>
    <xf numFmtId="0" fontId="15" fillId="6" borderId="6" xfId="0" applyFont="1" applyFill="1" applyBorder="1" applyAlignment="1"/>
    <xf numFmtId="0" fontId="2" fillId="17" borderId="0" xfId="0" applyFont="1" applyFill="1" applyAlignment="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40" fillId="8" borderId="0" xfId="0" applyFont="1" applyFill="1" applyAlignment="1">
      <alignment horizontal="center"/>
    </xf>
    <xf numFmtId="2" fontId="40" fillId="8" borderId="0" xfId="0" applyNumberFormat="1" applyFont="1" applyFill="1" applyBorder="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Border="1" applyAlignment="1">
      <alignment horizontal="center"/>
    </xf>
    <xf numFmtId="175"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NumberFormat="1" applyFont="1" applyAlignment="1">
      <alignment horizontal="left"/>
    </xf>
    <xf numFmtId="170" fontId="11" fillId="0" borderId="46" xfId="0" applyNumberFormat="1" applyFont="1" applyFill="1" applyBorder="1" applyAlignment="1">
      <alignment horizontal="center"/>
    </xf>
    <xf numFmtId="17" fontId="22" fillId="0" borderId="0" xfId="0" applyNumberFormat="1" applyFont="1" applyFill="1" applyBorder="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Border="1" applyAlignment="1">
      <alignment horizontal="left" vertical="top"/>
    </xf>
    <xf numFmtId="0" fontId="0" fillId="0" borderId="0" xfId="0" applyAlignment="1">
      <alignment horizontal="center" vertical="top"/>
    </xf>
    <xf numFmtId="0" fontId="13" fillId="0" borderId="0" xfId="0" applyFont="1" applyBorder="1" applyAlignment="1">
      <alignment horizontal="center" vertical="top"/>
    </xf>
    <xf numFmtId="0" fontId="13" fillId="0" borderId="44" xfId="0" applyFont="1" applyFill="1" applyBorder="1" applyAlignment="1">
      <alignment horizontal="center" vertical="top"/>
    </xf>
    <xf numFmtId="174" fontId="11" fillId="18" borderId="0" xfId="0" applyNumberFormat="1" applyFont="1" applyFill="1" applyBorder="1" applyAlignment="1">
      <alignment horizontal="center"/>
    </xf>
    <xf numFmtId="0" fontId="0" fillId="18" borderId="0" xfId="0" applyFill="1" applyBorder="1" applyAlignment="1">
      <alignment horizontal="center"/>
    </xf>
    <xf numFmtId="170" fontId="0" fillId="10" borderId="29" xfId="0" applyNumberFormat="1" applyFill="1" applyBorder="1" applyAlignment="1">
      <alignment horizontal="center"/>
    </xf>
    <xf numFmtId="170"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Fill="1" applyBorder="1" applyAlignment="1">
      <alignment horizontal="center" wrapText="1"/>
    </xf>
    <xf numFmtId="20" fontId="15" fillId="0" borderId="49" xfId="0" applyNumberFormat="1" applyFont="1" applyFill="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Border="1" applyAlignment="1">
      <alignment horizontal="center"/>
    </xf>
    <xf numFmtId="0" fontId="45" fillId="19" borderId="0" xfId="0" applyFont="1" applyFill="1" applyBorder="1" applyAlignment="1">
      <alignment horizontal="left"/>
    </xf>
    <xf numFmtId="164" fontId="46" fillId="19" borderId="0" xfId="0" applyNumberFormat="1" applyFont="1" applyFill="1" applyBorder="1" applyAlignment="1">
      <alignment horizontal="right"/>
    </xf>
    <xf numFmtId="0" fontId="2" fillId="0" borderId="3" xfId="0" applyFont="1" applyFill="1" applyBorder="1" applyAlignment="1">
      <alignment horizontal="center" vertical="top"/>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Border="1" applyAlignment="1" applyProtection="1">
      <alignment horizontal="left"/>
      <protection locked="0"/>
    </xf>
    <xf numFmtId="0" fontId="23" fillId="0" borderId="0" xfId="0" applyFont="1" applyFill="1" applyBorder="1" applyAlignment="1">
      <alignment horizontal="center" vertical="top"/>
    </xf>
    <xf numFmtId="0" fontId="13" fillId="0" borderId="0" xfId="0" applyFont="1" applyFill="1" applyBorder="1" applyAlignment="1">
      <alignment horizontal="center"/>
    </xf>
    <xf numFmtId="0" fontId="19" fillId="0" borderId="0" xfId="0" applyFont="1" applyFill="1" applyBorder="1" applyAlignment="1" applyProtection="1">
      <protection locked="0"/>
    </xf>
    <xf numFmtId="0" fontId="19"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38" fillId="5" borderId="17" xfId="0" applyFont="1" applyFill="1" applyBorder="1" applyProtection="1">
      <protection locked="0"/>
    </xf>
    <xf numFmtId="0" fontId="19" fillId="0" borderId="0" xfId="0" applyFont="1" applyFill="1" applyBorder="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Fill="1" applyBorder="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applyBorder="1"/>
    <xf numFmtId="175" fontId="2" fillId="1" borderId="34" xfId="0" applyNumberFormat="1" applyFont="1" applyFill="1" applyBorder="1" applyAlignment="1">
      <alignment horizontal="center"/>
    </xf>
    <xf numFmtId="175" fontId="15" fillId="1" borderId="0" xfId="0" applyNumberFormat="1" applyFont="1" applyFill="1" applyBorder="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167"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pplyProtection="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pplyProtection="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Border="1" applyAlignment="1" applyProtection="1">
      <alignment horizontal="left"/>
      <protection locked="0"/>
    </xf>
    <xf numFmtId="0" fontId="2" fillId="6" borderId="81"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0" fontId="0" fillId="0" borderId="0" xfId="0" applyNumberFormat="1"/>
    <xf numFmtId="21" fontId="0" fillId="0" borderId="0" xfId="0" applyNumberFormat="1"/>
    <xf numFmtId="0" fontId="52" fillId="0" borderId="0" xfId="0" applyFont="1" applyFill="1" applyBorder="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Fill="1" applyBorder="1" applyAlignment="1">
      <alignment horizontal="center" textRotation="90"/>
    </xf>
    <xf numFmtId="170" fontId="11" fillId="3" borderId="31" xfId="0" applyNumberFormat="1" applyFont="1" applyFill="1" applyBorder="1" applyAlignment="1">
      <alignment horizontal="center" vertical="center"/>
    </xf>
    <xf numFmtId="0" fontId="24" fillId="3" borderId="30" xfId="0" applyNumberFormat="1" applyFont="1" applyFill="1" applyBorder="1" applyAlignment="1">
      <alignment horizontal="center"/>
    </xf>
    <xf numFmtId="0" fontId="24" fillId="3" borderId="76" xfId="0" applyNumberFormat="1" applyFont="1" applyFill="1" applyBorder="1" applyAlignment="1">
      <alignment horizontal="center"/>
    </xf>
    <xf numFmtId="170" fontId="11" fillId="3" borderId="73" xfId="0" applyNumberFormat="1" applyFont="1" applyFill="1" applyBorder="1" applyAlignment="1">
      <alignment horizontal="center" vertical="center"/>
    </xf>
    <xf numFmtId="170" fontId="11" fillId="3" borderId="93" xfId="0" applyNumberFormat="1" applyFont="1" applyFill="1" applyBorder="1" applyAlignment="1">
      <alignment horizontal="center" vertical="center"/>
    </xf>
    <xf numFmtId="0" fontId="24" fillId="12" borderId="76" xfId="0" applyNumberFormat="1" applyFont="1" applyFill="1" applyBorder="1" applyAlignment="1">
      <alignment horizontal="center"/>
    </xf>
    <xf numFmtId="170" fontId="11" fillId="12" borderId="31" xfId="0" applyNumberFormat="1" applyFont="1" applyFill="1" applyBorder="1" applyAlignment="1">
      <alignment horizontal="center" vertical="center"/>
    </xf>
    <xf numFmtId="0" fontId="24" fillId="0" borderId="76" xfId="0" applyNumberFormat="1" applyFont="1" applyFill="1" applyBorder="1" applyAlignment="1">
      <alignment horizontal="center"/>
    </xf>
    <xf numFmtId="0" fontId="24" fillId="0" borderId="30" xfId="0" applyNumberFormat="1" applyFont="1" applyFill="1" applyBorder="1" applyAlignment="1">
      <alignment horizontal="center"/>
    </xf>
    <xf numFmtId="0" fontId="24" fillId="14" borderId="30" xfId="0" applyNumberFormat="1" applyFont="1" applyFill="1" applyBorder="1" applyAlignment="1">
      <alignment horizontal="center"/>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Border="1" applyAlignment="1">
      <alignment horizontal="right"/>
    </xf>
    <xf numFmtId="188" fontId="0" fillId="0" borderId="0" xfId="0" applyNumberFormat="1" applyFill="1" applyBorder="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NumberFormat="1" applyFont="1" applyBorder="1" applyAlignment="1">
      <alignment horizontal="center"/>
    </xf>
    <xf numFmtId="0" fontId="2" fillId="22" borderId="35" xfId="0" applyFont="1" applyFill="1" applyBorder="1" applyAlignment="1">
      <alignment horizontal="left" vertical="top"/>
    </xf>
    <xf numFmtId="170" fontId="11" fillId="0" borderId="93"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NumberFormat="1" applyFont="1" applyFill="1" applyBorder="1" applyAlignment="1">
      <alignment horizontal="center"/>
    </xf>
    <xf numFmtId="0" fontId="5" fillId="3" borderId="14" xfId="0" applyFont="1" applyFill="1" applyBorder="1" applyAlignment="1" applyProtection="1">
      <alignment horizontal="right"/>
      <protection locked="0"/>
    </xf>
    <xf numFmtId="49" fontId="10" fillId="3" borderId="16" xfId="0" applyNumberFormat="1" applyFont="1" applyFill="1" applyBorder="1" applyProtection="1">
      <protection locked="0"/>
    </xf>
    <xf numFmtId="188" fontId="57" fillId="0" borderId="0" xfId="0" applyNumberFormat="1" applyFont="1" applyFill="1" applyBorder="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Alignment="1" applyProtection="1">
      <protection locked="0"/>
    </xf>
    <xf numFmtId="2" fontId="0" fillId="0" borderId="0" xfId="0" applyNumberFormat="1" applyBorder="1" applyAlignment="1" applyProtection="1">
      <protection locked="0"/>
    </xf>
    <xf numFmtId="2" fontId="38"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Fill="1" applyBorder="1" applyAlignment="1">
      <alignment horizontal="center"/>
    </xf>
    <xf numFmtId="2" fontId="0" fillId="23" borderId="79" xfId="0" applyNumberFormat="1" applyFill="1" applyBorder="1" applyAlignment="1">
      <alignment horizontal="center"/>
    </xf>
    <xf numFmtId="2" fontId="0" fillId="0" borderId="100" xfId="0" applyNumberFormat="1" applyFill="1" applyBorder="1"/>
    <xf numFmtId="2" fontId="0" fillId="3" borderId="101" xfId="0" applyNumberFormat="1" applyFill="1" applyBorder="1" applyAlignment="1">
      <alignment horizontal="center"/>
    </xf>
    <xf numFmtId="2" fontId="0" fillId="0" borderId="0" xfId="0" applyNumberFormat="1" applyFill="1" applyBorder="1"/>
    <xf numFmtId="188" fontId="5" fillId="0" borderId="0" xfId="0" applyNumberFormat="1" applyFont="1" applyFill="1" applyBorder="1" applyAlignment="1">
      <alignment horizontal="center"/>
    </xf>
    <xf numFmtId="0" fontId="5" fillId="0" borderId="0" xfId="0" applyFont="1" applyFill="1" applyBorder="1" applyAlignment="1">
      <alignment horizontal="center"/>
    </xf>
    <xf numFmtId="189" fontId="0" fillId="0" borderId="0" xfId="0" applyNumberFormat="1" applyFill="1" applyAlignment="1">
      <alignment horizontal="center"/>
    </xf>
    <xf numFmtId="2" fontId="0" fillId="26" borderId="29" xfId="0" applyNumberFormat="1" applyFill="1" applyBorder="1" applyAlignment="1" applyProtection="1">
      <alignment horizontal="center"/>
      <protection locked="0"/>
    </xf>
    <xf numFmtId="170" fontId="11" fillId="0" borderId="73" xfId="0" applyNumberFormat="1" applyFont="1" applyFill="1" applyBorder="1" applyAlignment="1">
      <alignment horizontal="center" vertical="center"/>
    </xf>
    <xf numFmtId="0" fontId="24" fillId="12" borderId="30" xfId="0" applyNumberFormat="1"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NumberFormat="1"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0" fillId="0" borderId="0" xfId="0" applyAlignment="1">
      <alignment horizontal="center"/>
    </xf>
    <xf numFmtId="2" fontId="0" fillId="0" borderId="0" xfId="0" applyNumberFormat="1"/>
    <xf numFmtId="2" fontId="2" fillId="0" borderId="0" xfId="0" applyNumberFormat="1" applyFont="1"/>
    <xf numFmtId="2" fontId="5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170" fontId="11" fillId="12" borderId="93" xfId="0" applyNumberFormat="1" applyFont="1" applyFill="1" applyBorder="1" applyAlignment="1">
      <alignment horizontal="center" vertical="center"/>
    </xf>
    <xf numFmtId="170" fontId="11" fillId="0" borderId="31"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0" borderId="111" xfId="0" applyNumberFormat="1" applyFont="1" applyFill="1" applyBorder="1" applyAlignment="1">
      <alignment horizontal="center" vertical="center"/>
    </xf>
    <xf numFmtId="170" fontId="11" fillId="3" borderId="110" xfId="0" applyNumberFormat="1" applyFont="1" applyFill="1" applyBorder="1" applyAlignment="1">
      <alignment horizontal="center" vertical="center"/>
    </xf>
    <xf numFmtId="178" fontId="2" fillId="0" borderId="0" xfId="0" applyNumberFormat="1" applyFont="1" applyBorder="1" applyAlignment="1">
      <alignment horizontal="left"/>
    </xf>
    <xf numFmtId="0" fontId="47" fillId="10" borderId="0" xfId="0" applyFont="1" applyFill="1" applyAlignment="1">
      <alignment horizontal="center" vertical="center"/>
    </xf>
    <xf numFmtId="179" fontId="23" fillId="0" borderId="0" xfId="0" applyNumberFormat="1" applyFont="1" applyFill="1" applyBorder="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Border="1" applyAlignment="1">
      <alignment horizontal="center" vertical="center"/>
    </xf>
    <xf numFmtId="0" fontId="13"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cellXfs>
  <cellStyles count="1">
    <cellStyle name="Standard" xfId="0" builtinId="0"/>
  </cellStyles>
  <dxfs count="34">
    <dxf>
      <font>
        <b/>
        <i val="0"/>
        <condense val="0"/>
        <extend val="0"/>
        <color indexed="10"/>
      </font>
    </dxf>
    <dxf>
      <font>
        <condense val="0"/>
        <extend val="0"/>
        <color indexed="10"/>
      </font>
    </dxf>
    <dxf>
      <font>
        <b val="0"/>
        <i val="0"/>
        <condense val="0"/>
        <extend val="0"/>
        <color indexed="10"/>
      </font>
    </dxf>
    <dxf>
      <fill>
        <patternFill patternType="lightGray"/>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41639</c:v>
                </c:pt>
                <c:pt idx="1">
                  <c:v>41640</c:v>
                </c:pt>
                <c:pt idx="2">
                  <c:v>41641</c:v>
                </c:pt>
                <c:pt idx="3">
                  <c:v>41642</c:v>
                </c:pt>
                <c:pt idx="4">
                  <c:v>41643</c:v>
                </c:pt>
                <c:pt idx="5">
                  <c:v>41644</c:v>
                </c:pt>
                <c:pt idx="6">
                  <c:v>41645</c:v>
                </c:pt>
                <c:pt idx="7">
                  <c:v>41646</c:v>
                </c:pt>
                <c:pt idx="8">
                  <c:v>41647</c:v>
                </c:pt>
                <c:pt idx="9">
                  <c:v>41648</c:v>
                </c:pt>
                <c:pt idx="10">
                  <c:v>41649</c:v>
                </c:pt>
                <c:pt idx="11">
                  <c:v>41650</c:v>
                </c:pt>
                <c:pt idx="12">
                  <c:v>41651</c:v>
                </c:pt>
                <c:pt idx="13">
                  <c:v>41652</c:v>
                </c:pt>
                <c:pt idx="14">
                  <c:v>41653</c:v>
                </c:pt>
                <c:pt idx="15">
                  <c:v>41654</c:v>
                </c:pt>
                <c:pt idx="16">
                  <c:v>41655</c:v>
                </c:pt>
                <c:pt idx="17">
                  <c:v>41656</c:v>
                </c:pt>
                <c:pt idx="18">
                  <c:v>41657</c:v>
                </c:pt>
                <c:pt idx="19">
                  <c:v>41658</c:v>
                </c:pt>
                <c:pt idx="20">
                  <c:v>41659</c:v>
                </c:pt>
                <c:pt idx="21">
                  <c:v>41660</c:v>
                </c:pt>
                <c:pt idx="22">
                  <c:v>41661</c:v>
                </c:pt>
                <c:pt idx="23">
                  <c:v>41662</c:v>
                </c:pt>
                <c:pt idx="24">
                  <c:v>41663</c:v>
                </c:pt>
                <c:pt idx="25">
                  <c:v>41664</c:v>
                </c:pt>
                <c:pt idx="26">
                  <c:v>41665</c:v>
                </c:pt>
                <c:pt idx="27">
                  <c:v>41666</c:v>
                </c:pt>
                <c:pt idx="28">
                  <c:v>41667</c:v>
                </c:pt>
                <c:pt idx="29">
                  <c:v>41668</c:v>
                </c:pt>
                <c:pt idx="30">
                  <c:v>41669</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41639</c:v>
                </c:pt>
                <c:pt idx="1">
                  <c:v>41640</c:v>
                </c:pt>
                <c:pt idx="2">
                  <c:v>41641</c:v>
                </c:pt>
                <c:pt idx="3">
                  <c:v>41642</c:v>
                </c:pt>
                <c:pt idx="4">
                  <c:v>41643</c:v>
                </c:pt>
                <c:pt idx="5">
                  <c:v>41644</c:v>
                </c:pt>
                <c:pt idx="6">
                  <c:v>41645</c:v>
                </c:pt>
                <c:pt idx="7">
                  <c:v>41646</c:v>
                </c:pt>
                <c:pt idx="8">
                  <c:v>41647</c:v>
                </c:pt>
                <c:pt idx="9">
                  <c:v>41648</c:v>
                </c:pt>
                <c:pt idx="10">
                  <c:v>41649</c:v>
                </c:pt>
                <c:pt idx="11">
                  <c:v>41650</c:v>
                </c:pt>
                <c:pt idx="12">
                  <c:v>41651</c:v>
                </c:pt>
                <c:pt idx="13">
                  <c:v>41652</c:v>
                </c:pt>
                <c:pt idx="14">
                  <c:v>41653</c:v>
                </c:pt>
                <c:pt idx="15">
                  <c:v>41654</c:v>
                </c:pt>
                <c:pt idx="16">
                  <c:v>41655</c:v>
                </c:pt>
                <c:pt idx="17">
                  <c:v>41656</c:v>
                </c:pt>
                <c:pt idx="18">
                  <c:v>41657</c:v>
                </c:pt>
                <c:pt idx="19">
                  <c:v>41658</c:v>
                </c:pt>
                <c:pt idx="20">
                  <c:v>41659</c:v>
                </c:pt>
                <c:pt idx="21">
                  <c:v>41660</c:v>
                </c:pt>
                <c:pt idx="22">
                  <c:v>41661</c:v>
                </c:pt>
                <c:pt idx="23">
                  <c:v>41662</c:v>
                </c:pt>
                <c:pt idx="24">
                  <c:v>41663</c:v>
                </c:pt>
                <c:pt idx="25">
                  <c:v>41664</c:v>
                </c:pt>
                <c:pt idx="26">
                  <c:v>41665</c:v>
                </c:pt>
                <c:pt idx="27">
                  <c:v>41666</c:v>
                </c:pt>
                <c:pt idx="28">
                  <c:v>41667</c:v>
                </c:pt>
                <c:pt idx="29">
                  <c:v>41668</c:v>
                </c:pt>
                <c:pt idx="30">
                  <c:v>41669</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41639</c:v>
                </c:pt>
                <c:pt idx="1">
                  <c:v>41640</c:v>
                </c:pt>
                <c:pt idx="2">
                  <c:v>41641</c:v>
                </c:pt>
                <c:pt idx="3">
                  <c:v>41642</c:v>
                </c:pt>
                <c:pt idx="4">
                  <c:v>41643</c:v>
                </c:pt>
                <c:pt idx="5">
                  <c:v>41644</c:v>
                </c:pt>
                <c:pt idx="6">
                  <c:v>41645</c:v>
                </c:pt>
                <c:pt idx="7">
                  <c:v>41646</c:v>
                </c:pt>
                <c:pt idx="8">
                  <c:v>41647</c:v>
                </c:pt>
                <c:pt idx="9">
                  <c:v>41648</c:v>
                </c:pt>
                <c:pt idx="10">
                  <c:v>41649</c:v>
                </c:pt>
                <c:pt idx="11">
                  <c:v>41650</c:v>
                </c:pt>
                <c:pt idx="12">
                  <c:v>41651</c:v>
                </c:pt>
                <c:pt idx="13">
                  <c:v>41652</c:v>
                </c:pt>
                <c:pt idx="14">
                  <c:v>41653</c:v>
                </c:pt>
                <c:pt idx="15">
                  <c:v>41654</c:v>
                </c:pt>
                <c:pt idx="16">
                  <c:v>41655</c:v>
                </c:pt>
                <c:pt idx="17">
                  <c:v>41656</c:v>
                </c:pt>
                <c:pt idx="18">
                  <c:v>41657</c:v>
                </c:pt>
                <c:pt idx="19">
                  <c:v>41658</c:v>
                </c:pt>
                <c:pt idx="20">
                  <c:v>41659</c:v>
                </c:pt>
                <c:pt idx="21">
                  <c:v>41660</c:v>
                </c:pt>
                <c:pt idx="22">
                  <c:v>41661</c:v>
                </c:pt>
                <c:pt idx="23">
                  <c:v>41662</c:v>
                </c:pt>
                <c:pt idx="24">
                  <c:v>41663</c:v>
                </c:pt>
                <c:pt idx="25">
                  <c:v>41664</c:v>
                </c:pt>
                <c:pt idx="26">
                  <c:v>41665</c:v>
                </c:pt>
                <c:pt idx="27">
                  <c:v>41666</c:v>
                </c:pt>
                <c:pt idx="28">
                  <c:v>41667</c:v>
                </c:pt>
                <c:pt idx="29">
                  <c:v>41668</c:v>
                </c:pt>
                <c:pt idx="30">
                  <c:v>41669</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41639</c:v>
                </c:pt>
                <c:pt idx="1">
                  <c:v>41640</c:v>
                </c:pt>
                <c:pt idx="2">
                  <c:v>41641</c:v>
                </c:pt>
                <c:pt idx="3">
                  <c:v>41642</c:v>
                </c:pt>
                <c:pt idx="4">
                  <c:v>41643</c:v>
                </c:pt>
                <c:pt idx="5">
                  <c:v>41644</c:v>
                </c:pt>
                <c:pt idx="6">
                  <c:v>41645</c:v>
                </c:pt>
                <c:pt idx="7">
                  <c:v>41646</c:v>
                </c:pt>
                <c:pt idx="8">
                  <c:v>41647</c:v>
                </c:pt>
                <c:pt idx="9">
                  <c:v>41648</c:v>
                </c:pt>
                <c:pt idx="10">
                  <c:v>41649</c:v>
                </c:pt>
                <c:pt idx="11">
                  <c:v>41650</c:v>
                </c:pt>
                <c:pt idx="12">
                  <c:v>41651</c:v>
                </c:pt>
                <c:pt idx="13">
                  <c:v>41652</c:v>
                </c:pt>
                <c:pt idx="14">
                  <c:v>41653</c:v>
                </c:pt>
                <c:pt idx="15">
                  <c:v>41654</c:v>
                </c:pt>
                <c:pt idx="16">
                  <c:v>41655</c:v>
                </c:pt>
                <c:pt idx="17">
                  <c:v>41656</c:v>
                </c:pt>
                <c:pt idx="18">
                  <c:v>41657</c:v>
                </c:pt>
                <c:pt idx="19">
                  <c:v>41658</c:v>
                </c:pt>
                <c:pt idx="20">
                  <c:v>41659</c:v>
                </c:pt>
                <c:pt idx="21">
                  <c:v>41660</c:v>
                </c:pt>
                <c:pt idx="22">
                  <c:v>41661</c:v>
                </c:pt>
                <c:pt idx="23">
                  <c:v>41662</c:v>
                </c:pt>
                <c:pt idx="24">
                  <c:v>41663</c:v>
                </c:pt>
                <c:pt idx="25">
                  <c:v>41664</c:v>
                </c:pt>
                <c:pt idx="26">
                  <c:v>41665</c:v>
                </c:pt>
                <c:pt idx="27">
                  <c:v>41666</c:v>
                </c:pt>
                <c:pt idx="28">
                  <c:v>41667</c:v>
                </c:pt>
                <c:pt idx="29">
                  <c:v>41668</c:v>
                </c:pt>
                <c:pt idx="30">
                  <c:v>41669</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wMode val="edge"/>
          <c:hMode val="edge"/>
          <c:x val="0.33131618759455372"/>
          <c:y val="0.91193181818181823"/>
          <c:w val="0.66414523449319218"/>
          <c:h val="0.98011363636363646"/>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18-Jan</c:v>
                </c:pt>
                <c:pt idx="1">
                  <c:v>18-Jan</c:v>
                </c:pt>
                <c:pt idx="2">
                  <c:v>18-Jan</c:v>
                </c:pt>
                <c:pt idx="3">
                  <c:v>18-Jan</c:v>
                </c:pt>
                <c:pt idx="4">
                  <c:v>18-Jan</c:v>
                </c:pt>
                <c:pt idx="5">
                  <c:v>18-Jan</c:v>
                </c:pt>
                <c:pt idx="6">
                  <c:v>18-Jan</c:v>
                </c:pt>
                <c:pt idx="7">
                  <c:v>18-Jan</c:v>
                </c:pt>
                <c:pt idx="8">
                  <c:v>18-Jan</c:v>
                </c:pt>
                <c:pt idx="9">
                  <c:v>18-Jan</c:v>
                </c:pt>
                <c:pt idx="10">
                  <c:v>18-Jan</c:v>
                </c:pt>
                <c:pt idx="11">
                  <c:v>18-Jan</c:v>
                </c:pt>
                <c:pt idx="12">
                  <c:v>18-Jan</c:v>
                </c:pt>
                <c:pt idx="13">
                  <c:v>18-Jan</c:v>
                </c:pt>
                <c:pt idx="14">
                  <c:v>18-Jan</c:v>
                </c:pt>
                <c:pt idx="15">
                  <c:v>18-Jan</c:v>
                </c:pt>
                <c:pt idx="16">
                  <c:v>18-Jan</c:v>
                </c:pt>
                <c:pt idx="17">
                  <c:v>18-Jan</c:v>
                </c:pt>
                <c:pt idx="18">
                  <c:v>18-Jan</c:v>
                </c:pt>
                <c:pt idx="19">
                  <c:v>18-Jan</c:v>
                </c:pt>
                <c:pt idx="20">
                  <c:v>18-Jan</c:v>
                </c:pt>
                <c:pt idx="21">
                  <c:v>18-Jan</c:v>
                </c:pt>
                <c:pt idx="22">
                  <c:v>18-Jan</c:v>
                </c:pt>
                <c:pt idx="23">
                  <c:v>18-Jan</c:v>
                </c:pt>
                <c:pt idx="24">
                  <c:v>18-Jan</c:v>
                </c:pt>
                <c:pt idx="25">
                  <c:v>18-Jan</c:v>
                </c:pt>
                <c:pt idx="26">
                  <c:v>18-Jan</c:v>
                </c:pt>
                <c:pt idx="27">
                  <c:v>18-Jan</c:v>
                </c:pt>
                <c:pt idx="28">
                  <c:v>18-Jan</c:v>
                </c:pt>
                <c:pt idx="29">
                  <c:v>18-Jan</c:v>
                </c:pt>
                <c:pt idx="30">
                  <c:v>18-Jan</c:v>
                </c:pt>
                <c:pt idx="31">
                  <c:v>18-Feb</c:v>
                </c:pt>
                <c:pt idx="32">
                  <c:v>18-Feb</c:v>
                </c:pt>
                <c:pt idx="33">
                  <c:v>18-Feb</c:v>
                </c:pt>
                <c:pt idx="34">
                  <c:v>18-Feb</c:v>
                </c:pt>
                <c:pt idx="35">
                  <c:v>18-Feb</c:v>
                </c:pt>
                <c:pt idx="36">
                  <c:v>18-Feb</c:v>
                </c:pt>
                <c:pt idx="37">
                  <c:v>18-Feb</c:v>
                </c:pt>
                <c:pt idx="38">
                  <c:v>18-Feb</c:v>
                </c:pt>
                <c:pt idx="39">
                  <c:v>18-Feb</c:v>
                </c:pt>
                <c:pt idx="40">
                  <c:v>18-Feb</c:v>
                </c:pt>
                <c:pt idx="41">
                  <c:v>18-Feb</c:v>
                </c:pt>
                <c:pt idx="42">
                  <c:v>18-Feb</c:v>
                </c:pt>
                <c:pt idx="43">
                  <c:v>18-Feb</c:v>
                </c:pt>
                <c:pt idx="44">
                  <c:v>18-Feb</c:v>
                </c:pt>
                <c:pt idx="45">
                  <c:v>18-Feb</c:v>
                </c:pt>
                <c:pt idx="46">
                  <c:v>18-Feb</c:v>
                </c:pt>
                <c:pt idx="47">
                  <c:v>18-Feb</c:v>
                </c:pt>
                <c:pt idx="48">
                  <c:v>18-Feb</c:v>
                </c:pt>
                <c:pt idx="49">
                  <c:v>18-Feb</c:v>
                </c:pt>
                <c:pt idx="50">
                  <c:v>18-Feb</c:v>
                </c:pt>
                <c:pt idx="51">
                  <c:v>18-Feb</c:v>
                </c:pt>
                <c:pt idx="52">
                  <c:v>18-Feb</c:v>
                </c:pt>
                <c:pt idx="53">
                  <c:v>18-Feb</c:v>
                </c:pt>
                <c:pt idx="54">
                  <c:v>18-Feb</c:v>
                </c:pt>
                <c:pt idx="55">
                  <c:v>18-Feb</c:v>
                </c:pt>
                <c:pt idx="56">
                  <c:v>18-Feb</c:v>
                </c:pt>
                <c:pt idx="57">
                  <c:v>18-Feb</c:v>
                </c:pt>
                <c:pt idx="58">
                  <c:v>18-Feb</c:v>
                </c:pt>
                <c:pt idx="59">
                  <c:v>18-Mrz</c:v>
                </c:pt>
                <c:pt idx="60">
                  <c:v>18-Mrz</c:v>
                </c:pt>
                <c:pt idx="61">
                  <c:v>18-Mrz</c:v>
                </c:pt>
                <c:pt idx="62">
                  <c:v>18-Mrz</c:v>
                </c:pt>
                <c:pt idx="63">
                  <c:v>18-Mrz</c:v>
                </c:pt>
                <c:pt idx="64">
                  <c:v>18-Mrz</c:v>
                </c:pt>
                <c:pt idx="65">
                  <c:v>18-Mrz</c:v>
                </c:pt>
                <c:pt idx="66">
                  <c:v>18-Mrz</c:v>
                </c:pt>
                <c:pt idx="67">
                  <c:v>18-Mrz</c:v>
                </c:pt>
                <c:pt idx="68">
                  <c:v>18-Mrz</c:v>
                </c:pt>
                <c:pt idx="69">
                  <c:v>18-Mrz</c:v>
                </c:pt>
                <c:pt idx="70">
                  <c:v>18-Mrz</c:v>
                </c:pt>
                <c:pt idx="71">
                  <c:v>18-Mrz</c:v>
                </c:pt>
                <c:pt idx="72">
                  <c:v>18-Mrz</c:v>
                </c:pt>
                <c:pt idx="73">
                  <c:v>18-Mrz</c:v>
                </c:pt>
                <c:pt idx="74">
                  <c:v>18-Mrz</c:v>
                </c:pt>
                <c:pt idx="75">
                  <c:v>18-Mrz</c:v>
                </c:pt>
                <c:pt idx="76">
                  <c:v>18-Mrz</c:v>
                </c:pt>
                <c:pt idx="77">
                  <c:v>18-Mrz</c:v>
                </c:pt>
                <c:pt idx="78">
                  <c:v>18-Mrz</c:v>
                </c:pt>
                <c:pt idx="79">
                  <c:v>18-Mrz</c:v>
                </c:pt>
                <c:pt idx="80">
                  <c:v>18-Mrz</c:v>
                </c:pt>
                <c:pt idx="81">
                  <c:v>18-Mrz</c:v>
                </c:pt>
                <c:pt idx="82">
                  <c:v>18-Mrz</c:v>
                </c:pt>
                <c:pt idx="83">
                  <c:v>18-Mrz</c:v>
                </c:pt>
                <c:pt idx="84">
                  <c:v>18-Mrz</c:v>
                </c:pt>
                <c:pt idx="85">
                  <c:v>18-Mrz</c:v>
                </c:pt>
                <c:pt idx="86">
                  <c:v>18-Mrz</c:v>
                </c:pt>
                <c:pt idx="87">
                  <c:v>18-Mrz</c:v>
                </c:pt>
                <c:pt idx="88">
                  <c:v>18-Mrz</c:v>
                </c:pt>
                <c:pt idx="89">
                  <c:v>18-Mrz</c:v>
                </c:pt>
                <c:pt idx="90">
                  <c:v>18-Apr</c:v>
                </c:pt>
                <c:pt idx="91">
                  <c:v>18-Apr</c:v>
                </c:pt>
                <c:pt idx="92">
                  <c:v>18-Apr</c:v>
                </c:pt>
                <c:pt idx="93">
                  <c:v>18-Apr</c:v>
                </c:pt>
                <c:pt idx="94">
                  <c:v>18-Apr</c:v>
                </c:pt>
                <c:pt idx="95">
                  <c:v>18-Apr</c:v>
                </c:pt>
                <c:pt idx="96">
                  <c:v>18-Apr</c:v>
                </c:pt>
                <c:pt idx="97">
                  <c:v>18-Apr</c:v>
                </c:pt>
                <c:pt idx="98">
                  <c:v>18-Apr</c:v>
                </c:pt>
                <c:pt idx="99">
                  <c:v>18-Apr</c:v>
                </c:pt>
                <c:pt idx="100">
                  <c:v>18-Apr</c:v>
                </c:pt>
                <c:pt idx="101">
                  <c:v>18-Apr</c:v>
                </c:pt>
                <c:pt idx="102">
                  <c:v>18-Apr</c:v>
                </c:pt>
                <c:pt idx="103">
                  <c:v>18-Apr</c:v>
                </c:pt>
                <c:pt idx="104">
                  <c:v>18-Apr</c:v>
                </c:pt>
                <c:pt idx="105">
                  <c:v>18-Apr</c:v>
                </c:pt>
                <c:pt idx="106">
                  <c:v>18-Apr</c:v>
                </c:pt>
                <c:pt idx="107">
                  <c:v>18-Apr</c:v>
                </c:pt>
                <c:pt idx="108">
                  <c:v>18-Apr</c:v>
                </c:pt>
                <c:pt idx="109">
                  <c:v>18-Apr</c:v>
                </c:pt>
                <c:pt idx="110">
                  <c:v>18-Apr</c:v>
                </c:pt>
                <c:pt idx="111">
                  <c:v>18-Apr</c:v>
                </c:pt>
                <c:pt idx="112">
                  <c:v>18-Apr</c:v>
                </c:pt>
                <c:pt idx="113">
                  <c:v>18-Apr</c:v>
                </c:pt>
                <c:pt idx="114">
                  <c:v>18-Apr</c:v>
                </c:pt>
                <c:pt idx="115">
                  <c:v>18-Apr</c:v>
                </c:pt>
                <c:pt idx="116">
                  <c:v>18-Apr</c:v>
                </c:pt>
                <c:pt idx="117">
                  <c:v>18-Apr</c:v>
                </c:pt>
                <c:pt idx="118">
                  <c:v>18-Apr</c:v>
                </c:pt>
                <c:pt idx="119">
                  <c:v>18-Apr</c:v>
                </c:pt>
                <c:pt idx="120">
                  <c:v>18-Mai</c:v>
                </c:pt>
                <c:pt idx="121">
                  <c:v>18-Mai</c:v>
                </c:pt>
                <c:pt idx="122">
                  <c:v>18-Mai</c:v>
                </c:pt>
                <c:pt idx="123">
                  <c:v>18-Mai</c:v>
                </c:pt>
                <c:pt idx="124">
                  <c:v>18-Mai</c:v>
                </c:pt>
                <c:pt idx="125">
                  <c:v>18-Mai</c:v>
                </c:pt>
                <c:pt idx="126">
                  <c:v>18-Mai</c:v>
                </c:pt>
                <c:pt idx="127">
                  <c:v>18-Mai</c:v>
                </c:pt>
                <c:pt idx="128">
                  <c:v>18-Mai</c:v>
                </c:pt>
                <c:pt idx="129">
                  <c:v>18-Mai</c:v>
                </c:pt>
                <c:pt idx="130">
                  <c:v>18-Mai</c:v>
                </c:pt>
                <c:pt idx="131">
                  <c:v>18-Mai</c:v>
                </c:pt>
                <c:pt idx="132">
                  <c:v>18-Mai</c:v>
                </c:pt>
                <c:pt idx="133">
                  <c:v>18-Mai</c:v>
                </c:pt>
                <c:pt idx="134">
                  <c:v>18-Mai</c:v>
                </c:pt>
                <c:pt idx="135">
                  <c:v>18-Mai</c:v>
                </c:pt>
                <c:pt idx="136">
                  <c:v>18-Mai</c:v>
                </c:pt>
                <c:pt idx="137">
                  <c:v>18-Mai</c:v>
                </c:pt>
                <c:pt idx="138">
                  <c:v>18-Mai</c:v>
                </c:pt>
                <c:pt idx="139">
                  <c:v>18-Mai</c:v>
                </c:pt>
                <c:pt idx="140">
                  <c:v>18-Mai</c:v>
                </c:pt>
                <c:pt idx="141">
                  <c:v>18-Mai</c:v>
                </c:pt>
                <c:pt idx="142">
                  <c:v>18-Mai</c:v>
                </c:pt>
                <c:pt idx="143">
                  <c:v>18-Mai</c:v>
                </c:pt>
                <c:pt idx="144">
                  <c:v>18-Mai</c:v>
                </c:pt>
                <c:pt idx="145">
                  <c:v>18-Mai</c:v>
                </c:pt>
                <c:pt idx="146">
                  <c:v>18-Mai</c:v>
                </c:pt>
                <c:pt idx="147">
                  <c:v>18-Mai</c:v>
                </c:pt>
                <c:pt idx="148">
                  <c:v>18-Mai</c:v>
                </c:pt>
                <c:pt idx="149">
                  <c:v>18-Mai</c:v>
                </c:pt>
                <c:pt idx="150">
                  <c:v>18-Mai</c:v>
                </c:pt>
                <c:pt idx="151">
                  <c:v>18-Jun</c:v>
                </c:pt>
                <c:pt idx="152">
                  <c:v>18-Jun</c:v>
                </c:pt>
                <c:pt idx="153">
                  <c:v>18-Jun</c:v>
                </c:pt>
                <c:pt idx="154">
                  <c:v>18-Jun</c:v>
                </c:pt>
                <c:pt idx="155">
                  <c:v>18-Jun</c:v>
                </c:pt>
                <c:pt idx="156">
                  <c:v>18-Jun</c:v>
                </c:pt>
                <c:pt idx="157">
                  <c:v>18-Jun</c:v>
                </c:pt>
                <c:pt idx="158">
                  <c:v>18-Jun</c:v>
                </c:pt>
                <c:pt idx="159">
                  <c:v>18-Jun</c:v>
                </c:pt>
                <c:pt idx="160">
                  <c:v>18-Jun</c:v>
                </c:pt>
                <c:pt idx="161">
                  <c:v>18-Jun</c:v>
                </c:pt>
                <c:pt idx="162">
                  <c:v>18-Jun</c:v>
                </c:pt>
                <c:pt idx="163">
                  <c:v>18-Jun</c:v>
                </c:pt>
                <c:pt idx="164">
                  <c:v>18-Jun</c:v>
                </c:pt>
                <c:pt idx="165">
                  <c:v>18-Jun</c:v>
                </c:pt>
                <c:pt idx="166">
                  <c:v>18-Jun</c:v>
                </c:pt>
                <c:pt idx="167">
                  <c:v>18-Jun</c:v>
                </c:pt>
                <c:pt idx="168">
                  <c:v>18-Jun</c:v>
                </c:pt>
                <c:pt idx="169">
                  <c:v>18-Jun</c:v>
                </c:pt>
                <c:pt idx="170">
                  <c:v>18-Jun</c:v>
                </c:pt>
                <c:pt idx="171">
                  <c:v>18-Jun</c:v>
                </c:pt>
                <c:pt idx="172">
                  <c:v>18-Jun</c:v>
                </c:pt>
                <c:pt idx="173">
                  <c:v>18-Jun</c:v>
                </c:pt>
                <c:pt idx="174">
                  <c:v>18-Jun</c:v>
                </c:pt>
                <c:pt idx="175">
                  <c:v>18-Jun</c:v>
                </c:pt>
                <c:pt idx="176">
                  <c:v>18-Jun</c:v>
                </c:pt>
                <c:pt idx="177">
                  <c:v>18-Jun</c:v>
                </c:pt>
                <c:pt idx="178">
                  <c:v>18-Jun</c:v>
                </c:pt>
                <c:pt idx="179">
                  <c:v>18-Jun</c:v>
                </c:pt>
                <c:pt idx="180">
                  <c:v>18-Jun</c:v>
                </c:pt>
                <c:pt idx="181">
                  <c:v>18-Jul</c:v>
                </c:pt>
                <c:pt idx="182">
                  <c:v>18-Jul</c:v>
                </c:pt>
                <c:pt idx="183">
                  <c:v>18-Jul</c:v>
                </c:pt>
                <c:pt idx="184">
                  <c:v>18-Jul</c:v>
                </c:pt>
                <c:pt idx="185">
                  <c:v>18-Jul</c:v>
                </c:pt>
                <c:pt idx="186">
                  <c:v>18-Jul</c:v>
                </c:pt>
                <c:pt idx="187">
                  <c:v>18-Jul</c:v>
                </c:pt>
                <c:pt idx="188">
                  <c:v>18-Jul</c:v>
                </c:pt>
                <c:pt idx="189">
                  <c:v>18-Jul</c:v>
                </c:pt>
                <c:pt idx="190">
                  <c:v>18-Jul</c:v>
                </c:pt>
                <c:pt idx="191">
                  <c:v>18-Jul</c:v>
                </c:pt>
                <c:pt idx="192">
                  <c:v>18-Jul</c:v>
                </c:pt>
                <c:pt idx="193">
                  <c:v>18-Jul</c:v>
                </c:pt>
                <c:pt idx="194">
                  <c:v>18-Jul</c:v>
                </c:pt>
                <c:pt idx="195">
                  <c:v>18-Jul</c:v>
                </c:pt>
                <c:pt idx="196">
                  <c:v>18-Jul</c:v>
                </c:pt>
                <c:pt idx="197">
                  <c:v>18-Jul</c:v>
                </c:pt>
                <c:pt idx="198">
                  <c:v>18-Jul</c:v>
                </c:pt>
                <c:pt idx="199">
                  <c:v>18-Jul</c:v>
                </c:pt>
                <c:pt idx="200">
                  <c:v>18-Jul</c:v>
                </c:pt>
                <c:pt idx="201">
                  <c:v>18-Jul</c:v>
                </c:pt>
                <c:pt idx="202">
                  <c:v>18-Jul</c:v>
                </c:pt>
                <c:pt idx="203">
                  <c:v>18-Jul</c:v>
                </c:pt>
                <c:pt idx="204">
                  <c:v>18-Jul</c:v>
                </c:pt>
                <c:pt idx="205">
                  <c:v>18-Jul</c:v>
                </c:pt>
                <c:pt idx="206">
                  <c:v>18-Jul</c:v>
                </c:pt>
                <c:pt idx="207">
                  <c:v>18-Jul</c:v>
                </c:pt>
                <c:pt idx="208">
                  <c:v>18-Jul</c:v>
                </c:pt>
                <c:pt idx="209">
                  <c:v>18-Jul</c:v>
                </c:pt>
                <c:pt idx="210">
                  <c:v>18-Jul</c:v>
                </c:pt>
                <c:pt idx="211">
                  <c:v>18-Jul</c:v>
                </c:pt>
                <c:pt idx="212">
                  <c:v>18-Aug</c:v>
                </c:pt>
                <c:pt idx="213">
                  <c:v>18-Aug</c:v>
                </c:pt>
                <c:pt idx="214">
                  <c:v>18-Aug</c:v>
                </c:pt>
                <c:pt idx="215">
                  <c:v>18-Aug</c:v>
                </c:pt>
                <c:pt idx="216">
                  <c:v>18-Aug</c:v>
                </c:pt>
                <c:pt idx="217">
                  <c:v>18-Aug</c:v>
                </c:pt>
                <c:pt idx="218">
                  <c:v>18-Aug</c:v>
                </c:pt>
                <c:pt idx="219">
                  <c:v>18-Aug</c:v>
                </c:pt>
                <c:pt idx="220">
                  <c:v>18-Aug</c:v>
                </c:pt>
                <c:pt idx="221">
                  <c:v>18-Aug</c:v>
                </c:pt>
                <c:pt idx="222">
                  <c:v>18-Aug</c:v>
                </c:pt>
                <c:pt idx="223">
                  <c:v>18-Aug</c:v>
                </c:pt>
                <c:pt idx="224">
                  <c:v>18-Aug</c:v>
                </c:pt>
                <c:pt idx="225">
                  <c:v>18-Aug</c:v>
                </c:pt>
                <c:pt idx="226">
                  <c:v>18-Aug</c:v>
                </c:pt>
                <c:pt idx="227">
                  <c:v>18-Aug</c:v>
                </c:pt>
                <c:pt idx="228">
                  <c:v>18-Aug</c:v>
                </c:pt>
                <c:pt idx="229">
                  <c:v>18-Aug</c:v>
                </c:pt>
                <c:pt idx="230">
                  <c:v>18-Aug</c:v>
                </c:pt>
                <c:pt idx="231">
                  <c:v>18-Aug</c:v>
                </c:pt>
                <c:pt idx="232">
                  <c:v>18-Aug</c:v>
                </c:pt>
                <c:pt idx="233">
                  <c:v>18-Aug</c:v>
                </c:pt>
                <c:pt idx="234">
                  <c:v>18-Aug</c:v>
                </c:pt>
                <c:pt idx="235">
                  <c:v>18-Aug</c:v>
                </c:pt>
                <c:pt idx="236">
                  <c:v>18-Aug</c:v>
                </c:pt>
                <c:pt idx="237">
                  <c:v>18-Aug</c:v>
                </c:pt>
                <c:pt idx="238">
                  <c:v>18-Aug</c:v>
                </c:pt>
                <c:pt idx="239">
                  <c:v>18-Aug</c:v>
                </c:pt>
                <c:pt idx="240">
                  <c:v>18-Aug</c:v>
                </c:pt>
                <c:pt idx="241">
                  <c:v>18-Aug</c:v>
                </c:pt>
                <c:pt idx="242">
                  <c:v>18-Aug</c:v>
                </c:pt>
                <c:pt idx="243">
                  <c:v>18-Sep</c:v>
                </c:pt>
                <c:pt idx="244">
                  <c:v>18-Sep</c:v>
                </c:pt>
                <c:pt idx="245">
                  <c:v>18-Sep</c:v>
                </c:pt>
                <c:pt idx="246">
                  <c:v>18-Sep</c:v>
                </c:pt>
                <c:pt idx="247">
                  <c:v>18-Sep</c:v>
                </c:pt>
                <c:pt idx="248">
                  <c:v>18-Sep</c:v>
                </c:pt>
                <c:pt idx="249">
                  <c:v>18-Sep</c:v>
                </c:pt>
                <c:pt idx="250">
                  <c:v>18-Sep</c:v>
                </c:pt>
                <c:pt idx="251">
                  <c:v>18-Sep</c:v>
                </c:pt>
                <c:pt idx="252">
                  <c:v>18-Sep</c:v>
                </c:pt>
                <c:pt idx="253">
                  <c:v>18-Sep</c:v>
                </c:pt>
                <c:pt idx="254">
                  <c:v>18-Sep</c:v>
                </c:pt>
                <c:pt idx="255">
                  <c:v>18-Sep</c:v>
                </c:pt>
                <c:pt idx="256">
                  <c:v>18-Sep</c:v>
                </c:pt>
                <c:pt idx="257">
                  <c:v>18-Sep</c:v>
                </c:pt>
                <c:pt idx="258">
                  <c:v>18-Sep</c:v>
                </c:pt>
                <c:pt idx="259">
                  <c:v>18-Sep</c:v>
                </c:pt>
                <c:pt idx="260">
                  <c:v>18-Sep</c:v>
                </c:pt>
                <c:pt idx="261">
                  <c:v>18-Sep</c:v>
                </c:pt>
                <c:pt idx="262">
                  <c:v>18-Sep</c:v>
                </c:pt>
                <c:pt idx="263">
                  <c:v>18-Sep</c:v>
                </c:pt>
                <c:pt idx="264">
                  <c:v>18-Sep</c:v>
                </c:pt>
                <c:pt idx="265">
                  <c:v>18-Sep</c:v>
                </c:pt>
                <c:pt idx="266">
                  <c:v>18-Sep</c:v>
                </c:pt>
                <c:pt idx="267">
                  <c:v>18-Sep</c:v>
                </c:pt>
                <c:pt idx="268">
                  <c:v>18-Sep</c:v>
                </c:pt>
                <c:pt idx="269">
                  <c:v>18-Sep</c:v>
                </c:pt>
                <c:pt idx="270">
                  <c:v>18-Sep</c:v>
                </c:pt>
                <c:pt idx="271">
                  <c:v>18-Sep</c:v>
                </c:pt>
                <c:pt idx="272">
                  <c:v>18-Sep</c:v>
                </c:pt>
                <c:pt idx="273">
                  <c:v>18-Okt</c:v>
                </c:pt>
                <c:pt idx="274">
                  <c:v>18-Okt</c:v>
                </c:pt>
                <c:pt idx="275">
                  <c:v>18-Okt</c:v>
                </c:pt>
                <c:pt idx="276">
                  <c:v>18-Okt</c:v>
                </c:pt>
                <c:pt idx="277">
                  <c:v>18-Okt</c:v>
                </c:pt>
                <c:pt idx="278">
                  <c:v>18-Okt</c:v>
                </c:pt>
                <c:pt idx="279">
                  <c:v>18-Okt</c:v>
                </c:pt>
                <c:pt idx="280">
                  <c:v>18-Okt</c:v>
                </c:pt>
                <c:pt idx="281">
                  <c:v>18-Okt</c:v>
                </c:pt>
                <c:pt idx="282">
                  <c:v>18-Okt</c:v>
                </c:pt>
                <c:pt idx="283">
                  <c:v>18-Okt</c:v>
                </c:pt>
                <c:pt idx="284">
                  <c:v>18-Okt</c:v>
                </c:pt>
                <c:pt idx="285">
                  <c:v>18-Okt</c:v>
                </c:pt>
                <c:pt idx="286">
                  <c:v>18-Okt</c:v>
                </c:pt>
                <c:pt idx="287">
                  <c:v>18-Okt</c:v>
                </c:pt>
                <c:pt idx="288">
                  <c:v>18-Okt</c:v>
                </c:pt>
                <c:pt idx="289">
                  <c:v>18-Okt</c:v>
                </c:pt>
                <c:pt idx="290">
                  <c:v>18-Okt</c:v>
                </c:pt>
                <c:pt idx="291">
                  <c:v>18-Okt</c:v>
                </c:pt>
                <c:pt idx="292">
                  <c:v>18-Okt</c:v>
                </c:pt>
                <c:pt idx="293">
                  <c:v>18-Okt</c:v>
                </c:pt>
                <c:pt idx="294">
                  <c:v>18-Okt</c:v>
                </c:pt>
                <c:pt idx="295">
                  <c:v>18-Okt</c:v>
                </c:pt>
                <c:pt idx="296">
                  <c:v>18-Okt</c:v>
                </c:pt>
                <c:pt idx="297">
                  <c:v>18-Okt</c:v>
                </c:pt>
                <c:pt idx="298">
                  <c:v>18-Okt</c:v>
                </c:pt>
                <c:pt idx="299">
                  <c:v>18-Okt</c:v>
                </c:pt>
                <c:pt idx="300">
                  <c:v>18-Okt</c:v>
                </c:pt>
                <c:pt idx="301">
                  <c:v>18-Okt</c:v>
                </c:pt>
                <c:pt idx="302">
                  <c:v>18-Okt</c:v>
                </c:pt>
                <c:pt idx="303">
                  <c:v>18-Okt</c:v>
                </c:pt>
                <c:pt idx="304">
                  <c:v>18-Nov</c:v>
                </c:pt>
                <c:pt idx="305">
                  <c:v>18-Nov</c:v>
                </c:pt>
                <c:pt idx="306">
                  <c:v>18-Nov</c:v>
                </c:pt>
                <c:pt idx="307">
                  <c:v>18-Nov</c:v>
                </c:pt>
                <c:pt idx="308">
                  <c:v>18-Nov</c:v>
                </c:pt>
                <c:pt idx="309">
                  <c:v>18-Nov</c:v>
                </c:pt>
                <c:pt idx="310">
                  <c:v>18-Nov</c:v>
                </c:pt>
                <c:pt idx="311">
                  <c:v>18-Nov</c:v>
                </c:pt>
                <c:pt idx="312">
                  <c:v>18-Nov</c:v>
                </c:pt>
                <c:pt idx="313">
                  <c:v>18-Nov</c:v>
                </c:pt>
                <c:pt idx="314">
                  <c:v>18-Nov</c:v>
                </c:pt>
                <c:pt idx="315">
                  <c:v>18-Nov</c:v>
                </c:pt>
                <c:pt idx="316">
                  <c:v>18-Nov</c:v>
                </c:pt>
                <c:pt idx="317">
                  <c:v>18-Nov</c:v>
                </c:pt>
                <c:pt idx="318">
                  <c:v>18-Nov</c:v>
                </c:pt>
                <c:pt idx="319">
                  <c:v>18-Nov</c:v>
                </c:pt>
                <c:pt idx="320">
                  <c:v>18-Nov</c:v>
                </c:pt>
                <c:pt idx="321">
                  <c:v>18-Nov</c:v>
                </c:pt>
                <c:pt idx="322">
                  <c:v>18-Nov</c:v>
                </c:pt>
                <c:pt idx="323">
                  <c:v>18-Nov</c:v>
                </c:pt>
                <c:pt idx="324">
                  <c:v>18-Nov</c:v>
                </c:pt>
                <c:pt idx="325">
                  <c:v>18-Nov</c:v>
                </c:pt>
                <c:pt idx="326">
                  <c:v>18-Nov</c:v>
                </c:pt>
                <c:pt idx="327">
                  <c:v>18-Nov</c:v>
                </c:pt>
                <c:pt idx="328">
                  <c:v>18-Nov</c:v>
                </c:pt>
                <c:pt idx="329">
                  <c:v>18-Nov</c:v>
                </c:pt>
                <c:pt idx="330">
                  <c:v>18-Nov</c:v>
                </c:pt>
                <c:pt idx="331">
                  <c:v>18-Nov</c:v>
                </c:pt>
                <c:pt idx="332">
                  <c:v>18-Nov</c:v>
                </c:pt>
                <c:pt idx="333">
                  <c:v>18-Nov</c:v>
                </c:pt>
                <c:pt idx="334">
                  <c:v>18-Dez</c:v>
                </c:pt>
                <c:pt idx="335">
                  <c:v>18-Dez</c:v>
                </c:pt>
                <c:pt idx="336">
                  <c:v>18-Dez</c:v>
                </c:pt>
                <c:pt idx="337">
                  <c:v>18-Dez</c:v>
                </c:pt>
                <c:pt idx="338">
                  <c:v>18-Dez</c:v>
                </c:pt>
                <c:pt idx="339">
                  <c:v>18-Dez</c:v>
                </c:pt>
                <c:pt idx="340">
                  <c:v>18-Dez</c:v>
                </c:pt>
                <c:pt idx="341">
                  <c:v>18-Dez</c:v>
                </c:pt>
                <c:pt idx="342">
                  <c:v>18-Dez</c:v>
                </c:pt>
                <c:pt idx="343">
                  <c:v>18-Dez</c:v>
                </c:pt>
                <c:pt idx="344">
                  <c:v>18-Dez</c:v>
                </c:pt>
                <c:pt idx="345">
                  <c:v>18-Dez</c:v>
                </c:pt>
                <c:pt idx="346">
                  <c:v>18-Dez</c:v>
                </c:pt>
                <c:pt idx="347">
                  <c:v>18-Dez</c:v>
                </c:pt>
                <c:pt idx="348">
                  <c:v>18-Dez</c:v>
                </c:pt>
                <c:pt idx="349">
                  <c:v>18-Dez</c:v>
                </c:pt>
                <c:pt idx="350">
                  <c:v>18-Dez</c:v>
                </c:pt>
                <c:pt idx="351">
                  <c:v>18-Dez</c:v>
                </c:pt>
                <c:pt idx="352">
                  <c:v>18-Dez</c:v>
                </c:pt>
                <c:pt idx="353">
                  <c:v>18-Dez</c:v>
                </c:pt>
                <c:pt idx="354">
                  <c:v>18-Dez</c:v>
                </c:pt>
                <c:pt idx="355">
                  <c:v>18-Dez</c:v>
                </c:pt>
                <c:pt idx="356">
                  <c:v>18-Dez</c:v>
                </c:pt>
                <c:pt idx="357">
                  <c:v>18-Dez</c:v>
                </c:pt>
                <c:pt idx="358">
                  <c:v>18-Dez</c:v>
                </c:pt>
                <c:pt idx="359">
                  <c:v>18-Dez</c:v>
                </c:pt>
                <c:pt idx="360">
                  <c:v>18-Dez</c:v>
                </c:pt>
                <c:pt idx="361">
                  <c:v>18-Dez</c:v>
                </c:pt>
                <c:pt idx="362">
                  <c:v>18-Dez</c:v>
                </c:pt>
                <c:pt idx="363">
                  <c:v>18-Dez</c:v>
                </c:pt>
                <c:pt idx="364">
                  <c:v>18-Dez</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18-Jan</c:v>
                </c:pt>
                <c:pt idx="1">
                  <c:v>18-Jan</c:v>
                </c:pt>
                <c:pt idx="2">
                  <c:v>18-Jan</c:v>
                </c:pt>
                <c:pt idx="3">
                  <c:v>18-Jan</c:v>
                </c:pt>
                <c:pt idx="4">
                  <c:v>18-Jan</c:v>
                </c:pt>
                <c:pt idx="5">
                  <c:v>18-Jan</c:v>
                </c:pt>
                <c:pt idx="6">
                  <c:v>18-Jan</c:v>
                </c:pt>
                <c:pt idx="7">
                  <c:v>18-Jan</c:v>
                </c:pt>
                <c:pt idx="8">
                  <c:v>18-Jan</c:v>
                </c:pt>
                <c:pt idx="9">
                  <c:v>18-Jan</c:v>
                </c:pt>
                <c:pt idx="10">
                  <c:v>18-Jan</c:v>
                </c:pt>
                <c:pt idx="11">
                  <c:v>18-Jan</c:v>
                </c:pt>
                <c:pt idx="12">
                  <c:v>18-Jan</c:v>
                </c:pt>
                <c:pt idx="13">
                  <c:v>18-Jan</c:v>
                </c:pt>
                <c:pt idx="14">
                  <c:v>18-Jan</c:v>
                </c:pt>
                <c:pt idx="15">
                  <c:v>18-Jan</c:v>
                </c:pt>
                <c:pt idx="16">
                  <c:v>18-Jan</c:v>
                </c:pt>
                <c:pt idx="17">
                  <c:v>18-Jan</c:v>
                </c:pt>
                <c:pt idx="18">
                  <c:v>18-Jan</c:v>
                </c:pt>
                <c:pt idx="19">
                  <c:v>18-Jan</c:v>
                </c:pt>
                <c:pt idx="20">
                  <c:v>18-Jan</c:v>
                </c:pt>
                <c:pt idx="21">
                  <c:v>18-Jan</c:v>
                </c:pt>
                <c:pt idx="22">
                  <c:v>18-Jan</c:v>
                </c:pt>
                <c:pt idx="23">
                  <c:v>18-Jan</c:v>
                </c:pt>
                <c:pt idx="24">
                  <c:v>18-Jan</c:v>
                </c:pt>
                <c:pt idx="25">
                  <c:v>18-Jan</c:v>
                </c:pt>
                <c:pt idx="26">
                  <c:v>18-Jan</c:v>
                </c:pt>
                <c:pt idx="27">
                  <c:v>18-Jan</c:v>
                </c:pt>
                <c:pt idx="28">
                  <c:v>18-Jan</c:v>
                </c:pt>
                <c:pt idx="29">
                  <c:v>18-Jan</c:v>
                </c:pt>
                <c:pt idx="30">
                  <c:v>18-Jan</c:v>
                </c:pt>
                <c:pt idx="31">
                  <c:v>18-Feb</c:v>
                </c:pt>
                <c:pt idx="32">
                  <c:v>18-Feb</c:v>
                </c:pt>
                <c:pt idx="33">
                  <c:v>18-Feb</c:v>
                </c:pt>
                <c:pt idx="34">
                  <c:v>18-Feb</c:v>
                </c:pt>
                <c:pt idx="35">
                  <c:v>18-Feb</c:v>
                </c:pt>
                <c:pt idx="36">
                  <c:v>18-Feb</c:v>
                </c:pt>
                <c:pt idx="37">
                  <c:v>18-Feb</c:v>
                </c:pt>
                <c:pt idx="38">
                  <c:v>18-Feb</c:v>
                </c:pt>
                <c:pt idx="39">
                  <c:v>18-Feb</c:v>
                </c:pt>
                <c:pt idx="40">
                  <c:v>18-Feb</c:v>
                </c:pt>
                <c:pt idx="41">
                  <c:v>18-Feb</c:v>
                </c:pt>
                <c:pt idx="42">
                  <c:v>18-Feb</c:v>
                </c:pt>
                <c:pt idx="43">
                  <c:v>18-Feb</c:v>
                </c:pt>
                <c:pt idx="44">
                  <c:v>18-Feb</c:v>
                </c:pt>
                <c:pt idx="45">
                  <c:v>18-Feb</c:v>
                </c:pt>
                <c:pt idx="46">
                  <c:v>18-Feb</c:v>
                </c:pt>
                <c:pt idx="47">
                  <c:v>18-Feb</c:v>
                </c:pt>
                <c:pt idx="48">
                  <c:v>18-Feb</c:v>
                </c:pt>
                <c:pt idx="49">
                  <c:v>18-Feb</c:v>
                </c:pt>
                <c:pt idx="50">
                  <c:v>18-Feb</c:v>
                </c:pt>
                <c:pt idx="51">
                  <c:v>18-Feb</c:v>
                </c:pt>
                <c:pt idx="52">
                  <c:v>18-Feb</c:v>
                </c:pt>
                <c:pt idx="53">
                  <c:v>18-Feb</c:v>
                </c:pt>
                <c:pt idx="54">
                  <c:v>18-Feb</c:v>
                </c:pt>
                <c:pt idx="55">
                  <c:v>18-Feb</c:v>
                </c:pt>
                <c:pt idx="56">
                  <c:v>18-Feb</c:v>
                </c:pt>
                <c:pt idx="57">
                  <c:v>18-Feb</c:v>
                </c:pt>
                <c:pt idx="58">
                  <c:v>18-Feb</c:v>
                </c:pt>
                <c:pt idx="59">
                  <c:v>18-Mrz</c:v>
                </c:pt>
                <c:pt idx="60">
                  <c:v>18-Mrz</c:v>
                </c:pt>
                <c:pt idx="61">
                  <c:v>18-Mrz</c:v>
                </c:pt>
                <c:pt idx="62">
                  <c:v>18-Mrz</c:v>
                </c:pt>
                <c:pt idx="63">
                  <c:v>18-Mrz</c:v>
                </c:pt>
                <c:pt idx="64">
                  <c:v>18-Mrz</c:v>
                </c:pt>
                <c:pt idx="65">
                  <c:v>18-Mrz</c:v>
                </c:pt>
                <c:pt idx="66">
                  <c:v>18-Mrz</c:v>
                </c:pt>
                <c:pt idx="67">
                  <c:v>18-Mrz</c:v>
                </c:pt>
                <c:pt idx="68">
                  <c:v>18-Mrz</c:v>
                </c:pt>
                <c:pt idx="69">
                  <c:v>18-Mrz</c:v>
                </c:pt>
                <c:pt idx="70">
                  <c:v>18-Mrz</c:v>
                </c:pt>
                <c:pt idx="71">
                  <c:v>18-Mrz</c:v>
                </c:pt>
                <c:pt idx="72">
                  <c:v>18-Mrz</c:v>
                </c:pt>
                <c:pt idx="73">
                  <c:v>18-Mrz</c:v>
                </c:pt>
                <c:pt idx="74">
                  <c:v>18-Mrz</c:v>
                </c:pt>
                <c:pt idx="75">
                  <c:v>18-Mrz</c:v>
                </c:pt>
                <c:pt idx="76">
                  <c:v>18-Mrz</c:v>
                </c:pt>
                <c:pt idx="77">
                  <c:v>18-Mrz</c:v>
                </c:pt>
                <c:pt idx="78">
                  <c:v>18-Mrz</c:v>
                </c:pt>
                <c:pt idx="79">
                  <c:v>18-Mrz</c:v>
                </c:pt>
                <c:pt idx="80">
                  <c:v>18-Mrz</c:v>
                </c:pt>
                <c:pt idx="81">
                  <c:v>18-Mrz</c:v>
                </c:pt>
                <c:pt idx="82">
                  <c:v>18-Mrz</c:v>
                </c:pt>
                <c:pt idx="83">
                  <c:v>18-Mrz</c:v>
                </c:pt>
                <c:pt idx="84">
                  <c:v>18-Mrz</c:v>
                </c:pt>
                <c:pt idx="85">
                  <c:v>18-Mrz</c:v>
                </c:pt>
                <c:pt idx="86">
                  <c:v>18-Mrz</c:v>
                </c:pt>
                <c:pt idx="87">
                  <c:v>18-Mrz</c:v>
                </c:pt>
                <c:pt idx="88">
                  <c:v>18-Mrz</c:v>
                </c:pt>
                <c:pt idx="89">
                  <c:v>18-Mrz</c:v>
                </c:pt>
                <c:pt idx="90">
                  <c:v>18-Apr</c:v>
                </c:pt>
                <c:pt idx="91">
                  <c:v>18-Apr</c:v>
                </c:pt>
                <c:pt idx="92">
                  <c:v>18-Apr</c:v>
                </c:pt>
                <c:pt idx="93">
                  <c:v>18-Apr</c:v>
                </c:pt>
                <c:pt idx="94">
                  <c:v>18-Apr</c:v>
                </c:pt>
                <c:pt idx="95">
                  <c:v>18-Apr</c:v>
                </c:pt>
                <c:pt idx="96">
                  <c:v>18-Apr</c:v>
                </c:pt>
                <c:pt idx="97">
                  <c:v>18-Apr</c:v>
                </c:pt>
                <c:pt idx="98">
                  <c:v>18-Apr</c:v>
                </c:pt>
                <c:pt idx="99">
                  <c:v>18-Apr</c:v>
                </c:pt>
                <c:pt idx="100">
                  <c:v>18-Apr</c:v>
                </c:pt>
                <c:pt idx="101">
                  <c:v>18-Apr</c:v>
                </c:pt>
                <c:pt idx="102">
                  <c:v>18-Apr</c:v>
                </c:pt>
                <c:pt idx="103">
                  <c:v>18-Apr</c:v>
                </c:pt>
                <c:pt idx="104">
                  <c:v>18-Apr</c:v>
                </c:pt>
                <c:pt idx="105">
                  <c:v>18-Apr</c:v>
                </c:pt>
                <c:pt idx="106">
                  <c:v>18-Apr</c:v>
                </c:pt>
                <c:pt idx="107">
                  <c:v>18-Apr</c:v>
                </c:pt>
                <c:pt idx="108">
                  <c:v>18-Apr</c:v>
                </c:pt>
                <c:pt idx="109">
                  <c:v>18-Apr</c:v>
                </c:pt>
                <c:pt idx="110">
                  <c:v>18-Apr</c:v>
                </c:pt>
                <c:pt idx="111">
                  <c:v>18-Apr</c:v>
                </c:pt>
                <c:pt idx="112">
                  <c:v>18-Apr</c:v>
                </c:pt>
                <c:pt idx="113">
                  <c:v>18-Apr</c:v>
                </c:pt>
                <c:pt idx="114">
                  <c:v>18-Apr</c:v>
                </c:pt>
                <c:pt idx="115">
                  <c:v>18-Apr</c:v>
                </c:pt>
                <c:pt idx="116">
                  <c:v>18-Apr</c:v>
                </c:pt>
                <c:pt idx="117">
                  <c:v>18-Apr</c:v>
                </c:pt>
                <c:pt idx="118">
                  <c:v>18-Apr</c:v>
                </c:pt>
                <c:pt idx="119">
                  <c:v>18-Apr</c:v>
                </c:pt>
                <c:pt idx="120">
                  <c:v>18-Mai</c:v>
                </c:pt>
                <c:pt idx="121">
                  <c:v>18-Mai</c:v>
                </c:pt>
                <c:pt idx="122">
                  <c:v>18-Mai</c:v>
                </c:pt>
                <c:pt idx="123">
                  <c:v>18-Mai</c:v>
                </c:pt>
                <c:pt idx="124">
                  <c:v>18-Mai</c:v>
                </c:pt>
                <c:pt idx="125">
                  <c:v>18-Mai</c:v>
                </c:pt>
                <c:pt idx="126">
                  <c:v>18-Mai</c:v>
                </c:pt>
                <c:pt idx="127">
                  <c:v>18-Mai</c:v>
                </c:pt>
                <c:pt idx="128">
                  <c:v>18-Mai</c:v>
                </c:pt>
                <c:pt idx="129">
                  <c:v>18-Mai</c:v>
                </c:pt>
                <c:pt idx="130">
                  <c:v>18-Mai</c:v>
                </c:pt>
                <c:pt idx="131">
                  <c:v>18-Mai</c:v>
                </c:pt>
                <c:pt idx="132">
                  <c:v>18-Mai</c:v>
                </c:pt>
                <c:pt idx="133">
                  <c:v>18-Mai</c:v>
                </c:pt>
                <c:pt idx="134">
                  <c:v>18-Mai</c:v>
                </c:pt>
                <c:pt idx="135">
                  <c:v>18-Mai</c:v>
                </c:pt>
                <c:pt idx="136">
                  <c:v>18-Mai</c:v>
                </c:pt>
                <c:pt idx="137">
                  <c:v>18-Mai</c:v>
                </c:pt>
                <c:pt idx="138">
                  <c:v>18-Mai</c:v>
                </c:pt>
                <c:pt idx="139">
                  <c:v>18-Mai</c:v>
                </c:pt>
                <c:pt idx="140">
                  <c:v>18-Mai</c:v>
                </c:pt>
                <c:pt idx="141">
                  <c:v>18-Mai</c:v>
                </c:pt>
                <c:pt idx="142">
                  <c:v>18-Mai</c:v>
                </c:pt>
                <c:pt idx="143">
                  <c:v>18-Mai</c:v>
                </c:pt>
                <c:pt idx="144">
                  <c:v>18-Mai</c:v>
                </c:pt>
                <c:pt idx="145">
                  <c:v>18-Mai</c:v>
                </c:pt>
                <c:pt idx="146">
                  <c:v>18-Mai</c:v>
                </c:pt>
                <c:pt idx="147">
                  <c:v>18-Mai</c:v>
                </c:pt>
                <c:pt idx="148">
                  <c:v>18-Mai</c:v>
                </c:pt>
                <c:pt idx="149">
                  <c:v>18-Mai</c:v>
                </c:pt>
                <c:pt idx="150">
                  <c:v>18-Mai</c:v>
                </c:pt>
                <c:pt idx="151">
                  <c:v>18-Jun</c:v>
                </c:pt>
                <c:pt idx="152">
                  <c:v>18-Jun</c:v>
                </c:pt>
                <c:pt idx="153">
                  <c:v>18-Jun</c:v>
                </c:pt>
                <c:pt idx="154">
                  <c:v>18-Jun</c:v>
                </c:pt>
                <c:pt idx="155">
                  <c:v>18-Jun</c:v>
                </c:pt>
                <c:pt idx="156">
                  <c:v>18-Jun</c:v>
                </c:pt>
                <c:pt idx="157">
                  <c:v>18-Jun</c:v>
                </c:pt>
                <c:pt idx="158">
                  <c:v>18-Jun</c:v>
                </c:pt>
                <c:pt idx="159">
                  <c:v>18-Jun</c:v>
                </c:pt>
                <c:pt idx="160">
                  <c:v>18-Jun</c:v>
                </c:pt>
                <c:pt idx="161">
                  <c:v>18-Jun</c:v>
                </c:pt>
                <c:pt idx="162">
                  <c:v>18-Jun</c:v>
                </c:pt>
                <c:pt idx="163">
                  <c:v>18-Jun</c:v>
                </c:pt>
                <c:pt idx="164">
                  <c:v>18-Jun</c:v>
                </c:pt>
                <c:pt idx="165">
                  <c:v>18-Jun</c:v>
                </c:pt>
                <c:pt idx="166">
                  <c:v>18-Jun</c:v>
                </c:pt>
                <c:pt idx="167">
                  <c:v>18-Jun</c:v>
                </c:pt>
                <c:pt idx="168">
                  <c:v>18-Jun</c:v>
                </c:pt>
                <c:pt idx="169">
                  <c:v>18-Jun</c:v>
                </c:pt>
                <c:pt idx="170">
                  <c:v>18-Jun</c:v>
                </c:pt>
                <c:pt idx="171">
                  <c:v>18-Jun</c:v>
                </c:pt>
                <c:pt idx="172">
                  <c:v>18-Jun</c:v>
                </c:pt>
                <c:pt idx="173">
                  <c:v>18-Jun</c:v>
                </c:pt>
                <c:pt idx="174">
                  <c:v>18-Jun</c:v>
                </c:pt>
                <c:pt idx="175">
                  <c:v>18-Jun</c:v>
                </c:pt>
                <c:pt idx="176">
                  <c:v>18-Jun</c:v>
                </c:pt>
                <c:pt idx="177">
                  <c:v>18-Jun</c:v>
                </c:pt>
                <c:pt idx="178">
                  <c:v>18-Jun</c:v>
                </c:pt>
                <c:pt idx="179">
                  <c:v>18-Jun</c:v>
                </c:pt>
                <c:pt idx="180">
                  <c:v>18-Jun</c:v>
                </c:pt>
                <c:pt idx="181">
                  <c:v>18-Jul</c:v>
                </c:pt>
                <c:pt idx="182">
                  <c:v>18-Jul</c:v>
                </c:pt>
                <c:pt idx="183">
                  <c:v>18-Jul</c:v>
                </c:pt>
                <c:pt idx="184">
                  <c:v>18-Jul</c:v>
                </c:pt>
                <c:pt idx="185">
                  <c:v>18-Jul</c:v>
                </c:pt>
                <c:pt idx="186">
                  <c:v>18-Jul</c:v>
                </c:pt>
                <c:pt idx="187">
                  <c:v>18-Jul</c:v>
                </c:pt>
                <c:pt idx="188">
                  <c:v>18-Jul</c:v>
                </c:pt>
                <c:pt idx="189">
                  <c:v>18-Jul</c:v>
                </c:pt>
                <c:pt idx="190">
                  <c:v>18-Jul</c:v>
                </c:pt>
                <c:pt idx="191">
                  <c:v>18-Jul</c:v>
                </c:pt>
                <c:pt idx="192">
                  <c:v>18-Jul</c:v>
                </c:pt>
                <c:pt idx="193">
                  <c:v>18-Jul</c:v>
                </c:pt>
                <c:pt idx="194">
                  <c:v>18-Jul</c:v>
                </c:pt>
                <c:pt idx="195">
                  <c:v>18-Jul</c:v>
                </c:pt>
                <c:pt idx="196">
                  <c:v>18-Jul</c:v>
                </c:pt>
                <c:pt idx="197">
                  <c:v>18-Jul</c:v>
                </c:pt>
                <c:pt idx="198">
                  <c:v>18-Jul</c:v>
                </c:pt>
                <c:pt idx="199">
                  <c:v>18-Jul</c:v>
                </c:pt>
                <c:pt idx="200">
                  <c:v>18-Jul</c:v>
                </c:pt>
                <c:pt idx="201">
                  <c:v>18-Jul</c:v>
                </c:pt>
                <c:pt idx="202">
                  <c:v>18-Jul</c:v>
                </c:pt>
                <c:pt idx="203">
                  <c:v>18-Jul</c:v>
                </c:pt>
                <c:pt idx="204">
                  <c:v>18-Jul</c:v>
                </c:pt>
                <c:pt idx="205">
                  <c:v>18-Jul</c:v>
                </c:pt>
                <c:pt idx="206">
                  <c:v>18-Jul</c:v>
                </c:pt>
                <c:pt idx="207">
                  <c:v>18-Jul</c:v>
                </c:pt>
                <c:pt idx="208">
                  <c:v>18-Jul</c:v>
                </c:pt>
                <c:pt idx="209">
                  <c:v>18-Jul</c:v>
                </c:pt>
                <c:pt idx="210">
                  <c:v>18-Jul</c:v>
                </c:pt>
                <c:pt idx="211">
                  <c:v>18-Jul</c:v>
                </c:pt>
                <c:pt idx="212">
                  <c:v>18-Aug</c:v>
                </c:pt>
                <c:pt idx="213">
                  <c:v>18-Aug</c:v>
                </c:pt>
                <c:pt idx="214">
                  <c:v>18-Aug</c:v>
                </c:pt>
                <c:pt idx="215">
                  <c:v>18-Aug</c:v>
                </c:pt>
                <c:pt idx="216">
                  <c:v>18-Aug</c:v>
                </c:pt>
                <c:pt idx="217">
                  <c:v>18-Aug</c:v>
                </c:pt>
                <c:pt idx="218">
                  <c:v>18-Aug</c:v>
                </c:pt>
                <c:pt idx="219">
                  <c:v>18-Aug</c:v>
                </c:pt>
                <c:pt idx="220">
                  <c:v>18-Aug</c:v>
                </c:pt>
                <c:pt idx="221">
                  <c:v>18-Aug</c:v>
                </c:pt>
                <c:pt idx="222">
                  <c:v>18-Aug</c:v>
                </c:pt>
                <c:pt idx="223">
                  <c:v>18-Aug</c:v>
                </c:pt>
                <c:pt idx="224">
                  <c:v>18-Aug</c:v>
                </c:pt>
                <c:pt idx="225">
                  <c:v>18-Aug</c:v>
                </c:pt>
                <c:pt idx="226">
                  <c:v>18-Aug</c:v>
                </c:pt>
                <c:pt idx="227">
                  <c:v>18-Aug</c:v>
                </c:pt>
                <c:pt idx="228">
                  <c:v>18-Aug</c:v>
                </c:pt>
                <c:pt idx="229">
                  <c:v>18-Aug</c:v>
                </c:pt>
                <c:pt idx="230">
                  <c:v>18-Aug</c:v>
                </c:pt>
                <c:pt idx="231">
                  <c:v>18-Aug</c:v>
                </c:pt>
                <c:pt idx="232">
                  <c:v>18-Aug</c:v>
                </c:pt>
                <c:pt idx="233">
                  <c:v>18-Aug</c:v>
                </c:pt>
                <c:pt idx="234">
                  <c:v>18-Aug</c:v>
                </c:pt>
                <c:pt idx="235">
                  <c:v>18-Aug</c:v>
                </c:pt>
                <c:pt idx="236">
                  <c:v>18-Aug</c:v>
                </c:pt>
                <c:pt idx="237">
                  <c:v>18-Aug</c:v>
                </c:pt>
                <c:pt idx="238">
                  <c:v>18-Aug</c:v>
                </c:pt>
                <c:pt idx="239">
                  <c:v>18-Aug</c:v>
                </c:pt>
                <c:pt idx="240">
                  <c:v>18-Aug</c:v>
                </c:pt>
                <c:pt idx="241">
                  <c:v>18-Aug</c:v>
                </c:pt>
                <c:pt idx="242">
                  <c:v>18-Aug</c:v>
                </c:pt>
                <c:pt idx="243">
                  <c:v>18-Sep</c:v>
                </c:pt>
                <c:pt idx="244">
                  <c:v>18-Sep</c:v>
                </c:pt>
                <c:pt idx="245">
                  <c:v>18-Sep</c:v>
                </c:pt>
                <c:pt idx="246">
                  <c:v>18-Sep</c:v>
                </c:pt>
                <c:pt idx="247">
                  <c:v>18-Sep</c:v>
                </c:pt>
                <c:pt idx="248">
                  <c:v>18-Sep</c:v>
                </c:pt>
                <c:pt idx="249">
                  <c:v>18-Sep</c:v>
                </c:pt>
                <c:pt idx="250">
                  <c:v>18-Sep</c:v>
                </c:pt>
                <c:pt idx="251">
                  <c:v>18-Sep</c:v>
                </c:pt>
                <c:pt idx="252">
                  <c:v>18-Sep</c:v>
                </c:pt>
                <c:pt idx="253">
                  <c:v>18-Sep</c:v>
                </c:pt>
                <c:pt idx="254">
                  <c:v>18-Sep</c:v>
                </c:pt>
                <c:pt idx="255">
                  <c:v>18-Sep</c:v>
                </c:pt>
                <c:pt idx="256">
                  <c:v>18-Sep</c:v>
                </c:pt>
                <c:pt idx="257">
                  <c:v>18-Sep</c:v>
                </c:pt>
                <c:pt idx="258">
                  <c:v>18-Sep</c:v>
                </c:pt>
                <c:pt idx="259">
                  <c:v>18-Sep</c:v>
                </c:pt>
                <c:pt idx="260">
                  <c:v>18-Sep</c:v>
                </c:pt>
                <c:pt idx="261">
                  <c:v>18-Sep</c:v>
                </c:pt>
                <c:pt idx="262">
                  <c:v>18-Sep</c:v>
                </c:pt>
                <c:pt idx="263">
                  <c:v>18-Sep</c:v>
                </c:pt>
                <c:pt idx="264">
                  <c:v>18-Sep</c:v>
                </c:pt>
                <c:pt idx="265">
                  <c:v>18-Sep</c:v>
                </c:pt>
                <c:pt idx="266">
                  <c:v>18-Sep</c:v>
                </c:pt>
                <c:pt idx="267">
                  <c:v>18-Sep</c:v>
                </c:pt>
                <c:pt idx="268">
                  <c:v>18-Sep</c:v>
                </c:pt>
                <c:pt idx="269">
                  <c:v>18-Sep</c:v>
                </c:pt>
                <c:pt idx="270">
                  <c:v>18-Sep</c:v>
                </c:pt>
                <c:pt idx="271">
                  <c:v>18-Sep</c:v>
                </c:pt>
                <c:pt idx="272">
                  <c:v>18-Sep</c:v>
                </c:pt>
                <c:pt idx="273">
                  <c:v>18-Okt</c:v>
                </c:pt>
                <c:pt idx="274">
                  <c:v>18-Okt</c:v>
                </c:pt>
                <c:pt idx="275">
                  <c:v>18-Okt</c:v>
                </c:pt>
                <c:pt idx="276">
                  <c:v>18-Okt</c:v>
                </c:pt>
                <c:pt idx="277">
                  <c:v>18-Okt</c:v>
                </c:pt>
                <c:pt idx="278">
                  <c:v>18-Okt</c:v>
                </c:pt>
                <c:pt idx="279">
                  <c:v>18-Okt</c:v>
                </c:pt>
                <c:pt idx="280">
                  <c:v>18-Okt</c:v>
                </c:pt>
                <c:pt idx="281">
                  <c:v>18-Okt</c:v>
                </c:pt>
                <c:pt idx="282">
                  <c:v>18-Okt</c:v>
                </c:pt>
                <c:pt idx="283">
                  <c:v>18-Okt</c:v>
                </c:pt>
                <c:pt idx="284">
                  <c:v>18-Okt</c:v>
                </c:pt>
                <c:pt idx="285">
                  <c:v>18-Okt</c:v>
                </c:pt>
                <c:pt idx="286">
                  <c:v>18-Okt</c:v>
                </c:pt>
                <c:pt idx="287">
                  <c:v>18-Okt</c:v>
                </c:pt>
                <c:pt idx="288">
                  <c:v>18-Okt</c:v>
                </c:pt>
                <c:pt idx="289">
                  <c:v>18-Okt</c:v>
                </c:pt>
                <c:pt idx="290">
                  <c:v>18-Okt</c:v>
                </c:pt>
                <c:pt idx="291">
                  <c:v>18-Okt</c:v>
                </c:pt>
                <c:pt idx="292">
                  <c:v>18-Okt</c:v>
                </c:pt>
                <c:pt idx="293">
                  <c:v>18-Okt</c:v>
                </c:pt>
                <c:pt idx="294">
                  <c:v>18-Okt</c:v>
                </c:pt>
                <c:pt idx="295">
                  <c:v>18-Okt</c:v>
                </c:pt>
                <c:pt idx="296">
                  <c:v>18-Okt</c:v>
                </c:pt>
                <c:pt idx="297">
                  <c:v>18-Okt</c:v>
                </c:pt>
                <c:pt idx="298">
                  <c:v>18-Okt</c:v>
                </c:pt>
                <c:pt idx="299">
                  <c:v>18-Okt</c:v>
                </c:pt>
                <c:pt idx="300">
                  <c:v>18-Okt</c:v>
                </c:pt>
                <c:pt idx="301">
                  <c:v>18-Okt</c:v>
                </c:pt>
                <c:pt idx="302">
                  <c:v>18-Okt</c:v>
                </c:pt>
                <c:pt idx="303">
                  <c:v>18-Okt</c:v>
                </c:pt>
                <c:pt idx="304">
                  <c:v>18-Nov</c:v>
                </c:pt>
                <c:pt idx="305">
                  <c:v>18-Nov</c:v>
                </c:pt>
                <c:pt idx="306">
                  <c:v>18-Nov</c:v>
                </c:pt>
                <c:pt idx="307">
                  <c:v>18-Nov</c:v>
                </c:pt>
                <c:pt idx="308">
                  <c:v>18-Nov</c:v>
                </c:pt>
                <c:pt idx="309">
                  <c:v>18-Nov</c:v>
                </c:pt>
                <c:pt idx="310">
                  <c:v>18-Nov</c:v>
                </c:pt>
                <c:pt idx="311">
                  <c:v>18-Nov</c:v>
                </c:pt>
                <c:pt idx="312">
                  <c:v>18-Nov</c:v>
                </c:pt>
                <c:pt idx="313">
                  <c:v>18-Nov</c:v>
                </c:pt>
                <c:pt idx="314">
                  <c:v>18-Nov</c:v>
                </c:pt>
                <c:pt idx="315">
                  <c:v>18-Nov</c:v>
                </c:pt>
                <c:pt idx="316">
                  <c:v>18-Nov</c:v>
                </c:pt>
                <c:pt idx="317">
                  <c:v>18-Nov</c:v>
                </c:pt>
                <c:pt idx="318">
                  <c:v>18-Nov</c:v>
                </c:pt>
                <c:pt idx="319">
                  <c:v>18-Nov</c:v>
                </c:pt>
                <c:pt idx="320">
                  <c:v>18-Nov</c:v>
                </c:pt>
                <c:pt idx="321">
                  <c:v>18-Nov</c:v>
                </c:pt>
                <c:pt idx="322">
                  <c:v>18-Nov</c:v>
                </c:pt>
                <c:pt idx="323">
                  <c:v>18-Nov</c:v>
                </c:pt>
                <c:pt idx="324">
                  <c:v>18-Nov</c:v>
                </c:pt>
                <c:pt idx="325">
                  <c:v>18-Nov</c:v>
                </c:pt>
                <c:pt idx="326">
                  <c:v>18-Nov</c:v>
                </c:pt>
                <c:pt idx="327">
                  <c:v>18-Nov</c:v>
                </c:pt>
                <c:pt idx="328">
                  <c:v>18-Nov</c:v>
                </c:pt>
                <c:pt idx="329">
                  <c:v>18-Nov</c:v>
                </c:pt>
                <c:pt idx="330">
                  <c:v>18-Nov</c:v>
                </c:pt>
                <c:pt idx="331">
                  <c:v>18-Nov</c:v>
                </c:pt>
                <c:pt idx="332">
                  <c:v>18-Nov</c:v>
                </c:pt>
                <c:pt idx="333">
                  <c:v>18-Nov</c:v>
                </c:pt>
                <c:pt idx="334">
                  <c:v>18-Dez</c:v>
                </c:pt>
                <c:pt idx="335">
                  <c:v>18-Dez</c:v>
                </c:pt>
                <c:pt idx="336">
                  <c:v>18-Dez</c:v>
                </c:pt>
                <c:pt idx="337">
                  <c:v>18-Dez</c:v>
                </c:pt>
                <c:pt idx="338">
                  <c:v>18-Dez</c:v>
                </c:pt>
                <c:pt idx="339">
                  <c:v>18-Dez</c:v>
                </c:pt>
                <c:pt idx="340">
                  <c:v>18-Dez</c:v>
                </c:pt>
                <c:pt idx="341">
                  <c:v>18-Dez</c:v>
                </c:pt>
                <c:pt idx="342">
                  <c:v>18-Dez</c:v>
                </c:pt>
                <c:pt idx="343">
                  <c:v>18-Dez</c:v>
                </c:pt>
                <c:pt idx="344">
                  <c:v>18-Dez</c:v>
                </c:pt>
                <c:pt idx="345">
                  <c:v>18-Dez</c:v>
                </c:pt>
                <c:pt idx="346">
                  <c:v>18-Dez</c:v>
                </c:pt>
                <c:pt idx="347">
                  <c:v>18-Dez</c:v>
                </c:pt>
                <c:pt idx="348">
                  <c:v>18-Dez</c:v>
                </c:pt>
                <c:pt idx="349">
                  <c:v>18-Dez</c:v>
                </c:pt>
                <c:pt idx="350">
                  <c:v>18-Dez</c:v>
                </c:pt>
                <c:pt idx="351">
                  <c:v>18-Dez</c:v>
                </c:pt>
                <c:pt idx="352">
                  <c:v>18-Dez</c:v>
                </c:pt>
                <c:pt idx="353">
                  <c:v>18-Dez</c:v>
                </c:pt>
                <c:pt idx="354">
                  <c:v>18-Dez</c:v>
                </c:pt>
                <c:pt idx="355">
                  <c:v>18-Dez</c:v>
                </c:pt>
                <c:pt idx="356">
                  <c:v>18-Dez</c:v>
                </c:pt>
                <c:pt idx="357">
                  <c:v>18-Dez</c:v>
                </c:pt>
                <c:pt idx="358">
                  <c:v>18-Dez</c:v>
                </c:pt>
                <c:pt idx="359">
                  <c:v>18-Dez</c:v>
                </c:pt>
                <c:pt idx="360">
                  <c:v>18-Dez</c:v>
                </c:pt>
                <c:pt idx="361">
                  <c:v>18-Dez</c:v>
                </c:pt>
                <c:pt idx="362">
                  <c:v>18-Dez</c:v>
                </c:pt>
                <c:pt idx="363">
                  <c:v>18-Dez</c:v>
                </c:pt>
                <c:pt idx="364">
                  <c:v>18-Dez</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104996224"/>
        <c:crosses val="autoZero"/>
        <c:auto val="1"/>
        <c:lblAlgn val="ctr"/>
        <c:lblOffset val="100"/>
        <c:tickLblSkip val="13"/>
        <c:tickMarkSkip val="31"/>
        <c:noMultiLvlLbl val="0"/>
      </c:catAx>
      <c:valAx>
        <c:axId val="104996224"/>
        <c:scaling>
          <c:orientation val="minMax"/>
        </c:scaling>
        <c:delete val="0"/>
        <c:axPos val="l"/>
        <c:majorGridlines>
          <c:spPr>
            <a:ln w="3175">
              <a:solidFill>
                <a:srgbClr val="000000"/>
              </a:solidFill>
              <a:prstDash val="solid"/>
            </a:ln>
          </c:spPr>
        </c:majorGridlines>
        <c:title>
          <c:tx>
            <c:strRef>
              <c:f>Arbeitszeit!$AD$4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04994304"/>
        <c:crosses val="autoZero"/>
        <c:crossBetween val="between"/>
      </c:valAx>
      <c:catAx>
        <c:axId val="216979328"/>
        <c:scaling>
          <c:orientation val="minMax"/>
        </c:scaling>
        <c:delete val="1"/>
        <c:axPos val="b"/>
        <c:majorTickMark val="out"/>
        <c:minorTickMark val="none"/>
        <c:tickLblPos val="nextTo"/>
        <c:crossAx val="263987200"/>
        <c:crosses val="autoZero"/>
        <c:auto val="1"/>
        <c:lblAlgn val="ctr"/>
        <c:lblOffset val="100"/>
        <c:noMultiLvlLbl val="0"/>
      </c:catAx>
      <c:valAx>
        <c:axId val="263987200"/>
        <c:scaling>
          <c:orientation val="minMax"/>
        </c:scaling>
        <c:delete val="0"/>
        <c:axPos val="r"/>
        <c:title>
          <c:tx>
            <c:strRef>
              <c:f>Arbeitszeit!$AK$4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Cockpit!$J$12</c:f>
              <c:numCache>
                <c:formatCode>General</c:formatCode>
                <c:ptCount val="1"/>
                <c:pt idx="0">
                  <c:v>0</c:v>
                </c:pt>
              </c:numCache>
            </c:numRef>
          </c:val>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Cockpit!$J$13</c:f>
              <c:numCache>
                <c:formatCode>General</c:formatCode>
                <c:ptCount val="1"/>
                <c:pt idx="0">
                  <c:v>366</c:v>
                </c:pt>
              </c:numCache>
            </c:numRef>
          </c:val>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0066CC"/>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000080"/>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Pt>
            <c:idx val="12"/>
            <c:bubble3D val="0"/>
            <c:spPr>
              <a:solidFill>
                <a:srgbClr val="800080"/>
              </a:solidFill>
              <a:ln w="12700">
                <a:solidFill>
                  <a:srgbClr val="000000"/>
                </a:solidFill>
                <a:prstDash val="solid"/>
              </a:ln>
            </c:spPr>
          </c:dPt>
          <c:dPt>
            <c:idx val="13"/>
            <c:bubble3D val="0"/>
            <c:spPr>
              <a:solidFill>
                <a:srgbClr val="800000"/>
              </a:solidFill>
              <a:ln w="12700">
                <a:solidFill>
                  <a:srgbClr val="000000"/>
                </a:solidFill>
                <a:prstDash val="solid"/>
              </a:ln>
            </c:spPr>
          </c:dPt>
          <c:dPt>
            <c:idx val="14"/>
            <c:bubble3D val="0"/>
            <c:spPr>
              <a:solidFill>
                <a:srgbClr val="008080"/>
              </a:solidFill>
              <a:ln w="12700">
                <a:solidFill>
                  <a:srgbClr val="000000"/>
                </a:solidFill>
                <a:prstDash val="solid"/>
              </a:ln>
            </c:spPr>
          </c:dPt>
          <c:dPt>
            <c:idx val="15"/>
            <c:bubble3D val="0"/>
            <c:spPr>
              <a:solidFill>
                <a:srgbClr val="0000FF"/>
              </a:solidFill>
              <a:ln w="12700">
                <a:solidFill>
                  <a:srgbClr val="000000"/>
                </a:solidFill>
                <a:prstDash val="solid"/>
              </a:ln>
            </c:spPr>
          </c:dPt>
          <c:dPt>
            <c:idx val="16"/>
            <c:bubble3D val="0"/>
            <c:spPr>
              <a:solidFill>
                <a:srgbClr val="00CCFF"/>
              </a:solidFill>
              <a:ln w="12700">
                <a:solidFill>
                  <a:srgbClr val="000000"/>
                </a:solidFill>
                <a:prstDash val="solid"/>
              </a:ln>
            </c:spPr>
          </c:dPt>
          <c:dPt>
            <c:idx val="17"/>
            <c:bubble3D val="0"/>
            <c:spPr>
              <a:solidFill>
                <a:srgbClr val="CCFFFF"/>
              </a:solidFill>
              <a:ln w="12700">
                <a:solidFill>
                  <a:srgbClr val="000000"/>
                </a:solidFill>
                <a:prstDash val="solid"/>
              </a:ln>
            </c:spPr>
          </c:dPt>
          <c:dPt>
            <c:idx val="18"/>
            <c:bubble3D val="0"/>
            <c:spPr>
              <a:solidFill>
                <a:srgbClr val="CCFFCC"/>
              </a:solidFill>
              <a:ln w="12700">
                <a:solidFill>
                  <a:srgbClr val="000000"/>
                </a:solidFill>
                <a:prstDash val="solid"/>
              </a:ln>
            </c:spPr>
          </c:dPt>
          <c:dPt>
            <c:idx val="19"/>
            <c:bubble3D val="0"/>
            <c:spPr>
              <a:solidFill>
                <a:srgbClr val="FFFF99"/>
              </a:solidFill>
              <a:ln w="12700">
                <a:solidFill>
                  <a:srgbClr val="000000"/>
                </a:solidFill>
                <a:prstDash val="solid"/>
              </a:ln>
            </c:spPr>
          </c:dPt>
          <c:dPt>
            <c:idx val="20"/>
            <c:bubble3D val="0"/>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41639</c:v>
                </c:pt>
                <c:pt idx="1">
                  <c:v>41670</c:v>
                </c:pt>
                <c:pt idx="2">
                  <c:v>41698</c:v>
                </c:pt>
                <c:pt idx="3">
                  <c:v>41729</c:v>
                </c:pt>
                <c:pt idx="4">
                  <c:v>41759</c:v>
                </c:pt>
                <c:pt idx="5">
                  <c:v>41790</c:v>
                </c:pt>
                <c:pt idx="6">
                  <c:v>41820</c:v>
                </c:pt>
                <c:pt idx="7">
                  <c:v>41851</c:v>
                </c:pt>
                <c:pt idx="8">
                  <c:v>41882</c:v>
                </c:pt>
                <c:pt idx="9">
                  <c:v>41912</c:v>
                </c:pt>
                <c:pt idx="10">
                  <c:v>41943</c:v>
                </c:pt>
                <c:pt idx="11">
                  <c:v>41973</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val="0"/>
</file>

<file path=xl/ctrlProps/ctrlProp2.xml><?xml version="1.0" encoding="utf-8"?>
<formControlPr xmlns="http://schemas.microsoft.com/office/spreadsheetml/2009/9/main" objectType="Drop" dropStyle="combo" dx="16" fmlaLink="C29" fmlaRange="db_ZeitTTMMM"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2018</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xdr:cNvGrpSpPr>
          <a:grpSpLocks/>
        </xdr:cNvGrpSpPr>
      </xdr:nvGrpSpPr>
      <xdr:grpSpPr bwMode="auto">
        <a:xfrm>
          <a:off x="276225" y="876300"/>
          <a:ext cx="3028950" cy="257175"/>
          <a:chOff x="33" y="761"/>
          <a:chExt cx="332" cy="27"/>
        </a:xfrm>
      </xdr:grpSpPr>
      <xdr:sp macro="" textlink="">
        <xdr:nvSpPr>
          <xdr:cNvPr id="1417643" name="Rectangle 52"/>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nth">
    <pageSetUpPr fitToPage="1"/>
  </sheetPr>
  <dimension ref="A1:X43"/>
  <sheetViews>
    <sheetView showGridLines="0" showZeros="0" workbookViewId="0">
      <pane ySplit="4" topLeftCell="A5" activePane="bottomLeft" state="frozenSplit"/>
      <selection pane="bottomLeft" activeCell="I3" sqref="I3:P3"/>
    </sheetView>
  </sheetViews>
  <sheetFormatPr baseColWidth="10" defaultRowHeight="12.75"/>
  <cols>
    <col min="1" max="1" width="7.5703125" customWidth="1"/>
    <col min="2" max="2" width="4.42578125" customWidth="1"/>
    <col min="3" max="3" width="18.28515625" style="358"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99</v>
      </c>
      <c r="B1" s="2" t="str">
        <f>B_PersonName</f>
        <v>Name</v>
      </c>
      <c r="C1" s="374"/>
      <c r="D1" s="3"/>
      <c r="F1" s="4" t="s">
        <v>100</v>
      </c>
      <c r="G1" t="str">
        <f>B_Department</f>
        <v>Abteilung</v>
      </c>
    </row>
    <row r="2" spans="1:24">
      <c r="A2" s="353" t="str">
        <f ca="1">CELL("filename",A2)</f>
        <v>D:\_pdata\GLAZ\andi\[vGlaz2018.xlsm]Classic</v>
      </c>
      <c r="B2" s="160"/>
      <c r="C2" s="374"/>
      <c r="D2" s="3"/>
    </row>
    <row r="3" spans="1:24" ht="21" customHeight="1">
      <c r="A3" s="422">
        <v>1</v>
      </c>
      <c r="B3" s="423"/>
      <c r="C3" s="424">
        <f>IF($A$3=1,B_Year,DATE(YEAR(B_Year),$A$3,1))</f>
        <v>41639</v>
      </c>
      <c r="D3" s="426" t="s">
        <v>49</v>
      </c>
      <c r="I3" s="701" t="s">
        <v>50</v>
      </c>
      <c r="J3" s="701"/>
      <c r="K3" s="701"/>
      <c r="L3" s="701"/>
      <c r="M3" s="701"/>
      <c r="N3" s="701"/>
      <c r="O3" s="701"/>
      <c r="P3" s="701"/>
      <c r="R3" s="421">
        <f>Arbeitszeit!XWorkTimeMax</f>
        <v>0.41666666666666669</v>
      </c>
    </row>
    <row r="4" spans="1:24" ht="21.75">
      <c r="A4" s="410" t="s">
        <v>180</v>
      </c>
      <c r="B4" s="411" t="s">
        <v>22</v>
      </c>
      <c r="C4" s="425" t="s">
        <v>101</v>
      </c>
      <c r="D4" s="282" t="s">
        <v>102</v>
      </c>
      <c r="F4" s="413" t="s">
        <v>103</v>
      </c>
      <c r="G4" s="413" t="s">
        <v>104</v>
      </c>
      <c r="H4" s="413" t="s">
        <v>103</v>
      </c>
      <c r="I4" s="413" t="s">
        <v>104</v>
      </c>
      <c r="J4" s="414" t="s">
        <v>105</v>
      </c>
      <c r="K4" s="414" t="s">
        <v>138</v>
      </c>
      <c r="L4" s="415" t="s">
        <v>26</v>
      </c>
      <c r="M4" s="414" t="s">
        <v>106</v>
      </c>
      <c r="N4" s="416" t="s">
        <v>13</v>
      </c>
      <c r="O4" s="417" t="s">
        <v>107</v>
      </c>
      <c r="P4" s="418"/>
      <c r="Q4" s="9"/>
      <c r="R4" s="414" t="str">
        <f>Arbeitszeit!AC4</f>
        <v>&gt; 10 Std</v>
      </c>
      <c r="S4" s="419" t="s">
        <v>108</v>
      </c>
      <c r="T4" s="420" t="s">
        <v>109</v>
      </c>
      <c r="U4" s="420" t="s">
        <v>110</v>
      </c>
      <c r="V4" s="11" t="s">
        <v>169</v>
      </c>
      <c r="W4" s="414" t="s">
        <v>131</v>
      </c>
      <c r="X4" s="414" t="s">
        <v>25</v>
      </c>
    </row>
    <row r="5" spans="1:24">
      <c r="A5" s="210">
        <f>IF(MONTH(C3)&lt;&gt;MONTH($C$3),"",C3)</f>
        <v>41639</v>
      </c>
      <c r="B5" s="162">
        <f>IF(A5="","",NumberOfWeek(A5))</f>
        <v>1</v>
      </c>
      <c r="C5" s="364" t="str">
        <f t="shared" ref="C5:C35" si="0">IF(ISNUMBER(R5),$R$4,IF(V5=Feiertag,VLOOKUP(A5,db_Feiertag,2,FALSE),""))</f>
        <v>Neujahr</v>
      </c>
      <c r="D5" s="6" t="str">
        <f t="shared" ref="D5:D35" si="1">IF(ISBLANK(VLOOKUP($A5,db_Jahr,gSP_G_Kennung,FALSE)),"",VLOOKUP($A5,db_Jahr,gSP_G_Kennung,FALSE))</f>
        <v/>
      </c>
      <c r="E5" s="7" t="str">
        <f>IF(D5="",IF(F5="","",0),CODE(UPPER(D5)))</f>
        <v/>
      </c>
      <c r="F5" s="129" t="str">
        <f t="shared" ref="F5:F20" si="2">IF(ISNUMBER(VLOOKUP($A5,db_Jahr,gSP_Kom1,FALSE)),VLOOKUP($A5,db_Jahr,gSP_Kom1,FALSE),"")</f>
        <v/>
      </c>
      <c r="G5" s="129">
        <f t="shared" ref="G5:G35" si="3">VLOOKUP($A5,db_Jahr,gSP_Geh1,FALSE)</f>
        <v>0</v>
      </c>
      <c r="H5" s="129" t="str">
        <f t="shared" ref="H5:H35" si="4">IF(ISNUMBER(VLOOKUP($A5,db_Jahr,gSP_Kom2,FALSE)),VLOOKUP($A5,db_Jahr,gSP_Kom2,FALSE),"")</f>
        <v/>
      </c>
      <c r="I5" s="129">
        <f t="shared" ref="I5:I35" si="5">VLOOKUP($A5,db_Jahr,gSP_Geh2,FALSE)</f>
        <v>0</v>
      </c>
      <c r="J5" s="129">
        <f t="shared" ref="J5:J35" si="6">VLOOKUP($A5,db_Jahr,gSP_Ist,FALSE)</f>
        <v>0</v>
      </c>
      <c r="K5" s="75"/>
      <c r="L5" s="131">
        <f>VLOOKUP($A5,db_Jahr,gSP_Abzug,FALSE)</f>
        <v>4.1666666666666664E-2</v>
      </c>
      <c r="M5" s="129">
        <f>VLOOKUP($A5,db_Jahr,gSP_Soll,FALSE)</f>
        <v>0</v>
      </c>
      <c r="N5" s="164" t="str">
        <f>VLOOKUP($A5,db_Jahr,gSP_V_Soll,FALSE)</f>
        <v/>
      </c>
      <c r="O5" s="128" t="str">
        <f t="shared" ref="O5:O35" si="7">IF(V5&lt;Feiertag,J5-M5,"")</f>
        <v/>
      </c>
      <c r="P5" s="76" t="str">
        <f t="shared" ref="P5:P35" si="8">IF(V5=Feiertag,"",IF((J5-M5)&lt;0,"*",""))</f>
        <v/>
      </c>
      <c r="Q5" s="164">
        <f>VLOOKUP($A5,db_Jahr,gSP_V_Overtime,FALSE)</f>
        <v>0</v>
      </c>
      <c r="R5" s="129" t="str">
        <f>VLOOKUP($A5,db_Jahr,gSP_MaxOvertime,FALSE)</f>
        <v/>
      </c>
      <c r="S5" s="77">
        <f t="shared" ref="S5:S35" si="9">IF(ISNUMBER(J5 ), IF( J5 &gt;= M5, M5, J5 ),"")</f>
        <v>0</v>
      </c>
      <c r="T5" s="77">
        <f t="shared" ref="T5:T35" si="10">IF( ISNUMBER( J5 ), IF( J5 &gt;= M5, J5 - M5, "" ), "" )</f>
        <v>0</v>
      </c>
      <c r="U5" s="77" t="str">
        <f t="shared" ref="U5:U35" si="11">IF( ISNUMBER( J5 ), IF( J5 &gt;= M5, "", M5 - J5 ), "" )</f>
        <v/>
      </c>
      <c r="V5" s="78">
        <f t="shared" ref="V5:V35" si="12">IF(A5="",0,IF(ISERROR(VLOOKUP(A5,db_Feiertag,2,FALSE)),WEEKDAY(A5,2),Feiertag))</f>
        <v>8</v>
      </c>
      <c r="W5" s="130">
        <f>$A$38+SUM(O5)-X5</f>
        <v>0</v>
      </c>
      <c r="X5" s="130">
        <f>VLOOKUP($A5,db_Jahr,gSP_Korr,FALSE)</f>
        <v>0</v>
      </c>
    </row>
    <row r="6" spans="1:24">
      <c r="A6" s="210">
        <f>IF(A5="","",IF(MONTH(A5+1)&lt;&gt;MONTH($C$3),"",A5+1))</f>
        <v>41640</v>
      </c>
      <c r="B6" s="162">
        <f t="shared" ref="B6:B35" si="13">IF(A6="","",NumberOfWeek(A6))</f>
        <v>1</v>
      </c>
      <c r="C6" s="364" t="str">
        <f t="shared" si="0"/>
        <v/>
      </c>
      <c r="D6" s="6" t="str">
        <f t="shared" si="1"/>
        <v/>
      </c>
      <c r="E6" s="7" t="str">
        <f t="shared" ref="E6:E35" si="14">IF(D6="",IF(F6="","",0),CODE(UPPER(D6)))</f>
        <v/>
      </c>
      <c r="F6" s="129" t="str">
        <f t="shared" si="2"/>
        <v/>
      </c>
      <c r="G6" s="129">
        <f t="shared" si="3"/>
        <v>0</v>
      </c>
      <c r="H6" s="129" t="str">
        <f t="shared" si="4"/>
        <v/>
      </c>
      <c r="I6" s="129">
        <f t="shared" si="5"/>
        <v>0</v>
      </c>
      <c r="J6" s="129">
        <f t="shared" si="6"/>
        <v>0</v>
      </c>
      <c r="K6" s="75"/>
      <c r="L6" s="131">
        <f t="shared" ref="L6:L35" si="15">VLOOKUP($A6,db_Jahr,gSP_Abzug,FALSE)</f>
        <v>4.1666666666666664E-2</v>
      </c>
      <c r="M6" s="129">
        <f t="shared" ref="M6:M35" si="16">VLOOKUP($A6,db_Jahr,gSP_Soll,FALSE)</f>
        <v>0</v>
      </c>
      <c r="N6" s="164">
        <f t="shared" ref="N6:N35" si="17">VLOOKUP($A6,db_Jahr,gSP_V_Soll,FALSE)</f>
        <v>0.33333333333333331</v>
      </c>
      <c r="O6" s="128">
        <f t="shared" si="7"/>
        <v>0</v>
      </c>
      <c r="P6" s="76" t="str">
        <f t="shared" si="8"/>
        <v/>
      </c>
      <c r="Q6" s="164">
        <f t="shared" ref="Q6:Q35" si="18">VLOOKUP($A6,db_Jahr,gSP_V_Overtime,FALSE)</f>
        <v>0</v>
      </c>
      <c r="R6" s="129" t="str">
        <f t="shared" ref="R6:R35" si="19">VLOOKUP($A6,db_Jahr,gSP_MaxOvertime,FALSE)</f>
        <v/>
      </c>
      <c r="S6" s="77">
        <f t="shared" si="9"/>
        <v>0</v>
      </c>
      <c r="T6" s="77">
        <f t="shared" si="10"/>
        <v>0</v>
      </c>
      <c r="U6" s="77" t="str">
        <f t="shared" si="11"/>
        <v/>
      </c>
      <c r="V6" s="78">
        <f t="shared" si="12"/>
        <v>2</v>
      </c>
      <c r="W6" s="130">
        <f>W5+SUM(O6)-X6</f>
        <v>0</v>
      </c>
      <c r="X6" s="130">
        <f t="shared" ref="X6:X35" si="20">VLOOKUP($A6,db_Jahr,gSP_Korr,FALSE)</f>
        <v>0</v>
      </c>
    </row>
    <row r="7" spans="1:24">
      <c r="A7" s="210">
        <f t="shared" ref="A7:A35" si="21">IF(A6="","",IF(MONTH(A6+1)&lt;&gt;MONTH($C$3),"",A6+1))</f>
        <v>41641</v>
      </c>
      <c r="B7" s="162">
        <f t="shared" si="13"/>
        <v>1</v>
      </c>
      <c r="C7" s="364" t="str">
        <f t="shared" si="0"/>
        <v/>
      </c>
      <c r="D7" s="6" t="str">
        <f t="shared" si="1"/>
        <v/>
      </c>
      <c r="E7" s="7" t="str">
        <f t="shared" si="14"/>
        <v/>
      </c>
      <c r="F7" s="129" t="str">
        <f t="shared" si="2"/>
        <v/>
      </c>
      <c r="G7" s="129">
        <f t="shared" si="3"/>
        <v>0</v>
      </c>
      <c r="H7" s="129" t="str">
        <f t="shared" si="4"/>
        <v/>
      </c>
      <c r="I7" s="129">
        <f t="shared" si="5"/>
        <v>0</v>
      </c>
      <c r="J7" s="129">
        <f t="shared" si="6"/>
        <v>0</v>
      </c>
      <c r="K7" s="75"/>
      <c r="L7" s="131">
        <f t="shared" si="15"/>
        <v>4.1666666666666664E-2</v>
      </c>
      <c r="M7" s="129">
        <f t="shared" si="16"/>
        <v>0</v>
      </c>
      <c r="N7" s="164">
        <f t="shared" si="17"/>
        <v>0.33333333333333331</v>
      </c>
      <c r="O7" s="128">
        <f t="shared" si="7"/>
        <v>0</v>
      </c>
      <c r="P7" s="76" t="str">
        <f t="shared" si="8"/>
        <v/>
      </c>
      <c r="Q7" s="164">
        <f t="shared" si="18"/>
        <v>0</v>
      </c>
      <c r="R7" s="129" t="str">
        <f t="shared" si="19"/>
        <v/>
      </c>
      <c r="S7" s="77">
        <f t="shared" si="9"/>
        <v>0</v>
      </c>
      <c r="T7" s="77">
        <f t="shared" si="10"/>
        <v>0</v>
      </c>
      <c r="U7" s="77" t="str">
        <f t="shared" si="11"/>
        <v/>
      </c>
      <c r="V7" s="78">
        <f t="shared" si="12"/>
        <v>3</v>
      </c>
      <c r="W7" s="130">
        <f t="shared" ref="W7:W35" si="22">W6+SUM(O7)-X7</f>
        <v>0</v>
      </c>
      <c r="X7" s="130">
        <f t="shared" si="20"/>
        <v>0</v>
      </c>
    </row>
    <row r="8" spans="1:24">
      <c r="A8" s="210">
        <f t="shared" si="21"/>
        <v>41642</v>
      </c>
      <c r="B8" s="162">
        <f t="shared" si="13"/>
        <v>1</v>
      </c>
      <c r="C8" s="364" t="str">
        <f t="shared" si="0"/>
        <v/>
      </c>
      <c r="D8" s="6" t="str">
        <f t="shared" si="1"/>
        <v/>
      </c>
      <c r="E8" s="7" t="str">
        <f t="shared" si="14"/>
        <v/>
      </c>
      <c r="F8" s="129" t="str">
        <f t="shared" si="2"/>
        <v/>
      </c>
      <c r="G8" s="129">
        <f t="shared" si="3"/>
        <v>0</v>
      </c>
      <c r="H8" s="129" t="str">
        <f t="shared" si="4"/>
        <v/>
      </c>
      <c r="I8" s="129">
        <f t="shared" si="5"/>
        <v>0</v>
      </c>
      <c r="J8" s="129">
        <f t="shared" si="6"/>
        <v>0</v>
      </c>
      <c r="K8" s="75"/>
      <c r="L8" s="131">
        <f t="shared" si="15"/>
        <v>4.1666666666666664E-2</v>
      </c>
      <c r="M8" s="129">
        <f t="shared" si="16"/>
        <v>0</v>
      </c>
      <c r="N8" s="164">
        <f t="shared" si="17"/>
        <v>0.33333333333333331</v>
      </c>
      <c r="O8" s="128">
        <f t="shared" si="7"/>
        <v>0</v>
      </c>
      <c r="P8" s="76" t="str">
        <f t="shared" si="8"/>
        <v/>
      </c>
      <c r="Q8" s="164">
        <f t="shared" si="18"/>
        <v>0</v>
      </c>
      <c r="R8" s="129" t="str">
        <f t="shared" si="19"/>
        <v/>
      </c>
      <c r="S8" s="77">
        <f t="shared" si="9"/>
        <v>0</v>
      </c>
      <c r="T8" s="77">
        <f t="shared" si="10"/>
        <v>0</v>
      </c>
      <c r="U8" s="77" t="str">
        <f t="shared" si="11"/>
        <v/>
      </c>
      <c r="V8" s="78">
        <f t="shared" si="12"/>
        <v>4</v>
      </c>
      <c r="W8" s="130">
        <f t="shared" si="22"/>
        <v>0</v>
      </c>
      <c r="X8" s="130">
        <f t="shared" si="20"/>
        <v>0</v>
      </c>
    </row>
    <row r="9" spans="1:24">
      <c r="A9" s="210">
        <f t="shared" si="21"/>
        <v>41643</v>
      </c>
      <c r="B9" s="162">
        <f t="shared" si="13"/>
        <v>1</v>
      </c>
      <c r="C9" s="364" t="str">
        <f t="shared" si="0"/>
        <v/>
      </c>
      <c r="D9" s="6" t="str">
        <f t="shared" si="1"/>
        <v/>
      </c>
      <c r="E9" s="7" t="str">
        <f t="shared" si="14"/>
        <v/>
      </c>
      <c r="F9" s="129" t="str">
        <f t="shared" si="2"/>
        <v/>
      </c>
      <c r="G9" s="129">
        <f t="shared" si="3"/>
        <v>0</v>
      </c>
      <c r="H9" s="129" t="str">
        <f t="shared" si="4"/>
        <v/>
      </c>
      <c r="I9" s="129">
        <f t="shared" si="5"/>
        <v>0</v>
      </c>
      <c r="J9" s="129">
        <f t="shared" si="6"/>
        <v>0</v>
      </c>
      <c r="K9" s="75"/>
      <c r="L9" s="131">
        <f t="shared" si="15"/>
        <v>4.1666666666666664E-2</v>
      </c>
      <c r="M9" s="129">
        <f t="shared" si="16"/>
        <v>0</v>
      </c>
      <c r="N9" s="164">
        <f t="shared" si="17"/>
        <v>0.33333333333333331</v>
      </c>
      <c r="O9" s="128">
        <f t="shared" si="7"/>
        <v>0</v>
      </c>
      <c r="P9" s="76" t="str">
        <f t="shared" si="8"/>
        <v/>
      </c>
      <c r="Q9" s="164">
        <f t="shared" si="18"/>
        <v>0</v>
      </c>
      <c r="R9" s="129" t="str">
        <f t="shared" si="19"/>
        <v/>
      </c>
      <c r="S9" s="77">
        <f t="shared" si="9"/>
        <v>0</v>
      </c>
      <c r="T9" s="77">
        <f t="shared" si="10"/>
        <v>0</v>
      </c>
      <c r="U9" s="77" t="str">
        <f t="shared" si="11"/>
        <v/>
      </c>
      <c r="V9" s="78">
        <f t="shared" si="12"/>
        <v>5</v>
      </c>
      <c r="W9" s="130">
        <f t="shared" si="22"/>
        <v>0</v>
      </c>
      <c r="X9" s="130">
        <f t="shared" si="20"/>
        <v>0</v>
      </c>
    </row>
    <row r="10" spans="1:24">
      <c r="A10" s="210">
        <f t="shared" si="21"/>
        <v>41644</v>
      </c>
      <c r="B10" s="162">
        <f t="shared" si="13"/>
        <v>1</v>
      </c>
      <c r="C10" s="364" t="str">
        <f t="shared" si="0"/>
        <v>hl. Dreikönig</v>
      </c>
      <c r="D10" s="6" t="str">
        <f t="shared" si="1"/>
        <v/>
      </c>
      <c r="E10" s="7" t="str">
        <f t="shared" si="14"/>
        <v/>
      </c>
      <c r="F10" s="129" t="str">
        <f t="shared" si="2"/>
        <v/>
      </c>
      <c r="G10" s="129">
        <f t="shared" si="3"/>
        <v>0</v>
      </c>
      <c r="H10" s="129" t="str">
        <f t="shared" si="4"/>
        <v/>
      </c>
      <c r="I10" s="129">
        <f t="shared" si="5"/>
        <v>0</v>
      </c>
      <c r="J10" s="129">
        <f t="shared" si="6"/>
        <v>0</v>
      </c>
      <c r="K10" s="75"/>
      <c r="L10" s="131">
        <f t="shared" si="15"/>
        <v>4.1666666666666664E-2</v>
      </c>
      <c r="M10" s="129">
        <f t="shared" si="16"/>
        <v>0</v>
      </c>
      <c r="N10" s="164" t="str">
        <f t="shared" si="17"/>
        <v/>
      </c>
      <c r="O10" s="128" t="str">
        <f t="shared" si="7"/>
        <v/>
      </c>
      <c r="P10" s="76" t="str">
        <f t="shared" si="8"/>
        <v/>
      </c>
      <c r="Q10" s="164">
        <f t="shared" si="18"/>
        <v>0</v>
      </c>
      <c r="R10" s="129" t="str">
        <f t="shared" si="19"/>
        <v/>
      </c>
      <c r="S10" s="77">
        <f t="shared" si="9"/>
        <v>0</v>
      </c>
      <c r="T10" s="77">
        <f t="shared" si="10"/>
        <v>0</v>
      </c>
      <c r="U10" s="77" t="str">
        <f t="shared" si="11"/>
        <v/>
      </c>
      <c r="V10" s="78">
        <f t="shared" si="12"/>
        <v>8</v>
      </c>
      <c r="W10" s="130">
        <f t="shared" si="22"/>
        <v>0</v>
      </c>
      <c r="X10" s="130">
        <f t="shared" si="20"/>
        <v>0</v>
      </c>
    </row>
    <row r="11" spans="1:24">
      <c r="A11" s="210">
        <f t="shared" si="21"/>
        <v>41645</v>
      </c>
      <c r="B11" s="162">
        <f t="shared" si="13"/>
        <v>1</v>
      </c>
      <c r="C11" s="364" t="str">
        <f t="shared" si="0"/>
        <v/>
      </c>
      <c r="D11" s="6" t="str">
        <f t="shared" si="1"/>
        <v/>
      </c>
      <c r="E11" s="7" t="str">
        <f t="shared" si="14"/>
        <v/>
      </c>
      <c r="F11" s="129" t="str">
        <f t="shared" si="2"/>
        <v/>
      </c>
      <c r="G11" s="129">
        <f t="shared" si="3"/>
        <v>0</v>
      </c>
      <c r="H11" s="129" t="str">
        <f t="shared" si="4"/>
        <v/>
      </c>
      <c r="I11" s="129">
        <f t="shared" si="5"/>
        <v>0</v>
      </c>
      <c r="J11" s="129">
        <f t="shared" si="6"/>
        <v>0</v>
      </c>
      <c r="K11" s="75"/>
      <c r="L11" s="131">
        <f t="shared" si="15"/>
        <v>4.1666666666666664E-2</v>
      </c>
      <c r="M11" s="129">
        <f t="shared" si="16"/>
        <v>0</v>
      </c>
      <c r="N11" s="164">
        <f t="shared" si="17"/>
        <v>0</v>
      </c>
      <c r="O11" s="128">
        <f t="shared" si="7"/>
        <v>0</v>
      </c>
      <c r="P11" s="76" t="str">
        <f t="shared" si="8"/>
        <v/>
      </c>
      <c r="Q11" s="164">
        <f t="shared" si="18"/>
        <v>0</v>
      </c>
      <c r="R11" s="129" t="str">
        <f t="shared" si="19"/>
        <v/>
      </c>
      <c r="S11" s="77">
        <f t="shared" si="9"/>
        <v>0</v>
      </c>
      <c r="T11" s="77">
        <f t="shared" si="10"/>
        <v>0</v>
      </c>
      <c r="U11" s="77" t="str">
        <f t="shared" si="11"/>
        <v/>
      </c>
      <c r="V11" s="78">
        <f t="shared" si="12"/>
        <v>7</v>
      </c>
      <c r="W11" s="130">
        <f t="shared" si="22"/>
        <v>0</v>
      </c>
      <c r="X11" s="130">
        <f t="shared" si="20"/>
        <v>0</v>
      </c>
    </row>
    <row r="12" spans="1:24">
      <c r="A12" s="210">
        <f t="shared" si="21"/>
        <v>41646</v>
      </c>
      <c r="B12" s="162">
        <f t="shared" si="13"/>
        <v>2</v>
      </c>
      <c r="C12" s="364" t="str">
        <f t="shared" si="0"/>
        <v/>
      </c>
      <c r="D12" s="6" t="str">
        <f t="shared" si="1"/>
        <v/>
      </c>
      <c r="E12" s="7" t="str">
        <f t="shared" si="14"/>
        <v/>
      </c>
      <c r="F12" s="129" t="str">
        <f t="shared" si="2"/>
        <v/>
      </c>
      <c r="G12" s="129">
        <f t="shared" si="3"/>
        <v>0</v>
      </c>
      <c r="H12" s="129" t="str">
        <f t="shared" si="4"/>
        <v/>
      </c>
      <c r="I12" s="129">
        <f t="shared" si="5"/>
        <v>0</v>
      </c>
      <c r="J12" s="129">
        <f t="shared" si="6"/>
        <v>0</v>
      </c>
      <c r="K12" s="75"/>
      <c r="L12" s="131">
        <f t="shared" si="15"/>
        <v>4.1666666666666664E-2</v>
      </c>
      <c r="M12" s="129">
        <f t="shared" si="16"/>
        <v>0</v>
      </c>
      <c r="N12" s="164">
        <f t="shared" si="17"/>
        <v>0.33333333333333331</v>
      </c>
      <c r="O12" s="128">
        <f t="shared" si="7"/>
        <v>0</v>
      </c>
      <c r="P12" s="76" t="str">
        <f t="shared" si="8"/>
        <v/>
      </c>
      <c r="Q12" s="164">
        <f t="shared" si="18"/>
        <v>0</v>
      </c>
      <c r="R12" s="129" t="str">
        <f t="shared" si="19"/>
        <v/>
      </c>
      <c r="S12" s="77">
        <f t="shared" si="9"/>
        <v>0</v>
      </c>
      <c r="T12" s="77">
        <f t="shared" si="10"/>
        <v>0</v>
      </c>
      <c r="U12" s="77" t="str">
        <f t="shared" si="11"/>
        <v/>
      </c>
      <c r="V12" s="78">
        <f t="shared" si="12"/>
        <v>1</v>
      </c>
      <c r="W12" s="130">
        <f t="shared" si="22"/>
        <v>0</v>
      </c>
      <c r="X12" s="130">
        <f t="shared" si="20"/>
        <v>0</v>
      </c>
    </row>
    <row r="13" spans="1:24">
      <c r="A13" s="210">
        <f t="shared" si="21"/>
        <v>41647</v>
      </c>
      <c r="B13" s="162">
        <f t="shared" si="13"/>
        <v>2</v>
      </c>
      <c r="C13" s="364" t="str">
        <f t="shared" si="0"/>
        <v/>
      </c>
      <c r="D13" s="6" t="str">
        <f t="shared" si="1"/>
        <v/>
      </c>
      <c r="E13" s="7" t="str">
        <f t="shared" si="14"/>
        <v/>
      </c>
      <c r="F13" s="129" t="str">
        <f t="shared" si="2"/>
        <v/>
      </c>
      <c r="G13" s="129">
        <f t="shared" si="3"/>
        <v>0</v>
      </c>
      <c r="H13" s="129" t="str">
        <f t="shared" si="4"/>
        <v/>
      </c>
      <c r="I13" s="129">
        <f t="shared" si="5"/>
        <v>0</v>
      </c>
      <c r="J13" s="129">
        <f t="shared" si="6"/>
        <v>0</v>
      </c>
      <c r="K13" s="75"/>
      <c r="L13" s="131">
        <f t="shared" si="15"/>
        <v>4.1666666666666664E-2</v>
      </c>
      <c r="M13" s="129">
        <f t="shared" si="16"/>
        <v>0</v>
      </c>
      <c r="N13" s="164">
        <f t="shared" si="17"/>
        <v>0.33333333333333331</v>
      </c>
      <c r="O13" s="128">
        <f t="shared" si="7"/>
        <v>0</v>
      </c>
      <c r="P13" s="76" t="str">
        <f t="shared" si="8"/>
        <v/>
      </c>
      <c r="Q13" s="164">
        <f t="shared" si="18"/>
        <v>0</v>
      </c>
      <c r="R13" s="129" t="str">
        <f t="shared" si="19"/>
        <v/>
      </c>
      <c r="S13" s="77">
        <f t="shared" si="9"/>
        <v>0</v>
      </c>
      <c r="T13" s="77">
        <f t="shared" si="10"/>
        <v>0</v>
      </c>
      <c r="U13" s="77" t="str">
        <f t="shared" si="11"/>
        <v/>
      </c>
      <c r="V13" s="78">
        <f t="shared" si="12"/>
        <v>2</v>
      </c>
      <c r="W13" s="130">
        <f t="shared" si="22"/>
        <v>0</v>
      </c>
      <c r="X13" s="130">
        <f t="shared" si="20"/>
        <v>0</v>
      </c>
    </row>
    <row r="14" spans="1:24">
      <c r="A14" s="210">
        <f t="shared" si="21"/>
        <v>41648</v>
      </c>
      <c r="B14" s="162">
        <f t="shared" si="13"/>
        <v>2</v>
      </c>
      <c r="C14" s="364" t="str">
        <f t="shared" si="0"/>
        <v/>
      </c>
      <c r="D14" s="6" t="str">
        <f t="shared" si="1"/>
        <v/>
      </c>
      <c r="E14" s="7" t="str">
        <f t="shared" si="14"/>
        <v/>
      </c>
      <c r="F14" s="129" t="str">
        <f t="shared" si="2"/>
        <v/>
      </c>
      <c r="G14" s="129">
        <f t="shared" si="3"/>
        <v>0</v>
      </c>
      <c r="H14" s="129" t="str">
        <f t="shared" si="4"/>
        <v/>
      </c>
      <c r="I14" s="129">
        <f t="shared" si="5"/>
        <v>0</v>
      </c>
      <c r="J14" s="129">
        <f t="shared" si="6"/>
        <v>0</v>
      </c>
      <c r="K14" s="75"/>
      <c r="L14" s="131">
        <f t="shared" si="15"/>
        <v>4.1666666666666664E-2</v>
      </c>
      <c r="M14" s="129">
        <f t="shared" si="16"/>
        <v>0</v>
      </c>
      <c r="N14" s="164">
        <f t="shared" si="17"/>
        <v>0.33333333333333331</v>
      </c>
      <c r="O14" s="128">
        <f t="shared" si="7"/>
        <v>0</v>
      </c>
      <c r="P14" s="76" t="str">
        <f t="shared" si="8"/>
        <v/>
      </c>
      <c r="Q14" s="164">
        <f t="shared" si="18"/>
        <v>0</v>
      </c>
      <c r="R14" s="129" t="str">
        <f t="shared" si="19"/>
        <v/>
      </c>
      <c r="S14" s="77">
        <f t="shared" si="9"/>
        <v>0</v>
      </c>
      <c r="T14" s="77">
        <f t="shared" si="10"/>
        <v>0</v>
      </c>
      <c r="U14" s="77" t="str">
        <f t="shared" si="11"/>
        <v/>
      </c>
      <c r="V14" s="78">
        <f t="shared" si="12"/>
        <v>3</v>
      </c>
      <c r="W14" s="130">
        <f t="shared" si="22"/>
        <v>0</v>
      </c>
      <c r="X14" s="130">
        <f t="shared" si="20"/>
        <v>0</v>
      </c>
    </row>
    <row r="15" spans="1:24">
      <c r="A15" s="210">
        <f t="shared" si="21"/>
        <v>41649</v>
      </c>
      <c r="B15" s="162">
        <f t="shared" si="13"/>
        <v>2</v>
      </c>
      <c r="C15" s="364" t="str">
        <f t="shared" si="0"/>
        <v/>
      </c>
      <c r="D15" s="6" t="str">
        <f t="shared" si="1"/>
        <v/>
      </c>
      <c r="E15" s="7" t="str">
        <f t="shared" si="14"/>
        <v/>
      </c>
      <c r="F15" s="129" t="str">
        <f t="shared" si="2"/>
        <v/>
      </c>
      <c r="G15" s="129">
        <f t="shared" si="3"/>
        <v>0</v>
      </c>
      <c r="H15" s="129" t="str">
        <f t="shared" si="4"/>
        <v/>
      </c>
      <c r="I15" s="129">
        <f t="shared" si="5"/>
        <v>0</v>
      </c>
      <c r="J15" s="129">
        <f t="shared" si="6"/>
        <v>0</v>
      </c>
      <c r="K15" s="75"/>
      <c r="L15" s="131">
        <f t="shared" si="15"/>
        <v>4.1666666666666664E-2</v>
      </c>
      <c r="M15" s="129">
        <f t="shared" si="16"/>
        <v>0</v>
      </c>
      <c r="N15" s="164">
        <f t="shared" si="17"/>
        <v>0.33333333333333331</v>
      </c>
      <c r="O15" s="128">
        <f t="shared" si="7"/>
        <v>0</v>
      </c>
      <c r="P15" s="76" t="str">
        <f t="shared" si="8"/>
        <v/>
      </c>
      <c r="Q15" s="164">
        <f t="shared" si="18"/>
        <v>0</v>
      </c>
      <c r="R15" s="129" t="str">
        <f t="shared" si="19"/>
        <v/>
      </c>
      <c r="S15" s="77">
        <f t="shared" si="9"/>
        <v>0</v>
      </c>
      <c r="T15" s="77">
        <f t="shared" si="10"/>
        <v>0</v>
      </c>
      <c r="U15" s="77" t="str">
        <f t="shared" si="11"/>
        <v/>
      </c>
      <c r="V15" s="78">
        <f t="shared" si="12"/>
        <v>4</v>
      </c>
      <c r="W15" s="130">
        <f t="shared" si="22"/>
        <v>0</v>
      </c>
      <c r="X15" s="130">
        <f t="shared" si="20"/>
        <v>0</v>
      </c>
    </row>
    <row r="16" spans="1:24">
      <c r="A16" s="210">
        <f t="shared" si="21"/>
        <v>41650</v>
      </c>
      <c r="B16" s="162">
        <f t="shared" si="13"/>
        <v>2</v>
      </c>
      <c r="C16" s="364" t="str">
        <f t="shared" si="0"/>
        <v/>
      </c>
      <c r="D16" s="6" t="str">
        <f t="shared" si="1"/>
        <v/>
      </c>
      <c r="E16" s="7" t="str">
        <f t="shared" si="14"/>
        <v/>
      </c>
      <c r="F16" s="129" t="str">
        <f t="shared" si="2"/>
        <v/>
      </c>
      <c r="G16" s="129">
        <f t="shared" si="3"/>
        <v>0</v>
      </c>
      <c r="H16" s="129" t="str">
        <f t="shared" si="4"/>
        <v/>
      </c>
      <c r="I16" s="129">
        <f t="shared" si="5"/>
        <v>0</v>
      </c>
      <c r="J16" s="129">
        <f t="shared" si="6"/>
        <v>0</v>
      </c>
      <c r="K16" s="75"/>
      <c r="L16" s="131">
        <f t="shared" si="15"/>
        <v>4.1666666666666664E-2</v>
      </c>
      <c r="M16" s="129">
        <f t="shared" si="16"/>
        <v>0</v>
      </c>
      <c r="N16" s="164">
        <f t="shared" si="17"/>
        <v>0.33333333333333331</v>
      </c>
      <c r="O16" s="128">
        <f t="shared" si="7"/>
        <v>0</v>
      </c>
      <c r="P16" s="76" t="str">
        <f t="shared" si="8"/>
        <v/>
      </c>
      <c r="Q16" s="164">
        <f t="shared" si="18"/>
        <v>0</v>
      </c>
      <c r="R16" s="129" t="str">
        <f t="shared" si="19"/>
        <v/>
      </c>
      <c r="S16" s="77">
        <f t="shared" si="9"/>
        <v>0</v>
      </c>
      <c r="T16" s="77">
        <f t="shared" si="10"/>
        <v>0</v>
      </c>
      <c r="U16" s="77" t="str">
        <f t="shared" si="11"/>
        <v/>
      </c>
      <c r="V16" s="78">
        <f t="shared" si="12"/>
        <v>5</v>
      </c>
      <c r="W16" s="130">
        <f t="shared" si="22"/>
        <v>0</v>
      </c>
      <c r="X16" s="130">
        <f t="shared" si="20"/>
        <v>0</v>
      </c>
    </row>
    <row r="17" spans="1:24">
      <c r="A17" s="210">
        <f t="shared" si="21"/>
        <v>41651</v>
      </c>
      <c r="B17" s="162">
        <f t="shared" si="13"/>
        <v>2</v>
      </c>
      <c r="C17" s="364" t="str">
        <f t="shared" si="0"/>
        <v/>
      </c>
      <c r="D17" s="6" t="str">
        <f t="shared" si="1"/>
        <v/>
      </c>
      <c r="E17" s="7" t="str">
        <f t="shared" si="14"/>
        <v/>
      </c>
      <c r="F17" s="129" t="str">
        <f t="shared" si="2"/>
        <v/>
      </c>
      <c r="G17" s="129">
        <f t="shared" si="3"/>
        <v>0</v>
      </c>
      <c r="H17" s="129" t="str">
        <f t="shared" si="4"/>
        <v/>
      </c>
      <c r="I17" s="129">
        <f t="shared" si="5"/>
        <v>0</v>
      </c>
      <c r="J17" s="129">
        <f t="shared" si="6"/>
        <v>0</v>
      </c>
      <c r="K17" s="75"/>
      <c r="L17" s="131">
        <f t="shared" si="15"/>
        <v>4.1666666666666664E-2</v>
      </c>
      <c r="M17" s="129">
        <f t="shared" si="16"/>
        <v>0</v>
      </c>
      <c r="N17" s="164">
        <f t="shared" si="17"/>
        <v>0</v>
      </c>
      <c r="O17" s="128">
        <f t="shared" si="7"/>
        <v>0</v>
      </c>
      <c r="P17" s="76" t="str">
        <f t="shared" si="8"/>
        <v/>
      </c>
      <c r="Q17" s="164">
        <f t="shared" si="18"/>
        <v>0</v>
      </c>
      <c r="R17" s="129" t="str">
        <f t="shared" si="19"/>
        <v/>
      </c>
      <c r="S17" s="77">
        <f t="shared" si="9"/>
        <v>0</v>
      </c>
      <c r="T17" s="77">
        <f t="shared" si="10"/>
        <v>0</v>
      </c>
      <c r="U17" s="77" t="str">
        <f t="shared" si="11"/>
        <v/>
      </c>
      <c r="V17" s="78">
        <f t="shared" si="12"/>
        <v>6</v>
      </c>
      <c r="W17" s="130">
        <f t="shared" si="22"/>
        <v>0</v>
      </c>
      <c r="X17" s="130">
        <f t="shared" si="20"/>
        <v>0</v>
      </c>
    </row>
    <row r="18" spans="1:24">
      <c r="A18" s="210">
        <f t="shared" si="21"/>
        <v>41652</v>
      </c>
      <c r="B18" s="162">
        <f t="shared" si="13"/>
        <v>2</v>
      </c>
      <c r="C18" s="364" t="str">
        <f t="shared" si="0"/>
        <v/>
      </c>
      <c r="D18" s="6" t="str">
        <f t="shared" si="1"/>
        <v/>
      </c>
      <c r="E18" s="7" t="str">
        <f t="shared" si="14"/>
        <v/>
      </c>
      <c r="F18" s="129" t="str">
        <f t="shared" si="2"/>
        <v/>
      </c>
      <c r="G18" s="129">
        <f t="shared" si="3"/>
        <v>0</v>
      </c>
      <c r="H18" s="129" t="str">
        <f t="shared" si="4"/>
        <v/>
      </c>
      <c r="I18" s="129">
        <f t="shared" si="5"/>
        <v>0</v>
      </c>
      <c r="J18" s="129">
        <f t="shared" si="6"/>
        <v>0</v>
      </c>
      <c r="K18" s="75"/>
      <c r="L18" s="131">
        <f t="shared" si="15"/>
        <v>4.1666666666666664E-2</v>
      </c>
      <c r="M18" s="129">
        <f t="shared" si="16"/>
        <v>0</v>
      </c>
      <c r="N18" s="164">
        <f t="shared" si="17"/>
        <v>0</v>
      </c>
      <c r="O18" s="128">
        <f t="shared" si="7"/>
        <v>0</v>
      </c>
      <c r="P18" s="76" t="str">
        <f t="shared" si="8"/>
        <v/>
      </c>
      <c r="Q18" s="164">
        <f t="shared" si="18"/>
        <v>0</v>
      </c>
      <c r="R18" s="129" t="str">
        <f t="shared" si="19"/>
        <v/>
      </c>
      <c r="S18" s="77">
        <f t="shared" si="9"/>
        <v>0</v>
      </c>
      <c r="T18" s="77">
        <f t="shared" si="10"/>
        <v>0</v>
      </c>
      <c r="U18" s="77" t="str">
        <f t="shared" si="11"/>
        <v/>
      </c>
      <c r="V18" s="78">
        <f t="shared" si="12"/>
        <v>7</v>
      </c>
      <c r="W18" s="130">
        <f t="shared" si="22"/>
        <v>0</v>
      </c>
      <c r="X18" s="130">
        <f t="shared" si="20"/>
        <v>0</v>
      </c>
    </row>
    <row r="19" spans="1:24">
      <c r="A19" s="210">
        <f t="shared" si="21"/>
        <v>41653</v>
      </c>
      <c r="B19" s="162">
        <f t="shared" si="13"/>
        <v>3</v>
      </c>
      <c r="C19" s="364" t="str">
        <f t="shared" si="0"/>
        <v/>
      </c>
      <c r="D19" s="6" t="str">
        <f t="shared" si="1"/>
        <v/>
      </c>
      <c r="E19" s="7" t="str">
        <f t="shared" si="14"/>
        <v/>
      </c>
      <c r="F19" s="129" t="str">
        <f t="shared" si="2"/>
        <v/>
      </c>
      <c r="G19" s="129">
        <f t="shared" si="3"/>
        <v>0</v>
      </c>
      <c r="H19" s="129" t="str">
        <f t="shared" si="4"/>
        <v/>
      </c>
      <c r="I19" s="129">
        <f t="shared" si="5"/>
        <v>0</v>
      </c>
      <c r="J19" s="129">
        <f t="shared" si="6"/>
        <v>0</v>
      </c>
      <c r="K19" s="75"/>
      <c r="L19" s="131">
        <f t="shared" si="15"/>
        <v>4.1666666666666664E-2</v>
      </c>
      <c r="M19" s="129">
        <f t="shared" si="16"/>
        <v>0</v>
      </c>
      <c r="N19" s="164">
        <f t="shared" si="17"/>
        <v>0.33333333333333331</v>
      </c>
      <c r="O19" s="128">
        <f t="shared" si="7"/>
        <v>0</v>
      </c>
      <c r="P19" s="76" t="str">
        <f t="shared" si="8"/>
        <v/>
      </c>
      <c r="Q19" s="164">
        <f t="shared" si="18"/>
        <v>0</v>
      </c>
      <c r="R19" s="129" t="str">
        <f t="shared" si="19"/>
        <v/>
      </c>
      <c r="S19" s="77">
        <f t="shared" si="9"/>
        <v>0</v>
      </c>
      <c r="T19" s="77">
        <f t="shared" si="10"/>
        <v>0</v>
      </c>
      <c r="U19" s="77" t="str">
        <f t="shared" si="11"/>
        <v/>
      </c>
      <c r="V19" s="78">
        <f t="shared" si="12"/>
        <v>1</v>
      </c>
      <c r="W19" s="130">
        <f t="shared" si="22"/>
        <v>0</v>
      </c>
      <c r="X19" s="130">
        <f t="shared" si="20"/>
        <v>0</v>
      </c>
    </row>
    <row r="20" spans="1:24">
      <c r="A20" s="210">
        <f t="shared" si="21"/>
        <v>41654</v>
      </c>
      <c r="B20" s="162">
        <f t="shared" si="13"/>
        <v>3</v>
      </c>
      <c r="C20" s="364" t="str">
        <f t="shared" si="0"/>
        <v/>
      </c>
      <c r="D20" s="6" t="str">
        <f t="shared" si="1"/>
        <v/>
      </c>
      <c r="E20" s="7" t="str">
        <f t="shared" si="14"/>
        <v/>
      </c>
      <c r="F20" s="129" t="str">
        <f t="shared" si="2"/>
        <v/>
      </c>
      <c r="G20" s="129">
        <f t="shared" si="3"/>
        <v>0</v>
      </c>
      <c r="H20" s="129" t="str">
        <f t="shared" si="4"/>
        <v/>
      </c>
      <c r="I20" s="129">
        <f t="shared" si="5"/>
        <v>0</v>
      </c>
      <c r="J20" s="129">
        <f t="shared" si="6"/>
        <v>0</v>
      </c>
      <c r="K20" s="75"/>
      <c r="L20" s="131">
        <f t="shared" si="15"/>
        <v>4.1666666666666664E-2</v>
      </c>
      <c r="M20" s="129">
        <f t="shared" si="16"/>
        <v>0</v>
      </c>
      <c r="N20" s="164">
        <f t="shared" si="17"/>
        <v>0.33333333333333331</v>
      </c>
      <c r="O20" s="128">
        <f t="shared" si="7"/>
        <v>0</v>
      </c>
      <c r="P20" s="76" t="str">
        <f t="shared" si="8"/>
        <v/>
      </c>
      <c r="Q20" s="164">
        <f t="shared" si="18"/>
        <v>0</v>
      </c>
      <c r="R20" s="129" t="str">
        <f t="shared" si="19"/>
        <v/>
      </c>
      <c r="S20" s="77">
        <f t="shared" si="9"/>
        <v>0</v>
      </c>
      <c r="T20" s="77">
        <f t="shared" si="10"/>
        <v>0</v>
      </c>
      <c r="U20" s="77" t="str">
        <f t="shared" si="11"/>
        <v/>
      </c>
      <c r="V20" s="78">
        <f t="shared" si="12"/>
        <v>2</v>
      </c>
      <c r="W20" s="130">
        <f t="shared" si="22"/>
        <v>0</v>
      </c>
      <c r="X20" s="130">
        <f t="shared" si="20"/>
        <v>0</v>
      </c>
    </row>
    <row r="21" spans="1:24">
      <c r="A21" s="210">
        <f t="shared" si="21"/>
        <v>41655</v>
      </c>
      <c r="B21" s="162">
        <f t="shared" si="13"/>
        <v>3</v>
      </c>
      <c r="C21" s="364" t="str">
        <f t="shared" si="0"/>
        <v/>
      </c>
      <c r="D21" s="6" t="str">
        <f t="shared" si="1"/>
        <v/>
      </c>
      <c r="E21" s="7" t="str">
        <f t="shared" si="14"/>
        <v/>
      </c>
      <c r="F21" s="129" t="str">
        <f t="shared" ref="F21:F35" si="23">IF(ISNUMBER(VLOOKUP($A21,db_Jahr,gSP_Kom1,FALSE)),VLOOKUP($A21,db_Jahr,gSP_Kom1,FALSE),"")</f>
        <v/>
      </c>
      <c r="G21" s="129">
        <f t="shared" si="3"/>
        <v>0</v>
      </c>
      <c r="H21" s="129" t="str">
        <f t="shared" si="4"/>
        <v/>
      </c>
      <c r="I21" s="129">
        <f t="shared" si="5"/>
        <v>0</v>
      </c>
      <c r="J21" s="129">
        <f t="shared" si="6"/>
        <v>0</v>
      </c>
      <c r="K21" s="75"/>
      <c r="L21" s="131">
        <f t="shared" si="15"/>
        <v>4.1666666666666664E-2</v>
      </c>
      <c r="M21" s="129">
        <f t="shared" si="16"/>
        <v>0</v>
      </c>
      <c r="N21" s="164">
        <f t="shared" si="17"/>
        <v>0.33333333333333331</v>
      </c>
      <c r="O21" s="128">
        <f t="shared" si="7"/>
        <v>0</v>
      </c>
      <c r="P21" s="76" t="str">
        <f t="shared" si="8"/>
        <v/>
      </c>
      <c r="Q21" s="164">
        <f t="shared" si="18"/>
        <v>0</v>
      </c>
      <c r="R21" s="129" t="str">
        <f t="shared" si="19"/>
        <v/>
      </c>
      <c r="S21" s="77">
        <f t="shared" si="9"/>
        <v>0</v>
      </c>
      <c r="T21" s="77">
        <f t="shared" si="10"/>
        <v>0</v>
      </c>
      <c r="U21" s="77" t="str">
        <f t="shared" si="11"/>
        <v/>
      </c>
      <c r="V21" s="78">
        <f t="shared" si="12"/>
        <v>3</v>
      </c>
      <c r="W21" s="130">
        <f t="shared" si="22"/>
        <v>0</v>
      </c>
      <c r="X21" s="130">
        <f t="shared" si="20"/>
        <v>0</v>
      </c>
    </row>
    <row r="22" spans="1:24">
      <c r="A22" s="210">
        <f t="shared" si="21"/>
        <v>41656</v>
      </c>
      <c r="B22" s="162">
        <f t="shared" si="13"/>
        <v>3</v>
      </c>
      <c r="C22" s="364" t="str">
        <f t="shared" si="0"/>
        <v/>
      </c>
      <c r="D22" s="6" t="str">
        <f t="shared" si="1"/>
        <v/>
      </c>
      <c r="E22" s="7" t="str">
        <f t="shared" si="14"/>
        <v/>
      </c>
      <c r="F22" s="129" t="str">
        <f t="shared" si="23"/>
        <v/>
      </c>
      <c r="G22" s="129">
        <f t="shared" si="3"/>
        <v>0</v>
      </c>
      <c r="H22" s="129" t="str">
        <f t="shared" si="4"/>
        <v/>
      </c>
      <c r="I22" s="129">
        <f t="shared" si="5"/>
        <v>0</v>
      </c>
      <c r="J22" s="129">
        <f t="shared" si="6"/>
        <v>0</v>
      </c>
      <c r="K22" s="75"/>
      <c r="L22" s="131">
        <f t="shared" si="15"/>
        <v>4.1666666666666664E-2</v>
      </c>
      <c r="M22" s="129">
        <f t="shared" si="16"/>
        <v>0</v>
      </c>
      <c r="N22" s="164">
        <f t="shared" si="17"/>
        <v>0.33333333333333331</v>
      </c>
      <c r="O22" s="128">
        <f t="shared" si="7"/>
        <v>0</v>
      </c>
      <c r="P22" s="76" t="str">
        <f t="shared" si="8"/>
        <v/>
      </c>
      <c r="Q22" s="164">
        <f t="shared" si="18"/>
        <v>0</v>
      </c>
      <c r="R22" s="129" t="str">
        <f t="shared" si="19"/>
        <v/>
      </c>
      <c r="S22" s="77">
        <f t="shared" si="9"/>
        <v>0</v>
      </c>
      <c r="T22" s="77">
        <f t="shared" si="10"/>
        <v>0</v>
      </c>
      <c r="U22" s="77" t="str">
        <f t="shared" si="11"/>
        <v/>
      </c>
      <c r="V22" s="78">
        <f t="shared" si="12"/>
        <v>4</v>
      </c>
      <c r="W22" s="130">
        <f t="shared" si="22"/>
        <v>0</v>
      </c>
      <c r="X22" s="130">
        <f t="shared" si="20"/>
        <v>0</v>
      </c>
    </row>
    <row r="23" spans="1:24">
      <c r="A23" s="210">
        <f t="shared" si="21"/>
        <v>41657</v>
      </c>
      <c r="B23" s="162">
        <f t="shared" si="13"/>
        <v>3</v>
      </c>
      <c r="C23" s="364" t="str">
        <f t="shared" si="0"/>
        <v/>
      </c>
      <c r="D23" s="6" t="str">
        <f t="shared" si="1"/>
        <v/>
      </c>
      <c r="E23" s="7" t="str">
        <f t="shared" si="14"/>
        <v/>
      </c>
      <c r="F23" s="129" t="str">
        <f t="shared" si="23"/>
        <v/>
      </c>
      <c r="G23" s="129">
        <f t="shared" si="3"/>
        <v>0</v>
      </c>
      <c r="H23" s="129" t="str">
        <f t="shared" si="4"/>
        <v/>
      </c>
      <c r="I23" s="129">
        <f t="shared" si="5"/>
        <v>0</v>
      </c>
      <c r="J23" s="129">
        <f t="shared" si="6"/>
        <v>0</v>
      </c>
      <c r="K23" s="75"/>
      <c r="L23" s="131">
        <f t="shared" si="15"/>
        <v>4.1666666666666664E-2</v>
      </c>
      <c r="M23" s="129">
        <f t="shared" si="16"/>
        <v>0</v>
      </c>
      <c r="N23" s="164">
        <f t="shared" si="17"/>
        <v>0.33333333333333331</v>
      </c>
      <c r="O23" s="128">
        <f t="shared" si="7"/>
        <v>0</v>
      </c>
      <c r="P23" s="76" t="str">
        <f t="shared" si="8"/>
        <v/>
      </c>
      <c r="Q23" s="164">
        <f t="shared" si="18"/>
        <v>0</v>
      </c>
      <c r="R23" s="129" t="str">
        <f t="shared" si="19"/>
        <v/>
      </c>
      <c r="S23" s="77">
        <f t="shared" si="9"/>
        <v>0</v>
      </c>
      <c r="T23" s="77">
        <f t="shared" si="10"/>
        <v>0</v>
      </c>
      <c r="U23" s="77" t="str">
        <f t="shared" si="11"/>
        <v/>
      </c>
      <c r="V23" s="78">
        <f t="shared" si="12"/>
        <v>5</v>
      </c>
      <c r="W23" s="130">
        <f t="shared" si="22"/>
        <v>0</v>
      </c>
      <c r="X23" s="130">
        <f t="shared" si="20"/>
        <v>0</v>
      </c>
    </row>
    <row r="24" spans="1:24">
      <c r="A24" s="210">
        <f t="shared" si="21"/>
        <v>41658</v>
      </c>
      <c r="B24" s="162">
        <f t="shared" si="13"/>
        <v>3</v>
      </c>
      <c r="C24" s="364" t="str">
        <f t="shared" si="0"/>
        <v/>
      </c>
      <c r="D24" s="6" t="str">
        <f t="shared" si="1"/>
        <v/>
      </c>
      <c r="E24" s="7" t="str">
        <f t="shared" si="14"/>
        <v/>
      </c>
      <c r="F24" s="129" t="str">
        <f t="shared" si="23"/>
        <v/>
      </c>
      <c r="G24" s="129">
        <f t="shared" si="3"/>
        <v>0</v>
      </c>
      <c r="H24" s="129" t="str">
        <f t="shared" si="4"/>
        <v/>
      </c>
      <c r="I24" s="129">
        <f t="shared" si="5"/>
        <v>0</v>
      </c>
      <c r="J24" s="129">
        <f t="shared" si="6"/>
        <v>0</v>
      </c>
      <c r="K24" s="75"/>
      <c r="L24" s="131">
        <f>VLOOKUP($A24,db_Jahr,gSP_Abzug,FALSE)</f>
        <v>4.1666666666666664E-2</v>
      </c>
      <c r="M24" s="129">
        <f t="shared" si="16"/>
        <v>0</v>
      </c>
      <c r="N24" s="164">
        <f t="shared" si="17"/>
        <v>0</v>
      </c>
      <c r="O24" s="128">
        <f t="shared" si="7"/>
        <v>0</v>
      </c>
      <c r="P24" s="76" t="str">
        <f t="shared" si="8"/>
        <v/>
      </c>
      <c r="Q24" s="164">
        <f t="shared" si="18"/>
        <v>0</v>
      </c>
      <c r="R24" s="129" t="str">
        <f t="shared" si="19"/>
        <v/>
      </c>
      <c r="S24" s="77">
        <f t="shared" si="9"/>
        <v>0</v>
      </c>
      <c r="T24" s="77">
        <f t="shared" si="10"/>
        <v>0</v>
      </c>
      <c r="U24" s="77" t="str">
        <f t="shared" si="11"/>
        <v/>
      </c>
      <c r="V24" s="78">
        <f t="shared" si="12"/>
        <v>6</v>
      </c>
      <c r="W24" s="130">
        <f t="shared" si="22"/>
        <v>0</v>
      </c>
      <c r="X24" s="130">
        <f t="shared" si="20"/>
        <v>0</v>
      </c>
    </row>
    <row r="25" spans="1:24">
      <c r="A25" s="210">
        <f t="shared" si="21"/>
        <v>41659</v>
      </c>
      <c r="B25" s="162">
        <f t="shared" si="13"/>
        <v>3</v>
      </c>
      <c r="C25" s="364" t="str">
        <f t="shared" si="0"/>
        <v/>
      </c>
      <c r="D25" s="6" t="str">
        <f t="shared" si="1"/>
        <v/>
      </c>
      <c r="E25" s="7" t="str">
        <f t="shared" si="14"/>
        <v/>
      </c>
      <c r="F25" s="129" t="str">
        <f t="shared" si="23"/>
        <v/>
      </c>
      <c r="G25" s="129">
        <f t="shared" si="3"/>
        <v>0</v>
      </c>
      <c r="H25" s="129" t="str">
        <f t="shared" si="4"/>
        <v/>
      </c>
      <c r="I25" s="129">
        <f t="shared" si="5"/>
        <v>0</v>
      </c>
      <c r="J25" s="129">
        <f t="shared" si="6"/>
        <v>0</v>
      </c>
      <c r="K25" s="75"/>
      <c r="L25" s="131">
        <f t="shared" si="15"/>
        <v>4.1666666666666664E-2</v>
      </c>
      <c r="M25" s="129">
        <f t="shared" si="16"/>
        <v>0</v>
      </c>
      <c r="N25" s="164">
        <f t="shared" si="17"/>
        <v>0</v>
      </c>
      <c r="O25" s="128">
        <f t="shared" si="7"/>
        <v>0</v>
      </c>
      <c r="P25" s="76" t="str">
        <f t="shared" si="8"/>
        <v/>
      </c>
      <c r="Q25" s="164">
        <f t="shared" si="18"/>
        <v>0</v>
      </c>
      <c r="R25" s="129" t="str">
        <f t="shared" si="19"/>
        <v/>
      </c>
      <c r="S25" s="77">
        <f t="shared" si="9"/>
        <v>0</v>
      </c>
      <c r="T25" s="77">
        <f t="shared" si="10"/>
        <v>0</v>
      </c>
      <c r="U25" s="77" t="str">
        <f t="shared" si="11"/>
        <v/>
      </c>
      <c r="V25" s="78">
        <f t="shared" si="12"/>
        <v>7</v>
      </c>
      <c r="W25" s="130">
        <f t="shared" si="22"/>
        <v>0</v>
      </c>
      <c r="X25" s="130">
        <f t="shared" si="20"/>
        <v>0</v>
      </c>
    </row>
    <row r="26" spans="1:24">
      <c r="A26" s="210">
        <f t="shared" si="21"/>
        <v>41660</v>
      </c>
      <c r="B26" s="162">
        <f t="shared" si="13"/>
        <v>4</v>
      </c>
      <c r="C26" s="364" t="str">
        <f t="shared" si="0"/>
        <v/>
      </c>
      <c r="D26" s="6" t="str">
        <f t="shared" si="1"/>
        <v/>
      </c>
      <c r="E26" s="7" t="str">
        <f t="shared" si="14"/>
        <v/>
      </c>
      <c r="F26" s="129" t="str">
        <f t="shared" si="23"/>
        <v/>
      </c>
      <c r="G26" s="129">
        <f t="shared" si="3"/>
        <v>0</v>
      </c>
      <c r="H26" s="129" t="str">
        <f t="shared" si="4"/>
        <v/>
      </c>
      <c r="I26" s="129">
        <f t="shared" si="5"/>
        <v>0</v>
      </c>
      <c r="J26" s="129">
        <f t="shared" si="6"/>
        <v>0</v>
      </c>
      <c r="K26" s="75"/>
      <c r="L26" s="131">
        <f t="shared" si="15"/>
        <v>4.1666666666666664E-2</v>
      </c>
      <c r="M26" s="129">
        <f t="shared" si="16"/>
        <v>0</v>
      </c>
      <c r="N26" s="164">
        <f t="shared" si="17"/>
        <v>0.33333333333333331</v>
      </c>
      <c r="O26" s="128">
        <f t="shared" si="7"/>
        <v>0</v>
      </c>
      <c r="P26" s="76" t="str">
        <f t="shared" si="8"/>
        <v/>
      </c>
      <c r="Q26" s="164">
        <f t="shared" si="18"/>
        <v>0</v>
      </c>
      <c r="R26" s="129" t="str">
        <f t="shared" si="19"/>
        <v/>
      </c>
      <c r="S26" s="77">
        <f t="shared" si="9"/>
        <v>0</v>
      </c>
      <c r="T26" s="77">
        <f t="shared" si="10"/>
        <v>0</v>
      </c>
      <c r="U26" s="77" t="str">
        <f t="shared" si="11"/>
        <v/>
      </c>
      <c r="V26" s="78">
        <f t="shared" si="12"/>
        <v>1</v>
      </c>
      <c r="W26" s="130">
        <f t="shared" si="22"/>
        <v>0</v>
      </c>
      <c r="X26" s="130">
        <f t="shared" si="20"/>
        <v>0</v>
      </c>
    </row>
    <row r="27" spans="1:24">
      <c r="A27" s="210">
        <f t="shared" si="21"/>
        <v>41661</v>
      </c>
      <c r="B27" s="162">
        <f t="shared" si="13"/>
        <v>4</v>
      </c>
      <c r="C27" s="364" t="str">
        <f t="shared" si="0"/>
        <v/>
      </c>
      <c r="D27" s="6" t="str">
        <f t="shared" si="1"/>
        <v/>
      </c>
      <c r="E27" s="7" t="str">
        <f t="shared" si="14"/>
        <v/>
      </c>
      <c r="F27" s="129" t="str">
        <f t="shared" si="23"/>
        <v/>
      </c>
      <c r="G27" s="129">
        <f t="shared" si="3"/>
        <v>0</v>
      </c>
      <c r="H27" s="129" t="str">
        <f t="shared" si="4"/>
        <v/>
      </c>
      <c r="I27" s="129">
        <f t="shared" si="5"/>
        <v>0</v>
      </c>
      <c r="J27" s="129">
        <f t="shared" si="6"/>
        <v>0</v>
      </c>
      <c r="K27" s="75"/>
      <c r="L27" s="131">
        <f t="shared" si="15"/>
        <v>4.1666666666666664E-2</v>
      </c>
      <c r="M27" s="129">
        <f t="shared" si="16"/>
        <v>0</v>
      </c>
      <c r="N27" s="164">
        <f t="shared" si="17"/>
        <v>0.33333333333333331</v>
      </c>
      <c r="O27" s="128">
        <f t="shared" si="7"/>
        <v>0</v>
      </c>
      <c r="P27" s="76" t="str">
        <f t="shared" si="8"/>
        <v/>
      </c>
      <c r="Q27" s="164">
        <f t="shared" si="18"/>
        <v>0</v>
      </c>
      <c r="R27" s="129" t="str">
        <f t="shared" si="19"/>
        <v/>
      </c>
      <c r="S27" s="77">
        <f t="shared" si="9"/>
        <v>0</v>
      </c>
      <c r="T27" s="77">
        <f t="shared" si="10"/>
        <v>0</v>
      </c>
      <c r="U27" s="77" t="str">
        <f t="shared" si="11"/>
        <v/>
      </c>
      <c r="V27" s="78">
        <f t="shared" si="12"/>
        <v>2</v>
      </c>
      <c r="W27" s="130">
        <f t="shared" si="22"/>
        <v>0</v>
      </c>
      <c r="X27" s="130">
        <f t="shared" si="20"/>
        <v>0</v>
      </c>
    </row>
    <row r="28" spans="1:24">
      <c r="A28" s="210">
        <f t="shared" si="21"/>
        <v>41662</v>
      </c>
      <c r="B28" s="162">
        <f t="shared" si="13"/>
        <v>4</v>
      </c>
      <c r="C28" s="364" t="str">
        <f t="shared" si="0"/>
        <v/>
      </c>
      <c r="D28" s="6" t="str">
        <f t="shared" si="1"/>
        <v/>
      </c>
      <c r="E28" s="7" t="str">
        <f t="shared" si="14"/>
        <v/>
      </c>
      <c r="F28" s="129" t="str">
        <f t="shared" si="23"/>
        <v/>
      </c>
      <c r="G28" s="129">
        <f t="shared" si="3"/>
        <v>0</v>
      </c>
      <c r="H28" s="129" t="str">
        <f t="shared" si="4"/>
        <v/>
      </c>
      <c r="I28" s="129">
        <f t="shared" si="5"/>
        <v>0</v>
      </c>
      <c r="J28" s="129">
        <f t="shared" si="6"/>
        <v>0</v>
      </c>
      <c r="K28" s="75"/>
      <c r="L28" s="131">
        <f t="shared" si="15"/>
        <v>4.1666666666666664E-2</v>
      </c>
      <c r="M28" s="129">
        <f t="shared" si="16"/>
        <v>0</v>
      </c>
      <c r="N28" s="164">
        <f t="shared" si="17"/>
        <v>0.33333333333333331</v>
      </c>
      <c r="O28" s="128">
        <f t="shared" si="7"/>
        <v>0</v>
      </c>
      <c r="P28" s="76" t="str">
        <f t="shared" si="8"/>
        <v/>
      </c>
      <c r="Q28" s="164">
        <f t="shared" si="18"/>
        <v>0</v>
      </c>
      <c r="R28" s="129" t="str">
        <f t="shared" si="19"/>
        <v/>
      </c>
      <c r="S28" s="77">
        <f t="shared" si="9"/>
        <v>0</v>
      </c>
      <c r="T28" s="77">
        <f t="shared" si="10"/>
        <v>0</v>
      </c>
      <c r="U28" s="77" t="str">
        <f t="shared" si="11"/>
        <v/>
      </c>
      <c r="V28" s="78">
        <f t="shared" si="12"/>
        <v>3</v>
      </c>
      <c r="W28" s="130">
        <f t="shared" si="22"/>
        <v>0</v>
      </c>
      <c r="X28" s="130">
        <f t="shared" si="20"/>
        <v>0</v>
      </c>
    </row>
    <row r="29" spans="1:24">
      <c r="A29" s="210">
        <f t="shared" si="21"/>
        <v>41663</v>
      </c>
      <c r="B29" s="162">
        <f t="shared" si="13"/>
        <v>4</v>
      </c>
      <c r="C29" s="364" t="str">
        <f t="shared" si="0"/>
        <v/>
      </c>
      <c r="D29" s="6" t="str">
        <f t="shared" si="1"/>
        <v/>
      </c>
      <c r="E29" s="7" t="str">
        <f t="shared" si="14"/>
        <v/>
      </c>
      <c r="F29" s="129" t="str">
        <f t="shared" si="23"/>
        <v/>
      </c>
      <c r="G29" s="129">
        <f t="shared" si="3"/>
        <v>0</v>
      </c>
      <c r="H29" s="129" t="str">
        <f t="shared" si="4"/>
        <v/>
      </c>
      <c r="I29" s="129">
        <f t="shared" si="5"/>
        <v>0</v>
      </c>
      <c r="J29" s="129">
        <f t="shared" si="6"/>
        <v>0</v>
      </c>
      <c r="K29" s="75"/>
      <c r="L29" s="131">
        <f t="shared" si="15"/>
        <v>4.1666666666666664E-2</v>
      </c>
      <c r="M29" s="129">
        <f t="shared" si="16"/>
        <v>0</v>
      </c>
      <c r="N29" s="164">
        <f t="shared" si="17"/>
        <v>0.33333333333333331</v>
      </c>
      <c r="O29" s="128">
        <f t="shared" si="7"/>
        <v>0</v>
      </c>
      <c r="P29" s="76" t="str">
        <f t="shared" si="8"/>
        <v/>
      </c>
      <c r="Q29" s="164">
        <f t="shared" si="18"/>
        <v>0</v>
      </c>
      <c r="R29" s="129" t="str">
        <f t="shared" si="19"/>
        <v/>
      </c>
      <c r="S29" s="77">
        <f t="shared" si="9"/>
        <v>0</v>
      </c>
      <c r="T29" s="77">
        <f t="shared" si="10"/>
        <v>0</v>
      </c>
      <c r="U29" s="77" t="str">
        <f t="shared" si="11"/>
        <v/>
      </c>
      <c r="V29" s="78">
        <f t="shared" si="12"/>
        <v>4</v>
      </c>
      <c r="W29" s="130">
        <f t="shared" si="22"/>
        <v>0</v>
      </c>
      <c r="X29" s="130">
        <f t="shared" si="20"/>
        <v>0</v>
      </c>
    </row>
    <row r="30" spans="1:24">
      <c r="A30" s="210">
        <f t="shared" si="21"/>
        <v>41664</v>
      </c>
      <c r="B30" s="162">
        <f t="shared" si="13"/>
        <v>4</v>
      </c>
      <c r="C30" s="364" t="str">
        <f t="shared" si="0"/>
        <v/>
      </c>
      <c r="D30" s="6" t="str">
        <f t="shared" si="1"/>
        <v/>
      </c>
      <c r="E30" s="7" t="str">
        <f t="shared" si="14"/>
        <v/>
      </c>
      <c r="F30" s="129" t="str">
        <f t="shared" si="23"/>
        <v/>
      </c>
      <c r="G30" s="129">
        <f t="shared" si="3"/>
        <v>0</v>
      </c>
      <c r="H30" s="129" t="str">
        <f t="shared" si="4"/>
        <v/>
      </c>
      <c r="I30" s="129">
        <f t="shared" si="5"/>
        <v>0</v>
      </c>
      <c r="J30" s="129">
        <f t="shared" si="6"/>
        <v>0</v>
      </c>
      <c r="K30" s="75"/>
      <c r="L30" s="131">
        <f t="shared" si="15"/>
        <v>4.1666666666666664E-2</v>
      </c>
      <c r="M30" s="129">
        <f t="shared" si="16"/>
        <v>0</v>
      </c>
      <c r="N30" s="164">
        <f t="shared" si="17"/>
        <v>0.33333333333333331</v>
      </c>
      <c r="O30" s="128">
        <f t="shared" si="7"/>
        <v>0</v>
      </c>
      <c r="P30" s="76" t="str">
        <f t="shared" si="8"/>
        <v/>
      </c>
      <c r="Q30" s="164">
        <f t="shared" si="18"/>
        <v>0</v>
      </c>
      <c r="R30" s="129" t="str">
        <f t="shared" si="19"/>
        <v/>
      </c>
      <c r="S30" s="77">
        <f t="shared" si="9"/>
        <v>0</v>
      </c>
      <c r="T30" s="77">
        <f t="shared" si="10"/>
        <v>0</v>
      </c>
      <c r="U30" s="77" t="str">
        <f t="shared" si="11"/>
        <v/>
      </c>
      <c r="V30" s="78">
        <f t="shared" si="12"/>
        <v>5</v>
      </c>
      <c r="W30" s="130">
        <f t="shared" si="22"/>
        <v>0</v>
      </c>
      <c r="X30" s="130">
        <f t="shared" si="20"/>
        <v>0</v>
      </c>
    </row>
    <row r="31" spans="1:24">
      <c r="A31" s="210">
        <f t="shared" si="21"/>
        <v>41665</v>
      </c>
      <c r="B31" s="162">
        <f t="shared" si="13"/>
        <v>4</v>
      </c>
      <c r="C31" s="364" t="str">
        <f t="shared" si="0"/>
        <v/>
      </c>
      <c r="D31" s="6" t="str">
        <f t="shared" si="1"/>
        <v/>
      </c>
      <c r="E31" s="7" t="str">
        <f t="shared" si="14"/>
        <v/>
      </c>
      <c r="F31" s="129" t="str">
        <f t="shared" si="23"/>
        <v/>
      </c>
      <c r="G31" s="129">
        <f t="shared" si="3"/>
        <v>0</v>
      </c>
      <c r="H31" s="129" t="str">
        <f t="shared" si="4"/>
        <v/>
      </c>
      <c r="I31" s="129">
        <f t="shared" si="5"/>
        <v>0</v>
      </c>
      <c r="J31" s="129">
        <f t="shared" si="6"/>
        <v>0</v>
      </c>
      <c r="K31" s="75"/>
      <c r="L31" s="131">
        <f t="shared" si="15"/>
        <v>4.1666666666666664E-2</v>
      </c>
      <c r="M31" s="129">
        <f t="shared" si="16"/>
        <v>0</v>
      </c>
      <c r="N31" s="164">
        <f t="shared" si="17"/>
        <v>0</v>
      </c>
      <c r="O31" s="128">
        <f t="shared" si="7"/>
        <v>0</v>
      </c>
      <c r="P31" s="76" t="str">
        <f t="shared" si="8"/>
        <v/>
      </c>
      <c r="Q31" s="164">
        <f t="shared" si="18"/>
        <v>0</v>
      </c>
      <c r="R31" s="129" t="str">
        <f t="shared" si="19"/>
        <v/>
      </c>
      <c r="S31" s="77">
        <f t="shared" si="9"/>
        <v>0</v>
      </c>
      <c r="T31" s="77">
        <f t="shared" si="10"/>
        <v>0</v>
      </c>
      <c r="U31" s="77" t="str">
        <f t="shared" si="11"/>
        <v/>
      </c>
      <c r="V31" s="78">
        <f t="shared" si="12"/>
        <v>6</v>
      </c>
      <c r="W31" s="130">
        <f t="shared" si="22"/>
        <v>0</v>
      </c>
      <c r="X31" s="130">
        <f t="shared" si="20"/>
        <v>0</v>
      </c>
    </row>
    <row r="32" spans="1:24">
      <c r="A32" s="210">
        <f t="shared" si="21"/>
        <v>41666</v>
      </c>
      <c r="B32" s="162">
        <f t="shared" si="13"/>
        <v>4</v>
      </c>
      <c r="C32" s="364" t="str">
        <f t="shared" si="0"/>
        <v/>
      </c>
      <c r="D32" s="6" t="str">
        <f t="shared" si="1"/>
        <v/>
      </c>
      <c r="E32" s="7" t="str">
        <f t="shared" si="14"/>
        <v/>
      </c>
      <c r="F32" s="129" t="str">
        <f t="shared" si="23"/>
        <v/>
      </c>
      <c r="G32" s="129">
        <f t="shared" si="3"/>
        <v>0</v>
      </c>
      <c r="H32" s="129" t="str">
        <f t="shared" si="4"/>
        <v/>
      </c>
      <c r="I32" s="129">
        <f t="shared" si="5"/>
        <v>0</v>
      </c>
      <c r="J32" s="129">
        <f t="shared" si="6"/>
        <v>0</v>
      </c>
      <c r="K32" s="75"/>
      <c r="L32" s="131">
        <f t="shared" si="15"/>
        <v>4.1666666666666664E-2</v>
      </c>
      <c r="M32" s="129">
        <f t="shared" si="16"/>
        <v>0</v>
      </c>
      <c r="N32" s="164">
        <f t="shared" si="17"/>
        <v>0</v>
      </c>
      <c r="O32" s="128">
        <f t="shared" si="7"/>
        <v>0</v>
      </c>
      <c r="P32" s="76" t="str">
        <f t="shared" si="8"/>
        <v/>
      </c>
      <c r="Q32" s="164">
        <f t="shared" si="18"/>
        <v>0</v>
      </c>
      <c r="R32" s="129" t="str">
        <f t="shared" si="19"/>
        <v/>
      </c>
      <c r="S32" s="77">
        <f t="shared" si="9"/>
        <v>0</v>
      </c>
      <c r="T32" s="77">
        <f t="shared" si="10"/>
        <v>0</v>
      </c>
      <c r="U32" s="77" t="str">
        <f t="shared" si="11"/>
        <v/>
      </c>
      <c r="V32" s="78">
        <f t="shared" si="12"/>
        <v>7</v>
      </c>
      <c r="W32" s="130">
        <f t="shared" si="22"/>
        <v>0</v>
      </c>
      <c r="X32" s="130">
        <f t="shared" si="20"/>
        <v>0</v>
      </c>
    </row>
    <row r="33" spans="1:24">
      <c r="A33" s="210">
        <f t="shared" si="21"/>
        <v>41667</v>
      </c>
      <c r="B33" s="162">
        <f t="shared" si="13"/>
        <v>5</v>
      </c>
      <c r="C33" s="364" t="str">
        <f t="shared" si="0"/>
        <v/>
      </c>
      <c r="D33" s="6" t="str">
        <f t="shared" si="1"/>
        <v/>
      </c>
      <c r="E33" s="7" t="str">
        <f t="shared" si="14"/>
        <v/>
      </c>
      <c r="F33" s="129" t="str">
        <f t="shared" si="23"/>
        <v/>
      </c>
      <c r="G33" s="129">
        <f t="shared" si="3"/>
        <v>0</v>
      </c>
      <c r="H33" s="129" t="str">
        <f t="shared" si="4"/>
        <v/>
      </c>
      <c r="I33" s="129">
        <f t="shared" si="5"/>
        <v>0</v>
      </c>
      <c r="J33" s="129">
        <f t="shared" si="6"/>
        <v>0</v>
      </c>
      <c r="K33" s="75"/>
      <c r="L33" s="131">
        <f t="shared" si="15"/>
        <v>4.1666666666666664E-2</v>
      </c>
      <c r="M33" s="129">
        <f t="shared" si="16"/>
        <v>0</v>
      </c>
      <c r="N33" s="164">
        <f t="shared" si="17"/>
        <v>0.33333333333333331</v>
      </c>
      <c r="O33" s="128">
        <f t="shared" si="7"/>
        <v>0</v>
      </c>
      <c r="P33" s="76" t="str">
        <f t="shared" si="8"/>
        <v/>
      </c>
      <c r="Q33" s="164">
        <f t="shared" si="18"/>
        <v>0</v>
      </c>
      <c r="R33" s="129" t="str">
        <f t="shared" si="19"/>
        <v/>
      </c>
      <c r="S33" s="77">
        <f t="shared" si="9"/>
        <v>0</v>
      </c>
      <c r="T33" s="77">
        <f t="shared" si="10"/>
        <v>0</v>
      </c>
      <c r="U33" s="77" t="str">
        <f t="shared" si="11"/>
        <v/>
      </c>
      <c r="V33" s="78">
        <f t="shared" si="12"/>
        <v>1</v>
      </c>
      <c r="W33" s="130">
        <f t="shared" si="22"/>
        <v>0</v>
      </c>
      <c r="X33" s="130">
        <f t="shared" si="20"/>
        <v>0</v>
      </c>
    </row>
    <row r="34" spans="1:24">
      <c r="A34" s="210">
        <f t="shared" si="21"/>
        <v>41668</v>
      </c>
      <c r="B34" s="162">
        <f t="shared" si="13"/>
        <v>5</v>
      </c>
      <c r="C34" s="364" t="str">
        <f t="shared" si="0"/>
        <v/>
      </c>
      <c r="D34" s="6" t="str">
        <f t="shared" si="1"/>
        <v/>
      </c>
      <c r="E34" s="7" t="str">
        <f t="shared" si="14"/>
        <v/>
      </c>
      <c r="F34" s="129" t="str">
        <f t="shared" si="23"/>
        <v/>
      </c>
      <c r="G34" s="129">
        <f t="shared" si="3"/>
        <v>0</v>
      </c>
      <c r="H34" s="129" t="str">
        <f t="shared" si="4"/>
        <v/>
      </c>
      <c r="I34" s="129">
        <f t="shared" si="5"/>
        <v>0</v>
      </c>
      <c r="J34" s="129">
        <f t="shared" si="6"/>
        <v>0</v>
      </c>
      <c r="K34" s="75"/>
      <c r="L34" s="131">
        <f t="shared" si="15"/>
        <v>4.1666666666666664E-2</v>
      </c>
      <c r="M34" s="129">
        <f t="shared" si="16"/>
        <v>0</v>
      </c>
      <c r="N34" s="164">
        <f t="shared" si="17"/>
        <v>0.33333333333333331</v>
      </c>
      <c r="O34" s="128">
        <f t="shared" si="7"/>
        <v>0</v>
      </c>
      <c r="P34" s="76" t="str">
        <f t="shared" si="8"/>
        <v/>
      </c>
      <c r="Q34" s="164">
        <f t="shared" si="18"/>
        <v>0</v>
      </c>
      <c r="R34" s="129" t="str">
        <f t="shared" si="19"/>
        <v/>
      </c>
      <c r="S34" s="77">
        <f t="shared" si="9"/>
        <v>0</v>
      </c>
      <c r="T34" s="77">
        <f t="shared" si="10"/>
        <v>0</v>
      </c>
      <c r="U34" s="77" t="str">
        <f t="shared" si="11"/>
        <v/>
      </c>
      <c r="V34" s="78">
        <f t="shared" si="12"/>
        <v>2</v>
      </c>
      <c r="W34" s="130">
        <f t="shared" si="22"/>
        <v>0</v>
      </c>
      <c r="X34" s="130">
        <f t="shared" si="20"/>
        <v>0</v>
      </c>
    </row>
    <row r="35" spans="1:24">
      <c r="A35" s="210">
        <f t="shared" si="21"/>
        <v>41669</v>
      </c>
      <c r="B35" s="162">
        <f t="shared" si="13"/>
        <v>5</v>
      </c>
      <c r="C35" s="364" t="str">
        <f t="shared" si="0"/>
        <v/>
      </c>
      <c r="D35" s="6" t="str">
        <f t="shared" si="1"/>
        <v/>
      </c>
      <c r="E35" s="7" t="str">
        <f t="shared" si="14"/>
        <v/>
      </c>
      <c r="F35" s="129" t="str">
        <f t="shared" si="23"/>
        <v/>
      </c>
      <c r="G35" s="129">
        <f t="shared" si="3"/>
        <v>0</v>
      </c>
      <c r="H35" s="129" t="str">
        <f t="shared" si="4"/>
        <v/>
      </c>
      <c r="I35" s="129">
        <f t="shared" si="5"/>
        <v>0</v>
      </c>
      <c r="J35" s="129">
        <f t="shared" si="6"/>
        <v>0</v>
      </c>
      <c r="K35" s="75"/>
      <c r="L35" s="131">
        <f t="shared" si="15"/>
        <v>4.1666666666666664E-2</v>
      </c>
      <c r="M35" s="129">
        <f t="shared" si="16"/>
        <v>0</v>
      </c>
      <c r="N35" s="164">
        <f t="shared" si="17"/>
        <v>0.33333333333333331</v>
      </c>
      <c r="O35" s="128">
        <f t="shared" si="7"/>
        <v>0</v>
      </c>
      <c r="P35" s="76" t="str">
        <f t="shared" si="8"/>
        <v/>
      </c>
      <c r="Q35" s="164">
        <f t="shared" si="18"/>
        <v>0</v>
      </c>
      <c r="R35" s="129" t="str">
        <f t="shared" si="19"/>
        <v/>
      </c>
      <c r="S35" s="77">
        <f t="shared" si="9"/>
        <v>0</v>
      </c>
      <c r="T35" s="77">
        <f t="shared" si="10"/>
        <v>0</v>
      </c>
      <c r="U35" s="77" t="str">
        <f t="shared" si="11"/>
        <v/>
      </c>
      <c r="V35" s="78">
        <f t="shared" si="12"/>
        <v>3</v>
      </c>
      <c r="W35" s="130">
        <f t="shared" si="22"/>
        <v>0</v>
      </c>
      <c r="X35" s="130">
        <f t="shared" si="20"/>
        <v>0</v>
      </c>
    </row>
    <row r="36" spans="1:24">
      <c r="A36" s="9"/>
      <c r="B36" s="9"/>
      <c r="C36" s="10" t="s">
        <v>129</v>
      </c>
      <c r="D36" s="3"/>
      <c r="F36" s="9"/>
      <c r="G36" s="9"/>
      <c r="H36" s="9"/>
      <c r="I36" s="9"/>
      <c r="J36" s="11"/>
      <c r="K36" s="11"/>
      <c r="M36" s="11"/>
      <c r="O36" s="140"/>
      <c r="P36" s="12"/>
      <c r="Q36" s="1"/>
      <c r="R36" s="13"/>
    </row>
    <row r="37" spans="1:24">
      <c r="A37" s="342" t="s">
        <v>40</v>
      </c>
      <c r="B37" s="297"/>
      <c r="C37" s="311"/>
      <c r="D37" s="3"/>
      <c r="E37" s="175"/>
      <c r="F37" s="342" t="s">
        <v>39</v>
      </c>
      <c r="G37" s="297"/>
      <c r="H37" s="311"/>
      <c r="I37" s="342"/>
      <c r="J37" s="297"/>
      <c r="K37" s="311"/>
      <c r="M37" s="11"/>
      <c r="O37" s="140"/>
      <c r="P37" s="12"/>
      <c r="Q37" s="1"/>
      <c r="R37" s="13"/>
    </row>
    <row r="38" spans="1:24">
      <c r="A38" s="304">
        <f>VLOOKUP($A$5-1,db_Jahr,gSP_SaldoGes,FALSE)</f>
        <v>0</v>
      </c>
      <c r="B38" s="339" t="s">
        <v>111</v>
      </c>
      <c r="C38" s="340"/>
      <c r="D38" s="294"/>
      <c r="E38" s="285"/>
      <c r="F38" s="298" t="s">
        <v>112</v>
      </c>
      <c r="G38" s="299"/>
      <c r="H38" s="300"/>
      <c r="I38" s="300"/>
      <c r="J38" s="16">
        <f>SUM(J5:J35)</f>
        <v>0</v>
      </c>
      <c r="K38" s="17"/>
      <c r="L38" s="1"/>
      <c r="O38" s="343">
        <f>SUM(O5:O35)</f>
        <v>0</v>
      </c>
      <c r="P38" s="344" t="str">
        <f>IF(O38&lt;0,"*","")</f>
        <v/>
      </c>
      <c r="R38" s="18">
        <f>SUM(R5:R35)</f>
        <v>0</v>
      </c>
    </row>
    <row r="39" spans="1:24">
      <c r="A39" s="305">
        <f>VLOOKUP($A$5-1,db_Jahr,gSP_UrlR,FALSE)</f>
        <v>0</v>
      </c>
      <c r="B39" s="341" t="s">
        <v>113</v>
      </c>
      <c r="C39" s="412"/>
      <c r="E39" s="175"/>
      <c r="F39" s="301" t="s">
        <v>114</v>
      </c>
      <c r="G39" s="302"/>
      <c r="H39" s="299"/>
      <c r="I39" s="299"/>
      <c r="J39" s="16">
        <f>SUM(M5:M35)</f>
        <v>0</v>
      </c>
      <c r="K39" s="17"/>
      <c r="L39" s="1"/>
    </row>
    <row r="40" spans="1:24">
      <c r="A40" s="305">
        <f>IF(MONTH($A$5)=1,B_UrlaubNeu,0)</f>
        <v>30</v>
      </c>
      <c r="B40" s="341" t="s">
        <v>19</v>
      </c>
      <c r="C40" s="412"/>
      <c r="D40" s="295"/>
      <c r="E40" s="285"/>
      <c r="F40" s="301" t="s">
        <v>38</v>
      </c>
      <c r="G40" s="302"/>
      <c r="H40" s="299"/>
      <c r="I40" s="299"/>
      <c r="J40" s="16">
        <f>SUMIF(R_Monat,$C$3,R_Korrekt)</f>
        <v>0</v>
      </c>
      <c r="K40" s="17"/>
      <c r="L40" s="1"/>
    </row>
    <row r="41" spans="1:24">
      <c r="A41" s="305">
        <f>SUMIF(R_Monat,$C$3,R_Krank)</f>
        <v>0</v>
      </c>
      <c r="B41" s="339" t="s">
        <v>175</v>
      </c>
      <c r="C41" s="340"/>
      <c r="D41" s="337"/>
      <c r="E41" s="285"/>
      <c r="F41" s="301" t="s">
        <v>117</v>
      </c>
      <c r="G41" s="302"/>
      <c r="H41" s="300"/>
      <c r="I41" s="300"/>
      <c r="J41" s="16">
        <f>A38+J38-J39-J40</f>
        <v>0</v>
      </c>
      <c r="K41" s="17" t="str">
        <f>IF(J41&lt;0,"*","")</f>
        <v/>
      </c>
      <c r="M41" s="700">
        <f>J41/B_WorkTime</f>
        <v>0</v>
      </c>
      <c r="N41" s="700"/>
      <c r="O41" s="700"/>
      <c r="P41" s="700"/>
    </row>
    <row r="42" spans="1:24">
      <c r="A42" s="305">
        <f>(FREQUENCY(E5:E35,0)-FREQUENCY(E5:E35,-1))+(FREQUENCY(E5:E35,83)-FREQUENCY(E5:E35,82))</f>
        <v>0</v>
      </c>
      <c r="B42" s="341" t="s">
        <v>29</v>
      </c>
      <c r="C42" s="412"/>
      <c r="E42" s="285"/>
      <c r="F42" s="301" t="s">
        <v>33</v>
      </c>
      <c r="G42" s="302"/>
      <c r="H42" s="299"/>
      <c r="I42" s="299"/>
      <c r="J42" s="287">
        <f>SUMIF(R_Monat,$C$3,R_Urlaub)</f>
        <v>0</v>
      </c>
      <c r="K42" s="17"/>
    </row>
    <row r="43" spans="1:24">
      <c r="A43" s="338">
        <f>IF(J38&gt;0,J38 / A42,0)</f>
        <v>0</v>
      </c>
      <c r="B43" s="339" t="s">
        <v>30</v>
      </c>
      <c r="C43" s="340"/>
      <c r="F43" s="301" t="s">
        <v>116</v>
      </c>
      <c r="G43" s="302"/>
      <c r="H43" s="299"/>
      <c r="I43" s="299"/>
      <c r="J43" s="287">
        <f>A39+A40-J42</f>
        <v>30</v>
      </c>
      <c r="K43" s="17"/>
      <c r="M43" s="23"/>
    </row>
  </sheetData>
  <mergeCells count="2">
    <mergeCell ref="M41:P41"/>
    <mergeCell ref="I3:P3"/>
  </mergeCells>
  <phoneticPr fontId="0" type="noConversion"/>
  <conditionalFormatting sqref="C7:C35 D5:N35 C5 P5:X35">
    <cfRule type="expression" dxfId="33" priority="1" stopIfTrue="1">
      <formula>INDIRECT(ADDRESS(ROW(),COLUMN(xDay)))&gt;5</formula>
    </cfRule>
  </conditionalFormatting>
  <conditionalFormatting sqref="O5:O35">
    <cfRule type="expression" dxfId="32" priority="2" stopIfTrue="1">
      <formula>INDIRECT(ADDRESS(ROW(),COLUMN(xDay)))&gt;5</formula>
    </cfRule>
    <cfRule type="cellIs" dxfId="31" priority="3" stopIfTrue="1" operator="lessThan">
      <formula>0</formula>
    </cfRule>
  </conditionalFormatting>
  <conditionalFormatting sqref="A5:B5 A6:C6 A7:B35">
    <cfRule type="expression" dxfId="30" priority="4" stopIfTrue="1">
      <formula>INDIRECT(ADDRESS(ROW(),COLUMN(xDay)))&gt;5</formula>
    </cfRule>
  </conditionalFormatting>
  <conditionalFormatting sqref="O38">
    <cfRule type="cellIs" dxfId="29"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ender"/>
  <dimension ref="A1:AA40"/>
  <sheetViews>
    <sheetView showGridLines="0" zoomScale="95" workbookViewId="0">
      <selection activeCell="AA24" sqref="AA24"/>
    </sheetView>
  </sheetViews>
  <sheetFormatPr baseColWidth="10"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56" customFormat="1" ht="39.950000000000003" customHeight="1" thickBot="1">
      <c r="A2" s="161">
        <f>B_Year</f>
        <v>41639</v>
      </c>
      <c r="B2" s="381">
        <f>B_Year</f>
        <v>41639</v>
      </c>
      <c r="C2" s="381">
        <f>B2</f>
        <v>41639</v>
      </c>
      <c r="D2" s="381">
        <f>DATE(YEAR(B2),MONTH(B2)+1,1)</f>
        <v>41670</v>
      </c>
      <c r="E2" s="381">
        <f>D2</f>
        <v>41670</v>
      </c>
      <c r="F2" s="381">
        <f>DATE(YEAR(D2),MONTH(D2)+1,1)</f>
        <v>41698</v>
      </c>
      <c r="G2" s="381">
        <f>F2</f>
        <v>41698</v>
      </c>
      <c r="H2" s="381">
        <f>DATE(YEAR(F2),MONTH(F2)+1,1)</f>
        <v>41729</v>
      </c>
      <c r="I2" s="381">
        <f>H2</f>
        <v>41729</v>
      </c>
      <c r="J2" s="381">
        <f>DATE(YEAR(H2),MONTH(H2)+1,1)</f>
        <v>41759</v>
      </c>
      <c r="K2" s="381">
        <f>J2</f>
        <v>41759</v>
      </c>
      <c r="L2" s="381">
        <f>DATE(YEAR(J2),MONTH(J2)+1,1)</f>
        <v>41790</v>
      </c>
      <c r="M2" s="381">
        <f>L2</f>
        <v>41790</v>
      </c>
      <c r="N2" s="381">
        <f>DATE(YEAR(L2),MONTH(L2)+1,1)</f>
        <v>41820</v>
      </c>
      <c r="O2" s="381">
        <f>N2</f>
        <v>41820</v>
      </c>
      <c r="P2" s="381">
        <f>DATE(YEAR(N2),MONTH(N2)+1,1)</f>
        <v>41851</v>
      </c>
      <c r="Q2" s="381">
        <f>P2</f>
        <v>41851</v>
      </c>
      <c r="R2" s="381">
        <f>DATE(YEAR(P2),MONTH(P2)+1,1)</f>
        <v>41882</v>
      </c>
      <c r="S2" s="381">
        <f>R2</f>
        <v>41882</v>
      </c>
      <c r="T2" s="381">
        <f>DATE(YEAR(R2),MONTH(R2)+1,1)</f>
        <v>41912</v>
      </c>
      <c r="U2" s="381">
        <f>T2</f>
        <v>41912</v>
      </c>
      <c r="V2" s="381">
        <f>DATE(YEAR(T2),MONTH(T2)+1,1)</f>
        <v>41943</v>
      </c>
      <c r="W2" s="381">
        <f>V2</f>
        <v>41943</v>
      </c>
      <c r="X2" s="381">
        <f>DATE(YEAR(V2),MONTH(V2)+1,1)</f>
        <v>41973</v>
      </c>
      <c r="Y2" s="593">
        <f>X2</f>
        <v>41973</v>
      </c>
    </row>
    <row r="3" spans="1:27" s="56" customFormat="1" ht="11.25">
      <c r="A3" s="57">
        <v>1</v>
      </c>
      <c r="B3" s="628" t="str">
        <f t="shared" ref="B3:B9" si="0">IF(OR(ISERROR(C3),C3=""),"-",IF(OR(C3=K_ArbeitNormal,C3=K_ArbeitOverTime,C3=K_ArbeitOverMax),VLOOKUP(DATE(YEAR(C$2),MONTH(C$2),$A3),db_Jahr,gSP_KalZeit,FALSE),""))</f>
        <v/>
      </c>
      <c r="C3" s="599">
        <f t="shared" ref="C3:G32" si="1">IF(MONTH(DATE(YEAR(C$2),MONTH(C$2),$A3))=MONTH(C$2),VLOOKUP(DATE(YEAR(C$2),MONTH(C$2),$A3),db_Jahr,gSP_KalTyp,FALSE),"")</f>
        <v>8</v>
      </c>
      <c r="D3" s="153" t="str">
        <f t="shared" ref="D3:D33" si="2">IF(OR(ISERROR(E3),E3=""),"-",IF(OR(E3=K_ArbeitNormal,E3=K_ArbeitOverTime,E3=K_ArbeitOverMax),VLOOKUP(DATE(YEAR(E$2),MONTH(E$2),$A3),db_Jahr,gSP_KalZeit,FALSE),""))</f>
        <v/>
      </c>
      <c r="E3" s="148">
        <f t="shared" si="1"/>
        <v>0</v>
      </c>
      <c r="F3" s="153" t="str">
        <f t="shared" ref="F3:F33" si="3">IF(OR(ISERROR(G3),G3=""),"-",IF(OR(G3=K_ArbeitNormal,G3=K_ArbeitOverTime,G3=K_ArbeitOverMax),VLOOKUP(DATE(YEAR(G$2),MONTH(G$2),$A3),db_Jahr,gSP_KalZeit,FALSE),""))</f>
        <v/>
      </c>
      <c r="G3" s="602">
        <f t="shared" si="1"/>
        <v>0</v>
      </c>
      <c r="H3" s="628" t="str">
        <f t="shared" ref="H3:H33" si="4">IF(OR(ISERROR(I3),I3=""),"-",IF(OR(I3=K_ArbeitNormal,I3=K_ArbeitOverTime,I3=K_ArbeitOverMax),VLOOKUP(DATE(YEAR(I$2),MONTH(I$2),$A3),db_Jahr,gSP_KalZeit,FALSE),""))</f>
        <v/>
      </c>
      <c r="I3" s="599">
        <f t="shared" ref="I3:I32" si="5">IF(MONTH(DATE(YEAR(I$2),MONTH(I$2),$A3))=MONTH(I$2),VLOOKUP(DATE(YEAR(I$2),MONTH(I$2),$A3),db_Jahr,gSP_KalTyp,FALSE),"")</f>
        <v>8</v>
      </c>
      <c r="J3" s="156" t="str">
        <f t="shared" ref="J3:J33" si="6">IF(OR(ISERROR(K3),K3=""),"-",IF(OR(K3=K_ArbeitNormal,K3=K_ArbeitOverTime,K3=K_ArbeitOverMax),VLOOKUP(DATE(YEAR(K$2),MONTH(K$2),$A3),db_Jahr,gSP_KalZeit,FALSE),""))</f>
        <v/>
      </c>
      <c r="K3" s="679">
        <f t="shared" ref="K3:K32" si="7">IF(MONTH(DATE(YEAR(K$2),MONTH(K$2),$A3))=MONTH(K$2),VLOOKUP(DATE(YEAR(K$2),MONTH(K$2),$A3),db_Jahr,gSP_KalTyp,FALSE),"")</f>
        <v>8</v>
      </c>
      <c r="L3" s="630" t="str">
        <f t="shared" ref="L3:L33" si="8">IF(OR(ISERROR(M3),M3=""),"-",IF(OR(M3=K_ArbeitNormal,M3=K_ArbeitOverTime,M3=K_ArbeitOverMax),VLOOKUP(DATE(YEAR(M$2),MONTH(M$2),$A3),db_Jahr,gSP_KalZeit,FALSE),""))</f>
        <v/>
      </c>
      <c r="M3" s="601">
        <f t="shared" ref="M3:M32" si="9">IF(MONTH(DATE(YEAR(M$2),MONTH(M$2),$A3))=MONTH(M$2),VLOOKUP(DATE(YEAR(M$2),MONTH(M$2),$A3),db_Jahr,gSP_KalTyp,FALSE),"")</f>
        <v>0</v>
      </c>
      <c r="N3" s="158" t="str">
        <f t="shared" ref="N3:N33" si="10">IF(OR(ISERROR(O3),O3=""),"-",IF(OR(O3=K_ArbeitNormal,O3=K_ArbeitOverTime,O3=K_ArbeitOverMax),VLOOKUP(DATE(YEAR(O$2),MONTH(O$2),$A3),db_Jahr,gSP_KalZeit,FALSE),""))</f>
        <v/>
      </c>
      <c r="O3" s="595">
        <f t="shared" ref="O3:O32" si="11">IF(MONTH(DATE(YEAR(O$2),MONTH(O$2),$A3))=MONTH(O$2),VLOOKUP(DATE(YEAR(O$2),MONTH(O$2),$A3),db_Jahr,gSP_KalTyp,FALSE),"")</f>
        <v>7</v>
      </c>
      <c r="P3" s="680" t="str">
        <f t="shared" ref="P3:P33" si="12">IF(OR(ISERROR(Q3),Q3=""),"-",IF(OR(Q3=K_ArbeitNormal,Q3=K_ArbeitOverTime,Q3=K_ArbeitOverMax),VLOOKUP(DATE(YEAR(Q$2),MONTH(Q$2),$A3),db_Jahr,gSP_KalZeit,FALSE),""))</f>
        <v/>
      </c>
      <c r="Q3" s="681">
        <f t="shared" ref="Q3:Q32" si="13">IF(MONTH(DATE(YEAR(Q$2),MONTH(Q$2),$A3))=MONTH(Q$2),VLOOKUP(DATE(YEAR(Q$2),MONTH(Q$2),$A3),db_Jahr,gSP_KalTyp,FALSE),"")</f>
        <v>0</v>
      </c>
      <c r="R3" s="699" t="str">
        <f t="shared" ref="R3:R33" si="14">IF(OR(ISERROR(S3),S3=""),"-",IF(OR(S3=K_ArbeitNormal,S3=K_ArbeitOverTime,S3=K_ArbeitOverMax),VLOOKUP(DATE(YEAR(S$2),MONTH(S$2),$A3),db_Jahr,gSP_KalZeit,FALSE),""))</f>
        <v/>
      </c>
      <c r="S3" s="596">
        <f t="shared" ref="S3:S32" si="15">IF(MONTH(DATE(YEAR(S$2),MONTH(S$2),$A3))=MONTH(S$2),VLOOKUP(DATE(YEAR(S$2),MONTH(S$2),$A3),db_Jahr,gSP_KalTyp,FALSE),"")</f>
        <v>7</v>
      </c>
      <c r="T3" s="153" t="str">
        <f t="shared" ref="T3:T33" si="16">IF(OR(ISERROR(U3),U3=""),"-",IF(OR(U3=K_ArbeitNormal,U3=K_ArbeitOverTime,U3=K_ArbeitOverMax),VLOOKUP(DATE(YEAR(U$2),MONTH(U$2),$A3),db_Jahr,gSP_KalZeit,FALSE),""))</f>
        <v/>
      </c>
      <c r="U3" s="602">
        <f t="shared" ref="U3:U32" si="17">IF(MONTH(DATE(YEAR(U$2),MONTH(U$2),$A3))=MONTH(U$2),VLOOKUP(DATE(YEAR(U$2),MONTH(U$2),$A3),db_Jahr,gSP_KalTyp,FALSE),"")</f>
        <v>0</v>
      </c>
      <c r="V3" s="628" t="str">
        <f t="shared" ref="V3:V33" si="18">IF(OR(ISERROR(W3),W3=""),"-",IF(OR(W3=K_ArbeitNormal,W3=K_ArbeitOverTime,W3=K_ArbeitOverMax),VLOOKUP(DATE(YEAR(W$2),MONTH(W$2),$A3),db_Jahr,gSP_KalZeit,FALSE),""))</f>
        <v/>
      </c>
      <c r="W3" s="599">
        <f t="shared" ref="W3:W32" si="19">IF(MONTH(DATE(YEAR(W$2),MONTH(W$2),$A3))=MONTH(W$2),VLOOKUP(DATE(YEAR(W$2),MONTH(W$2),$A3),db_Jahr,gSP_KalTyp,FALSE),"")</f>
        <v>8</v>
      </c>
      <c r="X3" s="158" t="str">
        <f t="shared" ref="X3:X33" si="20">IF(OR(ISERROR(Y3),Y3=""),"-",IF(OR(Y3=K_ArbeitNormal,Y3=K_ArbeitOverTime,Y3=K_ArbeitOverMax),VLOOKUP(DATE(YEAR(Y$2),MONTH(Y$2),$A3),db_Jahr,gSP_KalZeit,FALSE),""))</f>
        <v/>
      </c>
      <c r="Y3" s="159">
        <f t="shared" ref="Y3:Y32" si="21">IF(MONTH(DATE(YEAR(Y$2),MONTH(Y$2),$A3))=MONTH(Y$2),VLOOKUP(DATE(YEAR(Y$2),MONTH(Y$2),$A3),db_Jahr,gSP_KalTyp,FALSE),"")</f>
        <v>7</v>
      </c>
    </row>
    <row r="4" spans="1:27" s="56" customFormat="1" ht="12" thickBot="1">
      <c r="A4" s="57">
        <f t="shared" ref="A4:A33" si="22">A3+1</f>
        <v>2</v>
      </c>
      <c r="B4" s="629" t="str">
        <f t="shared" si="0"/>
        <v/>
      </c>
      <c r="C4" s="601">
        <f t="shared" si="1"/>
        <v>0</v>
      </c>
      <c r="D4" s="153" t="str">
        <f t="shared" si="2"/>
        <v/>
      </c>
      <c r="E4" s="148">
        <f t="shared" si="1"/>
        <v>0</v>
      </c>
      <c r="F4" s="153" t="str">
        <f t="shared" si="3"/>
        <v/>
      </c>
      <c r="G4" s="602">
        <f t="shared" si="1"/>
        <v>0</v>
      </c>
      <c r="H4" s="631" t="str">
        <f t="shared" si="4"/>
        <v/>
      </c>
      <c r="I4" s="599">
        <f t="shared" si="5"/>
        <v>8</v>
      </c>
      <c r="J4" s="153" t="str">
        <f t="shared" si="6"/>
        <v/>
      </c>
      <c r="K4" s="602">
        <f t="shared" si="7"/>
        <v>0</v>
      </c>
      <c r="L4" s="598" t="str">
        <f t="shared" si="8"/>
        <v/>
      </c>
      <c r="M4" s="596">
        <f t="shared" si="9"/>
        <v>7</v>
      </c>
      <c r="N4" s="153" t="str">
        <f t="shared" si="10"/>
        <v/>
      </c>
      <c r="O4" s="602">
        <f t="shared" si="11"/>
        <v>0</v>
      </c>
      <c r="P4" s="682" t="str">
        <f t="shared" si="12"/>
        <v/>
      </c>
      <c r="Q4" s="681">
        <f t="shared" si="13"/>
        <v>0</v>
      </c>
      <c r="R4" s="634" t="str">
        <f t="shared" si="14"/>
        <v/>
      </c>
      <c r="S4" s="596">
        <f t="shared" si="15"/>
        <v>7</v>
      </c>
      <c r="T4" s="153" t="str">
        <f t="shared" si="16"/>
        <v/>
      </c>
      <c r="U4" s="602">
        <f t="shared" si="17"/>
        <v>0</v>
      </c>
      <c r="V4" s="627" t="str">
        <f t="shared" si="18"/>
        <v/>
      </c>
      <c r="W4" s="601">
        <f t="shared" si="19"/>
        <v>0</v>
      </c>
      <c r="X4" s="158" t="str">
        <f t="shared" si="20"/>
        <v/>
      </c>
      <c r="Y4" s="159">
        <f t="shared" si="21"/>
        <v>7</v>
      </c>
      <c r="AA4" s="209" t="s">
        <v>99</v>
      </c>
    </row>
    <row r="5" spans="1:27" s="56" customFormat="1" ht="11.25">
      <c r="A5" s="57">
        <f t="shared" si="22"/>
        <v>3</v>
      </c>
      <c r="B5" s="629" t="str">
        <f t="shared" si="0"/>
        <v/>
      </c>
      <c r="C5" s="601">
        <f t="shared" si="1"/>
        <v>0</v>
      </c>
      <c r="D5" s="158" t="str">
        <f t="shared" si="2"/>
        <v/>
      </c>
      <c r="E5" s="159">
        <f t="shared" si="1"/>
        <v>7</v>
      </c>
      <c r="F5" s="158" t="str">
        <f t="shared" si="3"/>
        <v/>
      </c>
      <c r="G5" s="595">
        <f t="shared" si="1"/>
        <v>7</v>
      </c>
      <c r="H5" s="629" t="str">
        <f t="shared" si="4"/>
        <v/>
      </c>
      <c r="I5" s="601">
        <f t="shared" si="5"/>
        <v>0</v>
      </c>
      <c r="J5" s="153" t="str">
        <f t="shared" si="6"/>
        <v/>
      </c>
      <c r="K5" s="148">
        <f t="shared" si="7"/>
        <v>0</v>
      </c>
      <c r="L5" s="597" t="str">
        <f t="shared" si="8"/>
        <v/>
      </c>
      <c r="M5" s="159">
        <f t="shared" si="9"/>
        <v>7</v>
      </c>
      <c r="N5" s="153" t="str">
        <f t="shared" si="10"/>
        <v/>
      </c>
      <c r="O5" s="602">
        <f t="shared" si="11"/>
        <v>0</v>
      </c>
      <c r="P5" s="682" t="str">
        <f t="shared" si="12"/>
        <v/>
      </c>
      <c r="Q5" s="681">
        <f t="shared" si="13"/>
        <v>0</v>
      </c>
      <c r="R5" s="684" t="str">
        <f t="shared" si="14"/>
        <v/>
      </c>
      <c r="S5" s="601">
        <f t="shared" si="15"/>
        <v>0</v>
      </c>
      <c r="T5" s="156" t="str">
        <f t="shared" si="16"/>
        <v/>
      </c>
      <c r="U5" s="157">
        <f t="shared" si="17"/>
        <v>8</v>
      </c>
      <c r="V5" s="597" t="str">
        <f t="shared" si="18"/>
        <v/>
      </c>
      <c r="W5" s="159">
        <f t="shared" si="19"/>
        <v>7</v>
      </c>
      <c r="X5" s="153" t="str">
        <f t="shared" si="20"/>
        <v/>
      </c>
      <c r="Y5" s="148">
        <f t="shared" si="21"/>
        <v>0</v>
      </c>
      <c r="AA5" s="379" t="str">
        <f>B_PersonName</f>
        <v>Name</v>
      </c>
    </row>
    <row r="6" spans="1:27" s="56" customFormat="1" ht="11.25">
      <c r="A6" s="57">
        <f t="shared" si="22"/>
        <v>4</v>
      </c>
      <c r="B6" s="629" t="str">
        <f t="shared" si="0"/>
        <v/>
      </c>
      <c r="C6" s="601">
        <f t="shared" si="1"/>
        <v>0</v>
      </c>
      <c r="D6" s="158" t="str">
        <f t="shared" si="2"/>
        <v/>
      </c>
      <c r="E6" s="159">
        <f t="shared" si="1"/>
        <v>7</v>
      </c>
      <c r="F6" s="158" t="str">
        <f t="shared" si="3"/>
        <v/>
      </c>
      <c r="G6" s="595">
        <f t="shared" si="1"/>
        <v>7</v>
      </c>
      <c r="H6" s="629" t="str">
        <f t="shared" si="4"/>
        <v/>
      </c>
      <c r="I6" s="601">
        <f t="shared" si="5"/>
        <v>0</v>
      </c>
      <c r="J6" s="153" t="str">
        <f t="shared" si="6"/>
        <v/>
      </c>
      <c r="K6" s="148">
        <f t="shared" si="7"/>
        <v>0</v>
      </c>
      <c r="L6" s="153" t="str">
        <f t="shared" si="8"/>
        <v/>
      </c>
      <c r="M6" s="148">
        <f t="shared" si="9"/>
        <v>0</v>
      </c>
      <c r="N6" s="153" t="str">
        <f t="shared" si="10"/>
        <v/>
      </c>
      <c r="O6" s="602">
        <f t="shared" si="11"/>
        <v>0</v>
      </c>
      <c r="P6" s="633" t="str">
        <f t="shared" si="12"/>
        <v/>
      </c>
      <c r="Q6" s="635">
        <f t="shared" si="13"/>
        <v>7</v>
      </c>
      <c r="R6" s="684" t="str">
        <f t="shared" si="14"/>
        <v/>
      </c>
      <c r="S6" s="601">
        <f t="shared" si="15"/>
        <v>0</v>
      </c>
      <c r="T6" s="153" t="str">
        <f t="shared" si="16"/>
        <v/>
      </c>
      <c r="U6" s="148">
        <f t="shared" si="17"/>
        <v>0</v>
      </c>
      <c r="V6" s="158" t="str">
        <f t="shared" si="18"/>
        <v/>
      </c>
      <c r="W6" s="159">
        <f t="shared" si="19"/>
        <v>7</v>
      </c>
      <c r="X6" s="153" t="str">
        <f t="shared" si="20"/>
        <v/>
      </c>
      <c r="Y6" s="148">
        <f t="shared" si="21"/>
        <v>0</v>
      </c>
    </row>
    <row r="7" spans="1:27" s="56" customFormat="1" ht="12" thickBot="1">
      <c r="A7" s="57">
        <f t="shared" si="22"/>
        <v>5</v>
      </c>
      <c r="B7" s="627" t="str">
        <f t="shared" si="0"/>
        <v/>
      </c>
      <c r="C7" s="601">
        <f t="shared" si="1"/>
        <v>0</v>
      </c>
      <c r="D7" s="153" t="str">
        <f t="shared" si="2"/>
        <v/>
      </c>
      <c r="E7" s="148">
        <f t="shared" si="1"/>
        <v>0</v>
      </c>
      <c r="F7" s="153" t="str">
        <f t="shared" si="3"/>
        <v/>
      </c>
      <c r="G7" s="602">
        <f t="shared" si="1"/>
        <v>0</v>
      </c>
      <c r="H7" s="629" t="str">
        <f t="shared" si="4"/>
        <v/>
      </c>
      <c r="I7" s="601">
        <f t="shared" si="5"/>
        <v>0</v>
      </c>
      <c r="J7" s="158" t="str">
        <f t="shared" si="6"/>
        <v/>
      </c>
      <c r="K7" s="159">
        <f t="shared" si="7"/>
        <v>7</v>
      </c>
      <c r="L7" s="153" t="str">
        <f t="shared" si="8"/>
        <v/>
      </c>
      <c r="M7" s="148">
        <f t="shared" si="9"/>
        <v>0</v>
      </c>
      <c r="N7" s="153" t="str">
        <f t="shared" si="10"/>
        <v/>
      </c>
      <c r="O7" s="602">
        <f t="shared" si="11"/>
        <v>0</v>
      </c>
      <c r="P7" s="633" t="str">
        <f t="shared" si="12"/>
        <v/>
      </c>
      <c r="Q7" s="635">
        <f t="shared" si="13"/>
        <v>7</v>
      </c>
      <c r="R7" s="684" t="str">
        <f t="shared" si="14"/>
        <v/>
      </c>
      <c r="S7" s="601">
        <f t="shared" si="15"/>
        <v>0</v>
      </c>
      <c r="T7" s="153" t="str">
        <f t="shared" si="16"/>
        <v/>
      </c>
      <c r="U7" s="148">
        <f t="shared" si="17"/>
        <v>0</v>
      </c>
      <c r="V7" s="153" t="str">
        <f t="shared" si="18"/>
        <v/>
      </c>
      <c r="W7" s="148">
        <f t="shared" si="19"/>
        <v>0</v>
      </c>
      <c r="X7" s="153" t="str">
        <f t="shared" si="20"/>
        <v/>
      </c>
      <c r="Y7" s="148">
        <f t="shared" si="21"/>
        <v>0</v>
      </c>
      <c r="AA7" s="209" t="s">
        <v>100</v>
      </c>
    </row>
    <row r="8" spans="1:27" s="56" customFormat="1" ht="11.25">
      <c r="A8" s="57">
        <f t="shared" si="22"/>
        <v>6</v>
      </c>
      <c r="B8" s="685" t="str">
        <f t="shared" si="0"/>
        <v/>
      </c>
      <c r="C8" s="157">
        <f t="shared" si="1"/>
        <v>8</v>
      </c>
      <c r="D8" s="153" t="str">
        <f t="shared" si="2"/>
        <v/>
      </c>
      <c r="E8" s="148">
        <f t="shared" si="1"/>
        <v>0</v>
      </c>
      <c r="F8" s="153" t="str">
        <f t="shared" si="3"/>
        <v/>
      </c>
      <c r="G8" s="602">
        <f t="shared" si="1"/>
        <v>0</v>
      </c>
      <c r="H8" s="629" t="str">
        <f t="shared" si="4"/>
        <v/>
      </c>
      <c r="I8" s="601">
        <f t="shared" si="5"/>
        <v>0</v>
      </c>
      <c r="J8" s="158" t="str">
        <f t="shared" si="6"/>
        <v/>
      </c>
      <c r="K8" s="159">
        <f t="shared" si="7"/>
        <v>7</v>
      </c>
      <c r="L8" s="153" t="str">
        <f t="shared" si="8"/>
        <v/>
      </c>
      <c r="M8" s="148">
        <f t="shared" si="9"/>
        <v>0</v>
      </c>
      <c r="N8" s="153" t="str">
        <f t="shared" si="10"/>
        <v/>
      </c>
      <c r="O8" s="602">
        <f t="shared" si="11"/>
        <v>0</v>
      </c>
      <c r="P8" s="682" t="str">
        <f t="shared" si="12"/>
        <v/>
      </c>
      <c r="Q8" s="681">
        <f t="shared" si="13"/>
        <v>0</v>
      </c>
      <c r="R8" s="684" t="str">
        <f t="shared" si="14"/>
        <v/>
      </c>
      <c r="S8" s="601">
        <f t="shared" si="15"/>
        <v>0</v>
      </c>
      <c r="T8" s="158" t="str">
        <f t="shared" si="16"/>
        <v/>
      </c>
      <c r="U8" s="159">
        <f t="shared" si="17"/>
        <v>7</v>
      </c>
      <c r="V8" s="153" t="str">
        <f t="shared" si="18"/>
        <v/>
      </c>
      <c r="W8" s="148">
        <f t="shared" si="19"/>
        <v>0</v>
      </c>
      <c r="X8" s="153" t="str">
        <f t="shared" si="20"/>
        <v/>
      </c>
      <c r="Y8" s="148">
        <f t="shared" si="21"/>
        <v>0</v>
      </c>
      <c r="AA8" s="56" t="str">
        <f>B_Department</f>
        <v>Abteilung</v>
      </c>
    </row>
    <row r="9" spans="1:27" s="56" customFormat="1" ht="12" thickBot="1">
      <c r="A9" s="57">
        <f t="shared" si="22"/>
        <v>7</v>
      </c>
      <c r="B9" s="158" t="str">
        <f t="shared" si="0"/>
        <v/>
      </c>
      <c r="C9" s="159">
        <f t="shared" si="1"/>
        <v>7</v>
      </c>
      <c r="D9" s="153" t="str">
        <f t="shared" si="2"/>
        <v/>
      </c>
      <c r="E9" s="148">
        <f t="shared" si="1"/>
        <v>0</v>
      </c>
      <c r="F9" s="153" t="str">
        <f t="shared" si="3"/>
        <v/>
      </c>
      <c r="G9" s="602">
        <f t="shared" si="1"/>
        <v>0</v>
      </c>
      <c r="H9" s="598" t="str">
        <f t="shared" si="4"/>
        <v/>
      </c>
      <c r="I9" s="596">
        <f t="shared" si="5"/>
        <v>7</v>
      </c>
      <c r="J9" s="153" t="str">
        <f t="shared" si="6"/>
        <v/>
      </c>
      <c r="K9" s="148">
        <f t="shared" si="7"/>
        <v>0</v>
      </c>
      <c r="L9" s="153" t="str">
        <f t="shared" si="8"/>
        <v/>
      </c>
      <c r="M9" s="148">
        <f t="shared" si="9"/>
        <v>0</v>
      </c>
      <c r="N9" s="158" t="str">
        <f t="shared" si="10"/>
        <v/>
      </c>
      <c r="O9" s="595">
        <f t="shared" si="11"/>
        <v>7</v>
      </c>
      <c r="P9" s="682" t="str">
        <f t="shared" si="12"/>
        <v/>
      </c>
      <c r="Q9" s="681">
        <f t="shared" si="13"/>
        <v>0</v>
      </c>
      <c r="R9" s="684" t="str">
        <f t="shared" si="14"/>
        <v/>
      </c>
      <c r="S9" s="601">
        <f t="shared" si="15"/>
        <v>0</v>
      </c>
      <c r="T9" s="158" t="str">
        <f t="shared" si="16"/>
        <v/>
      </c>
      <c r="U9" s="159">
        <f t="shared" si="17"/>
        <v>7</v>
      </c>
      <c r="V9" s="153" t="str">
        <f t="shared" si="18"/>
        <v/>
      </c>
      <c r="W9" s="148">
        <f t="shared" si="19"/>
        <v>0</v>
      </c>
      <c r="X9" s="153" t="str">
        <f t="shared" si="20"/>
        <v/>
      </c>
      <c r="Y9" s="148">
        <f t="shared" si="21"/>
        <v>0</v>
      </c>
    </row>
    <row r="10" spans="1:27" s="56" customFormat="1" ht="11.25">
      <c r="A10" s="57">
        <f t="shared" si="22"/>
        <v>8</v>
      </c>
      <c r="B10" s="153" t="str">
        <f t="shared" ref="B10:B33" si="23">IF(OR(ISERROR(C10),C10=""),"-",IF(OR(C10=K_ArbeitNormal,C10=K_ArbeitOverTime,C10=K_ArbeitOverMax),VLOOKUP(DATE(YEAR(C$2),MONTH(C$2),$A10),db_Jahr,gSP_KalZeit,FALSE),""))</f>
        <v/>
      </c>
      <c r="C10" s="148">
        <f t="shared" si="1"/>
        <v>0</v>
      </c>
      <c r="D10" s="153" t="str">
        <f t="shared" si="2"/>
        <v/>
      </c>
      <c r="E10" s="148">
        <f t="shared" si="1"/>
        <v>0</v>
      </c>
      <c r="F10" s="153" t="str">
        <f t="shared" si="3"/>
        <v/>
      </c>
      <c r="G10" s="148">
        <f t="shared" si="1"/>
        <v>0</v>
      </c>
      <c r="H10" s="597" t="str">
        <f t="shared" si="4"/>
        <v/>
      </c>
      <c r="I10" s="159">
        <f t="shared" si="5"/>
        <v>7</v>
      </c>
      <c r="J10" s="153" t="str">
        <f t="shared" si="6"/>
        <v/>
      </c>
      <c r="K10" s="148">
        <f t="shared" si="7"/>
        <v>0</v>
      </c>
      <c r="L10" s="153" t="str">
        <f t="shared" si="8"/>
        <v/>
      </c>
      <c r="M10" s="148">
        <f t="shared" si="9"/>
        <v>0</v>
      </c>
      <c r="N10" s="158" t="str">
        <f t="shared" si="10"/>
        <v/>
      </c>
      <c r="O10" s="595">
        <f t="shared" si="11"/>
        <v>7</v>
      </c>
      <c r="P10" s="682" t="str">
        <f t="shared" si="12"/>
        <v/>
      </c>
      <c r="Q10" s="681">
        <f t="shared" si="13"/>
        <v>0</v>
      </c>
      <c r="R10" s="634" t="str">
        <f t="shared" si="14"/>
        <v/>
      </c>
      <c r="S10" s="596">
        <f t="shared" si="15"/>
        <v>7</v>
      </c>
      <c r="T10" s="153" t="str">
        <f t="shared" si="16"/>
        <v/>
      </c>
      <c r="U10" s="148">
        <f t="shared" si="17"/>
        <v>0</v>
      </c>
      <c r="V10" s="153" t="str">
        <f t="shared" si="18"/>
        <v/>
      </c>
      <c r="W10" s="148">
        <f t="shared" si="19"/>
        <v>0</v>
      </c>
      <c r="X10" s="158" t="str">
        <f t="shared" si="20"/>
        <v/>
      </c>
      <c r="Y10" s="159">
        <f t="shared" si="21"/>
        <v>7</v>
      </c>
    </row>
    <row r="11" spans="1:27" s="56" customFormat="1" ht="11.25">
      <c r="A11" s="57">
        <f t="shared" si="22"/>
        <v>9</v>
      </c>
      <c r="B11" s="153" t="str">
        <f t="shared" si="23"/>
        <v/>
      </c>
      <c r="C11" s="148">
        <f t="shared" si="1"/>
        <v>0</v>
      </c>
      <c r="D11" s="153" t="str">
        <f t="shared" si="2"/>
        <v/>
      </c>
      <c r="E11" s="148">
        <f t="shared" si="1"/>
        <v>0</v>
      </c>
      <c r="F11" s="153" t="str">
        <f t="shared" si="3"/>
        <v/>
      </c>
      <c r="G11" s="148">
        <f t="shared" si="1"/>
        <v>0</v>
      </c>
      <c r="H11" s="153" t="str">
        <f t="shared" si="4"/>
        <v/>
      </c>
      <c r="I11" s="148">
        <f t="shared" si="5"/>
        <v>0</v>
      </c>
      <c r="J11" s="153" t="str">
        <f t="shared" si="6"/>
        <v/>
      </c>
      <c r="K11" s="148">
        <f t="shared" si="7"/>
        <v>0</v>
      </c>
      <c r="L11" s="158" t="str">
        <f t="shared" si="8"/>
        <v/>
      </c>
      <c r="M11" s="159">
        <f t="shared" si="9"/>
        <v>7</v>
      </c>
      <c r="N11" s="153" t="str">
        <f t="shared" si="10"/>
        <v/>
      </c>
      <c r="O11" s="602">
        <f t="shared" si="11"/>
        <v>0</v>
      </c>
      <c r="P11" s="682" t="str">
        <f t="shared" si="12"/>
        <v/>
      </c>
      <c r="Q11" s="681">
        <f t="shared" si="13"/>
        <v>0</v>
      </c>
      <c r="R11" s="634" t="str">
        <f t="shared" si="14"/>
        <v/>
      </c>
      <c r="S11" s="596">
        <f t="shared" si="15"/>
        <v>7</v>
      </c>
      <c r="T11" s="153" t="str">
        <f t="shared" si="16"/>
        <v/>
      </c>
      <c r="U11" s="148">
        <f t="shared" si="17"/>
        <v>0</v>
      </c>
      <c r="V11" s="153" t="str">
        <f t="shared" si="18"/>
        <v/>
      </c>
      <c r="W11" s="148">
        <f t="shared" si="19"/>
        <v>0</v>
      </c>
      <c r="X11" s="158" t="str">
        <f t="shared" si="20"/>
        <v/>
      </c>
      <c r="Y11" s="159">
        <f t="shared" si="21"/>
        <v>7</v>
      </c>
      <c r="AA11" s="147" t="s">
        <v>44</v>
      </c>
    </row>
    <row r="12" spans="1:27" s="56" customFormat="1" ht="12" thickBot="1">
      <c r="A12" s="57">
        <f t="shared" si="22"/>
        <v>10</v>
      </c>
      <c r="B12" s="153" t="str">
        <f t="shared" si="23"/>
        <v/>
      </c>
      <c r="C12" s="148">
        <f t="shared" si="1"/>
        <v>0</v>
      </c>
      <c r="D12" s="158" t="str">
        <f t="shared" si="2"/>
        <v/>
      </c>
      <c r="E12" s="159">
        <f t="shared" si="1"/>
        <v>7</v>
      </c>
      <c r="F12" s="158" t="str">
        <f t="shared" si="3"/>
        <v/>
      </c>
      <c r="G12" s="159">
        <f t="shared" si="1"/>
        <v>7</v>
      </c>
      <c r="H12" s="153" t="str">
        <f t="shared" si="4"/>
        <v/>
      </c>
      <c r="I12" s="148">
        <f t="shared" si="5"/>
        <v>0</v>
      </c>
      <c r="J12" s="156" t="str">
        <f t="shared" si="6"/>
        <v/>
      </c>
      <c r="K12" s="157">
        <f t="shared" si="7"/>
        <v>8</v>
      </c>
      <c r="L12" s="158" t="str">
        <f t="shared" si="8"/>
        <v/>
      </c>
      <c r="M12" s="159">
        <f t="shared" si="9"/>
        <v>7</v>
      </c>
      <c r="N12" s="153" t="str">
        <f t="shared" si="10"/>
        <v/>
      </c>
      <c r="O12" s="602">
        <f t="shared" si="11"/>
        <v>0</v>
      </c>
      <c r="P12" s="682" t="str">
        <f t="shared" si="12"/>
        <v/>
      </c>
      <c r="Q12" s="681">
        <f t="shared" si="13"/>
        <v>0</v>
      </c>
      <c r="R12" s="683" t="str">
        <f t="shared" si="14"/>
        <v/>
      </c>
      <c r="S12" s="601">
        <f t="shared" si="15"/>
        <v>0</v>
      </c>
      <c r="T12" s="153" t="str">
        <f t="shared" si="16"/>
        <v/>
      </c>
      <c r="U12" s="148">
        <f t="shared" si="17"/>
        <v>0</v>
      </c>
      <c r="V12" s="158" t="str">
        <f t="shared" si="18"/>
        <v/>
      </c>
      <c r="W12" s="159">
        <f t="shared" si="19"/>
        <v>7</v>
      </c>
      <c r="X12" s="153" t="str">
        <f t="shared" si="20"/>
        <v/>
      </c>
      <c r="Y12" s="148">
        <f t="shared" si="21"/>
        <v>0</v>
      </c>
    </row>
    <row r="13" spans="1:27" s="56" customFormat="1" ht="12" thickBot="1">
      <c r="A13" s="57">
        <f t="shared" si="22"/>
        <v>11</v>
      </c>
      <c r="B13" s="153" t="str">
        <f t="shared" si="23"/>
        <v/>
      </c>
      <c r="C13" s="148">
        <f t="shared" si="1"/>
        <v>0</v>
      </c>
      <c r="D13" s="594" t="str">
        <f t="shared" si="2"/>
        <v/>
      </c>
      <c r="E13" s="159">
        <f t="shared" si="1"/>
        <v>7</v>
      </c>
      <c r="F13" s="158" t="str">
        <f t="shared" si="3"/>
        <v/>
      </c>
      <c r="G13" s="159">
        <f t="shared" si="1"/>
        <v>7</v>
      </c>
      <c r="H13" s="153" t="str">
        <f t="shared" si="4"/>
        <v/>
      </c>
      <c r="I13" s="148">
        <f t="shared" si="5"/>
        <v>0</v>
      </c>
      <c r="J13" s="153" t="str">
        <f t="shared" si="6"/>
        <v/>
      </c>
      <c r="K13" s="148">
        <f t="shared" si="7"/>
        <v>0</v>
      </c>
      <c r="L13" s="153" t="str">
        <f t="shared" si="8"/>
        <v/>
      </c>
      <c r="M13" s="148">
        <f t="shared" si="9"/>
        <v>0</v>
      </c>
      <c r="N13" s="153" t="str">
        <f t="shared" si="10"/>
        <v/>
      </c>
      <c r="O13" s="602">
        <f t="shared" si="11"/>
        <v>0</v>
      </c>
      <c r="P13" s="632" t="str">
        <f t="shared" si="12"/>
        <v/>
      </c>
      <c r="Q13" s="596">
        <f t="shared" si="13"/>
        <v>7</v>
      </c>
      <c r="R13" s="678" t="str">
        <f t="shared" si="14"/>
        <v/>
      </c>
      <c r="S13" s="148">
        <f t="shared" si="15"/>
        <v>0</v>
      </c>
      <c r="T13" s="153" t="str">
        <f t="shared" si="16"/>
        <v/>
      </c>
      <c r="U13" s="148">
        <f t="shared" si="17"/>
        <v>0</v>
      </c>
      <c r="V13" s="158" t="str">
        <f t="shared" si="18"/>
        <v/>
      </c>
      <c r="W13" s="159">
        <f t="shared" si="19"/>
        <v>7</v>
      </c>
      <c r="X13" s="153" t="str">
        <f t="shared" si="20"/>
        <v/>
      </c>
      <c r="Y13" s="148">
        <f t="shared" si="21"/>
        <v>0</v>
      </c>
      <c r="AA13" s="149" t="s">
        <v>195</v>
      </c>
    </row>
    <row r="14" spans="1:27" s="56" customFormat="1" ht="11.25">
      <c r="A14" s="57">
        <f t="shared" si="22"/>
        <v>12</v>
      </c>
      <c r="B14" s="153" t="str">
        <f t="shared" si="23"/>
        <v/>
      </c>
      <c r="C14" s="602">
        <f t="shared" si="1"/>
        <v>0</v>
      </c>
      <c r="D14" s="630" t="str">
        <f t="shared" si="2"/>
        <v/>
      </c>
      <c r="E14" s="601">
        <f t="shared" si="1"/>
        <v>0</v>
      </c>
      <c r="F14" s="153" t="str">
        <f t="shared" si="3"/>
        <v/>
      </c>
      <c r="G14" s="148">
        <f t="shared" si="1"/>
        <v>0</v>
      </c>
      <c r="H14" s="153" t="str">
        <f t="shared" si="4"/>
        <v/>
      </c>
      <c r="I14" s="148">
        <f t="shared" si="5"/>
        <v>0</v>
      </c>
      <c r="J14" s="158" t="str">
        <f t="shared" si="6"/>
        <v/>
      </c>
      <c r="K14" s="159">
        <f t="shared" si="7"/>
        <v>7</v>
      </c>
      <c r="L14" s="153" t="str">
        <f t="shared" si="8"/>
        <v/>
      </c>
      <c r="M14" s="148">
        <f t="shared" si="9"/>
        <v>0</v>
      </c>
      <c r="N14" s="153" t="str">
        <f t="shared" si="10"/>
        <v/>
      </c>
      <c r="O14" s="602">
        <f t="shared" si="11"/>
        <v>0</v>
      </c>
      <c r="P14" s="632" t="str">
        <f t="shared" si="12"/>
        <v/>
      </c>
      <c r="Q14" s="596">
        <f t="shared" si="13"/>
        <v>7</v>
      </c>
      <c r="R14" s="153" t="str">
        <f t="shared" si="14"/>
        <v/>
      </c>
      <c r="S14" s="148">
        <f t="shared" si="15"/>
        <v>0</v>
      </c>
      <c r="T14" s="153" t="str">
        <f t="shared" si="16"/>
        <v/>
      </c>
      <c r="U14" s="148">
        <f t="shared" si="17"/>
        <v>0</v>
      </c>
      <c r="V14" s="153" t="str">
        <f t="shared" si="18"/>
        <v/>
      </c>
      <c r="W14" s="148">
        <f t="shared" si="19"/>
        <v>0</v>
      </c>
      <c r="X14" s="153" t="str">
        <f t="shared" si="20"/>
        <v/>
      </c>
      <c r="Y14" s="148">
        <f t="shared" si="21"/>
        <v>0</v>
      </c>
      <c r="AA14" s="150" t="s">
        <v>193</v>
      </c>
    </row>
    <row r="15" spans="1:27" s="56" customFormat="1" ht="11.25">
      <c r="A15" s="57">
        <f t="shared" si="22"/>
        <v>13</v>
      </c>
      <c r="B15" s="158" t="str">
        <f t="shared" si="23"/>
        <v/>
      </c>
      <c r="C15" s="595">
        <f t="shared" si="1"/>
        <v>7</v>
      </c>
      <c r="D15" s="629" t="str">
        <f t="shared" si="2"/>
        <v/>
      </c>
      <c r="E15" s="601">
        <f t="shared" si="1"/>
        <v>0</v>
      </c>
      <c r="F15" s="153" t="str">
        <f t="shared" si="3"/>
        <v/>
      </c>
      <c r="G15" s="148">
        <f t="shared" si="1"/>
        <v>0</v>
      </c>
      <c r="H15" s="153" t="str">
        <f t="shared" si="4"/>
        <v/>
      </c>
      <c r="I15" s="148">
        <f t="shared" si="5"/>
        <v>0</v>
      </c>
      <c r="J15" s="158" t="str">
        <f t="shared" si="6"/>
        <v/>
      </c>
      <c r="K15" s="159">
        <f t="shared" si="7"/>
        <v>7</v>
      </c>
      <c r="L15" s="153" t="str">
        <f t="shared" si="8"/>
        <v/>
      </c>
      <c r="M15" s="148">
        <f t="shared" si="9"/>
        <v>0</v>
      </c>
      <c r="N15" s="153" t="str">
        <f t="shared" si="10"/>
        <v/>
      </c>
      <c r="O15" s="602">
        <f t="shared" si="11"/>
        <v>0</v>
      </c>
      <c r="P15" s="629" t="str">
        <f t="shared" si="12"/>
        <v/>
      </c>
      <c r="Q15" s="601">
        <f t="shared" si="13"/>
        <v>0</v>
      </c>
      <c r="R15" s="153" t="str">
        <f t="shared" si="14"/>
        <v/>
      </c>
      <c r="S15" s="148">
        <f t="shared" si="15"/>
        <v>0</v>
      </c>
      <c r="T15" s="158" t="str">
        <f t="shared" si="16"/>
        <v/>
      </c>
      <c r="U15" s="159">
        <f t="shared" si="17"/>
        <v>7</v>
      </c>
      <c r="V15" s="153" t="str">
        <f t="shared" si="18"/>
        <v/>
      </c>
      <c r="W15" s="148">
        <f t="shared" si="19"/>
        <v>0</v>
      </c>
      <c r="X15" s="153" t="str">
        <f t="shared" si="20"/>
        <v/>
      </c>
      <c r="Y15" s="148">
        <f t="shared" si="21"/>
        <v>0</v>
      </c>
    </row>
    <row r="16" spans="1:27" s="56" customFormat="1" ht="11.25">
      <c r="A16" s="57">
        <f t="shared" si="22"/>
        <v>14</v>
      </c>
      <c r="B16" s="158" t="str">
        <f t="shared" si="23"/>
        <v/>
      </c>
      <c r="C16" s="595">
        <f t="shared" si="1"/>
        <v>7</v>
      </c>
      <c r="D16" s="629" t="str">
        <f t="shared" si="2"/>
        <v/>
      </c>
      <c r="E16" s="601">
        <f t="shared" si="1"/>
        <v>0</v>
      </c>
      <c r="F16" s="153" t="str">
        <f t="shared" si="3"/>
        <v/>
      </c>
      <c r="G16" s="148">
        <f t="shared" si="1"/>
        <v>0</v>
      </c>
      <c r="H16" s="158" t="str">
        <f t="shared" si="4"/>
        <v/>
      </c>
      <c r="I16" s="159">
        <f t="shared" si="5"/>
        <v>7</v>
      </c>
      <c r="J16" s="153" t="str">
        <f t="shared" si="6"/>
        <v/>
      </c>
      <c r="K16" s="148">
        <f t="shared" si="7"/>
        <v>0</v>
      </c>
      <c r="L16" s="153" t="str">
        <f t="shared" si="8"/>
        <v/>
      </c>
      <c r="M16" s="148">
        <f t="shared" si="9"/>
        <v>0</v>
      </c>
      <c r="N16" s="158" t="str">
        <f t="shared" si="10"/>
        <v/>
      </c>
      <c r="O16" s="595">
        <f t="shared" si="11"/>
        <v>7</v>
      </c>
      <c r="P16" s="629" t="str">
        <f t="shared" si="12"/>
        <v/>
      </c>
      <c r="Q16" s="601">
        <f t="shared" si="13"/>
        <v>0</v>
      </c>
      <c r="R16" s="153" t="str">
        <f t="shared" si="14"/>
        <v/>
      </c>
      <c r="S16" s="148">
        <f t="shared" si="15"/>
        <v>0</v>
      </c>
      <c r="T16" s="158" t="str">
        <f t="shared" si="16"/>
        <v/>
      </c>
      <c r="U16" s="159">
        <f t="shared" si="17"/>
        <v>7</v>
      </c>
      <c r="V16" s="153" t="str">
        <f t="shared" si="18"/>
        <v/>
      </c>
      <c r="W16" s="148">
        <f t="shared" si="19"/>
        <v>0</v>
      </c>
      <c r="X16" s="153" t="str">
        <f t="shared" si="20"/>
        <v/>
      </c>
      <c r="Y16" s="148">
        <f t="shared" si="21"/>
        <v>0</v>
      </c>
      <c r="AA16" s="144" t="s">
        <v>45</v>
      </c>
    </row>
    <row r="17" spans="1:27" s="56" customFormat="1" ht="11.25">
      <c r="A17" s="57">
        <f t="shared" si="22"/>
        <v>15</v>
      </c>
      <c r="B17" s="153" t="str">
        <f t="shared" si="23"/>
        <v/>
      </c>
      <c r="C17" s="602">
        <f t="shared" si="1"/>
        <v>0</v>
      </c>
      <c r="D17" s="629" t="str">
        <f t="shared" si="2"/>
        <v/>
      </c>
      <c r="E17" s="601">
        <f t="shared" si="1"/>
        <v>0</v>
      </c>
      <c r="F17" s="153" t="str">
        <f t="shared" si="3"/>
        <v/>
      </c>
      <c r="G17" s="148">
        <f t="shared" si="1"/>
        <v>0</v>
      </c>
      <c r="H17" s="158" t="str">
        <f t="shared" si="4"/>
        <v/>
      </c>
      <c r="I17" s="159">
        <f t="shared" si="5"/>
        <v>7</v>
      </c>
      <c r="J17" s="153" t="str">
        <f t="shared" si="6"/>
        <v/>
      </c>
      <c r="K17" s="148">
        <f t="shared" si="7"/>
        <v>0</v>
      </c>
      <c r="L17" s="153" t="str">
        <f t="shared" si="8"/>
        <v/>
      </c>
      <c r="M17" s="148">
        <f t="shared" si="9"/>
        <v>0</v>
      </c>
      <c r="N17" s="158" t="str">
        <f t="shared" si="10"/>
        <v/>
      </c>
      <c r="O17" s="595">
        <f t="shared" si="11"/>
        <v>7</v>
      </c>
      <c r="P17" s="629" t="str">
        <f t="shared" si="12"/>
        <v/>
      </c>
      <c r="Q17" s="601">
        <f t="shared" si="13"/>
        <v>0</v>
      </c>
      <c r="R17" s="158" t="str">
        <f t="shared" si="14"/>
        <v/>
      </c>
      <c r="S17" s="159">
        <f t="shared" si="15"/>
        <v>7</v>
      </c>
      <c r="T17" s="153" t="str">
        <f t="shared" si="16"/>
        <v/>
      </c>
      <c r="U17" s="148">
        <f t="shared" si="17"/>
        <v>0</v>
      </c>
      <c r="V17" s="153" t="str">
        <f t="shared" si="18"/>
        <v/>
      </c>
      <c r="W17" s="148">
        <f t="shared" si="19"/>
        <v>0</v>
      </c>
      <c r="X17" s="158" t="str">
        <f t="shared" si="20"/>
        <v/>
      </c>
      <c r="Y17" s="159">
        <f t="shared" si="21"/>
        <v>7</v>
      </c>
      <c r="AA17" s="145" t="s">
        <v>47</v>
      </c>
    </row>
    <row r="18" spans="1:27" s="56" customFormat="1" ht="12" thickBot="1">
      <c r="A18" s="57">
        <f t="shared" si="22"/>
        <v>16</v>
      </c>
      <c r="B18" s="153" t="str">
        <f t="shared" si="23"/>
        <v/>
      </c>
      <c r="C18" s="602">
        <f t="shared" si="1"/>
        <v>0</v>
      </c>
      <c r="D18" s="627" t="str">
        <f t="shared" si="2"/>
        <v/>
      </c>
      <c r="E18" s="601">
        <f t="shared" si="1"/>
        <v>0</v>
      </c>
      <c r="F18" s="153" t="str">
        <f t="shared" si="3"/>
        <v/>
      </c>
      <c r="G18" s="148">
        <f t="shared" si="1"/>
        <v>0</v>
      </c>
      <c r="H18" s="153" t="str">
        <f t="shared" si="4"/>
        <v/>
      </c>
      <c r="I18" s="148">
        <f t="shared" si="5"/>
        <v>0</v>
      </c>
      <c r="J18" s="153" t="str">
        <f t="shared" si="6"/>
        <v/>
      </c>
      <c r="K18" s="148">
        <f t="shared" si="7"/>
        <v>0</v>
      </c>
      <c r="L18" s="158" t="str">
        <f t="shared" si="8"/>
        <v/>
      </c>
      <c r="M18" s="159">
        <f t="shared" si="9"/>
        <v>7</v>
      </c>
      <c r="N18" s="153" t="str">
        <f t="shared" si="10"/>
        <v/>
      </c>
      <c r="O18" s="602">
        <f t="shared" si="11"/>
        <v>0</v>
      </c>
      <c r="P18" s="629" t="str">
        <f t="shared" si="12"/>
        <v/>
      </c>
      <c r="Q18" s="601">
        <f t="shared" si="13"/>
        <v>0</v>
      </c>
      <c r="R18" s="158" t="str">
        <f t="shared" si="14"/>
        <v/>
      </c>
      <c r="S18" s="159">
        <f t="shared" si="15"/>
        <v>7</v>
      </c>
      <c r="T18" s="153" t="str">
        <f t="shared" si="16"/>
        <v/>
      </c>
      <c r="U18" s="148">
        <f t="shared" si="17"/>
        <v>0</v>
      </c>
      <c r="V18" s="153" t="str">
        <f t="shared" si="18"/>
        <v/>
      </c>
      <c r="W18" s="148">
        <f t="shared" si="19"/>
        <v>0</v>
      </c>
      <c r="X18" s="158" t="str">
        <f t="shared" si="20"/>
        <v/>
      </c>
      <c r="Y18" s="159">
        <f t="shared" si="21"/>
        <v>7</v>
      </c>
      <c r="AA18" s="146" t="s">
        <v>46</v>
      </c>
    </row>
    <row r="19" spans="1:27" s="56" customFormat="1" ht="11.25">
      <c r="A19" s="57">
        <f t="shared" si="22"/>
        <v>17</v>
      </c>
      <c r="B19" s="153" t="str">
        <f t="shared" si="23"/>
        <v/>
      </c>
      <c r="C19" s="148">
        <f t="shared" si="1"/>
        <v>0</v>
      </c>
      <c r="D19" s="597" t="str">
        <f t="shared" si="2"/>
        <v/>
      </c>
      <c r="E19" s="159">
        <f t="shared" si="1"/>
        <v>7</v>
      </c>
      <c r="F19" s="158" t="str">
        <f t="shared" si="3"/>
        <v/>
      </c>
      <c r="G19" s="159">
        <f t="shared" si="1"/>
        <v>7</v>
      </c>
      <c r="H19" s="153" t="str">
        <f t="shared" si="4"/>
        <v/>
      </c>
      <c r="I19" s="148">
        <f t="shared" si="5"/>
        <v>0</v>
      </c>
      <c r="J19" s="153" t="str">
        <f t="shared" si="6"/>
        <v/>
      </c>
      <c r="K19" s="148">
        <f t="shared" si="7"/>
        <v>0</v>
      </c>
      <c r="L19" s="158" t="str">
        <f t="shared" si="8"/>
        <v/>
      </c>
      <c r="M19" s="159">
        <f t="shared" si="9"/>
        <v>7</v>
      </c>
      <c r="N19" s="153" t="str">
        <f t="shared" si="10"/>
        <v/>
      </c>
      <c r="O19" s="602">
        <f t="shared" si="11"/>
        <v>0</v>
      </c>
      <c r="P19" s="629" t="str">
        <f t="shared" si="12"/>
        <v/>
      </c>
      <c r="Q19" s="601">
        <f t="shared" si="13"/>
        <v>0</v>
      </c>
      <c r="R19" s="153" t="str">
        <f t="shared" si="14"/>
        <v/>
      </c>
      <c r="S19" s="148">
        <f t="shared" si="15"/>
        <v>0</v>
      </c>
      <c r="T19" s="153" t="str">
        <f t="shared" si="16"/>
        <v/>
      </c>
      <c r="U19" s="148">
        <f t="shared" si="17"/>
        <v>0</v>
      </c>
      <c r="V19" s="158" t="str">
        <f t="shared" si="18"/>
        <v/>
      </c>
      <c r="W19" s="159">
        <f t="shared" si="19"/>
        <v>7</v>
      </c>
      <c r="X19" s="153" t="str">
        <f t="shared" si="20"/>
        <v/>
      </c>
      <c r="Y19" s="148">
        <f t="shared" si="21"/>
        <v>0</v>
      </c>
    </row>
    <row r="20" spans="1:27" s="56" customFormat="1" ht="11.25">
      <c r="A20" s="57">
        <f t="shared" si="22"/>
        <v>18</v>
      </c>
      <c r="B20" s="153" t="str">
        <f t="shared" si="23"/>
        <v/>
      </c>
      <c r="C20" s="148">
        <f t="shared" si="1"/>
        <v>0</v>
      </c>
      <c r="D20" s="158" t="str">
        <f t="shared" si="2"/>
        <v/>
      </c>
      <c r="E20" s="159">
        <f t="shared" si="1"/>
        <v>7</v>
      </c>
      <c r="F20" s="158" t="str">
        <f t="shared" si="3"/>
        <v/>
      </c>
      <c r="G20" s="159">
        <f t="shared" si="1"/>
        <v>7</v>
      </c>
      <c r="H20" s="153" t="str">
        <f t="shared" si="4"/>
        <v/>
      </c>
      <c r="I20" s="148">
        <f t="shared" si="5"/>
        <v>0</v>
      </c>
      <c r="J20" s="153" t="str">
        <f t="shared" si="6"/>
        <v/>
      </c>
      <c r="K20" s="148">
        <f t="shared" si="7"/>
        <v>0</v>
      </c>
      <c r="L20" s="153" t="str">
        <f t="shared" si="8"/>
        <v/>
      </c>
      <c r="M20" s="148">
        <f t="shared" si="9"/>
        <v>0</v>
      </c>
      <c r="N20" s="153" t="str">
        <f t="shared" si="10"/>
        <v/>
      </c>
      <c r="O20" s="602">
        <f t="shared" si="11"/>
        <v>0</v>
      </c>
      <c r="P20" s="632" t="str">
        <f t="shared" si="12"/>
        <v/>
      </c>
      <c r="Q20" s="596">
        <f t="shared" si="13"/>
        <v>7</v>
      </c>
      <c r="R20" s="153" t="str">
        <f t="shared" si="14"/>
        <v/>
      </c>
      <c r="S20" s="148">
        <f t="shared" si="15"/>
        <v>0</v>
      </c>
      <c r="T20" s="153" t="str">
        <f t="shared" si="16"/>
        <v/>
      </c>
      <c r="U20" s="148">
        <f t="shared" si="17"/>
        <v>0</v>
      </c>
      <c r="V20" s="158" t="str">
        <f t="shared" si="18"/>
        <v/>
      </c>
      <c r="W20" s="159">
        <f t="shared" si="19"/>
        <v>7</v>
      </c>
      <c r="X20" s="153" t="str">
        <f t="shared" si="20"/>
        <v/>
      </c>
      <c r="Y20" s="148">
        <f t="shared" si="21"/>
        <v>0</v>
      </c>
      <c r="AA20" s="207" t="s">
        <v>20</v>
      </c>
    </row>
    <row r="21" spans="1:27" s="56" customFormat="1" ht="11.25">
      <c r="A21" s="57">
        <f t="shared" si="22"/>
        <v>19</v>
      </c>
      <c r="B21" s="153" t="str">
        <f t="shared" si="23"/>
        <v/>
      </c>
      <c r="C21" s="148">
        <f t="shared" si="1"/>
        <v>0</v>
      </c>
      <c r="D21" s="153" t="str">
        <f t="shared" si="2"/>
        <v/>
      </c>
      <c r="E21" s="148">
        <f t="shared" si="1"/>
        <v>0</v>
      </c>
      <c r="F21" s="153" t="str">
        <f t="shared" si="3"/>
        <v/>
      </c>
      <c r="G21" s="148">
        <f t="shared" si="1"/>
        <v>0</v>
      </c>
      <c r="H21" s="153" t="str">
        <f t="shared" si="4"/>
        <v/>
      </c>
      <c r="I21" s="148">
        <f t="shared" si="5"/>
        <v>0</v>
      </c>
      <c r="J21" s="158" t="str">
        <f t="shared" si="6"/>
        <v/>
      </c>
      <c r="K21" s="159">
        <f t="shared" si="7"/>
        <v>7</v>
      </c>
      <c r="L21" s="153" t="str">
        <f t="shared" si="8"/>
        <v/>
      </c>
      <c r="M21" s="148">
        <f t="shared" si="9"/>
        <v>0</v>
      </c>
      <c r="N21" s="153" t="str">
        <f t="shared" si="10"/>
        <v/>
      </c>
      <c r="O21" s="602">
        <f t="shared" si="11"/>
        <v>0</v>
      </c>
      <c r="P21" s="632" t="str">
        <f t="shared" si="12"/>
        <v/>
      </c>
      <c r="Q21" s="596">
        <f t="shared" si="13"/>
        <v>7</v>
      </c>
      <c r="R21" s="153" t="str">
        <f t="shared" si="14"/>
        <v/>
      </c>
      <c r="S21" s="148">
        <f t="shared" si="15"/>
        <v>0</v>
      </c>
      <c r="T21" s="153" t="str">
        <f t="shared" si="16"/>
        <v/>
      </c>
      <c r="U21" s="148">
        <f t="shared" si="17"/>
        <v>0</v>
      </c>
      <c r="V21" s="153" t="str">
        <f t="shared" si="18"/>
        <v/>
      </c>
      <c r="W21" s="148">
        <f t="shared" si="19"/>
        <v>0</v>
      </c>
      <c r="X21" s="153" t="str">
        <f t="shared" si="20"/>
        <v/>
      </c>
      <c r="Y21" s="148">
        <f t="shared" si="21"/>
        <v>0</v>
      </c>
      <c r="AA21" s="378" t="s">
        <v>118</v>
      </c>
    </row>
    <row r="22" spans="1:27" s="56" customFormat="1" ht="11.25">
      <c r="A22" s="57">
        <f t="shared" si="22"/>
        <v>20</v>
      </c>
      <c r="B22" s="158" t="str">
        <f t="shared" si="23"/>
        <v/>
      </c>
      <c r="C22" s="159">
        <f t="shared" si="1"/>
        <v>7</v>
      </c>
      <c r="D22" s="153" t="str">
        <f t="shared" si="2"/>
        <v/>
      </c>
      <c r="E22" s="148">
        <f t="shared" si="1"/>
        <v>0</v>
      </c>
      <c r="F22" s="153" t="str">
        <f t="shared" si="3"/>
        <v/>
      </c>
      <c r="G22" s="148">
        <f t="shared" si="1"/>
        <v>0</v>
      </c>
      <c r="H22" s="153" t="str">
        <f t="shared" si="4"/>
        <v/>
      </c>
      <c r="I22" s="148">
        <f t="shared" si="5"/>
        <v>0</v>
      </c>
      <c r="J22" s="156" t="str">
        <f t="shared" si="6"/>
        <v/>
      </c>
      <c r="K22" s="157">
        <f t="shared" si="7"/>
        <v>8</v>
      </c>
      <c r="L22" s="153" t="str">
        <f t="shared" si="8"/>
        <v/>
      </c>
      <c r="M22" s="148">
        <f t="shared" si="9"/>
        <v>0</v>
      </c>
      <c r="N22" s="153" t="str">
        <f t="shared" si="10"/>
        <v/>
      </c>
      <c r="O22" s="602">
        <f t="shared" si="11"/>
        <v>0</v>
      </c>
      <c r="P22" s="629" t="str">
        <f t="shared" si="12"/>
        <v/>
      </c>
      <c r="Q22" s="601">
        <f t="shared" si="13"/>
        <v>0</v>
      </c>
      <c r="R22" s="153" t="str">
        <f t="shared" si="14"/>
        <v/>
      </c>
      <c r="S22" s="148">
        <f t="shared" si="15"/>
        <v>0</v>
      </c>
      <c r="T22" s="158" t="str">
        <f t="shared" si="16"/>
        <v/>
      </c>
      <c r="U22" s="159">
        <f t="shared" si="17"/>
        <v>7</v>
      </c>
      <c r="V22" s="153" t="str">
        <f t="shared" si="18"/>
        <v/>
      </c>
      <c r="W22" s="148">
        <f t="shared" si="19"/>
        <v>0</v>
      </c>
      <c r="X22" s="153" t="str">
        <f t="shared" si="20"/>
        <v/>
      </c>
      <c r="Y22" s="148">
        <f t="shared" si="21"/>
        <v>0</v>
      </c>
      <c r="AA22" s="151" t="s">
        <v>119</v>
      </c>
    </row>
    <row r="23" spans="1:27" s="56" customFormat="1" ht="12" thickBot="1">
      <c r="A23" s="57">
        <f t="shared" si="22"/>
        <v>21</v>
      </c>
      <c r="B23" s="158" t="str">
        <f t="shared" si="23"/>
        <v/>
      </c>
      <c r="C23" s="159">
        <f t="shared" si="1"/>
        <v>7</v>
      </c>
      <c r="D23" s="153" t="str">
        <f t="shared" si="2"/>
        <v/>
      </c>
      <c r="E23" s="148">
        <f t="shared" si="1"/>
        <v>0</v>
      </c>
      <c r="F23" s="153" t="str">
        <f t="shared" si="3"/>
        <v/>
      </c>
      <c r="G23" s="148">
        <f t="shared" si="1"/>
        <v>0</v>
      </c>
      <c r="H23" s="158" t="str">
        <f t="shared" si="4"/>
        <v/>
      </c>
      <c r="I23" s="159">
        <f t="shared" si="5"/>
        <v>7</v>
      </c>
      <c r="J23" s="600" t="str">
        <f t="shared" si="6"/>
        <v/>
      </c>
      <c r="K23" s="157">
        <f t="shared" si="7"/>
        <v>8</v>
      </c>
      <c r="L23" s="153" t="str">
        <f t="shared" si="8"/>
        <v/>
      </c>
      <c r="M23" s="148">
        <f t="shared" si="9"/>
        <v>0</v>
      </c>
      <c r="N23" s="158" t="str">
        <f t="shared" si="10"/>
        <v/>
      </c>
      <c r="O23" s="595">
        <f t="shared" si="11"/>
        <v>7</v>
      </c>
      <c r="P23" s="629" t="str">
        <f t="shared" si="12"/>
        <v/>
      </c>
      <c r="Q23" s="601">
        <f t="shared" si="13"/>
        <v>0</v>
      </c>
      <c r="R23" s="153" t="str">
        <f t="shared" si="14"/>
        <v/>
      </c>
      <c r="S23" s="148">
        <f t="shared" si="15"/>
        <v>0</v>
      </c>
      <c r="T23" s="158" t="str">
        <f t="shared" si="16"/>
        <v/>
      </c>
      <c r="U23" s="159">
        <f t="shared" si="17"/>
        <v>7</v>
      </c>
      <c r="V23" s="153" t="str">
        <f t="shared" si="18"/>
        <v/>
      </c>
      <c r="W23" s="148">
        <f t="shared" si="19"/>
        <v>0</v>
      </c>
      <c r="X23" s="696" t="str">
        <f t="shared" si="20"/>
        <v/>
      </c>
      <c r="Y23" s="148">
        <f t="shared" si="21"/>
        <v>0</v>
      </c>
    </row>
    <row r="24" spans="1:27" s="56" customFormat="1" ht="11.25">
      <c r="A24" s="57">
        <f t="shared" si="22"/>
        <v>22</v>
      </c>
      <c r="B24" s="153" t="str">
        <f t="shared" si="23"/>
        <v/>
      </c>
      <c r="C24" s="148">
        <f t="shared" si="1"/>
        <v>0</v>
      </c>
      <c r="D24" s="153" t="str">
        <f t="shared" si="2"/>
        <v/>
      </c>
      <c r="E24" s="148">
        <f t="shared" si="1"/>
        <v>0</v>
      </c>
      <c r="F24" s="153" t="str">
        <f t="shared" si="3"/>
        <v/>
      </c>
      <c r="G24" s="148">
        <f t="shared" si="1"/>
        <v>0</v>
      </c>
      <c r="H24" s="158" t="str">
        <f t="shared" si="4"/>
        <v/>
      </c>
      <c r="I24" s="595">
        <f t="shared" si="5"/>
        <v>7</v>
      </c>
      <c r="J24" s="630" t="str">
        <f t="shared" si="6"/>
        <v/>
      </c>
      <c r="K24" s="601">
        <f t="shared" si="7"/>
        <v>0</v>
      </c>
      <c r="L24" s="153" t="str">
        <f t="shared" si="8"/>
        <v/>
      </c>
      <c r="M24" s="148">
        <f t="shared" si="9"/>
        <v>0</v>
      </c>
      <c r="N24" s="158" t="str">
        <f t="shared" si="10"/>
        <v/>
      </c>
      <c r="O24" s="595">
        <f t="shared" si="11"/>
        <v>7</v>
      </c>
      <c r="P24" s="629" t="str">
        <f t="shared" si="12"/>
        <v/>
      </c>
      <c r="Q24" s="601">
        <f t="shared" si="13"/>
        <v>0</v>
      </c>
      <c r="R24" s="158" t="str">
        <f t="shared" si="14"/>
        <v/>
      </c>
      <c r="S24" s="159">
        <f t="shared" si="15"/>
        <v>7</v>
      </c>
      <c r="T24" s="153" t="str">
        <f t="shared" si="16"/>
        <v/>
      </c>
      <c r="U24" s="148">
        <f t="shared" si="17"/>
        <v>0</v>
      </c>
      <c r="V24" s="153" t="str">
        <f t="shared" si="18"/>
        <v/>
      </c>
      <c r="W24" s="602">
        <f t="shared" si="19"/>
        <v>0</v>
      </c>
      <c r="X24" s="697" t="str">
        <f t="shared" si="20"/>
        <v/>
      </c>
      <c r="Y24" s="596">
        <f t="shared" si="21"/>
        <v>7</v>
      </c>
      <c r="AA24" s="377" t="s">
        <v>48</v>
      </c>
    </row>
    <row r="25" spans="1:27" s="56" customFormat="1" ht="11.25">
      <c r="A25" s="57">
        <f t="shared" si="22"/>
        <v>23</v>
      </c>
      <c r="B25" s="153" t="str">
        <f t="shared" si="23"/>
        <v/>
      </c>
      <c r="C25" s="148">
        <f t="shared" si="1"/>
        <v>0</v>
      </c>
      <c r="D25" s="153" t="str">
        <f t="shared" si="2"/>
        <v/>
      </c>
      <c r="E25" s="148">
        <f t="shared" si="1"/>
        <v>0</v>
      </c>
      <c r="F25" s="153" t="str">
        <f t="shared" si="3"/>
        <v/>
      </c>
      <c r="G25" s="148">
        <f t="shared" si="1"/>
        <v>0</v>
      </c>
      <c r="H25" s="153" t="str">
        <f t="shared" si="4"/>
        <v/>
      </c>
      <c r="I25" s="602">
        <f t="shared" si="5"/>
        <v>0</v>
      </c>
      <c r="J25" s="629" t="str">
        <f t="shared" si="6"/>
        <v/>
      </c>
      <c r="K25" s="601">
        <f t="shared" si="7"/>
        <v>0</v>
      </c>
      <c r="L25" s="158" t="str">
        <f t="shared" si="8"/>
        <v/>
      </c>
      <c r="M25" s="159">
        <f t="shared" si="9"/>
        <v>7</v>
      </c>
      <c r="N25" s="153" t="str">
        <f t="shared" si="10"/>
        <v/>
      </c>
      <c r="O25" s="602">
        <f t="shared" si="11"/>
        <v>0</v>
      </c>
      <c r="P25" s="629" t="str">
        <f t="shared" si="12"/>
        <v/>
      </c>
      <c r="Q25" s="601">
        <f t="shared" si="13"/>
        <v>0</v>
      </c>
      <c r="R25" s="158" t="str">
        <f t="shared" si="14"/>
        <v/>
      </c>
      <c r="S25" s="159">
        <f t="shared" si="15"/>
        <v>7</v>
      </c>
      <c r="T25" s="153" t="str">
        <f t="shared" si="16"/>
        <v/>
      </c>
      <c r="U25" s="148">
        <f t="shared" si="17"/>
        <v>0</v>
      </c>
      <c r="V25" s="153" t="str">
        <f t="shared" si="18"/>
        <v/>
      </c>
      <c r="W25" s="602">
        <f t="shared" si="19"/>
        <v>0</v>
      </c>
      <c r="X25" s="632" t="str">
        <f t="shared" si="20"/>
        <v/>
      </c>
      <c r="Y25" s="596">
        <f t="shared" si="21"/>
        <v>7</v>
      </c>
    </row>
    <row r="26" spans="1:27" s="56" customFormat="1" ht="12" thickBot="1">
      <c r="A26" s="57">
        <f t="shared" si="22"/>
        <v>24</v>
      </c>
      <c r="B26" s="153" t="str">
        <f t="shared" si="23"/>
        <v/>
      </c>
      <c r="C26" s="148">
        <f t="shared" si="1"/>
        <v>0</v>
      </c>
      <c r="D26" s="158" t="str">
        <f t="shared" si="2"/>
        <v/>
      </c>
      <c r="E26" s="159">
        <f t="shared" si="1"/>
        <v>7</v>
      </c>
      <c r="F26" s="158" t="str">
        <f t="shared" si="3"/>
        <v/>
      </c>
      <c r="G26" s="159">
        <f t="shared" si="1"/>
        <v>7</v>
      </c>
      <c r="H26" s="153" t="str">
        <f t="shared" si="4"/>
        <v/>
      </c>
      <c r="I26" s="602">
        <f t="shared" si="5"/>
        <v>0</v>
      </c>
      <c r="J26" s="629" t="str">
        <f t="shared" si="6"/>
        <v/>
      </c>
      <c r="K26" s="601">
        <f t="shared" si="7"/>
        <v>0</v>
      </c>
      <c r="L26" s="158" t="str">
        <f t="shared" si="8"/>
        <v/>
      </c>
      <c r="M26" s="159">
        <f t="shared" si="9"/>
        <v>7</v>
      </c>
      <c r="N26" s="153" t="str">
        <f t="shared" si="10"/>
        <v/>
      </c>
      <c r="O26" s="602">
        <f t="shared" si="11"/>
        <v>0</v>
      </c>
      <c r="P26" s="629" t="str">
        <f t="shared" si="12"/>
        <v/>
      </c>
      <c r="Q26" s="601">
        <f t="shared" si="13"/>
        <v>0</v>
      </c>
      <c r="R26" s="153" t="str">
        <f t="shared" si="14"/>
        <v/>
      </c>
      <c r="S26" s="148">
        <f t="shared" si="15"/>
        <v>0</v>
      </c>
      <c r="T26" s="153" t="str">
        <f t="shared" si="16"/>
        <v/>
      </c>
      <c r="U26" s="148">
        <f t="shared" si="17"/>
        <v>0</v>
      </c>
      <c r="V26" s="158" t="str">
        <f t="shared" si="18"/>
        <v/>
      </c>
      <c r="W26" s="595">
        <f t="shared" si="19"/>
        <v>7</v>
      </c>
      <c r="X26" s="629" t="str">
        <f t="shared" si="20"/>
        <v/>
      </c>
      <c r="Y26" s="601">
        <f t="shared" si="21"/>
        <v>0</v>
      </c>
    </row>
    <row r="27" spans="1:27" s="56" customFormat="1" ht="12" thickBot="1">
      <c r="A27" s="57">
        <f t="shared" si="22"/>
        <v>25</v>
      </c>
      <c r="B27" s="153" t="str">
        <f t="shared" si="23"/>
        <v/>
      </c>
      <c r="C27" s="148">
        <f t="shared" si="1"/>
        <v>0</v>
      </c>
      <c r="D27" s="158" t="str">
        <f t="shared" si="2"/>
        <v/>
      </c>
      <c r="E27" s="159">
        <f t="shared" si="1"/>
        <v>7</v>
      </c>
      <c r="F27" s="594" t="str">
        <f t="shared" si="3"/>
        <v/>
      </c>
      <c r="G27" s="159">
        <f t="shared" si="1"/>
        <v>7</v>
      </c>
      <c r="H27" s="153" t="str">
        <f t="shared" si="4"/>
        <v/>
      </c>
      <c r="I27" s="602">
        <f t="shared" si="5"/>
        <v>0</v>
      </c>
      <c r="J27" s="629" t="str">
        <f t="shared" si="6"/>
        <v/>
      </c>
      <c r="K27" s="601">
        <f t="shared" si="7"/>
        <v>0</v>
      </c>
      <c r="L27" s="153" t="str">
        <f t="shared" si="8"/>
        <v/>
      </c>
      <c r="M27" s="148">
        <f t="shared" si="9"/>
        <v>0</v>
      </c>
      <c r="N27" s="153" t="str">
        <f t="shared" si="10"/>
        <v/>
      </c>
      <c r="O27" s="602">
        <f t="shared" si="11"/>
        <v>0</v>
      </c>
      <c r="P27" s="632" t="str">
        <f t="shared" si="12"/>
        <v/>
      </c>
      <c r="Q27" s="596">
        <f t="shared" si="13"/>
        <v>7</v>
      </c>
      <c r="R27" s="153" t="str">
        <f t="shared" si="14"/>
        <v/>
      </c>
      <c r="S27" s="148">
        <f t="shared" si="15"/>
        <v>0</v>
      </c>
      <c r="T27" s="153" t="str">
        <f t="shared" si="16"/>
        <v/>
      </c>
      <c r="U27" s="148">
        <f t="shared" si="17"/>
        <v>0</v>
      </c>
      <c r="V27" s="158" t="str">
        <f t="shared" si="18"/>
        <v/>
      </c>
      <c r="W27" s="595">
        <f t="shared" si="19"/>
        <v>7</v>
      </c>
      <c r="X27" s="631" t="str">
        <f t="shared" si="20"/>
        <v/>
      </c>
      <c r="Y27" s="599">
        <f t="shared" si="21"/>
        <v>8</v>
      </c>
      <c r="AA27" s="380" t="s">
        <v>2</v>
      </c>
    </row>
    <row r="28" spans="1:27" s="56" customFormat="1" ht="11.25">
      <c r="A28" s="57">
        <f t="shared" si="22"/>
        <v>26</v>
      </c>
      <c r="B28" s="153" t="str">
        <f t="shared" si="23"/>
        <v/>
      </c>
      <c r="C28" s="148">
        <f t="shared" si="1"/>
        <v>0</v>
      </c>
      <c r="D28" s="153" t="str">
        <f t="shared" si="2"/>
        <v/>
      </c>
      <c r="E28" s="602">
        <f t="shared" si="1"/>
        <v>0</v>
      </c>
      <c r="F28" s="630" t="str">
        <f t="shared" si="3"/>
        <v/>
      </c>
      <c r="G28" s="601">
        <f t="shared" si="1"/>
        <v>0</v>
      </c>
      <c r="H28" s="153" t="str">
        <f t="shared" si="4"/>
        <v/>
      </c>
      <c r="I28" s="602">
        <f t="shared" si="5"/>
        <v>0</v>
      </c>
      <c r="J28" s="632" t="str">
        <f t="shared" si="6"/>
        <v/>
      </c>
      <c r="K28" s="596">
        <f t="shared" si="7"/>
        <v>7</v>
      </c>
      <c r="L28" s="153" t="str">
        <f t="shared" si="8"/>
        <v/>
      </c>
      <c r="M28" s="148">
        <f t="shared" si="9"/>
        <v>0</v>
      </c>
      <c r="N28" s="153" t="str">
        <f t="shared" si="10"/>
        <v/>
      </c>
      <c r="O28" s="602">
        <f t="shared" si="11"/>
        <v>0</v>
      </c>
      <c r="P28" s="632" t="str">
        <f t="shared" si="12"/>
        <v/>
      </c>
      <c r="Q28" s="596">
        <f t="shared" si="13"/>
        <v>7</v>
      </c>
      <c r="R28" s="153" t="str">
        <f t="shared" si="14"/>
        <v/>
      </c>
      <c r="S28" s="148">
        <f t="shared" si="15"/>
        <v>0</v>
      </c>
      <c r="T28" s="153" t="str">
        <f t="shared" si="16"/>
        <v/>
      </c>
      <c r="U28" s="148">
        <f t="shared" si="17"/>
        <v>0</v>
      </c>
      <c r="V28" s="153" t="str">
        <f t="shared" si="18"/>
        <v/>
      </c>
      <c r="W28" s="602">
        <f t="shared" si="19"/>
        <v>0</v>
      </c>
      <c r="X28" s="631" t="str">
        <f t="shared" si="20"/>
        <v/>
      </c>
      <c r="Y28" s="599">
        <f t="shared" si="21"/>
        <v>8</v>
      </c>
    </row>
    <row r="29" spans="1:27" s="56" customFormat="1" ht="11.25">
      <c r="A29" s="57">
        <f t="shared" si="22"/>
        <v>27</v>
      </c>
      <c r="B29" s="158" t="str">
        <f t="shared" si="23"/>
        <v/>
      </c>
      <c r="C29" s="159">
        <f t="shared" si="1"/>
        <v>7</v>
      </c>
      <c r="D29" s="153" t="str">
        <f t="shared" si="2"/>
        <v/>
      </c>
      <c r="E29" s="602">
        <f t="shared" si="1"/>
        <v>0</v>
      </c>
      <c r="F29" s="629" t="str">
        <f t="shared" si="3"/>
        <v/>
      </c>
      <c r="G29" s="601">
        <f t="shared" si="1"/>
        <v>0</v>
      </c>
      <c r="H29" s="153" t="str">
        <f t="shared" si="4"/>
        <v/>
      </c>
      <c r="I29" s="602">
        <f t="shared" si="5"/>
        <v>0</v>
      </c>
      <c r="J29" s="632" t="str">
        <f t="shared" si="6"/>
        <v/>
      </c>
      <c r="K29" s="596">
        <f t="shared" si="7"/>
        <v>7</v>
      </c>
      <c r="L29" s="153" t="str">
        <f t="shared" si="8"/>
        <v/>
      </c>
      <c r="M29" s="148">
        <f t="shared" si="9"/>
        <v>0</v>
      </c>
      <c r="N29" s="153" t="str">
        <f t="shared" si="10"/>
        <v/>
      </c>
      <c r="O29" s="602">
        <f t="shared" si="11"/>
        <v>0</v>
      </c>
      <c r="P29" s="629" t="str">
        <f t="shared" si="12"/>
        <v/>
      </c>
      <c r="Q29" s="601">
        <f t="shared" si="13"/>
        <v>0</v>
      </c>
      <c r="R29" s="153" t="str">
        <f t="shared" si="14"/>
        <v/>
      </c>
      <c r="S29" s="148">
        <f t="shared" si="15"/>
        <v>0</v>
      </c>
      <c r="T29" s="158" t="str">
        <f t="shared" si="16"/>
        <v/>
      </c>
      <c r="U29" s="159">
        <f t="shared" si="17"/>
        <v>7</v>
      </c>
      <c r="V29" s="153" t="str">
        <f t="shared" si="18"/>
        <v/>
      </c>
      <c r="W29" s="602">
        <f t="shared" si="19"/>
        <v>0</v>
      </c>
      <c r="X29" s="629" t="str">
        <f t="shared" si="20"/>
        <v/>
      </c>
      <c r="Y29" s="601">
        <f t="shared" si="21"/>
        <v>0</v>
      </c>
    </row>
    <row r="30" spans="1:27" s="56" customFormat="1" ht="12" thickBot="1">
      <c r="A30" s="57">
        <f t="shared" si="22"/>
        <v>28</v>
      </c>
      <c r="B30" s="158" t="str">
        <f t="shared" si="23"/>
        <v/>
      </c>
      <c r="C30" s="159">
        <f t="shared" si="1"/>
        <v>7</v>
      </c>
      <c r="D30" s="153" t="str">
        <f t="shared" si="2"/>
        <v/>
      </c>
      <c r="E30" s="602">
        <f t="shared" si="1"/>
        <v>0</v>
      </c>
      <c r="F30" s="629" t="str">
        <f t="shared" si="3"/>
        <v/>
      </c>
      <c r="G30" s="601">
        <f t="shared" si="1"/>
        <v>0</v>
      </c>
      <c r="H30" s="158" t="str">
        <f t="shared" si="4"/>
        <v/>
      </c>
      <c r="I30" s="595">
        <f t="shared" si="5"/>
        <v>7</v>
      </c>
      <c r="J30" s="629" t="str">
        <f t="shared" si="6"/>
        <v/>
      </c>
      <c r="K30" s="601">
        <f t="shared" si="7"/>
        <v>0</v>
      </c>
      <c r="L30" s="153" t="str">
        <f t="shared" si="8"/>
        <v/>
      </c>
      <c r="M30" s="148">
        <f t="shared" si="9"/>
        <v>0</v>
      </c>
      <c r="N30" s="158" t="str">
        <f t="shared" si="10"/>
        <v/>
      </c>
      <c r="O30" s="595">
        <f t="shared" si="11"/>
        <v>7</v>
      </c>
      <c r="P30" s="629" t="str">
        <f t="shared" si="12"/>
        <v/>
      </c>
      <c r="Q30" s="601">
        <f t="shared" si="13"/>
        <v>0</v>
      </c>
      <c r="R30" s="153" t="str">
        <f t="shared" si="14"/>
        <v/>
      </c>
      <c r="S30" s="148">
        <f t="shared" si="15"/>
        <v>0</v>
      </c>
      <c r="T30" s="594" t="str">
        <f t="shared" si="16"/>
        <v/>
      </c>
      <c r="U30" s="159">
        <f t="shared" si="17"/>
        <v>7</v>
      </c>
      <c r="V30" s="153" t="str">
        <f t="shared" si="18"/>
        <v/>
      </c>
      <c r="W30" s="602">
        <f t="shared" si="19"/>
        <v>0</v>
      </c>
      <c r="X30" s="629" t="str">
        <f t="shared" si="20"/>
        <v/>
      </c>
      <c r="Y30" s="601">
        <f t="shared" si="21"/>
        <v>0</v>
      </c>
    </row>
    <row r="31" spans="1:27" s="56" customFormat="1" ht="12" thickBot="1">
      <c r="A31" s="57">
        <f t="shared" si="22"/>
        <v>29</v>
      </c>
      <c r="B31" s="153" t="str">
        <f t="shared" si="23"/>
        <v/>
      </c>
      <c r="C31" s="148">
        <f t="shared" si="1"/>
        <v>0</v>
      </c>
      <c r="D31" s="155" t="str">
        <f t="shared" si="2"/>
        <v>-</v>
      </c>
      <c r="E31" s="603" t="str">
        <f t="shared" si="1"/>
        <v/>
      </c>
      <c r="F31" s="629" t="str">
        <f t="shared" si="3"/>
        <v/>
      </c>
      <c r="G31" s="601">
        <f t="shared" si="1"/>
        <v>0</v>
      </c>
      <c r="H31" s="158" t="str">
        <f t="shared" si="4"/>
        <v/>
      </c>
      <c r="I31" s="595">
        <f t="shared" si="5"/>
        <v>7</v>
      </c>
      <c r="J31" s="629" t="str">
        <f t="shared" si="6"/>
        <v/>
      </c>
      <c r="K31" s="601">
        <f t="shared" si="7"/>
        <v>0</v>
      </c>
      <c r="L31" s="153" t="str">
        <f t="shared" si="8"/>
        <v/>
      </c>
      <c r="M31" s="148">
        <f t="shared" si="9"/>
        <v>0</v>
      </c>
      <c r="N31" s="594" t="str">
        <f t="shared" si="10"/>
        <v/>
      </c>
      <c r="O31" s="595">
        <f t="shared" si="11"/>
        <v>7</v>
      </c>
      <c r="P31" s="629" t="str">
        <f t="shared" si="12"/>
        <v/>
      </c>
      <c r="Q31" s="601">
        <f t="shared" si="13"/>
        <v>0</v>
      </c>
      <c r="R31" s="158" t="str">
        <f t="shared" si="14"/>
        <v/>
      </c>
      <c r="S31" s="595">
        <f t="shared" si="15"/>
        <v>7</v>
      </c>
      <c r="T31" s="630" t="str">
        <f t="shared" si="16"/>
        <v/>
      </c>
      <c r="U31" s="601">
        <f t="shared" si="17"/>
        <v>0</v>
      </c>
      <c r="V31" s="153" t="str">
        <f t="shared" si="18"/>
        <v/>
      </c>
      <c r="W31" s="602">
        <f t="shared" si="19"/>
        <v>0</v>
      </c>
      <c r="X31" s="632" t="str">
        <f t="shared" si="20"/>
        <v/>
      </c>
      <c r="Y31" s="596">
        <f t="shared" si="21"/>
        <v>7</v>
      </c>
    </row>
    <row r="32" spans="1:27" s="56" customFormat="1" ht="11.25">
      <c r="A32" s="57">
        <f t="shared" si="22"/>
        <v>30</v>
      </c>
      <c r="B32" s="153" t="str">
        <f t="shared" si="23"/>
        <v/>
      </c>
      <c r="C32" s="148">
        <f t="shared" si="1"/>
        <v>0</v>
      </c>
      <c r="D32" s="155" t="str">
        <f t="shared" si="2"/>
        <v>-</v>
      </c>
      <c r="E32" s="603" t="str">
        <f t="shared" si="1"/>
        <v/>
      </c>
      <c r="F32" s="631" t="str">
        <f t="shared" si="3"/>
        <v/>
      </c>
      <c r="G32" s="599">
        <f t="shared" si="1"/>
        <v>8</v>
      </c>
      <c r="H32" s="153" t="str">
        <f t="shared" si="4"/>
        <v/>
      </c>
      <c r="I32" s="602">
        <f t="shared" si="5"/>
        <v>0</v>
      </c>
      <c r="J32" s="629" t="str">
        <f t="shared" si="6"/>
        <v/>
      </c>
      <c r="K32" s="601">
        <f t="shared" si="7"/>
        <v>0</v>
      </c>
      <c r="L32" s="158" t="str">
        <f t="shared" si="8"/>
        <v/>
      </c>
      <c r="M32" s="595">
        <f t="shared" si="9"/>
        <v>7</v>
      </c>
      <c r="N32" s="680" t="str">
        <f t="shared" si="10"/>
        <v/>
      </c>
      <c r="O32" s="681">
        <f t="shared" si="11"/>
        <v>0</v>
      </c>
      <c r="P32" s="684" t="str">
        <f t="shared" si="12"/>
        <v/>
      </c>
      <c r="Q32" s="601">
        <f t="shared" si="13"/>
        <v>0</v>
      </c>
      <c r="R32" s="158" t="str">
        <f t="shared" si="14"/>
        <v/>
      </c>
      <c r="S32" s="595">
        <f t="shared" si="15"/>
        <v>7</v>
      </c>
      <c r="T32" s="629" t="str">
        <f t="shared" si="16"/>
        <v/>
      </c>
      <c r="U32" s="601">
        <f t="shared" si="17"/>
        <v>0</v>
      </c>
      <c r="V32" s="153" t="str">
        <f t="shared" si="18"/>
        <v/>
      </c>
      <c r="W32" s="602">
        <f t="shared" si="19"/>
        <v>0</v>
      </c>
      <c r="X32" s="632" t="str">
        <f t="shared" si="20"/>
        <v/>
      </c>
      <c r="Y32" s="596">
        <f t="shared" si="21"/>
        <v>7</v>
      </c>
    </row>
    <row r="33" spans="1:27" s="56" customFormat="1" ht="12" thickBot="1">
      <c r="A33" s="57">
        <f t="shared" si="22"/>
        <v>31</v>
      </c>
      <c r="B33" s="153" t="str">
        <f t="shared" si="23"/>
        <v/>
      </c>
      <c r="C33" s="148">
        <f>IF(MONTH(DATE(YEAR(C$2),MONTH(C$2),$A33))=MONTH(C$2),VLOOKUP(DATE(YEAR(C$2),MONTH(C$2),$A33),db_Jahr,gSP_KalTyp,FALSE),"")</f>
        <v>0</v>
      </c>
      <c r="D33" s="155" t="str">
        <f t="shared" si="2"/>
        <v>-</v>
      </c>
      <c r="E33" s="603" t="str">
        <f>IF(MONTH(DATE(YEAR(E$2),MONTH(E$2),$A33))=MONTH(E$2),VLOOKUP(DATE(YEAR(E$2),MONTH(E$2),$A33),db_Jahr,gSP_KalTyp,FALSE),"")</f>
        <v/>
      </c>
      <c r="F33" s="598" t="str">
        <f t="shared" si="3"/>
        <v/>
      </c>
      <c r="G33" s="596">
        <f>IF(MONTH(DATE(YEAR(G$2),MONTH(G$2),$A33))=MONTH(G$2),VLOOKUP(DATE(YEAR(G$2),MONTH(G$2),$A33),db_Jahr,gSP_KalTyp,FALSE),"")</f>
        <v>7</v>
      </c>
      <c r="H33" s="155" t="str">
        <f t="shared" si="4"/>
        <v>-</v>
      </c>
      <c r="I33" s="603" t="str">
        <f>IF(MONTH(DATE(YEAR(I$2),MONTH(I$2),$A33))=MONTH(I$2),VLOOKUP(DATE(YEAR(I$2),MONTH(I$2),$A33),db_Jahr,gSP_KalTyp,FALSE),"")</f>
        <v/>
      </c>
      <c r="J33" s="695" t="str">
        <f t="shared" si="6"/>
        <v/>
      </c>
      <c r="K33" s="599">
        <f>IF(MONTH(DATE(YEAR(K$2),MONTH(K$2),$A33))=MONTH(K$2),VLOOKUP(DATE(YEAR(K$2),MONTH(K$2),$A33),db_Jahr,gSP_KalTyp,FALSE),"")</f>
        <v>8</v>
      </c>
      <c r="L33" s="155" t="str">
        <f t="shared" si="8"/>
        <v>-</v>
      </c>
      <c r="M33" s="603" t="str">
        <f>IF(MONTH(DATE(YEAR(M$2),MONTH(M$2),$A33))=MONTH(M$2),VLOOKUP(DATE(YEAR(M$2),MONTH(M$2),$A33),db_Jahr,gSP_KalTyp,FALSE),"")</f>
        <v/>
      </c>
      <c r="N33" s="698" t="str">
        <f t="shared" si="10"/>
        <v/>
      </c>
      <c r="O33" s="681">
        <f>IF(MONTH(DATE(YEAR(O$2),MONTH(O$2),$A33))=MONTH(O$2),VLOOKUP(DATE(YEAR(O$2),MONTH(O$2),$A33),db_Jahr,gSP_KalTyp,FALSE),"")</f>
        <v>0</v>
      </c>
      <c r="P33" s="683" t="str">
        <f t="shared" si="12"/>
        <v/>
      </c>
      <c r="Q33" s="601">
        <f>IF(MONTH(DATE(YEAR(Q$2),MONTH(Q$2),$A33))=MONTH(Q$2),VLOOKUP(DATE(YEAR(Q$2),MONTH(Q$2),$A33),db_Jahr,gSP_KalTyp,FALSE),"")</f>
        <v>0</v>
      </c>
      <c r="R33" s="155" t="str">
        <f t="shared" si="14"/>
        <v>-</v>
      </c>
      <c r="S33" s="603" t="str">
        <f>IF(MONTH(DATE(YEAR(S$2),MONTH(S$2),$A33))=MONTH(S$2),VLOOKUP(DATE(YEAR(S$2),MONTH(S$2),$A33),db_Jahr,gSP_KalTyp,FALSE),"")</f>
        <v/>
      </c>
      <c r="T33" s="627" t="str">
        <f t="shared" si="16"/>
        <v/>
      </c>
      <c r="U33" s="601">
        <f>IF(MONTH(DATE(YEAR(U$2),MONTH(U$2),$A33))=MONTH(U$2),VLOOKUP(DATE(YEAR(U$2),MONTH(U$2),$A33),db_Jahr,gSP_KalTyp,FALSE),"")</f>
        <v>0</v>
      </c>
      <c r="V33" s="155" t="str">
        <f t="shared" si="18"/>
        <v>-</v>
      </c>
      <c r="W33" s="603" t="str">
        <f>IF(MONTH(DATE(YEAR(W$2),MONTH(W$2),$A33))=MONTH(W$2),VLOOKUP(DATE(YEAR(W$2),MONTH(W$2),$A33),db_Jahr,gSP_KalTyp,FALSE),"")</f>
        <v/>
      </c>
      <c r="X33" s="627" t="str">
        <f t="shared" si="20"/>
        <v/>
      </c>
      <c r="Y33" s="601">
        <f>IF(MONTH(DATE(YEAR(Y$2),MONTH(Y$2),$A33))=MONTH(Y$2),VLOOKUP(DATE(YEAR(Y$2),MONTH(Y$2),$A33),db_Jahr,gSP_KalTyp,FALSE),"")</f>
        <v>0</v>
      </c>
    </row>
    <row r="34" spans="1:27" ht="5.25" customHeight="1"/>
    <row r="35" spans="1:27">
      <c r="E35" s="11"/>
      <c r="G35" s="11"/>
      <c r="I35" s="11"/>
      <c r="K35" s="11"/>
      <c r="M35" s="11"/>
      <c r="O35" s="11"/>
      <c r="Q35" s="11"/>
      <c r="S35" s="11"/>
      <c r="U35" s="11"/>
      <c r="V35" s="11"/>
      <c r="W35" s="11"/>
      <c r="Y35" s="11"/>
      <c r="AA35" s="592" t="str">
        <f ca="1">CELL("filename",AA35)</f>
        <v>D:\_pdata\GLAZ\andi\[vGlaz2018.xlsm]Kalender</v>
      </c>
    </row>
    <row r="36" spans="1:27" hidden="1">
      <c r="B36" s="11">
        <v>0</v>
      </c>
      <c r="C36" s="152"/>
      <c r="D36" s="11">
        <f>K_Wochenende</f>
        <v>7</v>
      </c>
      <c r="E36" s="11"/>
      <c r="F36" s="11">
        <f>K_Feiertag</f>
        <v>8</v>
      </c>
      <c r="G36" s="11"/>
      <c r="H36" s="11"/>
      <c r="I36" s="11"/>
      <c r="J36" s="11">
        <f>K_ArbeitNormal</f>
        <v>1</v>
      </c>
      <c r="K36" s="11"/>
      <c r="L36" s="11">
        <f>K_ArbeitOverTime</f>
        <v>2</v>
      </c>
      <c r="M36" s="11"/>
      <c r="N36" s="11">
        <f>K_ArbeitOverMax</f>
        <v>3</v>
      </c>
      <c r="O36" s="11"/>
      <c r="P36" s="11"/>
      <c r="Q36" s="11"/>
      <c r="R36" s="11">
        <f>K_Urlaub</f>
        <v>85</v>
      </c>
      <c r="S36" s="11"/>
      <c r="T36" s="11">
        <f>K_Krank</f>
        <v>75</v>
      </c>
      <c r="U36" s="11"/>
      <c r="V36" s="11"/>
      <c r="W36" s="11"/>
      <c r="X36" s="11"/>
      <c r="Y36" s="11"/>
    </row>
    <row r="37" spans="1:27">
      <c r="D37" s="54"/>
      <c r="E37" s="54"/>
      <c r="G37" s="54"/>
      <c r="I37" s="54"/>
      <c r="K37" s="54"/>
      <c r="M37" s="54"/>
      <c r="O37" s="54"/>
      <c r="Q37" s="54"/>
      <c r="S37" s="54"/>
      <c r="U37" s="54"/>
      <c r="W37" s="54"/>
      <c r="Y37" s="54"/>
    </row>
    <row r="40" spans="1:27">
      <c r="E40" s="152"/>
      <c r="G40" s="152"/>
      <c r="I40" s="152"/>
      <c r="K40" s="152"/>
      <c r="M40" s="152"/>
      <c r="O40" s="152"/>
      <c r="Q40" s="152"/>
      <c r="S40" s="152"/>
      <c r="U40" s="152"/>
      <c r="W40" s="152"/>
      <c r="Y40" s="152"/>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3" sqref="C3"/>
    </sheetView>
  </sheetViews>
  <sheetFormatPr baseColWidth="10" defaultRowHeight="12.75" outlineLevelRow="1" outlineLevelCol="1"/>
  <cols>
    <col min="1" max="1" width="13.7109375" customWidth="1"/>
    <col min="2" max="2" width="17" customWidth="1"/>
    <col min="3" max="3" width="6.7109375" customWidth="1"/>
    <col min="4" max="33" width="6.7109375" customWidth="1" outlineLevel="1"/>
    <col min="35" max="35" width="3.7109375" style="78" customWidth="1"/>
    <col min="36" max="36" width="21" customWidth="1"/>
  </cols>
  <sheetData>
    <row r="1" spans="1:37" ht="5.0999999999999996" customHeight="1" thickBot="1"/>
    <row r="2" spans="1:37" ht="13.5" thickBot="1">
      <c r="B2" s="619" t="s">
        <v>86</v>
      </c>
      <c r="C2" s="649">
        <v>41639</v>
      </c>
      <c r="D2" t="s">
        <v>87</v>
      </c>
      <c r="L2" s="152"/>
    </row>
    <row r="3" spans="1:37" ht="13.5" thickBot="1">
      <c r="B3" s="617" t="s">
        <v>206</v>
      </c>
      <c r="C3" s="616">
        <v>41304</v>
      </c>
      <c r="D3" t="s">
        <v>207</v>
      </c>
      <c r="L3" s="152"/>
    </row>
    <row r="4" spans="1:37" ht="5.0999999999999996" customHeight="1">
      <c r="B4" s="617"/>
      <c r="C4" s="638">
        <f>DATE(YEAR(A_Aufgabendatum),MONTH(A_Aufgabendatum)+1,1)</f>
        <v>41670</v>
      </c>
    </row>
    <row r="5" spans="1:37" s="609" customFormat="1">
      <c r="B5" s="639"/>
      <c r="C5" s="639">
        <f>C2</f>
        <v>41639</v>
      </c>
      <c r="D5" s="639">
        <f t="shared" ref="D5:AG5" si="0">IF(AND(C5&gt;0,C5+1&lt;A_Monatsende,C5&lt;A_Aufgabenende),C5+1,0)</f>
        <v>0</v>
      </c>
      <c r="E5" s="639">
        <f t="shared" si="0"/>
        <v>0</v>
      </c>
      <c r="F5" s="639">
        <f t="shared" si="0"/>
        <v>0</v>
      </c>
      <c r="G5" s="639">
        <f t="shared" si="0"/>
        <v>0</v>
      </c>
      <c r="H5" s="639">
        <f t="shared" si="0"/>
        <v>0</v>
      </c>
      <c r="I5" s="639">
        <f t="shared" si="0"/>
        <v>0</v>
      </c>
      <c r="J5" s="639">
        <f t="shared" si="0"/>
        <v>0</v>
      </c>
      <c r="K5" s="639">
        <f t="shared" si="0"/>
        <v>0</v>
      </c>
      <c r="L5" s="639">
        <f t="shared" si="0"/>
        <v>0</v>
      </c>
      <c r="M5" s="639">
        <f t="shared" si="0"/>
        <v>0</v>
      </c>
      <c r="N5" s="639">
        <f t="shared" si="0"/>
        <v>0</v>
      </c>
      <c r="O5" s="639">
        <f t="shared" si="0"/>
        <v>0</v>
      </c>
      <c r="P5" s="639">
        <f t="shared" si="0"/>
        <v>0</v>
      </c>
      <c r="Q5" s="639">
        <f t="shared" si="0"/>
        <v>0</v>
      </c>
      <c r="R5" s="639">
        <f t="shared" si="0"/>
        <v>0</v>
      </c>
      <c r="S5" s="639">
        <f t="shared" si="0"/>
        <v>0</v>
      </c>
      <c r="T5" s="639">
        <f t="shared" si="0"/>
        <v>0</v>
      </c>
      <c r="U5" s="639">
        <f t="shared" si="0"/>
        <v>0</v>
      </c>
      <c r="V5" s="639">
        <f t="shared" si="0"/>
        <v>0</v>
      </c>
      <c r="W5" s="639">
        <f t="shared" si="0"/>
        <v>0</v>
      </c>
      <c r="X5" s="639">
        <f t="shared" si="0"/>
        <v>0</v>
      </c>
      <c r="Y5" s="639">
        <f t="shared" si="0"/>
        <v>0</v>
      </c>
      <c r="Z5" s="639">
        <f t="shared" si="0"/>
        <v>0</v>
      </c>
      <c r="AA5" s="639">
        <f t="shared" si="0"/>
        <v>0</v>
      </c>
      <c r="AB5" s="639">
        <f t="shared" si="0"/>
        <v>0</v>
      </c>
      <c r="AC5" s="639">
        <f t="shared" si="0"/>
        <v>0</v>
      </c>
      <c r="AD5" s="639">
        <f t="shared" si="0"/>
        <v>0</v>
      </c>
      <c r="AE5" s="639">
        <f t="shared" si="0"/>
        <v>0</v>
      </c>
      <c r="AF5" s="639">
        <f t="shared" si="0"/>
        <v>0</v>
      </c>
      <c r="AG5" s="639">
        <f t="shared" si="0"/>
        <v>0</v>
      </c>
      <c r="AH5" s="640" t="s">
        <v>89</v>
      </c>
      <c r="AI5" s="674"/>
    </row>
    <row r="6" spans="1:37">
      <c r="A6">
        <f>AK6</f>
        <v>0</v>
      </c>
      <c r="B6" s="610" t="str">
        <f>Aufgaben!G3</f>
        <v>Urlaub</v>
      </c>
      <c r="C6" s="613">
        <f>IF(C$5&gt;0,(INDEX(A_Aufgaben,(C$5-Arbeitszeit!$A$6+1),(2*(ROW()-ROW(A_Aufgabendatum))-1))),"")</f>
        <v>0</v>
      </c>
      <c r="D6" s="612" t="str">
        <f>IF(D$5&gt;0,(INDEX(A_Aufgaben,(D$5-Arbeitszeit!$A$6+1),(2*(ROW()-ROW(A_Aufgabendatum))-1))),"")</f>
        <v/>
      </c>
      <c r="E6" s="611" t="str">
        <f>IF(E$5&gt;0,(INDEX(A_Aufgaben,(E$5-Arbeitszeit!$A$6+1),(2*(ROW()-ROW(A_Aufgabendatum))-1))),"")</f>
        <v/>
      </c>
      <c r="F6" s="612" t="str">
        <f>IF(F$5&gt;0,(INDEX(A_Aufgaben,(F$5-Arbeitszeit!$A$6+1),(2*(ROW()-ROW(A_Aufgabendatum))-1))),"")</f>
        <v/>
      </c>
      <c r="G6" s="611" t="str">
        <f>IF(G$5&gt;0,(INDEX(A_Aufgaben,(G$5-Arbeitszeit!$A$6+1),(2*(ROW()-ROW(A_Aufgabendatum))-1))),"")</f>
        <v/>
      </c>
      <c r="H6" s="612" t="str">
        <f>IF(H$5&gt;0,(INDEX(A_Aufgaben,(H$5-Arbeitszeit!$A$6+1),(2*(ROW()-ROW(A_Aufgabendatum))-1))),"")</f>
        <v/>
      </c>
      <c r="I6" s="611" t="str">
        <f>IF(I$5&gt;0,(INDEX(A_Aufgaben,(I$5-Arbeitszeit!$A$6+1),(2*(ROW()-ROW(A_Aufgabendatum))-1))),"")</f>
        <v/>
      </c>
      <c r="J6" s="612" t="str">
        <f>IF(J$5&gt;0,(INDEX(A_Aufgaben,(J$5-Arbeitszeit!$A$6+1),(2*(ROW()-ROW(A_Aufgabendatum))-1))),"")</f>
        <v/>
      </c>
      <c r="K6" s="611" t="str">
        <f>IF(K$5&gt;0,(INDEX(A_Aufgaben,(K$5-Arbeitszeit!$A$6+1),(2*(ROW()-ROW(A_Aufgabendatum))-1))),"")</f>
        <v/>
      </c>
      <c r="L6" s="612" t="str">
        <f>IF(L$5&gt;0,(INDEX(A_Aufgaben,(L$5-Arbeitszeit!$A$6+1),(2*(ROW()-ROW(A_Aufgabendatum))-1))),"")</f>
        <v/>
      </c>
      <c r="M6" s="611" t="str">
        <f>IF(M$5&gt;0,(INDEX(A_Aufgaben,(M$5-Arbeitszeit!$A$6+1),(2*(ROW()-ROW(A_Aufgabendatum))-1))),"")</f>
        <v/>
      </c>
      <c r="N6" s="612" t="str">
        <f>IF(N$5&gt;0,(INDEX(A_Aufgaben,(N$5-Arbeitszeit!$A$6+1),(2*(ROW()-ROW(A_Aufgabendatum))-1))),"")</f>
        <v/>
      </c>
      <c r="O6" s="611" t="str">
        <f>IF(O$5&gt;0,(INDEX(A_Aufgaben,(O$5-Arbeitszeit!$A$6+1),(2*(ROW()-ROW(A_Aufgabendatum))-1))),"")</f>
        <v/>
      </c>
      <c r="P6" s="612" t="str">
        <f>IF(P$5&gt;0,(INDEX(A_Aufgaben,(P$5-Arbeitszeit!$A$6+1),(2*(ROW()-ROW(A_Aufgabendatum))-1))),"")</f>
        <v/>
      </c>
      <c r="Q6" s="611" t="str">
        <f>IF(Q$5&gt;0,(INDEX(A_Aufgaben,(Q$5-Arbeitszeit!$A$6+1),(2*(ROW()-ROW(A_Aufgabendatum))-1))),"")</f>
        <v/>
      </c>
      <c r="R6" s="612" t="str">
        <f>IF(R$5&gt;0,(INDEX(A_Aufgaben,(R$5-Arbeitszeit!$A$6+1),(2*(ROW()-ROW(A_Aufgabendatum))-1))),"")</f>
        <v/>
      </c>
      <c r="S6" s="611" t="str">
        <f>IF(S$5&gt;0,(INDEX(A_Aufgaben,(S$5-Arbeitszeit!$A$6+1),(2*(ROW()-ROW(A_Aufgabendatum))-1))),"")</f>
        <v/>
      </c>
      <c r="T6" s="612" t="str">
        <f>IF(T$5&gt;0,(INDEX(A_Aufgaben,(T$5-Arbeitszeit!$A$6+1),(2*(ROW()-ROW(A_Aufgabendatum))-1))),"")</f>
        <v/>
      </c>
      <c r="U6" s="611" t="str">
        <f>IF(U$5&gt;0,(INDEX(A_Aufgaben,(U$5-Arbeitszeit!$A$6+1),(2*(ROW()-ROW(A_Aufgabendatum))-1))),"")</f>
        <v/>
      </c>
      <c r="V6" s="612" t="str">
        <f>IF(V$5&gt;0,(INDEX(A_Aufgaben,(V$5-Arbeitszeit!$A$6+1),(2*(ROW()-ROW(A_Aufgabendatum))-1))),"")</f>
        <v/>
      </c>
      <c r="W6" s="611" t="str">
        <f>IF(W$5&gt;0,(INDEX(A_Aufgaben,(W$5-Arbeitszeit!$A$6+1),(2*(ROW()-ROW(A_Aufgabendatum))-1))),"")</f>
        <v/>
      </c>
      <c r="X6" s="612" t="str">
        <f>IF(X$5&gt;0,(INDEX(A_Aufgaben,(X$5-Arbeitszeit!$A$6+1),(2*(ROW()-ROW(A_Aufgabendatum))-1))),"")</f>
        <v/>
      </c>
      <c r="Y6" s="611" t="str">
        <f>IF(Y$5&gt;0,(INDEX(A_Aufgaben,(Y$5-Arbeitszeit!$A$6+1),(2*(ROW()-ROW(A_Aufgabendatum))-1))),"")</f>
        <v/>
      </c>
      <c r="Z6" s="612" t="str">
        <f>IF(Z$5&gt;0,(INDEX(A_Aufgaben,(Z$5-Arbeitszeit!$A$6+1),(2*(ROW()-ROW(A_Aufgabendatum))-1))),"")</f>
        <v/>
      </c>
      <c r="AA6" s="611" t="str">
        <f>IF(AA$5&gt;0,(INDEX(A_Aufgaben,(AA$5-Arbeitszeit!$A$6+1),(2*(ROW()-ROW(A_Aufgabendatum))-1))),"")</f>
        <v/>
      </c>
      <c r="AB6" s="612" t="str">
        <f>IF(AB$5&gt;0,(INDEX(A_Aufgaben,(AB$5-Arbeitszeit!$A$6+1),(2*(ROW()-ROW(A_Aufgabendatum))-1))),"")</f>
        <v/>
      </c>
      <c r="AC6" s="611" t="str">
        <f>IF(AC$5&gt;0,(INDEX(A_Aufgaben,(AC$5-Arbeitszeit!$A$6+1),(2*(ROW()-ROW(A_Aufgabendatum))-1))),"")</f>
        <v/>
      </c>
      <c r="AD6" s="612" t="str">
        <f>IF(AD$5&gt;0,(INDEX(A_Aufgaben,(AD$5-Arbeitszeit!$A$6+1),(2*(ROW()-ROW(A_Aufgabendatum))-1))),"")</f>
        <v/>
      </c>
      <c r="AE6" s="611" t="str">
        <f>IF(AE$5&gt;0,(INDEX(A_Aufgaben,(AE$5-Arbeitszeit!$A$6+1),(2*(ROW()-ROW(A_Aufgabendatum))-1))),"")</f>
        <v/>
      </c>
      <c r="AF6" s="612" t="str">
        <f>IF(AF$5&gt;0,(INDEX(A_Aufgaben,(AF$5-Arbeitszeit!$A$6+1),(2*(ROW()-ROW(A_Aufgabendatum))-1))),"")</f>
        <v/>
      </c>
      <c r="AG6" s="611" t="str">
        <f>IF(AG$5&gt;0,(INDEX(A_Aufgaben,(AG$5-Arbeitszeit!$A$6+1),(2*(ROW()-ROW(A_Aufgabendatum))-1))),"")</f>
        <v/>
      </c>
      <c r="AH6" s="620">
        <f t="shared" ref="AH6:AH27" si="1">SUM(C6:AG6)</f>
        <v>0</v>
      </c>
      <c r="AI6" s="285">
        <f>COUNTIF(C6:AG6,"&gt;0")</f>
        <v>0</v>
      </c>
    </row>
    <row r="7" spans="1:37">
      <c r="A7">
        <f>AK7</f>
        <v>0</v>
      </c>
      <c r="B7" s="610" t="str">
        <f>Aufgaben!I3</f>
        <v>Krank</v>
      </c>
      <c r="C7" s="611">
        <f>IF(C$5&gt;0,(INDEX(A_Aufgaben,(C$5-Arbeitszeit!$A$6+1),(2*(ROW()-ROW(A_Aufgabendatum))-1))),"")</f>
        <v>0</v>
      </c>
      <c r="D7" s="612" t="str">
        <f>IF(D$5&gt;0,(INDEX(A_Aufgaben,(D$5-Arbeitszeit!$A$6+1),(2*(ROW()-ROW(A_Aufgabendatum))-1))),"")</f>
        <v/>
      </c>
      <c r="E7" s="611" t="str">
        <f>IF(E$5&gt;0,(INDEX(A_Aufgaben,(E$5-Arbeitszeit!$A$6+1),(2*(ROW()-ROW(A_Aufgabendatum))-1))),"")</f>
        <v/>
      </c>
      <c r="F7" s="612" t="str">
        <f>IF(F$5&gt;0,(INDEX(A_Aufgaben,(F$5-Arbeitszeit!$A$6+1),(2*(ROW()-ROW(A_Aufgabendatum))-1))),"")</f>
        <v/>
      </c>
      <c r="G7" s="611" t="str">
        <f>IF(G$5&gt;0,(INDEX(A_Aufgaben,(G$5-Arbeitszeit!$A$6+1),(2*(ROW()-ROW(A_Aufgabendatum))-1))),"")</f>
        <v/>
      </c>
      <c r="H7" s="612" t="str">
        <f>IF(H$5&gt;0,(INDEX(A_Aufgaben,(H$5-Arbeitszeit!$A$6+1),(2*(ROW()-ROW(A_Aufgabendatum))-1))),"")</f>
        <v/>
      </c>
      <c r="I7" s="611" t="str">
        <f>IF(I$5&gt;0,(INDEX(A_Aufgaben,(I$5-Arbeitszeit!$A$6+1),(2*(ROW()-ROW(A_Aufgabendatum))-1))),"")</f>
        <v/>
      </c>
      <c r="J7" s="612" t="str">
        <f>IF(J$5&gt;0,(INDEX(A_Aufgaben,(J$5-Arbeitszeit!$A$6+1),(2*(ROW()-ROW(A_Aufgabendatum))-1))),"")</f>
        <v/>
      </c>
      <c r="K7" s="611" t="str">
        <f>IF(K$5&gt;0,(INDEX(A_Aufgaben,(K$5-Arbeitszeit!$A$6+1),(2*(ROW()-ROW(A_Aufgabendatum))-1))),"")</f>
        <v/>
      </c>
      <c r="L7" s="612" t="str">
        <f>IF(L$5&gt;0,(INDEX(A_Aufgaben,(L$5-Arbeitszeit!$A$6+1),(2*(ROW()-ROW(A_Aufgabendatum))-1))),"")</f>
        <v/>
      </c>
      <c r="M7" s="611" t="str">
        <f>IF(M$5&gt;0,(INDEX(A_Aufgaben,(M$5-Arbeitszeit!$A$6+1),(2*(ROW()-ROW(A_Aufgabendatum))-1))),"")</f>
        <v/>
      </c>
      <c r="N7" s="612" t="str">
        <f>IF(N$5&gt;0,(INDEX(A_Aufgaben,(N$5-Arbeitszeit!$A$6+1),(2*(ROW()-ROW(A_Aufgabendatum))-1))),"")</f>
        <v/>
      </c>
      <c r="O7" s="611" t="str">
        <f>IF(O$5&gt;0,(INDEX(A_Aufgaben,(O$5-Arbeitszeit!$A$6+1),(2*(ROW()-ROW(A_Aufgabendatum))-1))),"")</f>
        <v/>
      </c>
      <c r="P7" s="612" t="str">
        <f>IF(P$5&gt;0,(INDEX(A_Aufgaben,(P$5-Arbeitszeit!$A$6+1),(2*(ROW()-ROW(A_Aufgabendatum))-1))),"")</f>
        <v/>
      </c>
      <c r="Q7" s="611" t="str">
        <f>IF(Q$5&gt;0,(INDEX(A_Aufgaben,(Q$5-Arbeitszeit!$A$6+1),(2*(ROW()-ROW(A_Aufgabendatum))-1))),"")</f>
        <v/>
      </c>
      <c r="R7" s="612" t="str">
        <f>IF(R$5&gt;0,(INDEX(A_Aufgaben,(R$5-Arbeitszeit!$A$6+1),(2*(ROW()-ROW(A_Aufgabendatum))-1))),"")</f>
        <v/>
      </c>
      <c r="S7" s="611" t="str">
        <f>IF(S$5&gt;0,(INDEX(A_Aufgaben,(S$5-Arbeitszeit!$A$6+1),(2*(ROW()-ROW(A_Aufgabendatum))-1))),"")</f>
        <v/>
      </c>
      <c r="T7" s="612" t="str">
        <f>IF(T$5&gt;0,(INDEX(A_Aufgaben,(T$5-Arbeitszeit!$A$6+1),(2*(ROW()-ROW(A_Aufgabendatum))-1))),"")</f>
        <v/>
      </c>
      <c r="U7" s="611" t="str">
        <f>IF(U$5&gt;0,(INDEX(A_Aufgaben,(U$5-Arbeitszeit!$A$6+1),(2*(ROW()-ROW(A_Aufgabendatum))-1))),"")</f>
        <v/>
      </c>
      <c r="V7" s="612" t="str">
        <f>IF(V$5&gt;0,(INDEX(A_Aufgaben,(V$5-Arbeitszeit!$A$6+1),(2*(ROW()-ROW(A_Aufgabendatum))-1))),"")</f>
        <v/>
      </c>
      <c r="W7" s="611" t="str">
        <f>IF(W$5&gt;0,(INDEX(A_Aufgaben,(W$5-Arbeitszeit!$A$6+1),(2*(ROW()-ROW(A_Aufgabendatum))-1))),"")</f>
        <v/>
      </c>
      <c r="X7" s="612" t="str">
        <f>IF(X$5&gt;0,(INDEX(A_Aufgaben,(X$5-Arbeitszeit!$A$6+1),(2*(ROW()-ROW(A_Aufgabendatum))-1))),"")</f>
        <v/>
      </c>
      <c r="Y7" s="611" t="str">
        <f>IF(Y$5&gt;0,(INDEX(A_Aufgaben,(Y$5-Arbeitszeit!$A$6+1),(2*(ROW()-ROW(A_Aufgabendatum))-1))),"")</f>
        <v/>
      </c>
      <c r="Z7" s="612" t="str">
        <f>IF(Z$5&gt;0,(INDEX(A_Aufgaben,(Z$5-Arbeitszeit!$A$6+1),(2*(ROW()-ROW(A_Aufgabendatum))-1))),"")</f>
        <v/>
      </c>
      <c r="AA7" s="611" t="str">
        <f>IF(AA$5&gt;0,(INDEX(A_Aufgaben,(AA$5-Arbeitszeit!$A$6+1),(2*(ROW()-ROW(A_Aufgabendatum))-1))),"")</f>
        <v/>
      </c>
      <c r="AB7" s="612" t="str">
        <f>IF(AB$5&gt;0,(INDEX(A_Aufgaben,(AB$5-Arbeitszeit!$A$6+1),(2*(ROW()-ROW(A_Aufgabendatum))-1))),"")</f>
        <v/>
      </c>
      <c r="AC7" s="611" t="str">
        <f>IF(AC$5&gt;0,(INDEX(A_Aufgaben,(AC$5-Arbeitszeit!$A$6+1),(2*(ROW()-ROW(A_Aufgabendatum))-1))),"")</f>
        <v/>
      </c>
      <c r="AD7" s="612" t="str">
        <f>IF(AD$5&gt;0,(INDEX(A_Aufgaben,(AD$5-Arbeitszeit!$A$6+1),(2*(ROW()-ROW(A_Aufgabendatum))-1))),"")</f>
        <v/>
      </c>
      <c r="AE7" s="611" t="str">
        <f>IF(AE$5&gt;0,(INDEX(A_Aufgaben,(AE$5-Arbeitszeit!$A$6+1),(2*(ROW()-ROW(A_Aufgabendatum))-1))),"")</f>
        <v/>
      </c>
      <c r="AF7" s="612" t="str">
        <f>IF(AF$5&gt;0,(INDEX(A_Aufgaben,(AF$5-Arbeitszeit!$A$6+1),(2*(ROW()-ROW(A_Aufgabendatum))-1))),"")</f>
        <v/>
      </c>
      <c r="AG7" s="611" t="str">
        <f>IF(AG$5&gt;0,(INDEX(A_Aufgaben,(AG$5-Arbeitszeit!$A$6+1),(2*(ROW()-ROW(A_Aufgabendatum))-1))),"")</f>
        <v/>
      </c>
      <c r="AH7" s="620">
        <f t="shared" si="1"/>
        <v>0</v>
      </c>
      <c r="AI7" s="285">
        <f>COUNTIF(C7:AG7,"&gt;0")</f>
        <v>0</v>
      </c>
    </row>
    <row r="8" spans="1:37">
      <c r="A8">
        <f>AK8</f>
        <v>0</v>
      </c>
      <c r="B8" s="610" t="str">
        <f>Aufgaben!K3</f>
        <v>Allgemein</v>
      </c>
      <c r="C8" s="611">
        <f>IF(C$5&gt;0,(INDEX(A_Aufgaben,(C$5-Arbeitszeit!$A$6+1),(2*(ROW()-ROW(A_Aufgabendatum))-1))),"")</f>
        <v>0</v>
      </c>
      <c r="D8" s="612" t="str">
        <f>IF(D$5&gt;0,(INDEX(A_Aufgaben,(D$5-Arbeitszeit!$A$6+1),(2*(ROW()-ROW(A_Aufgabendatum))-1))),"")</f>
        <v/>
      </c>
      <c r="E8" s="611" t="str">
        <f>IF(E$5&gt;0,(INDEX(A_Aufgaben,(E$5-Arbeitszeit!$A$6+1),(2*(ROW()-ROW(A_Aufgabendatum))-1))),"")</f>
        <v/>
      </c>
      <c r="F8" s="612" t="str">
        <f>IF(F$5&gt;0,(INDEX(A_Aufgaben,(F$5-Arbeitszeit!$A$6+1),(2*(ROW()-ROW(A_Aufgabendatum))-1))),"")</f>
        <v/>
      </c>
      <c r="G8" s="611" t="str">
        <f>IF(G$5&gt;0,(INDEX(A_Aufgaben,(G$5-Arbeitszeit!$A$6+1),(2*(ROW()-ROW(A_Aufgabendatum))-1))),"")</f>
        <v/>
      </c>
      <c r="H8" s="612" t="str">
        <f>IF(H$5&gt;0,(INDEX(A_Aufgaben,(H$5-Arbeitszeit!$A$6+1),(2*(ROW()-ROW(A_Aufgabendatum))-1))),"")</f>
        <v/>
      </c>
      <c r="I8" s="611" t="str">
        <f>IF(I$5&gt;0,(INDEX(A_Aufgaben,(I$5-Arbeitszeit!$A$6+1),(2*(ROW()-ROW(A_Aufgabendatum))-1))),"")</f>
        <v/>
      </c>
      <c r="J8" s="612" t="str">
        <f>IF(J$5&gt;0,(INDEX(A_Aufgaben,(J$5-Arbeitszeit!$A$6+1),(2*(ROW()-ROW(A_Aufgabendatum))-1))),"")</f>
        <v/>
      </c>
      <c r="K8" s="611" t="str">
        <f>IF(K$5&gt;0,(INDEX(A_Aufgaben,(K$5-Arbeitszeit!$A$6+1),(2*(ROW()-ROW(A_Aufgabendatum))-1))),"")</f>
        <v/>
      </c>
      <c r="L8" s="612" t="str">
        <f>IF(L$5&gt;0,(INDEX(A_Aufgaben,(L$5-Arbeitszeit!$A$6+1),(2*(ROW()-ROW(A_Aufgabendatum))-1))),"")</f>
        <v/>
      </c>
      <c r="M8" s="611" t="str">
        <f>IF(M$5&gt;0,(INDEX(A_Aufgaben,(M$5-Arbeitszeit!$A$6+1),(2*(ROW()-ROW(A_Aufgabendatum))-1))),"")</f>
        <v/>
      </c>
      <c r="N8" s="612" t="str">
        <f>IF(N$5&gt;0,(INDEX(A_Aufgaben,(N$5-Arbeitszeit!$A$6+1),(2*(ROW()-ROW(A_Aufgabendatum))-1))),"")</f>
        <v/>
      </c>
      <c r="O8" s="611" t="str">
        <f>IF(O$5&gt;0,(INDEX(A_Aufgaben,(O$5-Arbeitszeit!$A$6+1),(2*(ROW()-ROW(A_Aufgabendatum))-1))),"")</f>
        <v/>
      </c>
      <c r="P8" s="612" t="str">
        <f>IF(P$5&gt;0,(INDEX(A_Aufgaben,(P$5-Arbeitszeit!$A$6+1),(2*(ROW()-ROW(A_Aufgabendatum))-1))),"")</f>
        <v/>
      </c>
      <c r="Q8" s="611" t="str">
        <f>IF(Q$5&gt;0,(INDEX(A_Aufgaben,(Q$5-Arbeitszeit!$A$6+1),(2*(ROW()-ROW(A_Aufgabendatum))-1))),"")</f>
        <v/>
      </c>
      <c r="R8" s="612" t="str">
        <f>IF(R$5&gt;0,(INDEX(A_Aufgaben,(R$5-Arbeitszeit!$A$6+1),(2*(ROW()-ROW(A_Aufgabendatum))-1))),"")</f>
        <v/>
      </c>
      <c r="S8" s="611" t="str">
        <f>IF(S$5&gt;0,(INDEX(A_Aufgaben,(S$5-Arbeitszeit!$A$6+1),(2*(ROW()-ROW(A_Aufgabendatum))-1))),"")</f>
        <v/>
      </c>
      <c r="T8" s="612" t="str">
        <f>IF(T$5&gt;0,(INDEX(A_Aufgaben,(T$5-Arbeitszeit!$A$6+1),(2*(ROW()-ROW(A_Aufgabendatum))-1))),"")</f>
        <v/>
      </c>
      <c r="U8" s="611" t="str">
        <f>IF(U$5&gt;0,(INDEX(A_Aufgaben,(U$5-Arbeitszeit!$A$6+1),(2*(ROW()-ROW(A_Aufgabendatum))-1))),"")</f>
        <v/>
      </c>
      <c r="V8" s="612" t="str">
        <f>IF(V$5&gt;0,(INDEX(A_Aufgaben,(V$5-Arbeitszeit!$A$6+1),(2*(ROW()-ROW(A_Aufgabendatum))-1))),"")</f>
        <v/>
      </c>
      <c r="W8" s="611" t="str">
        <f>IF(W$5&gt;0,(INDEX(A_Aufgaben,(W$5-Arbeitszeit!$A$6+1),(2*(ROW()-ROW(A_Aufgabendatum))-1))),"")</f>
        <v/>
      </c>
      <c r="X8" s="612" t="str">
        <f>IF(X$5&gt;0,(INDEX(A_Aufgaben,(X$5-Arbeitszeit!$A$6+1),(2*(ROW()-ROW(A_Aufgabendatum))-1))),"")</f>
        <v/>
      </c>
      <c r="Y8" s="611" t="str">
        <f>IF(Y$5&gt;0,(INDEX(A_Aufgaben,(Y$5-Arbeitszeit!$A$6+1),(2*(ROW()-ROW(A_Aufgabendatum))-1))),"")</f>
        <v/>
      </c>
      <c r="Z8" s="612" t="str">
        <f>IF(Z$5&gt;0,(INDEX(A_Aufgaben,(Z$5-Arbeitszeit!$A$6+1),(2*(ROW()-ROW(A_Aufgabendatum))-1))),"")</f>
        <v/>
      </c>
      <c r="AA8" s="611" t="str">
        <f>IF(AA$5&gt;0,(INDEX(A_Aufgaben,(AA$5-Arbeitszeit!$A$6+1),(2*(ROW()-ROW(A_Aufgabendatum))-1))),"")</f>
        <v/>
      </c>
      <c r="AB8" s="612" t="str">
        <f>IF(AB$5&gt;0,(INDEX(A_Aufgaben,(AB$5-Arbeitszeit!$A$6+1),(2*(ROW()-ROW(A_Aufgabendatum))-1))),"")</f>
        <v/>
      </c>
      <c r="AC8" s="611" t="str">
        <f>IF(AC$5&gt;0,(INDEX(A_Aufgaben,(AC$5-Arbeitszeit!$A$6+1),(2*(ROW()-ROW(A_Aufgabendatum))-1))),"")</f>
        <v/>
      </c>
      <c r="AD8" s="612" t="str">
        <f>IF(AD$5&gt;0,(INDEX(A_Aufgaben,(AD$5-Arbeitszeit!$A$6+1),(2*(ROW()-ROW(A_Aufgabendatum))-1))),"")</f>
        <v/>
      </c>
      <c r="AE8" s="611" t="str">
        <f>IF(AE$5&gt;0,(INDEX(A_Aufgaben,(AE$5-Arbeitszeit!$A$6+1),(2*(ROW()-ROW(A_Aufgabendatum))-1))),"")</f>
        <v/>
      </c>
      <c r="AF8" s="612" t="str">
        <f>IF(AF$5&gt;0,(INDEX(A_Aufgaben,(AF$5-Arbeitszeit!$A$6+1),(2*(ROW()-ROW(A_Aufgabendatum))-1))),"")</f>
        <v/>
      </c>
      <c r="AG8" s="611" t="str">
        <f>IF(AG$5&gt;0,(INDEX(A_Aufgaben,(AG$5-Arbeitszeit!$A$6+1),(2*(ROW()-ROW(A_Aufgabendatum))-1))),"")</f>
        <v/>
      </c>
      <c r="AH8" s="620">
        <f t="shared" si="1"/>
        <v>0</v>
      </c>
      <c r="AI8" s="285">
        <f>COUNTIF(C8:AG8,"&gt;0")</f>
        <v>0</v>
      </c>
    </row>
    <row r="9" spans="1:37">
      <c r="A9">
        <f>AK9</f>
        <v>0</v>
      </c>
      <c r="B9" s="610" t="str">
        <f>Aufgaben!M3</f>
        <v>Aufgabe 01</v>
      </c>
      <c r="C9" s="611">
        <f>IF(C$5&gt;0,(INDEX(A_Aufgaben,(C$5-Arbeitszeit!$A$6+1),(2*(ROW()-ROW(A_Aufgabendatum))-1))),"")</f>
        <v>0</v>
      </c>
      <c r="D9" s="612" t="str">
        <f>IF(D$5&gt;0,(INDEX(A_Aufgaben,(D$5-Arbeitszeit!$A$6+1),(2*(ROW()-ROW(A_Aufgabendatum))-1))),"")</f>
        <v/>
      </c>
      <c r="E9" s="611" t="str">
        <f>IF(E$5&gt;0,(INDEX(A_Aufgaben,(E$5-Arbeitszeit!$A$6+1),(2*(ROW()-ROW(A_Aufgabendatum))-1))),"")</f>
        <v/>
      </c>
      <c r="F9" s="612" t="str">
        <f>IF(F$5&gt;0,(INDEX(A_Aufgaben,(F$5-Arbeitszeit!$A$6+1),(2*(ROW()-ROW(A_Aufgabendatum))-1))),"")</f>
        <v/>
      </c>
      <c r="G9" s="611" t="str">
        <f>IF(G$5&gt;0,(INDEX(A_Aufgaben,(G$5-Arbeitszeit!$A$6+1),(2*(ROW()-ROW(A_Aufgabendatum))-1))),"")</f>
        <v/>
      </c>
      <c r="H9" s="612" t="str">
        <f>IF(H$5&gt;0,(INDEX(A_Aufgaben,(H$5-Arbeitszeit!$A$6+1),(2*(ROW()-ROW(A_Aufgabendatum))-1))),"")</f>
        <v/>
      </c>
      <c r="I9" s="611" t="str">
        <f>IF(I$5&gt;0,(INDEX(A_Aufgaben,(I$5-Arbeitszeit!$A$6+1),(2*(ROW()-ROW(A_Aufgabendatum))-1))),"")</f>
        <v/>
      </c>
      <c r="J9" s="612" t="str">
        <f>IF(J$5&gt;0,(INDEX(A_Aufgaben,(J$5-Arbeitszeit!$A$6+1),(2*(ROW()-ROW(A_Aufgabendatum))-1))),"")</f>
        <v/>
      </c>
      <c r="K9" s="611" t="str">
        <f>IF(K$5&gt;0,(INDEX(A_Aufgaben,(K$5-Arbeitszeit!$A$6+1),(2*(ROW()-ROW(A_Aufgabendatum))-1))),"")</f>
        <v/>
      </c>
      <c r="L9" s="612" t="str">
        <f>IF(L$5&gt;0,(INDEX(A_Aufgaben,(L$5-Arbeitszeit!$A$6+1),(2*(ROW()-ROW(A_Aufgabendatum))-1))),"")</f>
        <v/>
      </c>
      <c r="M9" s="611" t="str">
        <f>IF(M$5&gt;0,(INDEX(A_Aufgaben,(M$5-Arbeitszeit!$A$6+1),(2*(ROW()-ROW(A_Aufgabendatum))-1))),"")</f>
        <v/>
      </c>
      <c r="N9" s="612" t="str">
        <f>IF(N$5&gt;0,(INDEX(A_Aufgaben,(N$5-Arbeitszeit!$A$6+1),(2*(ROW()-ROW(A_Aufgabendatum))-1))),"")</f>
        <v/>
      </c>
      <c r="O9" s="611" t="str">
        <f>IF(O$5&gt;0,(INDEX(A_Aufgaben,(O$5-Arbeitszeit!$A$6+1),(2*(ROW()-ROW(A_Aufgabendatum))-1))),"")</f>
        <v/>
      </c>
      <c r="P9" s="612" t="str">
        <f>IF(P$5&gt;0,(INDEX(A_Aufgaben,(P$5-Arbeitszeit!$A$6+1),(2*(ROW()-ROW(A_Aufgabendatum))-1))),"")</f>
        <v/>
      </c>
      <c r="Q9" s="611" t="str">
        <f>IF(Q$5&gt;0,(INDEX(A_Aufgaben,(Q$5-Arbeitszeit!$A$6+1),(2*(ROW()-ROW(A_Aufgabendatum))-1))),"")</f>
        <v/>
      </c>
      <c r="R9" s="612" t="str">
        <f>IF(R$5&gt;0,(INDEX(A_Aufgaben,(R$5-Arbeitszeit!$A$6+1),(2*(ROW()-ROW(A_Aufgabendatum))-1))),"")</f>
        <v/>
      </c>
      <c r="S9" s="611" t="str">
        <f>IF(S$5&gt;0,(INDEX(A_Aufgaben,(S$5-Arbeitszeit!$A$6+1),(2*(ROW()-ROW(A_Aufgabendatum))-1))),"")</f>
        <v/>
      </c>
      <c r="T9" s="612" t="str">
        <f>IF(T$5&gt;0,(INDEX(A_Aufgaben,(T$5-Arbeitszeit!$A$6+1),(2*(ROW()-ROW(A_Aufgabendatum))-1))),"")</f>
        <v/>
      </c>
      <c r="U9" s="611" t="str">
        <f>IF(U$5&gt;0,(INDEX(A_Aufgaben,(U$5-Arbeitszeit!$A$6+1),(2*(ROW()-ROW(A_Aufgabendatum))-1))),"")</f>
        <v/>
      </c>
      <c r="V9" s="612" t="str">
        <f>IF(V$5&gt;0,(INDEX(A_Aufgaben,(V$5-Arbeitszeit!$A$6+1),(2*(ROW()-ROW(A_Aufgabendatum))-1))),"")</f>
        <v/>
      </c>
      <c r="W9" s="611" t="str">
        <f>IF(W$5&gt;0,(INDEX(A_Aufgaben,(W$5-Arbeitszeit!$A$6+1),(2*(ROW()-ROW(A_Aufgabendatum))-1))),"")</f>
        <v/>
      </c>
      <c r="X9" s="612" t="str">
        <f>IF(X$5&gt;0,(INDEX(A_Aufgaben,(X$5-Arbeitszeit!$A$6+1),(2*(ROW()-ROW(A_Aufgabendatum))-1))),"")</f>
        <v/>
      </c>
      <c r="Y9" s="611" t="str">
        <f>IF(Y$5&gt;0,(INDEX(A_Aufgaben,(Y$5-Arbeitszeit!$A$6+1),(2*(ROW()-ROW(A_Aufgabendatum))-1))),"")</f>
        <v/>
      </c>
      <c r="Z9" s="612" t="str">
        <f>IF(Z$5&gt;0,(INDEX(A_Aufgaben,(Z$5-Arbeitszeit!$A$6+1),(2*(ROW()-ROW(A_Aufgabendatum))-1))),"")</f>
        <v/>
      </c>
      <c r="AA9" s="611" t="str">
        <f>IF(AA$5&gt;0,(INDEX(A_Aufgaben,(AA$5-Arbeitszeit!$A$6+1),(2*(ROW()-ROW(A_Aufgabendatum))-1))),"")</f>
        <v/>
      </c>
      <c r="AB9" s="612" t="str">
        <f>IF(AB$5&gt;0,(INDEX(A_Aufgaben,(AB$5-Arbeitszeit!$A$6+1),(2*(ROW()-ROW(A_Aufgabendatum))-1))),"")</f>
        <v/>
      </c>
      <c r="AC9" s="611" t="str">
        <f>IF(AC$5&gt;0,(INDEX(A_Aufgaben,(AC$5-Arbeitszeit!$A$6+1),(2*(ROW()-ROW(A_Aufgabendatum))-1))),"")</f>
        <v/>
      </c>
      <c r="AD9" s="612" t="str">
        <f>IF(AD$5&gt;0,(INDEX(A_Aufgaben,(AD$5-Arbeitszeit!$A$6+1),(2*(ROW()-ROW(A_Aufgabendatum))-1))),"")</f>
        <v/>
      </c>
      <c r="AE9" s="611" t="str">
        <f>IF(AE$5&gt;0,(INDEX(A_Aufgaben,(AE$5-Arbeitszeit!$A$6+1),(2*(ROW()-ROW(A_Aufgabendatum))-1))),"")</f>
        <v/>
      </c>
      <c r="AF9" s="612" t="str">
        <f>IF(AF$5&gt;0,(INDEX(A_Aufgaben,(AF$5-Arbeitszeit!$A$6+1),(2*(ROW()-ROW(A_Aufgabendatum))-1))),"")</f>
        <v/>
      </c>
      <c r="AG9" s="611" t="str">
        <f>IF(AG$5&gt;0,(INDEX(A_Aufgaben,(AG$5-Arbeitszeit!$A$6+1),(2*(ROW()-ROW(A_Aufgabendatum))-1))),"")</f>
        <v/>
      </c>
      <c r="AH9" s="620">
        <f t="shared" si="1"/>
        <v>0</v>
      </c>
      <c r="AI9" s="285">
        <f>COUNTIF(C9:AG9,"&gt;0")</f>
        <v>0</v>
      </c>
    </row>
    <row r="10" spans="1:37">
      <c r="A10">
        <f>AK10</f>
        <v>0</v>
      </c>
      <c r="B10" s="610" t="str">
        <f>Aufgaben!O3</f>
        <v>Aufgabe 02</v>
      </c>
      <c r="C10" s="611">
        <f>IF(C$5&gt;0,(INDEX(A_Aufgaben,(C$5-Arbeitszeit!$A$6+1),(2*(ROW()-ROW(A_Aufgabendatum))-1))),"")</f>
        <v>0</v>
      </c>
      <c r="D10" s="612" t="str">
        <f>IF(D$5&gt;0,(INDEX(A_Aufgaben,(D$5-Arbeitszeit!$A$6+1),(2*(ROW()-ROW(A_Aufgabendatum))-1))),"")</f>
        <v/>
      </c>
      <c r="E10" s="611" t="str">
        <f>IF(E$5&gt;0,(INDEX(A_Aufgaben,(E$5-Arbeitszeit!$A$6+1),(2*(ROW()-ROW(A_Aufgabendatum))-1))),"")</f>
        <v/>
      </c>
      <c r="F10" s="612" t="str">
        <f>IF(F$5&gt;0,(INDEX(A_Aufgaben,(F$5-Arbeitszeit!$A$6+1),(2*(ROW()-ROW(A_Aufgabendatum))-1))),"")</f>
        <v/>
      </c>
      <c r="G10" s="611" t="str">
        <f>IF(G$5&gt;0,(INDEX(A_Aufgaben,(G$5-Arbeitszeit!$A$6+1),(2*(ROW()-ROW(A_Aufgabendatum))-1))),"")</f>
        <v/>
      </c>
      <c r="H10" s="612" t="str">
        <f>IF(H$5&gt;0,(INDEX(A_Aufgaben,(H$5-Arbeitszeit!$A$6+1),(2*(ROW()-ROW(A_Aufgabendatum))-1))),"")</f>
        <v/>
      </c>
      <c r="I10" s="611" t="str">
        <f>IF(I$5&gt;0,(INDEX(A_Aufgaben,(I$5-Arbeitszeit!$A$6+1),(2*(ROW()-ROW(A_Aufgabendatum))-1))),"")</f>
        <v/>
      </c>
      <c r="J10" s="612" t="str">
        <f>IF(J$5&gt;0,(INDEX(A_Aufgaben,(J$5-Arbeitszeit!$A$6+1),(2*(ROW()-ROW(A_Aufgabendatum))-1))),"")</f>
        <v/>
      </c>
      <c r="K10" s="611" t="str">
        <f>IF(K$5&gt;0,(INDEX(A_Aufgaben,(K$5-Arbeitszeit!$A$6+1),(2*(ROW()-ROW(A_Aufgabendatum))-1))),"")</f>
        <v/>
      </c>
      <c r="L10" s="612" t="str">
        <f>IF(L$5&gt;0,(INDEX(A_Aufgaben,(L$5-Arbeitszeit!$A$6+1),(2*(ROW()-ROW(A_Aufgabendatum))-1))),"")</f>
        <v/>
      </c>
      <c r="M10" s="611" t="str">
        <f>IF(M$5&gt;0,(INDEX(A_Aufgaben,(M$5-Arbeitszeit!$A$6+1),(2*(ROW()-ROW(A_Aufgabendatum))-1))),"")</f>
        <v/>
      </c>
      <c r="N10" s="612" t="str">
        <f>IF(N$5&gt;0,(INDEX(A_Aufgaben,(N$5-Arbeitszeit!$A$6+1),(2*(ROW()-ROW(A_Aufgabendatum))-1))),"")</f>
        <v/>
      </c>
      <c r="O10" s="611" t="str">
        <f>IF(O$5&gt;0,(INDEX(A_Aufgaben,(O$5-Arbeitszeit!$A$6+1),(2*(ROW()-ROW(A_Aufgabendatum))-1))),"")</f>
        <v/>
      </c>
      <c r="P10" s="612" t="str">
        <f>IF(P$5&gt;0,(INDEX(A_Aufgaben,(P$5-Arbeitszeit!$A$6+1),(2*(ROW()-ROW(A_Aufgabendatum))-1))),"")</f>
        <v/>
      </c>
      <c r="Q10" s="611" t="str">
        <f>IF(Q$5&gt;0,(INDEX(A_Aufgaben,(Q$5-Arbeitszeit!$A$6+1),(2*(ROW()-ROW(A_Aufgabendatum))-1))),"")</f>
        <v/>
      </c>
      <c r="R10" s="612" t="str">
        <f>IF(R$5&gt;0,(INDEX(A_Aufgaben,(R$5-Arbeitszeit!$A$6+1),(2*(ROW()-ROW(A_Aufgabendatum))-1))),"")</f>
        <v/>
      </c>
      <c r="S10" s="611" t="str">
        <f>IF(S$5&gt;0,(INDEX(A_Aufgaben,(S$5-Arbeitszeit!$A$6+1),(2*(ROW()-ROW(A_Aufgabendatum))-1))),"")</f>
        <v/>
      </c>
      <c r="T10" s="612" t="str">
        <f>IF(T$5&gt;0,(INDEX(A_Aufgaben,(T$5-Arbeitszeit!$A$6+1),(2*(ROW()-ROW(A_Aufgabendatum))-1))),"")</f>
        <v/>
      </c>
      <c r="U10" s="611" t="str">
        <f>IF(U$5&gt;0,(INDEX(A_Aufgaben,(U$5-Arbeitszeit!$A$6+1),(2*(ROW()-ROW(A_Aufgabendatum))-1))),"")</f>
        <v/>
      </c>
      <c r="V10" s="612" t="str">
        <f>IF(V$5&gt;0,(INDEX(A_Aufgaben,(V$5-Arbeitszeit!$A$6+1),(2*(ROW()-ROW(A_Aufgabendatum))-1))),"")</f>
        <v/>
      </c>
      <c r="W10" s="611" t="str">
        <f>IF(W$5&gt;0,(INDEX(A_Aufgaben,(W$5-Arbeitszeit!$A$6+1),(2*(ROW()-ROW(A_Aufgabendatum))-1))),"")</f>
        <v/>
      </c>
      <c r="X10" s="612" t="str">
        <f>IF(X$5&gt;0,(INDEX(A_Aufgaben,(X$5-Arbeitszeit!$A$6+1),(2*(ROW()-ROW(A_Aufgabendatum))-1))),"")</f>
        <v/>
      </c>
      <c r="Y10" s="611" t="str">
        <f>IF(Y$5&gt;0,(INDEX(A_Aufgaben,(Y$5-Arbeitszeit!$A$6+1),(2*(ROW()-ROW(A_Aufgabendatum))-1))),"")</f>
        <v/>
      </c>
      <c r="Z10" s="612" t="str">
        <f>IF(Z$5&gt;0,(INDEX(A_Aufgaben,(Z$5-Arbeitszeit!$A$6+1),(2*(ROW()-ROW(A_Aufgabendatum))-1))),"")</f>
        <v/>
      </c>
      <c r="AA10" s="611" t="str">
        <f>IF(AA$5&gt;0,(INDEX(A_Aufgaben,(AA$5-Arbeitszeit!$A$6+1),(2*(ROW()-ROW(A_Aufgabendatum))-1))),"")</f>
        <v/>
      </c>
      <c r="AB10" s="612" t="str">
        <f>IF(AB$5&gt;0,(INDEX(A_Aufgaben,(AB$5-Arbeitszeit!$A$6+1),(2*(ROW()-ROW(A_Aufgabendatum))-1))),"")</f>
        <v/>
      </c>
      <c r="AC10" s="611" t="str">
        <f>IF(AC$5&gt;0,(INDEX(A_Aufgaben,(AC$5-Arbeitszeit!$A$6+1),(2*(ROW()-ROW(A_Aufgabendatum))-1))),"")</f>
        <v/>
      </c>
      <c r="AD10" s="612" t="str">
        <f>IF(AD$5&gt;0,(INDEX(A_Aufgaben,(AD$5-Arbeitszeit!$A$6+1),(2*(ROW()-ROW(A_Aufgabendatum))-1))),"")</f>
        <v/>
      </c>
      <c r="AE10" s="611" t="str">
        <f>IF(AE$5&gt;0,(INDEX(A_Aufgaben,(AE$5-Arbeitszeit!$A$6+1),(2*(ROW()-ROW(A_Aufgabendatum))-1))),"")</f>
        <v/>
      </c>
      <c r="AF10" s="612" t="str">
        <f>IF(AF$5&gt;0,(INDEX(A_Aufgaben,(AF$5-Arbeitszeit!$A$6+1),(2*(ROW()-ROW(A_Aufgabendatum))-1))),"")</f>
        <v/>
      </c>
      <c r="AG10" s="611" t="str">
        <f>IF(AG$5&gt;0,(INDEX(A_Aufgaben,(AG$5-Arbeitszeit!$A$6+1),(2*(ROW()-ROW(A_Aufgabendatum))-1))),"")</f>
        <v/>
      </c>
      <c r="AH10" s="620">
        <f t="shared" si="1"/>
        <v>0</v>
      </c>
      <c r="AI10" s="285">
        <f t="shared" ref="AI10:AI27" si="2">COUNTIF(C10:AG10,"&gt;0")</f>
        <v>0</v>
      </c>
    </row>
    <row r="11" spans="1:37">
      <c r="A11">
        <f t="shared" ref="A11:A27" si="3">AK11</f>
        <v>0</v>
      </c>
      <c r="B11" s="610" t="str">
        <f>Aufgaben!Q3</f>
        <v>Aufgabe 03</v>
      </c>
      <c r="C11" s="611">
        <f>IF(C$5&gt;0,(INDEX(A_Aufgaben,(C$5-Arbeitszeit!$A$6+1),(2*(ROW()-ROW(A_Aufgabendatum))-1))),"")</f>
        <v>0</v>
      </c>
      <c r="D11" s="612" t="str">
        <f>IF(D$5&gt;0,(INDEX(A_Aufgaben,(D$5-Arbeitszeit!$A$6+1),(2*(ROW()-ROW(A_Aufgabendatum))-1))),"")</f>
        <v/>
      </c>
      <c r="E11" s="611" t="str">
        <f>IF(E$5&gt;0,(INDEX(A_Aufgaben,(E$5-Arbeitszeit!$A$6+1),(2*(ROW()-ROW(A_Aufgabendatum))-1))),"")</f>
        <v/>
      </c>
      <c r="F11" s="612" t="str">
        <f>IF(F$5&gt;0,(INDEX(A_Aufgaben,(F$5-Arbeitszeit!$A$6+1),(2*(ROW()-ROW(A_Aufgabendatum))-1))),"")</f>
        <v/>
      </c>
      <c r="G11" s="611" t="str">
        <f>IF(G$5&gt;0,(INDEX(A_Aufgaben,(G$5-Arbeitszeit!$A$6+1),(2*(ROW()-ROW(A_Aufgabendatum))-1))),"")</f>
        <v/>
      </c>
      <c r="H11" s="612" t="str">
        <f>IF(H$5&gt;0,(INDEX(A_Aufgaben,(H$5-Arbeitszeit!$A$6+1),(2*(ROW()-ROW(A_Aufgabendatum))-1))),"")</f>
        <v/>
      </c>
      <c r="I11" s="611" t="str">
        <f>IF(I$5&gt;0,(INDEX(A_Aufgaben,(I$5-Arbeitszeit!$A$6+1),(2*(ROW()-ROW(A_Aufgabendatum))-1))),"")</f>
        <v/>
      </c>
      <c r="J11" s="612" t="str">
        <f>IF(J$5&gt;0,(INDEX(A_Aufgaben,(J$5-Arbeitszeit!$A$6+1),(2*(ROW()-ROW(A_Aufgabendatum))-1))),"")</f>
        <v/>
      </c>
      <c r="K11" s="611" t="str">
        <f>IF(K$5&gt;0,(INDEX(A_Aufgaben,(K$5-Arbeitszeit!$A$6+1),(2*(ROW()-ROW(A_Aufgabendatum))-1))),"")</f>
        <v/>
      </c>
      <c r="L11" s="612" t="str">
        <f>IF(L$5&gt;0,(INDEX(A_Aufgaben,(L$5-Arbeitszeit!$A$6+1),(2*(ROW()-ROW(A_Aufgabendatum))-1))),"")</f>
        <v/>
      </c>
      <c r="M11" s="611" t="str">
        <f>IF(M$5&gt;0,(INDEX(A_Aufgaben,(M$5-Arbeitszeit!$A$6+1),(2*(ROW()-ROW(A_Aufgabendatum))-1))),"")</f>
        <v/>
      </c>
      <c r="N11" s="612" t="str">
        <f>IF(N$5&gt;0,(INDEX(A_Aufgaben,(N$5-Arbeitszeit!$A$6+1),(2*(ROW()-ROW(A_Aufgabendatum))-1))),"")</f>
        <v/>
      </c>
      <c r="O11" s="611" t="str">
        <f>IF(O$5&gt;0,(INDEX(A_Aufgaben,(O$5-Arbeitszeit!$A$6+1),(2*(ROW()-ROW(A_Aufgabendatum))-1))),"")</f>
        <v/>
      </c>
      <c r="P11" s="612" t="str">
        <f>IF(P$5&gt;0,(INDEX(A_Aufgaben,(P$5-Arbeitszeit!$A$6+1),(2*(ROW()-ROW(A_Aufgabendatum))-1))),"")</f>
        <v/>
      </c>
      <c r="Q11" s="611" t="str">
        <f>IF(Q$5&gt;0,(INDEX(A_Aufgaben,(Q$5-Arbeitszeit!$A$6+1),(2*(ROW()-ROW(A_Aufgabendatum))-1))),"")</f>
        <v/>
      </c>
      <c r="R11" s="612" t="str">
        <f>IF(R$5&gt;0,(INDEX(A_Aufgaben,(R$5-Arbeitszeit!$A$6+1),(2*(ROW()-ROW(A_Aufgabendatum))-1))),"")</f>
        <v/>
      </c>
      <c r="S11" s="611" t="str">
        <f>IF(S$5&gt;0,(INDEX(A_Aufgaben,(S$5-Arbeitszeit!$A$6+1),(2*(ROW()-ROW(A_Aufgabendatum))-1))),"")</f>
        <v/>
      </c>
      <c r="T11" s="612" t="str">
        <f>IF(T$5&gt;0,(INDEX(A_Aufgaben,(T$5-Arbeitszeit!$A$6+1),(2*(ROW()-ROW(A_Aufgabendatum))-1))),"")</f>
        <v/>
      </c>
      <c r="U11" s="611" t="str">
        <f>IF(U$5&gt;0,(INDEX(A_Aufgaben,(U$5-Arbeitszeit!$A$6+1),(2*(ROW()-ROW(A_Aufgabendatum))-1))),"")</f>
        <v/>
      </c>
      <c r="V11" s="612" t="str">
        <f>IF(V$5&gt;0,(INDEX(A_Aufgaben,(V$5-Arbeitszeit!$A$6+1),(2*(ROW()-ROW(A_Aufgabendatum))-1))),"")</f>
        <v/>
      </c>
      <c r="W11" s="611" t="str">
        <f>IF(W$5&gt;0,(INDEX(A_Aufgaben,(W$5-Arbeitszeit!$A$6+1),(2*(ROW()-ROW(A_Aufgabendatum))-1))),"")</f>
        <v/>
      </c>
      <c r="X11" s="612" t="str">
        <f>IF(X$5&gt;0,(INDEX(A_Aufgaben,(X$5-Arbeitszeit!$A$6+1),(2*(ROW()-ROW(A_Aufgabendatum))-1))),"")</f>
        <v/>
      </c>
      <c r="Y11" s="611" t="str">
        <f>IF(Y$5&gt;0,(INDEX(A_Aufgaben,(Y$5-Arbeitszeit!$A$6+1),(2*(ROW()-ROW(A_Aufgabendatum))-1))),"")</f>
        <v/>
      </c>
      <c r="Z11" s="612" t="str">
        <f>IF(Z$5&gt;0,(INDEX(A_Aufgaben,(Z$5-Arbeitszeit!$A$6+1),(2*(ROW()-ROW(A_Aufgabendatum))-1))),"")</f>
        <v/>
      </c>
      <c r="AA11" s="611" t="str">
        <f>IF(AA$5&gt;0,(INDEX(A_Aufgaben,(AA$5-Arbeitszeit!$A$6+1),(2*(ROW()-ROW(A_Aufgabendatum))-1))),"")</f>
        <v/>
      </c>
      <c r="AB11" s="612" t="str">
        <f>IF(AB$5&gt;0,(INDEX(A_Aufgaben,(AB$5-Arbeitszeit!$A$6+1),(2*(ROW()-ROW(A_Aufgabendatum))-1))),"")</f>
        <v/>
      </c>
      <c r="AC11" s="611" t="str">
        <f>IF(AC$5&gt;0,(INDEX(A_Aufgaben,(AC$5-Arbeitszeit!$A$6+1),(2*(ROW()-ROW(A_Aufgabendatum))-1))),"")</f>
        <v/>
      </c>
      <c r="AD11" s="612" t="str">
        <f>IF(AD$5&gt;0,(INDEX(A_Aufgaben,(AD$5-Arbeitszeit!$A$6+1),(2*(ROW()-ROW(A_Aufgabendatum))-1))),"")</f>
        <v/>
      </c>
      <c r="AE11" s="611" t="str">
        <f>IF(AE$5&gt;0,(INDEX(A_Aufgaben,(AE$5-Arbeitszeit!$A$6+1),(2*(ROW()-ROW(A_Aufgabendatum))-1))),"")</f>
        <v/>
      </c>
      <c r="AF11" s="612" t="str">
        <f>IF(AF$5&gt;0,(INDEX(A_Aufgaben,(AF$5-Arbeitszeit!$A$6+1),(2*(ROW()-ROW(A_Aufgabendatum))-1))),"")</f>
        <v/>
      </c>
      <c r="AG11" s="611" t="str">
        <f>IF(AG$5&gt;0,(INDEX(A_Aufgaben,(AG$5-Arbeitszeit!$A$6+1),(2*(ROW()-ROW(A_Aufgabendatum))-1))),"")</f>
        <v/>
      </c>
      <c r="AH11" s="620">
        <f t="shared" si="1"/>
        <v>0</v>
      </c>
      <c r="AI11" s="285">
        <f t="shared" si="2"/>
        <v>0</v>
      </c>
    </row>
    <row r="12" spans="1:37">
      <c r="A12">
        <f t="shared" si="3"/>
        <v>0</v>
      </c>
      <c r="B12" s="610" t="str">
        <f>Aufgaben!S3</f>
        <v>Aufgabe 04</v>
      </c>
      <c r="C12" s="611">
        <f>IF(C$5&gt;0,(INDEX(A_Aufgaben,(C$5-Arbeitszeit!$A$6+1),(2*(ROW()-ROW(A_Aufgabendatum))-1))),"")</f>
        <v>0</v>
      </c>
      <c r="D12" s="612" t="str">
        <f>IF(D$5&gt;0,(INDEX(A_Aufgaben,(D$5-Arbeitszeit!$A$6+1),(2*(ROW()-ROW(A_Aufgabendatum))-1))),"")</f>
        <v/>
      </c>
      <c r="E12" s="611" t="str">
        <f>IF(E$5&gt;0,(INDEX(A_Aufgaben,(E$5-Arbeitszeit!$A$6+1),(2*(ROW()-ROW(A_Aufgabendatum))-1))),"")</f>
        <v/>
      </c>
      <c r="F12" s="612" t="str">
        <f>IF(F$5&gt;0,(INDEX(A_Aufgaben,(F$5-Arbeitszeit!$A$6+1),(2*(ROW()-ROW(A_Aufgabendatum))-1))),"")</f>
        <v/>
      </c>
      <c r="G12" s="611" t="str">
        <f>IF(G$5&gt;0,(INDEX(A_Aufgaben,(G$5-Arbeitszeit!$A$6+1),(2*(ROW()-ROW(A_Aufgabendatum))-1))),"")</f>
        <v/>
      </c>
      <c r="H12" s="612" t="str">
        <f>IF(H$5&gt;0,(INDEX(A_Aufgaben,(H$5-Arbeitszeit!$A$6+1),(2*(ROW()-ROW(A_Aufgabendatum))-1))),"")</f>
        <v/>
      </c>
      <c r="I12" s="611" t="str">
        <f>IF(I$5&gt;0,(INDEX(A_Aufgaben,(I$5-Arbeitszeit!$A$6+1),(2*(ROW()-ROW(A_Aufgabendatum))-1))),"")</f>
        <v/>
      </c>
      <c r="J12" s="612" t="str">
        <f>IF(J$5&gt;0,(INDEX(A_Aufgaben,(J$5-Arbeitszeit!$A$6+1),(2*(ROW()-ROW(A_Aufgabendatum))-1))),"")</f>
        <v/>
      </c>
      <c r="K12" s="611" t="str">
        <f>IF(K$5&gt;0,(INDEX(A_Aufgaben,(K$5-Arbeitszeit!$A$6+1),(2*(ROW()-ROW(A_Aufgabendatum))-1))),"")</f>
        <v/>
      </c>
      <c r="L12" s="612" t="str">
        <f>IF(L$5&gt;0,(INDEX(A_Aufgaben,(L$5-Arbeitszeit!$A$6+1),(2*(ROW()-ROW(A_Aufgabendatum))-1))),"")</f>
        <v/>
      </c>
      <c r="M12" s="611" t="str">
        <f>IF(M$5&gt;0,(INDEX(A_Aufgaben,(M$5-Arbeitszeit!$A$6+1),(2*(ROW()-ROW(A_Aufgabendatum))-1))),"")</f>
        <v/>
      </c>
      <c r="N12" s="612" t="str">
        <f>IF(N$5&gt;0,(INDEX(A_Aufgaben,(N$5-Arbeitszeit!$A$6+1),(2*(ROW()-ROW(A_Aufgabendatum))-1))),"")</f>
        <v/>
      </c>
      <c r="O12" s="611" t="str">
        <f>IF(O$5&gt;0,(INDEX(A_Aufgaben,(O$5-Arbeitszeit!$A$6+1),(2*(ROW()-ROW(A_Aufgabendatum))-1))),"")</f>
        <v/>
      </c>
      <c r="P12" s="612" t="str">
        <f>IF(P$5&gt;0,(INDEX(A_Aufgaben,(P$5-Arbeitszeit!$A$6+1),(2*(ROW()-ROW(A_Aufgabendatum))-1))),"")</f>
        <v/>
      </c>
      <c r="Q12" s="611" t="str">
        <f>IF(Q$5&gt;0,(INDEX(A_Aufgaben,(Q$5-Arbeitszeit!$A$6+1),(2*(ROW()-ROW(A_Aufgabendatum))-1))),"")</f>
        <v/>
      </c>
      <c r="R12" s="612" t="str">
        <f>IF(R$5&gt;0,(INDEX(A_Aufgaben,(R$5-Arbeitszeit!$A$6+1),(2*(ROW()-ROW(A_Aufgabendatum))-1))),"")</f>
        <v/>
      </c>
      <c r="S12" s="611" t="str">
        <f>IF(S$5&gt;0,(INDEX(A_Aufgaben,(S$5-Arbeitszeit!$A$6+1),(2*(ROW()-ROW(A_Aufgabendatum))-1))),"")</f>
        <v/>
      </c>
      <c r="T12" s="612" t="str">
        <f>IF(T$5&gt;0,(INDEX(A_Aufgaben,(T$5-Arbeitszeit!$A$6+1),(2*(ROW()-ROW(A_Aufgabendatum))-1))),"")</f>
        <v/>
      </c>
      <c r="U12" s="611" t="str">
        <f>IF(U$5&gt;0,(INDEX(A_Aufgaben,(U$5-Arbeitszeit!$A$6+1),(2*(ROW()-ROW(A_Aufgabendatum))-1))),"")</f>
        <v/>
      </c>
      <c r="V12" s="612" t="str">
        <f>IF(V$5&gt;0,(INDEX(A_Aufgaben,(V$5-Arbeitszeit!$A$6+1),(2*(ROW()-ROW(A_Aufgabendatum))-1))),"")</f>
        <v/>
      </c>
      <c r="W12" s="611" t="str">
        <f>IF(W$5&gt;0,(INDEX(A_Aufgaben,(W$5-Arbeitszeit!$A$6+1),(2*(ROW()-ROW(A_Aufgabendatum))-1))),"")</f>
        <v/>
      </c>
      <c r="X12" s="612" t="str">
        <f>IF(X$5&gt;0,(INDEX(A_Aufgaben,(X$5-Arbeitszeit!$A$6+1),(2*(ROW()-ROW(A_Aufgabendatum))-1))),"")</f>
        <v/>
      </c>
      <c r="Y12" s="611" t="str">
        <f>IF(Y$5&gt;0,(INDEX(A_Aufgaben,(Y$5-Arbeitszeit!$A$6+1),(2*(ROW()-ROW(A_Aufgabendatum))-1))),"")</f>
        <v/>
      </c>
      <c r="Z12" s="612" t="str">
        <f>IF(Z$5&gt;0,(INDEX(A_Aufgaben,(Z$5-Arbeitszeit!$A$6+1),(2*(ROW()-ROW(A_Aufgabendatum))-1))),"")</f>
        <v/>
      </c>
      <c r="AA12" s="611" t="str">
        <f>IF(AA$5&gt;0,(INDEX(A_Aufgaben,(AA$5-Arbeitszeit!$A$6+1),(2*(ROW()-ROW(A_Aufgabendatum))-1))),"")</f>
        <v/>
      </c>
      <c r="AB12" s="612" t="str">
        <f>IF(AB$5&gt;0,(INDEX(A_Aufgaben,(AB$5-Arbeitszeit!$A$6+1),(2*(ROW()-ROW(A_Aufgabendatum))-1))),"")</f>
        <v/>
      </c>
      <c r="AC12" s="611" t="str">
        <f>IF(AC$5&gt;0,(INDEX(A_Aufgaben,(AC$5-Arbeitszeit!$A$6+1),(2*(ROW()-ROW(A_Aufgabendatum))-1))),"")</f>
        <v/>
      </c>
      <c r="AD12" s="612" t="str">
        <f>IF(AD$5&gt;0,(INDEX(A_Aufgaben,(AD$5-Arbeitszeit!$A$6+1),(2*(ROW()-ROW(A_Aufgabendatum))-1))),"")</f>
        <v/>
      </c>
      <c r="AE12" s="611" t="str">
        <f>IF(AE$5&gt;0,(INDEX(A_Aufgaben,(AE$5-Arbeitszeit!$A$6+1),(2*(ROW()-ROW(A_Aufgabendatum))-1))),"")</f>
        <v/>
      </c>
      <c r="AF12" s="612" t="str">
        <f>IF(AF$5&gt;0,(INDEX(A_Aufgaben,(AF$5-Arbeitszeit!$A$6+1),(2*(ROW()-ROW(A_Aufgabendatum))-1))),"")</f>
        <v/>
      </c>
      <c r="AG12" s="611" t="str">
        <f>IF(AG$5&gt;0,(INDEX(A_Aufgaben,(AG$5-Arbeitszeit!$A$6+1),(2*(ROW()-ROW(A_Aufgabendatum))-1))),"")</f>
        <v/>
      </c>
      <c r="AH12" s="620">
        <f t="shared" si="1"/>
        <v>0</v>
      </c>
      <c r="AI12" s="285">
        <f t="shared" si="2"/>
        <v>0</v>
      </c>
    </row>
    <row r="13" spans="1:37">
      <c r="A13">
        <f t="shared" si="3"/>
        <v>0</v>
      </c>
      <c r="B13" s="610" t="str">
        <f>Aufgaben!U3</f>
        <v>Aufgabe 05</v>
      </c>
      <c r="C13" s="611">
        <f>IF(C$5&gt;0,(INDEX(A_Aufgaben,(C$5-Arbeitszeit!$A$6+1),(2*(ROW()-ROW(A_Aufgabendatum))-1))),"")</f>
        <v>0</v>
      </c>
      <c r="D13" s="612" t="str">
        <f>IF(D$5&gt;0,(INDEX(A_Aufgaben,(D$5-Arbeitszeit!$A$6+1),(2*(ROW()-ROW(A_Aufgabendatum))-1))),"")</f>
        <v/>
      </c>
      <c r="E13" s="611" t="str">
        <f>IF(E$5&gt;0,(INDEX(A_Aufgaben,(E$5-Arbeitszeit!$A$6+1),(2*(ROW()-ROW(A_Aufgabendatum))-1))),"")</f>
        <v/>
      </c>
      <c r="F13" s="612" t="str">
        <f>IF(F$5&gt;0,(INDEX(A_Aufgaben,(F$5-Arbeitszeit!$A$6+1),(2*(ROW()-ROW(A_Aufgabendatum))-1))),"")</f>
        <v/>
      </c>
      <c r="G13" s="611" t="str">
        <f>IF(G$5&gt;0,(INDEX(A_Aufgaben,(G$5-Arbeitszeit!$A$6+1),(2*(ROW()-ROW(A_Aufgabendatum))-1))),"")</f>
        <v/>
      </c>
      <c r="H13" s="612" t="str">
        <f>IF(H$5&gt;0,(INDEX(A_Aufgaben,(H$5-Arbeitszeit!$A$6+1),(2*(ROW()-ROW(A_Aufgabendatum))-1))),"")</f>
        <v/>
      </c>
      <c r="I13" s="611" t="str">
        <f>IF(I$5&gt;0,(INDEX(A_Aufgaben,(I$5-Arbeitszeit!$A$6+1),(2*(ROW()-ROW(A_Aufgabendatum))-1))),"")</f>
        <v/>
      </c>
      <c r="J13" s="612" t="str">
        <f>IF(J$5&gt;0,(INDEX(A_Aufgaben,(J$5-Arbeitszeit!$A$6+1),(2*(ROW()-ROW(A_Aufgabendatum))-1))),"")</f>
        <v/>
      </c>
      <c r="K13" s="611" t="str">
        <f>IF(K$5&gt;0,(INDEX(A_Aufgaben,(K$5-Arbeitszeit!$A$6+1),(2*(ROW()-ROW(A_Aufgabendatum))-1))),"")</f>
        <v/>
      </c>
      <c r="L13" s="612" t="str">
        <f>IF(L$5&gt;0,(INDEX(A_Aufgaben,(L$5-Arbeitszeit!$A$6+1),(2*(ROW()-ROW(A_Aufgabendatum))-1))),"")</f>
        <v/>
      </c>
      <c r="M13" s="611" t="str">
        <f>IF(M$5&gt;0,(INDEX(A_Aufgaben,(M$5-Arbeitszeit!$A$6+1),(2*(ROW()-ROW(A_Aufgabendatum))-1))),"")</f>
        <v/>
      </c>
      <c r="N13" s="612" t="str">
        <f>IF(N$5&gt;0,(INDEX(A_Aufgaben,(N$5-Arbeitszeit!$A$6+1),(2*(ROW()-ROW(A_Aufgabendatum))-1))),"")</f>
        <v/>
      </c>
      <c r="O13" s="611" t="str">
        <f>IF(O$5&gt;0,(INDEX(A_Aufgaben,(O$5-Arbeitszeit!$A$6+1),(2*(ROW()-ROW(A_Aufgabendatum))-1))),"")</f>
        <v/>
      </c>
      <c r="P13" s="612" t="str">
        <f>IF(P$5&gt;0,(INDEX(A_Aufgaben,(P$5-Arbeitszeit!$A$6+1),(2*(ROW()-ROW(A_Aufgabendatum))-1))),"")</f>
        <v/>
      </c>
      <c r="Q13" s="611" t="str">
        <f>IF(Q$5&gt;0,(INDEX(A_Aufgaben,(Q$5-Arbeitszeit!$A$6+1),(2*(ROW()-ROW(A_Aufgabendatum))-1))),"")</f>
        <v/>
      </c>
      <c r="R13" s="612" t="str">
        <f>IF(R$5&gt;0,(INDEX(A_Aufgaben,(R$5-Arbeitszeit!$A$6+1),(2*(ROW()-ROW(A_Aufgabendatum))-1))),"")</f>
        <v/>
      </c>
      <c r="S13" s="611" t="str">
        <f>IF(S$5&gt;0,(INDEX(A_Aufgaben,(S$5-Arbeitszeit!$A$6+1),(2*(ROW()-ROW(A_Aufgabendatum))-1))),"")</f>
        <v/>
      </c>
      <c r="T13" s="612" t="str">
        <f>IF(T$5&gt;0,(INDEX(A_Aufgaben,(T$5-Arbeitszeit!$A$6+1),(2*(ROW()-ROW(A_Aufgabendatum))-1))),"")</f>
        <v/>
      </c>
      <c r="U13" s="611" t="str">
        <f>IF(U$5&gt;0,(INDEX(A_Aufgaben,(U$5-Arbeitszeit!$A$6+1),(2*(ROW()-ROW(A_Aufgabendatum))-1))),"")</f>
        <v/>
      </c>
      <c r="V13" s="612" t="str">
        <f>IF(V$5&gt;0,(INDEX(A_Aufgaben,(V$5-Arbeitszeit!$A$6+1),(2*(ROW()-ROW(A_Aufgabendatum))-1))),"")</f>
        <v/>
      </c>
      <c r="W13" s="611" t="str">
        <f>IF(W$5&gt;0,(INDEX(A_Aufgaben,(W$5-Arbeitszeit!$A$6+1),(2*(ROW()-ROW(A_Aufgabendatum))-1))),"")</f>
        <v/>
      </c>
      <c r="X13" s="612" t="str">
        <f>IF(X$5&gt;0,(INDEX(A_Aufgaben,(X$5-Arbeitszeit!$A$6+1),(2*(ROW()-ROW(A_Aufgabendatum))-1))),"")</f>
        <v/>
      </c>
      <c r="Y13" s="611" t="str">
        <f>IF(Y$5&gt;0,(INDEX(A_Aufgaben,(Y$5-Arbeitszeit!$A$6+1),(2*(ROW()-ROW(A_Aufgabendatum))-1))),"")</f>
        <v/>
      </c>
      <c r="Z13" s="612" t="str">
        <f>IF(Z$5&gt;0,(INDEX(A_Aufgaben,(Z$5-Arbeitszeit!$A$6+1),(2*(ROW()-ROW(A_Aufgabendatum))-1))),"")</f>
        <v/>
      </c>
      <c r="AA13" s="611" t="str">
        <f>IF(AA$5&gt;0,(INDEX(A_Aufgaben,(AA$5-Arbeitszeit!$A$6+1),(2*(ROW()-ROW(A_Aufgabendatum))-1))),"")</f>
        <v/>
      </c>
      <c r="AB13" s="612" t="str">
        <f>IF(AB$5&gt;0,(INDEX(A_Aufgaben,(AB$5-Arbeitszeit!$A$6+1),(2*(ROW()-ROW(A_Aufgabendatum))-1))),"")</f>
        <v/>
      </c>
      <c r="AC13" s="611" t="str">
        <f>IF(AC$5&gt;0,(INDEX(A_Aufgaben,(AC$5-Arbeitszeit!$A$6+1),(2*(ROW()-ROW(A_Aufgabendatum))-1))),"")</f>
        <v/>
      </c>
      <c r="AD13" s="612" t="str">
        <f>IF(AD$5&gt;0,(INDEX(A_Aufgaben,(AD$5-Arbeitszeit!$A$6+1),(2*(ROW()-ROW(A_Aufgabendatum))-1))),"")</f>
        <v/>
      </c>
      <c r="AE13" s="611" t="str">
        <f>IF(AE$5&gt;0,(INDEX(A_Aufgaben,(AE$5-Arbeitszeit!$A$6+1),(2*(ROW()-ROW(A_Aufgabendatum))-1))),"")</f>
        <v/>
      </c>
      <c r="AF13" s="612" t="str">
        <f>IF(AF$5&gt;0,(INDEX(A_Aufgaben,(AF$5-Arbeitszeit!$A$6+1),(2*(ROW()-ROW(A_Aufgabendatum))-1))),"")</f>
        <v/>
      </c>
      <c r="AG13" s="611" t="str">
        <f>IF(AG$5&gt;0,(INDEX(A_Aufgaben,(AG$5-Arbeitszeit!$A$6+1),(2*(ROW()-ROW(A_Aufgabendatum))-1))),"")</f>
        <v/>
      </c>
      <c r="AH13" s="620">
        <f t="shared" si="1"/>
        <v>0</v>
      </c>
      <c r="AI13" s="285">
        <f t="shared" si="2"/>
        <v>0</v>
      </c>
    </row>
    <row r="14" spans="1:37">
      <c r="A14">
        <f t="shared" si="3"/>
        <v>0</v>
      </c>
      <c r="B14" s="610" t="str">
        <f>Aufgaben!W3</f>
        <v>Aufgabe 06</v>
      </c>
      <c r="C14" s="611">
        <f>IF(C$5&gt;0,(INDEX(A_Aufgaben,(C$5-Arbeitszeit!$A$6+1),(2*(ROW()-ROW(A_Aufgabendatum))-1))),"")</f>
        <v>0</v>
      </c>
      <c r="D14" s="612" t="str">
        <f>IF(D$5&gt;0,(INDEX(A_Aufgaben,(D$5-Arbeitszeit!$A$6+1),(2*(ROW()-ROW(A_Aufgabendatum))-1))),"")</f>
        <v/>
      </c>
      <c r="E14" s="611" t="str">
        <f>IF(E$5&gt;0,(INDEX(A_Aufgaben,(E$5-Arbeitszeit!$A$6+1),(2*(ROW()-ROW(A_Aufgabendatum))-1))),"")</f>
        <v/>
      </c>
      <c r="F14" s="612" t="str">
        <f>IF(F$5&gt;0,(INDEX(A_Aufgaben,(F$5-Arbeitszeit!$A$6+1),(2*(ROW()-ROW(A_Aufgabendatum))-1))),"")</f>
        <v/>
      </c>
      <c r="G14" s="611" t="str">
        <f>IF(G$5&gt;0,(INDEX(A_Aufgaben,(G$5-Arbeitszeit!$A$6+1),(2*(ROW()-ROW(A_Aufgabendatum))-1))),"")</f>
        <v/>
      </c>
      <c r="H14" s="612" t="str">
        <f>IF(H$5&gt;0,(INDEX(A_Aufgaben,(H$5-Arbeitszeit!$A$6+1),(2*(ROW()-ROW(A_Aufgabendatum))-1))),"")</f>
        <v/>
      </c>
      <c r="I14" s="611" t="str">
        <f>IF(I$5&gt;0,(INDEX(A_Aufgaben,(I$5-Arbeitszeit!$A$6+1),(2*(ROW()-ROW(A_Aufgabendatum))-1))),"")</f>
        <v/>
      </c>
      <c r="J14" s="612" t="str">
        <f>IF(J$5&gt;0,(INDEX(A_Aufgaben,(J$5-Arbeitszeit!$A$6+1),(2*(ROW()-ROW(A_Aufgabendatum))-1))),"")</f>
        <v/>
      </c>
      <c r="K14" s="611" t="str">
        <f>IF(K$5&gt;0,(INDEX(A_Aufgaben,(K$5-Arbeitszeit!$A$6+1),(2*(ROW()-ROW(A_Aufgabendatum))-1))),"")</f>
        <v/>
      </c>
      <c r="L14" s="612" t="str">
        <f>IF(L$5&gt;0,(INDEX(A_Aufgaben,(L$5-Arbeitszeit!$A$6+1),(2*(ROW()-ROW(A_Aufgabendatum))-1))),"")</f>
        <v/>
      </c>
      <c r="M14" s="611" t="str">
        <f>IF(M$5&gt;0,(INDEX(A_Aufgaben,(M$5-Arbeitszeit!$A$6+1),(2*(ROW()-ROW(A_Aufgabendatum))-1))),"")</f>
        <v/>
      </c>
      <c r="N14" s="612" t="str">
        <f>IF(N$5&gt;0,(INDEX(A_Aufgaben,(N$5-Arbeitszeit!$A$6+1),(2*(ROW()-ROW(A_Aufgabendatum))-1))),"")</f>
        <v/>
      </c>
      <c r="O14" s="611" t="str">
        <f>IF(O$5&gt;0,(INDEX(A_Aufgaben,(O$5-Arbeitszeit!$A$6+1),(2*(ROW()-ROW(A_Aufgabendatum))-1))),"")</f>
        <v/>
      </c>
      <c r="P14" s="612" t="str">
        <f>IF(P$5&gt;0,(INDEX(A_Aufgaben,(P$5-Arbeitszeit!$A$6+1),(2*(ROW()-ROW(A_Aufgabendatum))-1))),"")</f>
        <v/>
      </c>
      <c r="Q14" s="611" t="str">
        <f>IF(Q$5&gt;0,(INDEX(A_Aufgaben,(Q$5-Arbeitszeit!$A$6+1),(2*(ROW()-ROW(A_Aufgabendatum))-1))),"")</f>
        <v/>
      </c>
      <c r="R14" s="612" t="str">
        <f>IF(R$5&gt;0,(INDEX(A_Aufgaben,(R$5-Arbeitszeit!$A$6+1),(2*(ROW()-ROW(A_Aufgabendatum))-1))),"")</f>
        <v/>
      </c>
      <c r="S14" s="611" t="str">
        <f>IF(S$5&gt;0,(INDEX(A_Aufgaben,(S$5-Arbeitszeit!$A$6+1),(2*(ROW()-ROW(A_Aufgabendatum))-1))),"")</f>
        <v/>
      </c>
      <c r="T14" s="612" t="str">
        <f>IF(T$5&gt;0,(INDEX(A_Aufgaben,(T$5-Arbeitszeit!$A$6+1),(2*(ROW()-ROW(A_Aufgabendatum))-1))),"")</f>
        <v/>
      </c>
      <c r="U14" s="611" t="str">
        <f>IF(U$5&gt;0,(INDEX(A_Aufgaben,(U$5-Arbeitszeit!$A$6+1),(2*(ROW()-ROW(A_Aufgabendatum))-1))),"")</f>
        <v/>
      </c>
      <c r="V14" s="612" t="str">
        <f>IF(V$5&gt;0,(INDEX(A_Aufgaben,(V$5-Arbeitszeit!$A$6+1),(2*(ROW()-ROW(A_Aufgabendatum))-1))),"")</f>
        <v/>
      </c>
      <c r="W14" s="611" t="str">
        <f>IF(W$5&gt;0,(INDEX(A_Aufgaben,(W$5-Arbeitszeit!$A$6+1),(2*(ROW()-ROW(A_Aufgabendatum))-1))),"")</f>
        <v/>
      </c>
      <c r="X14" s="612" t="str">
        <f>IF(X$5&gt;0,(INDEX(A_Aufgaben,(X$5-Arbeitszeit!$A$6+1),(2*(ROW()-ROW(A_Aufgabendatum))-1))),"")</f>
        <v/>
      </c>
      <c r="Y14" s="611" t="str">
        <f>IF(Y$5&gt;0,(INDEX(A_Aufgaben,(Y$5-Arbeitszeit!$A$6+1),(2*(ROW()-ROW(A_Aufgabendatum))-1))),"")</f>
        <v/>
      </c>
      <c r="Z14" s="612" t="str">
        <f>IF(Z$5&gt;0,(INDEX(A_Aufgaben,(Z$5-Arbeitszeit!$A$6+1),(2*(ROW()-ROW(A_Aufgabendatum))-1))),"")</f>
        <v/>
      </c>
      <c r="AA14" s="611" t="str">
        <f>IF(AA$5&gt;0,(INDEX(A_Aufgaben,(AA$5-Arbeitszeit!$A$6+1),(2*(ROW()-ROW(A_Aufgabendatum))-1))),"")</f>
        <v/>
      </c>
      <c r="AB14" s="612" t="str">
        <f>IF(AB$5&gt;0,(INDEX(A_Aufgaben,(AB$5-Arbeitszeit!$A$6+1),(2*(ROW()-ROW(A_Aufgabendatum))-1))),"")</f>
        <v/>
      </c>
      <c r="AC14" s="611" t="str">
        <f>IF(AC$5&gt;0,(INDEX(A_Aufgaben,(AC$5-Arbeitszeit!$A$6+1),(2*(ROW()-ROW(A_Aufgabendatum))-1))),"")</f>
        <v/>
      </c>
      <c r="AD14" s="612" t="str">
        <f>IF(AD$5&gt;0,(INDEX(A_Aufgaben,(AD$5-Arbeitszeit!$A$6+1),(2*(ROW()-ROW(A_Aufgabendatum))-1))),"")</f>
        <v/>
      </c>
      <c r="AE14" s="611" t="str">
        <f>IF(AE$5&gt;0,(INDEX(A_Aufgaben,(AE$5-Arbeitszeit!$A$6+1),(2*(ROW()-ROW(A_Aufgabendatum))-1))),"")</f>
        <v/>
      </c>
      <c r="AF14" s="612" t="str">
        <f>IF(AF$5&gt;0,(INDEX(A_Aufgaben,(AF$5-Arbeitszeit!$A$6+1),(2*(ROW()-ROW(A_Aufgabendatum))-1))),"")</f>
        <v/>
      </c>
      <c r="AG14" s="611" t="str">
        <f>IF(AG$5&gt;0,(INDEX(A_Aufgaben,(AG$5-Arbeitszeit!$A$6+1),(2*(ROW()-ROW(A_Aufgabendatum))-1))),"")</f>
        <v/>
      </c>
      <c r="AH14" s="620">
        <f t="shared" si="1"/>
        <v>0</v>
      </c>
      <c r="AI14" s="285">
        <f t="shared" si="2"/>
        <v>0</v>
      </c>
    </row>
    <row r="15" spans="1:37">
      <c r="A15">
        <f t="shared" si="3"/>
        <v>0</v>
      </c>
      <c r="B15" s="610" t="str">
        <f>Aufgaben!Y3</f>
        <v>Aufgabe 07</v>
      </c>
      <c r="C15" s="611">
        <f>IF(C$5&gt;0,(INDEX(A_Aufgaben,(C$5-Arbeitszeit!$A$6+1),(2*(ROW()-ROW(A_Aufgabendatum))-1))),"")</f>
        <v>0</v>
      </c>
      <c r="D15" s="612" t="str">
        <f>IF(D$5&gt;0,(INDEX(A_Aufgaben,(D$5-Arbeitszeit!$A$6+1),(2*(ROW()-ROW(A_Aufgabendatum))-1))),"")</f>
        <v/>
      </c>
      <c r="E15" s="611" t="str">
        <f>IF(E$5&gt;0,(INDEX(A_Aufgaben,(E$5-Arbeitszeit!$A$6+1),(2*(ROW()-ROW(A_Aufgabendatum))-1))),"")</f>
        <v/>
      </c>
      <c r="F15" s="612" t="str">
        <f>IF(F$5&gt;0,(INDEX(A_Aufgaben,(F$5-Arbeitszeit!$A$6+1),(2*(ROW()-ROW(A_Aufgabendatum))-1))),"")</f>
        <v/>
      </c>
      <c r="G15" s="611" t="str">
        <f>IF(G$5&gt;0,(INDEX(A_Aufgaben,(G$5-Arbeitszeit!$A$6+1),(2*(ROW()-ROW(A_Aufgabendatum))-1))),"")</f>
        <v/>
      </c>
      <c r="H15" s="612" t="str">
        <f>IF(H$5&gt;0,(INDEX(A_Aufgaben,(H$5-Arbeitszeit!$A$6+1),(2*(ROW()-ROW(A_Aufgabendatum))-1))),"")</f>
        <v/>
      </c>
      <c r="I15" s="611" t="str">
        <f>IF(I$5&gt;0,(INDEX(A_Aufgaben,(I$5-Arbeitszeit!$A$6+1),(2*(ROW()-ROW(A_Aufgabendatum))-1))),"")</f>
        <v/>
      </c>
      <c r="J15" s="612" t="str">
        <f>IF(J$5&gt;0,(INDEX(A_Aufgaben,(J$5-Arbeitszeit!$A$6+1),(2*(ROW()-ROW(A_Aufgabendatum))-1))),"")</f>
        <v/>
      </c>
      <c r="K15" s="611" t="str">
        <f>IF(K$5&gt;0,(INDEX(A_Aufgaben,(K$5-Arbeitszeit!$A$6+1),(2*(ROW()-ROW(A_Aufgabendatum))-1))),"")</f>
        <v/>
      </c>
      <c r="L15" s="612" t="str">
        <f>IF(L$5&gt;0,(INDEX(A_Aufgaben,(L$5-Arbeitszeit!$A$6+1),(2*(ROW()-ROW(A_Aufgabendatum))-1))),"")</f>
        <v/>
      </c>
      <c r="M15" s="611" t="str">
        <f>IF(M$5&gt;0,(INDEX(A_Aufgaben,(M$5-Arbeitszeit!$A$6+1),(2*(ROW()-ROW(A_Aufgabendatum))-1))),"")</f>
        <v/>
      </c>
      <c r="N15" s="612" t="str">
        <f>IF(N$5&gt;0,(INDEX(A_Aufgaben,(N$5-Arbeitszeit!$A$6+1),(2*(ROW()-ROW(A_Aufgabendatum))-1))),"")</f>
        <v/>
      </c>
      <c r="O15" s="611" t="str">
        <f>IF(O$5&gt;0,(INDEX(A_Aufgaben,(O$5-Arbeitszeit!$A$6+1),(2*(ROW()-ROW(A_Aufgabendatum))-1))),"")</f>
        <v/>
      </c>
      <c r="P15" s="612" t="str">
        <f>IF(P$5&gt;0,(INDEX(A_Aufgaben,(P$5-Arbeitszeit!$A$6+1),(2*(ROW()-ROW(A_Aufgabendatum))-1))),"")</f>
        <v/>
      </c>
      <c r="Q15" s="611" t="str">
        <f>IF(Q$5&gt;0,(INDEX(A_Aufgaben,(Q$5-Arbeitszeit!$A$6+1),(2*(ROW()-ROW(A_Aufgabendatum))-1))),"")</f>
        <v/>
      </c>
      <c r="R15" s="612" t="str">
        <f>IF(R$5&gt;0,(INDEX(A_Aufgaben,(R$5-Arbeitszeit!$A$6+1),(2*(ROW()-ROW(A_Aufgabendatum))-1))),"")</f>
        <v/>
      </c>
      <c r="S15" s="611" t="str">
        <f>IF(S$5&gt;0,(INDEX(A_Aufgaben,(S$5-Arbeitszeit!$A$6+1),(2*(ROW()-ROW(A_Aufgabendatum))-1))),"")</f>
        <v/>
      </c>
      <c r="T15" s="612" t="str">
        <f>IF(T$5&gt;0,(INDEX(A_Aufgaben,(T$5-Arbeitszeit!$A$6+1),(2*(ROW()-ROW(A_Aufgabendatum))-1))),"")</f>
        <v/>
      </c>
      <c r="U15" s="611" t="str">
        <f>IF(U$5&gt;0,(INDEX(A_Aufgaben,(U$5-Arbeitszeit!$A$6+1),(2*(ROW()-ROW(A_Aufgabendatum))-1))),"")</f>
        <v/>
      </c>
      <c r="V15" s="612" t="str">
        <f>IF(V$5&gt;0,(INDEX(A_Aufgaben,(V$5-Arbeitszeit!$A$6+1),(2*(ROW()-ROW(A_Aufgabendatum))-1))),"")</f>
        <v/>
      </c>
      <c r="W15" s="611" t="str">
        <f>IF(W$5&gt;0,(INDEX(A_Aufgaben,(W$5-Arbeitszeit!$A$6+1),(2*(ROW()-ROW(A_Aufgabendatum))-1))),"")</f>
        <v/>
      </c>
      <c r="X15" s="612" t="str">
        <f>IF(X$5&gt;0,(INDEX(A_Aufgaben,(X$5-Arbeitszeit!$A$6+1),(2*(ROW()-ROW(A_Aufgabendatum))-1))),"")</f>
        <v/>
      </c>
      <c r="Y15" s="611" t="str">
        <f>IF(Y$5&gt;0,(INDEX(A_Aufgaben,(Y$5-Arbeitszeit!$A$6+1),(2*(ROW()-ROW(A_Aufgabendatum))-1))),"")</f>
        <v/>
      </c>
      <c r="Z15" s="612" t="str">
        <f>IF(Z$5&gt;0,(INDEX(A_Aufgaben,(Z$5-Arbeitszeit!$A$6+1),(2*(ROW()-ROW(A_Aufgabendatum))-1))),"")</f>
        <v/>
      </c>
      <c r="AA15" s="611" t="str">
        <f>IF(AA$5&gt;0,(INDEX(A_Aufgaben,(AA$5-Arbeitszeit!$A$6+1),(2*(ROW()-ROW(A_Aufgabendatum))-1))),"")</f>
        <v/>
      </c>
      <c r="AB15" s="612" t="str">
        <f>IF(AB$5&gt;0,(INDEX(A_Aufgaben,(AB$5-Arbeitszeit!$A$6+1),(2*(ROW()-ROW(A_Aufgabendatum))-1))),"")</f>
        <v/>
      </c>
      <c r="AC15" s="611" t="str">
        <f>IF(AC$5&gt;0,(INDEX(A_Aufgaben,(AC$5-Arbeitszeit!$A$6+1),(2*(ROW()-ROW(A_Aufgabendatum))-1))),"")</f>
        <v/>
      </c>
      <c r="AD15" s="612" t="str">
        <f>IF(AD$5&gt;0,(INDEX(A_Aufgaben,(AD$5-Arbeitszeit!$A$6+1),(2*(ROW()-ROW(A_Aufgabendatum))-1))),"")</f>
        <v/>
      </c>
      <c r="AE15" s="611" t="str">
        <f>IF(AE$5&gt;0,(INDEX(A_Aufgaben,(AE$5-Arbeitszeit!$A$6+1),(2*(ROW()-ROW(A_Aufgabendatum))-1))),"")</f>
        <v/>
      </c>
      <c r="AF15" s="612" t="str">
        <f>IF(AF$5&gt;0,(INDEX(A_Aufgaben,(AF$5-Arbeitszeit!$A$6+1),(2*(ROW()-ROW(A_Aufgabendatum))-1))),"")</f>
        <v/>
      </c>
      <c r="AG15" s="611" t="str">
        <f>IF(AG$5&gt;0,(INDEX(A_Aufgaben,(AG$5-Arbeitszeit!$A$6+1),(2*(ROW()-ROW(A_Aufgabendatum))-1))),"")</f>
        <v/>
      </c>
      <c r="AH15" s="620">
        <f t="shared" si="1"/>
        <v>0</v>
      </c>
      <c r="AI15" s="285">
        <f t="shared" si="2"/>
        <v>0</v>
      </c>
      <c r="AK15" s="358"/>
    </row>
    <row r="16" spans="1:37">
      <c r="A16">
        <f t="shared" si="3"/>
        <v>0</v>
      </c>
      <c r="B16" s="610" t="str">
        <f>Aufgaben!AA3</f>
        <v>Aufgabe 08</v>
      </c>
      <c r="C16" s="611">
        <f>IF(C$5&gt;0,(INDEX(A_Aufgaben,(C$5-Arbeitszeit!$A$6+1),(2*(ROW()-ROW(A_Aufgabendatum))-1))),"")</f>
        <v>0</v>
      </c>
      <c r="D16" s="612" t="str">
        <f>IF(D$5&gt;0,(INDEX(A_Aufgaben,(D$5-Arbeitszeit!$A$6+1),(2*(ROW()-ROW(A_Aufgabendatum))-1))),"")</f>
        <v/>
      </c>
      <c r="E16" s="611" t="str">
        <f>IF(E$5&gt;0,(INDEX(A_Aufgaben,(E$5-Arbeitszeit!$A$6+1),(2*(ROW()-ROW(A_Aufgabendatum))-1))),"")</f>
        <v/>
      </c>
      <c r="F16" s="612" t="str">
        <f>IF(F$5&gt;0,(INDEX(A_Aufgaben,(F$5-Arbeitszeit!$A$6+1),(2*(ROW()-ROW(A_Aufgabendatum))-1))),"")</f>
        <v/>
      </c>
      <c r="G16" s="611" t="str">
        <f>IF(G$5&gt;0,(INDEX(A_Aufgaben,(G$5-Arbeitszeit!$A$6+1),(2*(ROW()-ROW(A_Aufgabendatum))-1))),"")</f>
        <v/>
      </c>
      <c r="H16" s="612" t="str">
        <f>IF(H$5&gt;0,(INDEX(A_Aufgaben,(H$5-Arbeitszeit!$A$6+1),(2*(ROW()-ROW(A_Aufgabendatum))-1))),"")</f>
        <v/>
      </c>
      <c r="I16" s="611" t="str">
        <f>IF(I$5&gt;0,(INDEX(A_Aufgaben,(I$5-Arbeitszeit!$A$6+1),(2*(ROW()-ROW(A_Aufgabendatum))-1))),"")</f>
        <v/>
      </c>
      <c r="J16" s="612" t="str">
        <f>IF(J$5&gt;0,(INDEX(A_Aufgaben,(J$5-Arbeitszeit!$A$6+1),(2*(ROW()-ROW(A_Aufgabendatum))-1))),"")</f>
        <v/>
      </c>
      <c r="K16" s="611" t="str">
        <f>IF(K$5&gt;0,(INDEX(A_Aufgaben,(K$5-Arbeitszeit!$A$6+1),(2*(ROW()-ROW(A_Aufgabendatum))-1))),"")</f>
        <v/>
      </c>
      <c r="L16" s="612" t="str">
        <f>IF(L$5&gt;0,(INDEX(A_Aufgaben,(L$5-Arbeitszeit!$A$6+1),(2*(ROW()-ROW(A_Aufgabendatum))-1))),"")</f>
        <v/>
      </c>
      <c r="M16" s="611" t="str">
        <f>IF(M$5&gt;0,(INDEX(A_Aufgaben,(M$5-Arbeitszeit!$A$6+1),(2*(ROW()-ROW(A_Aufgabendatum))-1))),"")</f>
        <v/>
      </c>
      <c r="N16" s="612" t="str">
        <f>IF(N$5&gt;0,(INDEX(A_Aufgaben,(N$5-Arbeitszeit!$A$6+1),(2*(ROW()-ROW(A_Aufgabendatum))-1))),"")</f>
        <v/>
      </c>
      <c r="O16" s="611" t="str">
        <f>IF(O$5&gt;0,(INDEX(A_Aufgaben,(O$5-Arbeitszeit!$A$6+1),(2*(ROW()-ROW(A_Aufgabendatum))-1))),"")</f>
        <v/>
      </c>
      <c r="P16" s="612" t="str">
        <f>IF(P$5&gt;0,(INDEX(A_Aufgaben,(P$5-Arbeitszeit!$A$6+1),(2*(ROW()-ROW(A_Aufgabendatum))-1))),"")</f>
        <v/>
      </c>
      <c r="Q16" s="611" t="str">
        <f>IF(Q$5&gt;0,(INDEX(A_Aufgaben,(Q$5-Arbeitszeit!$A$6+1),(2*(ROW()-ROW(A_Aufgabendatum))-1))),"")</f>
        <v/>
      </c>
      <c r="R16" s="612" t="str">
        <f>IF(R$5&gt;0,(INDEX(A_Aufgaben,(R$5-Arbeitszeit!$A$6+1),(2*(ROW()-ROW(A_Aufgabendatum))-1))),"")</f>
        <v/>
      </c>
      <c r="S16" s="611" t="str">
        <f>IF(S$5&gt;0,(INDEX(A_Aufgaben,(S$5-Arbeitszeit!$A$6+1),(2*(ROW()-ROW(A_Aufgabendatum))-1))),"")</f>
        <v/>
      </c>
      <c r="T16" s="612" t="str">
        <f>IF(T$5&gt;0,(INDEX(A_Aufgaben,(T$5-Arbeitszeit!$A$6+1),(2*(ROW()-ROW(A_Aufgabendatum))-1))),"")</f>
        <v/>
      </c>
      <c r="U16" s="611" t="str">
        <f>IF(U$5&gt;0,(INDEX(A_Aufgaben,(U$5-Arbeitszeit!$A$6+1),(2*(ROW()-ROW(A_Aufgabendatum))-1))),"")</f>
        <v/>
      </c>
      <c r="V16" s="612" t="str">
        <f>IF(V$5&gt;0,(INDEX(A_Aufgaben,(V$5-Arbeitszeit!$A$6+1),(2*(ROW()-ROW(A_Aufgabendatum))-1))),"")</f>
        <v/>
      </c>
      <c r="W16" s="611" t="str">
        <f>IF(W$5&gt;0,(INDEX(A_Aufgaben,(W$5-Arbeitszeit!$A$6+1),(2*(ROW()-ROW(A_Aufgabendatum))-1))),"")</f>
        <v/>
      </c>
      <c r="X16" s="612" t="str">
        <f>IF(X$5&gt;0,(INDEX(A_Aufgaben,(X$5-Arbeitszeit!$A$6+1),(2*(ROW()-ROW(A_Aufgabendatum))-1))),"")</f>
        <v/>
      </c>
      <c r="Y16" s="611" t="str">
        <f>IF(Y$5&gt;0,(INDEX(A_Aufgaben,(Y$5-Arbeitszeit!$A$6+1),(2*(ROW()-ROW(A_Aufgabendatum))-1))),"")</f>
        <v/>
      </c>
      <c r="Z16" s="612" t="str">
        <f>IF(Z$5&gt;0,(INDEX(A_Aufgaben,(Z$5-Arbeitszeit!$A$6+1),(2*(ROW()-ROW(A_Aufgabendatum))-1))),"")</f>
        <v/>
      </c>
      <c r="AA16" s="611" t="str">
        <f>IF(AA$5&gt;0,(INDEX(A_Aufgaben,(AA$5-Arbeitszeit!$A$6+1),(2*(ROW()-ROW(A_Aufgabendatum))-1))),"")</f>
        <v/>
      </c>
      <c r="AB16" s="612" t="str">
        <f>IF(AB$5&gt;0,(INDEX(A_Aufgaben,(AB$5-Arbeitszeit!$A$6+1),(2*(ROW()-ROW(A_Aufgabendatum))-1))),"")</f>
        <v/>
      </c>
      <c r="AC16" s="611" t="str">
        <f>IF(AC$5&gt;0,(INDEX(A_Aufgaben,(AC$5-Arbeitszeit!$A$6+1),(2*(ROW()-ROW(A_Aufgabendatum))-1))),"")</f>
        <v/>
      </c>
      <c r="AD16" s="612" t="str">
        <f>IF(AD$5&gt;0,(INDEX(A_Aufgaben,(AD$5-Arbeitszeit!$A$6+1),(2*(ROW()-ROW(A_Aufgabendatum))-1))),"")</f>
        <v/>
      </c>
      <c r="AE16" s="611" t="str">
        <f>IF(AE$5&gt;0,(INDEX(A_Aufgaben,(AE$5-Arbeitszeit!$A$6+1),(2*(ROW()-ROW(A_Aufgabendatum))-1))),"")</f>
        <v/>
      </c>
      <c r="AF16" s="612" t="str">
        <f>IF(AF$5&gt;0,(INDEX(A_Aufgaben,(AF$5-Arbeitszeit!$A$6+1),(2*(ROW()-ROW(A_Aufgabendatum))-1))),"")</f>
        <v/>
      </c>
      <c r="AG16" s="611" t="str">
        <f>IF(AG$5&gt;0,(INDEX(A_Aufgaben,(AG$5-Arbeitszeit!$A$6+1),(2*(ROW()-ROW(A_Aufgabendatum))-1))),"")</f>
        <v/>
      </c>
      <c r="AH16" s="620">
        <f t="shared" si="1"/>
        <v>0</v>
      </c>
      <c r="AI16" s="285">
        <f t="shared" si="2"/>
        <v>0</v>
      </c>
    </row>
    <row r="17" spans="1:35">
      <c r="A17">
        <f t="shared" si="3"/>
        <v>0</v>
      </c>
      <c r="B17" s="610" t="str">
        <f>Aufgaben!AC3</f>
        <v>Aufgabe 09</v>
      </c>
      <c r="C17" s="611">
        <f>IF(C$5&gt;0,(INDEX(A_Aufgaben,(C$5-Arbeitszeit!$A$6+1),(2*(ROW()-ROW(A_Aufgabendatum))-1))),"")</f>
        <v>0</v>
      </c>
      <c r="D17" s="612" t="str">
        <f>IF(D$5&gt;0,(INDEX(A_Aufgaben,(D$5-Arbeitszeit!$A$6+1),(2*(ROW()-ROW(A_Aufgabendatum))-1))),"")</f>
        <v/>
      </c>
      <c r="E17" s="611" t="str">
        <f>IF(E$5&gt;0,(INDEX(A_Aufgaben,(E$5-Arbeitszeit!$A$6+1),(2*(ROW()-ROW(A_Aufgabendatum))-1))),"")</f>
        <v/>
      </c>
      <c r="F17" s="612" t="str">
        <f>IF(F$5&gt;0,(INDEX(A_Aufgaben,(F$5-Arbeitszeit!$A$6+1),(2*(ROW()-ROW(A_Aufgabendatum))-1))),"")</f>
        <v/>
      </c>
      <c r="G17" s="611" t="str">
        <f>IF(G$5&gt;0,(INDEX(A_Aufgaben,(G$5-Arbeitszeit!$A$6+1),(2*(ROW()-ROW(A_Aufgabendatum))-1))),"")</f>
        <v/>
      </c>
      <c r="H17" s="612" t="str">
        <f>IF(H$5&gt;0,(INDEX(A_Aufgaben,(H$5-Arbeitszeit!$A$6+1),(2*(ROW()-ROW(A_Aufgabendatum))-1))),"")</f>
        <v/>
      </c>
      <c r="I17" s="611" t="str">
        <f>IF(I$5&gt;0,(INDEX(A_Aufgaben,(I$5-Arbeitszeit!$A$6+1),(2*(ROW()-ROW(A_Aufgabendatum))-1))),"")</f>
        <v/>
      </c>
      <c r="J17" s="612" t="str">
        <f>IF(J$5&gt;0,(INDEX(A_Aufgaben,(J$5-Arbeitszeit!$A$6+1),(2*(ROW()-ROW(A_Aufgabendatum))-1))),"")</f>
        <v/>
      </c>
      <c r="K17" s="611" t="str">
        <f>IF(K$5&gt;0,(INDEX(A_Aufgaben,(K$5-Arbeitszeit!$A$6+1),(2*(ROW()-ROW(A_Aufgabendatum))-1))),"")</f>
        <v/>
      </c>
      <c r="L17" s="612" t="str">
        <f>IF(L$5&gt;0,(INDEX(A_Aufgaben,(L$5-Arbeitszeit!$A$6+1),(2*(ROW()-ROW(A_Aufgabendatum))-1))),"")</f>
        <v/>
      </c>
      <c r="M17" s="611" t="str">
        <f>IF(M$5&gt;0,(INDEX(A_Aufgaben,(M$5-Arbeitszeit!$A$6+1),(2*(ROW()-ROW(A_Aufgabendatum))-1))),"")</f>
        <v/>
      </c>
      <c r="N17" s="612" t="str">
        <f>IF(N$5&gt;0,(INDEX(A_Aufgaben,(N$5-Arbeitszeit!$A$6+1),(2*(ROW()-ROW(A_Aufgabendatum))-1))),"")</f>
        <v/>
      </c>
      <c r="O17" s="611" t="str">
        <f>IF(O$5&gt;0,(INDEX(A_Aufgaben,(O$5-Arbeitszeit!$A$6+1),(2*(ROW()-ROW(A_Aufgabendatum))-1))),"")</f>
        <v/>
      </c>
      <c r="P17" s="612" t="str">
        <f>IF(P$5&gt;0,(INDEX(A_Aufgaben,(P$5-Arbeitszeit!$A$6+1),(2*(ROW()-ROW(A_Aufgabendatum))-1))),"")</f>
        <v/>
      </c>
      <c r="Q17" s="611" t="str">
        <f>IF(Q$5&gt;0,(INDEX(A_Aufgaben,(Q$5-Arbeitszeit!$A$6+1),(2*(ROW()-ROW(A_Aufgabendatum))-1))),"")</f>
        <v/>
      </c>
      <c r="R17" s="612" t="str">
        <f>IF(R$5&gt;0,(INDEX(A_Aufgaben,(R$5-Arbeitszeit!$A$6+1),(2*(ROW()-ROW(A_Aufgabendatum))-1))),"")</f>
        <v/>
      </c>
      <c r="S17" s="611" t="str">
        <f>IF(S$5&gt;0,(INDEX(A_Aufgaben,(S$5-Arbeitszeit!$A$6+1),(2*(ROW()-ROW(A_Aufgabendatum))-1))),"")</f>
        <v/>
      </c>
      <c r="T17" s="612" t="str">
        <f>IF(T$5&gt;0,(INDEX(A_Aufgaben,(T$5-Arbeitszeit!$A$6+1),(2*(ROW()-ROW(A_Aufgabendatum))-1))),"")</f>
        <v/>
      </c>
      <c r="U17" s="611" t="str">
        <f>IF(U$5&gt;0,(INDEX(A_Aufgaben,(U$5-Arbeitszeit!$A$6+1),(2*(ROW()-ROW(A_Aufgabendatum))-1))),"")</f>
        <v/>
      </c>
      <c r="V17" s="612" t="str">
        <f>IF(V$5&gt;0,(INDEX(A_Aufgaben,(V$5-Arbeitszeit!$A$6+1),(2*(ROW()-ROW(A_Aufgabendatum))-1))),"")</f>
        <v/>
      </c>
      <c r="W17" s="611" t="str">
        <f>IF(W$5&gt;0,(INDEX(A_Aufgaben,(W$5-Arbeitszeit!$A$6+1),(2*(ROW()-ROW(A_Aufgabendatum))-1))),"")</f>
        <v/>
      </c>
      <c r="X17" s="612" t="str">
        <f>IF(X$5&gt;0,(INDEX(A_Aufgaben,(X$5-Arbeitszeit!$A$6+1),(2*(ROW()-ROW(A_Aufgabendatum))-1))),"")</f>
        <v/>
      </c>
      <c r="Y17" s="611" t="str">
        <f>IF(Y$5&gt;0,(INDEX(A_Aufgaben,(Y$5-Arbeitszeit!$A$6+1),(2*(ROW()-ROW(A_Aufgabendatum))-1))),"")</f>
        <v/>
      </c>
      <c r="Z17" s="612" t="str">
        <f>IF(Z$5&gt;0,(INDEX(A_Aufgaben,(Z$5-Arbeitszeit!$A$6+1),(2*(ROW()-ROW(A_Aufgabendatum))-1))),"")</f>
        <v/>
      </c>
      <c r="AA17" s="611" t="str">
        <f>IF(AA$5&gt;0,(INDEX(A_Aufgaben,(AA$5-Arbeitszeit!$A$6+1),(2*(ROW()-ROW(A_Aufgabendatum))-1))),"")</f>
        <v/>
      </c>
      <c r="AB17" s="612" t="str">
        <f>IF(AB$5&gt;0,(INDEX(A_Aufgaben,(AB$5-Arbeitszeit!$A$6+1),(2*(ROW()-ROW(A_Aufgabendatum))-1))),"")</f>
        <v/>
      </c>
      <c r="AC17" s="611" t="str">
        <f>IF(AC$5&gt;0,(INDEX(A_Aufgaben,(AC$5-Arbeitszeit!$A$6+1),(2*(ROW()-ROW(A_Aufgabendatum))-1))),"")</f>
        <v/>
      </c>
      <c r="AD17" s="612" t="str">
        <f>IF(AD$5&gt;0,(INDEX(A_Aufgaben,(AD$5-Arbeitszeit!$A$6+1),(2*(ROW()-ROW(A_Aufgabendatum))-1))),"")</f>
        <v/>
      </c>
      <c r="AE17" s="611" t="str">
        <f>IF(AE$5&gt;0,(INDEX(A_Aufgaben,(AE$5-Arbeitszeit!$A$6+1),(2*(ROW()-ROW(A_Aufgabendatum))-1))),"")</f>
        <v/>
      </c>
      <c r="AF17" s="612" t="str">
        <f>IF(AF$5&gt;0,(INDEX(A_Aufgaben,(AF$5-Arbeitszeit!$A$6+1),(2*(ROW()-ROW(A_Aufgabendatum))-1))),"")</f>
        <v/>
      </c>
      <c r="AG17" s="611" t="str">
        <f>IF(AG$5&gt;0,(INDEX(A_Aufgaben,(AG$5-Arbeitszeit!$A$6+1),(2*(ROW()-ROW(A_Aufgabendatum))-1))),"")</f>
        <v/>
      </c>
      <c r="AH17" s="620">
        <f t="shared" si="1"/>
        <v>0</v>
      </c>
      <c r="AI17" s="285">
        <f t="shared" si="2"/>
        <v>0</v>
      </c>
    </row>
    <row r="18" spans="1:35">
      <c r="A18">
        <f t="shared" si="3"/>
        <v>0</v>
      </c>
      <c r="B18" s="610" t="str">
        <f>Aufgaben!AE3</f>
        <v>Aufgabe 10</v>
      </c>
      <c r="C18" s="611">
        <f>IF(C$5&gt;0,(INDEX(A_Aufgaben,(C$5-Arbeitszeit!$A$6+1),(2*(ROW()-ROW(A_Aufgabendatum))-1))),"")</f>
        <v>0</v>
      </c>
      <c r="D18" s="612" t="str">
        <f>IF(D$5&gt;0,(INDEX(A_Aufgaben,(D$5-Arbeitszeit!$A$6+1),(2*(ROW()-ROW(A_Aufgabendatum))-1))),"")</f>
        <v/>
      </c>
      <c r="E18" s="611" t="str">
        <f>IF(E$5&gt;0,(INDEX(A_Aufgaben,(E$5-Arbeitszeit!$A$6+1),(2*(ROW()-ROW(A_Aufgabendatum))-1))),"")</f>
        <v/>
      </c>
      <c r="F18" s="612" t="str">
        <f>IF(F$5&gt;0,(INDEX(A_Aufgaben,(F$5-Arbeitszeit!$A$6+1),(2*(ROW()-ROW(A_Aufgabendatum))-1))),"")</f>
        <v/>
      </c>
      <c r="G18" s="611" t="str">
        <f>IF(G$5&gt;0,(INDEX(A_Aufgaben,(G$5-Arbeitszeit!$A$6+1),(2*(ROW()-ROW(A_Aufgabendatum))-1))),"")</f>
        <v/>
      </c>
      <c r="H18" s="612" t="str">
        <f>IF(H$5&gt;0,(INDEX(A_Aufgaben,(H$5-Arbeitszeit!$A$6+1),(2*(ROW()-ROW(A_Aufgabendatum))-1))),"")</f>
        <v/>
      </c>
      <c r="I18" s="611" t="str">
        <f>IF(I$5&gt;0,(INDEX(A_Aufgaben,(I$5-Arbeitszeit!$A$6+1),(2*(ROW()-ROW(A_Aufgabendatum))-1))),"")</f>
        <v/>
      </c>
      <c r="J18" s="612" t="str">
        <f>IF(J$5&gt;0,(INDEX(A_Aufgaben,(J$5-Arbeitszeit!$A$6+1),(2*(ROW()-ROW(A_Aufgabendatum))-1))),"")</f>
        <v/>
      </c>
      <c r="K18" s="611" t="str">
        <f>IF(K$5&gt;0,(INDEX(A_Aufgaben,(K$5-Arbeitszeit!$A$6+1),(2*(ROW()-ROW(A_Aufgabendatum))-1))),"")</f>
        <v/>
      </c>
      <c r="L18" s="612" t="str">
        <f>IF(L$5&gt;0,(INDEX(A_Aufgaben,(L$5-Arbeitszeit!$A$6+1),(2*(ROW()-ROW(A_Aufgabendatum))-1))),"")</f>
        <v/>
      </c>
      <c r="M18" s="611" t="str">
        <f>IF(M$5&gt;0,(INDEX(A_Aufgaben,(M$5-Arbeitszeit!$A$6+1),(2*(ROW()-ROW(A_Aufgabendatum))-1))),"")</f>
        <v/>
      </c>
      <c r="N18" s="612" t="str">
        <f>IF(N$5&gt;0,(INDEX(A_Aufgaben,(N$5-Arbeitszeit!$A$6+1),(2*(ROW()-ROW(A_Aufgabendatum))-1))),"")</f>
        <v/>
      </c>
      <c r="O18" s="611" t="str">
        <f>IF(O$5&gt;0,(INDEX(A_Aufgaben,(O$5-Arbeitszeit!$A$6+1),(2*(ROW()-ROW(A_Aufgabendatum))-1))),"")</f>
        <v/>
      </c>
      <c r="P18" s="612" t="str">
        <f>IF(P$5&gt;0,(INDEX(A_Aufgaben,(P$5-Arbeitszeit!$A$6+1),(2*(ROW()-ROW(A_Aufgabendatum))-1))),"")</f>
        <v/>
      </c>
      <c r="Q18" s="611" t="str">
        <f>IF(Q$5&gt;0,(INDEX(A_Aufgaben,(Q$5-Arbeitszeit!$A$6+1),(2*(ROW()-ROW(A_Aufgabendatum))-1))),"")</f>
        <v/>
      </c>
      <c r="R18" s="612" t="str">
        <f>IF(R$5&gt;0,(INDEX(A_Aufgaben,(R$5-Arbeitszeit!$A$6+1),(2*(ROW()-ROW(A_Aufgabendatum))-1))),"")</f>
        <v/>
      </c>
      <c r="S18" s="611" t="str">
        <f>IF(S$5&gt;0,(INDEX(A_Aufgaben,(S$5-Arbeitszeit!$A$6+1),(2*(ROW()-ROW(A_Aufgabendatum))-1))),"")</f>
        <v/>
      </c>
      <c r="T18" s="612" t="str">
        <f>IF(T$5&gt;0,(INDEX(A_Aufgaben,(T$5-Arbeitszeit!$A$6+1),(2*(ROW()-ROW(A_Aufgabendatum))-1))),"")</f>
        <v/>
      </c>
      <c r="U18" s="611" t="str">
        <f>IF(U$5&gt;0,(INDEX(A_Aufgaben,(U$5-Arbeitszeit!$A$6+1),(2*(ROW()-ROW(A_Aufgabendatum))-1))),"")</f>
        <v/>
      </c>
      <c r="V18" s="612" t="str">
        <f>IF(V$5&gt;0,(INDEX(A_Aufgaben,(V$5-Arbeitszeit!$A$6+1),(2*(ROW()-ROW(A_Aufgabendatum))-1))),"")</f>
        <v/>
      </c>
      <c r="W18" s="611" t="str">
        <f>IF(W$5&gt;0,(INDEX(A_Aufgaben,(W$5-Arbeitszeit!$A$6+1),(2*(ROW()-ROW(A_Aufgabendatum))-1))),"")</f>
        <v/>
      </c>
      <c r="X18" s="612" t="str">
        <f>IF(X$5&gt;0,(INDEX(A_Aufgaben,(X$5-Arbeitszeit!$A$6+1),(2*(ROW()-ROW(A_Aufgabendatum))-1))),"")</f>
        <v/>
      </c>
      <c r="Y18" s="611" t="str">
        <f>IF(Y$5&gt;0,(INDEX(A_Aufgaben,(Y$5-Arbeitszeit!$A$6+1),(2*(ROW()-ROW(A_Aufgabendatum))-1))),"")</f>
        <v/>
      </c>
      <c r="Z18" s="612" t="str">
        <f>IF(Z$5&gt;0,(INDEX(A_Aufgaben,(Z$5-Arbeitszeit!$A$6+1),(2*(ROW()-ROW(A_Aufgabendatum))-1))),"")</f>
        <v/>
      </c>
      <c r="AA18" s="611" t="str">
        <f>IF(AA$5&gt;0,(INDEX(A_Aufgaben,(AA$5-Arbeitszeit!$A$6+1),(2*(ROW()-ROW(A_Aufgabendatum))-1))),"")</f>
        <v/>
      </c>
      <c r="AB18" s="612" t="str">
        <f>IF(AB$5&gt;0,(INDEX(A_Aufgaben,(AB$5-Arbeitszeit!$A$6+1),(2*(ROW()-ROW(A_Aufgabendatum))-1))),"")</f>
        <v/>
      </c>
      <c r="AC18" s="611" t="str">
        <f>IF(AC$5&gt;0,(INDEX(A_Aufgaben,(AC$5-Arbeitszeit!$A$6+1),(2*(ROW()-ROW(A_Aufgabendatum))-1))),"")</f>
        <v/>
      </c>
      <c r="AD18" s="612" t="str">
        <f>IF(AD$5&gt;0,(INDEX(A_Aufgaben,(AD$5-Arbeitszeit!$A$6+1),(2*(ROW()-ROW(A_Aufgabendatum))-1))),"")</f>
        <v/>
      </c>
      <c r="AE18" s="611" t="str">
        <f>IF(AE$5&gt;0,(INDEX(A_Aufgaben,(AE$5-Arbeitszeit!$A$6+1),(2*(ROW()-ROW(A_Aufgabendatum))-1))),"")</f>
        <v/>
      </c>
      <c r="AF18" s="612" t="str">
        <f>IF(AF$5&gt;0,(INDEX(A_Aufgaben,(AF$5-Arbeitszeit!$A$6+1),(2*(ROW()-ROW(A_Aufgabendatum))-1))),"")</f>
        <v/>
      </c>
      <c r="AG18" s="611" t="str">
        <f>IF(AG$5&gt;0,(INDEX(A_Aufgaben,(AG$5-Arbeitszeit!$A$6+1),(2*(ROW()-ROW(A_Aufgabendatum))-1))),"")</f>
        <v/>
      </c>
      <c r="AH18" s="620">
        <f t="shared" si="1"/>
        <v>0</v>
      </c>
      <c r="AI18" s="285">
        <f t="shared" si="2"/>
        <v>0</v>
      </c>
    </row>
    <row r="19" spans="1:35">
      <c r="A19">
        <f t="shared" si="3"/>
        <v>0</v>
      </c>
      <c r="B19" s="610" t="str">
        <f>Aufgaben!AG3</f>
        <v>Aufgabe 11</v>
      </c>
      <c r="C19" s="611">
        <f>IF(C$5&gt;0,(INDEX(A_Aufgaben,(C$5-Arbeitszeit!$A$6+1),(2*(ROW()-ROW(A_Aufgabendatum))-1))),"")</f>
        <v>0</v>
      </c>
      <c r="D19" s="612" t="str">
        <f>IF(D$5&gt;0,(INDEX(A_Aufgaben,(D$5-Arbeitszeit!$A$6+1),(2*(ROW()-ROW(A_Aufgabendatum))-1))),"")</f>
        <v/>
      </c>
      <c r="E19" s="611" t="str">
        <f>IF(E$5&gt;0,(INDEX(A_Aufgaben,(E$5-Arbeitszeit!$A$6+1),(2*(ROW()-ROW(A_Aufgabendatum))-1))),"")</f>
        <v/>
      </c>
      <c r="F19" s="612" t="str">
        <f>IF(F$5&gt;0,(INDEX(A_Aufgaben,(F$5-Arbeitszeit!$A$6+1),(2*(ROW()-ROW(A_Aufgabendatum))-1))),"")</f>
        <v/>
      </c>
      <c r="G19" s="611" t="str">
        <f>IF(G$5&gt;0,(INDEX(A_Aufgaben,(G$5-Arbeitszeit!$A$6+1),(2*(ROW()-ROW(A_Aufgabendatum))-1))),"")</f>
        <v/>
      </c>
      <c r="H19" s="612" t="str">
        <f>IF(H$5&gt;0,(INDEX(A_Aufgaben,(H$5-Arbeitszeit!$A$6+1),(2*(ROW()-ROW(A_Aufgabendatum))-1))),"")</f>
        <v/>
      </c>
      <c r="I19" s="611" t="str">
        <f>IF(I$5&gt;0,(INDEX(A_Aufgaben,(I$5-Arbeitszeit!$A$6+1),(2*(ROW()-ROW(A_Aufgabendatum))-1))),"")</f>
        <v/>
      </c>
      <c r="J19" s="612" t="str">
        <f>IF(J$5&gt;0,(INDEX(A_Aufgaben,(J$5-Arbeitszeit!$A$6+1),(2*(ROW()-ROW(A_Aufgabendatum))-1))),"")</f>
        <v/>
      </c>
      <c r="K19" s="611" t="str">
        <f>IF(K$5&gt;0,(INDEX(A_Aufgaben,(K$5-Arbeitszeit!$A$6+1),(2*(ROW()-ROW(A_Aufgabendatum))-1))),"")</f>
        <v/>
      </c>
      <c r="L19" s="612" t="str">
        <f>IF(L$5&gt;0,(INDEX(A_Aufgaben,(L$5-Arbeitszeit!$A$6+1),(2*(ROW()-ROW(A_Aufgabendatum))-1))),"")</f>
        <v/>
      </c>
      <c r="M19" s="611" t="str">
        <f>IF(M$5&gt;0,(INDEX(A_Aufgaben,(M$5-Arbeitszeit!$A$6+1),(2*(ROW()-ROW(A_Aufgabendatum))-1))),"")</f>
        <v/>
      </c>
      <c r="N19" s="612" t="str">
        <f>IF(N$5&gt;0,(INDEX(A_Aufgaben,(N$5-Arbeitszeit!$A$6+1),(2*(ROW()-ROW(A_Aufgabendatum))-1))),"")</f>
        <v/>
      </c>
      <c r="O19" s="611" t="str">
        <f>IF(O$5&gt;0,(INDEX(A_Aufgaben,(O$5-Arbeitszeit!$A$6+1),(2*(ROW()-ROW(A_Aufgabendatum))-1))),"")</f>
        <v/>
      </c>
      <c r="P19" s="612" t="str">
        <f>IF(P$5&gt;0,(INDEX(A_Aufgaben,(P$5-Arbeitszeit!$A$6+1),(2*(ROW()-ROW(A_Aufgabendatum))-1))),"")</f>
        <v/>
      </c>
      <c r="Q19" s="611" t="str">
        <f>IF(Q$5&gt;0,(INDEX(A_Aufgaben,(Q$5-Arbeitszeit!$A$6+1),(2*(ROW()-ROW(A_Aufgabendatum))-1))),"")</f>
        <v/>
      </c>
      <c r="R19" s="612" t="str">
        <f>IF(R$5&gt;0,(INDEX(A_Aufgaben,(R$5-Arbeitszeit!$A$6+1),(2*(ROW()-ROW(A_Aufgabendatum))-1))),"")</f>
        <v/>
      </c>
      <c r="S19" s="611" t="str">
        <f>IF(S$5&gt;0,(INDEX(A_Aufgaben,(S$5-Arbeitszeit!$A$6+1),(2*(ROW()-ROW(A_Aufgabendatum))-1))),"")</f>
        <v/>
      </c>
      <c r="T19" s="612" t="str">
        <f>IF(T$5&gt;0,(INDEX(A_Aufgaben,(T$5-Arbeitszeit!$A$6+1),(2*(ROW()-ROW(A_Aufgabendatum))-1))),"")</f>
        <v/>
      </c>
      <c r="U19" s="611" t="str">
        <f>IF(U$5&gt;0,(INDEX(A_Aufgaben,(U$5-Arbeitszeit!$A$6+1),(2*(ROW()-ROW(A_Aufgabendatum))-1))),"")</f>
        <v/>
      </c>
      <c r="V19" s="612" t="str">
        <f>IF(V$5&gt;0,(INDEX(A_Aufgaben,(V$5-Arbeitszeit!$A$6+1),(2*(ROW()-ROW(A_Aufgabendatum))-1))),"")</f>
        <v/>
      </c>
      <c r="W19" s="611" t="str">
        <f>IF(W$5&gt;0,(INDEX(A_Aufgaben,(W$5-Arbeitszeit!$A$6+1),(2*(ROW()-ROW(A_Aufgabendatum))-1))),"")</f>
        <v/>
      </c>
      <c r="X19" s="612" t="str">
        <f>IF(X$5&gt;0,(INDEX(A_Aufgaben,(X$5-Arbeitszeit!$A$6+1),(2*(ROW()-ROW(A_Aufgabendatum))-1))),"")</f>
        <v/>
      </c>
      <c r="Y19" s="611" t="str">
        <f>IF(Y$5&gt;0,(INDEX(A_Aufgaben,(Y$5-Arbeitszeit!$A$6+1),(2*(ROW()-ROW(A_Aufgabendatum))-1))),"")</f>
        <v/>
      </c>
      <c r="Z19" s="612" t="str">
        <f>IF(Z$5&gt;0,(INDEX(A_Aufgaben,(Z$5-Arbeitszeit!$A$6+1),(2*(ROW()-ROW(A_Aufgabendatum))-1))),"")</f>
        <v/>
      </c>
      <c r="AA19" s="611" t="str">
        <f>IF(AA$5&gt;0,(INDEX(A_Aufgaben,(AA$5-Arbeitszeit!$A$6+1),(2*(ROW()-ROW(A_Aufgabendatum))-1))),"")</f>
        <v/>
      </c>
      <c r="AB19" s="612" t="str">
        <f>IF(AB$5&gt;0,(INDEX(A_Aufgaben,(AB$5-Arbeitszeit!$A$6+1),(2*(ROW()-ROW(A_Aufgabendatum))-1))),"")</f>
        <v/>
      </c>
      <c r="AC19" s="611" t="str">
        <f>IF(AC$5&gt;0,(INDEX(A_Aufgaben,(AC$5-Arbeitszeit!$A$6+1),(2*(ROW()-ROW(A_Aufgabendatum))-1))),"")</f>
        <v/>
      </c>
      <c r="AD19" s="612" t="str">
        <f>IF(AD$5&gt;0,(INDEX(A_Aufgaben,(AD$5-Arbeitszeit!$A$6+1),(2*(ROW()-ROW(A_Aufgabendatum))-1))),"")</f>
        <v/>
      </c>
      <c r="AE19" s="611" t="str">
        <f>IF(AE$5&gt;0,(INDEX(A_Aufgaben,(AE$5-Arbeitszeit!$A$6+1),(2*(ROW()-ROW(A_Aufgabendatum))-1))),"")</f>
        <v/>
      </c>
      <c r="AF19" s="612" t="str">
        <f>IF(AF$5&gt;0,(INDEX(A_Aufgaben,(AF$5-Arbeitszeit!$A$6+1),(2*(ROW()-ROW(A_Aufgabendatum))-1))),"")</f>
        <v/>
      </c>
      <c r="AG19" s="611" t="str">
        <f>IF(AG$5&gt;0,(INDEX(A_Aufgaben,(AG$5-Arbeitszeit!$A$6+1),(2*(ROW()-ROW(A_Aufgabendatum))-1))),"")</f>
        <v/>
      </c>
      <c r="AH19" s="620">
        <f t="shared" si="1"/>
        <v>0</v>
      </c>
      <c r="AI19" s="285">
        <f t="shared" si="2"/>
        <v>0</v>
      </c>
    </row>
    <row r="20" spans="1:35">
      <c r="A20">
        <f t="shared" si="3"/>
        <v>0</v>
      </c>
      <c r="B20" s="610" t="str">
        <f>Aufgaben!AI3</f>
        <v>Aufgabe 12</v>
      </c>
      <c r="C20" s="611">
        <f>IF(C$5&gt;0,(INDEX(A_Aufgaben,(C$5-Arbeitszeit!$A$6+1),(2*(ROW()-ROW(A_Aufgabendatum))-1))),"")</f>
        <v>0</v>
      </c>
      <c r="D20" s="612" t="str">
        <f>IF(D$5&gt;0,(INDEX(A_Aufgaben,(D$5-Arbeitszeit!$A$6+1),(2*(ROW()-ROW(A_Aufgabendatum))-1))),"")</f>
        <v/>
      </c>
      <c r="E20" s="611" t="str">
        <f>IF(E$5&gt;0,(INDEX(A_Aufgaben,(E$5-Arbeitszeit!$A$6+1),(2*(ROW()-ROW(A_Aufgabendatum))-1))),"")</f>
        <v/>
      </c>
      <c r="F20" s="612" t="str">
        <f>IF(F$5&gt;0,(INDEX(A_Aufgaben,(F$5-Arbeitszeit!$A$6+1),(2*(ROW()-ROW(A_Aufgabendatum))-1))),"")</f>
        <v/>
      </c>
      <c r="G20" s="611" t="str">
        <f>IF(G$5&gt;0,(INDEX(A_Aufgaben,(G$5-Arbeitszeit!$A$6+1),(2*(ROW()-ROW(A_Aufgabendatum))-1))),"")</f>
        <v/>
      </c>
      <c r="H20" s="612" t="str">
        <f>IF(H$5&gt;0,(INDEX(A_Aufgaben,(H$5-Arbeitszeit!$A$6+1),(2*(ROW()-ROW(A_Aufgabendatum))-1))),"")</f>
        <v/>
      </c>
      <c r="I20" s="611" t="str">
        <f>IF(I$5&gt;0,(INDEX(A_Aufgaben,(I$5-Arbeitszeit!$A$6+1),(2*(ROW()-ROW(A_Aufgabendatum))-1))),"")</f>
        <v/>
      </c>
      <c r="J20" s="612" t="str">
        <f>IF(J$5&gt;0,(INDEX(A_Aufgaben,(J$5-Arbeitszeit!$A$6+1),(2*(ROW()-ROW(A_Aufgabendatum))-1))),"")</f>
        <v/>
      </c>
      <c r="K20" s="611" t="str">
        <f>IF(K$5&gt;0,(INDEX(A_Aufgaben,(K$5-Arbeitszeit!$A$6+1),(2*(ROW()-ROW(A_Aufgabendatum))-1))),"")</f>
        <v/>
      </c>
      <c r="L20" s="612" t="str">
        <f>IF(L$5&gt;0,(INDEX(A_Aufgaben,(L$5-Arbeitszeit!$A$6+1),(2*(ROW()-ROW(A_Aufgabendatum))-1))),"")</f>
        <v/>
      </c>
      <c r="M20" s="611" t="str">
        <f>IF(M$5&gt;0,(INDEX(A_Aufgaben,(M$5-Arbeitszeit!$A$6+1),(2*(ROW()-ROW(A_Aufgabendatum))-1))),"")</f>
        <v/>
      </c>
      <c r="N20" s="612" t="str">
        <f>IF(N$5&gt;0,(INDEX(A_Aufgaben,(N$5-Arbeitszeit!$A$6+1),(2*(ROW()-ROW(A_Aufgabendatum))-1))),"")</f>
        <v/>
      </c>
      <c r="O20" s="611" t="str">
        <f>IF(O$5&gt;0,(INDEX(A_Aufgaben,(O$5-Arbeitszeit!$A$6+1),(2*(ROW()-ROW(A_Aufgabendatum))-1))),"")</f>
        <v/>
      </c>
      <c r="P20" s="612" t="str">
        <f>IF(P$5&gt;0,(INDEX(A_Aufgaben,(P$5-Arbeitszeit!$A$6+1),(2*(ROW()-ROW(A_Aufgabendatum))-1))),"")</f>
        <v/>
      </c>
      <c r="Q20" s="611" t="str">
        <f>IF(Q$5&gt;0,(INDEX(A_Aufgaben,(Q$5-Arbeitszeit!$A$6+1),(2*(ROW()-ROW(A_Aufgabendatum))-1))),"")</f>
        <v/>
      </c>
      <c r="R20" s="612" t="str">
        <f>IF(R$5&gt;0,(INDEX(A_Aufgaben,(R$5-Arbeitszeit!$A$6+1),(2*(ROW()-ROW(A_Aufgabendatum))-1))),"")</f>
        <v/>
      </c>
      <c r="S20" s="611" t="str">
        <f>IF(S$5&gt;0,(INDEX(A_Aufgaben,(S$5-Arbeitszeit!$A$6+1),(2*(ROW()-ROW(A_Aufgabendatum))-1))),"")</f>
        <v/>
      </c>
      <c r="T20" s="612" t="str">
        <f>IF(T$5&gt;0,(INDEX(A_Aufgaben,(T$5-Arbeitszeit!$A$6+1),(2*(ROW()-ROW(A_Aufgabendatum))-1))),"")</f>
        <v/>
      </c>
      <c r="U20" s="611" t="str">
        <f>IF(U$5&gt;0,(INDEX(A_Aufgaben,(U$5-Arbeitszeit!$A$6+1),(2*(ROW()-ROW(A_Aufgabendatum))-1))),"")</f>
        <v/>
      </c>
      <c r="V20" s="612" t="str">
        <f>IF(V$5&gt;0,(INDEX(A_Aufgaben,(V$5-Arbeitszeit!$A$6+1),(2*(ROW()-ROW(A_Aufgabendatum))-1))),"")</f>
        <v/>
      </c>
      <c r="W20" s="611" t="str">
        <f>IF(W$5&gt;0,(INDEX(A_Aufgaben,(W$5-Arbeitszeit!$A$6+1),(2*(ROW()-ROW(A_Aufgabendatum))-1))),"")</f>
        <v/>
      </c>
      <c r="X20" s="612" t="str">
        <f>IF(X$5&gt;0,(INDEX(A_Aufgaben,(X$5-Arbeitszeit!$A$6+1),(2*(ROW()-ROW(A_Aufgabendatum))-1))),"")</f>
        <v/>
      </c>
      <c r="Y20" s="611" t="str">
        <f>IF(Y$5&gt;0,(INDEX(A_Aufgaben,(Y$5-Arbeitszeit!$A$6+1),(2*(ROW()-ROW(A_Aufgabendatum))-1))),"")</f>
        <v/>
      </c>
      <c r="Z20" s="612" t="str">
        <f>IF(Z$5&gt;0,(INDEX(A_Aufgaben,(Z$5-Arbeitszeit!$A$6+1),(2*(ROW()-ROW(A_Aufgabendatum))-1))),"")</f>
        <v/>
      </c>
      <c r="AA20" s="611" t="str">
        <f>IF(AA$5&gt;0,(INDEX(A_Aufgaben,(AA$5-Arbeitszeit!$A$6+1),(2*(ROW()-ROW(A_Aufgabendatum))-1))),"")</f>
        <v/>
      </c>
      <c r="AB20" s="612" t="str">
        <f>IF(AB$5&gt;0,(INDEX(A_Aufgaben,(AB$5-Arbeitszeit!$A$6+1),(2*(ROW()-ROW(A_Aufgabendatum))-1))),"")</f>
        <v/>
      </c>
      <c r="AC20" s="611" t="str">
        <f>IF(AC$5&gt;0,(INDEX(A_Aufgaben,(AC$5-Arbeitszeit!$A$6+1),(2*(ROW()-ROW(A_Aufgabendatum))-1))),"")</f>
        <v/>
      </c>
      <c r="AD20" s="612" t="str">
        <f>IF(AD$5&gt;0,(INDEX(A_Aufgaben,(AD$5-Arbeitszeit!$A$6+1),(2*(ROW()-ROW(A_Aufgabendatum))-1))),"")</f>
        <v/>
      </c>
      <c r="AE20" s="611" t="str">
        <f>IF(AE$5&gt;0,(INDEX(A_Aufgaben,(AE$5-Arbeitszeit!$A$6+1),(2*(ROW()-ROW(A_Aufgabendatum))-1))),"")</f>
        <v/>
      </c>
      <c r="AF20" s="612" t="str">
        <f>IF(AF$5&gt;0,(INDEX(A_Aufgaben,(AF$5-Arbeitszeit!$A$6+1),(2*(ROW()-ROW(A_Aufgabendatum))-1))),"")</f>
        <v/>
      </c>
      <c r="AG20" s="611" t="str">
        <f>IF(AG$5&gt;0,(INDEX(A_Aufgaben,(AG$5-Arbeitszeit!$A$6+1),(2*(ROW()-ROW(A_Aufgabendatum))-1))),"")</f>
        <v/>
      </c>
      <c r="AH20" s="620">
        <f t="shared" si="1"/>
        <v>0</v>
      </c>
      <c r="AI20" s="285">
        <f t="shared" si="2"/>
        <v>0</v>
      </c>
    </row>
    <row r="21" spans="1:35">
      <c r="A21">
        <f t="shared" si="3"/>
        <v>0</v>
      </c>
      <c r="B21" s="610" t="str">
        <f>Aufgaben!AK3</f>
        <v>Aufgabe 13</v>
      </c>
      <c r="C21" s="611">
        <f>IF(C$5&gt;0,(INDEX(A_Aufgaben,(C$5-Arbeitszeit!$A$6+1),(2*(ROW()-ROW(A_Aufgabendatum))-1))),"")</f>
        <v>0</v>
      </c>
      <c r="D21" s="612" t="str">
        <f>IF(D$5&gt;0,(INDEX(A_Aufgaben,(D$5-Arbeitszeit!$A$6+1),(2*(ROW()-ROW(A_Aufgabendatum))-1))),"")</f>
        <v/>
      </c>
      <c r="E21" s="611" t="str">
        <f>IF(E$5&gt;0,(INDEX(A_Aufgaben,(E$5-Arbeitszeit!$A$6+1),(2*(ROW()-ROW(A_Aufgabendatum))-1))),"")</f>
        <v/>
      </c>
      <c r="F21" s="612" t="str">
        <f>IF(F$5&gt;0,(INDEX(A_Aufgaben,(F$5-Arbeitszeit!$A$6+1),(2*(ROW()-ROW(A_Aufgabendatum))-1))),"")</f>
        <v/>
      </c>
      <c r="G21" s="611" t="str">
        <f>IF(G$5&gt;0,(INDEX(A_Aufgaben,(G$5-Arbeitszeit!$A$6+1),(2*(ROW()-ROW(A_Aufgabendatum))-1))),"")</f>
        <v/>
      </c>
      <c r="H21" s="612" t="str">
        <f>IF(H$5&gt;0,(INDEX(A_Aufgaben,(H$5-Arbeitszeit!$A$6+1),(2*(ROW()-ROW(A_Aufgabendatum))-1))),"")</f>
        <v/>
      </c>
      <c r="I21" s="611" t="str">
        <f>IF(I$5&gt;0,(INDEX(A_Aufgaben,(I$5-Arbeitszeit!$A$6+1),(2*(ROW()-ROW(A_Aufgabendatum))-1))),"")</f>
        <v/>
      </c>
      <c r="J21" s="612" t="str">
        <f>IF(J$5&gt;0,(INDEX(A_Aufgaben,(J$5-Arbeitszeit!$A$6+1),(2*(ROW()-ROW(A_Aufgabendatum))-1))),"")</f>
        <v/>
      </c>
      <c r="K21" s="611" t="str">
        <f>IF(K$5&gt;0,(INDEX(A_Aufgaben,(K$5-Arbeitszeit!$A$6+1),(2*(ROW()-ROW(A_Aufgabendatum))-1))),"")</f>
        <v/>
      </c>
      <c r="L21" s="612" t="str">
        <f>IF(L$5&gt;0,(INDEX(A_Aufgaben,(L$5-Arbeitszeit!$A$6+1),(2*(ROW()-ROW(A_Aufgabendatum))-1))),"")</f>
        <v/>
      </c>
      <c r="M21" s="611" t="str">
        <f>IF(M$5&gt;0,(INDEX(A_Aufgaben,(M$5-Arbeitszeit!$A$6+1),(2*(ROW()-ROW(A_Aufgabendatum))-1))),"")</f>
        <v/>
      </c>
      <c r="N21" s="612" t="str">
        <f>IF(N$5&gt;0,(INDEX(A_Aufgaben,(N$5-Arbeitszeit!$A$6+1),(2*(ROW()-ROW(A_Aufgabendatum))-1))),"")</f>
        <v/>
      </c>
      <c r="O21" s="611" t="str">
        <f>IF(O$5&gt;0,(INDEX(A_Aufgaben,(O$5-Arbeitszeit!$A$6+1),(2*(ROW()-ROW(A_Aufgabendatum))-1))),"")</f>
        <v/>
      </c>
      <c r="P21" s="612" t="str">
        <f>IF(P$5&gt;0,(INDEX(A_Aufgaben,(P$5-Arbeitszeit!$A$6+1),(2*(ROW()-ROW(A_Aufgabendatum))-1))),"")</f>
        <v/>
      </c>
      <c r="Q21" s="611" t="str">
        <f>IF(Q$5&gt;0,(INDEX(A_Aufgaben,(Q$5-Arbeitszeit!$A$6+1),(2*(ROW()-ROW(A_Aufgabendatum))-1))),"")</f>
        <v/>
      </c>
      <c r="R21" s="612" t="str">
        <f>IF(R$5&gt;0,(INDEX(A_Aufgaben,(R$5-Arbeitszeit!$A$6+1),(2*(ROW()-ROW(A_Aufgabendatum))-1))),"")</f>
        <v/>
      </c>
      <c r="S21" s="611" t="str">
        <f>IF(S$5&gt;0,(INDEX(A_Aufgaben,(S$5-Arbeitszeit!$A$6+1),(2*(ROW()-ROW(A_Aufgabendatum))-1))),"")</f>
        <v/>
      </c>
      <c r="T21" s="612" t="str">
        <f>IF(T$5&gt;0,(INDEX(A_Aufgaben,(T$5-Arbeitszeit!$A$6+1),(2*(ROW()-ROW(A_Aufgabendatum))-1))),"")</f>
        <v/>
      </c>
      <c r="U21" s="611" t="str">
        <f>IF(U$5&gt;0,(INDEX(A_Aufgaben,(U$5-Arbeitszeit!$A$6+1),(2*(ROW()-ROW(A_Aufgabendatum))-1))),"")</f>
        <v/>
      </c>
      <c r="V21" s="612" t="str">
        <f>IF(V$5&gt;0,(INDEX(A_Aufgaben,(V$5-Arbeitszeit!$A$6+1),(2*(ROW()-ROW(A_Aufgabendatum))-1))),"")</f>
        <v/>
      </c>
      <c r="W21" s="611" t="str">
        <f>IF(W$5&gt;0,(INDEX(A_Aufgaben,(W$5-Arbeitszeit!$A$6+1),(2*(ROW()-ROW(A_Aufgabendatum))-1))),"")</f>
        <v/>
      </c>
      <c r="X21" s="612" t="str">
        <f>IF(X$5&gt;0,(INDEX(A_Aufgaben,(X$5-Arbeitszeit!$A$6+1),(2*(ROW()-ROW(A_Aufgabendatum))-1))),"")</f>
        <v/>
      </c>
      <c r="Y21" s="611" t="str">
        <f>IF(Y$5&gt;0,(INDEX(A_Aufgaben,(Y$5-Arbeitszeit!$A$6+1),(2*(ROW()-ROW(A_Aufgabendatum))-1))),"")</f>
        <v/>
      </c>
      <c r="Z21" s="612" t="str">
        <f>IF(Z$5&gt;0,(INDEX(A_Aufgaben,(Z$5-Arbeitszeit!$A$6+1),(2*(ROW()-ROW(A_Aufgabendatum))-1))),"")</f>
        <v/>
      </c>
      <c r="AA21" s="611" t="str">
        <f>IF(AA$5&gt;0,(INDEX(A_Aufgaben,(AA$5-Arbeitszeit!$A$6+1),(2*(ROW()-ROW(A_Aufgabendatum))-1))),"")</f>
        <v/>
      </c>
      <c r="AB21" s="612" t="str">
        <f>IF(AB$5&gt;0,(INDEX(A_Aufgaben,(AB$5-Arbeitszeit!$A$6+1),(2*(ROW()-ROW(A_Aufgabendatum))-1))),"")</f>
        <v/>
      </c>
      <c r="AC21" s="611" t="str">
        <f>IF(AC$5&gt;0,(INDEX(A_Aufgaben,(AC$5-Arbeitszeit!$A$6+1),(2*(ROW()-ROW(A_Aufgabendatum))-1))),"")</f>
        <v/>
      </c>
      <c r="AD21" s="612" t="str">
        <f>IF(AD$5&gt;0,(INDEX(A_Aufgaben,(AD$5-Arbeitszeit!$A$6+1),(2*(ROW()-ROW(A_Aufgabendatum))-1))),"")</f>
        <v/>
      </c>
      <c r="AE21" s="611" t="str">
        <f>IF(AE$5&gt;0,(INDEX(A_Aufgaben,(AE$5-Arbeitszeit!$A$6+1),(2*(ROW()-ROW(A_Aufgabendatum))-1))),"")</f>
        <v/>
      </c>
      <c r="AF21" s="612" t="str">
        <f>IF(AF$5&gt;0,(INDEX(A_Aufgaben,(AF$5-Arbeitszeit!$A$6+1),(2*(ROW()-ROW(A_Aufgabendatum))-1))),"")</f>
        <v/>
      </c>
      <c r="AG21" s="611" t="str">
        <f>IF(AG$5&gt;0,(INDEX(A_Aufgaben,(AG$5-Arbeitszeit!$A$6+1),(2*(ROW()-ROW(A_Aufgabendatum))-1))),"")</f>
        <v/>
      </c>
      <c r="AH21" s="620">
        <f t="shared" si="1"/>
        <v>0</v>
      </c>
      <c r="AI21" s="285">
        <f t="shared" si="2"/>
        <v>0</v>
      </c>
    </row>
    <row r="22" spans="1:35">
      <c r="A22">
        <f t="shared" si="3"/>
        <v>0</v>
      </c>
      <c r="B22" s="610" t="str">
        <f>Aufgaben!AM3</f>
        <v>Aufgabe 14</v>
      </c>
      <c r="C22" s="611">
        <f>IF(C$5&gt;0,(INDEX(A_Aufgaben,(C$5-Arbeitszeit!$A$6+1),(2*(ROW()-ROW(A_Aufgabendatum))-1))),"")</f>
        <v>0</v>
      </c>
      <c r="D22" s="612" t="str">
        <f>IF(D$5&gt;0,(INDEX(A_Aufgaben,(D$5-Arbeitszeit!$A$6+1),(2*(ROW()-ROW(A_Aufgabendatum))-1))),"")</f>
        <v/>
      </c>
      <c r="E22" s="611" t="str">
        <f>IF(E$5&gt;0,(INDEX(A_Aufgaben,(E$5-Arbeitszeit!$A$6+1),(2*(ROW()-ROW(A_Aufgabendatum))-1))),"")</f>
        <v/>
      </c>
      <c r="F22" s="612" t="str">
        <f>IF(F$5&gt;0,(INDEX(A_Aufgaben,(F$5-Arbeitszeit!$A$6+1),(2*(ROW()-ROW(A_Aufgabendatum))-1))),"")</f>
        <v/>
      </c>
      <c r="G22" s="611" t="str">
        <f>IF(G$5&gt;0,(INDEX(A_Aufgaben,(G$5-Arbeitszeit!$A$6+1),(2*(ROW()-ROW(A_Aufgabendatum))-1))),"")</f>
        <v/>
      </c>
      <c r="H22" s="612" t="str">
        <f>IF(H$5&gt;0,(INDEX(A_Aufgaben,(H$5-Arbeitszeit!$A$6+1),(2*(ROW()-ROW(A_Aufgabendatum))-1))),"")</f>
        <v/>
      </c>
      <c r="I22" s="611" t="str">
        <f>IF(I$5&gt;0,(INDEX(A_Aufgaben,(I$5-Arbeitszeit!$A$6+1),(2*(ROW()-ROW(A_Aufgabendatum))-1))),"")</f>
        <v/>
      </c>
      <c r="J22" s="612" t="str">
        <f>IF(J$5&gt;0,(INDEX(A_Aufgaben,(J$5-Arbeitszeit!$A$6+1),(2*(ROW()-ROW(A_Aufgabendatum))-1))),"")</f>
        <v/>
      </c>
      <c r="K22" s="611" t="str">
        <f>IF(K$5&gt;0,(INDEX(A_Aufgaben,(K$5-Arbeitszeit!$A$6+1),(2*(ROW()-ROW(A_Aufgabendatum))-1))),"")</f>
        <v/>
      </c>
      <c r="L22" s="612" t="str">
        <f>IF(L$5&gt;0,(INDEX(A_Aufgaben,(L$5-Arbeitszeit!$A$6+1),(2*(ROW()-ROW(A_Aufgabendatum))-1))),"")</f>
        <v/>
      </c>
      <c r="M22" s="611" t="str">
        <f>IF(M$5&gt;0,(INDEX(A_Aufgaben,(M$5-Arbeitszeit!$A$6+1),(2*(ROW()-ROW(A_Aufgabendatum))-1))),"")</f>
        <v/>
      </c>
      <c r="N22" s="612" t="str">
        <f>IF(N$5&gt;0,(INDEX(A_Aufgaben,(N$5-Arbeitszeit!$A$6+1),(2*(ROW()-ROW(A_Aufgabendatum))-1))),"")</f>
        <v/>
      </c>
      <c r="O22" s="611" t="str">
        <f>IF(O$5&gt;0,(INDEX(A_Aufgaben,(O$5-Arbeitszeit!$A$6+1),(2*(ROW()-ROW(A_Aufgabendatum))-1))),"")</f>
        <v/>
      </c>
      <c r="P22" s="612" t="str">
        <f>IF(P$5&gt;0,(INDEX(A_Aufgaben,(P$5-Arbeitszeit!$A$6+1),(2*(ROW()-ROW(A_Aufgabendatum))-1))),"")</f>
        <v/>
      </c>
      <c r="Q22" s="611" t="str">
        <f>IF(Q$5&gt;0,(INDEX(A_Aufgaben,(Q$5-Arbeitszeit!$A$6+1),(2*(ROW()-ROW(A_Aufgabendatum))-1))),"")</f>
        <v/>
      </c>
      <c r="R22" s="612" t="str">
        <f>IF(R$5&gt;0,(INDEX(A_Aufgaben,(R$5-Arbeitszeit!$A$6+1),(2*(ROW()-ROW(A_Aufgabendatum))-1))),"")</f>
        <v/>
      </c>
      <c r="S22" s="611" t="str">
        <f>IF(S$5&gt;0,(INDEX(A_Aufgaben,(S$5-Arbeitszeit!$A$6+1),(2*(ROW()-ROW(A_Aufgabendatum))-1))),"")</f>
        <v/>
      </c>
      <c r="T22" s="612" t="str">
        <f>IF(T$5&gt;0,(INDEX(A_Aufgaben,(T$5-Arbeitszeit!$A$6+1),(2*(ROW()-ROW(A_Aufgabendatum))-1))),"")</f>
        <v/>
      </c>
      <c r="U22" s="611" t="str">
        <f>IF(U$5&gt;0,(INDEX(A_Aufgaben,(U$5-Arbeitszeit!$A$6+1),(2*(ROW()-ROW(A_Aufgabendatum))-1))),"")</f>
        <v/>
      </c>
      <c r="V22" s="612" t="str">
        <f>IF(V$5&gt;0,(INDEX(A_Aufgaben,(V$5-Arbeitszeit!$A$6+1),(2*(ROW()-ROW(A_Aufgabendatum))-1))),"")</f>
        <v/>
      </c>
      <c r="W22" s="611" t="str">
        <f>IF(W$5&gt;0,(INDEX(A_Aufgaben,(W$5-Arbeitszeit!$A$6+1),(2*(ROW()-ROW(A_Aufgabendatum))-1))),"")</f>
        <v/>
      </c>
      <c r="X22" s="612" t="str">
        <f>IF(X$5&gt;0,(INDEX(A_Aufgaben,(X$5-Arbeitszeit!$A$6+1),(2*(ROW()-ROW(A_Aufgabendatum))-1))),"")</f>
        <v/>
      </c>
      <c r="Y22" s="611" t="str">
        <f>IF(Y$5&gt;0,(INDEX(A_Aufgaben,(Y$5-Arbeitszeit!$A$6+1),(2*(ROW()-ROW(A_Aufgabendatum))-1))),"")</f>
        <v/>
      </c>
      <c r="Z22" s="612" t="str">
        <f>IF(Z$5&gt;0,(INDEX(A_Aufgaben,(Z$5-Arbeitszeit!$A$6+1),(2*(ROW()-ROW(A_Aufgabendatum))-1))),"")</f>
        <v/>
      </c>
      <c r="AA22" s="611" t="str">
        <f>IF(AA$5&gt;0,(INDEX(A_Aufgaben,(AA$5-Arbeitszeit!$A$6+1),(2*(ROW()-ROW(A_Aufgabendatum))-1))),"")</f>
        <v/>
      </c>
      <c r="AB22" s="612" t="str">
        <f>IF(AB$5&gt;0,(INDEX(A_Aufgaben,(AB$5-Arbeitszeit!$A$6+1),(2*(ROW()-ROW(A_Aufgabendatum))-1))),"")</f>
        <v/>
      </c>
      <c r="AC22" s="611" t="str">
        <f>IF(AC$5&gt;0,(INDEX(A_Aufgaben,(AC$5-Arbeitszeit!$A$6+1),(2*(ROW()-ROW(A_Aufgabendatum))-1))),"")</f>
        <v/>
      </c>
      <c r="AD22" s="612" t="str">
        <f>IF(AD$5&gt;0,(INDEX(A_Aufgaben,(AD$5-Arbeitszeit!$A$6+1),(2*(ROW()-ROW(A_Aufgabendatum))-1))),"")</f>
        <v/>
      </c>
      <c r="AE22" s="611" t="str">
        <f>IF(AE$5&gt;0,(INDEX(A_Aufgaben,(AE$5-Arbeitszeit!$A$6+1),(2*(ROW()-ROW(A_Aufgabendatum))-1))),"")</f>
        <v/>
      </c>
      <c r="AF22" s="612" t="str">
        <f>IF(AF$5&gt;0,(INDEX(A_Aufgaben,(AF$5-Arbeitszeit!$A$6+1),(2*(ROW()-ROW(A_Aufgabendatum))-1))),"")</f>
        <v/>
      </c>
      <c r="AG22" s="611" t="str">
        <f>IF(AG$5&gt;0,(INDEX(A_Aufgaben,(AG$5-Arbeitszeit!$A$6+1),(2*(ROW()-ROW(A_Aufgabendatum))-1))),"")</f>
        <v/>
      </c>
      <c r="AH22" s="620">
        <f t="shared" si="1"/>
        <v>0</v>
      </c>
      <c r="AI22" s="285">
        <f t="shared" si="2"/>
        <v>0</v>
      </c>
    </row>
    <row r="23" spans="1:35">
      <c r="A23">
        <f t="shared" si="3"/>
        <v>0</v>
      </c>
      <c r="B23" s="610" t="str">
        <f>Aufgaben!AO3</f>
        <v>Aufgabe 15</v>
      </c>
      <c r="C23" s="611">
        <f>IF(C$5&gt;0,(INDEX(A_Aufgaben,(C$5-Arbeitszeit!$A$6+1),(2*(ROW()-ROW(A_Aufgabendatum))-1))),"")</f>
        <v>0</v>
      </c>
      <c r="D23" s="612" t="str">
        <f>IF(D$5&gt;0,(INDEX(A_Aufgaben,(D$5-Arbeitszeit!$A$6+1),(2*(ROW()-ROW(A_Aufgabendatum))-1))),"")</f>
        <v/>
      </c>
      <c r="E23" s="611" t="str">
        <f>IF(E$5&gt;0,(INDEX(A_Aufgaben,(E$5-Arbeitszeit!$A$6+1),(2*(ROW()-ROW(A_Aufgabendatum))-1))),"")</f>
        <v/>
      </c>
      <c r="F23" s="612" t="str">
        <f>IF(F$5&gt;0,(INDEX(A_Aufgaben,(F$5-Arbeitszeit!$A$6+1),(2*(ROW()-ROW(A_Aufgabendatum))-1))),"")</f>
        <v/>
      </c>
      <c r="G23" s="611" t="str">
        <f>IF(G$5&gt;0,(INDEX(A_Aufgaben,(G$5-Arbeitszeit!$A$6+1),(2*(ROW()-ROW(A_Aufgabendatum))-1))),"")</f>
        <v/>
      </c>
      <c r="H23" s="612" t="str">
        <f>IF(H$5&gt;0,(INDEX(A_Aufgaben,(H$5-Arbeitszeit!$A$6+1),(2*(ROW()-ROW(A_Aufgabendatum))-1))),"")</f>
        <v/>
      </c>
      <c r="I23" s="611" t="str">
        <f>IF(I$5&gt;0,(INDEX(A_Aufgaben,(I$5-Arbeitszeit!$A$6+1),(2*(ROW()-ROW(A_Aufgabendatum))-1))),"")</f>
        <v/>
      </c>
      <c r="J23" s="612" t="str">
        <f>IF(J$5&gt;0,(INDEX(A_Aufgaben,(J$5-Arbeitszeit!$A$6+1),(2*(ROW()-ROW(A_Aufgabendatum))-1))),"")</f>
        <v/>
      </c>
      <c r="K23" s="611" t="str">
        <f>IF(K$5&gt;0,(INDEX(A_Aufgaben,(K$5-Arbeitszeit!$A$6+1),(2*(ROW()-ROW(A_Aufgabendatum))-1))),"")</f>
        <v/>
      </c>
      <c r="L23" s="612" t="str">
        <f>IF(L$5&gt;0,(INDEX(A_Aufgaben,(L$5-Arbeitszeit!$A$6+1),(2*(ROW()-ROW(A_Aufgabendatum))-1))),"")</f>
        <v/>
      </c>
      <c r="M23" s="611" t="str">
        <f>IF(M$5&gt;0,(INDEX(A_Aufgaben,(M$5-Arbeitszeit!$A$6+1),(2*(ROW()-ROW(A_Aufgabendatum))-1))),"")</f>
        <v/>
      </c>
      <c r="N23" s="612" t="str">
        <f>IF(N$5&gt;0,(INDEX(A_Aufgaben,(N$5-Arbeitszeit!$A$6+1),(2*(ROW()-ROW(A_Aufgabendatum))-1))),"")</f>
        <v/>
      </c>
      <c r="O23" s="611" t="str">
        <f>IF(O$5&gt;0,(INDEX(A_Aufgaben,(O$5-Arbeitszeit!$A$6+1),(2*(ROW()-ROW(A_Aufgabendatum))-1))),"")</f>
        <v/>
      </c>
      <c r="P23" s="612" t="str">
        <f>IF(P$5&gt;0,(INDEX(A_Aufgaben,(P$5-Arbeitszeit!$A$6+1),(2*(ROW()-ROW(A_Aufgabendatum))-1))),"")</f>
        <v/>
      </c>
      <c r="Q23" s="611" t="str">
        <f>IF(Q$5&gt;0,(INDEX(A_Aufgaben,(Q$5-Arbeitszeit!$A$6+1),(2*(ROW()-ROW(A_Aufgabendatum))-1))),"")</f>
        <v/>
      </c>
      <c r="R23" s="612" t="str">
        <f>IF(R$5&gt;0,(INDEX(A_Aufgaben,(R$5-Arbeitszeit!$A$6+1),(2*(ROW()-ROW(A_Aufgabendatum))-1))),"")</f>
        <v/>
      </c>
      <c r="S23" s="611" t="str">
        <f>IF(S$5&gt;0,(INDEX(A_Aufgaben,(S$5-Arbeitszeit!$A$6+1),(2*(ROW()-ROW(A_Aufgabendatum))-1))),"")</f>
        <v/>
      </c>
      <c r="T23" s="612" t="str">
        <f>IF(T$5&gt;0,(INDEX(A_Aufgaben,(T$5-Arbeitszeit!$A$6+1),(2*(ROW()-ROW(A_Aufgabendatum))-1))),"")</f>
        <v/>
      </c>
      <c r="U23" s="611" t="str">
        <f>IF(U$5&gt;0,(INDEX(A_Aufgaben,(U$5-Arbeitszeit!$A$6+1),(2*(ROW()-ROW(A_Aufgabendatum))-1))),"")</f>
        <v/>
      </c>
      <c r="V23" s="612" t="str">
        <f>IF(V$5&gt;0,(INDEX(A_Aufgaben,(V$5-Arbeitszeit!$A$6+1),(2*(ROW()-ROW(A_Aufgabendatum))-1))),"")</f>
        <v/>
      </c>
      <c r="W23" s="611" t="str">
        <f>IF(W$5&gt;0,(INDEX(A_Aufgaben,(W$5-Arbeitszeit!$A$6+1),(2*(ROW()-ROW(A_Aufgabendatum))-1))),"")</f>
        <v/>
      </c>
      <c r="X23" s="612" t="str">
        <f>IF(X$5&gt;0,(INDEX(A_Aufgaben,(X$5-Arbeitszeit!$A$6+1),(2*(ROW()-ROW(A_Aufgabendatum))-1))),"")</f>
        <v/>
      </c>
      <c r="Y23" s="611" t="str">
        <f>IF(Y$5&gt;0,(INDEX(A_Aufgaben,(Y$5-Arbeitszeit!$A$6+1),(2*(ROW()-ROW(A_Aufgabendatum))-1))),"")</f>
        <v/>
      </c>
      <c r="Z23" s="612" t="str">
        <f>IF(Z$5&gt;0,(INDEX(A_Aufgaben,(Z$5-Arbeitszeit!$A$6+1),(2*(ROW()-ROW(A_Aufgabendatum))-1))),"")</f>
        <v/>
      </c>
      <c r="AA23" s="611" t="str">
        <f>IF(AA$5&gt;0,(INDEX(A_Aufgaben,(AA$5-Arbeitszeit!$A$6+1),(2*(ROW()-ROW(A_Aufgabendatum))-1))),"")</f>
        <v/>
      </c>
      <c r="AB23" s="612" t="str">
        <f>IF(AB$5&gt;0,(INDEX(A_Aufgaben,(AB$5-Arbeitszeit!$A$6+1),(2*(ROW()-ROW(A_Aufgabendatum))-1))),"")</f>
        <v/>
      </c>
      <c r="AC23" s="611" t="str">
        <f>IF(AC$5&gt;0,(INDEX(A_Aufgaben,(AC$5-Arbeitszeit!$A$6+1),(2*(ROW()-ROW(A_Aufgabendatum))-1))),"")</f>
        <v/>
      </c>
      <c r="AD23" s="612" t="str">
        <f>IF(AD$5&gt;0,(INDEX(A_Aufgaben,(AD$5-Arbeitszeit!$A$6+1),(2*(ROW()-ROW(A_Aufgabendatum))-1))),"")</f>
        <v/>
      </c>
      <c r="AE23" s="611" t="str">
        <f>IF(AE$5&gt;0,(INDEX(A_Aufgaben,(AE$5-Arbeitszeit!$A$6+1),(2*(ROW()-ROW(A_Aufgabendatum))-1))),"")</f>
        <v/>
      </c>
      <c r="AF23" s="612" t="str">
        <f>IF(AF$5&gt;0,(INDEX(A_Aufgaben,(AF$5-Arbeitszeit!$A$6+1),(2*(ROW()-ROW(A_Aufgabendatum))-1))),"")</f>
        <v/>
      </c>
      <c r="AG23" s="611" t="str">
        <f>IF(AG$5&gt;0,(INDEX(A_Aufgaben,(AG$5-Arbeitszeit!$A$6+1),(2*(ROW()-ROW(A_Aufgabendatum))-1))),"")</f>
        <v/>
      </c>
      <c r="AH23" s="620">
        <f t="shared" si="1"/>
        <v>0</v>
      </c>
      <c r="AI23" s="285">
        <f t="shared" si="2"/>
        <v>0</v>
      </c>
    </row>
    <row r="24" spans="1:35">
      <c r="A24">
        <f t="shared" si="3"/>
        <v>0</v>
      </c>
      <c r="B24" s="610" t="str">
        <f>Aufgaben!AQ3</f>
        <v>Aufgabe 16</v>
      </c>
      <c r="C24" s="611">
        <f>IF(C$5&gt;0,(INDEX(A_Aufgaben,(C$5-Arbeitszeit!$A$6+1),(2*(ROW()-ROW(A_Aufgabendatum))-1))),"")</f>
        <v>0</v>
      </c>
      <c r="D24" s="612" t="str">
        <f>IF(D$5&gt;0,(INDEX(A_Aufgaben,(D$5-Arbeitszeit!$A$6+1),(2*(ROW()-ROW(A_Aufgabendatum))-1))),"")</f>
        <v/>
      </c>
      <c r="E24" s="611" t="str">
        <f>IF(E$5&gt;0,(INDEX(A_Aufgaben,(E$5-Arbeitszeit!$A$6+1),(2*(ROW()-ROW(A_Aufgabendatum))-1))),"")</f>
        <v/>
      </c>
      <c r="F24" s="612" t="str">
        <f>IF(F$5&gt;0,(INDEX(A_Aufgaben,(F$5-Arbeitszeit!$A$6+1),(2*(ROW()-ROW(A_Aufgabendatum))-1))),"")</f>
        <v/>
      </c>
      <c r="G24" s="611" t="str">
        <f>IF(G$5&gt;0,(INDEX(A_Aufgaben,(G$5-Arbeitszeit!$A$6+1),(2*(ROW()-ROW(A_Aufgabendatum))-1))),"")</f>
        <v/>
      </c>
      <c r="H24" s="612" t="str">
        <f>IF(H$5&gt;0,(INDEX(A_Aufgaben,(H$5-Arbeitszeit!$A$6+1),(2*(ROW()-ROW(A_Aufgabendatum))-1))),"")</f>
        <v/>
      </c>
      <c r="I24" s="611" t="str">
        <f>IF(I$5&gt;0,(INDEX(A_Aufgaben,(I$5-Arbeitszeit!$A$6+1),(2*(ROW()-ROW(A_Aufgabendatum))-1))),"")</f>
        <v/>
      </c>
      <c r="J24" s="612" t="str">
        <f>IF(J$5&gt;0,(INDEX(A_Aufgaben,(J$5-Arbeitszeit!$A$6+1),(2*(ROW()-ROW(A_Aufgabendatum))-1))),"")</f>
        <v/>
      </c>
      <c r="K24" s="611" t="str">
        <f>IF(K$5&gt;0,(INDEX(A_Aufgaben,(K$5-Arbeitszeit!$A$6+1),(2*(ROW()-ROW(A_Aufgabendatum))-1))),"")</f>
        <v/>
      </c>
      <c r="L24" s="612" t="str">
        <f>IF(L$5&gt;0,(INDEX(A_Aufgaben,(L$5-Arbeitszeit!$A$6+1),(2*(ROW()-ROW(A_Aufgabendatum))-1))),"")</f>
        <v/>
      </c>
      <c r="M24" s="611" t="str">
        <f>IF(M$5&gt;0,(INDEX(A_Aufgaben,(M$5-Arbeitszeit!$A$6+1),(2*(ROW()-ROW(A_Aufgabendatum))-1))),"")</f>
        <v/>
      </c>
      <c r="N24" s="612" t="str">
        <f>IF(N$5&gt;0,(INDEX(A_Aufgaben,(N$5-Arbeitszeit!$A$6+1),(2*(ROW()-ROW(A_Aufgabendatum))-1))),"")</f>
        <v/>
      </c>
      <c r="O24" s="611" t="str">
        <f>IF(O$5&gt;0,(INDEX(A_Aufgaben,(O$5-Arbeitszeit!$A$6+1),(2*(ROW()-ROW(A_Aufgabendatum))-1))),"")</f>
        <v/>
      </c>
      <c r="P24" s="612" t="str">
        <f>IF(P$5&gt;0,(INDEX(A_Aufgaben,(P$5-Arbeitszeit!$A$6+1),(2*(ROW()-ROW(A_Aufgabendatum))-1))),"")</f>
        <v/>
      </c>
      <c r="Q24" s="611" t="str">
        <f>IF(Q$5&gt;0,(INDEX(A_Aufgaben,(Q$5-Arbeitszeit!$A$6+1),(2*(ROW()-ROW(A_Aufgabendatum))-1))),"")</f>
        <v/>
      </c>
      <c r="R24" s="612" t="str">
        <f>IF(R$5&gt;0,(INDEX(A_Aufgaben,(R$5-Arbeitszeit!$A$6+1),(2*(ROW()-ROW(A_Aufgabendatum))-1))),"")</f>
        <v/>
      </c>
      <c r="S24" s="611" t="str">
        <f>IF(S$5&gt;0,(INDEX(A_Aufgaben,(S$5-Arbeitszeit!$A$6+1),(2*(ROW()-ROW(A_Aufgabendatum))-1))),"")</f>
        <v/>
      </c>
      <c r="T24" s="612" t="str">
        <f>IF(T$5&gt;0,(INDEX(A_Aufgaben,(T$5-Arbeitszeit!$A$6+1),(2*(ROW()-ROW(A_Aufgabendatum))-1))),"")</f>
        <v/>
      </c>
      <c r="U24" s="611" t="str">
        <f>IF(U$5&gt;0,(INDEX(A_Aufgaben,(U$5-Arbeitszeit!$A$6+1),(2*(ROW()-ROW(A_Aufgabendatum))-1))),"")</f>
        <v/>
      </c>
      <c r="V24" s="612" t="str">
        <f>IF(V$5&gt;0,(INDEX(A_Aufgaben,(V$5-Arbeitszeit!$A$6+1),(2*(ROW()-ROW(A_Aufgabendatum))-1))),"")</f>
        <v/>
      </c>
      <c r="W24" s="611" t="str">
        <f>IF(W$5&gt;0,(INDEX(A_Aufgaben,(W$5-Arbeitszeit!$A$6+1),(2*(ROW()-ROW(A_Aufgabendatum))-1))),"")</f>
        <v/>
      </c>
      <c r="X24" s="612" t="str">
        <f>IF(X$5&gt;0,(INDEX(A_Aufgaben,(X$5-Arbeitszeit!$A$6+1),(2*(ROW()-ROW(A_Aufgabendatum))-1))),"")</f>
        <v/>
      </c>
      <c r="Y24" s="611" t="str">
        <f>IF(Y$5&gt;0,(INDEX(A_Aufgaben,(Y$5-Arbeitszeit!$A$6+1),(2*(ROW()-ROW(A_Aufgabendatum))-1))),"")</f>
        <v/>
      </c>
      <c r="Z24" s="612" t="str">
        <f>IF(Z$5&gt;0,(INDEX(A_Aufgaben,(Z$5-Arbeitszeit!$A$6+1),(2*(ROW()-ROW(A_Aufgabendatum))-1))),"")</f>
        <v/>
      </c>
      <c r="AA24" s="611" t="str">
        <f>IF(AA$5&gt;0,(INDEX(A_Aufgaben,(AA$5-Arbeitszeit!$A$6+1),(2*(ROW()-ROW(A_Aufgabendatum))-1))),"")</f>
        <v/>
      </c>
      <c r="AB24" s="612" t="str">
        <f>IF(AB$5&gt;0,(INDEX(A_Aufgaben,(AB$5-Arbeitszeit!$A$6+1),(2*(ROW()-ROW(A_Aufgabendatum))-1))),"")</f>
        <v/>
      </c>
      <c r="AC24" s="611" t="str">
        <f>IF(AC$5&gt;0,(INDEX(A_Aufgaben,(AC$5-Arbeitszeit!$A$6+1),(2*(ROW()-ROW(A_Aufgabendatum))-1))),"")</f>
        <v/>
      </c>
      <c r="AD24" s="612" t="str">
        <f>IF(AD$5&gt;0,(INDEX(A_Aufgaben,(AD$5-Arbeitszeit!$A$6+1),(2*(ROW()-ROW(A_Aufgabendatum))-1))),"")</f>
        <v/>
      </c>
      <c r="AE24" s="611" t="str">
        <f>IF(AE$5&gt;0,(INDEX(A_Aufgaben,(AE$5-Arbeitszeit!$A$6+1),(2*(ROW()-ROW(A_Aufgabendatum))-1))),"")</f>
        <v/>
      </c>
      <c r="AF24" s="612" t="str">
        <f>IF(AF$5&gt;0,(INDEX(A_Aufgaben,(AF$5-Arbeitszeit!$A$6+1),(2*(ROW()-ROW(A_Aufgabendatum))-1))),"")</f>
        <v/>
      </c>
      <c r="AG24" s="611" t="str">
        <f>IF(AG$5&gt;0,(INDEX(A_Aufgaben,(AG$5-Arbeitszeit!$A$6+1),(2*(ROW()-ROW(A_Aufgabendatum))-1))),"")</f>
        <v/>
      </c>
      <c r="AH24" s="620">
        <f t="shared" si="1"/>
        <v>0</v>
      </c>
      <c r="AI24" s="285">
        <f t="shared" si="2"/>
        <v>0</v>
      </c>
    </row>
    <row r="25" spans="1:35">
      <c r="A25">
        <f t="shared" si="3"/>
        <v>0</v>
      </c>
      <c r="B25" s="610" t="str">
        <f>Aufgaben!AS3</f>
        <v>Aufgabe 17</v>
      </c>
      <c r="C25" s="611">
        <f>IF(C$5&gt;0,(INDEX(A_Aufgaben,(C$5-Arbeitszeit!$A$6+1),(2*(ROW()-ROW(A_Aufgabendatum))-1))),"")</f>
        <v>0</v>
      </c>
      <c r="D25" s="612" t="str">
        <f>IF(D$5&gt;0,(INDEX(A_Aufgaben,(D$5-Arbeitszeit!$A$6+1),(2*(ROW()-ROW(A_Aufgabendatum))-1))),"")</f>
        <v/>
      </c>
      <c r="E25" s="611" t="str">
        <f>IF(E$5&gt;0,(INDEX(A_Aufgaben,(E$5-Arbeitszeit!$A$6+1),(2*(ROW()-ROW(A_Aufgabendatum))-1))),"")</f>
        <v/>
      </c>
      <c r="F25" s="612" t="str">
        <f>IF(F$5&gt;0,(INDEX(A_Aufgaben,(F$5-Arbeitszeit!$A$6+1),(2*(ROW()-ROW(A_Aufgabendatum))-1))),"")</f>
        <v/>
      </c>
      <c r="G25" s="611" t="str">
        <f>IF(G$5&gt;0,(INDEX(A_Aufgaben,(G$5-Arbeitszeit!$A$6+1),(2*(ROW()-ROW(A_Aufgabendatum))-1))),"")</f>
        <v/>
      </c>
      <c r="H25" s="612" t="str">
        <f>IF(H$5&gt;0,(INDEX(A_Aufgaben,(H$5-Arbeitszeit!$A$6+1),(2*(ROW()-ROW(A_Aufgabendatum))-1))),"")</f>
        <v/>
      </c>
      <c r="I25" s="611" t="str">
        <f>IF(I$5&gt;0,(INDEX(A_Aufgaben,(I$5-Arbeitszeit!$A$6+1),(2*(ROW()-ROW(A_Aufgabendatum))-1))),"")</f>
        <v/>
      </c>
      <c r="J25" s="612" t="str">
        <f>IF(J$5&gt;0,(INDEX(A_Aufgaben,(J$5-Arbeitszeit!$A$6+1),(2*(ROW()-ROW(A_Aufgabendatum))-1))),"")</f>
        <v/>
      </c>
      <c r="K25" s="611" t="str">
        <f>IF(K$5&gt;0,(INDEX(A_Aufgaben,(K$5-Arbeitszeit!$A$6+1),(2*(ROW()-ROW(A_Aufgabendatum))-1))),"")</f>
        <v/>
      </c>
      <c r="L25" s="612" t="str">
        <f>IF(L$5&gt;0,(INDEX(A_Aufgaben,(L$5-Arbeitszeit!$A$6+1),(2*(ROW()-ROW(A_Aufgabendatum))-1))),"")</f>
        <v/>
      </c>
      <c r="M25" s="611" t="str">
        <f>IF(M$5&gt;0,(INDEX(A_Aufgaben,(M$5-Arbeitszeit!$A$6+1),(2*(ROW()-ROW(A_Aufgabendatum))-1))),"")</f>
        <v/>
      </c>
      <c r="N25" s="612" t="str">
        <f>IF(N$5&gt;0,(INDEX(A_Aufgaben,(N$5-Arbeitszeit!$A$6+1),(2*(ROW()-ROW(A_Aufgabendatum))-1))),"")</f>
        <v/>
      </c>
      <c r="O25" s="611" t="str">
        <f>IF(O$5&gt;0,(INDEX(A_Aufgaben,(O$5-Arbeitszeit!$A$6+1),(2*(ROW()-ROW(A_Aufgabendatum))-1))),"")</f>
        <v/>
      </c>
      <c r="P25" s="612" t="str">
        <f>IF(P$5&gt;0,(INDEX(A_Aufgaben,(P$5-Arbeitszeit!$A$6+1),(2*(ROW()-ROW(A_Aufgabendatum))-1))),"")</f>
        <v/>
      </c>
      <c r="Q25" s="611" t="str">
        <f>IF(Q$5&gt;0,(INDEX(A_Aufgaben,(Q$5-Arbeitszeit!$A$6+1),(2*(ROW()-ROW(A_Aufgabendatum))-1))),"")</f>
        <v/>
      </c>
      <c r="R25" s="612" t="str">
        <f>IF(R$5&gt;0,(INDEX(A_Aufgaben,(R$5-Arbeitszeit!$A$6+1),(2*(ROW()-ROW(A_Aufgabendatum))-1))),"")</f>
        <v/>
      </c>
      <c r="S25" s="611" t="str">
        <f>IF(S$5&gt;0,(INDEX(A_Aufgaben,(S$5-Arbeitszeit!$A$6+1),(2*(ROW()-ROW(A_Aufgabendatum))-1))),"")</f>
        <v/>
      </c>
      <c r="T25" s="612" t="str">
        <f>IF(T$5&gt;0,(INDEX(A_Aufgaben,(T$5-Arbeitszeit!$A$6+1),(2*(ROW()-ROW(A_Aufgabendatum))-1))),"")</f>
        <v/>
      </c>
      <c r="U25" s="611" t="str">
        <f>IF(U$5&gt;0,(INDEX(A_Aufgaben,(U$5-Arbeitszeit!$A$6+1),(2*(ROW()-ROW(A_Aufgabendatum))-1))),"")</f>
        <v/>
      </c>
      <c r="V25" s="612" t="str">
        <f>IF(V$5&gt;0,(INDEX(A_Aufgaben,(V$5-Arbeitszeit!$A$6+1),(2*(ROW()-ROW(A_Aufgabendatum))-1))),"")</f>
        <v/>
      </c>
      <c r="W25" s="611" t="str">
        <f>IF(W$5&gt;0,(INDEX(A_Aufgaben,(W$5-Arbeitszeit!$A$6+1),(2*(ROW()-ROW(A_Aufgabendatum))-1))),"")</f>
        <v/>
      </c>
      <c r="X25" s="612" t="str">
        <f>IF(X$5&gt;0,(INDEX(A_Aufgaben,(X$5-Arbeitszeit!$A$6+1),(2*(ROW()-ROW(A_Aufgabendatum))-1))),"")</f>
        <v/>
      </c>
      <c r="Y25" s="611" t="str">
        <f>IF(Y$5&gt;0,(INDEX(A_Aufgaben,(Y$5-Arbeitszeit!$A$6+1),(2*(ROW()-ROW(A_Aufgabendatum))-1))),"")</f>
        <v/>
      </c>
      <c r="Z25" s="612" t="str">
        <f>IF(Z$5&gt;0,(INDEX(A_Aufgaben,(Z$5-Arbeitszeit!$A$6+1),(2*(ROW()-ROW(A_Aufgabendatum))-1))),"")</f>
        <v/>
      </c>
      <c r="AA25" s="611" t="str">
        <f>IF(AA$5&gt;0,(INDEX(A_Aufgaben,(AA$5-Arbeitszeit!$A$6+1),(2*(ROW()-ROW(A_Aufgabendatum))-1))),"")</f>
        <v/>
      </c>
      <c r="AB25" s="612" t="str">
        <f>IF(AB$5&gt;0,(INDEX(A_Aufgaben,(AB$5-Arbeitszeit!$A$6+1),(2*(ROW()-ROW(A_Aufgabendatum))-1))),"")</f>
        <v/>
      </c>
      <c r="AC25" s="611" t="str">
        <f>IF(AC$5&gt;0,(INDEX(A_Aufgaben,(AC$5-Arbeitszeit!$A$6+1),(2*(ROW()-ROW(A_Aufgabendatum))-1))),"")</f>
        <v/>
      </c>
      <c r="AD25" s="612" t="str">
        <f>IF(AD$5&gt;0,(INDEX(A_Aufgaben,(AD$5-Arbeitszeit!$A$6+1),(2*(ROW()-ROW(A_Aufgabendatum))-1))),"")</f>
        <v/>
      </c>
      <c r="AE25" s="611" t="str">
        <f>IF(AE$5&gt;0,(INDEX(A_Aufgaben,(AE$5-Arbeitszeit!$A$6+1),(2*(ROW()-ROW(A_Aufgabendatum))-1))),"")</f>
        <v/>
      </c>
      <c r="AF25" s="612" t="str">
        <f>IF(AF$5&gt;0,(INDEX(A_Aufgaben,(AF$5-Arbeitszeit!$A$6+1),(2*(ROW()-ROW(A_Aufgabendatum))-1))),"")</f>
        <v/>
      </c>
      <c r="AG25" s="611" t="str">
        <f>IF(AG$5&gt;0,(INDEX(A_Aufgaben,(AG$5-Arbeitszeit!$A$6+1),(2*(ROW()-ROW(A_Aufgabendatum))-1))),"")</f>
        <v/>
      </c>
      <c r="AH25" s="620">
        <f t="shared" si="1"/>
        <v>0</v>
      </c>
      <c r="AI25" s="285">
        <f t="shared" si="2"/>
        <v>0</v>
      </c>
    </row>
    <row r="26" spans="1:35">
      <c r="A26">
        <f t="shared" si="3"/>
        <v>0</v>
      </c>
      <c r="B26" s="610" t="str">
        <f>Aufgaben!AU3</f>
        <v>Aufgabe 18</v>
      </c>
      <c r="C26" s="611">
        <f>IF(C$5&gt;0,(INDEX(A_Aufgaben,(C$5-Arbeitszeit!$A$6+1),(2*(ROW()-ROW(A_Aufgabendatum))-1))),"")</f>
        <v>0</v>
      </c>
      <c r="D26" s="612" t="str">
        <f>IF(D$5&gt;0,(INDEX(A_Aufgaben,(D$5-Arbeitszeit!$A$6+1),(2*(ROW()-ROW(A_Aufgabendatum))-1))),"")</f>
        <v/>
      </c>
      <c r="E26" s="611" t="str">
        <f>IF(E$5&gt;0,(INDEX(A_Aufgaben,(E$5-Arbeitszeit!$A$6+1),(2*(ROW()-ROW(A_Aufgabendatum))-1))),"")</f>
        <v/>
      </c>
      <c r="F26" s="612" t="str">
        <f>IF(F$5&gt;0,(INDEX(A_Aufgaben,(F$5-Arbeitszeit!$A$6+1),(2*(ROW()-ROW(A_Aufgabendatum))-1))),"")</f>
        <v/>
      </c>
      <c r="G26" s="611" t="str">
        <f>IF(G$5&gt;0,(INDEX(A_Aufgaben,(G$5-Arbeitszeit!$A$6+1),(2*(ROW()-ROW(A_Aufgabendatum))-1))),"")</f>
        <v/>
      </c>
      <c r="H26" s="612" t="str">
        <f>IF(H$5&gt;0,(INDEX(A_Aufgaben,(H$5-Arbeitszeit!$A$6+1),(2*(ROW()-ROW(A_Aufgabendatum))-1))),"")</f>
        <v/>
      </c>
      <c r="I26" s="611" t="str">
        <f>IF(I$5&gt;0,(INDEX(A_Aufgaben,(I$5-Arbeitszeit!$A$6+1),(2*(ROW()-ROW(A_Aufgabendatum))-1))),"")</f>
        <v/>
      </c>
      <c r="J26" s="612" t="str">
        <f>IF(J$5&gt;0,(INDEX(A_Aufgaben,(J$5-Arbeitszeit!$A$6+1),(2*(ROW()-ROW(A_Aufgabendatum))-1))),"")</f>
        <v/>
      </c>
      <c r="K26" s="611" t="str">
        <f>IF(K$5&gt;0,(INDEX(A_Aufgaben,(K$5-Arbeitszeit!$A$6+1),(2*(ROW()-ROW(A_Aufgabendatum))-1))),"")</f>
        <v/>
      </c>
      <c r="L26" s="612" t="str">
        <f>IF(L$5&gt;0,(INDEX(A_Aufgaben,(L$5-Arbeitszeit!$A$6+1),(2*(ROW()-ROW(A_Aufgabendatum))-1))),"")</f>
        <v/>
      </c>
      <c r="M26" s="611" t="str">
        <f>IF(M$5&gt;0,(INDEX(A_Aufgaben,(M$5-Arbeitszeit!$A$6+1),(2*(ROW()-ROW(A_Aufgabendatum))-1))),"")</f>
        <v/>
      </c>
      <c r="N26" s="612" t="str">
        <f>IF(N$5&gt;0,(INDEX(A_Aufgaben,(N$5-Arbeitszeit!$A$6+1),(2*(ROW()-ROW(A_Aufgabendatum))-1))),"")</f>
        <v/>
      </c>
      <c r="O26" s="611" t="str">
        <f>IF(O$5&gt;0,(INDEX(A_Aufgaben,(O$5-Arbeitszeit!$A$6+1),(2*(ROW()-ROW(A_Aufgabendatum))-1))),"")</f>
        <v/>
      </c>
      <c r="P26" s="612" t="str">
        <f>IF(P$5&gt;0,(INDEX(A_Aufgaben,(P$5-Arbeitszeit!$A$6+1),(2*(ROW()-ROW(A_Aufgabendatum))-1))),"")</f>
        <v/>
      </c>
      <c r="Q26" s="611" t="str">
        <f>IF(Q$5&gt;0,(INDEX(A_Aufgaben,(Q$5-Arbeitszeit!$A$6+1),(2*(ROW()-ROW(A_Aufgabendatum))-1))),"")</f>
        <v/>
      </c>
      <c r="R26" s="612" t="str">
        <f>IF(R$5&gt;0,(INDEX(A_Aufgaben,(R$5-Arbeitszeit!$A$6+1),(2*(ROW()-ROW(A_Aufgabendatum))-1))),"")</f>
        <v/>
      </c>
      <c r="S26" s="611" t="str">
        <f>IF(S$5&gt;0,(INDEX(A_Aufgaben,(S$5-Arbeitszeit!$A$6+1),(2*(ROW()-ROW(A_Aufgabendatum))-1))),"")</f>
        <v/>
      </c>
      <c r="T26" s="612" t="str">
        <f>IF(T$5&gt;0,(INDEX(A_Aufgaben,(T$5-Arbeitszeit!$A$6+1),(2*(ROW()-ROW(A_Aufgabendatum))-1))),"")</f>
        <v/>
      </c>
      <c r="U26" s="611" t="str">
        <f>IF(U$5&gt;0,(INDEX(A_Aufgaben,(U$5-Arbeitszeit!$A$6+1),(2*(ROW()-ROW(A_Aufgabendatum))-1))),"")</f>
        <v/>
      </c>
      <c r="V26" s="612" t="str">
        <f>IF(V$5&gt;0,(INDEX(A_Aufgaben,(V$5-Arbeitszeit!$A$6+1),(2*(ROW()-ROW(A_Aufgabendatum))-1))),"")</f>
        <v/>
      </c>
      <c r="W26" s="611" t="str">
        <f>IF(W$5&gt;0,(INDEX(A_Aufgaben,(W$5-Arbeitszeit!$A$6+1),(2*(ROW()-ROW(A_Aufgabendatum))-1))),"")</f>
        <v/>
      </c>
      <c r="X26" s="612" t="str">
        <f>IF(X$5&gt;0,(INDEX(A_Aufgaben,(X$5-Arbeitszeit!$A$6+1),(2*(ROW()-ROW(A_Aufgabendatum))-1))),"")</f>
        <v/>
      </c>
      <c r="Y26" s="611" t="str">
        <f>IF(Y$5&gt;0,(INDEX(A_Aufgaben,(Y$5-Arbeitszeit!$A$6+1),(2*(ROW()-ROW(A_Aufgabendatum))-1))),"")</f>
        <v/>
      </c>
      <c r="Z26" s="612" t="str">
        <f>IF(Z$5&gt;0,(INDEX(A_Aufgaben,(Z$5-Arbeitszeit!$A$6+1),(2*(ROW()-ROW(A_Aufgabendatum))-1))),"")</f>
        <v/>
      </c>
      <c r="AA26" s="611" t="str">
        <f>IF(AA$5&gt;0,(INDEX(A_Aufgaben,(AA$5-Arbeitszeit!$A$6+1),(2*(ROW()-ROW(A_Aufgabendatum))-1))),"")</f>
        <v/>
      </c>
      <c r="AB26" s="612" t="str">
        <f>IF(AB$5&gt;0,(INDEX(A_Aufgaben,(AB$5-Arbeitszeit!$A$6+1),(2*(ROW()-ROW(A_Aufgabendatum))-1))),"")</f>
        <v/>
      </c>
      <c r="AC26" s="611" t="str">
        <f>IF(AC$5&gt;0,(INDEX(A_Aufgaben,(AC$5-Arbeitszeit!$A$6+1),(2*(ROW()-ROW(A_Aufgabendatum))-1))),"")</f>
        <v/>
      </c>
      <c r="AD26" s="612" t="str">
        <f>IF(AD$5&gt;0,(INDEX(A_Aufgaben,(AD$5-Arbeitszeit!$A$6+1),(2*(ROW()-ROW(A_Aufgabendatum))-1))),"")</f>
        <v/>
      </c>
      <c r="AE26" s="611" t="str">
        <f>IF(AE$5&gt;0,(INDEX(A_Aufgaben,(AE$5-Arbeitszeit!$A$6+1),(2*(ROW()-ROW(A_Aufgabendatum))-1))),"")</f>
        <v/>
      </c>
      <c r="AF26" s="612" t="str">
        <f>IF(AF$5&gt;0,(INDEX(A_Aufgaben,(AF$5-Arbeitszeit!$A$6+1),(2*(ROW()-ROW(A_Aufgabendatum))-1))),"")</f>
        <v/>
      </c>
      <c r="AG26" s="611" t="str">
        <f>IF(AG$5&gt;0,(INDEX(A_Aufgaben,(AG$5-Arbeitszeit!$A$6+1),(2*(ROW()-ROW(A_Aufgabendatum))-1))),"")</f>
        <v/>
      </c>
      <c r="AH26" s="620">
        <f t="shared" si="1"/>
        <v>0</v>
      </c>
      <c r="AI26" s="285">
        <f t="shared" si="2"/>
        <v>0</v>
      </c>
    </row>
    <row r="27" spans="1:35">
      <c r="A27">
        <f t="shared" si="3"/>
        <v>0</v>
      </c>
      <c r="B27" s="610" t="str">
        <f>Aufgaben!AW3</f>
        <v>Aufgabe 19</v>
      </c>
      <c r="C27" s="611">
        <f>IF(C$5&gt;0,(INDEX(A_Aufgaben,(C$5-Arbeitszeit!$A$6+1),(2*(ROW()-ROW(A_Aufgabendatum))-1))),"")</f>
        <v>0</v>
      </c>
      <c r="D27" s="612" t="str">
        <f>IF(D$5&gt;0,(INDEX(A_Aufgaben,(D$5-Arbeitszeit!$A$6+1),(2*(ROW()-ROW(A_Aufgabendatum))-1))),"")</f>
        <v/>
      </c>
      <c r="E27" s="611" t="str">
        <f>IF(E$5&gt;0,(INDEX(A_Aufgaben,(E$5-Arbeitszeit!$A$6+1),(2*(ROW()-ROW(A_Aufgabendatum))-1))),"")</f>
        <v/>
      </c>
      <c r="F27" s="612" t="str">
        <f>IF(F$5&gt;0,(INDEX(A_Aufgaben,(F$5-Arbeitszeit!$A$6+1),(2*(ROW()-ROW(A_Aufgabendatum))-1))),"")</f>
        <v/>
      </c>
      <c r="G27" s="611" t="str">
        <f>IF(G$5&gt;0,(INDEX(A_Aufgaben,(G$5-Arbeitszeit!$A$6+1),(2*(ROW()-ROW(A_Aufgabendatum))-1))),"")</f>
        <v/>
      </c>
      <c r="H27" s="612" t="str">
        <f>IF(H$5&gt;0,(INDEX(A_Aufgaben,(H$5-Arbeitszeit!$A$6+1),(2*(ROW()-ROW(A_Aufgabendatum))-1))),"")</f>
        <v/>
      </c>
      <c r="I27" s="611" t="str">
        <f>IF(I$5&gt;0,(INDEX(A_Aufgaben,(I$5-Arbeitszeit!$A$6+1),(2*(ROW()-ROW(A_Aufgabendatum))-1))),"")</f>
        <v/>
      </c>
      <c r="J27" s="612" t="str">
        <f>IF(J$5&gt;0,(INDEX(A_Aufgaben,(J$5-Arbeitszeit!$A$6+1),(2*(ROW()-ROW(A_Aufgabendatum))-1))),"")</f>
        <v/>
      </c>
      <c r="K27" s="611" t="str">
        <f>IF(K$5&gt;0,(INDEX(A_Aufgaben,(K$5-Arbeitszeit!$A$6+1),(2*(ROW()-ROW(A_Aufgabendatum))-1))),"")</f>
        <v/>
      </c>
      <c r="L27" s="612" t="str">
        <f>IF(L$5&gt;0,(INDEX(A_Aufgaben,(L$5-Arbeitszeit!$A$6+1),(2*(ROW()-ROW(A_Aufgabendatum))-1))),"")</f>
        <v/>
      </c>
      <c r="M27" s="611" t="str">
        <f>IF(M$5&gt;0,(INDEX(A_Aufgaben,(M$5-Arbeitszeit!$A$6+1),(2*(ROW()-ROW(A_Aufgabendatum))-1))),"")</f>
        <v/>
      </c>
      <c r="N27" s="612" t="str">
        <f>IF(N$5&gt;0,(INDEX(A_Aufgaben,(N$5-Arbeitszeit!$A$6+1),(2*(ROW()-ROW(A_Aufgabendatum))-1))),"")</f>
        <v/>
      </c>
      <c r="O27" s="611" t="str">
        <f>IF(O$5&gt;0,(INDEX(A_Aufgaben,(O$5-Arbeitszeit!$A$6+1),(2*(ROW()-ROW(A_Aufgabendatum))-1))),"")</f>
        <v/>
      </c>
      <c r="P27" s="612" t="str">
        <f>IF(P$5&gt;0,(INDEX(A_Aufgaben,(P$5-Arbeitszeit!$A$6+1),(2*(ROW()-ROW(A_Aufgabendatum))-1))),"")</f>
        <v/>
      </c>
      <c r="Q27" s="611" t="str">
        <f>IF(Q$5&gt;0,(INDEX(A_Aufgaben,(Q$5-Arbeitszeit!$A$6+1),(2*(ROW()-ROW(A_Aufgabendatum))-1))),"")</f>
        <v/>
      </c>
      <c r="R27" s="612" t="str">
        <f>IF(R$5&gt;0,(INDEX(A_Aufgaben,(R$5-Arbeitszeit!$A$6+1),(2*(ROW()-ROW(A_Aufgabendatum))-1))),"")</f>
        <v/>
      </c>
      <c r="S27" s="611" t="str">
        <f>IF(S$5&gt;0,(INDEX(A_Aufgaben,(S$5-Arbeitszeit!$A$6+1),(2*(ROW()-ROW(A_Aufgabendatum))-1))),"")</f>
        <v/>
      </c>
      <c r="T27" s="612" t="str">
        <f>IF(T$5&gt;0,(INDEX(A_Aufgaben,(T$5-Arbeitszeit!$A$6+1),(2*(ROW()-ROW(A_Aufgabendatum))-1))),"")</f>
        <v/>
      </c>
      <c r="U27" s="611" t="str">
        <f>IF(U$5&gt;0,(INDEX(A_Aufgaben,(U$5-Arbeitszeit!$A$6+1),(2*(ROW()-ROW(A_Aufgabendatum))-1))),"")</f>
        <v/>
      </c>
      <c r="V27" s="612" t="str">
        <f>IF(V$5&gt;0,(INDEX(A_Aufgaben,(V$5-Arbeitszeit!$A$6+1),(2*(ROW()-ROW(A_Aufgabendatum))-1))),"")</f>
        <v/>
      </c>
      <c r="W27" s="611" t="str">
        <f>IF(W$5&gt;0,(INDEX(A_Aufgaben,(W$5-Arbeitszeit!$A$6+1),(2*(ROW()-ROW(A_Aufgabendatum))-1))),"")</f>
        <v/>
      </c>
      <c r="X27" s="612" t="str">
        <f>IF(X$5&gt;0,(INDEX(A_Aufgaben,(X$5-Arbeitszeit!$A$6+1),(2*(ROW()-ROW(A_Aufgabendatum))-1))),"")</f>
        <v/>
      </c>
      <c r="Y27" s="611" t="str">
        <f>IF(Y$5&gt;0,(INDEX(A_Aufgaben,(Y$5-Arbeitszeit!$A$6+1),(2*(ROW()-ROW(A_Aufgabendatum))-1))),"")</f>
        <v/>
      </c>
      <c r="Z27" s="612" t="str">
        <f>IF(Z$5&gt;0,(INDEX(A_Aufgaben,(Z$5-Arbeitszeit!$A$6+1),(2*(ROW()-ROW(A_Aufgabendatum))-1))),"")</f>
        <v/>
      </c>
      <c r="AA27" s="611" t="str">
        <f>IF(AA$5&gt;0,(INDEX(A_Aufgaben,(AA$5-Arbeitszeit!$A$6+1),(2*(ROW()-ROW(A_Aufgabendatum))-1))),"")</f>
        <v/>
      </c>
      <c r="AB27" s="612" t="str">
        <f>IF(AB$5&gt;0,(INDEX(A_Aufgaben,(AB$5-Arbeitszeit!$A$6+1),(2*(ROW()-ROW(A_Aufgabendatum))-1))),"")</f>
        <v/>
      </c>
      <c r="AC27" s="611" t="str">
        <f>IF(AC$5&gt;0,(INDEX(A_Aufgaben,(AC$5-Arbeitszeit!$A$6+1),(2*(ROW()-ROW(A_Aufgabendatum))-1))),"")</f>
        <v/>
      </c>
      <c r="AD27" s="612" t="str">
        <f>IF(AD$5&gt;0,(INDEX(A_Aufgaben,(AD$5-Arbeitszeit!$A$6+1),(2*(ROW()-ROW(A_Aufgabendatum))-1))),"")</f>
        <v/>
      </c>
      <c r="AE27" s="611" t="str">
        <f>IF(AE$5&gt;0,(INDEX(A_Aufgaben,(AE$5-Arbeitszeit!$A$6+1),(2*(ROW()-ROW(A_Aufgabendatum))-1))),"")</f>
        <v/>
      </c>
      <c r="AF27" s="612" t="str">
        <f>IF(AF$5&gt;0,(INDEX(A_Aufgaben,(AF$5-Arbeitszeit!$A$6+1),(2*(ROW()-ROW(A_Aufgabendatum))-1))),"")</f>
        <v/>
      </c>
      <c r="AG27" s="611" t="str">
        <f>IF(AG$5&gt;0,(INDEX(A_Aufgaben,(AG$5-Arbeitszeit!$A$6+1),(2*(ROW()-ROW(A_Aufgabendatum))-1))),"")</f>
        <v/>
      </c>
      <c r="AH27" s="620">
        <f t="shared" si="1"/>
        <v>0</v>
      </c>
      <c r="AI27" s="285">
        <f t="shared" si="2"/>
        <v>0</v>
      </c>
    </row>
    <row r="28" spans="1:35" ht="5.0999999999999996" customHeight="1">
      <c r="D28" s="622"/>
      <c r="F28" s="622"/>
      <c r="H28" s="622"/>
      <c r="J28" s="622"/>
      <c r="L28" s="622"/>
      <c r="N28" s="622"/>
      <c r="P28" s="622"/>
      <c r="R28" s="622"/>
      <c r="T28" s="622"/>
      <c r="V28" s="622"/>
      <c r="X28" s="622"/>
      <c r="Z28" s="622"/>
      <c r="AB28" s="622"/>
      <c r="AD28" s="622"/>
      <c r="AF28" s="622"/>
      <c r="AH28" s="623"/>
    </row>
    <row r="29" spans="1:35">
      <c r="B29" s="641" t="s">
        <v>88</v>
      </c>
      <c r="C29" s="614">
        <f>SUM(C6:C28)</f>
        <v>0</v>
      </c>
      <c r="D29" s="615">
        <f t="shared" ref="D29:AH29" si="4">SUM(D6:D28)</f>
        <v>0</v>
      </c>
      <c r="E29" s="614">
        <f t="shared" si="4"/>
        <v>0</v>
      </c>
      <c r="F29" s="615">
        <f t="shared" si="4"/>
        <v>0</v>
      </c>
      <c r="G29" s="614">
        <f t="shared" si="4"/>
        <v>0</v>
      </c>
      <c r="H29" s="615">
        <f t="shared" si="4"/>
        <v>0</v>
      </c>
      <c r="I29" s="614">
        <f t="shared" si="4"/>
        <v>0</v>
      </c>
      <c r="J29" s="615">
        <f t="shared" si="4"/>
        <v>0</v>
      </c>
      <c r="K29" s="614">
        <f t="shared" si="4"/>
        <v>0</v>
      </c>
      <c r="L29" s="615">
        <f t="shared" si="4"/>
        <v>0</v>
      </c>
      <c r="M29" s="614">
        <f t="shared" si="4"/>
        <v>0</v>
      </c>
      <c r="N29" s="615">
        <f t="shared" si="4"/>
        <v>0</v>
      </c>
      <c r="O29" s="614">
        <f t="shared" si="4"/>
        <v>0</v>
      </c>
      <c r="P29" s="615">
        <f t="shared" si="4"/>
        <v>0</v>
      </c>
      <c r="Q29" s="621">
        <f t="shared" si="4"/>
        <v>0</v>
      </c>
      <c r="R29" s="615">
        <f t="shared" si="4"/>
        <v>0</v>
      </c>
      <c r="S29" s="614">
        <f t="shared" si="4"/>
        <v>0</v>
      </c>
      <c r="T29" s="615">
        <f t="shared" si="4"/>
        <v>0</v>
      </c>
      <c r="U29" s="614">
        <f t="shared" si="4"/>
        <v>0</v>
      </c>
      <c r="V29" s="615">
        <f t="shared" si="4"/>
        <v>0</v>
      </c>
      <c r="W29" s="614">
        <f t="shared" si="4"/>
        <v>0</v>
      </c>
      <c r="X29" s="615">
        <f t="shared" si="4"/>
        <v>0</v>
      </c>
      <c r="Y29" s="614">
        <f t="shared" si="4"/>
        <v>0</v>
      </c>
      <c r="Z29" s="615">
        <f t="shared" si="4"/>
        <v>0</v>
      </c>
      <c r="AA29" s="614">
        <f t="shared" si="4"/>
        <v>0</v>
      </c>
      <c r="AB29" s="615">
        <f t="shared" si="4"/>
        <v>0</v>
      </c>
      <c r="AC29" s="614">
        <f t="shared" si="4"/>
        <v>0</v>
      </c>
      <c r="AD29" s="615">
        <f t="shared" si="4"/>
        <v>0</v>
      </c>
      <c r="AE29" s="614">
        <f t="shared" si="4"/>
        <v>0</v>
      </c>
      <c r="AF29" s="615">
        <f t="shared" si="4"/>
        <v>0</v>
      </c>
      <c r="AG29" s="614">
        <f t="shared" si="4"/>
        <v>0</v>
      </c>
      <c r="AH29" s="642">
        <f t="shared" si="4"/>
        <v>0</v>
      </c>
      <c r="AI29" s="675"/>
    </row>
    <row r="30" spans="1:35">
      <c r="C30" s="643" t="str">
        <f>IF(C29&gt;0,1,"")</f>
        <v/>
      </c>
      <c r="D30" s="643" t="str">
        <f t="shared" ref="D30:AG30" si="5">IF(D29&gt;0,1,"")</f>
        <v/>
      </c>
      <c r="E30" s="643" t="str">
        <f t="shared" si="5"/>
        <v/>
      </c>
      <c r="F30" s="643" t="str">
        <f t="shared" si="5"/>
        <v/>
      </c>
      <c r="G30" s="643" t="str">
        <f t="shared" si="5"/>
        <v/>
      </c>
      <c r="H30" s="643" t="str">
        <f t="shared" si="5"/>
        <v/>
      </c>
      <c r="I30" s="643" t="str">
        <f t="shared" si="5"/>
        <v/>
      </c>
      <c r="J30" s="643" t="str">
        <f t="shared" si="5"/>
        <v/>
      </c>
      <c r="K30" s="643" t="str">
        <f t="shared" si="5"/>
        <v/>
      </c>
      <c r="L30" s="643" t="str">
        <f t="shared" si="5"/>
        <v/>
      </c>
      <c r="M30" s="643" t="str">
        <f t="shared" si="5"/>
        <v/>
      </c>
      <c r="N30" s="643" t="str">
        <f t="shared" si="5"/>
        <v/>
      </c>
      <c r="O30" s="643" t="str">
        <f t="shared" si="5"/>
        <v/>
      </c>
      <c r="P30" s="643" t="str">
        <f t="shared" si="5"/>
        <v/>
      </c>
      <c r="Q30" s="643" t="str">
        <f t="shared" si="5"/>
        <v/>
      </c>
      <c r="R30" s="643" t="str">
        <f t="shared" si="5"/>
        <v/>
      </c>
      <c r="S30" s="643" t="str">
        <f t="shared" si="5"/>
        <v/>
      </c>
      <c r="T30" s="643" t="str">
        <f t="shared" si="5"/>
        <v/>
      </c>
      <c r="U30" s="643" t="str">
        <f t="shared" si="5"/>
        <v/>
      </c>
      <c r="V30" s="643" t="str">
        <f t="shared" si="5"/>
        <v/>
      </c>
      <c r="W30" s="643" t="str">
        <f t="shared" si="5"/>
        <v/>
      </c>
      <c r="X30" s="643" t="str">
        <f t="shared" si="5"/>
        <v/>
      </c>
      <c r="Y30" s="643" t="str">
        <f t="shared" si="5"/>
        <v/>
      </c>
      <c r="Z30" s="643" t="str">
        <f t="shared" si="5"/>
        <v/>
      </c>
      <c r="AA30" s="643" t="str">
        <f t="shared" si="5"/>
        <v/>
      </c>
      <c r="AB30" s="643" t="str">
        <f t="shared" si="5"/>
        <v/>
      </c>
      <c r="AC30" s="643" t="str">
        <f t="shared" si="5"/>
        <v/>
      </c>
      <c r="AD30" s="643" t="str">
        <f t="shared" si="5"/>
        <v/>
      </c>
      <c r="AE30" s="643" t="str">
        <f t="shared" si="5"/>
        <v/>
      </c>
      <c r="AF30" s="643" t="str">
        <f t="shared" si="5"/>
        <v/>
      </c>
      <c r="AG30" s="643" t="str">
        <f t="shared" si="5"/>
        <v/>
      </c>
      <c r="AH30" s="624">
        <f>SUM(C30:AG30)</f>
        <v>0</v>
      </c>
      <c r="AI30" s="676"/>
    </row>
    <row r="31" spans="1:35">
      <c r="B31" s="644" t="s">
        <v>208</v>
      </c>
      <c r="C31" s="358"/>
    </row>
    <row r="32" spans="1:35" ht="5.0999999999999996" customHeight="1">
      <c r="C32" s="643">
        <f>C3</f>
        <v>41304</v>
      </c>
      <c r="D32" s="358"/>
    </row>
    <row r="33" spans="1:36" hidden="1">
      <c r="B33" s="617"/>
      <c r="C33" s="618"/>
    </row>
    <row r="34" spans="1:36" hidden="1" outlineLevel="1">
      <c r="B34" s="639"/>
      <c r="C34" s="639">
        <f>IF(A_Monatsende&lt;=A_Aufgabenende,A_Monatsende,0)</f>
        <v>0</v>
      </c>
      <c r="D34" s="639">
        <f t="shared" ref="D34:AG34" si="6">IF(AND(C34&gt;0,C34+1&lt;=A_Aufgabenende),C34+1,0)</f>
        <v>0</v>
      </c>
      <c r="E34" s="639">
        <f t="shared" si="6"/>
        <v>0</v>
      </c>
      <c r="F34" s="639">
        <f t="shared" si="6"/>
        <v>0</v>
      </c>
      <c r="G34" s="639">
        <f t="shared" si="6"/>
        <v>0</v>
      </c>
      <c r="H34" s="639">
        <f t="shared" si="6"/>
        <v>0</v>
      </c>
      <c r="I34" s="639">
        <f t="shared" si="6"/>
        <v>0</v>
      </c>
      <c r="J34" s="639">
        <f t="shared" si="6"/>
        <v>0</v>
      </c>
      <c r="K34" s="639">
        <f t="shared" si="6"/>
        <v>0</v>
      </c>
      <c r="L34" s="639">
        <f t="shared" si="6"/>
        <v>0</v>
      </c>
      <c r="M34" s="639">
        <f t="shared" si="6"/>
        <v>0</v>
      </c>
      <c r="N34" s="639">
        <f t="shared" si="6"/>
        <v>0</v>
      </c>
      <c r="O34" s="639">
        <f t="shared" si="6"/>
        <v>0</v>
      </c>
      <c r="P34" s="639">
        <f t="shared" si="6"/>
        <v>0</v>
      </c>
      <c r="Q34" s="639">
        <f t="shared" si="6"/>
        <v>0</v>
      </c>
      <c r="R34" s="639">
        <f t="shared" si="6"/>
        <v>0</v>
      </c>
      <c r="S34" s="639">
        <f t="shared" si="6"/>
        <v>0</v>
      </c>
      <c r="T34" s="639">
        <f t="shared" si="6"/>
        <v>0</v>
      </c>
      <c r="U34" s="639">
        <f t="shared" si="6"/>
        <v>0</v>
      </c>
      <c r="V34" s="639">
        <f t="shared" si="6"/>
        <v>0</v>
      </c>
      <c r="W34" s="639">
        <f t="shared" si="6"/>
        <v>0</v>
      </c>
      <c r="X34" s="639">
        <f t="shared" si="6"/>
        <v>0</v>
      </c>
      <c r="Y34" s="639">
        <f t="shared" si="6"/>
        <v>0</v>
      </c>
      <c r="Z34" s="639">
        <f t="shared" si="6"/>
        <v>0</v>
      </c>
      <c r="AA34" s="639">
        <f t="shared" si="6"/>
        <v>0</v>
      </c>
      <c r="AB34" s="639">
        <f t="shared" si="6"/>
        <v>0</v>
      </c>
      <c r="AC34" s="639">
        <f t="shared" si="6"/>
        <v>0</v>
      </c>
      <c r="AD34" s="639">
        <f t="shared" si="6"/>
        <v>0</v>
      </c>
      <c r="AE34" s="639">
        <f t="shared" si="6"/>
        <v>0</v>
      </c>
      <c r="AF34" s="639">
        <f t="shared" si="6"/>
        <v>0</v>
      </c>
      <c r="AG34" s="639">
        <f t="shared" si="6"/>
        <v>0</v>
      </c>
      <c r="AH34" s="640" t="s">
        <v>89</v>
      </c>
      <c r="AJ34" s="645" t="s">
        <v>78</v>
      </c>
    </row>
    <row r="35" spans="1:36" hidden="1" outlineLevel="1">
      <c r="A35">
        <f>A6</f>
        <v>0</v>
      </c>
      <c r="B35" s="610" t="str">
        <f>B6</f>
        <v>Urlaub</v>
      </c>
      <c r="C35" s="613" t="str">
        <f>IF(C$34&gt;0,(INDEX(A_Aufgaben,(C$34-Arbeitszeit!$A$6+1),(2*(ROW()-ROW(A_Endedatum))-1))),"")</f>
        <v/>
      </c>
      <c r="D35" s="612" t="str">
        <f>IF(D$34&gt;0,(INDEX(A_Aufgaben,(D$34-Arbeitszeit!$A$6+1),(2*(ROW()-ROW(A_Endedatum))-1))),"")</f>
        <v/>
      </c>
      <c r="E35" s="611" t="str">
        <f>IF(E$34&gt;0,(INDEX(A_Aufgaben,(E$34-Arbeitszeit!$A$6+1),(2*(ROW()-ROW(A_Endedatum))-1))),"")</f>
        <v/>
      </c>
      <c r="F35" s="612" t="str">
        <f>IF(F$34&gt;0,(INDEX(A_Aufgaben,(F$34-Arbeitszeit!$A$6+1),(2*(ROW()-ROW(A_Endedatum))-1))),"")</f>
        <v/>
      </c>
      <c r="G35" s="611" t="str">
        <f>IF(G$34&gt;0,(INDEX(A_Aufgaben,(G$34-Arbeitszeit!$A$6+1),(2*(ROW()-ROW(A_Endedatum))-1))),"")</f>
        <v/>
      </c>
      <c r="H35" s="612" t="str">
        <f>IF(H$34&gt;0,(INDEX(A_Aufgaben,(H$34-Arbeitszeit!$A$6+1),(2*(ROW()-ROW(A_Endedatum))-1))),"")</f>
        <v/>
      </c>
      <c r="I35" s="611" t="str">
        <f>IF(I$34&gt;0,(INDEX(A_Aufgaben,(I$34-Arbeitszeit!$A$6+1),(2*(ROW()-ROW(A_Endedatum))-1))),"")</f>
        <v/>
      </c>
      <c r="J35" s="612" t="str">
        <f>IF(J$34&gt;0,(INDEX(A_Aufgaben,(J$34-Arbeitszeit!$A$6+1),(2*(ROW()-ROW(A_Endedatum))-1))),"")</f>
        <v/>
      </c>
      <c r="K35" s="611" t="str">
        <f>IF(K$34&gt;0,(INDEX(A_Aufgaben,(K$34-Arbeitszeit!$A$6+1),(2*(ROW()-ROW(A_Endedatum))-1))),"")</f>
        <v/>
      </c>
      <c r="L35" s="612" t="str">
        <f>IF(L$34&gt;0,(INDEX(A_Aufgaben,(L$34-Arbeitszeit!$A$6+1),(2*(ROW()-ROW(A_Endedatum))-1))),"")</f>
        <v/>
      </c>
      <c r="M35" s="611" t="str">
        <f>IF(M$34&gt;0,(INDEX(A_Aufgaben,(M$34-Arbeitszeit!$A$6+1),(2*(ROW()-ROW(A_Endedatum))-1))),"")</f>
        <v/>
      </c>
      <c r="N35" s="612" t="str">
        <f>IF(N$34&gt;0,(INDEX(A_Aufgaben,(N$34-Arbeitszeit!$A$6+1),(2*(ROW()-ROW(A_Endedatum))-1))),"")</f>
        <v/>
      </c>
      <c r="O35" s="611" t="str">
        <f>IF(O$34&gt;0,(INDEX(A_Aufgaben,(O$34-Arbeitszeit!$A$6+1),(2*(ROW()-ROW(A_Endedatum))-1))),"")</f>
        <v/>
      </c>
      <c r="P35" s="612" t="str">
        <f>IF(P$34&gt;0,(INDEX(A_Aufgaben,(P$34-Arbeitszeit!$A$6+1),(2*(ROW()-ROW(A_Endedatum))-1))),"")</f>
        <v/>
      </c>
      <c r="Q35" s="611" t="str">
        <f>IF(Q$34&gt;0,(INDEX(A_Aufgaben,(Q$34-Arbeitszeit!$A$6+1),(2*(ROW()-ROW(A_Endedatum))-1))),"")</f>
        <v/>
      </c>
      <c r="R35" s="612" t="str">
        <f>IF(R$34&gt;0,(INDEX(A_Aufgaben,(R$34-Arbeitszeit!$A$6+1),(2*(ROW()-ROW(A_Endedatum))-1))),"")</f>
        <v/>
      </c>
      <c r="S35" s="611" t="str">
        <f>IF(S$34&gt;0,(INDEX(A_Aufgaben,(S$34-Arbeitszeit!$A$6+1),(2*(ROW()-ROW(A_Endedatum))-1))),"")</f>
        <v/>
      </c>
      <c r="T35" s="612" t="str">
        <f>IF(T$34&gt;0,(INDEX(A_Aufgaben,(T$34-Arbeitszeit!$A$6+1),(2*(ROW()-ROW(A_Endedatum))-1))),"")</f>
        <v/>
      </c>
      <c r="U35" s="611" t="str">
        <f>IF(U$34&gt;0,(INDEX(A_Aufgaben,(U$34-Arbeitszeit!$A$6+1),(2*(ROW()-ROW(A_Endedatum))-1))),"")</f>
        <v/>
      </c>
      <c r="V35" s="612" t="str">
        <f>IF(V$34&gt;0,(INDEX(A_Aufgaben,(V$34-Arbeitszeit!$A$6+1),(2*(ROW()-ROW(A_Endedatum))-1))),"")</f>
        <v/>
      </c>
      <c r="W35" s="611" t="str">
        <f>IF(W$34&gt;0,(INDEX(A_Aufgaben,(W$34-Arbeitszeit!$A$6+1),(2*(ROW()-ROW(A_Endedatum))-1))),"")</f>
        <v/>
      </c>
      <c r="X35" s="612" t="str">
        <f>IF(X$34&gt;0,(INDEX(A_Aufgaben,(X$34-Arbeitszeit!$A$6+1),(2*(ROW()-ROW(A_Endedatum))-1))),"")</f>
        <v/>
      </c>
      <c r="Y35" s="611" t="str">
        <f>IF(Y$34&gt;0,(INDEX(A_Aufgaben,(Y$34-Arbeitszeit!$A$6+1),(2*(ROW()-ROW(A_Endedatum))-1))),"")</f>
        <v/>
      </c>
      <c r="Z35" s="612" t="str">
        <f>IF(Z$34&gt;0,(INDEX(A_Aufgaben,(Z$34-Arbeitszeit!$A$6+1),(2*(ROW()-ROW(A_Endedatum))-1))),"")</f>
        <v/>
      </c>
      <c r="AA35" s="611" t="str">
        <f>IF(AA$34&gt;0,(INDEX(A_Aufgaben,(AA$34-Arbeitszeit!$A$6+1),(2*(ROW()-ROW(A_Endedatum))-1))),"")</f>
        <v/>
      </c>
      <c r="AB35" s="612" t="str">
        <f>IF(AB$34&gt;0,(INDEX(A_Aufgaben,(AB$34-Arbeitszeit!$A$6+1),(2*(ROW()-ROW(A_Endedatum))-1))),"")</f>
        <v/>
      </c>
      <c r="AC35" s="611" t="str">
        <f>IF(AC$34&gt;0,(INDEX(A_Aufgaben,(AC$34-Arbeitszeit!$A$6+1),(2*(ROW()-ROW(A_Endedatum))-1))),"")</f>
        <v/>
      </c>
      <c r="AD35" s="612" t="str">
        <f>IF(AD$34&gt;0,(INDEX(A_Aufgaben,(AD$34-Arbeitszeit!$A$6+1),(2*(ROW()-ROW(A_Endedatum))-1))),"")</f>
        <v/>
      </c>
      <c r="AE35" s="611" t="str">
        <f>IF(AE$34&gt;0,(INDEX(A_Aufgaben,(AE$34-Arbeitszeit!$A$6+1),(2*(ROW()-ROW(A_Endedatum))-1))),"")</f>
        <v/>
      </c>
      <c r="AF35" s="612" t="str">
        <f>IF(AF$34&gt;0,(INDEX(A_Aufgaben,(AF$34-Arbeitszeit!$A$6+1),(2*(ROW()-ROW(A_Endedatum))-1))),"")</f>
        <v/>
      </c>
      <c r="AG35" s="611" t="str">
        <f>IF(AG$34&gt;0,(INDEX(A_Aufgaben,(AG$34-Arbeitszeit!$A$6+1),(2*(ROW()-ROW(A_Endedatum))-1))),"")</f>
        <v/>
      </c>
      <c r="AH35" s="620">
        <f t="shared" ref="AH35:AH56" si="7">SUM(C35:AG35)</f>
        <v>0</v>
      </c>
      <c r="AI35" s="285">
        <f t="shared" ref="AI35:AI56" si="8">COUNTIF(C35:AG35,"&gt;0")</f>
        <v>0</v>
      </c>
      <c r="AJ35" s="646">
        <f>AH6+AH35</f>
        <v>0</v>
      </c>
    </row>
    <row r="36" spans="1:36" hidden="1" outlineLevel="1">
      <c r="A36">
        <f t="shared" ref="A36:A56" si="9">A7</f>
        <v>0</v>
      </c>
      <c r="B36" s="610" t="str">
        <f t="shared" ref="B36:B56" si="10">B7</f>
        <v>Krank</v>
      </c>
      <c r="C36" s="611" t="str">
        <f>IF(C$34&gt;0,(INDEX(A_Aufgaben,(C$34-Arbeitszeit!$A$6+1),(2*(ROW()-ROW(A_Endedatum))-1))),"")</f>
        <v/>
      </c>
      <c r="D36" s="612" t="str">
        <f>IF(D$34&gt;0,(INDEX(A_Aufgaben,(D$34-Arbeitszeit!$A$6+1),(2*(ROW()-ROW(A_Endedatum))-1))),"")</f>
        <v/>
      </c>
      <c r="E36" s="611" t="str">
        <f>IF(E$34&gt;0,(INDEX(A_Aufgaben,(E$34-Arbeitszeit!$A$6+1),(2*(ROW()-ROW(A_Endedatum))-1))),"")</f>
        <v/>
      </c>
      <c r="F36" s="612" t="str">
        <f>IF(F$34&gt;0,(INDEX(A_Aufgaben,(F$34-Arbeitszeit!$A$6+1),(2*(ROW()-ROW(A_Endedatum))-1))),"")</f>
        <v/>
      </c>
      <c r="G36" s="611" t="str">
        <f>IF(G$34&gt;0,(INDEX(A_Aufgaben,(G$34-Arbeitszeit!$A$6+1),(2*(ROW()-ROW(A_Endedatum))-1))),"")</f>
        <v/>
      </c>
      <c r="H36" s="612" t="str">
        <f>IF(H$34&gt;0,(INDEX(A_Aufgaben,(H$34-Arbeitszeit!$A$6+1),(2*(ROW()-ROW(A_Endedatum))-1))),"")</f>
        <v/>
      </c>
      <c r="I36" s="611" t="str">
        <f>IF(I$34&gt;0,(INDEX(A_Aufgaben,(I$34-Arbeitszeit!$A$6+1),(2*(ROW()-ROW(A_Endedatum))-1))),"")</f>
        <v/>
      </c>
      <c r="J36" s="612" t="str">
        <f>IF(J$34&gt;0,(INDEX(A_Aufgaben,(J$34-Arbeitszeit!$A$6+1),(2*(ROW()-ROW(A_Endedatum))-1))),"")</f>
        <v/>
      </c>
      <c r="K36" s="611" t="str">
        <f>IF(K$34&gt;0,(INDEX(A_Aufgaben,(K$34-Arbeitszeit!$A$6+1),(2*(ROW()-ROW(A_Endedatum))-1))),"")</f>
        <v/>
      </c>
      <c r="L36" s="612" t="str">
        <f>IF(L$34&gt;0,(INDEX(A_Aufgaben,(L$34-Arbeitszeit!$A$6+1),(2*(ROW()-ROW(A_Endedatum))-1))),"")</f>
        <v/>
      </c>
      <c r="M36" s="611" t="str">
        <f>IF(M$34&gt;0,(INDEX(A_Aufgaben,(M$34-Arbeitszeit!$A$6+1),(2*(ROW()-ROW(A_Endedatum))-1))),"")</f>
        <v/>
      </c>
      <c r="N36" s="612" t="str">
        <f>IF(N$34&gt;0,(INDEX(A_Aufgaben,(N$34-Arbeitszeit!$A$6+1),(2*(ROW()-ROW(A_Endedatum))-1))),"")</f>
        <v/>
      </c>
      <c r="O36" s="611" t="str">
        <f>IF(O$34&gt;0,(INDEX(A_Aufgaben,(O$34-Arbeitszeit!$A$6+1),(2*(ROW()-ROW(A_Endedatum))-1))),"")</f>
        <v/>
      </c>
      <c r="P36" s="612" t="str">
        <f>IF(P$34&gt;0,(INDEX(A_Aufgaben,(P$34-Arbeitszeit!$A$6+1),(2*(ROW()-ROW(A_Endedatum))-1))),"")</f>
        <v/>
      </c>
      <c r="Q36" s="611" t="str">
        <f>IF(Q$34&gt;0,(INDEX(A_Aufgaben,(Q$34-Arbeitszeit!$A$6+1),(2*(ROW()-ROW(A_Endedatum))-1))),"")</f>
        <v/>
      </c>
      <c r="R36" s="612" t="str">
        <f>IF(R$34&gt;0,(INDEX(A_Aufgaben,(R$34-Arbeitszeit!$A$6+1),(2*(ROW()-ROW(A_Endedatum))-1))),"")</f>
        <v/>
      </c>
      <c r="S36" s="611" t="str">
        <f>IF(S$34&gt;0,(INDEX(A_Aufgaben,(S$34-Arbeitszeit!$A$6+1),(2*(ROW()-ROW(A_Endedatum))-1))),"")</f>
        <v/>
      </c>
      <c r="T36" s="612" t="str">
        <f>IF(T$34&gt;0,(INDEX(A_Aufgaben,(T$34-Arbeitszeit!$A$6+1),(2*(ROW()-ROW(A_Endedatum))-1))),"")</f>
        <v/>
      </c>
      <c r="U36" s="611" t="str">
        <f>IF(U$34&gt;0,(INDEX(A_Aufgaben,(U$34-Arbeitszeit!$A$6+1),(2*(ROW()-ROW(A_Endedatum))-1))),"")</f>
        <v/>
      </c>
      <c r="V36" s="612" t="str">
        <f>IF(V$34&gt;0,(INDEX(A_Aufgaben,(V$34-Arbeitszeit!$A$6+1),(2*(ROW()-ROW(A_Endedatum))-1))),"")</f>
        <v/>
      </c>
      <c r="W36" s="611" t="str">
        <f>IF(W$34&gt;0,(INDEX(A_Aufgaben,(W$34-Arbeitszeit!$A$6+1),(2*(ROW()-ROW(A_Endedatum))-1))),"")</f>
        <v/>
      </c>
      <c r="X36" s="612" t="str">
        <f>IF(X$34&gt;0,(INDEX(A_Aufgaben,(X$34-Arbeitszeit!$A$6+1),(2*(ROW()-ROW(A_Endedatum))-1))),"")</f>
        <v/>
      </c>
      <c r="Y36" s="611" t="str">
        <f>IF(Y$34&gt;0,(INDEX(A_Aufgaben,(Y$34-Arbeitszeit!$A$6+1),(2*(ROW()-ROW(A_Endedatum))-1))),"")</f>
        <v/>
      </c>
      <c r="Z36" s="612" t="str">
        <f>IF(Z$34&gt;0,(INDEX(A_Aufgaben,(Z$34-Arbeitszeit!$A$6+1),(2*(ROW()-ROW(A_Endedatum))-1))),"")</f>
        <v/>
      </c>
      <c r="AA36" s="611" t="str">
        <f>IF(AA$34&gt;0,(INDEX(A_Aufgaben,(AA$34-Arbeitszeit!$A$6+1),(2*(ROW()-ROW(A_Endedatum))-1))),"")</f>
        <v/>
      </c>
      <c r="AB36" s="612" t="str">
        <f>IF(AB$34&gt;0,(INDEX(A_Aufgaben,(AB$34-Arbeitszeit!$A$6+1),(2*(ROW()-ROW(A_Endedatum))-1))),"")</f>
        <v/>
      </c>
      <c r="AC36" s="611" t="str">
        <f>IF(AC$34&gt;0,(INDEX(A_Aufgaben,(AC$34-Arbeitszeit!$A$6+1),(2*(ROW()-ROW(A_Endedatum))-1))),"")</f>
        <v/>
      </c>
      <c r="AD36" s="612" t="str">
        <f>IF(AD$34&gt;0,(INDEX(A_Aufgaben,(AD$34-Arbeitszeit!$A$6+1),(2*(ROW()-ROW(A_Endedatum))-1))),"")</f>
        <v/>
      </c>
      <c r="AE36" s="611" t="str">
        <f>IF(AE$34&gt;0,(INDEX(A_Aufgaben,(AE$34-Arbeitszeit!$A$6+1),(2*(ROW()-ROW(A_Endedatum))-1))),"")</f>
        <v/>
      </c>
      <c r="AF36" s="612" t="str">
        <f>IF(AF$34&gt;0,(INDEX(A_Aufgaben,(AF$34-Arbeitszeit!$A$6+1),(2*(ROW()-ROW(A_Endedatum))-1))),"")</f>
        <v/>
      </c>
      <c r="AG36" s="611" t="str">
        <f>IF(AG$34&gt;0,(INDEX(A_Aufgaben,(AG$34-Arbeitszeit!$A$6+1),(2*(ROW()-ROW(A_Endedatum))-1))),"")</f>
        <v/>
      </c>
      <c r="AH36" s="620">
        <f t="shared" si="7"/>
        <v>0</v>
      </c>
      <c r="AI36" s="285">
        <f t="shared" si="8"/>
        <v>0</v>
      </c>
      <c r="AJ36" s="646">
        <f t="shared" ref="AJ36:AJ56" si="11">AH7+AH36</f>
        <v>0</v>
      </c>
    </row>
    <row r="37" spans="1:36" hidden="1" outlineLevel="1">
      <c r="A37">
        <f t="shared" si="9"/>
        <v>0</v>
      </c>
      <c r="B37" s="610" t="str">
        <f t="shared" si="10"/>
        <v>Allgemein</v>
      </c>
      <c r="C37" s="611" t="str">
        <f>IF(C$34&gt;0,(INDEX(A_Aufgaben,(C$34-Arbeitszeit!$A$6+1),(2*(ROW()-ROW(A_Endedatum))-1))),"")</f>
        <v/>
      </c>
      <c r="D37" s="612" t="str">
        <f>IF(D$34&gt;0,(INDEX(A_Aufgaben,(D$34-Arbeitszeit!$A$6+1),(2*(ROW()-ROW(A_Endedatum))-1))),"")</f>
        <v/>
      </c>
      <c r="E37" s="611" t="str">
        <f>IF(E$34&gt;0,(INDEX(A_Aufgaben,(E$34-Arbeitszeit!$A$6+1),(2*(ROW()-ROW(A_Endedatum))-1))),"")</f>
        <v/>
      </c>
      <c r="F37" s="612" t="str">
        <f>IF(F$34&gt;0,(INDEX(A_Aufgaben,(F$34-Arbeitszeit!$A$6+1),(2*(ROW()-ROW(A_Endedatum))-1))),"")</f>
        <v/>
      </c>
      <c r="G37" s="611" t="str">
        <f>IF(G$34&gt;0,(INDEX(A_Aufgaben,(G$34-Arbeitszeit!$A$6+1),(2*(ROW()-ROW(A_Endedatum))-1))),"")</f>
        <v/>
      </c>
      <c r="H37" s="612" t="str">
        <f>IF(H$34&gt;0,(INDEX(A_Aufgaben,(H$34-Arbeitszeit!$A$6+1),(2*(ROW()-ROW(A_Endedatum))-1))),"")</f>
        <v/>
      </c>
      <c r="I37" s="611" t="str">
        <f>IF(I$34&gt;0,(INDEX(A_Aufgaben,(I$34-Arbeitszeit!$A$6+1),(2*(ROW()-ROW(A_Endedatum))-1))),"")</f>
        <v/>
      </c>
      <c r="J37" s="612" t="str">
        <f>IF(J$34&gt;0,(INDEX(A_Aufgaben,(J$34-Arbeitszeit!$A$6+1),(2*(ROW()-ROW(A_Endedatum))-1))),"")</f>
        <v/>
      </c>
      <c r="K37" s="611" t="str">
        <f>IF(K$34&gt;0,(INDEX(A_Aufgaben,(K$34-Arbeitszeit!$A$6+1),(2*(ROW()-ROW(A_Endedatum))-1))),"")</f>
        <v/>
      </c>
      <c r="L37" s="612" t="str">
        <f>IF(L$34&gt;0,(INDEX(A_Aufgaben,(L$34-Arbeitszeit!$A$6+1),(2*(ROW()-ROW(A_Endedatum))-1))),"")</f>
        <v/>
      </c>
      <c r="M37" s="611" t="str">
        <f>IF(M$34&gt;0,(INDEX(A_Aufgaben,(M$34-Arbeitszeit!$A$6+1),(2*(ROW()-ROW(A_Endedatum))-1))),"")</f>
        <v/>
      </c>
      <c r="N37" s="612" t="str">
        <f>IF(N$34&gt;0,(INDEX(A_Aufgaben,(N$34-Arbeitszeit!$A$6+1),(2*(ROW()-ROW(A_Endedatum))-1))),"")</f>
        <v/>
      </c>
      <c r="O37" s="611" t="str">
        <f>IF(O$34&gt;0,(INDEX(A_Aufgaben,(O$34-Arbeitszeit!$A$6+1),(2*(ROW()-ROW(A_Endedatum))-1))),"")</f>
        <v/>
      </c>
      <c r="P37" s="612" t="str">
        <f>IF(P$34&gt;0,(INDEX(A_Aufgaben,(P$34-Arbeitszeit!$A$6+1),(2*(ROW()-ROW(A_Endedatum))-1))),"")</f>
        <v/>
      </c>
      <c r="Q37" s="611" t="str">
        <f>IF(Q$34&gt;0,(INDEX(A_Aufgaben,(Q$34-Arbeitszeit!$A$6+1),(2*(ROW()-ROW(A_Endedatum))-1))),"")</f>
        <v/>
      </c>
      <c r="R37" s="612" t="str">
        <f>IF(R$34&gt;0,(INDEX(A_Aufgaben,(R$34-Arbeitszeit!$A$6+1),(2*(ROW()-ROW(A_Endedatum))-1))),"")</f>
        <v/>
      </c>
      <c r="S37" s="611" t="str">
        <f>IF(S$34&gt;0,(INDEX(A_Aufgaben,(S$34-Arbeitszeit!$A$6+1),(2*(ROW()-ROW(A_Endedatum))-1))),"")</f>
        <v/>
      </c>
      <c r="T37" s="612" t="str">
        <f>IF(T$34&gt;0,(INDEX(A_Aufgaben,(T$34-Arbeitszeit!$A$6+1),(2*(ROW()-ROW(A_Endedatum))-1))),"")</f>
        <v/>
      </c>
      <c r="U37" s="611" t="str">
        <f>IF(U$34&gt;0,(INDEX(A_Aufgaben,(U$34-Arbeitszeit!$A$6+1),(2*(ROW()-ROW(A_Endedatum))-1))),"")</f>
        <v/>
      </c>
      <c r="V37" s="612" t="str">
        <f>IF(V$34&gt;0,(INDEX(A_Aufgaben,(V$34-Arbeitszeit!$A$6+1),(2*(ROW()-ROW(A_Endedatum))-1))),"")</f>
        <v/>
      </c>
      <c r="W37" s="611" t="str">
        <f>IF(W$34&gt;0,(INDEX(A_Aufgaben,(W$34-Arbeitszeit!$A$6+1),(2*(ROW()-ROW(A_Endedatum))-1))),"")</f>
        <v/>
      </c>
      <c r="X37" s="612" t="str">
        <f>IF(X$34&gt;0,(INDEX(A_Aufgaben,(X$34-Arbeitszeit!$A$6+1),(2*(ROW()-ROW(A_Endedatum))-1))),"")</f>
        <v/>
      </c>
      <c r="Y37" s="611" t="str">
        <f>IF(Y$34&gt;0,(INDEX(A_Aufgaben,(Y$34-Arbeitszeit!$A$6+1),(2*(ROW()-ROW(A_Endedatum))-1))),"")</f>
        <v/>
      </c>
      <c r="Z37" s="612" t="str">
        <f>IF(Z$34&gt;0,(INDEX(A_Aufgaben,(Z$34-Arbeitszeit!$A$6+1),(2*(ROW()-ROW(A_Endedatum))-1))),"")</f>
        <v/>
      </c>
      <c r="AA37" s="611" t="str">
        <f>IF(AA$34&gt;0,(INDEX(A_Aufgaben,(AA$34-Arbeitszeit!$A$6+1),(2*(ROW()-ROW(A_Endedatum))-1))),"")</f>
        <v/>
      </c>
      <c r="AB37" s="612" t="str">
        <f>IF(AB$34&gt;0,(INDEX(A_Aufgaben,(AB$34-Arbeitszeit!$A$6+1),(2*(ROW()-ROW(A_Endedatum))-1))),"")</f>
        <v/>
      </c>
      <c r="AC37" s="611" t="str">
        <f>IF(AC$34&gt;0,(INDEX(A_Aufgaben,(AC$34-Arbeitszeit!$A$6+1),(2*(ROW()-ROW(A_Endedatum))-1))),"")</f>
        <v/>
      </c>
      <c r="AD37" s="612" t="str">
        <f>IF(AD$34&gt;0,(INDEX(A_Aufgaben,(AD$34-Arbeitszeit!$A$6+1),(2*(ROW()-ROW(A_Endedatum))-1))),"")</f>
        <v/>
      </c>
      <c r="AE37" s="611" t="str">
        <f>IF(AE$34&gt;0,(INDEX(A_Aufgaben,(AE$34-Arbeitszeit!$A$6+1),(2*(ROW()-ROW(A_Endedatum))-1))),"")</f>
        <v/>
      </c>
      <c r="AF37" s="612" t="str">
        <f>IF(AF$34&gt;0,(INDEX(A_Aufgaben,(AF$34-Arbeitszeit!$A$6+1),(2*(ROW()-ROW(A_Endedatum))-1))),"")</f>
        <v/>
      </c>
      <c r="AG37" s="611" t="str">
        <f>IF(AG$34&gt;0,(INDEX(A_Aufgaben,(AG$34-Arbeitszeit!$A$6+1),(2*(ROW()-ROW(A_Endedatum))-1))),"")</f>
        <v/>
      </c>
      <c r="AH37" s="620">
        <f t="shared" si="7"/>
        <v>0</v>
      </c>
      <c r="AI37" s="285">
        <f t="shared" si="8"/>
        <v>0</v>
      </c>
      <c r="AJ37" s="646">
        <f t="shared" si="11"/>
        <v>0</v>
      </c>
    </row>
    <row r="38" spans="1:36" hidden="1" outlineLevel="1">
      <c r="A38">
        <f t="shared" si="9"/>
        <v>0</v>
      </c>
      <c r="B38" s="610" t="str">
        <f t="shared" si="10"/>
        <v>Aufgabe 01</v>
      </c>
      <c r="C38" s="611" t="str">
        <f>IF(C$34&gt;0,(INDEX(A_Aufgaben,(C$34-Arbeitszeit!$A$6+1),(2*(ROW()-ROW(A_Endedatum))-1))),"")</f>
        <v/>
      </c>
      <c r="D38" s="612" t="str">
        <f>IF(D$34&gt;0,(INDEX(A_Aufgaben,(D$34-Arbeitszeit!$A$6+1),(2*(ROW()-ROW(A_Endedatum))-1))),"")</f>
        <v/>
      </c>
      <c r="E38" s="611" t="str">
        <f>IF(E$34&gt;0,(INDEX(A_Aufgaben,(E$34-Arbeitszeit!$A$6+1),(2*(ROW()-ROW(A_Endedatum))-1))),"")</f>
        <v/>
      </c>
      <c r="F38" s="612" t="str">
        <f>IF(F$34&gt;0,(INDEX(A_Aufgaben,(F$34-Arbeitszeit!$A$6+1),(2*(ROW()-ROW(A_Endedatum))-1))),"")</f>
        <v/>
      </c>
      <c r="G38" s="611" t="str">
        <f>IF(G$34&gt;0,(INDEX(A_Aufgaben,(G$34-Arbeitszeit!$A$6+1),(2*(ROW()-ROW(A_Endedatum))-1))),"")</f>
        <v/>
      </c>
      <c r="H38" s="612" t="str">
        <f>IF(H$34&gt;0,(INDEX(A_Aufgaben,(H$34-Arbeitszeit!$A$6+1),(2*(ROW()-ROW(A_Endedatum))-1))),"")</f>
        <v/>
      </c>
      <c r="I38" s="611" t="str">
        <f>IF(I$34&gt;0,(INDEX(A_Aufgaben,(I$34-Arbeitszeit!$A$6+1),(2*(ROW()-ROW(A_Endedatum))-1))),"")</f>
        <v/>
      </c>
      <c r="J38" s="612" t="str">
        <f>IF(J$34&gt;0,(INDEX(A_Aufgaben,(J$34-Arbeitszeit!$A$6+1),(2*(ROW()-ROW(A_Endedatum))-1))),"")</f>
        <v/>
      </c>
      <c r="K38" s="611" t="str">
        <f>IF(K$34&gt;0,(INDEX(A_Aufgaben,(K$34-Arbeitszeit!$A$6+1),(2*(ROW()-ROW(A_Endedatum))-1))),"")</f>
        <v/>
      </c>
      <c r="L38" s="612" t="str">
        <f>IF(L$34&gt;0,(INDEX(A_Aufgaben,(L$34-Arbeitszeit!$A$6+1),(2*(ROW()-ROW(A_Endedatum))-1))),"")</f>
        <v/>
      </c>
      <c r="M38" s="611" t="str">
        <f>IF(M$34&gt;0,(INDEX(A_Aufgaben,(M$34-Arbeitszeit!$A$6+1),(2*(ROW()-ROW(A_Endedatum))-1))),"")</f>
        <v/>
      </c>
      <c r="N38" s="612" t="str">
        <f>IF(N$34&gt;0,(INDEX(A_Aufgaben,(N$34-Arbeitszeit!$A$6+1),(2*(ROW()-ROW(A_Endedatum))-1))),"")</f>
        <v/>
      </c>
      <c r="O38" s="611" t="str">
        <f>IF(O$34&gt;0,(INDEX(A_Aufgaben,(O$34-Arbeitszeit!$A$6+1),(2*(ROW()-ROW(A_Endedatum))-1))),"")</f>
        <v/>
      </c>
      <c r="P38" s="612" t="str">
        <f>IF(P$34&gt;0,(INDEX(A_Aufgaben,(P$34-Arbeitszeit!$A$6+1),(2*(ROW()-ROW(A_Endedatum))-1))),"")</f>
        <v/>
      </c>
      <c r="Q38" s="611" t="str">
        <f>IF(Q$34&gt;0,(INDEX(A_Aufgaben,(Q$34-Arbeitszeit!$A$6+1),(2*(ROW()-ROW(A_Endedatum))-1))),"")</f>
        <v/>
      </c>
      <c r="R38" s="612" t="str">
        <f>IF(R$34&gt;0,(INDEX(A_Aufgaben,(R$34-Arbeitszeit!$A$6+1),(2*(ROW()-ROW(A_Endedatum))-1))),"")</f>
        <v/>
      </c>
      <c r="S38" s="611" t="str">
        <f>IF(S$34&gt;0,(INDEX(A_Aufgaben,(S$34-Arbeitszeit!$A$6+1),(2*(ROW()-ROW(A_Endedatum))-1))),"")</f>
        <v/>
      </c>
      <c r="T38" s="612" t="str">
        <f>IF(T$34&gt;0,(INDEX(A_Aufgaben,(T$34-Arbeitszeit!$A$6+1),(2*(ROW()-ROW(A_Endedatum))-1))),"")</f>
        <v/>
      </c>
      <c r="U38" s="611" t="str">
        <f>IF(U$34&gt;0,(INDEX(A_Aufgaben,(U$34-Arbeitszeit!$A$6+1),(2*(ROW()-ROW(A_Endedatum))-1))),"")</f>
        <v/>
      </c>
      <c r="V38" s="612" t="str">
        <f>IF(V$34&gt;0,(INDEX(A_Aufgaben,(V$34-Arbeitszeit!$A$6+1),(2*(ROW()-ROW(A_Endedatum))-1))),"")</f>
        <v/>
      </c>
      <c r="W38" s="611" t="str">
        <f>IF(W$34&gt;0,(INDEX(A_Aufgaben,(W$34-Arbeitszeit!$A$6+1),(2*(ROW()-ROW(A_Endedatum))-1))),"")</f>
        <v/>
      </c>
      <c r="X38" s="612" t="str">
        <f>IF(X$34&gt;0,(INDEX(A_Aufgaben,(X$34-Arbeitszeit!$A$6+1),(2*(ROW()-ROW(A_Endedatum))-1))),"")</f>
        <v/>
      </c>
      <c r="Y38" s="611" t="str">
        <f>IF(Y$34&gt;0,(INDEX(A_Aufgaben,(Y$34-Arbeitszeit!$A$6+1),(2*(ROW()-ROW(A_Endedatum))-1))),"")</f>
        <v/>
      </c>
      <c r="Z38" s="612" t="str">
        <f>IF(Z$34&gt;0,(INDEX(A_Aufgaben,(Z$34-Arbeitszeit!$A$6+1),(2*(ROW()-ROW(A_Endedatum))-1))),"")</f>
        <v/>
      </c>
      <c r="AA38" s="611" t="str">
        <f>IF(AA$34&gt;0,(INDEX(A_Aufgaben,(AA$34-Arbeitszeit!$A$6+1),(2*(ROW()-ROW(A_Endedatum))-1))),"")</f>
        <v/>
      </c>
      <c r="AB38" s="612" t="str">
        <f>IF(AB$34&gt;0,(INDEX(A_Aufgaben,(AB$34-Arbeitszeit!$A$6+1),(2*(ROW()-ROW(A_Endedatum))-1))),"")</f>
        <v/>
      </c>
      <c r="AC38" s="611" t="str">
        <f>IF(AC$34&gt;0,(INDEX(A_Aufgaben,(AC$34-Arbeitszeit!$A$6+1),(2*(ROW()-ROW(A_Endedatum))-1))),"")</f>
        <v/>
      </c>
      <c r="AD38" s="612" t="str">
        <f>IF(AD$34&gt;0,(INDEX(A_Aufgaben,(AD$34-Arbeitszeit!$A$6+1),(2*(ROW()-ROW(A_Endedatum))-1))),"")</f>
        <v/>
      </c>
      <c r="AE38" s="611" t="str">
        <f>IF(AE$34&gt;0,(INDEX(A_Aufgaben,(AE$34-Arbeitszeit!$A$6+1),(2*(ROW()-ROW(A_Endedatum))-1))),"")</f>
        <v/>
      </c>
      <c r="AF38" s="612" t="str">
        <f>IF(AF$34&gt;0,(INDEX(A_Aufgaben,(AF$34-Arbeitszeit!$A$6+1),(2*(ROW()-ROW(A_Endedatum))-1))),"")</f>
        <v/>
      </c>
      <c r="AG38" s="611" t="str">
        <f>IF(AG$34&gt;0,(INDEX(A_Aufgaben,(AG$34-Arbeitszeit!$A$6+1),(2*(ROW()-ROW(A_Endedatum))-1))),"")</f>
        <v/>
      </c>
      <c r="AH38" s="620">
        <f t="shared" si="7"/>
        <v>0</v>
      </c>
      <c r="AI38" s="285">
        <f t="shared" si="8"/>
        <v>0</v>
      </c>
      <c r="AJ38" s="646">
        <f t="shared" si="11"/>
        <v>0</v>
      </c>
    </row>
    <row r="39" spans="1:36" hidden="1" outlineLevel="1">
      <c r="A39">
        <f t="shared" si="9"/>
        <v>0</v>
      </c>
      <c r="B39" s="610" t="str">
        <f t="shared" si="10"/>
        <v>Aufgabe 02</v>
      </c>
      <c r="C39" s="611" t="str">
        <f>IF(C$34&gt;0,(INDEX(A_Aufgaben,(C$34-Arbeitszeit!$A$6+1),(2*(ROW()-ROW(A_Endedatum))-1))),"")</f>
        <v/>
      </c>
      <c r="D39" s="612" t="str">
        <f>IF(D$34&gt;0,(INDEX(A_Aufgaben,(D$34-Arbeitszeit!$A$6+1),(2*(ROW()-ROW(A_Endedatum))-1))),"")</f>
        <v/>
      </c>
      <c r="E39" s="611" t="str">
        <f>IF(E$34&gt;0,(INDEX(A_Aufgaben,(E$34-Arbeitszeit!$A$6+1),(2*(ROW()-ROW(A_Endedatum))-1))),"")</f>
        <v/>
      </c>
      <c r="F39" s="612" t="str">
        <f>IF(F$34&gt;0,(INDEX(A_Aufgaben,(F$34-Arbeitszeit!$A$6+1),(2*(ROW()-ROW(A_Endedatum))-1))),"")</f>
        <v/>
      </c>
      <c r="G39" s="611" t="str">
        <f>IF(G$34&gt;0,(INDEX(A_Aufgaben,(G$34-Arbeitszeit!$A$6+1),(2*(ROW()-ROW(A_Endedatum))-1))),"")</f>
        <v/>
      </c>
      <c r="H39" s="612" t="str">
        <f>IF(H$34&gt;0,(INDEX(A_Aufgaben,(H$34-Arbeitszeit!$A$6+1),(2*(ROW()-ROW(A_Endedatum))-1))),"")</f>
        <v/>
      </c>
      <c r="I39" s="611" t="str">
        <f>IF(I$34&gt;0,(INDEX(A_Aufgaben,(I$34-Arbeitszeit!$A$6+1),(2*(ROW()-ROW(A_Endedatum))-1))),"")</f>
        <v/>
      </c>
      <c r="J39" s="612" t="str">
        <f>IF(J$34&gt;0,(INDEX(A_Aufgaben,(J$34-Arbeitszeit!$A$6+1),(2*(ROW()-ROW(A_Endedatum))-1))),"")</f>
        <v/>
      </c>
      <c r="K39" s="611" t="str">
        <f>IF(K$34&gt;0,(INDEX(A_Aufgaben,(K$34-Arbeitszeit!$A$6+1),(2*(ROW()-ROW(A_Endedatum))-1))),"")</f>
        <v/>
      </c>
      <c r="L39" s="612" t="str">
        <f>IF(L$34&gt;0,(INDEX(A_Aufgaben,(L$34-Arbeitszeit!$A$6+1),(2*(ROW()-ROW(A_Endedatum))-1))),"")</f>
        <v/>
      </c>
      <c r="M39" s="611" t="str">
        <f>IF(M$34&gt;0,(INDEX(A_Aufgaben,(M$34-Arbeitszeit!$A$6+1),(2*(ROW()-ROW(A_Endedatum))-1))),"")</f>
        <v/>
      </c>
      <c r="N39" s="612" t="str">
        <f>IF(N$34&gt;0,(INDEX(A_Aufgaben,(N$34-Arbeitszeit!$A$6+1),(2*(ROW()-ROW(A_Endedatum))-1))),"")</f>
        <v/>
      </c>
      <c r="O39" s="611" t="str">
        <f>IF(O$34&gt;0,(INDEX(A_Aufgaben,(O$34-Arbeitszeit!$A$6+1),(2*(ROW()-ROW(A_Endedatum))-1))),"")</f>
        <v/>
      </c>
      <c r="P39" s="612" t="str">
        <f>IF(P$34&gt;0,(INDEX(A_Aufgaben,(P$34-Arbeitszeit!$A$6+1),(2*(ROW()-ROW(A_Endedatum))-1))),"")</f>
        <v/>
      </c>
      <c r="Q39" s="611" t="str">
        <f>IF(Q$34&gt;0,(INDEX(A_Aufgaben,(Q$34-Arbeitszeit!$A$6+1),(2*(ROW()-ROW(A_Endedatum))-1))),"")</f>
        <v/>
      </c>
      <c r="R39" s="612" t="str">
        <f>IF(R$34&gt;0,(INDEX(A_Aufgaben,(R$34-Arbeitszeit!$A$6+1),(2*(ROW()-ROW(A_Endedatum))-1))),"")</f>
        <v/>
      </c>
      <c r="S39" s="611" t="str">
        <f>IF(S$34&gt;0,(INDEX(A_Aufgaben,(S$34-Arbeitszeit!$A$6+1),(2*(ROW()-ROW(A_Endedatum))-1))),"")</f>
        <v/>
      </c>
      <c r="T39" s="612" t="str">
        <f>IF(T$34&gt;0,(INDEX(A_Aufgaben,(T$34-Arbeitszeit!$A$6+1),(2*(ROW()-ROW(A_Endedatum))-1))),"")</f>
        <v/>
      </c>
      <c r="U39" s="611" t="str">
        <f>IF(U$34&gt;0,(INDEX(A_Aufgaben,(U$34-Arbeitszeit!$A$6+1),(2*(ROW()-ROW(A_Endedatum))-1))),"")</f>
        <v/>
      </c>
      <c r="V39" s="612" t="str">
        <f>IF(V$34&gt;0,(INDEX(A_Aufgaben,(V$34-Arbeitszeit!$A$6+1),(2*(ROW()-ROW(A_Endedatum))-1))),"")</f>
        <v/>
      </c>
      <c r="W39" s="611" t="str">
        <f>IF(W$34&gt;0,(INDEX(A_Aufgaben,(W$34-Arbeitszeit!$A$6+1),(2*(ROW()-ROW(A_Endedatum))-1))),"")</f>
        <v/>
      </c>
      <c r="X39" s="612" t="str">
        <f>IF(X$34&gt;0,(INDEX(A_Aufgaben,(X$34-Arbeitszeit!$A$6+1),(2*(ROW()-ROW(A_Endedatum))-1))),"")</f>
        <v/>
      </c>
      <c r="Y39" s="611" t="str">
        <f>IF(Y$34&gt;0,(INDEX(A_Aufgaben,(Y$34-Arbeitszeit!$A$6+1),(2*(ROW()-ROW(A_Endedatum))-1))),"")</f>
        <v/>
      </c>
      <c r="Z39" s="612" t="str">
        <f>IF(Z$34&gt;0,(INDEX(A_Aufgaben,(Z$34-Arbeitszeit!$A$6+1),(2*(ROW()-ROW(A_Endedatum))-1))),"")</f>
        <v/>
      </c>
      <c r="AA39" s="611" t="str">
        <f>IF(AA$34&gt;0,(INDEX(A_Aufgaben,(AA$34-Arbeitszeit!$A$6+1),(2*(ROW()-ROW(A_Endedatum))-1))),"")</f>
        <v/>
      </c>
      <c r="AB39" s="612" t="str">
        <f>IF(AB$34&gt;0,(INDEX(A_Aufgaben,(AB$34-Arbeitszeit!$A$6+1),(2*(ROW()-ROW(A_Endedatum))-1))),"")</f>
        <v/>
      </c>
      <c r="AC39" s="611" t="str">
        <f>IF(AC$34&gt;0,(INDEX(A_Aufgaben,(AC$34-Arbeitszeit!$A$6+1),(2*(ROW()-ROW(A_Endedatum))-1))),"")</f>
        <v/>
      </c>
      <c r="AD39" s="612" t="str">
        <f>IF(AD$34&gt;0,(INDEX(A_Aufgaben,(AD$34-Arbeitszeit!$A$6+1),(2*(ROW()-ROW(A_Endedatum))-1))),"")</f>
        <v/>
      </c>
      <c r="AE39" s="611" t="str">
        <f>IF(AE$34&gt;0,(INDEX(A_Aufgaben,(AE$34-Arbeitszeit!$A$6+1),(2*(ROW()-ROW(A_Endedatum))-1))),"")</f>
        <v/>
      </c>
      <c r="AF39" s="612" t="str">
        <f>IF(AF$34&gt;0,(INDEX(A_Aufgaben,(AF$34-Arbeitszeit!$A$6+1),(2*(ROW()-ROW(A_Endedatum))-1))),"")</f>
        <v/>
      </c>
      <c r="AG39" s="611" t="str">
        <f>IF(AG$34&gt;0,(INDEX(A_Aufgaben,(AG$34-Arbeitszeit!$A$6+1),(2*(ROW()-ROW(A_Endedatum))-1))),"")</f>
        <v/>
      </c>
      <c r="AH39" s="620">
        <f t="shared" si="7"/>
        <v>0</v>
      </c>
      <c r="AI39" s="285">
        <f t="shared" si="8"/>
        <v>0</v>
      </c>
      <c r="AJ39" s="646">
        <f t="shared" si="11"/>
        <v>0</v>
      </c>
    </row>
    <row r="40" spans="1:36" hidden="1" outlineLevel="1">
      <c r="A40">
        <f t="shared" si="9"/>
        <v>0</v>
      </c>
      <c r="B40" s="610" t="str">
        <f t="shared" si="10"/>
        <v>Aufgabe 03</v>
      </c>
      <c r="C40" s="611" t="str">
        <f>IF(C$34&gt;0,(INDEX(A_Aufgaben,(C$34-Arbeitszeit!$A$6+1),(2*(ROW()-ROW(A_Endedatum))-1))),"")</f>
        <v/>
      </c>
      <c r="D40" s="612" t="str">
        <f>IF(D$34&gt;0,(INDEX(A_Aufgaben,(D$34-Arbeitszeit!$A$6+1),(2*(ROW()-ROW(A_Endedatum))-1))),"")</f>
        <v/>
      </c>
      <c r="E40" s="611" t="str">
        <f>IF(E$34&gt;0,(INDEX(A_Aufgaben,(E$34-Arbeitszeit!$A$6+1),(2*(ROW()-ROW(A_Endedatum))-1))),"")</f>
        <v/>
      </c>
      <c r="F40" s="612" t="str">
        <f>IF(F$34&gt;0,(INDEX(A_Aufgaben,(F$34-Arbeitszeit!$A$6+1),(2*(ROW()-ROW(A_Endedatum))-1))),"")</f>
        <v/>
      </c>
      <c r="G40" s="611" t="str">
        <f>IF(G$34&gt;0,(INDEX(A_Aufgaben,(G$34-Arbeitszeit!$A$6+1),(2*(ROW()-ROW(A_Endedatum))-1))),"")</f>
        <v/>
      </c>
      <c r="H40" s="612" t="str">
        <f>IF(H$34&gt;0,(INDEX(A_Aufgaben,(H$34-Arbeitszeit!$A$6+1),(2*(ROW()-ROW(A_Endedatum))-1))),"")</f>
        <v/>
      </c>
      <c r="I40" s="611" t="str">
        <f>IF(I$34&gt;0,(INDEX(A_Aufgaben,(I$34-Arbeitszeit!$A$6+1),(2*(ROW()-ROW(A_Endedatum))-1))),"")</f>
        <v/>
      </c>
      <c r="J40" s="612" t="str">
        <f>IF(J$34&gt;0,(INDEX(A_Aufgaben,(J$34-Arbeitszeit!$A$6+1),(2*(ROW()-ROW(A_Endedatum))-1))),"")</f>
        <v/>
      </c>
      <c r="K40" s="611" t="str">
        <f>IF(K$34&gt;0,(INDEX(A_Aufgaben,(K$34-Arbeitszeit!$A$6+1),(2*(ROW()-ROW(A_Endedatum))-1))),"")</f>
        <v/>
      </c>
      <c r="L40" s="612" t="str">
        <f>IF(L$34&gt;0,(INDEX(A_Aufgaben,(L$34-Arbeitszeit!$A$6+1),(2*(ROW()-ROW(A_Endedatum))-1))),"")</f>
        <v/>
      </c>
      <c r="M40" s="611" t="str">
        <f>IF(M$34&gt;0,(INDEX(A_Aufgaben,(M$34-Arbeitszeit!$A$6+1),(2*(ROW()-ROW(A_Endedatum))-1))),"")</f>
        <v/>
      </c>
      <c r="N40" s="612" t="str">
        <f>IF(N$34&gt;0,(INDEX(A_Aufgaben,(N$34-Arbeitszeit!$A$6+1),(2*(ROW()-ROW(A_Endedatum))-1))),"")</f>
        <v/>
      </c>
      <c r="O40" s="611" t="str">
        <f>IF(O$34&gt;0,(INDEX(A_Aufgaben,(O$34-Arbeitszeit!$A$6+1),(2*(ROW()-ROW(A_Endedatum))-1))),"")</f>
        <v/>
      </c>
      <c r="P40" s="612" t="str">
        <f>IF(P$34&gt;0,(INDEX(A_Aufgaben,(P$34-Arbeitszeit!$A$6+1),(2*(ROW()-ROW(A_Endedatum))-1))),"")</f>
        <v/>
      </c>
      <c r="Q40" s="611" t="str">
        <f>IF(Q$34&gt;0,(INDEX(A_Aufgaben,(Q$34-Arbeitszeit!$A$6+1),(2*(ROW()-ROW(A_Endedatum))-1))),"")</f>
        <v/>
      </c>
      <c r="R40" s="612" t="str">
        <f>IF(R$34&gt;0,(INDEX(A_Aufgaben,(R$34-Arbeitszeit!$A$6+1),(2*(ROW()-ROW(A_Endedatum))-1))),"")</f>
        <v/>
      </c>
      <c r="S40" s="611" t="str">
        <f>IF(S$34&gt;0,(INDEX(A_Aufgaben,(S$34-Arbeitszeit!$A$6+1),(2*(ROW()-ROW(A_Endedatum))-1))),"")</f>
        <v/>
      </c>
      <c r="T40" s="612" t="str">
        <f>IF(T$34&gt;0,(INDEX(A_Aufgaben,(T$34-Arbeitszeit!$A$6+1),(2*(ROW()-ROW(A_Endedatum))-1))),"")</f>
        <v/>
      </c>
      <c r="U40" s="611" t="str">
        <f>IF(U$34&gt;0,(INDEX(A_Aufgaben,(U$34-Arbeitszeit!$A$6+1),(2*(ROW()-ROW(A_Endedatum))-1))),"")</f>
        <v/>
      </c>
      <c r="V40" s="612" t="str">
        <f>IF(V$34&gt;0,(INDEX(A_Aufgaben,(V$34-Arbeitszeit!$A$6+1),(2*(ROW()-ROW(A_Endedatum))-1))),"")</f>
        <v/>
      </c>
      <c r="W40" s="611" t="str">
        <f>IF(W$34&gt;0,(INDEX(A_Aufgaben,(W$34-Arbeitszeit!$A$6+1),(2*(ROW()-ROW(A_Endedatum))-1))),"")</f>
        <v/>
      </c>
      <c r="X40" s="612" t="str">
        <f>IF(X$34&gt;0,(INDEX(A_Aufgaben,(X$34-Arbeitszeit!$A$6+1),(2*(ROW()-ROW(A_Endedatum))-1))),"")</f>
        <v/>
      </c>
      <c r="Y40" s="611" t="str">
        <f>IF(Y$34&gt;0,(INDEX(A_Aufgaben,(Y$34-Arbeitszeit!$A$6+1),(2*(ROW()-ROW(A_Endedatum))-1))),"")</f>
        <v/>
      </c>
      <c r="Z40" s="612" t="str">
        <f>IF(Z$34&gt;0,(INDEX(A_Aufgaben,(Z$34-Arbeitszeit!$A$6+1),(2*(ROW()-ROW(A_Endedatum))-1))),"")</f>
        <v/>
      </c>
      <c r="AA40" s="611" t="str">
        <f>IF(AA$34&gt;0,(INDEX(A_Aufgaben,(AA$34-Arbeitszeit!$A$6+1),(2*(ROW()-ROW(A_Endedatum))-1))),"")</f>
        <v/>
      </c>
      <c r="AB40" s="612" t="str">
        <f>IF(AB$34&gt;0,(INDEX(A_Aufgaben,(AB$34-Arbeitszeit!$A$6+1),(2*(ROW()-ROW(A_Endedatum))-1))),"")</f>
        <v/>
      </c>
      <c r="AC40" s="611" t="str">
        <f>IF(AC$34&gt;0,(INDEX(A_Aufgaben,(AC$34-Arbeitszeit!$A$6+1),(2*(ROW()-ROW(A_Endedatum))-1))),"")</f>
        <v/>
      </c>
      <c r="AD40" s="612" t="str">
        <f>IF(AD$34&gt;0,(INDEX(A_Aufgaben,(AD$34-Arbeitszeit!$A$6+1),(2*(ROW()-ROW(A_Endedatum))-1))),"")</f>
        <v/>
      </c>
      <c r="AE40" s="611" t="str">
        <f>IF(AE$34&gt;0,(INDEX(A_Aufgaben,(AE$34-Arbeitszeit!$A$6+1),(2*(ROW()-ROW(A_Endedatum))-1))),"")</f>
        <v/>
      </c>
      <c r="AF40" s="612" t="str">
        <f>IF(AF$34&gt;0,(INDEX(A_Aufgaben,(AF$34-Arbeitszeit!$A$6+1),(2*(ROW()-ROW(A_Endedatum))-1))),"")</f>
        <v/>
      </c>
      <c r="AG40" s="611" t="str">
        <f>IF(AG$34&gt;0,(INDEX(A_Aufgaben,(AG$34-Arbeitszeit!$A$6+1),(2*(ROW()-ROW(A_Endedatum))-1))),"")</f>
        <v/>
      </c>
      <c r="AH40" s="620">
        <f t="shared" si="7"/>
        <v>0</v>
      </c>
      <c r="AI40" s="285">
        <f t="shared" si="8"/>
        <v>0</v>
      </c>
      <c r="AJ40" s="646">
        <f t="shared" si="11"/>
        <v>0</v>
      </c>
    </row>
    <row r="41" spans="1:36" hidden="1" outlineLevel="1">
      <c r="A41">
        <f t="shared" si="9"/>
        <v>0</v>
      </c>
      <c r="B41" s="610" t="str">
        <f t="shared" si="10"/>
        <v>Aufgabe 04</v>
      </c>
      <c r="C41" s="611" t="str">
        <f>IF(C$34&gt;0,(INDEX(A_Aufgaben,(C$34-Arbeitszeit!$A$6+1),(2*(ROW()-ROW(A_Endedatum))-1))),"")</f>
        <v/>
      </c>
      <c r="D41" s="612" t="str">
        <f>IF(D$34&gt;0,(INDEX(A_Aufgaben,(D$34-Arbeitszeit!$A$6+1),(2*(ROW()-ROW(A_Endedatum))-1))),"")</f>
        <v/>
      </c>
      <c r="E41" s="611" t="str">
        <f>IF(E$34&gt;0,(INDEX(A_Aufgaben,(E$34-Arbeitszeit!$A$6+1),(2*(ROW()-ROW(A_Endedatum))-1))),"")</f>
        <v/>
      </c>
      <c r="F41" s="612" t="str">
        <f>IF(F$34&gt;0,(INDEX(A_Aufgaben,(F$34-Arbeitszeit!$A$6+1),(2*(ROW()-ROW(A_Endedatum))-1))),"")</f>
        <v/>
      </c>
      <c r="G41" s="611" t="str">
        <f>IF(G$34&gt;0,(INDEX(A_Aufgaben,(G$34-Arbeitszeit!$A$6+1),(2*(ROW()-ROW(A_Endedatum))-1))),"")</f>
        <v/>
      </c>
      <c r="H41" s="612" t="str">
        <f>IF(H$34&gt;0,(INDEX(A_Aufgaben,(H$34-Arbeitszeit!$A$6+1),(2*(ROW()-ROW(A_Endedatum))-1))),"")</f>
        <v/>
      </c>
      <c r="I41" s="611" t="str">
        <f>IF(I$34&gt;0,(INDEX(A_Aufgaben,(I$34-Arbeitszeit!$A$6+1),(2*(ROW()-ROW(A_Endedatum))-1))),"")</f>
        <v/>
      </c>
      <c r="J41" s="612" t="str">
        <f>IF(J$34&gt;0,(INDEX(A_Aufgaben,(J$34-Arbeitszeit!$A$6+1),(2*(ROW()-ROW(A_Endedatum))-1))),"")</f>
        <v/>
      </c>
      <c r="K41" s="611" t="str">
        <f>IF(K$34&gt;0,(INDEX(A_Aufgaben,(K$34-Arbeitszeit!$A$6+1),(2*(ROW()-ROW(A_Endedatum))-1))),"")</f>
        <v/>
      </c>
      <c r="L41" s="612" t="str">
        <f>IF(L$34&gt;0,(INDEX(A_Aufgaben,(L$34-Arbeitszeit!$A$6+1),(2*(ROW()-ROW(A_Endedatum))-1))),"")</f>
        <v/>
      </c>
      <c r="M41" s="611" t="str">
        <f>IF(M$34&gt;0,(INDEX(A_Aufgaben,(M$34-Arbeitszeit!$A$6+1),(2*(ROW()-ROW(A_Endedatum))-1))),"")</f>
        <v/>
      </c>
      <c r="N41" s="612" t="str">
        <f>IF(N$34&gt;0,(INDEX(A_Aufgaben,(N$34-Arbeitszeit!$A$6+1),(2*(ROW()-ROW(A_Endedatum))-1))),"")</f>
        <v/>
      </c>
      <c r="O41" s="611" t="str">
        <f>IF(O$34&gt;0,(INDEX(A_Aufgaben,(O$34-Arbeitszeit!$A$6+1),(2*(ROW()-ROW(A_Endedatum))-1))),"")</f>
        <v/>
      </c>
      <c r="P41" s="612" t="str">
        <f>IF(P$34&gt;0,(INDEX(A_Aufgaben,(P$34-Arbeitszeit!$A$6+1),(2*(ROW()-ROW(A_Endedatum))-1))),"")</f>
        <v/>
      </c>
      <c r="Q41" s="611" t="str">
        <f>IF(Q$34&gt;0,(INDEX(A_Aufgaben,(Q$34-Arbeitszeit!$A$6+1),(2*(ROW()-ROW(A_Endedatum))-1))),"")</f>
        <v/>
      </c>
      <c r="R41" s="612" t="str">
        <f>IF(R$34&gt;0,(INDEX(A_Aufgaben,(R$34-Arbeitszeit!$A$6+1),(2*(ROW()-ROW(A_Endedatum))-1))),"")</f>
        <v/>
      </c>
      <c r="S41" s="611" t="str">
        <f>IF(S$34&gt;0,(INDEX(A_Aufgaben,(S$34-Arbeitszeit!$A$6+1),(2*(ROW()-ROW(A_Endedatum))-1))),"")</f>
        <v/>
      </c>
      <c r="T41" s="612" t="str">
        <f>IF(T$34&gt;0,(INDEX(A_Aufgaben,(T$34-Arbeitszeit!$A$6+1),(2*(ROW()-ROW(A_Endedatum))-1))),"")</f>
        <v/>
      </c>
      <c r="U41" s="611" t="str">
        <f>IF(U$34&gt;0,(INDEX(A_Aufgaben,(U$34-Arbeitszeit!$A$6+1),(2*(ROW()-ROW(A_Endedatum))-1))),"")</f>
        <v/>
      </c>
      <c r="V41" s="612" t="str">
        <f>IF(V$34&gt;0,(INDEX(A_Aufgaben,(V$34-Arbeitszeit!$A$6+1),(2*(ROW()-ROW(A_Endedatum))-1))),"")</f>
        <v/>
      </c>
      <c r="W41" s="611" t="str">
        <f>IF(W$34&gt;0,(INDEX(A_Aufgaben,(W$34-Arbeitszeit!$A$6+1),(2*(ROW()-ROW(A_Endedatum))-1))),"")</f>
        <v/>
      </c>
      <c r="X41" s="612" t="str">
        <f>IF(X$34&gt;0,(INDEX(A_Aufgaben,(X$34-Arbeitszeit!$A$6+1),(2*(ROW()-ROW(A_Endedatum))-1))),"")</f>
        <v/>
      </c>
      <c r="Y41" s="611" t="str">
        <f>IF(Y$34&gt;0,(INDEX(A_Aufgaben,(Y$34-Arbeitszeit!$A$6+1),(2*(ROW()-ROW(A_Endedatum))-1))),"")</f>
        <v/>
      </c>
      <c r="Z41" s="612" t="str">
        <f>IF(Z$34&gt;0,(INDEX(A_Aufgaben,(Z$34-Arbeitszeit!$A$6+1),(2*(ROW()-ROW(A_Endedatum))-1))),"")</f>
        <v/>
      </c>
      <c r="AA41" s="611" t="str">
        <f>IF(AA$34&gt;0,(INDEX(A_Aufgaben,(AA$34-Arbeitszeit!$A$6+1),(2*(ROW()-ROW(A_Endedatum))-1))),"")</f>
        <v/>
      </c>
      <c r="AB41" s="612" t="str">
        <f>IF(AB$34&gt;0,(INDEX(A_Aufgaben,(AB$34-Arbeitszeit!$A$6+1),(2*(ROW()-ROW(A_Endedatum))-1))),"")</f>
        <v/>
      </c>
      <c r="AC41" s="611" t="str">
        <f>IF(AC$34&gt;0,(INDEX(A_Aufgaben,(AC$34-Arbeitszeit!$A$6+1),(2*(ROW()-ROW(A_Endedatum))-1))),"")</f>
        <v/>
      </c>
      <c r="AD41" s="612" t="str">
        <f>IF(AD$34&gt;0,(INDEX(A_Aufgaben,(AD$34-Arbeitszeit!$A$6+1),(2*(ROW()-ROW(A_Endedatum))-1))),"")</f>
        <v/>
      </c>
      <c r="AE41" s="611" t="str">
        <f>IF(AE$34&gt;0,(INDEX(A_Aufgaben,(AE$34-Arbeitszeit!$A$6+1),(2*(ROW()-ROW(A_Endedatum))-1))),"")</f>
        <v/>
      </c>
      <c r="AF41" s="612" t="str">
        <f>IF(AF$34&gt;0,(INDEX(A_Aufgaben,(AF$34-Arbeitszeit!$A$6+1),(2*(ROW()-ROW(A_Endedatum))-1))),"")</f>
        <v/>
      </c>
      <c r="AG41" s="611" t="str">
        <f>IF(AG$34&gt;0,(INDEX(A_Aufgaben,(AG$34-Arbeitszeit!$A$6+1),(2*(ROW()-ROW(A_Endedatum))-1))),"")</f>
        <v/>
      </c>
      <c r="AH41" s="620">
        <f t="shared" si="7"/>
        <v>0</v>
      </c>
      <c r="AI41" s="285">
        <f t="shared" si="8"/>
        <v>0</v>
      </c>
      <c r="AJ41" s="646">
        <f t="shared" si="11"/>
        <v>0</v>
      </c>
    </row>
    <row r="42" spans="1:36" hidden="1" outlineLevel="1">
      <c r="A42">
        <f t="shared" si="9"/>
        <v>0</v>
      </c>
      <c r="B42" s="610" t="str">
        <f t="shared" si="10"/>
        <v>Aufgabe 05</v>
      </c>
      <c r="C42" s="611" t="str">
        <f>IF(C$34&gt;0,(INDEX(A_Aufgaben,(C$34-Arbeitszeit!$A$6+1),(2*(ROW()-ROW(A_Endedatum))-1))),"")</f>
        <v/>
      </c>
      <c r="D42" s="612" t="str">
        <f>IF(D$34&gt;0,(INDEX(A_Aufgaben,(D$34-Arbeitszeit!$A$6+1),(2*(ROW()-ROW(A_Endedatum))-1))),"")</f>
        <v/>
      </c>
      <c r="E42" s="611" t="str">
        <f>IF(E$34&gt;0,(INDEX(A_Aufgaben,(E$34-Arbeitszeit!$A$6+1),(2*(ROW()-ROW(A_Endedatum))-1))),"")</f>
        <v/>
      </c>
      <c r="F42" s="612" t="str">
        <f>IF(F$34&gt;0,(INDEX(A_Aufgaben,(F$34-Arbeitszeit!$A$6+1),(2*(ROW()-ROW(A_Endedatum))-1))),"")</f>
        <v/>
      </c>
      <c r="G42" s="611" t="str">
        <f>IF(G$34&gt;0,(INDEX(A_Aufgaben,(G$34-Arbeitszeit!$A$6+1),(2*(ROW()-ROW(A_Endedatum))-1))),"")</f>
        <v/>
      </c>
      <c r="H42" s="612" t="str">
        <f>IF(H$34&gt;0,(INDEX(A_Aufgaben,(H$34-Arbeitszeit!$A$6+1),(2*(ROW()-ROW(A_Endedatum))-1))),"")</f>
        <v/>
      </c>
      <c r="I42" s="611" t="str">
        <f>IF(I$34&gt;0,(INDEX(A_Aufgaben,(I$34-Arbeitszeit!$A$6+1),(2*(ROW()-ROW(A_Endedatum))-1))),"")</f>
        <v/>
      </c>
      <c r="J42" s="612" t="str">
        <f>IF(J$34&gt;0,(INDEX(A_Aufgaben,(J$34-Arbeitszeit!$A$6+1),(2*(ROW()-ROW(A_Endedatum))-1))),"")</f>
        <v/>
      </c>
      <c r="K42" s="611" t="str">
        <f>IF(K$34&gt;0,(INDEX(A_Aufgaben,(K$34-Arbeitszeit!$A$6+1),(2*(ROW()-ROW(A_Endedatum))-1))),"")</f>
        <v/>
      </c>
      <c r="L42" s="612" t="str">
        <f>IF(L$34&gt;0,(INDEX(A_Aufgaben,(L$34-Arbeitszeit!$A$6+1),(2*(ROW()-ROW(A_Endedatum))-1))),"")</f>
        <v/>
      </c>
      <c r="M42" s="611" t="str">
        <f>IF(M$34&gt;0,(INDEX(A_Aufgaben,(M$34-Arbeitszeit!$A$6+1),(2*(ROW()-ROW(A_Endedatum))-1))),"")</f>
        <v/>
      </c>
      <c r="N42" s="612" t="str">
        <f>IF(N$34&gt;0,(INDEX(A_Aufgaben,(N$34-Arbeitszeit!$A$6+1),(2*(ROW()-ROW(A_Endedatum))-1))),"")</f>
        <v/>
      </c>
      <c r="O42" s="611" t="str">
        <f>IF(O$34&gt;0,(INDEX(A_Aufgaben,(O$34-Arbeitszeit!$A$6+1),(2*(ROW()-ROW(A_Endedatum))-1))),"")</f>
        <v/>
      </c>
      <c r="P42" s="612" t="str">
        <f>IF(P$34&gt;0,(INDEX(A_Aufgaben,(P$34-Arbeitszeit!$A$6+1),(2*(ROW()-ROW(A_Endedatum))-1))),"")</f>
        <v/>
      </c>
      <c r="Q42" s="611" t="str">
        <f>IF(Q$34&gt;0,(INDEX(A_Aufgaben,(Q$34-Arbeitszeit!$A$6+1),(2*(ROW()-ROW(A_Endedatum))-1))),"")</f>
        <v/>
      </c>
      <c r="R42" s="612" t="str">
        <f>IF(R$34&gt;0,(INDEX(A_Aufgaben,(R$34-Arbeitszeit!$A$6+1),(2*(ROW()-ROW(A_Endedatum))-1))),"")</f>
        <v/>
      </c>
      <c r="S42" s="611" t="str">
        <f>IF(S$34&gt;0,(INDEX(A_Aufgaben,(S$34-Arbeitszeit!$A$6+1),(2*(ROW()-ROW(A_Endedatum))-1))),"")</f>
        <v/>
      </c>
      <c r="T42" s="612" t="str">
        <f>IF(T$34&gt;0,(INDEX(A_Aufgaben,(T$34-Arbeitszeit!$A$6+1),(2*(ROW()-ROW(A_Endedatum))-1))),"")</f>
        <v/>
      </c>
      <c r="U42" s="611" t="str">
        <f>IF(U$34&gt;0,(INDEX(A_Aufgaben,(U$34-Arbeitszeit!$A$6+1),(2*(ROW()-ROW(A_Endedatum))-1))),"")</f>
        <v/>
      </c>
      <c r="V42" s="612" t="str">
        <f>IF(V$34&gt;0,(INDEX(A_Aufgaben,(V$34-Arbeitszeit!$A$6+1),(2*(ROW()-ROW(A_Endedatum))-1))),"")</f>
        <v/>
      </c>
      <c r="W42" s="611" t="str">
        <f>IF(W$34&gt;0,(INDEX(A_Aufgaben,(W$34-Arbeitszeit!$A$6+1),(2*(ROW()-ROW(A_Endedatum))-1))),"")</f>
        <v/>
      </c>
      <c r="X42" s="612" t="str">
        <f>IF(X$34&gt;0,(INDEX(A_Aufgaben,(X$34-Arbeitszeit!$A$6+1),(2*(ROW()-ROW(A_Endedatum))-1))),"")</f>
        <v/>
      </c>
      <c r="Y42" s="611" t="str">
        <f>IF(Y$34&gt;0,(INDEX(A_Aufgaben,(Y$34-Arbeitszeit!$A$6+1),(2*(ROW()-ROW(A_Endedatum))-1))),"")</f>
        <v/>
      </c>
      <c r="Z42" s="612" t="str">
        <f>IF(Z$34&gt;0,(INDEX(A_Aufgaben,(Z$34-Arbeitszeit!$A$6+1),(2*(ROW()-ROW(A_Endedatum))-1))),"")</f>
        <v/>
      </c>
      <c r="AA42" s="611" t="str">
        <f>IF(AA$34&gt;0,(INDEX(A_Aufgaben,(AA$34-Arbeitszeit!$A$6+1),(2*(ROW()-ROW(A_Endedatum))-1))),"")</f>
        <v/>
      </c>
      <c r="AB42" s="612" t="str">
        <f>IF(AB$34&gt;0,(INDEX(A_Aufgaben,(AB$34-Arbeitszeit!$A$6+1),(2*(ROW()-ROW(A_Endedatum))-1))),"")</f>
        <v/>
      </c>
      <c r="AC42" s="611" t="str">
        <f>IF(AC$34&gt;0,(INDEX(A_Aufgaben,(AC$34-Arbeitszeit!$A$6+1),(2*(ROW()-ROW(A_Endedatum))-1))),"")</f>
        <v/>
      </c>
      <c r="AD42" s="612" t="str">
        <f>IF(AD$34&gt;0,(INDEX(A_Aufgaben,(AD$34-Arbeitszeit!$A$6+1),(2*(ROW()-ROW(A_Endedatum))-1))),"")</f>
        <v/>
      </c>
      <c r="AE42" s="611" t="str">
        <f>IF(AE$34&gt;0,(INDEX(A_Aufgaben,(AE$34-Arbeitszeit!$A$6+1),(2*(ROW()-ROW(A_Endedatum))-1))),"")</f>
        <v/>
      </c>
      <c r="AF42" s="612" t="str">
        <f>IF(AF$34&gt;0,(INDEX(A_Aufgaben,(AF$34-Arbeitszeit!$A$6+1),(2*(ROW()-ROW(A_Endedatum))-1))),"")</f>
        <v/>
      </c>
      <c r="AG42" s="611" t="str">
        <f>IF(AG$34&gt;0,(INDEX(A_Aufgaben,(AG$34-Arbeitszeit!$A$6+1),(2*(ROW()-ROW(A_Endedatum))-1))),"")</f>
        <v/>
      </c>
      <c r="AH42" s="620">
        <f t="shared" si="7"/>
        <v>0</v>
      </c>
      <c r="AI42" s="285">
        <f t="shared" si="8"/>
        <v>0</v>
      </c>
      <c r="AJ42" s="646">
        <f t="shared" si="11"/>
        <v>0</v>
      </c>
    </row>
    <row r="43" spans="1:36" hidden="1" outlineLevel="1">
      <c r="A43">
        <f t="shared" si="9"/>
        <v>0</v>
      </c>
      <c r="B43" s="610" t="str">
        <f t="shared" si="10"/>
        <v>Aufgabe 06</v>
      </c>
      <c r="C43" s="611" t="str">
        <f>IF(C$34&gt;0,(INDEX(A_Aufgaben,(C$34-Arbeitszeit!$A$6+1),(2*(ROW()-ROW(A_Endedatum))-1))),"")</f>
        <v/>
      </c>
      <c r="D43" s="612" t="str">
        <f>IF(D$34&gt;0,(INDEX(A_Aufgaben,(D$34-Arbeitszeit!$A$6+1),(2*(ROW()-ROW(A_Endedatum))-1))),"")</f>
        <v/>
      </c>
      <c r="E43" s="611" t="str">
        <f>IF(E$34&gt;0,(INDEX(A_Aufgaben,(E$34-Arbeitszeit!$A$6+1),(2*(ROW()-ROW(A_Endedatum))-1))),"")</f>
        <v/>
      </c>
      <c r="F43" s="612" t="str">
        <f>IF(F$34&gt;0,(INDEX(A_Aufgaben,(F$34-Arbeitszeit!$A$6+1),(2*(ROW()-ROW(A_Endedatum))-1))),"")</f>
        <v/>
      </c>
      <c r="G43" s="611" t="str">
        <f>IF(G$34&gt;0,(INDEX(A_Aufgaben,(G$34-Arbeitszeit!$A$6+1),(2*(ROW()-ROW(A_Endedatum))-1))),"")</f>
        <v/>
      </c>
      <c r="H43" s="612" t="str">
        <f>IF(H$34&gt;0,(INDEX(A_Aufgaben,(H$34-Arbeitszeit!$A$6+1),(2*(ROW()-ROW(A_Endedatum))-1))),"")</f>
        <v/>
      </c>
      <c r="I43" s="611" t="str">
        <f>IF(I$34&gt;0,(INDEX(A_Aufgaben,(I$34-Arbeitszeit!$A$6+1),(2*(ROW()-ROW(A_Endedatum))-1))),"")</f>
        <v/>
      </c>
      <c r="J43" s="612" t="str">
        <f>IF(J$34&gt;0,(INDEX(A_Aufgaben,(J$34-Arbeitszeit!$A$6+1),(2*(ROW()-ROW(A_Endedatum))-1))),"")</f>
        <v/>
      </c>
      <c r="K43" s="611" t="str">
        <f>IF(K$34&gt;0,(INDEX(A_Aufgaben,(K$34-Arbeitszeit!$A$6+1),(2*(ROW()-ROW(A_Endedatum))-1))),"")</f>
        <v/>
      </c>
      <c r="L43" s="612" t="str">
        <f>IF(L$34&gt;0,(INDEX(A_Aufgaben,(L$34-Arbeitszeit!$A$6+1),(2*(ROW()-ROW(A_Endedatum))-1))),"")</f>
        <v/>
      </c>
      <c r="M43" s="611" t="str">
        <f>IF(M$34&gt;0,(INDEX(A_Aufgaben,(M$34-Arbeitszeit!$A$6+1),(2*(ROW()-ROW(A_Endedatum))-1))),"")</f>
        <v/>
      </c>
      <c r="N43" s="612" t="str">
        <f>IF(N$34&gt;0,(INDEX(A_Aufgaben,(N$34-Arbeitszeit!$A$6+1),(2*(ROW()-ROW(A_Endedatum))-1))),"")</f>
        <v/>
      </c>
      <c r="O43" s="611" t="str">
        <f>IF(O$34&gt;0,(INDEX(A_Aufgaben,(O$34-Arbeitszeit!$A$6+1),(2*(ROW()-ROW(A_Endedatum))-1))),"")</f>
        <v/>
      </c>
      <c r="P43" s="612" t="str">
        <f>IF(P$34&gt;0,(INDEX(A_Aufgaben,(P$34-Arbeitszeit!$A$6+1),(2*(ROW()-ROW(A_Endedatum))-1))),"")</f>
        <v/>
      </c>
      <c r="Q43" s="611" t="str">
        <f>IF(Q$34&gt;0,(INDEX(A_Aufgaben,(Q$34-Arbeitszeit!$A$6+1),(2*(ROW()-ROW(A_Endedatum))-1))),"")</f>
        <v/>
      </c>
      <c r="R43" s="612" t="str">
        <f>IF(R$34&gt;0,(INDEX(A_Aufgaben,(R$34-Arbeitszeit!$A$6+1),(2*(ROW()-ROW(A_Endedatum))-1))),"")</f>
        <v/>
      </c>
      <c r="S43" s="611" t="str">
        <f>IF(S$34&gt;0,(INDEX(A_Aufgaben,(S$34-Arbeitszeit!$A$6+1),(2*(ROW()-ROW(A_Endedatum))-1))),"")</f>
        <v/>
      </c>
      <c r="T43" s="612" t="str">
        <f>IF(T$34&gt;0,(INDEX(A_Aufgaben,(T$34-Arbeitszeit!$A$6+1),(2*(ROW()-ROW(A_Endedatum))-1))),"")</f>
        <v/>
      </c>
      <c r="U43" s="611" t="str">
        <f>IF(U$34&gt;0,(INDEX(A_Aufgaben,(U$34-Arbeitszeit!$A$6+1),(2*(ROW()-ROW(A_Endedatum))-1))),"")</f>
        <v/>
      </c>
      <c r="V43" s="612" t="str">
        <f>IF(V$34&gt;0,(INDEX(A_Aufgaben,(V$34-Arbeitszeit!$A$6+1),(2*(ROW()-ROW(A_Endedatum))-1))),"")</f>
        <v/>
      </c>
      <c r="W43" s="611" t="str">
        <f>IF(W$34&gt;0,(INDEX(A_Aufgaben,(W$34-Arbeitszeit!$A$6+1),(2*(ROW()-ROW(A_Endedatum))-1))),"")</f>
        <v/>
      </c>
      <c r="X43" s="612" t="str">
        <f>IF(X$34&gt;0,(INDEX(A_Aufgaben,(X$34-Arbeitszeit!$A$6+1),(2*(ROW()-ROW(A_Endedatum))-1))),"")</f>
        <v/>
      </c>
      <c r="Y43" s="611" t="str">
        <f>IF(Y$34&gt;0,(INDEX(A_Aufgaben,(Y$34-Arbeitszeit!$A$6+1),(2*(ROW()-ROW(A_Endedatum))-1))),"")</f>
        <v/>
      </c>
      <c r="Z43" s="612" t="str">
        <f>IF(Z$34&gt;0,(INDEX(A_Aufgaben,(Z$34-Arbeitszeit!$A$6+1),(2*(ROW()-ROW(A_Endedatum))-1))),"")</f>
        <v/>
      </c>
      <c r="AA43" s="611" t="str">
        <f>IF(AA$34&gt;0,(INDEX(A_Aufgaben,(AA$34-Arbeitszeit!$A$6+1),(2*(ROW()-ROW(A_Endedatum))-1))),"")</f>
        <v/>
      </c>
      <c r="AB43" s="612" t="str">
        <f>IF(AB$34&gt;0,(INDEX(A_Aufgaben,(AB$34-Arbeitszeit!$A$6+1),(2*(ROW()-ROW(A_Endedatum))-1))),"")</f>
        <v/>
      </c>
      <c r="AC43" s="611" t="str">
        <f>IF(AC$34&gt;0,(INDEX(A_Aufgaben,(AC$34-Arbeitszeit!$A$6+1),(2*(ROW()-ROW(A_Endedatum))-1))),"")</f>
        <v/>
      </c>
      <c r="AD43" s="612" t="str">
        <f>IF(AD$34&gt;0,(INDEX(A_Aufgaben,(AD$34-Arbeitszeit!$A$6+1),(2*(ROW()-ROW(A_Endedatum))-1))),"")</f>
        <v/>
      </c>
      <c r="AE43" s="611" t="str">
        <f>IF(AE$34&gt;0,(INDEX(A_Aufgaben,(AE$34-Arbeitszeit!$A$6+1),(2*(ROW()-ROW(A_Endedatum))-1))),"")</f>
        <v/>
      </c>
      <c r="AF43" s="612" t="str">
        <f>IF(AF$34&gt;0,(INDEX(A_Aufgaben,(AF$34-Arbeitszeit!$A$6+1),(2*(ROW()-ROW(A_Endedatum))-1))),"")</f>
        <v/>
      </c>
      <c r="AG43" s="611" t="str">
        <f>IF(AG$34&gt;0,(INDEX(A_Aufgaben,(AG$34-Arbeitszeit!$A$6+1),(2*(ROW()-ROW(A_Endedatum))-1))),"")</f>
        <v/>
      </c>
      <c r="AH43" s="620">
        <f t="shared" si="7"/>
        <v>0</v>
      </c>
      <c r="AI43" s="285">
        <f t="shared" si="8"/>
        <v>0</v>
      </c>
      <c r="AJ43" s="646">
        <f t="shared" si="11"/>
        <v>0</v>
      </c>
    </row>
    <row r="44" spans="1:36" hidden="1" outlineLevel="1">
      <c r="A44">
        <f t="shared" si="9"/>
        <v>0</v>
      </c>
      <c r="B44" s="610" t="str">
        <f t="shared" si="10"/>
        <v>Aufgabe 07</v>
      </c>
      <c r="C44" s="611" t="str">
        <f>IF(C$34&gt;0,(INDEX(A_Aufgaben,(C$34-Arbeitszeit!$A$6+1),(2*(ROW()-ROW(A_Endedatum))-1))),"")</f>
        <v/>
      </c>
      <c r="D44" s="612" t="str">
        <f>IF(D$34&gt;0,(INDEX(A_Aufgaben,(D$34-Arbeitszeit!$A$6+1),(2*(ROW()-ROW(A_Endedatum))-1))),"")</f>
        <v/>
      </c>
      <c r="E44" s="611" t="str">
        <f>IF(E$34&gt;0,(INDEX(A_Aufgaben,(E$34-Arbeitszeit!$A$6+1),(2*(ROW()-ROW(A_Endedatum))-1))),"")</f>
        <v/>
      </c>
      <c r="F44" s="612" t="str">
        <f>IF(F$34&gt;0,(INDEX(A_Aufgaben,(F$34-Arbeitszeit!$A$6+1),(2*(ROW()-ROW(A_Endedatum))-1))),"")</f>
        <v/>
      </c>
      <c r="G44" s="611" t="str">
        <f>IF(G$34&gt;0,(INDEX(A_Aufgaben,(G$34-Arbeitszeit!$A$6+1),(2*(ROW()-ROW(A_Endedatum))-1))),"")</f>
        <v/>
      </c>
      <c r="H44" s="612" t="str">
        <f>IF(H$34&gt;0,(INDEX(A_Aufgaben,(H$34-Arbeitszeit!$A$6+1),(2*(ROW()-ROW(A_Endedatum))-1))),"")</f>
        <v/>
      </c>
      <c r="I44" s="611" t="str">
        <f>IF(I$34&gt;0,(INDEX(A_Aufgaben,(I$34-Arbeitszeit!$A$6+1),(2*(ROW()-ROW(A_Endedatum))-1))),"")</f>
        <v/>
      </c>
      <c r="J44" s="612" t="str">
        <f>IF(J$34&gt;0,(INDEX(A_Aufgaben,(J$34-Arbeitszeit!$A$6+1),(2*(ROW()-ROW(A_Endedatum))-1))),"")</f>
        <v/>
      </c>
      <c r="K44" s="611" t="str">
        <f>IF(K$34&gt;0,(INDEX(A_Aufgaben,(K$34-Arbeitszeit!$A$6+1),(2*(ROW()-ROW(A_Endedatum))-1))),"")</f>
        <v/>
      </c>
      <c r="L44" s="612" t="str">
        <f>IF(L$34&gt;0,(INDEX(A_Aufgaben,(L$34-Arbeitszeit!$A$6+1),(2*(ROW()-ROW(A_Endedatum))-1))),"")</f>
        <v/>
      </c>
      <c r="M44" s="611" t="str">
        <f>IF(M$34&gt;0,(INDEX(A_Aufgaben,(M$34-Arbeitszeit!$A$6+1),(2*(ROW()-ROW(A_Endedatum))-1))),"")</f>
        <v/>
      </c>
      <c r="N44" s="612" t="str">
        <f>IF(N$34&gt;0,(INDEX(A_Aufgaben,(N$34-Arbeitszeit!$A$6+1),(2*(ROW()-ROW(A_Endedatum))-1))),"")</f>
        <v/>
      </c>
      <c r="O44" s="611" t="str">
        <f>IF(O$34&gt;0,(INDEX(A_Aufgaben,(O$34-Arbeitszeit!$A$6+1),(2*(ROW()-ROW(A_Endedatum))-1))),"")</f>
        <v/>
      </c>
      <c r="P44" s="612" t="str">
        <f>IF(P$34&gt;0,(INDEX(A_Aufgaben,(P$34-Arbeitszeit!$A$6+1),(2*(ROW()-ROW(A_Endedatum))-1))),"")</f>
        <v/>
      </c>
      <c r="Q44" s="611" t="str">
        <f>IF(Q$34&gt;0,(INDEX(A_Aufgaben,(Q$34-Arbeitszeit!$A$6+1),(2*(ROW()-ROW(A_Endedatum))-1))),"")</f>
        <v/>
      </c>
      <c r="R44" s="612" t="str">
        <f>IF(R$34&gt;0,(INDEX(A_Aufgaben,(R$34-Arbeitszeit!$A$6+1),(2*(ROW()-ROW(A_Endedatum))-1))),"")</f>
        <v/>
      </c>
      <c r="S44" s="611" t="str">
        <f>IF(S$34&gt;0,(INDEX(A_Aufgaben,(S$34-Arbeitszeit!$A$6+1),(2*(ROW()-ROW(A_Endedatum))-1))),"")</f>
        <v/>
      </c>
      <c r="T44" s="612" t="str">
        <f>IF(T$34&gt;0,(INDEX(A_Aufgaben,(T$34-Arbeitszeit!$A$6+1),(2*(ROW()-ROW(A_Endedatum))-1))),"")</f>
        <v/>
      </c>
      <c r="U44" s="611" t="str">
        <f>IF(U$34&gt;0,(INDEX(A_Aufgaben,(U$34-Arbeitszeit!$A$6+1),(2*(ROW()-ROW(A_Endedatum))-1))),"")</f>
        <v/>
      </c>
      <c r="V44" s="612" t="str">
        <f>IF(V$34&gt;0,(INDEX(A_Aufgaben,(V$34-Arbeitszeit!$A$6+1),(2*(ROW()-ROW(A_Endedatum))-1))),"")</f>
        <v/>
      </c>
      <c r="W44" s="611" t="str">
        <f>IF(W$34&gt;0,(INDEX(A_Aufgaben,(W$34-Arbeitszeit!$A$6+1),(2*(ROW()-ROW(A_Endedatum))-1))),"")</f>
        <v/>
      </c>
      <c r="X44" s="612" t="str">
        <f>IF(X$34&gt;0,(INDEX(A_Aufgaben,(X$34-Arbeitszeit!$A$6+1),(2*(ROW()-ROW(A_Endedatum))-1))),"")</f>
        <v/>
      </c>
      <c r="Y44" s="611" t="str">
        <f>IF(Y$34&gt;0,(INDEX(A_Aufgaben,(Y$34-Arbeitszeit!$A$6+1),(2*(ROW()-ROW(A_Endedatum))-1))),"")</f>
        <v/>
      </c>
      <c r="Z44" s="612" t="str">
        <f>IF(Z$34&gt;0,(INDEX(A_Aufgaben,(Z$34-Arbeitszeit!$A$6+1),(2*(ROW()-ROW(A_Endedatum))-1))),"")</f>
        <v/>
      </c>
      <c r="AA44" s="611" t="str">
        <f>IF(AA$34&gt;0,(INDEX(A_Aufgaben,(AA$34-Arbeitszeit!$A$6+1),(2*(ROW()-ROW(A_Endedatum))-1))),"")</f>
        <v/>
      </c>
      <c r="AB44" s="612" t="str">
        <f>IF(AB$34&gt;0,(INDEX(A_Aufgaben,(AB$34-Arbeitszeit!$A$6+1),(2*(ROW()-ROW(A_Endedatum))-1))),"")</f>
        <v/>
      </c>
      <c r="AC44" s="611" t="str">
        <f>IF(AC$34&gt;0,(INDEX(A_Aufgaben,(AC$34-Arbeitszeit!$A$6+1),(2*(ROW()-ROW(A_Endedatum))-1))),"")</f>
        <v/>
      </c>
      <c r="AD44" s="612" t="str">
        <f>IF(AD$34&gt;0,(INDEX(A_Aufgaben,(AD$34-Arbeitszeit!$A$6+1),(2*(ROW()-ROW(A_Endedatum))-1))),"")</f>
        <v/>
      </c>
      <c r="AE44" s="611" t="str">
        <f>IF(AE$34&gt;0,(INDEX(A_Aufgaben,(AE$34-Arbeitszeit!$A$6+1),(2*(ROW()-ROW(A_Endedatum))-1))),"")</f>
        <v/>
      </c>
      <c r="AF44" s="612" t="str">
        <f>IF(AF$34&gt;0,(INDEX(A_Aufgaben,(AF$34-Arbeitszeit!$A$6+1),(2*(ROW()-ROW(A_Endedatum))-1))),"")</f>
        <v/>
      </c>
      <c r="AG44" s="611" t="str">
        <f>IF(AG$34&gt;0,(INDEX(A_Aufgaben,(AG$34-Arbeitszeit!$A$6+1),(2*(ROW()-ROW(A_Endedatum))-1))),"")</f>
        <v/>
      </c>
      <c r="AH44" s="620">
        <f t="shared" si="7"/>
        <v>0</v>
      </c>
      <c r="AI44" s="285">
        <f t="shared" si="8"/>
        <v>0</v>
      </c>
      <c r="AJ44" s="646">
        <f t="shared" si="11"/>
        <v>0</v>
      </c>
    </row>
    <row r="45" spans="1:36" hidden="1" outlineLevel="1">
      <c r="A45">
        <f t="shared" si="9"/>
        <v>0</v>
      </c>
      <c r="B45" s="610" t="str">
        <f t="shared" si="10"/>
        <v>Aufgabe 08</v>
      </c>
      <c r="C45" s="611" t="str">
        <f>IF(C$34&gt;0,(INDEX(A_Aufgaben,(C$34-Arbeitszeit!$A$6+1),(2*(ROW()-ROW(A_Endedatum))-1))),"")</f>
        <v/>
      </c>
      <c r="D45" s="612" t="str">
        <f>IF(D$34&gt;0,(INDEX(A_Aufgaben,(D$34-Arbeitszeit!$A$6+1),(2*(ROW()-ROW(A_Endedatum))-1))),"")</f>
        <v/>
      </c>
      <c r="E45" s="611" t="str">
        <f>IF(E$34&gt;0,(INDEX(A_Aufgaben,(E$34-Arbeitszeit!$A$6+1),(2*(ROW()-ROW(A_Endedatum))-1))),"")</f>
        <v/>
      </c>
      <c r="F45" s="612" t="str">
        <f>IF(F$34&gt;0,(INDEX(A_Aufgaben,(F$34-Arbeitszeit!$A$6+1),(2*(ROW()-ROW(A_Endedatum))-1))),"")</f>
        <v/>
      </c>
      <c r="G45" s="611" t="str">
        <f>IF(G$34&gt;0,(INDEX(A_Aufgaben,(G$34-Arbeitszeit!$A$6+1),(2*(ROW()-ROW(A_Endedatum))-1))),"")</f>
        <v/>
      </c>
      <c r="H45" s="612" t="str">
        <f>IF(H$34&gt;0,(INDEX(A_Aufgaben,(H$34-Arbeitszeit!$A$6+1),(2*(ROW()-ROW(A_Endedatum))-1))),"")</f>
        <v/>
      </c>
      <c r="I45" s="611" t="str">
        <f>IF(I$34&gt;0,(INDEX(A_Aufgaben,(I$34-Arbeitszeit!$A$6+1),(2*(ROW()-ROW(A_Endedatum))-1))),"")</f>
        <v/>
      </c>
      <c r="J45" s="612" t="str">
        <f>IF(J$34&gt;0,(INDEX(A_Aufgaben,(J$34-Arbeitszeit!$A$6+1),(2*(ROW()-ROW(A_Endedatum))-1))),"")</f>
        <v/>
      </c>
      <c r="K45" s="611" t="str">
        <f>IF(K$34&gt;0,(INDEX(A_Aufgaben,(K$34-Arbeitszeit!$A$6+1),(2*(ROW()-ROW(A_Endedatum))-1))),"")</f>
        <v/>
      </c>
      <c r="L45" s="612" t="str">
        <f>IF(L$34&gt;0,(INDEX(A_Aufgaben,(L$34-Arbeitszeit!$A$6+1),(2*(ROW()-ROW(A_Endedatum))-1))),"")</f>
        <v/>
      </c>
      <c r="M45" s="611" t="str">
        <f>IF(M$34&gt;0,(INDEX(A_Aufgaben,(M$34-Arbeitszeit!$A$6+1),(2*(ROW()-ROW(A_Endedatum))-1))),"")</f>
        <v/>
      </c>
      <c r="N45" s="612" t="str">
        <f>IF(N$34&gt;0,(INDEX(A_Aufgaben,(N$34-Arbeitszeit!$A$6+1),(2*(ROW()-ROW(A_Endedatum))-1))),"")</f>
        <v/>
      </c>
      <c r="O45" s="611" t="str">
        <f>IF(O$34&gt;0,(INDEX(A_Aufgaben,(O$34-Arbeitszeit!$A$6+1),(2*(ROW()-ROW(A_Endedatum))-1))),"")</f>
        <v/>
      </c>
      <c r="P45" s="612" t="str">
        <f>IF(P$34&gt;0,(INDEX(A_Aufgaben,(P$34-Arbeitszeit!$A$6+1),(2*(ROW()-ROW(A_Endedatum))-1))),"")</f>
        <v/>
      </c>
      <c r="Q45" s="611" t="str">
        <f>IF(Q$34&gt;0,(INDEX(A_Aufgaben,(Q$34-Arbeitszeit!$A$6+1),(2*(ROW()-ROW(A_Endedatum))-1))),"")</f>
        <v/>
      </c>
      <c r="R45" s="612" t="str">
        <f>IF(R$34&gt;0,(INDEX(A_Aufgaben,(R$34-Arbeitszeit!$A$6+1),(2*(ROW()-ROW(A_Endedatum))-1))),"")</f>
        <v/>
      </c>
      <c r="S45" s="611" t="str">
        <f>IF(S$34&gt;0,(INDEX(A_Aufgaben,(S$34-Arbeitszeit!$A$6+1),(2*(ROW()-ROW(A_Endedatum))-1))),"")</f>
        <v/>
      </c>
      <c r="T45" s="612" t="str">
        <f>IF(T$34&gt;0,(INDEX(A_Aufgaben,(T$34-Arbeitszeit!$A$6+1),(2*(ROW()-ROW(A_Endedatum))-1))),"")</f>
        <v/>
      </c>
      <c r="U45" s="611" t="str">
        <f>IF(U$34&gt;0,(INDEX(A_Aufgaben,(U$34-Arbeitszeit!$A$6+1),(2*(ROW()-ROW(A_Endedatum))-1))),"")</f>
        <v/>
      </c>
      <c r="V45" s="612" t="str">
        <f>IF(V$34&gt;0,(INDEX(A_Aufgaben,(V$34-Arbeitszeit!$A$6+1),(2*(ROW()-ROW(A_Endedatum))-1))),"")</f>
        <v/>
      </c>
      <c r="W45" s="611" t="str">
        <f>IF(W$34&gt;0,(INDEX(A_Aufgaben,(W$34-Arbeitszeit!$A$6+1),(2*(ROW()-ROW(A_Endedatum))-1))),"")</f>
        <v/>
      </c>
      <c r="X45" s="612" t="str">
        <f>IF(X$34&gt;0,(INDEX(A_Aufgaben,(X$34-Arbeitszeit!$A$6+1),(2*(ROW()-ROW(A_Endedatum))-1))),"")</f>
        <v/>
      </c>
      <c r="Y45" s="611" t="str">
        <f>IF(Y$34&gt;0,(INDEX(A_Aufgaben,(Y$34-Arbeitszeit!$A$6+1),(2*(ROW()-ROW(A_Endedatum))-1))),"")</f>
        <v/>
      </c>
      <c r="Z45" s="612" t="str">
        <f>IF(Z$34&gt;0,(INDEX(A_Aufgaben,(Z$34-Arbeitszeit!$A$6+1),(2*(ROW()-ROW(A_Endedatum))-1))),"")</f>
        <v/>
      </c>
      <c r="AA45" s="611" t="str">
        <f>IF(AA$34&gt;0,(INDEX(A_Aufgaben,(AA$34-Arbeitszeit!$A$6+1),(2*(ROW()-ROW(A_Endedatum))-1))),"")</f>
        <v/>
      </c>
      <c r="AB45" s="612" t="str">
        <f>IF(AB$34&gt;0,(INDEX(A_Aufgaben,(AB$34-Arbeitszeit!$A$6+1),(2*(ROW()-ROW(A_Endedatum))-1))),"")</f>
        <v/>
      </c>
      <c r="AC45" s="611" t="str">
        <f>IF(AC$34&gt;0,(INDEX(A_Aufgaben,(AC$34-Arbeitszeit!$A$6+1),(2*(ROW()-ROW(A_Endedatum))-1))),"")</f>
        <v/>
      </c>
      <c r="AD45" s="612" t="str">
        <f>IF(AD$34&gt;0,(INDEX(A_Aufgaben,(AD$34-Arbeitszeit!$A$6+1),(2*(ROW()-ROW(A_Endedatum))-1))),"")</f>
        <v/>
      </c>
      <c r="AE45" s="611" t="str">
        <f>IF(AE$34&gt;0,(INDEX(A_Aufgaben,(AE$34-Arbeitszeit!$A$6+1),(2*(ROW()-ROW(A_Endedatum))-1))),"")</f>
        <v/>
      </c>
      <c r="AF45" s="612" t="str">
        <f>IF(AF$34&gt;0,(INDEX(A_Aufgaben,(AF$34-Arbeitszeit!$A$6+1),(2*(ROW()-ROW(A_Endedatum))-1))),"")</f>
        <v/>
      </c>
      <c r="AG45" s="611" t="str">
        <f>IF(AG$34&gt;0,(INDEX(A_Aufgaben,(AG$34-Arbeitszeit!$A$6+1),(2*(ROW()-ROW(A_Endedatum))-1))),"")</f>
        <v/>
      </c>
      <c r="AH45" s="620">
        <f t="shared" si="7"/>
        <v>0</v>
      </c>
      <c r="AI45" s="285">
        <f t="shared" si="8"/>
        <v>0</v>
      </c>
      <c r="AJ45" s="646">
        <f t="shared" si="11"/>
        <v>0</v>
      </c>
    </row>
    <row r="46" spans="1:36" hidden="1" outlineLevel="1">
      <c r="A46">
        <f t="shared" si="9"/>
        <v>0</v>
      </c>
      <c r="B46" s="610" t="str">
        <f t="shared" si="10"/>
        <v>Aufgabe 09</v>
      </c>
      <c r="C46" s="611" t="str">
        <f>IF(C$34&gt;0,(INDEX(A_Aufgaben,(C$34-Arbeitszeit!$A$6+1),(2*(ROW()-ROW(A_Endedatum))-1))),"")</f>
        <v/>
      </c>
      <c r="D46" s="612" t="str">
        <f>IF(D$34&gt;0,(INDEX(A_Aufgaben,(D$34-Arbeitszeit!$A$6+1),(2*(ROW()-ROW(A_Endedatum))-1))),"")</f>
        <v/>
      </c>
      <c r="E46" s="611" t="str">
        <f>IF(E$34&gt;0,(INDEX(A_Aufgaben,(E$34-Arbeitszeit!$A$6+1),(2*(ROW()-ROW(A_Endedatum))-1))),"")</f>
        <v/>
      </c>
      <c r="F46" s="612" t="str">
        <f>IF(F$34&gt;0,(INDEX(A_Aufgaben,(F$34-Arbeitszeit!$A$6+1),(2*(ROW()-ROW(A_Endedatum))-1))),"")</f>
        <v/>
      </c>
      <c r="G46" s="611" t="str">
        <f>IF(G$34&gt;0,(INDEX(A_Aufgaben,(G$34-Arbeitszeit!$A$6+1),(2*(ROW()-ROW(A_Endedatum))-1))),"")</f>
        <v/>
      </c>
      <c r="H46" s="612" t="str">
        <f>IF(H$34&gt;0,(INDEX(A_Aufgaben,(H$34-Arbeitszeit!$A$6+1),(2*(ROW()-ROW(A_Endedatum))-1))),"")</f>
        <v/>
      </c>
      <c r="I46" s="611" t="str">
        <f>IF(I$34&gt;0,(INDEX(A_Aufgaben,(I$34-Arbeitszeit!$A$6+1),(2*(ROW()-ROW(A_Endedatum))-1))),"")</f>
        <v/>
      </c>
      <c r="J46" s="612" t="str">
        <f>IF(J$34&gt;0,(INDEX(A_Aufgaben,(J$34-Arbeitszeit!$A$6+1),(2*(ROW()-ROW(A_Endedatum))-1))),"")</f>
        <v/>
      </c>
      <c r="K46" s="611" t="str">
        <f>IF(K$34&gt;0,(INDEX(A_Aufgaben,(K$34-Arbeitszeit!$A$6+1),(2*(ROW()-ROW(A_Endedatum))-1))),"")</f>
        <v/>
      </c>
      <c r="L46" s="612" t="str">
        <f>IF(L$34&gt;0,(INDEX(A_Aufgaben,(L$34-Arbeitszeit!$A$6+1),(2*(ROW()-ROW(A_Endedatum))-1))),"")</f>
        <v/>
      </c>
      <c r="M46" s="611" t="str">
        <f>IF(M$34&gt;0,(INDEX(A_Aufgaben,(M$34-Arbeitszeit!$A$6+1),(2*(ROW()-ROW(A_Endedatum))-1))),"")</f>
        <v/>
      </c>
      <c r="N46" s="612" t="str">
        <f>IF(N$34&gt;0,(INDEX(A_Aufgaben,(N$34-Arbeitszeit!$A$6+1),(2*(ROW()-ROW(A_Endedatum))-1))),"")</f>
        <v/>
      </c>
      <c r="O46" s="611" t="str">
        <f>IF(O$34&gt;0,(INDEX(A_Aufgaben,(O$34-Arbeitszeit!$A$6+1),(2*(ROW()-ROW(A_Endedatum))-1))),"")</f>
        <v/>
      </c>
      <c r="P46" s="612" t="str">
        <f>IF(P$34&gt;0,(INDEX(A_Aufgaben,(P$34-Arbeitszeit!$A$6+1),(2*(ROW()-ROW(A_Endedatum))-1))),"")</f>
        <v/>
      </c>
      <c r="Q46" s="611" t="str">
        <f>IF(Q$34&gt;0,(INDEX(A_Aufgaben,(Q$34-Arbeitszeit!$A$6+1),(2*(ROW()-ROW(A_Endedatum))-1))),"")</f>
        <v/>
      </c>
      <c r="R46" s="612" t="str">
        <f>IF(R$34&gt;0,(INDEX(A_Aufgaben,(R$34-Arbeitszeit!$A$6+1),(2*(ROW()-ROW(A_Endedatum))-1))),"")</f>
        <v/>
      </c>
      <c r="S46" s="611" t="str">
        <f>IF(S$34&gt;0,(INDEX(A_Aufgaben,(S$34-Arbeitszeit!$A$6+1),(2*(ROW()-ROW(A_Endedatum))-1))),"")</f>
        <v/>
      </c>
      <c r="T46" s="612" t="str">
        <f>IF(T$34&gt;0,(INDEX(A_Aufgaben,(T$34-Arbeitszeit!$A$6+1),(2*(ROW()-ROW(A_Endedatum))-1))),"")</f>
        <v/>
      </c>
      <c r="U46" s="611" t="str">
        <f>IF(U$34&gt;0,(INDEX(A_Aufgaben,(U$34-Arbeitszeit!$A$6+1),(2*(ROW()-ROW(A_Endedatum))-1))),"")</f>
        <v/>
      </c>
      <c r="V46" s="612" t="str">
        <f>IF(V$34&gt;0,(INDEX(A_Aufgaben,(V$34-Arbeitszeit!$A$6+1),(2*(ROW()-ROW(A_Endedatum))-1))),"")</f>
        <v/>
      </c>
      <c r="W46" s="611" t="str">
        <f>IF(W$34&gt;0,(INDEX(A_Aufgaben,(W$34-Arbeitszeit!$A$6+1),(2*(ROW()-ROW(A_Endedatum))-1))),"")</f>
        <v/>
      </c>
      <c r="X46" s="612" t="str">
        <f>IF(X$34&gt;0,(INDEX(A_Aufgaben,(X$34-Arbeitszeit!$A$6+1),(2*(ROW()-ROW(A_Endedatum))-1))),"")</f>
        <v/>
      </c>
      <c r="Y46" s="611" t="str">
        <f>IF(Y$34&gt;0,(INDEX(A_Aufgaben,(Y$34-Arbeitszeit!$A$6+1),(2*(ROW()-ROW(A_Endedatum))-1))),"")</f>
        <v/>
      </c>
      <c r="Z46" s="612" t="str">
        <f>IF(Z$34&gt;0,(INDEX(A_Aufgaben,(Z$34-Arbeitszeit!$A$6+1),(2*(ROW()-ROW(A_Endedatum))-1))),"")</f>
        <v/>
      </c>
      <c r="AA46" s="611" t="str">
        <f>IF(AA$34&gt;0,(INDEX(A_Aufgaben,(AA$34-Arbeitszeit!$A$6+1),(2*(ROW()-ROW(A_Endedatum))-1))),"")</f>
        <v/>
      </c>
      <c r="AB46" s="612" t="str">
        <f>IF(AB$34&gt;0,(INDEX(A_Aufgaben,(AB$34-Arbeitszeit!$A$6+1),(2*(ROW()-ROW(A_Endedatum))-1))),"")</f>
        <v/>
      </c>
      <c r="AC46" s="611" t="str">
        <f>IF(AC$34&gt;0,(INDEX(A_Aufgaben,(AC$34-Arbeitszeit!$A$6+1),(2*(ROW()-ROW(A_Endedatum))-1))),"")</f>
        <v/>
      </c>
      <c r="AD46" s="612" t="str">
        <f>IF(AD$34&gt;0,(INDEX(A_Aufgaben,(AD$34-Arbeitszeit!$A$6+1),(2*(ROW()-ROW(A_Endedatum))-1))),"")</f>
        <v/>
      </c>
      <c r="AE46" s="611" t="str">
        <f>IF(AE$34&gt;0,(INDEX(A_Aufgaben,(AE$34-Arbeitszeit!$A$6+1),(2*(ROW()-ROW(A_Endedatum))-1))),"")</f>
        <v/>
      </c>
      <c r="AF46" s="612" t="str">
        <f>IF(AF$34&gt;0,(INDEX(A_Aufgaben,(AF$34-Arbeitszeit!$A$6+1),(2*(ROW()-ROW(A_Endedatum))-1))),"")</f>
        <v/>
      </c>
      <c r="AG46" s="611" t="str">
        <f>IF(AG$34&gt;0,(INDEX(A_Aufgaben,(AG$34-Arbeitszeit!$A$6+1),(2*(ROW()-ROW(A_Endedatum))-1))),"")</f>
        <v/>
      </c>
      <c r="AH46" s="620">
        <f t="shared" si="7"/>
        <v>0</v>
      </c>
      <c r="AI46" s="285">
        <f t="shared" si="8"/>
        <v>0</v>
      </c>
      <c r="AJ46" s="646">
        <f t="shared" si="11"/>
        <v>0</v>
      </c>
    </row>
    <row r="47" spans="1:36" hidden="1" outlineLevel="1">
      <c r="A47">
        <f t="shared" si="9"/>
        <v>0</v>
      </c>
      <c r="B47" s="610" t="str">
        <f t="shared" si="10"/>
        <v>Aufgabe 10</v>
      </c>
      <c r="C47" s="611" t="str">
        <f>IF(C$34&gt;0,(INDEX(A_Aufgaben,(C$34-Arbeitszeit!$A$6+1),(2*(ROW()-ROW(A_Endedatum))-1))),"")</f>
        <v/>
      </c>
      <c r="D47" s="612" t="str">
        <f>IF(D$34&gt;0,(INDEX(A_Aufgaben,(D$34-Arbeitszeit!$A$6+1),(2*(ROW()-ROW(A_Endedatum))-1))),"")</f>
        <v/>
      </c>
      <c r="E47" s="611" t="str">
        <f>IF(E$34&gt;0,(INDEX(A_Aufgaben,(E$34-Arbeitszeit!$A$6+1),(2*(ROW()-ROW(A_Endedatum))-1))),"")</f>
        <v/>
      </c>
      <c r="F47" s="612" t="str">
        <f>IF(F$34&gt;0,(INDEX(A_Aufgaben,(F$34-Arbeitszeit!$A$6+1),(2*(ROW()-ROW(A_Endedatum))-1))),"")</f>
        <v/>
      </c>
      <c r="G47" s="611" t="str">
        <f>IF(G$34&gt;0,(INDEX(A_Aufgaben,(G$34-Arbeitszeit!$A$6+1),(2*(ROW()-ROW(A_Endedatum))-1))),"")</f>
        <v/>
      </c>
      <c r="H47" s="612" t="str">
        <f>IF(H$34&gt;0,(INDEX(A_Aufgaben,(H$34-Arbeitszeit!$A$6+1),(2*(ROW()-ROW(A_Endedatum))-1))),"")</f>
        <v/>
      </c>
      <c r="I47" s="611" t="str">
        <f>IF(I$34&gt;0,(INDEX(A_Aufgaben,(I$34-Arbeitszeit!$A$6+1),(2*(ROW()-ROW(A_Endedatum))-1))),"")</f>
        <v/>
      </c>
      <c r="J47" s="612" t="str">
        <f>IF(J$34&gt;0,(INDEX(A_Aufgaben,(J$34-Arbeitszeit!$A$6+1),(2*(ROW()-ROW(A_Endedatum))-1))),"")</f>
        <v/>
      </c>
      <c r="K47" s="611" t="str">
        <f>IF(K$34&gt;0,(INDEX(A_Aufgaben,(K$34-Arbeitszeit!$A$6+1),(2*(ROW()-ROW(A_Endedatum))-1))),"")</f>
        <v/>
      </c>
      <c r="L47" s="612" t="str">
        <f>IF(L$34&gt;0,(INDEX(A_Aufgaben,(L$34-Arbeitszeit!$A$6+1),(2*(ROW()-ROW(A_Endedatum))-1))),"")</f>
        <v/>
      </c>
      <c r="M47" s="611" t="str">
        <f>IF(M$34&gt;0,(INDEX(A_Aufgaben,(M$34-Arbeitszeit!$A$6+1),(2*(ROW()-ROW(A_Endedatum))-1))),"")</f>
        <v/>
      </c>
      <c r="N47" s="612" t="str">
        <f>IF(N$34&gt;0,(INDEX(A_Aufgaben,(N$34-Arbeitszeit!$A$6+1),(2*(ROW()-ROW(A_Endedatum))-1))),"")</f>
        <v/>
      </c>
      <c r="O47" s="611" t="str">
        <f>IF(O$34&gt;0,(INDEX(A_Aufgaben,(O$34-Arbeitszeit!$A$6+1),(2*(ROW()-ROW(A_Endedatum))-1))),"")</f>
        <v/>
      </c>
      <c r="P47" s="612" t="str">
        <f>IF(P$34&gt;0,(INDEX(A_Aufgaben,(P$34-Arbeitszeit!$A$6+1),(2*(ROW()-ROW(A_Endedatum))-1))),"")</f>
        <v/>
      </c>
      <c r="Q47" s="611" t="str">
        <f>IF(Q$34&gt;0,(INDEX(A_Aufgaben,(Q$34-Arbeitszeit!$A$6+1),(2*(ROW()-ROW(A_Endedatum))-1))),"")</f>
        <v/>
      </c>
      <c r="R47" s="612" t="str">
        <f>IF(R$34&gt;0,(INDEX(A_Aufgaben,(R$34-Arbeitszeit!$A$6+1),(2*(ROW()-ROW(A_Endedatum))-1))),"")</f>
        <v/>
      </c>
      <c r="S47" s="611" t="str">
        <f>IF(S$34&gt;0,(INDEX(A_Aufgaben,(S$34-Arbeitszeit!$A$6+1),(2*(ROW()-ROW(A_Endedatum))-1))),"")</f>
        <v/>
      </c>
      <c r="T47" s="612" t="str">
        <f>IF(T$34&gt;0,(INDEX(A_Aufgaben,(T$34-Arbeitszeit!$A$6+1),(2*(ROW()-ROW(A_Endedatum))-1))),"")</f>
        <v/>
      </c>
      <c r="U47" s="611" t="str">
        <f>IF(U$34&gt;0,(INDEX(A_Aufgaben,(U$34-Arbeitszeit!$A$6+1),(2*(ROW()-ROW(A_Endedatum))-1))),"")</f>
        <v/>
      </c>
      <c r="V47" s="612" t="str">
        <f>IF(V$34&gt;0,(INDEX(A_Aufgaben,(V$34-Arbeitszeit!$A$6+1),(2*(ROW()-ROW(A_Endedatum))-1))),"")</f>
        <v/>
      </c>
      <c r="W47" s="611" t="str">
        <f>IF(W$34&gt;0,(INDEX(A_Aufgaben,(W$34-Arbeitszeit!$A$6+1),(2*(ROW()-ROW(A_Endedatum))-1))),"")</f>
        <v/>
      </c>
      <c r="X47" s="612" t="str">
        <f>IF(X$34&gt;0,(INDEX(A_Aufgaben,(X$34-Arbeitszeit!$A$6+1),(2*(ROW()-ROW(A_Endedatum))-1))),"")</f>
        <v/>
      </c>
      <c r="Y47" s="611" t="str">
        <f>IF(Y$34&gt;0,(INDEX(A_Aufgaben,(Y$34-Arbeitszeit!$A$6+1),(2*(ROW()-ROW(A_Endedatum))-1))),"")</f>
        <v/>
      </c>
      <c r="Z47" s="612" t="str">
        <f>IF(Z$34&gt;0,(INDEX(A_Aufgaben,(Z$34-Arbeitszeit!$A$6+1),(2*(ROW()-ROW(A_Endedatum))-1))),"")</f>
        <v/>
      </c>
      <c r="AA47" s="611" t="str">
        <f>IF(AA$34&gt;0,(INDEX(A_Aufgaben,(AA$34-Arbeitszeit!$A$6+1),(2*(ROW()-ROW(A_Endedatum))-1))),"")</f>
        <v/>
      </c>
      <c r="AB47" s="612" t="str">
        <f>IF(AB$34&gt;0,(INDEX(A_Aufgaben,(AB$34-Arbeitszeit!$A$6+1),(2*(ROW()-ROW(A_Endedatum))-1))),"")</f>
        <v/>
      </c>
      <c r="AC47" s="611" t="str">
        <f>IF(AC$34&gt;0,(INDEX(A_Aufgaben,(AC$34-Arbeitszeit!$A$6+1),(2*(ROW()-ROW(A_Endedatum))-1))),"")</f>
        <v/>
      </c>
      <c r="AD47" s="612" t="str">
        <f>IF(AD$34&gt;0,(INDEX(A_Aufgaben,(AD$34-Arbeitszeit!$A$6+1),(2*(ROW()-ROW(A_Endedatum))-1))),"")</f>
        <v/>
      </c>
      <c r="AE47" s="611" t="str">
        <f>IF(AE$34&gt;0,(INDEX(A_Aufgaben,(AE$34-Arbeitszeit!$A$6+1),(2*(ROW()-ROW(A_Endedatum))-1))),"")</f>
        <v/>
      </c>
      <c r="AF47" s="612" t="str">
        <f>IF(AF$34&gt;0,(INDEX(A_Aufgaben,(AF$34-Arbeitszeit!$A$6+1),(2*(ROW()-ROW(A_Endedatum))-1))),"")</f>
        <v/>
      </c>
      <c r="AG47" s="611" t="str">
        <f>IF(AG$34&gt;0,(INDEX(A_Aufgaben,(AG$34-Arbeitszeit!$A$6+1),(2*(ROW()-ROW(A_Endedatum))-1))),"")</f>
        <v/>
      </c>
      <c r="AH47" s="620">
        <f t="shared" si="7"/>
        <v>0</v>
      </c>
      <c r="AI47" s="285">
        <f t="shared" si="8"/>
        <v>0</v>
      </c>
      <c r="AJ47" s="646">
        <f t="shared" si="11"/>
        <v>0</v>
      </c>
    </row>
    <row r="48" spans="1:36" hidden="1" outlineLevel="1">
      <c r="A48">
        <f t="shared" si="9"/>
        <v>0</v>
      </c>
      <c r="B48" s="610" t="str">
        <f t="shared" si="10"/>
        <v>Aufgabe 11</v>
      </c>
      <c r="C48" s="611" t="str">
        <f>IF(C$34&gt;0,(INDEX(A_Aufgaben,(C$34-Arbeitszeit!$A$6+1),(2*(ROW()-ROW(A_Endedatum))-1))),"")</f>
        <v/>
      </c>
      <c r="D48" s="612" t="str">
        <f>IF(D$34&gt;0,(INDEX(A_Aufgaben,(D$34-Arbeitszeit!$A$6+1),(2*(ROW()-ROW(A_Endedatum))-1))),"")</f>
        <v/>
      </c>
      <c r="E48" s="611" t="str">
        <f>IF(E$34&gt;0,(INDEX(A_Aufgaben,(E$34-Arbeitszeit!$A$6+1),(2*(ROW()-ROW(A_Endedatum))-1))),"")</f>
        <v/>
      </c>
      <c r="F48" s="612" t="str">
        <f>IF(F$34&gt;0,(INDEX(A_Aufgaben,(F$34-Arbeitszeit!$A$6+1),(2*(ROW()-ROW(A_Endedatum))-1))),"")</f>
        <v/>
      </c>
      <c r="G48" s="611" t="str">
        <f>IF(G$34&gt;0,(INDEX(A_Aufgaben,(G$34-Arbeitszeit!$A$6+1),(2*(ROW()-ROW(A_Endedatum))-1))),"")</f>
        <v/>
      </c>
      <c r="H48" s="612" t="str">
        <f>IF(H$34&gt;0,(INDEX(A_Aufgaben,(H$34-Arbeitszeit!$A$6+1),(2*(ROW()-ROW(A_Endedatum))-1))),"")</f>
        <v/>
      </c>
      <c r="I48" s="611" t="str">
        <f>IF(I$34&gt;0,(INDEX(A_Aufgaben,(I$34-Arbeitszeit!$A$6+1),(2*(ROW()-ROW(A_Endedatum))-1))),"")</f>
        <v/>
      </c>
      <c r="J48" s="612" t="str">
        <f>IF(J$34&gt;0,(INDEX(A_Aufgaben,(J$34-Arbeitszeit!$A$6+1),(2*(ROW()-ROW(A_Endedatum))-1))),"")</f>
        <v/>
      </c>
      <c r="K48" s="611" t="str">
        <f>IF(K$34&gt;0,(INDEX(A_Aufgaben,(K$34-Arbeitszeit!$A$6+1),(2*(ROW()-ROW(A_Endedatum))-1))),"")</f>
        <v/>
      </c>
      <c r="L48" s="612" t="str">
        <f>IF(L$34&gt;0,(INDEX(A_Aufgaben,(L$34-Arbeitszeit!$A$6+1),(2*(ROW()-ROW(A_Endedatum))-1))),"")</f>
        <v/>
      </c>
      <c r="M48" s="611" t="str">
        <f>IF(M$34&gt;0,(INDEX(A_Aufgaben,(M$34-Arbeitszeit!$A$6+1),(2*(ROW()-ROW(A_Endedatum))-1))),"")</f>
        <v/>
      </c>
      <c r="N48" s="612" t="str">
        <f>IF(N$34&gt;0,(INDEX(A_Aufgaben,(N$34-Arbeitszeit!$A$6+1),(2*(ROW()-ROW(A_Endedatum))-1))),"")</f>
        <v/>
      </c>
      <c r="O48" s="611" t="str">
        <f>IF(O$34&gt;0,(INDEX(A_Aufgaben,(O$34-Arbeitszeit!$A$6+1),(2*(ROW()-ROW(A_Endedatum))-1))),"")</f>
        <v/>
      </c>
      <c r="P48" s="612" t="str">
        <f>IF(P$34&gt;0,(INDEX(A_Aufgaben,(P$34-Arbeitszeit!$A$6+1),(2*(ROW()-ROW(A_Endedatum))-1))),"")</f>
        <v/>
      </c>
      <c r="Q48" s="611" t="str">
        <f>IF(Q$34&gt;0,(INDEX(A_Aufgaben,(Q$34-Arbeitszeit!$A$6+1),(2*(ROW()-ROW(A_Endedatum))-1))),"")</f>
        <v/>
      </c>
      <c r="R48" s="612" t="str">
        <f>IF(R$34&gt;0,(INDEX(A_Aufgaben,(R$34-Arbeitszeit!$A$6+1),(2*(ROW()-ROW(A_Endedatum))-1))),"")</f>
        <v/>
      </c>
      <c r="S48" s="611" t="str">
        <f>IF(S$34&gt;0,(INDEX(A_Aufgaben,(S$34-Arbeitszeit!$A$6+1),(2*(ROW()-ROW(A_Endedatum))-1))),"")</f>
        <v/>
      </c>
      <c r="T48" s="612" t="str">
        <f>IF(T$34&gt;0,(INDEX(A_Aufgaben,(T$34-Arbeitszeit!$A$6+1),(2*(ROW()-ROW(A_Endedatum))-1))),"")</f>
        <v/>
      </c>
      <c r="U48" s="611" t="str">
        <f>IF(U$34&gt;0,(INDEX(A_Aufgaben,(U$34-Arbeitszeit!$A$6+1),(2*(ROW()-ROW(A_Endedatum))-1))),"")</f>
        <v/>
      </c>
      <c r="V48" s="612" t="str">
        <f>IF(V$34&gt;0,(INDEX(A_Aufgaben,(V$34-Arbeitszeit!$A$6+1),(2*(ROW()-ROW(A_Endedatum))-1))),"")</f>
        <v/>
      </c>
      <c r="W48" s="611" t="str">
        <f>IF(W$34&gt;0,(INDEX(A_Aufgaben,(W$34-Arbeitszeit!$A$6+1),(2*(ROW()-ROW(A_Endedatum))-1))),"")</f>
        <v/>
      </c>
      <c r="X48" s="612" t="str">
        <f>IF(X$34&gt;0,(INDEX(A_Aufgaben,(X$34-Arbeitszeit!$A$6+1),(2*(ROW()-ROW(A_Endedatum))-1))),"")</f>
        <v/>
      </c>
      <c r="Y48" s="611" t="str">
        <f>IF(Y$34&gt;0,(INDEX(A_Aufgaben,(Y$34-Arbeitszeit!$A$6+1),(2*(ROW()-ROW(A_Endedatum))-1))),"")</f>
        <v/>
      </c>
      <c r="Z48" s="612" t="str">
        <f>IF(Z$34&gt;0,(INDEX(A_Aufgaben,(Z$34-Arbeitszeit!$A$6+1),(2*(ROW()-ROW(A_Endedatum))-1))),"")</f>
        <v/>
      </c>
      <c r="AA48" s="611" t="str">
        <f>IF(AA$34&gt;0,(INDEX(A_Aufgaben,(AA$34-Arbeitszeit!$A$6+1),(2*(ROW()-ROW(A_Endedatum))-1))),"")</f>
        <v/>
      </c>
      <c r="AB48" s="612" t="str">
        <f>IF(AB$34&gt;0,(INDEX(A_Aufgaben,(AB$34-Arbeitszeit!$A$6+1),(2*(ROW()-ROW(A_Endedatum))-1))),"")</f>
        <v/>
      </c>
      <c r="AC48" s="611" t="str">
        <f>IF(AC$34&gt;0,(INDEX(A_Aufgaben,(AC$34-Arbeitszeit!$A$6+1),(2*(ROW()-ROW(A_Endedatum))-1))),"")</f>
        <v/>
      </c>
      <c r="AD48" s="612" t="str">
        <f>IF(AD$34&gt;0,(INDEX(A_Aufgaben,(AD$34-Arbeitszeit!$A$6+1),(2*(ROW()-ROW(A_Endedatum))-1))),"")</f>
        <v/>
      </c>
      <c r="AE48" s="611" t="str">
        <f>IF(AE$34&gt;0,(INDEX(A_Aufgaben,(AE$34-Arbeitszeit!$A$6+1),(2*(ROW()-ROW(A_Endedatum))-1))),"")</f>
        <v/>
      </c>
      <c r="AF48" s="612" t="str">
        <f>IF(AF$34&gt;0,(INDEX(A_Aufgaben,(AF$34-Arbeitszeit!$A$6+1),(2*(ROW()-ROW(A_Endedatum))-1))),"")</f>
        <v/>
      </c>
      <c r="AG48" s="611" t="str">
        <f>IF(AG$34&gt;0,(INDEX(A_Aufgaben,(AG$34-Arbeitszeit!$A$6+1),(2*(ROW()-ROW(A_Endedatum))-1))),"")</f>
        <v/>
      </c>
      <c r="AH48" s="620">
        <f t="shared" si="7"/>
        <v>0</v>
      </c>
      <c r="AI48" s="285">
        <f t="shared" si="8"/>
        <v>0</v>
      </c>
      <c r="AJ48" s="646">
        <f t="shared" si="11"/>
        <v>0</v>
      </c>
    </row>
    <row r="49" spans="1:36" hidden="1" outlineLevel="1">
      <c r="A49">
        <f t="shared" si="9"/>
        <v>0</v>
      </c>
      <c r="B49" s="610" t="str">
        <f t="shared" si="10"/>
        <v>Aufgabe 12</v>
      </c>
      <c r="C49" s="611" t="str">
        <f>IF(C$34&gt;0,(INDEX(A_Aufgaben,(C$34-Arbeitszeit!$A$6+1),(2*(ROW()-ROW(A_Endedatum))-1))),"")</f>
        <v/>
      </c>
      <c r="D49" s="612" t="str">
        <f>IF(D$34&gt;0,(INDEX(A_Aufgaben,(D$34-Arbeitszeit!$A$6+1),(2*(ROW()-ROW(A_Endedatum))-1))),"")</f>
        <v/>
      </c>
      <c r="E49" s="611" t="str">
        <f>IF(E$34&gt;0,(INDEX(A_Aufgaben,(E$34-Arbeitszeit!$A$6+1),(2*(ROW()-ROW(A_Endedatum))-1))),"")</f>
        <v/>
      </c>
      <c r="F49" s="612" t="str">
        <f>IF(F$34&gt;0,(INDEX(A_Aufgaben,(F$34-Arbeitszeit!$A$6+1),(2*(ROW()-ROW(A_Endedatum))-1))),"")</f>
        <v/>
      </c>
      <c r="G49" s="611" t="str">
        <f>IF(G$34&gt;0,(INDEX(A_Aufgaben,(G$34-Arbeitszeit!$A$6+1),(2*(ROW()-ROW(A_Endedatum))-1))),"")</f>
        <v/>
      </c>
      <c r="H49" s="612" t="str">
        <f>IF(H$34&gt;0,(INDEX(A_Aufgaben,(H$34-Arbeitszeit!$A$6+1),(2*(ROW()-ROW(A_Endedatum))-1))),"")</f>
        <v/>
      </c>
      <c r="I49" s="611" t="str">
        <f>IF(I$34&gt;0,(INDEX(A_Aufgaben,(I$34-Arbeitszeit!$A$6+1),(2*(ROW()-ROW(A_Endedatum))-1))),"")</f>
        <v/>
      </c>
      <c r="J49" s="612" t="str">
        <f>IF(J$34&gt;0,(INDEX(A_Aufgaben,(J$34-Arbeitszeit!$A$6+1),(2*(ROW()-ROW(A_Endedatum))-1))),"")</f>
        <v/>
      </c>
      <c r="K49" s="611" t="str">
        <f>IF(K$34&gt;0,(INDEX(A_Aufgaben,(K$34-Arbeitszeit!$A$6+1),(2*(ROW()-ROW(A_Endedatum))-1))),"")</f>
        <v/>
      </c>
      <c r="L49" s="612" t="str">
        <f>IF(L$34&gt;0,(INDEX(A_Aufgaben,(L$34-Arbeitszeit!$A$6+1),(2*(ROW()-ROW(A_Endedatum))-1))),"")</f>
        <v/>
      </c>
      <c r="M49" s="611" t="str">
        <f>IF(M$34&gt;0,(INDEX(A_Aufgaben,(M$34-Arbeitszeit!$A$6+1),(2*(ROW()-ROW(A_Endedatum))-1))),"")</f>
        <v/>
      </c>
      <c r="N49" s="612" t="str">
        <f>IF(N$34&gt;0,(INDEX(A_Aufgaben,(N$34-Arbeitszeit!$A$6+1),(2*(ROW()-ROW(A_Endedatum))-1))),"")</f>
        <v/>
      </c>
      <c r="O49" s="611" t="str">
        <f>IF(O$34&gt;0,(INDEX(A_Aufgaben,(O$34-Arbeitszeit!$A$6+1),(2*(ROW()-ROW(A_Endedatum))-1))),"")</f>
        <v/>
      </c>
      <c r="P49" s="612" t="str">
        <f>IF(P$34&gt;0,(INDEX(A_Aufgaben,(P$34-Arbeitszeit!$A$6+1),(2*(ROW()-ROW(A_Endedatum))-1))),"")</f>
        <v/>
      </c>
      <c r="Q49" s="611" t="str">
        <f>IF(Q$34&gt;0,(INDEX(A_Aufgaben,(Q$34-Arbeitszeit!$A$6+1),(2*(ROW()-ROW(A_Endedatum))-1))),"")</f>
        <v/>
      </c>
      <c r="R49" s="612" t="str">
        <f>IF(R$34&gt;0,(INDEX(A_Aufgaben,(R$34-Arbeitszeit!$A$6+1),(2*(ROW()-ROW(A_Endedatum))-1))),"")</f>
        <v/>
      </c>
      <c r="S49" s="611" t="str">
        <f>IF(S$34&gt;0,(INDEX(A_Aufgaben,(S$34-Arbeitszeit!$A$6+1),(2*(ROW()-ROW(A_Endedatum))-1))),"")</f>
        <v/>
      </c>
      <c r="T49" s="612" t="str">
        <f>IF(T$34&gt;0,(INDEX(A_Aufgaben,(T$34-Arbeitszeit!$A$6+1),(2*(ROW()-ROW(A_Endedatum))-1))),"")</f>
        <v/>
      </c>
      <c r="U49" s="611" t="str">
        <f>IF(U$34&gt;0,(INDEX(A_Aufgaben,(U$34-Arbeitszeit!$A$6+1),(2*(ROW()-ROW(A_Endedatum))-1))),"")</f>
        <v/>
      </c>
      <c r="V49" s="612" t="str">
        <f>IF(V$34&gt;0,(INDEX(A_Aufgaben,(V$34-Arbeitszeit!$A$6+1),(2*(ROW()-ROW(A_Endedatum))-1))),"")</f>
        <v/>
      </c>
      <c r="W49" s="611" t="str">
        <f>IF(W$34&gt;0,(INDEX(A_Aufgaben,(W$34-Arbeitszeit!$A$6+1),(2*(ROW()-ROW(A_Endedatum))-1))),"")</f>
        <v/>
      </c>
      <c r="X49" s="612" t="str">
        <f>IF(X$34&gt;0,(INDEX(A_Aufgaben,(X$34-Arbeitszeit!$A$6+1),(2*(ROW()-ROW(A_Endedatum))-1))),"")</f>
        <v/>
      </c>
      <c r="Y49" s="611" t="str">
        <f>IF(Y$34&gt;0,(INDEX(A_Aufgaben,(Y$34-Arbeitszeit!$A$6+1),(2*(ROW()-ROW(A_Endedatum))-1))),"")</f>
        <v/>
      </c>
      <c r="Z49" s="612" t="str">
        <f>IF(Z$34&gt;0,(INDEX(A_Aufgaben,(Z$34-Arbeitszeit!$A$6+1),(2*(ROW()-ROW(A_Endedatum))-1))),"")</f>
        <v/>
      </c>
      <c r="AA49" s="611" t="str">
        <f>IF(AA$34&gt;0,(INDEX(A_Aufgaben,(AA$34-Arbeitszeit!$A$6+1),(2*(ROW()-ROW(A_Endedatum))-1))),"")</f>
        <v/>
      </c>
      <c r="AB49" s="612" t="str">
        <f>IF(AB$34&gt;0,(INDEX(A_Aufgaben,(AB$34-Arbeitszeit!$A$6+1),(2*(ROW()-ROW(A_Endedatum))-1))),"")</f>
        <v/>
      </c>
      <c r="AC49" s="611" t="str">
        <f>IF(AC$34&gt;0,(INDEX(A_Aufgaben,(AC$34-Arbeitszeit!$A$6+1),(2*(ROW()-ROW(A_Endedatum))-1))),"")</f>
        <v/>
      </c>
      <c r="AD49" s="612" t="str">
        <f>IF(AD$34&gt;0,(INDEX(A_Aufgaben,(AD$34-Arbeitszeit!$A$6+1),(2*(ROW()-ROW(A_Endedatum))-1))),"")</f>
        <v/>
      </c>
      <c r="AE49" s="611" t="str">
        <f>IF(AE$34&gt;0,(INDEX(A_Aufgaben,(AE$34-Arbeitszeit!$A$6+1),(2*(ROW()-ROW(A_Endedatum))-1))),"")</f>
        <v/>
      </c>
      <c r="AF49" s="612" t="str">
        <f>IF(AF$34&gt;0,(INDEX(A_Aufgaben,(AF$34-Arbeitszeit!$A$6+1),(2*(ROW()-ROW(A_Endedatum))-1))),"")</f>
        <v/>
      </c>
      <c r="AG49" s="611" t="str">
        <f>IF(AG$34&gt;0,(INDEX(A_Aufgaben,(AG$34-Arbeitszeit!$A$6+1),(2*(ROW()-ROW(A_Endedatum))-1))),"")</f>
        <v/>
      </c>
      <c r="AH49" s="620">
        <f t="shared" si="7"/>
        <v>0</v>
      </c>
      <c r="AI49" s="285">
        <f t="shared" si="8"/>
        <v>0</v>
      </c>
      <c r="AJ49" s="646">
        <f t="shared" si="11"/>
        <v>0</v>
      </c>
    </row>
    <row r="50" spans="1:36" hidden="1" outlineLevel="1">
      <c r="A50">
        <f t="shared" si="9"/>
        <v>0</v>
      </c>
      <c r="B50" s="610" t="str">
        <f t="shared" si="10"/>
        <v>Aufgabe 13</v>
      </c>
      <c r="C50" s="611" t="str">
        <f>IF(C$34&gt;0,(INDEX(A_Aufgaben,(C$34-Arbeitszeit!$A$6+1),(2*(ROW()-ROW(A_Endedatum))-1))),"")</f>
        <v/>
      </c>
      <c r="D50" s="612" t="str">
        <f>IF(D$34&gt;0,(INDEX(A_Aufgaben,(D$34-Arbeitszeit!$A$6+1),(2*(ROW()-ROW(A_Endedatum))-1))),"")</f>
        <v/>
      </c>
      <c r="E50" s="611" t="str">
        <f>IF(E$34&gt;0,(INDEX(A_Aufgaben,(E$34-Arbeitszeit!$A$6+1),(2*(ROW()-ROW(A_Endedatum))-1))),"")</f>
        <v/>
      </c>
      <c r="F50" s="612" t="str">
        <f>IF(F$34&gt;0,(INDEX(A_Aufgaben,(F$34-Arbeitszeit!$A$6+1),(2*(ROW()-ROW(A_Endedatum))-1))),"")</f>
        <v/>
      </c>
      <c r="G50" s="611" t="str">
        <f>IF(G$34&gt;0,(INDEX(A_Aufgaben,(G$34-Arbeitszeit!$A$6+1),(2*(ROW()-ROW(A_Endedatum))-1))),"")</f>
        <v/>
      </c>
      <c r="H50" s="612" t="str">
        <f>IF(H$34&gt;0,(INDEX(A_Aufgaben,(H$34-Arbeitszeit!$A$6+1),(2*(ROW()-ROW(A_Endedatum))-1))),"")</f>
        <v/>
      </c>
      <c r="I50" s="611" t="str">
        <f>IF(I$34&gt;0,(INDEX(A_Aufgaben,(I$34-Arbeitszeit!$A$6+1),(2*(ROW()-ROW(A_Endedatum))-1))),"")</f>
        <v/>
      </c>
      <c r="J50" s="612" t="str">
        <f>IF(J$34&gt;0,(INDEX(A_Aufgaben,(J$34-Arbeitszeit!$A$6+1),(2*(ROW()-ROW(A_Endedatum))-1))),"")</f>
        <v/>
      </c>
      <c r="K50" s="611" t="str">
        <f>IF(K$34&gt;0,(INDEX(A_Aufgaben,(K$34-Arbeitszeit!$A$6+1),(2*(ROW()-ROW(A_Endedatum))-1))),"")</f>
        <v/>
      </c>
      <c r="L50" s="612" t="str">
        <f>IF(L$34&gt;0,(INDEX(A_Aufgaben,(L$34-Arbeitszeit!$A$6+1),(2*(ROW()-ROW(A_Endedatum))-1))),"")</f>
        <v/>
      </c>
      <c r="M50" s="611" t="str">
        <f>IF(M$34&gt;0,(INDEX(A_Aufgaben,(M$34-Arbeitszeit!$A$6+1),(2*(ROW()-ROW(A_Endedatum))-1))),"")</f>
        <v/>
      </c>
      <c r="N50" s="612" t="str">
        <f>IF(N$34&gt;0,(INDEX(A_Aufgaben,(N$34-Arbeitszeit!$A$6+1),(2*(ROW()-ROW(A_Endedatum))-1))),"")</f>
        <v/>
      </c>
      <c r="O50" s="611" t="str">
        <f>IF(O$34&gt;0,(INDEX(A_Aufgaben,(O$34-Arbeitszeit!$A$6+1),(2*(ROW()-ROW(A_Endedatum))-1))),"")</f>
        <v/>
      </c>
      <c r="P50" s="612" t="str">
        <f>IF(P$34&gt;0,(INDEX(A_Aufgaben,(P$34-Arbeitszeit!$A$6+1),(2*(ROW()-ROW(A_Endedatum))-1))),"")</f>
        <v/>
      </c>
      <c r="Q50" s="611" t="str">
        <f>IF(Q$34&gt;0,(INDEX(A_Aufgaben,(Q$34-Arbeitszeit!$A$6+1),(2*(ROW()-ROW(A_Endedatum))-1))),"")</f>
        <v/>
      </c>
      <c r="R50" s="612" t="str">
        <f>IF(R$34&gt;0,(INDEX(A_Aufgaben,(R$34-Arbeitszeit!$A$6+1),(2*(ROW()-ROW(A_Endedatum))-1))),"")</f>
        <v/>
      </c>
      <c r="S50" s="611" t="str">
        <f>IF(S$34&gt;0,(INDEX(A_Aufgaben,(S$34-Arbeitszeit!$A$6+1),(2*(ROW()-ROW(A_Endedatum))-1))),"")</f>
        <v/>
      </c>
      <c r="T50" s="612" t="str">
        <f>IF(T$34&gt;0,(INDEX(A_Aufgaben,(T$34-Arbeitszeit!$A$6+1),(2*(ROW()-ROW(A_Endedatum))-1))),"")</f>
        <v/>
      </c>
      <c r="U50" s="611" t="str">
        <f>IF(U$34&gt;0,(INDEX(A_Aufgaben,(U$34-Arbeitszeit!$A$6+1),(2*(ROW()-ROW(A_Endedatum))-1))),"")</f>
        <v/>
      </c>
      <c r="V50" s="612" t="str">
        <f>IF(V$34&gt;0,(INDEX(A_Aufgaben,(V$34-Arbeitszeit!$A$6+1),(2*(ROW()-ROW(A_Endedatum))-1))),"")</f>
        <v/>
      </c>
      <c r="W50" s="611" t="str">
        <f>IF(W$34&gt;0,(INDEX(A_Aufgaben,(W$34-Arbeitszeit!$A$6+1),(2*(ROW()-ROW(A_Endedatum))-1))),"")</f>
        <v/>
      </c>
      <c r="X50" s="612" t="str">
        <f>IF(X$34&gt;0,(INDEX(A_Aufgaben,(X$34-Arbeitszeit!$A$6+1),(2*(ROW()-ROW(A_Endedatum))-1))),"")</f>
        <v/>
      </c>
      <c r="Y50" s="611" t="str">
        <f>IF(Y$34&gt;0,(INDEX(A_Aufgaben,(Y$34-Arbeitszeit!$A$6+1),(2*(ROW()-ROW(A_Endedatum))-1))),"")</f>
        <v/>
      </c>
      <c r="Z50" s="612" t="str">
        <f>IF(Z$34&gt;0,(INDEX(A_Aufgaben,(Z$34-Arbeitszeit!$A$6+1),(2*(ROW()-ROW(A_Endedatum))-1))),"")</f>
        <v/>
      </c>
      <c r="AA50" s="611" t="str">
        <f>IF(AA$34&gt;0,(INDEX(A_Aufgaben,(AA$34-Arbeitszeit!$A$6+1),(2*(ROW()-ROW(A_Endedatum))-1))),"")</f>
        <v/>
      </c>
      <c r="AB50" s="612" t="str">
        <f>IF(AB$34&gt;0,(INDEX(A_Aufgaben,(AB$34-Arbeitszeit!$A$6+1),(2*(ROW()-ROW(A_Endedatum))-1))),"")</f>
        <v/>
      </c>
      <c r="AC50" s="611" t="str">
        <f>IF(AC$34&gt;0,(INDEX(A_Aufgaben,(AC$34-Arbeitszeit!$A$6+1),(2*(ROW()-ROW(A_Endedatum))-1))),"")</f>
        <v/>
      </c>
      <c r="AD50" s="612" t="str">
        <f>IF(AD$34&gt;0,(INDEX(A_Aufgaben,(AD$34-Arbeitszeit!$A$6+1),(2*(ROW()-ROW(A_Endedatum))-1))),"")</f>
        <v/>
      </c>
      <c r="AE50" s="611" t="str">
        <f>IF(AE$34&gt;0,(INDEX(A_Aufgaben,(AE$34-Arbeitszeit!$A$6+1),(2*(ROW()-ROW(A_Endedatum))-1))),"")</f>
        <v/>
      </c>
      <c r="AF50" s="612" t="str">
        <f>IF(AF$34&gt;0,(INDEX(A_Aufgaben,(AF$34-Arbeitszeit!$A$6+1),(2*(ROW()-ROW(A_Endedatum))-1))),"")</f>
        <v/>
      </c>
      <c r="AG50" s="611" t="str">
        <f>IF(AG$34&gt;0,(INDEX(A_Aufgaben,(AG$34-Arbeitszeit!$A$6+1),(2*(ROW()-ROW(A_Endedatum))-1))),"")</f>
        <v/>
      </c>
      <c r="AH50" s="620">
        <f t="shared" si="7"/>
        <v>0</v>
      </c>
      <c r="AI50" s="285">
        <f t="shared" si="8"/>
        <v>0</v>
      </c>
      <c r="AJ50" s="646">
        <f t="shared" si="11"/>
        <v>0</v>
      </c>
    </row>
    <row r="51" spans="1:36" hidden="1" outlineLevel="1">
      <c r="A51">
        <f t="shared" si="9"/>
        <v>0</v>
      </c>
      <c r="B51" s="610" t="str">
        <f t="shared" si="10"/>
        <v>Aufgabe 14</v>
      </c>
      <c r="C51" s="611" t="str">
        <f>IF(C$34&gt;0,(INDEX(A_Aufgaben,(C$34-Arbeitszeit!$A$6+1),(2*(ROW()-ROW(A_Endedatum))-1))),"")</f>
        <v/>
      </c>
      <c r="D51" s="612" t="str">
        <f>IF(D$34&gt;0,(INDEX(A_Aufgaben,(D$34-Arbeitszeit!$A$6+1),(2*(ROW()-ROW(A_Endedatum))-1))),"")</f>
        <v/>
      </c>
      <c r="E51" s="611" t="str">
        <f>IF(E$34&gt;0,(INDEX(A_Aufgaben,(E$34-Arbeitszeit!$A$6+1),(2*(ROW()-ROW(A_Endedatum))-1))),"")</f>
        <v/>
      </c>
      <c r="F51" s="612" t="str">
        <f>IF(F$34&gt;0,(INDEX(A_Aufgaben,(F$34-Arbeitszeit!$A$6+1),(2*(ROW()-ROW(A_Endedatum))-1))),"")</f>
        <v/>
      </c>
      <c r="G51" s="611" t="str">
        <f>IF(G$34&gt;0,(INDEX(A_Aufgaben,(G$34-Arbeitszeit!$A$6+1),(2*(ROW()-ROW(A_Endedatum))-1))),"")</f>
        <v/>
      </c>
      <c r="H51" s="612" t="str">
        <f>IF(H$34&gt;0,(INDEX(A_Aufgaben,(H$34-Arbeitszeit!$A$6+1),(2*(ROW()-ROW(A_Endedatum))-1))),"")</f>
        <v/>
      </c>
      <c r="I51" s="611" t="str">
        <f>IF(I$34&gt;0,(INDEX(A_Aufgaben,(I$34-Arbeitszeit!$A$6+1),(2*(ROW()-ROW(A_Endedatum))-1))),"")</f>
        <v/>
      </c>
      <c r="J51" s="612" t="str">
        <f>IF(J$34&gt;0,(INDEX(A_Aufgaben,(J$34-Arbeitszeit!$A$6+1),(2*(ROW()-ROW(A_Endedatum))-1))),"")</f>
        <v/>
      </c>
      <c r="K51" s="611" t="str">
        <f>IF(K$34&gt;0,(INDEX(A_Aufgaben,(K$34-Arbeitszeit!$A$6+1),(2*(ROW()-ROW(A_Endedatum))-1))),"")</f>
        <v/>
      </c>
      <c r="L51" s="612" t="str">
        <f>IF(L$34&gt;0,(INDEX(A_Aufgaben,(L$34-Arbeitszeit!$A$6+1),(2*(ROW()-ROW(A_Endedatum))-1))),"")</f>
        <v/>
      </c>
      <c r="M51" s="611" t="str">
        <f>IF(M$34&gt;0,(INDEX(A_Aufgaben,(M$34-Arbeitszeit!$A$6+1),(2*(ROW()-ROW(A_Endedatum))-1))),"")</f>
        <v/>
      </c>
      <c r="N51" s="612" t="str">
        <f>IF(N$34&gt;0,(INDEX(A_Aufgaben,(N$34-Arbeitszeit!$A$6+1),(2*(ROW()-ROW(A_Endedatum))-1))),"")</f>
        <v/>
      </c>
      <c r="O51" s="611" t="str">
        <f>IF(O$34&gt;0,(INDEX(A_Aufgaben,(O$34-Arbeitszeit!$A$6+1),(2*(ROW()-ROW(A_Endedatum))-1))),"")</f>
        <v/>
      </c>
      <c r="P51" s="612" t="str">
        <f>IF(P$34&gt;0,(INDEX(A_Aufgaben,(P$34-Arbeitszeit!$A$6+1),(2*(ROW()-ROW(A_Endedatum))-1))),"")</f>
        <v/>
      </c>
      <c r="Q51" s="611" t="str">
        <f>IF(Q$34&gt;0,(INDEX(A_Aufgaben,(Q$34-Arbeitszeit!$A$6+1),(2*(ROW()-ROW(A_Endedatum))-1))),"")</f>
        <v/>
      </c>
      <c r="R51" s="612" t="str">
        <f>IF(R$34&gt;0,(INDEX(A_Aufgaben,(R$34-Arbeitszeit!$A$6+1),(2*(ROW()-ROW(A_Endedatum))-1))),"")</f>
        <v/>
      </c>
      <c r="S51" s="611" t="str">
        <f>IF(S$34&gt;0,(INDEX(A_Aufgaben,(S$34-Arbeitszeit!$A$6+1),(2*(ROW()-ROW(A_Endedatum))-1))),"")</f>
        <v/>
      </c>
      <c r="T51" s="612" t="str">
        <f>IF(T$34&gt;0,(INDEX(A_Aufgaben,(T$34-Arbeitszeit!$A$6+1),(2*(ROW()-ROW(A_Endedatum))-1))),"")</f>
        <v/>
      </c>
      <c r="U51" s="611" t="str">
        <f>IF(U$34&gt;0,(INDEX(A_Aufgaben,(U$34-Arbeitszeit!$A$6+1),(2*(ROW()-ROW(A_Endedatum))-1))),"")</f>
        <v/>
      </c>
      <c r="V51" s="612" t="str">
        <f>IF(V$34&gt;0,(INDEX(A_Aufgaben,(V$34-Arbeitszeit!$A$6+1),(2*(ROW()-ROW(A_Endedatum))-1))),"")</f>
        <v/>
      </c>
      <c r="W51" s="611" t="str">
        <f>IF(W$34&gt;0,(INDEX(A_Aufgaben,(W$34-Arbeitszeit!$A$6+1),(2*(ROW()-ROW(A_Endedatum))-1))),"")</f>
        <v/>
      </c>
      <c r="X51" s="612" t="str">
        <f>IF(X$34&gt;0,(INDEX(A_Aufgaben,(X$34-Arbeitszeit!$A$6+1),(2*(ROW()-ROW(A_Endedatum))-1))),"")</f>
        <v/>
      </c>
      <c r="Y51" s="611" t="str">
        <f>IF(Y$34&gt;0,(INDEX(A_Aufgaben,(Y$34-Arbeitszeit!$A$6+1),(2*(ROW()-ROW(A_Endedatum))-1))),"")</f>
        <v/>
      </c>
      <c r="Z51" s="612" t="str">
        <f>IF(Z$34&gt;0,(INDEX(A_Aufgaben,(Z$34-Arbeitszeit!$A$6+1),(2*(ROW()-ROW(A_Endedatum))-1))),"")</f>
        <v/>
      </c>
      <c r="AA51" s="611" t="str">
        <f>IF(AA$34&gt;0,(INDEX(A_Aufgaben,(AA$34-Arbeitszeit!$A$6+1),(2*(ROW()-ROW(A_Endedatum))-1))),"")</f>
        <v/>
      </c>
      <c r="AB51" s="612" t="str">
        <f>IF(AB$34&gt;0,(INDEX(A_Aufgaben,(AB$34-Arbeitszeit!$A$6+1),(2*(ROW()-ROW(A_Endedatum))-1))),"")</f>
        <v/>
      </c>
      <c r="AC51" s="611" t="str">
        <f>IF(AC$34&gt;0,(INDEX(A_Aufgaben,(AC$34-Arbeitszeit!$A$6+1),(2*(ROW()-ROW(A_Endedatum))-1))),"")</f>
        <v/>
      </c>
      <c r="AD51" s="612" t="str">
        <f>IF(AD$34&gt;0,(INDEX(A_Aufgaben,(AD$34-Arbeitszeit!$A$6+1),(2*(ROW()-ROW(A_Endedatum))-1))),"")</f>
        <v/>
      </c>
      <c r="AE51" s="611" t="str">
        <f>IF(AE$34&gt;0,(INDEX(A_Aufgaben,(AE$34-Arbeitszeit!$A$6+1),(2*(ROW()-ROW(A_Endedatum))-1))),"")</f>
        <v/>
      </c>
      <c r="AF51" s="612" t="str">
        <f>IF(AF$34&gt;0,(INDEX(A_Aufgaben,(AF$34-Arbeitszeit!$A$6+1),(2*(ROW()-ROW(A_Endedatum))-1))),"")</f>
        <v/>
      </c>
      <c r="AG51" s="611" t="str">
        <f>IF(AG$34&gt;0,(INDEX(A_Aufgaben,(AG$34-Arbeitszeit!$A$6+1),(2*(ROW()-ROW(A_Endedatum))-1))),"")</f>
        <v/>
      </c>
      <c r="AH51" s="620">
        <f t="shared" si="7"/>
        <v>0</v>
      </c>
      <c r="AI51" s="285">
        <f t="shared" si="8"/>
        <v>0</v>
      </c>
      <c r="AJ51" s="646">
        <f t="shared" si="11"/>
        <v>0</v>
      </c>
    </row>
    <row r="52" spans="1:36" hidden="1" outlineLevel="1">
      <c r="A52">
        <f t="shared" si="9"/>
        <v>0</v>
      </c>
      <c r="B52" s="610" t="str">
        <f t="shared" si="10"/>
        <v>Aufgabe 15</v>
      </c>
      <c r="C52" s="611" t="str">
        <f>IF(C$34&gt;0,(INDEX(A_Aufgaben,(C$34-Arbeitszeit!$A$6+1),(2*(ROW()-ROW(A_Endedatum))-1))),"")</f>
        <v/>
      </c>
      <c r="D52" s="612" t="str">
        <f>IF(D$34&gt;0,(INDEX(A_Aufgaben,(D$34-Arbeitszeit!$A$6+1),(2*(ROW()-ROW(A_Endedatum))-1))),"")</f>
        <v/>
      </c>
      <c r="E52" s="611" t="str">
        <f>IF(E$34&gt;0,(INDEX(A_Aufgaben,(E$34-Arbeitszeit!$A$6+1),(2*(ROW()-ROW(A_Endedatum))-1))),"")</f>
        <v/>
      </c>
      <c r="F52" s="612" t="str">
        <f>IF(F$34&gt;0,(INDEX(A_Aufgaben,(F$34-Arbeitszeit!$A$6+1),(2*(ROW()-ROW(A_Endedatum))-1))),"")</f>
        <v/>
      </c>
      <c r="G52" s="611" t="str">
        <f>IF(G$34&gt;0,(INDEX(A_Aufgaben,(G$34-Arbeitszeit!$A$6+1),(2*(ROW()-ROW(A_Endedatum))-1))),"")</f>
        <v/>
      </c>
      <c r="H52" s="612" t="str">
        <f>IF(H$34&gt;0,(INDEX(A_Aufgaben,(H$34-Arbeitszeit!$A$6+1),(2*(ROW()-ROW(A_Endedatum))-1))),"")</f>
        <v/>
      </c>
      <c r="I52" s="611" t="str">
        <f>IF(I$34&gt;0,(INDEX(A_Aufgaben,(I$34-Arbeitszeit!$A$6+1),(2*(ROW()-ROW(A_Endedatum))-1))),"")</f>
        <v/>
      </c>
      <c r="J52" s="612" t="str">
        <f>IF(J$34&gt;0,(INDEX(A_Aufgaben,(J$34-Arbeitszeit!$A$6+1),(2*(ROW()-ROW(A_Endedatum))-1))),"")</f>
        <v/>
      </c>
      <c r="K52" s="611" t="str">
        <f>IF(K$34&gt;0,(INDEX(A_Aufgaben,(K$34-Arbeitszeit!$A$6+1),(2*(ROW()-ROW(A_Endedatum))-1))),"")</f>
        <v/>
      </c>
      <c r="L52" s="612" t="str">
        <f>IF(L$34&gt;0,(INDEX(A_Aufgaben,(L$34-Arbeitszeit!$A$6+1),(2*(ROW()-ROW(A_Endedatum))-1))),"")</f>
        <v/>
      </c>
      <c r="M52" s="611" t="str">
        <f>IF(M$34&gt;0,(INDEX(A_Aufgaben,(M$34-Arbeitszeit!$A$6+1),(2*(ROW()-ROW(A_Endedatum))-1))),"")</f>
        <v/>
      </c>
      <c r="N52" s="612" t="str">
        <f>IF(N$34&gt;0,(INDEX(A_Aufgaben,(N$34-Arbeitszeit!$A$6+1),(2*(ROW()-ROW(A_Endedatum))-1))),"")</f>
        <v/>
      </c>
      <c r="O52" s="611" t="str">
        <f>IF(O$34&gt;0,(INDEX(A_Aufgaben,(O$34-Arbeitszeit!$A$6+1),(2*(ROW()-ROW(A_Endedatum))-1))),"")</f>
        <v/>
      </c>
      <c r="P52" s="612" t="str">
        <f>IF(P$34&gt;0,(INDEX(A_Aufgaben,(P$34-Arbeitszeit!$A$6+1),(2*(ROW()-ROW(A_Endedatum))-1))),"")</f>
        <v/>
      </c>
      <c r="Q52" s="611" t="str">
        <f>IF(Q$34&gt;0,(INDEX(A_Aufgaben,(Q$34-Arbeitszeit!$A$6+1),(2*(ROW()-ROW(A_Endedatum))-1))),"")</f>
        <v/>
      </c>
      <c r="R52" s="612" t="str">
        <f>IF(R$34&gt;0,(INDEX(A_Aufgaben,(R$34-Arbeitszeit!$A$6+1),(2*(ROW()-ROW(A_Endedatum))-1))),"")</f>
        <v/>
      </c>
      <c r="S52" s="611" t="str">
        <f>IF(S$34&gt;0,(INDEX(A_Aufgaben,(S$34-Arbeitszeit!$A$6+1),(2*(ROW()-ROW(A_Endedatum))-1))),"")</f>
        <v/>
      </c>
      <c r="T52" s="612" t="str">
        <f>IF(T$34&gt;0,(INDEX(A_Aufgaben,(T$34-Arbeitszeit!$A$6+1),(2*(ROW()-ROW(A_Endedatum))-1))),"")</f>
        <v/>
      </c>
      <c r="U52" s="611" t="str">
        <f>IF(U$34&gt;0,(INDEX(A_Aufgaben,(U$34-Arbeitszeit!$A$6+1),(2*(ROW()-ROW(A_Endedatum))-1))),"")</f>
        <v/>
      </c>
      <c r="V52" s="612" t="str">
        <f>IF(V$34&gt;0,(INDEX(A_Aufgaben,(V$34-Arbeitszeit!$A$6+1),(2*(ROW()-ROW(A_Endedatum))-1))),"")</f>
        <v/>
      </c>
      <c r="W52" s="611" t="str">
        <f>IF(W$34&gt;0,(INDEX(A_Aufgaben,(W$34-Arbeitszeit!$A$6+1),(2*(ROW()-ROW(A_Endedatum))-1))),"")</f>
        <v/>
      </c>
      <c r="X52" s="612" t="str">
        <f>IF(X$34&gt;0,(INDEX(A_Aufgaben,(X$34-Arbeitszeit!$A$6+1),(2*(ROW()-ROW(A_Endedatum))-1))),"")</f>
        <v/>
      </c>
      <c r="Y52" s="611" t="str">
        <f>IF(Y$34&gt;0,(INDEX(A_Aufgaben,(Y$34-Arbeitszeit!$A$6+1),(2*(ROW()-ROW(A_Endedatum))-1))),"")</f>
        <v/>
      </c>
      <c r="Z52" s="612" t="str">
        <f>IF(Z$34&gt;0,(INDEX(A_Aufgaben,(Z$34-Arbeitszeit!$A$6+1),(2*(ROW()-ROW(A_Endedatum))-1))),"")</f>
        <v/>
      </c>
      <c r="AA52" s="611" t="str">
        <f>IF(AA$34&gt;0,(INDEX(A_Aufgaben,(AA$34-Arbeitszeit!$A$6+1),(2*(ROW()-ROW(A_Endedatum))-1))),"")</f>
        <v/>
      </c>
      <c r="AB52" s="612" t="str">
        <f>IF(AB$34&gt;0,(INDEX(A_Aufgaben,(AB$34-Arbeitszeit!$A$6+1),(2*(ROW()-ROW(A_Endedatum))-1))),"")</f>
        <v/>
      </c>
      <c r="AC52" s="611" t="str">
        <f>IF(AC$34&gt;0,(INDEX(A_Aufgaben,(AC$34-Arbeitszeit!$A$6+1),(2*(ROW()-ROW(A_Endedatum))-1))),"")</f>
        <v/>
      </c>
      <c r="AD52" s="612" t="str">
        <f>IF(AD$34&gt;0,(INDEX(A_Aufgaben,(AD$34-Arbeitszeit!$A$6+1),(2*(ROW()-ROW(A_Endedatum))-1))),"")</f>
        <v/>
      </c>
      <c r="AE52" s="611" t="str">
        <f>IF(AE$34&gt;0,(INDEX(A_Aufgaben,(AE$34-Arbeitszeit!$A$6+1),(2*(ROW()-ROW(A_Endedatum))-1))),"")</f>
        <v/>
      </c>
      <c r="AF52" s="612" t="str">
        <f>IF(AF$34&gt;0,(INDEX(A_Aufgaben,(AF$34-Arbeitszeit!$A$6+1),(2*(ROW()-ROW(A_Endedatum))-1))),"")</f>
        <v/>
      </c>
      <c r="AG52" s="611" t="str">
        <f>IF(AG$34&gt;0,(INDEX(A_Aufgaben,(AG$34-Arbeitszeit!$A$6+1),(2*(ROW()-ROW(A_Endedatum))-1))),"")</f>
        <v/>
      </c>
      <c r="AH52" s="620">
        <f t="shared" si="7"/>
        <v>0</v>
      </c>
      <c r="AI52" s="285">
        <f t="shared" si="8"/>
        <v>0</v>
      </c>
      <c r="AJ52" s="646">
        <f t="shared" si="11"/>
        <v>0</v>
      </c>
    </row>
    <row r="53" spans="1:36" hidden="1" outlineLevel="1">
      <c r="A53">
        <f t="shared" si="9"/>
        <v>0</v>
      </c>
      <c r="B53" s="610" t="str">
        <f t="shared" si="10"/>
        <v>Aufgabe 16</v>
      </c>
      <c r="C53" s="611" t="str">
        <f>IF(C$34&gt;0,(INDEX(A_Aufgaben,(C$34-Arbeitszeit!$A$6+1),(2*(ROW()-ROW(A_Endedatum))-1))),"")</f>
        <v/>
      </c>
      <c r="D53" s="612" t="str">
        <f>IF(D$34&gt;0,(INDEX(A_Aufgaben,(D$34-Arbeitszeit!$A$6+1),(2*(ROW()-ROW(A_Endedatum))-1))),"")</f>
        <v/>
      </c>
      <c r="E53" s="611" t="str">
        <f>IF(E$34&gt;0,(INDEX(A_Aufgaben,(E$34-Arbeitszeit!$A$6+1),(2*(ROW()-ROW(A_Endedatum))-1))),"")</f>
        <v/>
      </c>
      <c r="F53" s="612" t="str">
        <f>IF(F$34&gt;0,(INDEX(A_Aufgaben,(F$34-Arbeitszeit!$A$6+1),(2*(ROW()-ROW(A_Endedatum))-1))),"")</f>
        <v/>
      </c>
      <c r="G53" s="611" t="str">
        <f>IF(G$34&gt;0,(INDEX(A_Aufgaben,(G$34-Arbeitszeit!$A$6+1),(2*(ROW()-ROW(A_Endedatum))-1))),"")</f>
        <v/>
      </c>
      <c r="H53" s="612" t="str">
        <f>IF(H$34&gt;0,(INDEX(A_Aufgaben,(H$34-Arbeitszeit!$A$6+1),(2*(ROW()-ROW(A_Endedatum))-1))),"")</f>
        <v/>
      </c>
      <c r="I53" s="611" t="str">
        <f>IF(I$34&gt;0,(INDEX(A_Aufgaben,(I$34-Arbeitszeit!$A$6+1),(2*(ROW()-ROW(A_Endedatum))-1))),"")</f>
        <v/>
      </c>
      <c r="J53" s="612" t="str">
        <f>IF(J$34&gt;0,(INDEX(A_Aufgaben,(J$34-Arbeitszeit!$A$6+1),(2*(ROW()-ROW(A_Endedatum))-1))),"")</f>
        <v/>
      </c>
      <c r="K53" s="611" t="str">
        <f>IF(K$34&gt;0,(INDEX(A_Aufgaben,(K$34-Arbeitszeit!$A$6+1),(2*(ROW()-ROW(A_Endedatum))-1))),"")</f>
        <v/>
      </c>
      <c r="L53" s="612" t="str">
        <f>IF(L$34&gt;0,(INDEX(A_Aufgaben,(L$34-Arbeitszeit!$A$6+1),(2*(ROW()-ROW(A_Endedatum))-1))),"")</f>
        <v/>
      </c>
      <c r="M53" s="611" t="str">
        <f>IF(M$34&gt;0,(INDEX(A_Aufgaben,(M$34-Arbeitszeit!$A$6+1),(2*(ROW()-ROW(A_Endedatum))-1))),"")</f>
        <v/>
      </c>
      <c r="N53" s="612" t="str">
        <f>IF(N$34&gt;0,(INDEX(A_Aufgaben,(N$34-Arbeitszeit!$A$6+1),(2*(ROW()-ROW(A_Endedatum))-1))),"")</f>
        <v/>
      </c>
      <c r="O53" s="611" t="str">
        <f>IF(O$34&gt;0,(INDEX(A_Aufgaben,(O$34-Arbeitszeit!$A$6+1),(2*(ROW()-ROW(A_Endedatum))-1))),"")</f>
        <v/>
      </c>
      <c r="P53" s="612" t="str">
        <f>IF(P$34&gt;0,(INDEX(A_Aufgaben,(P$34-Arbeitszeit!$A$6+1),(2*(ROW()-ROW(A_Endedatum))-1))),"")</f>
        <v/>
      </c>
      <c r="Q53" s="611" t="str">
        <f>IF(Q$34&gt;0,(INDEX(A_Aufgaben,(Q$34-Arbeitszeit!$A$6+1),(2*(ROW()-ROW(A_Endedatum))-1))),"")</f>
        <v/>
      </c>
      <c r="R53" s="612" t="str">
        <f>IF(R$34&gt;0,(INDEX(A_Aufgaben,(R$34-Arbeitszeit!$A$6+1),(2*(ROW()-ROW(A_Endedatum))-1))),"")</f>
        <v/>
      </c>
      <c r="S53" s="611" t="str">
        <f>IF(S$34&gt;0,(INDEX(A_Aufgaben,(S$34-Arbeitszeit!$A$6+1),(2*(ROW()-ROW(A_Endedatum))-1))),"")</f>
        <v/>
      </c>
      <c r="T53" s="612" t="str">
        <f>IF(T$34&gt;0,(INDEX(A_Aufgaben,(T$34-Arbeitszeit!$A$6+1),(2*(ROW()-ROW(A_Endedatum))-1))),"")</f>
        <v/>
      </c>
      <c r="U53" s="611" t="str">
        <f>IF(U$34&gt;0,(INDEX(A_Aufgaben,(U$34-Arbeitszeit!$A$6+1),(2*(ROW()-ROW(A_Endedatum))-1))),"")</f>
        <v/>
      </c>
      <c r="V53" s="612" t="str">
        <f>IF(V$34&gt;0,(INDEX(A_Aufgaben,(V$34-Arbeitszeit!$A$6+1),(2*(ROW()-ROW(A_Endedatum))-1))),"")</f>
        <v/>
      </c>
      <c r="W53" s="611" t="str">
        <f>IF(W$34&gt;0,(INDEX(A_Aufgaben,(W$34-Arbeitszeit!$A$6+1),(2*(ROW()-ROW(A_Endedatum))-1))),"")</f>
        <v/>
      </c>
      <c r="X53" s="612" t="str">
        <f>IF(X$34&gt;0,(INDEX(A_Aufgaben,(X$34-Arbeitszeit!$A$6+1),(2*(ROW()-ROW(A_Endedatum))-1))),"")</f>
        <v/>
      </c>
      <c r="Y53" s="611" t="str">
        <f>IF(Y$34&gt;0,(INDEX(A_Aufgaben,(Y$34-Arbeitszeit!$A$6+1),(2*(ROW()-ROW(A_Endedatum))-1))),"")</f>
        <v/>
      </c>
      <c r="Z53" s="612" t="str">
        <f>IF(Z$34&gt;0,(INDEX(A_Aufgaben,(Z$34-Arbeitszeit!$A$6+1),(2*(ROW()-ROW(A_Endedatum))-1))),"")</f>
        <v/>
      </c>
      <c r="AA53" s="611" t="str">
        <f>IF(AA$34&gt;0,(INDEX(A_Aufgaben,(AA$34-Arbeitszeit!$A$6+1),(2*(ROW()-ROW(A_Endedatum))-1))),"")</f>
        <v/>
      </c>
      <c r="AB53" s="612" t="str">
        <f>IF(AB$34&gt;0,(INDEX(A_Aufgaben,(AB$34-Arbeitszeit!$A$6+1),(2*(ROW()-ROW(A_Endedatum))-1))),"")</f>
        <v/>
      </c>
      <c r="AC53" s="611" t="str">
        <f>IF(AC$34&gt;0,(INDEX(A_Aufgaben,(AC$34-Arbeitszeit!$A$6+1),(2*(ROW()-ROW(A_Endedatum))-1))),"")</f>
        <v/>
      </c>
      <c r="AD53" s="612" t="str">
        <f>IF(AD$34&gt;0,(INDEX(A_Aufgaben,(AD$34-Arbeitszeit!$A$6+1),(2*(ROW()-ROW(A_Endedatum))-1))),"")</f>
        <v/>
      </c>
      <c r="AE53" s="611" t="str">
        <f>IF(AE$34&gt;0,(INDEX(A_Aufgaben,(AE$34-Arbeitszeit!$A$6+1),(2*(ROW()-ROW(A_Endedatum))-1))),"")</f>
        <v/>
      </c>
      <c r="AF53" s="612" t="str">
        <f>IF(AF$34&gt;0,(INDEX(A_Aufgaben,(AF$34-Arbeitszeit!$A$6+1),(2*(ROW()-ROW(A_Endedatum))-1))),"")</f>
        <v/>
      </c>
      <c r="AG53" s="611" t="str">
        <f>IF(AG$34&gt;0,(INDEX(A_Aufgaben,(AG$34-Arbeitszeit!$A$6+1),(2*(ROW()-ROW(A_Endedatum))-1))),"")</f>
        <v/>
      </c>
      <c r="AH53" s="620">
        <f t="shared" si="7"/>
        <v>0</v>
      </c>
      <c r="AI53" s="285">
        <f t="shared" si="8"/>
        <v>0</v>
      </c>
      <c r="AJ53" s="646">
        <f t="shared" si="11"/>
        <v>0</v>
      </c>
    </row>
    <row r="54" spans="1:36" hidden="1" outlineLevel="1">
      <c r="A54">
        <f t="shared" si="9"/>
        <v>0</v>
      </c>
      <c r="B54" s="610" t="str">
        <f t="shared" si="10"/>
        <v>Aufgabe 17</v>
      </c>
      <c r="C54" s="611" t="str">
        <f>IF(C$34&gt;0,(INDEX(A_Aufgaben,(C$34-Arbeitszeit!$A$6+1),(2*(ROW()-ROW(A_Endedatum))-1))),"")</f>
        <v/>
      </c>
      <c r="D54" s="612" t="str">
        <f>IF(D$34&gt;0,(INDEX(A_Aufgaben,(D$34-Arbeitszeit!$A$6+1),(2*(ROW()-ROW(A_Endedatum))-1))),"")</f>
        <v/>
      </c>
      <c r="E54" s="611" t="str">
        <f>IF(E$34&gt;0,(INDEX(A_Aufgaben,(E$34-Arbeitszeit!$A$6+1),(2*(ROW()-ROW(A_Endedatum))-1))),"")</f>
        <v/>
      </c>
      <c r="F54" s="612" t="str">
        <f>IF(F$34&gt;0,(INDEX(A_Aufgaben,(F$34-Arbeitszeit!$A$6+1),(2*(ROW()-ROW(A_Endedatum))-1))),"")</f>
        <v/>
      </c>
      <c r="G54" s="611" t="str">
        <f>IF(G$34&gt;0,(INDEX(A_Aufgaben,(G$34-Arbeitszeit!$A$6+1),(2*(ROW()-ROW(A_Endedatum))-1))),"")</f>
        <v/>
      </c>
      <c r="H54" s="612" t="str">
        <f>IF(H$34&gt;0,(INDEX(A_Aufgaben,(H$34-Arbeitszeit!$A$6+1),(2*(ROW()-ROW(A_Endedatum))-1))),"")</f>
        <v/>
      </c>
      <c r="I54" s="611" t="str">
        <f>IF(I$34&gt;0,(INDEX(A_Aufgaben,(I$34-Arbeitszeit!$A$6+1),(2*(ROW()-ROW(A_Endedatum))-1))),"")</f>
        <v/>
      </c>
      <c r="J54" s="612" t="str">
        <f>IF(J$34&gt;0,(INDEX(A_Aufgaben,(J$34-Arbeitszeit!$A$6+1),(2*(ROW()-ROW(A_Endedatum))-1))),"")</f>
        <v/>
      </c>
      <c r="K54" s="611" t="str">
        <f>IF(K$34&gt;0,(INDEX(A_Aufgaben,(K$34-Arbeitszeit!$A$6+1),(2*(ROW()-ROW(A_Endedatum))-1))),"")</f>
        <v/>
      </c>
      <c r="L54" s="612" t="str">
        <f>IF(L$34&gt;0,(INDEX(A_Aufgaben,(L$34-Arbeitszeit!$A$6+1),(2*(ROW()-ROW(A_Endedatum))-1))),"")</f>
        <v/>
      </c>
      <c r="M54" s="611" t="str">
        <f>IF(M$34&gt;0,(INDEX(A_Aufgaben,(M$34-Arbeitszeit!$A$6+1),(2*(ROW()-ROW(A_Endedatum))-1))),"")</f>
        <v/>
      </c>
      <c r="N54" s="612" t="str">
        <f>IF(N$34&gt;0,(INDEX(A_Aufgaben,(N$34-Arbeitszeit!$A$6+1),(2*(ROW()-ROW(A_Endedatum))-1))),"")</f>
        <v/>
      </c>
      <c r="O54" s="611" t="str">
        <f>IF(O$34&gt;0,(INDEX(A_Aufgaben,(O$34-Arbeitszeit!$A$6+1),(2*(ROW()-ROW(A_Endedatum))-1))),"")</f>
        <v/>
      </c>
      <c r="P54" s="612" t="str">
        <f>IF(P$34&gt;0,(INDEX(A_Aufgaben,(P$34-Arbeitszeit!$A$6+1),(2*(ROW()-ROW(A_Endedatum))-1))),"")</f>
        <v/>
      </c>
      <c r="Q54" s="611" t="str">
        <f>IF(Q$34&gt;0,(INDEX(A_Aufgaben,(Q$34-Arbeitszeit!$A$6+1),(2*(ROW()-ROW(A_Endedatum))-1))),"")</f>
        <v/>
      </c>
      <c r="R54" s="612" t="str">
        <f>IF(R$34&gt;0,(INDEX(A_Aufgaben,(R$34-Arbeitszeit!$A$6+1),(2*(ROW()-ROW(A_Endedatum))-1))),"")</f>
        <v/>
      </c>
      <c r="S54" s="611" t="str">
        <f>IF(S$34&gt;0,(INDEX(A_Aufgaben,(S$34-Arbeitszeit!$A$6+1),(2*(ROW()-ROW(A_Endedatum))-1))),"")</f>
        <v/>
      </c>
      <c r="T54" s="612" t="str">
        <f>IF(T$34&gt;0,(INDEX(A_Aufgaben,(T$34-Arbeitszeit!$A$6+1),(2*(ROW()-ROW(A_Endedatum))-1))),"")</f>
        <v/>
      </c>
      <c r="U54" s="611" t="str">
        <f>IF(U$34&gt;0,(INDEX(A_Aufgaben,(U$34-Arbeitszeit!$A$6+1),(2*(ROW()-ROW(A_Endedatum))-1))),"")</f>
        <v/>
      </c>
      <c r="V54" s="612" t="str">
        <f>IF(V$34&gt;0,(INDEX(A_Aufgaben,(V$34-Arbeitszeit!$A$6+1),(2*(ROW()-ROW(A_Endedatum))-1))),"")</f>
        <v/>
      </c>
      <c r="W54" s="611" t="str">
        <f>IF(W$34&gt;0,(INDEX(A_Aufgaben,(W$34-Arbeitszeit!$A$6+1),(2*(ROW()-ROW(A_Endedatum))-1))),"")</f>
        <v/>
      </c>
      <c r="X54" s="612" t="str">
        <f>IF(X$34&gt;0,(INDEX(A_Aufgaben,(X$34-Arbeitszeit!$A$6+1),(2*(ROW()-ROW(A_Endedatum))-1))),"")</f>
        <v/>
      </c>
      <c r="Y54" s="611" t="str">
        <f>IF(Y$34&gt;0,(INDEX(A_Aufgaben,(Y$34-Arbeitszeit!$A$6+1),(2*(ROW()-ROW(A_Endedatum))-1))),"")</f>
        <v/>
      </c>
      <c r="Z54" s="612" t="str">
        <f>IF(Z$34&gt;0,(INDEX(A_Aufgaben,(Z$34-Arbeitszeit!$A$6+1),(2*(ROW()-ROW(A_Endedatum))-1))),"")</f>
        <v/>
      </c>
      <c r="AA54" s="611" t="str">
        <f>IF(AA$34&gt;0,(INDEX(A_Aufgaben,(AA$34-Arbeitszeit!$A$6+1),(2*(ROW()-ROW(A_Endedatum))-1))),"")</f>
        <v/>
      </c>
      <c r="AB54" s="612" t="str">
        <f>IF(AB$34&gt;0,(INDEX(A_Aufgaben,(AB$34-Arbeitszeit!$A$6+1),(2*(ROW()-ROW(A_Endedatum))-1))),"")</f>
        <v/>
      </c>
      <c r="AC54" s="611" t="str">
        <f>IF(AC$34&gt;0,(INDEX(A_Aufgaben,(AC$34-Arbeitszeit!$A$6+1),(2*(ROW()-ROW(A_Endedatum))-1))),"")</f>
        <v/>
      </c>
      <c r="AD54" s="612" t="str">
        <f>IF(AD$34&gt;0,(INDEX(A_Aufgaben,(AD$34-Arbeitszeit!$A$6+1),(2*(ROW()-ROW(A_Endedatum))-1))),"")</f>
        <v/>
      </c>
      <c r="AE54" s="611" t="str">
        <f>IF(AE$34&gt;0,(INDEX(A_Aufgaben,(AE$34-Arbeitszeit!$A$6+1),(2*(ROW()-ROW(A_Endedatum))-1))),"")</f>
        <v/>
      </c>
      <c r="AF54" s="612" t="str">
        <f>IF(AF$34&gt;0,(INDEX(A_Aufgaben,(AF$34-Arbeitszeit!$A$6+1),(2*(ROW()-ROW(A_Endedatum))-1))),"")</f>
        <v/>
      </c>
      <c r="AG54" s="611" t="str">
        <f>IF(AG$34&gt;0,(INDEX(A_Aufgaben,(AG$34-Arbeitszeit!$A$6+1),(2*(ROW()-ROW(A_Endedatum))-1))),"")</f>
        <v/>
      </c>
      <c r="AH54" s="620">
        <f t="shared" si="7"/>
        <v>0</v>
      </c>
      <c r="AI54" s="285">
        <f t="shared" si="8"/>
        <v>0</v>
      </c>
      <c r="AJ54" s="646">
        <f t="shared" si="11"/>
        <v>0</v>
      </c>
    </row>
    <row r="55" spans="1:36" hidden="1" outlineLevel="1">
      <c r="A55">
        <f t="shared" si="9"/>
        <v>0</v>
      </c>
      <c r="B55" s="610" t="str">
        <f t="shared" si="10"/>
        <v>Aufgabe 18</v>
      </c>
      <c r="C55" s="611" t="str">
        <f>IF(C$34&gt;0,(INDEX(A_Aufgaben,(C$34-Arbeitszeit!$A$6+1),(2*(ROW()-ROW(A_Endedatum))-1))),"")</f>
        <v/>
      </c>
      <c r="D55" s="612" t="str">
        <f>IF(D$34&gt;0,(INDEX(A_Aufgaben,(D$34-Arbeitszeit!$A$6+1),(2*(ROW()-ROW(A_Endedatum))-1))),"")</f>
        <v/>
      </c>
      <c r="E55" s="611" t="str">
        <f>IF(E$34&gt;0,(INDEX(A_Aufgaben,(E$34-Arbeitszeit!$A$6+1),(2*(ROW()-ROW(A_Endedatum))-1))),"")</f>
        <v/>
      </c>
      <c r="F55" s="612" t="str">
        <f>IF(F$34&gt;0,(INDEX(A_Aufgaben,(F$34-Arbeitszeit!$A$6+1),(2*(ROW()-ROW(A_Endedatum))-1))),"")</f>
        <v/>
      </c>
      <c r="G55" s="611" t="str">
        <f>IF(G$34&gt;0,(INDEX(A_Aufgaben,(G$34-Arbeitszeit!$A$6+1),(2*(ROW()-ROW(A_Endedatum))-1))),"")</f>
        <v/>
      </c>
      <c r="H55" s="612" t="str">
        <f>IF(H$34&gt;0,(INDEX(A_Aufgaben,(H$34-Arbeitszeit!$A$6+1),(2*(ROW()-ROW(A_Endedatum))-1))),"")</f>
        <v/>
      </c>
      <c r="I55" s="611" t="str">
        <f>IF(I$34&gt;0,(INDEX(A_Aufgaben,(I$34-Arbeitszeit!$A$6+1),(2*(ROW()-ROW(A_Endedatum))-1))),"")</f>
        <v/>
      </c>
      <c r="J55" s="612" t="str">
        <f>IF(J$34&gt;0,(INDEX(A_Aufgaben,(J$34-Arbeitszeit!$A$6+1),(2*(ROW()-ROW(A_Endedatum))-1))),"")</f>
        <v/>
      </c>
      <c r="K55" s="611" t="str">
        <f>IF(K$34&gt;0,(INDEX(A_Aufgaben,(K$34-Arbeitszeit!$A$6+1),(2*(ROW()-ROW(A_Endedatum))-1))),"")</f>
        <v/>
      </c>
      <c r="L55" s="612" t="str">
        <f>IF(L$34&gt;0,(INDEX(A_Aufgaben,(L$34-Arbeitszeit!$A$6+1),(2*(ROW()-ROW(A_Endedatum))-1))),"")</f>
        <v/>
      </c>
      <c r="M55" s="611" t="str">
        <f>IF(M$34&gt;0,(INDEX(A_Aufgaben,(M$34-Arbeitszeit!$A$6+1),(2*(ROW()-ROW(A_Endedatum))-1))),"")</f>
        <v/>
      </c>
      <c r="N55" s="612" t="str">
        <f>IF(N$34&gt;0,(INDEX(A_Aufgaben,(N$34-Arbeitszeit!$A$6+1),(2*(ROW()-ROW(A_Endedatum))-1))),"")</f>
        <v/>
      </c>
      <c r="O55" s="611" t="str">
        <f>IF(O$34&gt;0,(INDEX(A_Aufgaben,(O$34-Arbeitszeit!$A$6+1),(2*(ROW()-ROW(A_Endedatum))-1))),"")</f>
        <v/>
      </c>
      <c r="P55" s="612" t="str">
        <f>IF(P$34&gt;0,(INDEX(A_Aufgaben,(P$34-Arbeitszeit!$A$6+1),(2*(ROW()-ROW(A_Endedatum))-1))),"")</f>
        <v/>
      </c>
      <c r="Q55" s="611" t="str">
        <f>IF(Q$34&gt;0,(INDEX(A_Aufgaben,(Q$34-Arbeitszeit!$A$6+1),(2*(ROW()-ROW(A_Endedatum))-1))),"")</f>
        <v/>
      </c>
      <c r="R55" s="612" t="str">
        <f>IF(R$34&gt;0,(INDEX(A_Aufgaben,(R$34-Arbeitszeit!$A$6+1),(2*(ROW()-ROW(A_Endedatum))-1))),"")</f>
        <v/>
      </c>
      <c r="S55" s="611" t="str">
        <f>IF(S$34&gt;0,(INDEX(A_Aufgaben,(S$34-Arbeitszeit!$A$6+1),(2*(ROW()-ROW(A_Endedatum))-1))),"")</f>
        <v/>
      </c>
      <c r="T55" s="612" t="str">
        <f>IF(T$34&gt;0,(INDEX(A_Aufgaben,(T$34-Arbeitszeit!$A$6+1),(2*(ROW()-ROW(A_Endedatum))-1))),"")</f>
        <v/>
      </c>
      <c r="U55" s="611" t="str">
        <f>IF(U$34&gt;0,(INDEX(A_Aufgaben,(U$34-Arbeitszeit!$A$6+1),(2*(ROW()-ROW(A_Endedatum))-1))),"")</f>
        <v/>
      </c>
      <c r="V55" s="612" t="str">
        <f>IF(V$34&gt;0,(INDEX(A_Aufgaben,(V$34-Arbeitszeit!$A$6+1),(2*(ROW()-ROW(A_Endedatum))-1))),"")</f>
        <v/>
      </c>
      <c r="W55" s="611" t="str">
        <f>IF(W$34&gt;0,(INDEX(A_Aufgaben,(W$34-Arbeitszeit!$A$6+1),(2*(ROW()-ROW(A_Endedatum))-1))),"")</f>
        <v/>
      </c>
      <c r="X55" s="612" t="str">
        <f>IF(X$34&gt;0,(INDEX(A_Aufgaben,(X$34-Arbeitszeit!$A$6+1),(2*(ROW()-ROW(A_Endedatum))-1))),"")</f>
        <v/>
      </c>
      <c r="Y55" s="611" t="str">
        <f>IF(Y$34&gt;0,(INDEX(A_Aufgaben,(Y$34-Arbeitszeit!$A$6+1),(2*(ROW()-ROW(A_Endedatum))-1))),"")</f>
        <v/>
      </c>
      <c r="Z55" s="612" t="str">
        <f>IF(Z$34&gt;0,(INDEX(A_Aufgaben,(Z$34-Arbeitszeit!$A$6+1),(2*(ROW()-ROW(A_Endedatum))-1))),"")</f>
        <v/>
      </c>
      <c r="AA55" s="611" t="str">
        <f>IF(AA$34&gt;0,(INDEX(A_Aufgaben,(AA$34-Arbeitszeit!$A$6+1),(2*(ROW()-ROW(A_Endedatum))-1))),"")</f>
        <v/>
      </c>
      <c r="AB55" s="612" t="str">
        <f>IF(AB$34&gt;0,(INDEX(A_Aufgaben,(AB$34-Arbeitszeit!$A$6+1),(2*(ROW()-ROW(A_Endedatum))-1))),"")</f>
        <v/>
      </c>
      <c r="AC55" s="611" t="str">
        <f>IF(AC$34&gt;0,(INDEX(A_Aufgaben,(AC$34-Arbeitszeit!$A$6+1),(2*(ROW()-ROW(A_Endedatum))-1))),"")</f>
        <v/>
      </c>
      <c r="AD55" s="612" t="str">
        <f>IF(AD$34&gt;0,(INDEX(A_Aufgaben,(AD$34-Arbeitszeit!$A$6+1),(2*(ROW()-ROW(A_Endedatum))-1))),"")</f>
        <v/>
      </c>
      <c r="AE55" s="611" t="str">
        <f>IF(AE$34&gt;0,(INDEX(A_Aufgaben,(AE$34-Arbeitszeit!$A$6+1),(2*(ROW()-ROW(A_Endedatum))-1))),"")</f>
        <v/>
      </c>
      <c r="AF55" s="612" t="str">
        <f>IF(AF$34&gt;0,(INDEX(A_Aufgaben,(AF$34-Arbeitszeit!$A$6+1),(2*(ROW()-ROW(A_Endedatum))-1))),"")</f>
        <v/>
      </c>
      <c r="AG55" s="611" t="str">
        <f>IF(AG$34&gt;0,(INDEX(A_Aufgaben,(AG$34-Arbeitszeit!$A$6+1),(2*(ROW()-ROW(A_Endedatum))-1))),"")</f>
        <v/>
      </c>
      <c r="AH55" s="620">
        <f t="shared" si="7"/>
        <v>0</v>
      </c>
      <c r="AI55" s="285">
        <f t="shared" si="8"/>
        <v>0</v>
      </c>
      <c r="AJ55" s="646">
        <f t="shared" si="11"/>
        <v>0</v>
      </c>
    </row>
    <row r="56" spans="1:36" hidden="1" outlineLevel="1">
      <c r="A56">
        <f t="shared" si="9"/>
        <v>0</v>
      </c>
      <c r="B56" s="610" t="str">
        <f t="shared" si="10"/>
        <v>Aufgabe 19</v>
      </c>
      <c r="C56" s="611" t="str">
        <f>IF(C$34&gt;0,(INDEX(A_Aufgaben,(C$34-Arbeitszeit!$A$6+1),(2*(ROW()-ROW(A_Endedatum))-1))),"")</f>
        <v/>
      </c>
      <c r="D56" s="612" t="str">
        <f>IF(D$34&gt;0,(INDEX(A_Aufgaben,(D$34-Arbeitszeit!$A$6+1),(2*(ROW()-ROW(A_Endedatum))-1))),"")</f>
        <v/>
      </c>
      <c r="E56" s="611" t="str">
        <f>IF(E$34&gt;0,(INDEX(A_Aufgaben,(E$34-Arbeitszeit!$A$6+1),(2*(ROW()-ROW(A_Endedatum))-1))),"")</f>
        <v/>
      </c>
      <c r="F56" s="612" t="str">
        <f>IF(F$34&gt;0,(INDEX(A_Aufgaben,(F$34-Arbeitszeit!$A$6+1),(2*(ROW()-ROW(A_Endedatum))-1))),"")</f>
        <v/>
      </c>
      <c r="G56" s="611" t="str">
        <f>IF(G$34&gt;0,(INDEX(A_Aufgaben,(G$34-Arbeitszeit!$A$6+1),(2*(ROW()-ROW(A_Endedatum))-1))),"")</f>
        <v/>
      </c>
      <c r="H56" s="612" t="str">
        <f>IF(H$34&gt;0,(INDEX(A_Aufgaben,(H$34-Arbeitszeit!$A$6+1),(2*(ROW()-ROW(A_Endedatum))-1))),"")</f>
        <v/>
      </c>
      <c r="I56" s="611" t="str">
        <f>IF(I$34&gt;0,(INDEX(A_Aufgaben,(I$34-Arbeitszeit!$A$6+1),(2*(ROW()-ROW(A_Endedatum))-1))),"")</f>
        <v/>
      </c>
      <c r="J56" s="612" t="str">
        <f>IF(J$34&gt;0,(INDEX(A_Aufgaben,(J$34-Arbeitszeit!$A$6+1),(2*(ROW()-ROW(A_Endedatum))-1))),"")</f>
        <v/>
      </c>
      <c r="K56" s="611" t="str">
        <f>IF(K$34&gt;0,(INDEX(A_Aufgaben,(K$34-Arbeitszeit!$A$6+1),(2*(ROW()-ROW(A_Endedatum))-1))),"")</f>
        <v/>
      </c>
      <c r="L56" s="612" t="str">
        <f>IF(L$34&gt;0,(INDEX(A_Aufgaben,(L$34-Arbeitszeit!$A$6+1),(2*(ROW()-ROW(A_Endedatum))-1))),"")</f>
        <v/>
      </c>
      <c r="M56" s="611" t="str">
        <f>IF(M$34&gt;0,(INDEX(A_Aufgaben,(M$34-Arbeitszeit!$A$6+1),(2*(ROW()-ROW(A_Endedatum))-1))),"")</f>
        <v/>
      </c>
      <c r="N56" s="612" t="str">
        <f>IF(N$34&gt;0,(INDEX(A_Aufgaben,(N$34-Arbeitszeit!$A$6+1),(2*(ROW()-ROW(A_Endedatum))-1))),"")</f>
        <v/>
      </c>
      <c r="O56" s="611" t="str">
        <f>IF(O$34&gt;0,(INDEX(A_Aufgaben,(O$34-Arbeitszeit!$A$6+1),(2*(ROW()-ROW(A_Endedatum))-1))),"")</f>
        <v/>
      </c>
      <c r="P56" s="612" t="str">
        <f>IF(P$34&gt;0,(INDEX(A_Aufgaben,(P$34-Arbeitszeit!$A$6+1),(2*(ROW()-ROW(A_Endedatum))-1))),"")</f>
        <v/>
      </c>
      <c r="Q56" s="611" t="str">
        <f>IF(Q$34&gt;0,(INDEX(A_Aufgaben,(Q$34-Arbeitszeit!$A$6+1),(2*(ROW()-ROW(A_Endedatum))-1))),"")</f>
        <v/>
      </c>
      <c r="R56" s="612" t="str">
        <f>IF(R$34&gt;0,(INDEX(A_Aufgaben,(R$34-Arbeitszeit!$A$6+1),(2*(ROW()-ROW(A_Endedatum))-1))),"")</f>
        <v/>
      </c>
      <c r="S56" s="611" t="str">
        <f>IF(S$34&gt;0,(INDEX(A_Aufgaben,(S$34-Arbeitszeit!$A$6+1),(2*(ROW()-ROW(A_Endedatum))-1))),"")</f>
        <v/>
      </c>
      <c r="T56" s="612" t="str">
        <f>IF(T$34&gt;0,(INDEX(A_Aufgaben,(T$34-Arbeitszeit!$A$6+1),(2*(ROW()-ROW(A_Endedatum))-1))),"")</f>
        <v/>
      </c>
      <c r="U56" s="611" t="str">
        <f>IF(U$34&gt;0,(INDEX(A_Aufgaben,(U$34-Arbeitszeit!$A$6+1),(2*(ROW()-ROW(A_Endedatum))-1))),"")</f>
        <v/>
      </c>
      <c r="V56" s="612" t="str">
        <f>IF(V$34&gt;0,(INDEX(A_Aufgaben,(V$34-Arbeitszeit!$A$6+1),(2*(ROW()-ROW(A_Endedatum))-1))),"")</f>
        <v/>
      </c>
      <c r="W56" s="611" t="str">
        <f>IF(W$34&gt;0,(INDEX(A_Aufgaben,(W$34-Arbeitszeit!$A$6+1),(2*(ROW()-ROW(A_Endedatum))-1))),"")</f>
        <v/>
      </c>
      <c r="X56" s="612" t="str">
        <f>IF(X$34&gt;0,(INDEX(A_Aufgaben,(X$34-Arbeitszeit!$A$6+1),(2*(ROW()-ROW(A_Endedatum))-1))),"")</f>
        <v/>
      </c>
      <c r="Y56" s="611" t="str">
        <f>IF(Y$34&gt;0,(INDEX(A_Aufgaben,(Y$34-Arbeitszeit!$A$6+1),(2*(ROW()-ROW(A_Endedatum))-1))),"")</f>
        <v/>
      </c>
      <c r="Z56" s="612" t="str">
        <f>IF(Z$34&gt;0,(INDEX(A_Aufgaben,(Z$34-Arbeitszeit!$A$6+1),(2*(ROW()-ROW(A_Endedatum))-1))),"")</f>
        <v/>
      </c>
      <c r="AA56" s="611" t="str">
        <f>IF(AA$34&gt;0,(INDEX(A_Aufgaben,(AA$34-Arbeitszeit!$A$6+1),(2*(ROW()-ROW(A_Endedatum))-1))),"")</f>
        <v/>
      </c>
      <c r="AB56" s="612" t="str">
        <f>IF(AB$34&gt;0,(INDEX(A_Aufgaben,(AB$34-Arbeitszeit!$A$6+1),(2*(ROW()-ROW(A_Endedatum))-1))),"")</f>
        <v/>
      </c>
      <c r="AC56" s="611" t="str">
        <f>IF(AC$34&gt;0,(INDEX(A_Aufgaben,(AC$34-Arbeitszeit!$A$6+1),(2*(ROW()-ROW(A_Endedatum))-1))),"")</f>
        <v/>
      </c>
      <c r="AD56" s="612" t="str">
        <f>IF(AD$34&gt;0,(INDEX(A_Aufgaben,(AD$34-Arbeitszeit!$A$6+1),(2*(ROW()-ROW(A_Endedatum))-1))),"")</f>
        <v/>
      </c>
      <c r="AE56" s="611" t="str">
        <f>IF(AE$34&gt;0,(INDEX(A_Aufgaben,(AE$34-Arbeitszeit!$A$6+1),(2*(ROW()-ROW(A_Endedatum))-1))),"")</f>
        <v/>
      </c>
      <c r="AF56" s="612" t="str">
        <f>IF(AF$34&gt;0,(INDEX(A_Aufgaben,(AF$34-Arbeitszeit!$A$6+1),(2*(ROW()-ROW(A_Endedatum))-1))),"")</f>
        <v/>
      </c>
      <c r="AG56" s="611" t="str">
        <f>IF(AG$34&gt;0,(INDEX(A_Aufgaben,(AG$34-Arbeitszeit!$A$6+1),(2*(ROW()-ROW(A_Endedatum))-1))),"")</f>
        <v/>
      </c>
      <c r="AH56" s="620">
        <f t="shared" si="7"/>
        <v>0</v>
      </c>
      <c r="AI56" s="285">
        <f t="shared" si="8"/>
        <v>0</v>
      </c>
      <c r="AJ56" s="646">
        <f t="shared" si="11"/>
        <v>0</v>
      </c>
    </row>
    <row r="57" spans="1:36" hidden="1" outlineLevel="1">
      <c r="D57" s="622"/>
      <c r="F57" s="622"/>
      <c r="H57" s="622"/>
      <c r="J57" s="622"/>
      <c r="L57" s="622"/>
      <c r="N57" s="622"/>
      <c r="P57" s="622"/>
      <c r="R57" s="622"/>
      <c r="T57" s="622"/>
      <c r="V57" s="622"/>
      <c r="X57" s="622"/>
      <c r="Z57" s="622"/>
      <c r="AB57" s="622"/>
      <c r="AD57" s="622"/>
      <c r="AF57" s="622"/>
      <c r="AH57" s="623"/>
      <c r="AJ57" s="647"/>
    </row>
    <row r="58" spans="1:36" collapsed="1">
      <c r="B58" s="641" t="s">
        <v>88</v>
      </c>
      <c r="C58" s="614">
        <f>SUM(C35:C57)</f>
        <v>0</v>
      </c>
      <c r="D58" s="615">
        <f t="shared" ref="D58:AH58" si="12">SUM(D35:D57)</f>
        <v>0</v>
      </c>
      <c r="E58" s="614">
        <f t="shared" si="12"/>
        <v>0</v>
      </c>
      <c r="F58" s="615">
        <f t="shared" si="12"/>
        <v>0</v>
      </c>
      <c r="G58" s="614">
        <f t="shared" si="12"/>
        <v>0</v>
      </c>
      <c r="H58" s="615">
        <f t="shared" si="12"/>
        <v>0</v>
      </c>
      <c r="I58" s="614">
        <f t="shared" si="12"/>
        <v>0</v>
      </c>
      <c r="J58" s="615">
        <f t="shared" si="12"/>
        <v>0</v>
      </c>
      <c r="K58" s="614">
        <f t="shared" si="12"/>
        <v>0</v>
      </c>
      <c r="L58" s="615">
        <f t="shared" si="12"/>
        <v>0</v>
      </c>
      <c r="M58" s="614">
        <f t="shared" si="12"/>
        <v>0</v>
      </c>
      <c r="N58" s="615">
        <f t="shared" si="12"/>
        <v>0</v>
      </c>
      <c r="O58" s="614">
        <f t="shared" si="12"/>
        <v>0</v>
      </c>
      <c r="P58" s="615">
        <f t="shared" si="12"/>
        <v>0</v>
      </c>
      <c r="Q58" s="621">
        <f t="shared" si="12"/>
        <v>0</v>
      </c>
      <c r="R58" s="615">
        <f t="shared" si="12"/>
        <v>0</v>
      </c>
      <c r="S58" s="614">
        <f t="shared" si="12"/>
        <v>0</v>
      </c>
      <c r="T58" s="615">
        <f t="shared" si="12"/>
        <v>0</v>
      </c>
      <c r="U58" s="614">
        <f t="shared" si="12"/>
        <v>0</v>
      </c>
      <c r="V58" s="615">
        <f t="shared" si="12"/>
        <v>0</v>
      </c>
      <c r="W58" s="614">
        <f t="shared" si="12"/>
        <v>0</v>
      </c>
      <c r="X58" s="615">
        <f t="shared" si="12"/>
        <v>0</v>
      </c>
      <c r="Y58" s="614">
        <f t="shared" si="12"/>
        <v>0</v>
      </c>
      <c r="Z58" s="615">
        <f t="shared" si="12"/>
        <v>0</v>
      </c>
      <c r="AA58" s="614">
        <f t="shared" si="12"/>
        <v>0</v>
      </c>
      <c r="AB58" s="615">
        <f t="shared" si="12"/>
        <v>0</v>
      </c>
      <c r="AC58" s="614">
        <f t="shared" si="12"/>
        <v>0</v>
      </c>
      <c r="AD58" s="615">
        <f t="shared" si="12"/>
        <v>0</v>
      </c>
      <c r="AE58" s="614">
        <f t="shared" si="12"/>
        <v>0</v>
      </c>
      <c r="AF58" s="615">
        <f t="shared" si="12"/>
        <v>0</v>
      </c>
      <c r="AG58" s="614">
        <f t="shared" si="12"/>
        <v>0</v>
      </c>
      <c r="AH58" s="642">
        <f t="shared" si="12"/>
        <v>0</v>
      </c>
      <c r="AJ58" s="648">
        <f>SUM(AJ35:AJ57)</f>
        <v>0</v>
      </c>
    </row>
    <row r="59" spans="1:36">
      <c r="C59" s="643" t="str">
        <f>IF(C58&gt;0,1,"")</f>
        <v/>
      </c>
      <c r="D59" s="643" t="str">
        <f t="shared" ref="D59:AG59" si="13">IF(D58&gt;0,1,"")</f>
        <v/>
      </c>
      <c r="E59" s="643" t="str">
        <f t="shared" si="13"/>
        <v/>
      </c>
      <c r="F59" s="643" t="str">
        <f t="shared" si="13"/>
        <v/>
      </c>
      <c r="G59" s="643" t="str">
        <f t="shared" si="13"/>
        <v/>
      </c>
      <c r="H59" s="643" t="str">
        <f t="shared" si="13"/>
        <v/>
      </c>
      <c r="I59" s="643" t="str">
        <f t="shared" si="13"/>
        <v/>
      </c>
      <c r="J59" s="643" t="str">
        <f t="shared" si="13"/>
        <v/>
      </c>
      <c r="K59" s="643" t="str">
        <f t="shared" si="13"/>
        <v/>
      </c>
      <c r="L59" s="643" t="str">
        <f t="shared" si="13"/>
        <v/>
      </c>
      <c r="M59" s="643" t="str">
        <f t="shared" si="13"/>
        <v/>
      </c>
      <c r="N59" s="643" t="str">
        <f t="shared" si="13"/>
        <v/>
      </c>
      <c r="O59" s="643" t="str">
        <f t="shared" si="13"/>
        <v/>
      </c>
      <c r="P59" s="643" t="str">
        <f t="shared" si="13"/>
        <v/>
      </c>
      <c r="Q59" s="643" t="str">
        <f t="shared" si="13"/>
        <v/>
      </c>
      <c r="R59" s="643" t="str">
        <f t="shared" si="13"/>
        <v/>
      </c>
      <c r="S59" s="643" t="str">
        <f t="shared" si="13"/>
        <v/>
      </c>
      <c r="T59" s="643" t="str">
        <f t="shared" si="13"/>
        <v/>
      </c>
      <c r="U59" s="643" t="str">
        <f t="shared" si="13"/>
        <v/>
      </c>
      <c r="V59" s="643" t="str">
        <f t="shared" si="13"/>
        <v/>
      </c>
      <c r="W59" s="643" t="str">
        <f t="shared" si="13"/>
        <v/>
      </c>
      <c r="X59" s="643" t="str">
        <f t="shared" si="13"/>
        <v/>
      </c>
      <c r="Y59" s="643" t="str">
        <f t="shared" si="13"/>
        <v/>
      </c>
      <c r="Z59" s="643" t="str">
        <f t="shared" si="13"/>
        <v/>
      </c>
      <c r="AA59" s="643" t="str">
        <f t="shared" si="13"/>
        <v/>
      </c>
      <c r="AB59" s="643" t="str">
        <f t="shared" si="13"/>
        <v/>
      </c>
      <c r="AC59" s="643" t="str">
        <f t="shared" si="13"/>
        <v/>
      </c>
      <c r="AD59" s="643" t="str">
        <f t="shared" si="13"/>
        <v/>
      </c>
      <c r="AE59" s="643" t="str">
        <f t="shared" si="13"/>
        <v/>
      </c>
      <c r="AF59" s="643" t="str">
        <f t="shared" si="13"/>
        <v/>
      </c>
      <c r="AG59" s="643" t="str">
        <f t="shared" si="13"/>
        <v/>
      </c>
      <c r="AH59" s="624">
        <f>SUM(C59:AG59)</f>
        <v>0</v>
      </c>
      <c r="AJ59" s="624">
        <f>SUM(D59:AH59)</f>
        <v>0</v>
      </c>
    </row>
  </sheetData>
  <phoneticPr fontId="54" type="noConversion"/>
  <conditionalFormatting sqref="C34:AG34">
    <cfRule type="expression" dxfId="28" priority="1" stopIfTrue="1">
      <formula>WEEKDAY(C34,2)&gt;5</formula>
    </cfRule>
  </conditionalFormatting>
  <conditionalFormatting sqref="C5:AG5">
    <cfRule type="expression" dxfId="27"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AA7" sqref="AA7"/>
    </sheetView>
  </sheetViews>
  <sheetFormatPr baseColWidth="10" defaultRowHeight="12.75"/>
  <cols>
    <col min="1" max="1" width="10.42578125" style="11" customWidth="1"/>
    <col min="2" max="2" width="3.5703125" style="11" customWidth="1"/>
    <col min="3" max="3" width="3.7109375" style="11" customWidth="1"/>
    <col min="4" max="4" width="4.85546875" style="67" customWidth="1"/>
    <col min="5" max="5" width="6.5703125" style="175" customWidth="1"/>
    <col min="6" max="6" width="6.7109375" style="67" customWidth="1"/>
    <col min="7" max="7" width="11.7109375" style="175" customWidth="1"/>
    <col min="8" max="8" width="30.7109375" style="175" hidden="1" customWidth="1"/>
    <col min="9" max="9" width="11.7109375" style="175" customWidth="1"/>
    <col min="10" max="10" width="30.7109375" style="175" hidden="1" customWidth="1"/>
    <col min="11" max="11" width="11.85546875" style="176" customWidth="1"/>
    <col min="12" max="12" width="100.7109375" style="407" hidden="1" customWidth="1"/>
    <col min="13" max="13" width="11.7109375" style="68" customWidth="1"/>
    <col min="14" max="14" width="100.7109375" style="114" hidden="1" customWidth="1"/>
    <col min="15" max="15" width="11.7109375" style="71" customWidth="1"/>
    <col min="16" max="16" width="100.7109375" style="114" hidden="1" customWidth="1"/>
    <col min="17" max="17" width="11.7109375" style="71" customWidth="1"/>
    <col min="18" max="18" width="100.7109375" style="114" hidden="1" customWidth="1"/>
    <col min="19" max="19" width="11.7109375" style="71" customWidth="1"/>
    <col min="20" max="20" width="100.7109375" style="114" hidden="1" customWidth="1"/>
    <col min="21" max="21" width="11.7109375" style="71" customWidth="1"/>
    <col min="22" max="22" width="100.7109375" style="114" hidden="1" customWidth="1"/>
    <col min="23" max="23" width="11.7109375" style="71" customWidth="1"/>
    <col min="24" max="24" width="100.7109375" style="114" hidden="1" customWidth="1"/>
    <col min="25" max="25" width="11.7109375" style="71" customWidth="1"/>
    <col min="26" max="26" width="100.7109375" style="114" hidden="1" customWidth="1"/>
    <col min="27" max="27" width="11.7109375" style="71" customWidth="1"/>
    <col min="28" max="28" width="100.7109375" style="114" hidden="1" customWidth="1"/>
    <col min="29" max="29" width="11.7109375" style="70" customWidth="1"/>
    <col min="30" max="30" width="100.7109375" style="114" hidden="1" customWidth="1"/>
    <col min="31" max="31" width="11.7109375" style="71" customWidth="1"/>
    <col min="32" max="32" width="100.7109375" style="116" hidden="1" customWidth="1"/>
    <col min="33" max="33" width="11.7109375" style="71" customWidth="1"/>
    <col min="34" max="34" width="100.7109375" style="116" hidden="1" customWidth="1"/>
    <col min="35" max="35" width="11.7109375" style="71" customWidth="1"/>
    <col min="36" max="36" width="100.7109375" style="116" hidden="1" customWidth="1"/>
    <col min="37" max="37" width="11.7109375" style="71" customWidth="1"/>
    <col min="38" max="38" width="100.7109375" style="116" hidden="1" customWidth="1"/>
    <col min="39" max="39" width="11.7109375" style="572" customWidth="1"/>
    <col min="40" max="40" width="100.7109375" style="116" hidden="1" customWidth="1"/>
    <col min="41" max="41" width="11.7109375" style="71" customWidth="1"/>
    <col min="42" max="42" width="100.7109375" style="116" hidden="1" customWidth="1"/>
    <col min="43" max="43" width="11.7109375" style="572" customWidth="1"/>
    <col min="44" max="44" width="100.7109375" style="116" hidden="1" customWidth="1"/>
    <col min="45" max="45" width="11.7109375" style="116" customWidth="1"/>
    <col min="46" max="46" width="100.7109375" style="116" hidden="1" customWidth="1"/>
    <col min="47" max="47" width="11.7109375" style="572" customWidth="1"/>
    <col min="48" max="48" width="100.7109375" style="116" hidden="1" customWidth="1"/>
    <col min="49" max="49" width="11.7109375" style="116" customWidth="1"/>
    <col min="50" max="50" width="100.7109375" style="116" hidden="1" customWidth="1"/>
    <col min="51" max="51" width="26.28515625" customWidth="1"/>
    <col min="52" max="52" width="0" hidden="1" customWidth="1"/>
  </cols>
  <sheetData>
    <row r="1" spans="1:52" s="440" customFormat="1" ht="43.5" customHeight="1">
      <c r="A1" s="702">
        <f>Arbeitszeit!xJahr</f>
        <v>41639</v>
      </c>
      <c r="B1" s="702"/>
      <c r="C1" s="437" t="s">
        <v>148</v>
      </c>
      <c r="D1" s="702">
        <f>Arbeitszeit!xJahrEnd</f>
        <v>42003</v>
      </c>
      <c r="E1" s="702"/>
      <c r="F1" s="438"/>
      <c r="G1" s="470">
        <v>1</v>
      </c>
      <c r="H1" s="470">
        <f>G1</f>
        <v>1</v>
      </c>
      <c r="I1" s="470">
        <v>2</v>
      </c>
      <c r="J1" s="470">
        <f>I1</f>
        <v>2</v>
      </c>
      <c r="K1" s="470">
        <v>3</v>
      </c>
      <c r="L1" s="470">
        <f>K1</f>
        <v>3</v>
      </c>
      <c r="M1" s="470">
        <v>4</v>
      </c>
      <c r="N1" s="470">
        <f>M1</f>
        <v>4</v>
      </c>
      <c r="O1" s="470">
        <v>5</v>
      </c>
      <c r="P1" s="470">
        <f>O1</f>
        <v>5</v>
      </c>
      <c r="Q1" s="470">
        <v>6</v>
      </c>
      <c r="R1" s="470">
        <f>Q1</f>
        <v>6</v>
      </c>
      <c r="S1" s="470">
        <v>7</v>
      </c>
      <c r="T1" s="470">
        <f>S1</f>
        <v>7</v>
      </c>
      <c r="U1" s="470">
        <v>8</v>
      </c>
      <c r="V1" s="470">
        <f>U1</f>
        <v>8</v>
      </c>
      <c r="W1" s="470">
        <v>9</v>
      </c>
      <c r="X1" s="470">
        <f>W1</f>
        <v>9</v>
      </c>
      <c r="Y1" s="470">
        <v>10</v>
      </c>
      <c r="Z1" s="470">
        <f>Y1</f>
        <v>10</v>
      </c>
      <c r="AA1" s="470">
        <v>11</v>
      </c>
      <c r="AB1" s="470">
        <f>AA1</f>
        <v>11</v>
      </c>
      <c r="AC1" s="470">
        <v>12</v>
      </c>
      <c r="AD1" s="470">
        <f>AC1</f>
        <v>12</v>
      </c>
      <c r="AE1" s="470">
        <v>13</v>
      </c>
      <c r="AF1" s="470">
        <f>AE1</f>
        <v>13</v>
      </c>
      <c r="AG1" s="470">
        <v>14</v>
      </c>
      <c r="AH1" s="470">
        <f>AG1</f>
        <v>14</v>
      </c>
      <c r="AI1" s="470">
        <v>15</v>
      </c>
      <c r="AJ1" s="470">
        <f>AI1</f>
        <v>15</v>
      </c>
      <c r="AK1" s="470">
        <v>16</v>
      </c>
      <c r="AL1" s="470">
        <f>AK1</f>
        <v>16</v>
      </c>
      <c r="AM1" s="571">
        <v>17</v>
      </c>
      <c r="AN1" s="470">
        <f>AM1</f>
        <v>17</v>
      </c>
      <c r="AO1" s="470">
        <v>18</v>
      </c>
      <c r="AP1" s="470">
        <f>AO1</f>
        <v>18</v>
      </c>
      <c r="AQ1" s="470">
        <v>19</v>
      </c>
      <c r="AR1" s="470">
        <f>AQ1</f>
        <v>19</v>
      </c>
      <c r="AS1" s="470">
        <v>20</v>
      </c>
      <c r="AT1" s="470">
        <f>AS1</f>
        <v>20</v>
      </c>
      <c r="AU1" s="470">
        <v>21</v>
      </c>
      <c r="AV1" s="439">
        <f>AU1</f>
        <v>21</v>
      </c>
      <c r="AW1" s="470">
        <v>22</v>
      </c>
      <c r="AX1" s="439">
        <f>AW1</f>
        <v>22</v>
      </c>
      <c r="AY1" s="468" t="s">
        <v>18</v>
      </c>
    </row>
    <row r="2" spans="1:52" s="441" customFormat="1" ht="17.25" customHeight="1" thickBot="1">
      <c r="A2" s="703" t="s">
        <v>52</v>
      </c>
      <c r="B2" s="703"/>
      <c r="C2" s="703"/>
      <c r="D2" s="703"/>
      <c r="E2" s="703"/>
      <c r="F2" s="704"/>
      <c r="G2" s="580">
        <f>SUM(G4:G372)</f>
        <v>0</v>
      </c>
      <c r="H2" s="580"/>
      <c r="I2" s="580">
        <f>SUM(I4:I372)</f>
        <v>0</v>
      </c>
      <c r="J2" s="580"/>
      <c r="K2" s="580">
        <f>SUM(K4:K372)</f>
        <v>0</v>
      </c>
      <c r="L2" s="442"/>
      <c r="M2" s="580">
        <f>SUM(M4:M372)</f>
        <v>0</v>
      </c>
      <c r="N2" s="581"/>
      <c r="O2" s="580">
        <f>SUM(O4:O372)</f>
        <v>0</v>
      </c>
      <c r="P2" s="581"/>
      <c r="Q2" s="580">
        <f>SUM(Q4:Q372)</f>
        <v>0</v>
      </c>
      <c r="R2" s="581"/>
      <c r="S2" s="580">
        <f>SUM(S4:S372)</f>
        <v>0</v>
      </c>
      <c r="T2" s="581"/>
      <c r="U2" s="580">
        <f>SUM(U4:U372)</f>
        <v>0</v>
      </c>
      <c r="V2" s="581"/>
      <c r="W2" s="580">
        <f>SUM(W4:W372)</f>
        <v>0</v>
      </c>
      <c r="X2" s="581"/>
      <c r="Y2" s="580">
        <f>SUM(Y4:Y372)</f>
        <v>0</v>
      </c>
      <c r="Z2" s="581"/>
      <c r="AA2" s="580">
        <f>SUM(AA4:AA372)</f>
        <v>0</v>
      </c>
      <c r="AB2" s="581"/>
      <c r="AC2" s="580">
        <f>SUM(AC4:AC372)</f>
        <v>0</v>
      </c>
      <c r="AD2" s="581"/>
      <c r="AE2" s="580">
        <f>SUM(AE4:AE372)</f>
        <v>0</v>
      </c>
      <c r="AF2" s="442"/>
      <c r="AG2" s="580">
        <f>SUM(AG4:AG372)</f>
        <v>0</v>
      </c>
      <c r="AH2" s="442"/>
      <c r="AI2" s="580">
        <f>SUM(AI4:AI372)</f>
        <v>0</v>
      </c>
      <c r="AJ2" s="442"/>
      <c r="AK2" s="580">
        <f>SUM(AK4:AK372)</f>
        <v>0</v>
      </c>
      <c r="AL2" s="442"/>
      <c r="AM2" s="580">
        <f>SUM(AM4:AM372)</f>
        <v>0</v>
      </c>
      <c r="AN2" s="442"/>
      <c r="AO2" s="580">
        <f>SUM(AO4:AO372)</f>
        <v>0</v>
      </c>
      <c r="AP2" s="442"/>
      <c r="AQ2" s="580">
        <f>SUM(AQ4:AQ372)</f>
        <v>0</v>
      </c>
      <c r="AR2" s="442"/>
      <c r="AS2" s="580">
        <f>SUM(AS4:AS372)</f>
        <v>0</v>
      </c>
      <c r="AT2" s="442"/>
      <c r="AU2" s="580">
        <f>SUM(AU4:AU372)</f>
        <v>0</v>
      </c>
      <c r="AV2" s="442"/>
      <c r="AW2" s="580">
        <f>SUM(AW4:AW372)</f>
        <v>0</v>
      </c>
      <c r="AX2" s="442"/>
      <c r="AY2" s="443"/>
    </row>
    <row r="3" spans="1:52" s="392" customFormat="1" ht="26.25" customHeight="1" thickTop="1">
      <c r="A3" s="391" t="s">
        <v>170</v>
      </c>
      <c r="B3" s="393" t="s">
        <v>41</v>
      </c>
      <c r="C3" s="393" t="s">
        <v>22</v>
      </c>
      <c r="D3" s="394" t="s">
        <v>23</v>
      </c>
      <c r="E3" s="400" t="s">
        <v>134</v>
      </c>
      <c r="F3" s="401" t="s">
        <v>135</v>
      </c>
      <c r="G3" s="402" t="str">
        <f>INDEX(g_NameAufgaben,G$1)</f>
        <v>Urlaub</v>
      </c>
      <c r="H3" s="405" t="str">
        <f>G3 &amp; " - " &amp;$AY$1</f>
        <v>Urlaub - Bemerkung</v>
      </c>
      <c r="I3" s="402" t="str">
        <f>INDEX(g_NameAufgaben,I$1)</f>
        <v>Krank</v>
      </c>
      <c r="J3" s="405" t="str">
        <f>I3 &amp; " - " &amp;$AY$1</f>
        <v>Krank - Bemerkung</v>
      </c>
      <c r="K3" s="404" t="str">
        <f>INDEX(g_NameAufgaben,K$1)</f>
        <v>Allgemein</v>
      </c>
      <c r="L3" s="408" t="str">
        <f>K3 &amp; "-" &amp;$AY$1</f>
        <v>Allgemein-Bemerkung</v>
      </c>
      <c r="M3" s="403" t="str">
        <f>INDEX(g_NameAufgaben,M$1)</f>
        <v>Aufgabe 01</v>
      </c>
      <c r="N3" s="409" t="str">
        <f>M3 &amp; " - " &amp;$AY$1</f>
        <v>Aufgabe 01 - Bemerkung</v>
      </c>
      <c r="O3" s="403" t="str">
        <f>INDEX(g_NameAufgaben,O$1)</f>
        <v>Aufgabe 02</v>
      </c>
      <c r="P3" s="409" t="str">
        <f>O3 &amp; " - " &amp;$AY$1</f>
        <v>Aufgabe 02 - Bemerkung</v>
      </c>
      <c r="Q3" s="403" t="str">
        <f>INDEX(g_NameAufgaben,Q$1)</f>
        <v>Aufgabe 03</v>
      </c>
      <c r="R3" s="409" t="str">
        <f>Q3 &amp; " - " &amp;$AY$1</f>
        <v>Aufgabe 03 - Bemerkung</v>
      </c>
      <c r="S3" s="403" t="str">
        <f>INDEX(g_NameAufgaben,S$1)</f>
        <v>Aufgabe 04</v>
      </c>
      <c r="T3" s="409" t="str">
        <f>S3 &amp; " - " &amp;$AY$1</f>
        <v>Aufgabe 04 - Bemerkung</v>
      </c>
      <c r="U3" s="403" t="str">
        <f>INDEX(g_NameAufgaben,U$1)</f>
        <v>Aufgabe 05</v>
      </c>
      <c r="V3" s="409" t="str">
        <f>U3 &amp; " - " &amp;$AY$1</f>
        <v>Aufgabe 05 - Bemerkung</v>
      </c>
      <c r="W3" s="403" t="str">
        <f>INDEX(g_NameAufgaben,W$1)</f>
        <v>Aufgabe 06</v>
      </c>
      <c r="X3" s="409" t="str">
        <f>W3 &amp; " - " &amp;$AY$1</f>
        <v>Aufgabe 06 - Bemerkung</v>
      </c>
      <c r="Y3" s="403" t="str">
        <f>INDEX(g_NameAufgaben,Y$1)</f>
        <v>Aufgabe 07</v>
      </c>
      <c r="Z3" s="409" t="str">
        <f>Y3 &amp; " - " &amp;$AY$1</f>
        <v>Aufgabe 07 - Bemerkung</v>
      </c>
      <c r="AA3" s="403" t="str">
        <f>INDEX(g_NameAufgaben,AA$1)</f>
        <v>Aufgabe 08</v>
      </c>
      <c r="AB3" s="409" t="str">
        <f>AA3 &amp; " - " &amp;$AY$1</f>
        <v>Aufgabe 08 - Bemerkung</v>
      </c>
      <c r="AC3" s="403" t="str">
        <f>INDEX(g_NameAufgaben,AC$1)</f>
        <v>Aufgabe 09</v>
      </c>
      <c r="AD3" s="409" t="str">
        <f>AC3 &amp; " - " &amp;$AY$1</f>
        <v>Aufgabe 09 - Bemerkung</v>
      </c>
      <c r="AE3" s="403" t="str">
        <f>INDEX(g_NameAufgaben,AE$1)</f>
        <v>Aufgabe 10</v>
      </c>
      <c r="AF3" s="409" t="str">
        <f>AE3 &amp; " - " &amp;$AY$1</f>
        <v>Aufgabe 10 - Bemerkung</v>
      </c>
      <c r="AG3" s="403" t="str">
        <f>INDEX(g_NameAufgaben,AG$1)</f>
        <v>Aufgabe 11</v>
      </c>
      <c r="AH3" s="409" t="str">
        <f>AG3 &amp; " - " &amp;$AY$1</f>
        <v>Aufgabe 11 - Bemerkung</v>
      </c>
      <c r="AI3" s="403" t="str">
        <f>INDEX(g_NameAufgaben,AI$1)</f>
        <v>Aufgabe 12</v>
      </c>
      <c r="AJ3" s="409" t="str">
        <f>AI3 &amp; " - " &amp;$AY$1</f>
        <v>Aufgabe 12 - Bemerkung</v>
      </c>
      <c r="AK3" s="403" t="str">
        <f>INDEX(g_NameAufgaben,AK$1)</f>
        <v>Aufgabe 13</v>
      </c>
      <c r="AL3" s="409" t="str">
        <f>AK3 &amp; " - " &amp;$AY$1</f>
        <v>Aufgabe 13 - Bemerkung</v>
      </c>
      <c r="AM3" s="403" t="str">
        <f>INDEX(g_NameAufgaben,AM$1)</f>
        <v>Aufgabe 14</v>
      </c>
      <c r="AN3" s="409" t="str">
        <f>AM3 &amp; " - " &amp;$AY$1</f>
        <v>Aufgabe 14 - Bemerkung</v>
      </c>
      <c r="AO3" s="403" t="str">
        <f>INDEX(g_NameAufgaben,AO$1)</f>
        <v>Aufgabe 15</v>
      </c>
      <c r="AP3" s="409" t="str">
        <f>AO3 &amp; " - " &amp;$AY$1</f>
        <v>Aufgabe 15 - Bemerkung</v>
      </c>
      <c r="AQ3" s="403" t="str">
        <f>INDEX(g_NameAufgaben,AQ$1)</f>
        <v>Aufgabe 16</v>
      </c>
      <c r="AR3" s="409" t="str">
        <f>AQ3 &amp; " - " &amp;$AY$1</f>
        <v>Aufgabe 16 - Bemerkung</v>
      </c>
      <c r="AS3" s="403" t="str">
        <f>INDEX(g_NameAufgaben,AS$1)</f>
        <v>Aufgabe 17</v>
      </c>
      <c r="AT3" s="409" t="str">
        <f>AS3 &amp; " - " &amp;$AY$1</f>
        <v>Aufgabe 17 - Bemerkung</v>
      </c>
      <c r="AU3" s="403" t="str">
        <f>INDEX(g_NameAufgaben,AU$1)</f>
        <v>Aufgabe 18</v>
      </c>
      <c r="AV3" s="409" t="str">
        <f>AU3 &amp; " - " &amp;$AY$1</f>
        <v>Aufgabe 18 - Bemerkung</v>
      </c>
      <c r="AW3" s="403" t="str">
        <f>INDEX(g_NameAufgaben,AW$1)</f>
        <v>Aufgabe 19</v>
      </c>
      <c r="AX3" s="409" t="str">
        <f>AW3 &amp; " - " &amp;$AY$1</f>
        <v>Aufgabe 19 - Bemerkung</v>
      </c>
      <c r="AY3" s="469" t="s">
        <v>56</v>
      </c>
    </row>
    <row r="4" spans="1:52">
      <c r="A4" s="395" t="s">
        <v>133</v>
      </c>
      <c r="B4" s="395"/>
      <c r="C4" s="396"/>
      <c r="D4" s="396"/>
      <c r="E4" s="669">
        <f>Einstellungen!H10</f>
        <v>0</v>
      </c>
      <c r="F4" s="397">
        <f>ROUND(E4-SUM(K4:AW4),1)</f>
        <v>0</v>
      </c>
      <c r="G4" s="178">
        <f>IF(Arbeitszeit!F5=Urlaub,B_WorkTime*24,)</f>
        <v>0</v>
      </c>
      <c r="H4" s="174"/>
      <c r="I4" s="178">
        <f>IF(Arbeitszeit!F5=Krank,B_WorkTime*24,)</f>
        <v>0</v>
      </c>
      <c r="J4" s="174"/>
      <c r="K4" s="179"/>
      <c r="L4" s="180"/>
      <c r="M4" s="652"/>
      <c r="N4" s="653"/>
      <c r="O4" s="652"/>
      <c r="P4" s="653"/>
      <c r="Q4" s="652"/>
      <c r="R4" s="653"/>
      <c r="S4" s="652"/>
      <c r="T4" s="653"/>
      <c r="U4" s="652"/>
      <c r="V4" s="653"/>
      <c r="W4" s="652"/>
      <c r="X4" s="653"/>
      <c r="Y4" s="652"/>
      <c r="Z4" s="653"/>
      <c r="AA4" s="652"/>
      <c r="AB4" s="653"/>
      <c r="AC4" s="652"/>
      <c r="AD4" s="653"/>
      <c r="AE4" s="652"/>
      <c r="AF4" s="654"/>
      <c r="AG4" s="652"/>
      <c r="AH4" s="654"/>
      <c r="AI4" s="652"/>
      <c r="AJ4" s="654"/>
      <c r="AK4" s="652"/>
      <c r="AL4" s="654"/>
      <c r="AM4" s="655"/>
      <c r="AN4" s="654"/>
      <c r="AO4" s="652"/>
      <c r="AP4" s="654"/>
      <c r="AQ4" s="655"/>
      <c r="AR4" s="654"/>
      <c r="AS4" s="654"/>
      <c r="AT4" s="654"/>
      <c r="AU4" s="655"/>
      <c r="AV4" s="654"/>
      <c r="AW4" s="654"/>
      <c r="AX4" s="398"/>
      <c r="AY4" s="399"/>
    </row>
    <row r="5" spans="1:52">
      <c r="A5" s="582">
        <f>Arbeitszeit!A6</f>
        <v>41639</v>
      </c>
      <c r="B5" s="583">
        <f>IF(A5="","",A5)</f>
        <v>41639</v>
      </c>
      <c r="C5" s="214">
        <f>IF(A5="","",NumberOfWeek(A5))</f>
        <v>1</v>
      </c>
      <c r="D5" s="213">
        <f>IF(A5="","",DATE(YEAR(A5),MONTH(A5),1))</f>
        <v>41639</v>
      </c>
      <c r="E5" s="670">
        <f>Arbeitszeit!U6*24</f>
        <v>0</v>
      </c>
      <c r="F5" s="397">
        <f>ROUND(E5-SUM(K5:AW5),1)</f>
        <v>0</v>
      </c>
      <c r="G5" s="178">
        <f>IF(Arbeitszeit!F6=Urlaub,B_WorkTime*24,)</f>
        <v>0</v>
      </c>
      <c r="H5" s="174"/>
      <c r="I5" s="178">
        <f>IF(Arbeitszeit!F6=Krank,B_WorkTime*24,)</f>
        <v>0</v>
      </c>
      <c r="J5" s="174"/>
      <c r="K5" s="179"/>
      <c r="L5" s="180"/>
      <c r="M5" s="656"/>
      <c r="N5" s="657"/>
      <c r="O5" s="656"/>
      <c r="P5" s="657"/>
      <c r="Q5" s="656"/>
      <c r="R5" s="657"/>
      <c r="S5" s="656"/>
      <c r="T5" s="657"/>
      <c r="U5" s="656"/>
      <c r="V5" s="657"/>
      <c r="W5" s="656"/>
      <c r="X5" s="657"/>
      <c r="Y5" s="656"/>
      <c r="Z5" s="657"/>
      <c r="AA5" s="656"/>
      <c r="AB5" s="657"/>
      <c r="AC5" s="656"/>
      <c r="AD5" s="657"/>
      <c r="AE5" s="656"/>
      <c r="AF5" s="658"/>
      <c r="AG5" s="656"/>
      <c r="AH5" s="658"/>
      <c r="AI5" s="656"/>
      <c r="AJ5" s="658"/>
      <c r="AK5" s="656"/>
      <c r="AL5" s="658"/>
      <c r="AM5" s="659"/>
      <c r="AN5" s="658"/>
      <c r="AO5" s="656"/>
      <c r="AP5" s="658"/>
      <c r="AQ5" s="659"/>
      <c r="AR5" s="658"/>
      <c r="AS5" s="658"/>
      <c r="AT5" s="658"/>
      <c r="AU5" s="659"/>
      <c r="AV5" s="658"/>
      <c r="AW5" s="658"/>
      <c r="AX5" s="181"/>
      <c r="AY5" s="177"/>
      <c r="AZ5">
        <f ca="1">INDIRECT(ADDRESS(ROW()+1,COLUMN(Arbeitszeit!xDay),,,"Arbeitszeit"))</f>
        <v>8</v>
      </c>
    </row>
    <row r="6" spans="1:52">
      <c r="A6" s="582">
        <f>Arbeitszeit!A7</f>
        <v>41640</v>
      </c>
      <c r="B6" s="583">
        <f t="shared" ref="B6:B69" si="0">IF(A6="","",A6)</f>
        <v>41640</v>
      </c>
      <c r="C6" s="214">
        <f>IF(A6="","",NumberOfWeek(A6))</f>
        <v>1</v>
      </c>
      <c r="D6" s="213">
        <f>IF(A6="","",DATE(YEAR(A6),MONTH(A6),1))</f>
        <v>41639</v>
      </c>
      <c r="E6" s="670">
        <f>Arbeitszeit!U7*24</f>
        <v>0</v>
      </c>
      <c r="F6" s="397">
        <f>ROUND(E6-SUM(K6:AW6),1)</f>
        <v>0</v>
      </c>
      <c r="G6" s="178">
        <f>IF(Arbeitszeit!F7=Urlaub,B_WorkTime*24,)</f>
        <v>0</v>
      </c>
      <c r="H6" s="174"/>
      <c r="I6" s="178">
        <f>IF(Arbeitszeit!F7=Krank,B_WorkTime*24,)</f>
        <v>0</v>
      </c>
      <c r="J6" s="174"/>
      <c r="K6" s="179"/>
      <c r="L6" s="180"/>
      <c r="M6" s="656"/>
      <c r="N6" s="657"/>
      <c r="O6" s="656"/>
      <c r="P6" s="657"/>
      <c r="Q6" s="656"/>
      <c r="R6" s="657"/>
      <c r="S6" s="656"/>
      <c r="T6" s="657"/>
      <c r="U6" s="656"/>
      <c r="V6" s="657"/>
      <c r="W6" s="656"/>
      <c r="X6" s="657"/>
      <c r="Y6" s="656"/>
      <c r="Z6" s="657"/>
      <c r="AA6" s="656"/>
      <c r="AB6" s="657"/>
      <c r="AC6" s="656"/>
      <c r="AD6" s="657"/>
      <c r="AE6" s="656"/>
      <c r="AF6" s="658"/>
      <c r="AG6" s="656"/>
      <c r="AH6" s="658"/>
      <c r="AI6" s="656"/>
      <c r="AJ6" s="658"/>
      <c r="AK6" s="656"/>
      <c r="AL6" s="658"/>
      <c r="AM6" s="659"/>
      <c r="AN6" s="658"/>
      <c r="AO6" s="656"/>
      <c r="AP6" s="658"/>
      <c r="AQ6" s="659"/>
      <c r="AR6" s="658"/>
      <c r="AS6" s="658"/>
      <c r="AT6" s="658"/>
      <c r="AU6" s="659"/>
      <c r="AV6" s="658"/>
      <c r="AW6" s="658"/>
      <c r="AX6" s="181"/>
      <c r="AY6" s="177"/>
      <c r="AZ6">
        <f ca="1">INDIRECT(ADDRESS(ROW()+1,COLUMN(Arbeitszeit!xDay),,,"Arbeitszeit"))</f>
        <v>2</v>
      </c>
    </row>
    <row r="7" spans="1:52">
      <c r="A7" s="582">
        <f>Arbeitszeit!A8</f>
        <v>41641</v>
      </c>
      <c r="B7" s="583">
        <f t="shared" si="0"/>
        <v>41641</v>
      </c>
      <c r="C7" s="214">
        <f t="shared" ref="C7:C70" si="1">IF(A7="","",NumberOfWeek(A7))</f>
        <v>1</v>
      </c>
      <c r="D7" s="213">
        <f t="shared" ref="D7:D70" si="2">IF(A7="","",DATE(YEAR(A7),MONTH(A7),1))</f>
        <v>41639</v>
      </c>
      <c r="E7" s="670">
        <f>Arbeitszeit!U8*24</f>
        <v>0</v>
      </c>
      <c r="F7" s="397">
        <f>ROUND(E7-SUM(K7:AW7),1)</f>
        <v>0</v>
      </c>
      <c r="G7" s="178">
        <f>IF(Arbeitszeit!F8=Urlaub,B_WorkTime*24,)</f>
        <v>0</v>
      </c>
      <c r="H7" s="174"/>
      <c r="I7" s="178">
        <f>IF(Arbeitszeit!F8=Krank,B_WorkTime*24,)</f>
        <v>0</v>
      </c>
      <c r="J7" s="174"/>
      <c r="K7" s="179"/>
      <c r="L7" s="180"/>
      <c r="M7" s="656"/>
      <c r="N7" s="657"/>
      <c r="O7" s="656"/>
      <c r="P7" s="657"/>
      <c r="Q7" s="656"/>
      <c r="R7" s="657"/>
      <c r="S7" s="656"/>
      <c r="T7" s="657"/>
      <c r="U7" s="656"/>
      <c r="V7" s="657"/>
      <c r="W7" s="656"/>
      <c r="X7" s="657"/>
      <c r="Y7" s="656"/>
      <c r="Z7" s="657"/>
      <c r="AA7" s="656"/>
      <c r="AB7" s="657"/>
      <c r="AC7" s="656"/>
      <c r="AD7" s="657"/>
      <c r="AE7" s="656"/>
      <c r="AF7" s="658"/>
      <c r="AG7" s="656"/>
      <c r="AH7" s="658"/>
      <c r="AI7" s="656"/>
      <c r="AJ7" s="658"/>
      <c r="AK7" s="656"/>
      <c r="AL7" s="658"/>
      <c r="AM7" s="659"/>
      <c r="AN7" s="658"/>
      <c r="AO7" s="656"/>
      <c r="AP7" s="658"/>
      <c r="AQ7" s="659"/>
      <c r="AR7" s="658"/>
      <c r="AS7" s="658"/>
      <c r="AT7" s="658"/>
      <c r="AU7" s="659"/>
      <c r="AV7" s="658"/>
      <c r="AW7" s="658"/>
      <c r="AX7" s="181"/>
      <c r="AY7" s="182"/>
      <c r="AZ7">
        <f ca="1">INDIRECT(ADDRESS(ROW()+1,COLUMN(Arbeitszeit!xDay),,,"Arbeitszeit"))</f>
        <v>3</v>
      </c>
    </row>
    <row r="8" spans="1:52">
      <c r="A8" s="582">
        <f>Arbeitszeit!A9</f>
        <v>41642</v>
      </c>
      <c r="B8" s="583">
        <f t="shared" si="0"/>
        <v>41642</v>
      </c>
      <c r="C8" s="214">
        <f t="shared" si="1"/>
        <v>1</v>
      </c>
      <c r="D8" s="213">
        <f t="shared" si="2"/>
        <v>41639</v>
      </c>
      <c r="E8" s="670">
        <f>Arbeitszeit!U9*24</f>
        <v>0</v>
      </c>
      <c r="F8" s="397">
        <f t="shared" ref="F8:F71" si="3">ROUND(E8-SUM(K8:AW8),1)</f>
        <v>0</v>
      </c>
      <c r="G8" s="178">
        <f>IF(Arbeitszeit!F9=Urlaub,B_WorkTime*24,)</f>
        <v>0</v>
      </c>
      <c r="H8" s="174"/>
      <c r="I8" s="178">
        <f>IF(Arbeitszeit!F9=Krank,B_WorkTime*24,)</f>
        <v>0</v>
      </c>
      <c r="J8" s="174"/>
      <c r="K8" s="179"/>
      <c r="L8" s="180"/>
      <c r="M8" s="656"/>
      <c r="N8" s="657"/>
      <c r="O8" s="656"/>
      <c r="P8" s="657"/>
      <c r="Q8" s="656"/>
      <c r="R8" s="657"/>
      <c r="S8" s="656"/>
      <c r="T8" s="657"/>
      <c r="U8" s="656"/>
      <c r="V8" s="657"/>
      <c r="W8" s="656"/>
      <c r="X8" s="657"/>
      <c r="Y8" s="656"/>
      <c r="Z8" s="657"/>
      <c r="AA8" s="656"/>
      <c r="AB8" s="657"/>
      <c r="AC8" s="656"/>
      <c r="AD8" s="657"/>
      <c r="AE8" s="656"/>
      <c r="AF8" s="658"/>
      <c r="AG8" s="656"/>
      <c r="AH8" s="658"/>
      <c r="AI8" s="656"/>
      <c r="AJ8" s="658"/>
      <c r="AK8" s="656"/>
      <c r="AL8" s="658"/>
      <c r="AM8" s="659"/>
      <c r="AN8" s="658"/>
      <c r="AO8" s="656"/>
      <c r="AP8" s="658"/>
      <c r="AQ8" s="659"/>
      <c r="AR8" s="658"/>
      <c r="AS8" s="658"/>
      <c r="AT8" s="658"/>
      <c r="AU8" s="659"/>
      <c r="AV8" s="658"/>
      <c r="AW8" s="658"/>
      <c r="AX8" s="181"/>
      <c r="AY8" s="177"/>
      <c r="AZ8">
        <f ca="1">INDIRECT(ADDRESS(ROW()+1,COLUMN(Arbeitszeit!xDay),,,"Arbeitszeit"))</f>
        <v>4</v>
      </c>
    </row>
    <row r="9" spans="1:52">
      <c r="A9" s="582">
        <f>Arbeitszeit!A10</f>
        <v>41643</v>
      </c>
      <c r="B9" s="583">
        <f t="shared" si="0"/>
        <v>41643</v>
      </c>
      <c r="C9" s="214">
        <f t="shared" si="1"/>
        <v>1</v>
      </c>
      <c r="D9" s="213">
        <f t="shared" si="2"/>
        <v>41639</v>
      </c>
      <c r="E9" s="670">
        <f>Arbeitszeit!U10*24</f>
        <v>0</v>
      </c>
      <c r="F9" s="397">
        <f t="shared" si="3"/>
        <v>0</v>
      </c>
      <c r="G9" s="178">
        <f>IF(Arbeitszeit!F10=Urlaub,B_WorkTime*24,)</f>
        <v>0</v>
      </c>
      <c r="H9" s="174"/>
      <c r="I9" s="178">
        <f>IF(Arbeitszeit!F10=Krank,B_WorkTime*24,)</f>
        <v>0</v>
      </c>
      <c r="J9" s="174"/>
      <c r="K9" s="179"/>
      <c r="L9" s="180"/>
      <c r="M9" s="656"/>
      <c r="N9" s="657"/>
      <c r="O9" s="656"/>
      <c r="P9" s="657"/>
      <c r="Q9" s="656"/>
      <c r="R9" s="657"/>
      <c r="S9" s="656"/>
      <c r="T9" s="657"/>
      <c r="U9" s="656"/>
      <c r="V9" s="657"/>
      <c r="W9" s="656"/>
      <c r="X9" s="657"/>
      <c r="Y9" s="656"/>
      <c r="Z9" s="657"/>
      <c r="AA9" s="656"/>
      <c r="AB9" s="657"/>
      <c r="AC9" s="656"/>
      <c r="AD9" s="657"/>
      <c r="AE9" s="656"/>
      <c r="AF9" s="658"/>
      <c r="AG9" s="656"/>
      <c r="AH9" s="658"/>
      <c r="AI9" s="656"/>
      <c r="AJ9" s="658"/>
      <c r="AK9" s="656"/>
      <c r="AL9" s="658"/>
      <c r="AM9" s="659"/>
      <c r="AN9" s="658"/>
      <c r="AO9" s="656"/>
      <c r="AP9" s="658"/>
      <c r="AQ9" s="659"/>
      <c r="AR9" s="658"/>
      <c r="AS9" s="658"/>
      <c r="AT9" s="658"/>
      <c r="AU9" s="659"/>
      <c r="AV9" s="658"/>
      <c r="AW9" s="658"/>
      <c r="AX9" s="181"/>
      <c r="AY9" s="177"/>
      <c r="AZ9">
        <f ca="1">INDIRECT(ADDRESS(ROW()+1,COLUMN(Arbeitszeit!xDay),,,"Arbeitszeit"))</f>
        <v>5</v>
      </c>
    </row>
    <row r="10" spans="1:52">
      <c r="A10" s="582">
        <f>Arbeitszeit!A11</f>
        <v>41644</v>
      </c>
      <c r="B10" s="583">
        <f t="shared" si="0"/>
        <v>41644</v>
      </c>
      <c r="C10" s="214">
        <f t="shared" si="1"/>
        <v>1</v>
      </c>
      <c r="D10" s="213">
        <f t="shared" si="2"/>
        <v>41639</v>
      </c>
      <c r="E10" s="670">
        <f>Arbeitszeit!U11*24</f>
        <v>0</v>
      </c>
      <c r="F10" s="397">
        <f t="shared" si="3"/>
        <v>0</v>
      </c>
      <c r="G10" s="178">
        <f>IF(Arbeitszeit!F11=Urlaub,B_WorkTime*24,)</f>
        <v>0</v>
      </c>
      <c r="H10" s="174"/>
      <c r="I10" s="178">
        <f>IF(Arbeitszeit!F11=Krank,B_WorkTime*24,)</f>
        <v>0</v>
      </c>
      <c r="J10" s="174"/>
      <c r="K10" s="179"/>
      <c r="L10" s="180"/>
      <c r="M10" s="656"/>
      <c r="N10" s="657"/>
      <c r="O10" s="656"/>
      <c r="P10" s="657"/>
      <c r="Q10" s="656"/>
      <c r="R10" s="657"/>
      <c r="S10" s="656"/>
      <c r="T10" s="657"/>
      <c r="U10" s="656"/>
      <c r="V10" s="657"/>
      <c r="W10" s="656"/>
      <c r="X10" s="657"/>
      <c r="Y10" s="656"/>
      <c r="Z10" s="657"/>
      <c r="AA10" s="656"/>
      <c r="AB10" s="657"/>
      <c r="AC10" s="656"/>
      <c r="AD10" s="657"/>
      <c r="AE10" s="656"/>
      <c r="AF10" s="658"/>
      <c r="AG10" s="656"/>
      <c r="AH10" s="658"/>
      <c r="AI10" s="656"/>
      <c r="AJ10" s="658"/>
      <c r="AK10" s="656"/>
      <c r="AL10" s="658"/>
      <c r="AM10" s="659"/>
      <c r="AN10" s="658"/>
      <c r="AO10" s="656"/>
      <c r="AP10" s="658"/>
      <c r="AQ10" s="659"/>
      <c r="AR10" s="658"/>
      <c r="AS10" s="658"/>
      <c r="AT10" s="658"/>
      <c r="AU10" s="659"/>
      <c r="AV10" s="658"/>
      <c r="AW10" s="658"/>
      <c r="AX10" s="181"/>
      <c r="AY10" s="177"/>
      <c r="AZ10">
        <f ca="1">INDIRECT(ADDRESS(ROW()+1,COLUMN(Arbeitszeit!xDay),,,"Arbeitszeit"))</f>
        <v>8</v>
      </c>
    </row>
    <row r="11" spans="1:52">
      <c r="A11" s="582">
        <f>Arbeitszeit!A12</f>
        <v>41645</v>
      </c>
      <c r="B11" s="583">
        <f t="shared" si="0"/>
        <v>41645</v>
      </c>
      <c r="C11" s="214">
        <f t="shared" si="1"/>
        <v>1</v>
      </c>
      <c r="D11" s="213">
        <f t="shared" si="2"/>
        <v>41639</v>
      </c>
      <c r="E11" s="670">
        <f>Arbeitszeit!U12*24</f>
        <v>0</v>
      </c>
      <c r="F11" s="397">
        <f t="shared" si="3"/>
        <v>0</v>
      </c>
      <c r="G11" s="178">
        <f>IF(Arbeitszeit!F12=Urlaub,B_WorkTime*24,)</f>
        <v>0</v>
      </c>
      <c r="H11" s="174"/>
      <c r="I11" s="178">
        <f>IF(Arbeitszeit!F12=Krank,B_WorkTime*24,)</f>
        <v>0</v>
      </c>
      <c r="J11" s="174"/>
      <c r="K11" s="179"/>
      <c r="L11" s="180"/>
      <c r="M11" s="656"/>
      <c r="N11" s="657"/>
      <c r="O11" s="656"/>
      <c r="P11" s="657"/>
      <c r="Q11" s="656"/>
      <c r="R11" s="657"/>
      <c r="S11" s="656"/>
      <c r="T11" s="657"/>
      <c r="U11" s="656"/>
      <c r="V11" s="657"/>
      <c r="W11" s="656"/>
      <c r="X11" s="657"/>
      <c r="Y11" s="656"/>
      <c r="Z11" s="657"/>
      <c r="AA11" s="656"/>
      <c r="AB11" s="657"/>
      <c r="AC11" s="656"/>
      <c r="AD11" s="657"/>
      <c r="AE11" s="656"/>
      <c r="AF11" s="658"/>
      <c r="AG11" s="656"/>
      <c r="AH11" s="658"/>
      <c r="AI11" s="656"/>
      <c r="AJ11" s="658"/>
      <c r="AK11" s="656"/>
      <c r="AL11" s="658"/>
      <c r="AM11" s="659"/>
      <c r="AN11" s="658"/>
      <c r="AO11" s="656"/>
      <c r="AP11" s="658"/>
      <c r="AQ11" s="659"/>
      <c r="AR11" s="658"/>
      <c r="AS11" s="658"/>
      <c r="AT11" s="658"/>
      <c r="AU11" s="659"/>
      <c r="AV11" s="658"/>
      <c r="AW11" s="658"/>
      <c r="AX11" s="181"/>
      <c r="AY11" s="177"/>
      <c r="AZ11">
        <f ca="1">INDIRECT(ADDRESS(ROW()+1,COLUMN(Arbeitszeit!xDay),,,"Arbeitszeit"))</f>
        <v>7</v>
      </c>
    </row>
    <row r="12" spans="1:52">
      <c r="A12" s="582">
        <f>Arbeitszeit!A13</f>
        <v>41646</v>
      </c>
      <c r="B12" s="583">
        <f t="shared" si="0"/>
        <v>41646</v>
      </c>
      <c r="C12" s="214">
        <f t="shared" si="1"/>
        <v>2</v>
      </c>
      <c r="D12" s="213">
        <f t="shared" si="2"/>
        <v>41639</v>
      </c>
      <c r="E12" s="670">
        <f>Arbeitszeit!U13*24</f>
        <v>0</v>
      </c>
      <c r="F12" s="397">
        <f t="shared" si="3"/>
        <v>0</v>
      </c>
      <c r="G12" s="178">
        <f>IF(Arbeitszeit!F13=Urlaub,B_WorkTime*24,)</f>
        <v>0</v>
      </c>
      <c r="H12" s="174"/>
      <c r="I12" s="178">
        <f>IF(Arbeitszeit!F13=Krank,B_WorkTime*24,)</f>
        <v>0</v>
      </c>
      <c r="J12" s="174"/>
      <c r="K12" s="179"/>
      <c r="L12" s="180"/>
      <c r="M12" s="656"/>
      <c r="N12" s="657"/>
      <c r="O12" s="656"/>
      <c r="P12" s="657"/>
      <c r="Q12" s="656"/>
      <c r="R12" s="657"/>
      <c r="S12" s="656"/>
      <c r="T12" s="657"/>
      <c r="U12" s="656"/>
      <c r="V12" s="657"/>
      <c r="W12" s="656"/>
      <c r="X12" s="657"/>
      <c r="Y12" s="656"/>
      <c r="Z12" s="657"/>
      <c r="AA12" s="656"/>
      <c r="AB12" s="657"/>
      <c r="AC12" s="656"/>
      <c r="AD12" s="657"/>
      <c r="AE12" s="656"/>
      <c r="AF12" s="658"/>
      <c r="AG12" s="656"/>
      <c r="AH12" s="658"/>
      <c r="AI12" s="656"/>
      <c r="AJ12" s="658"/>
      <c r="AK12" s="656"/>
      <c r="AL12" s="658"/>
      <c r="AM12" s="659"/>
      <c r="AN12" s="658"/>
      <c r="AO12" s="656"/>
      <c r="AP12" s="658"/>
      <c r="AQ12" s="659"/>
      <c r="AR12" s="658"/>
      <c r="AS12" s="658"/>
      <c r="AT12" s="658"/>
      <c r="AU12" s="659"/>
      <c r="AV12" s="658"/>
      <c r="AW12" s="658"/>
      <c r="AX12" s="181"/>
      <c r="AY12" s="177"/>
      <c r="AZ12">
        <f ca="1">INDIRECT(ADDRESS(ROW()+1,COLUMN(Arbeitszeit!xDay),,,"Arbeitszeit"))</f>
        <v>1</v>
      </c>
    </row>
    <row r="13" spans="1:52">
      <c r="A13" s="582">
        <f>Arbeitszeit!A14</f>
        <v>41647</v>
      </c>
      <c r="B13" s="583">
        <f t="shared" si="0"/>
        <v>41647</v>
      </c>
      <c r="C13" s="214">
        <f t="shared" si="1"/>
        <v>2</v>
      </c>
      <c r="D13" s="213">
        <f t="shared" si="2"/>
        <v>41639</v>
      </c>
      <c r="E13" s="670">
        <f>Arbeitszeit!U14*24</f>
        <v>0</v>
      </c>
      <c r="F13" s="397">
        <f t="shared" si="3"/>
        <v>0</v>
      </c>
      <c r="G13" s="178">
        <f>IF(Arbeitszeit!F14=Urlaub,B_WorkTime*24,)</f>
        <v>0</v>
      </c>
      <c r="H13" s="174"/>
      <c r="I13" s="178">
        <f>IF(Arbeitszeit!F14=Krank,B_WorkTime*24,)</f>
        <v>0</v>
      </c>
      <c r="J13" s="174"/>
      <c r="K13" s="179"/>
      <c r="L13" s="180"/>
      <c r="M13" s="656"/>
      <c r="N13" s="657"/>
      <c r="O13" s="656"/>
      <c r="P13" s="657"/>
      <c r="Q13" s="656"/>
      <c r="R13" s="657"/>
      <c r="S13" s="656"/>
      <c r="T13" s="657"/>
      <c r="U13" s="656"/>
      <c r="V13" s="657"/>
      <c r="W13" s="656"/>
      <c r="X13" s="657"/>
      <c r="Y13" s="656"/>
      <c r="Z13" s="657"/>
      <c r="AA13" s="656"/>
      <c r="AB13" s="657"/>
      <c r="AC13" s="656"/>
      <c r="AD13" s="657"/>
      <c r="AE13" s="656"/>
      <c r="AF13" s="658"/>
      <c r="AG13" s="656"/>
      <c r="AH13" s="658"/>
      <c r="AI13" s="656"/>
      <c r="AJ13" s="658"/>
      <c r="AK13" s="656"/>
      <c r="AL13" s="658"/>
      <c r="AM13" s="659"/>
      <c r="AN13" s="658"/>
      <c r="AO13" s="656"/>
      <c r="AP13" s="658"/>
      <c r="AQ13" s="659"/>
      <c r="AR13" s="658"/>
      <c r="AS13" s="658"/>
      <c r="AT13" s="658"/>
      <c r="AU13" s="659"/>
      <c r="AV13" s="658"/>
      <c r="AW13" s="658"/>
      <c r="AX13" s="181"/>
      <c r="AY13" s="177"/>
      <c r="AZ13">
        <f ca="1">INDIRECT(ADDRESS(ROW()+1,COLUMN(Arbeitszeit!xDay),,,"Arbeitszeit"))</f>
        <v>2</v>
      </c>
    </row>
    <row r="14" spans="1:52">
      <c r="A14" s="582">
        <f>Arbeitszeit!A15</f>
        <v>41648</v>
      </c>
      <c r="B14" s="583">
        <f t="shared" si="0"/>
        <v>41648</v>
      </c>
      <c r="C14" s="214">
        <f t="shared" si="1"/>
        <v>2</v>
      </c>
      <c r="D14" s="213">
        <f t="shared" si="2"/>
        <v>41639</v>
      </c>
      <c r="E14" s="670">
        <f>Arbeitszeit!U15*24</f>
        <v>0</v>
      </c>
      <c r="F14" s="397">
        <f t="shared" si="3"/>
        <v>0</v>
      </c>
      <c r="G14" s="178">
        <f>IF(Arbeitszeit!F15=Urlaub,B_WorkTime*24,)</f>
        <v>0</v>
      </c>
      <c r="H14" s="174"/>
      <c r="I14" s="178">
        <f>IF(Arbeitszeit!F15=Krank,B_WorkTime*24,)</f>
        <v>0</v>
      </c>
      <c r="J14" s="174"/>
      <c r="K14" s="179"/>
      <c r="L14" s="180"/>
      <c r="M14" s="656"/>
      <c r="N14" s="657"/>
      <c r="O14" s="656"/>
      <c r="P14" s="657"/>
      <c r="Q14" s="656"/>
      <c r="R14" s="657"/>
      <c r="S14" s="656"/>
      <c r="T14" s="657"/>
      <c r="U14" s="656"/>
      <c r="V14" s="657"/>
      <c r="W14" s="656"/>
      <c r="X14" s="657"/>
      <c r="Y14" s="656"/>
      <c r="Z14" s="657"/>
      <c r="AA14" s="656"/>
      <c r="AB14" s="657"/>
      <c r="AC14" s="656"/>
      <c r="AD14" s="657"/>
      <c r="AE14" s="656"/>
      <c r="AF14" s="658"/>
      <c r="AG14" s="656"/>
      <c r="AH14" s="658"/>
      <c r="AI14" s="656"/>
      <c r="AJ14" s="658"/>
      <c r="AK14" s="656"/>
      <c r="AL14" s="658"/>
      <c r="AM14" s="659"/>
      <c r="AN14" s="658"/>
      <c r="AO14" s="656"/>
      <c r="AP14" s="658"/>
      <c r="AQ14" s="659"/>
      <c r="AR14" s="658"/>
      <c r="AS14" s="658"/>
      <c r="AT14" s="658"/>
      <c r="AU14" s="659"/>
      <c r="AV14" s="658"/>
      <c r="AW14" s="658"/>
      <c r="AX14" s="181"/>
      <c r="AY14" s="177"/>
      <c r="AZ14">
        <f ca="1">INDIRECT(ADDRESS(ROW()+1,COLUMN(Arbeitszeit!xDay),,,"Arbeitszeit"))</f>
        <v>3</v>
      </c>
    </row>
    <row r="15" spans="1:52">
      <c r="A15" s="582">
        <f>Arbeitszeit!A16</f>
        <v>41649</v>
      </c>
      <c r="B15" s="583">
        <f t="shared" si="0"/>
        <v>41649</v>
      </c>
      <c r="C15" s="214">
        <f t="shared" si="1"/>
        <v>2</v>
      </c>
      <c r="D15" s="213">
        <f t="shared" si="2"/>
        <v>41639</v>
      </c>
      <c r="E15" s="670">
        <f>Arbeitszeit!U16*24</f>
        <v>0</v>
      </c>
      <c r="F15" s="397">
        <f t="shared" si="3"/>
        <v>0</v>
      </c>
      <c r="G15" s="178">
        <f>IF(Arbeitszeit!F16=Urlaub,B_WorkTime*24,)</f>
        <v>0</v>
      </c>
      <c r="H15" s="174"/>
      <c r="I15" s="178">
        <f>IF(Arbeitszeit!F16=Krank,B_WorkTime*24,)</f>
        <v>0</v>
      </c>
      <c r="J15" s="174"/>
      <c r="K15" s="179"/>
      <c r="L15" s="180"/>
      <c r="M15" s="656"/>
      <c r="N15" s="657"/>
      <c r="O15" s="656"/>
      <c r="P15" s="657"/>
      <c r="Q15" s="656"/>
      <c r="R15" s="657"/>
      <c r="S15" s="656"/>
      <c r="T15" s="657"/>
      <c r="U15" s="656"/>
      <c r="V15" s="657"/>
      <c r="W15" s="656"/>
      <c r="X15" s="657"/>
      <c r="Y15" s="656"/>
      <c r="Z15" s="657"/>
      <c r="AA15" s="656"/>
      <c r="AB15" s="657"/>
      <c r="AC15" s="656"/>
      <c r="AD15" s="657"/>
      <c r="AE15" s="656"/>
      <c r="AF15" s="658"/>
      <c r="AG15" s="656"/>
      <c r="AH15" s="658"/>
      <c r="AI15" s="656"/>
      <c r="AJ15" s="658"/>
      <c r="AK15" s="656"/>
      <c r="AL15" s="658"/>
      <c r="AM15" s="659"/>
      <c r="AN15" s="658"/>
      <c r="AO15" s="656"/>
      <c r="AP15" s="658"/>
      <c r="AQ15" s="659"/>
      <c r="AR15" s="658"/>
      <c r="AS15" s="658"/>
      <c r="AT15" s="658"/>
      <c r="AU15" s="659"/>
      <c r="AV15" s="658"/>
      <c r="AW15" s="658"/>
      <c r="AX15" s="181"/>
      <c r="AY15" s="177"/>
      <c r="AZ15">
        <f ca="1">INDIRECT(ADDRESS(ROW()+1,COLUMN(Arbeitszeit!xDay),,,"Arbeitszeit"))</f>
        <v>4</v>
      </c>
    </row>
    <row r="16" spans="1:52">
      <c r="A16" s="582">
        <f>Arbeitszeit!A17</f>
        <v>41650</v>
      </c>
      <c r="B16" s="583">
        <f t="shared" si="0"/>
        <v>41650</v>
      </c>
      <c r="C16" s="214">
        <f t="shared" si="1"/>
        <v>2</v>
      </c>
      <c r="D16" s="213">
        <f t="shared" si="2"/>
        <v>41639</v>
      </c>
      <c r="E16" s="670">
        <f>Arbeitszeit!U17*24</f>
        <v>0</v>
      </c>
      <c r="F16" s="397">
        <f t="shared" si="3"/>
        <v>0</v>
      </c>
      <c r="G16" s="178">
        <f>IF(Arbeitszeit!F17=Urlaub,B_WorkTime*24,)</f>
        <v>0</v>
      </c>
      <c r="H16" s="174"/>
      <c r="I16" s="178">
        <f>IF(Arbeitszeit!F17=Krank,B_WorkTime*24,)</f>
        <v>0</v>
      </c>
      <c r="J16" s="174"/>
      <c r="K16" s="179"/>
      <c r="L16" s="180"/>
      <c r="M16" s="656"/>
      <c r="N16" s="657"/>
      <c r="O16" s="656"/>
      <c r="P16" s="657"/>
      <c r="Q16" s="656"/>
      <c r="R16" s="657"/>
      <c r="S16" s="656"/>
      <c r="T16" s="657"/>
      <c r="U16" s="656"/>
      <c r="V16" s="657"/>
      <c r="W16" s="656"/>
      <c r="X16" s="657"/>
      <c r="Y16" s="656"/>
      <c r="Z16" s="657"/>
      <c r="AA16" s="656"/>
      <c r="AB16" s="657"/>
      <c r="AC16" s="656"/>
      <c r="AD16" s="657"/>
      <c r="AE16" s="656"/>
      <c r="AF16" s="658"/>
      <c r="AG16" s="656"/>
      <c r="AH16" s="658"/>
      <c r="AI16" s="656"/>
      <c r="AJ16" s="658"/>
      <c r="AK16" s="656"/>
      <c r="AL16" s="658"/>
      <c r="AM16" s="659"/>
      <c r="AN16" s="658"/>
      <c r="AO16" s="656"/>
      <c r="AP16" s="658"/>
      <c r="AQ16" s="659"/>
      <c r="AR16" s="658"/>
      <c r="AS16" s="658"/>
      <c r="AT16" s="658"/>
      <c r="AU16" s="659"/>
      <c r="AV16" s="658"/>
      <c r="AW16" s="658"/>
      <c r="AX16" s="181"/>
      <c r="AY16" s="177"/>
      <c r="AZ16">
        <f ca="1">INDIRECT(ADDRESS(ROW()+1,COLUMN(Arbeitszeit!xDay),,,"Arbeitszeit"))</f>
        <v>5</v>
      </c>
    </row>
    <row r="17" spans="1:52">
      <c r="A17" s="582">
        <f>Arbeitszeit!A18</f>
        <v>41651</v>
      </c>
      <c r="B17" s="583">
        <f t="shared" si="0"/>
        <v>41651</v>
      </c>
      <c r="C17" s="214">
        <f t="shared" si="1"/>
        <v>2</v>
      </c>
      <c r="D17" s="213">
        <f t="shared" si="2"/>
        <v>41639</v>
      </c>
      <c r="E17" s="670">
        <f>Arbeitszeit!U18*24</f>
        <v>0</v>
      </c>
      <c r="F17" s="397">
        <f t="shared" si="3"/>
        <v>0</v>
      </c>
      <c r="G17" s="178">
        <f>IF(Arbeitszeit!F18=Urlaub,B_WorkTime*24,)</f>
        <v>0</v>
      </c>
      <c r="H17" s="174"/>
      <c r="I17" s="178">
        <f>IF(Arbeitszeit!F18=Krank,B_WorkTime*24,)</f>
        <v>0</v>
      </c>
      <c r="J17" s="174"/>
      <c r="K17" s="179"/>
      <c r="L17" s="180"/>
      <c r="M17" s="656"/>
      <c r="N17" s="657"/>
      <c r="O17" s="656"/>
      <c r="P17" s="657"/>
      <c r="Q17" s="656"/>
      <c r="R17" s="657"/>
      <c r="S17" s="656"/>
      <c r="T17" s="657"/>
      <c r="U17" s="656"/>
      <c r="V17" s="657"/>
      <c r="W17" s="656"/>
      <c r="X17" s="657"/>
      <c r="Y17" s="656"/>
      <c r="Z17" s="657"/>
      <c r="AA17" s="656"/>
      <c r="AB17" s="657"/>
      <c r="AC17" s="656"/>
      <c r="AD17" s="657"/>
      <c r="AE17" s="656"/>
      <c r="AF17" s="658"/>
      <c r="AG17" s="656"/>
      <c r="AH17" s="658"/>
      <c r="AI17" s="656"/>
      <c r="AJ17" s="658"/>
      <c r="AK17" s="656"/>
      <c r="AL17" s="658"/>
      <c r="AM17" s="659"/>
      <c r="AN17" s="658"/>
      <c r="AO17" s="656"/>
      <c r="AP17" s="658"/>
      <c r="AQ17" s="659"/>
      <c r="AR17" s="658"/>
      <c r="AS17" s="658"/>
      <c r="AT17" s="658"/>
      <c r="AU17" s="659"/>
      <c r="AV17" s="658"/>
      <c r="AW17" s="658"/>
      <c r="AX17" s="181"/>
      <c r="AY17" s="177"/>
      <c r="AZ17">
        <f ca="1">INDIRECT(ADDRESS(ROW()+1,COLUMN(Arbeitszeit!xDay),,,"Arbeitszeit"))</f>
        <v>6</v>
      </c>
    </row>
    <row r="18" spans="1:52">
      <c r="A18" s="582">
        <f>Arbeitszeit!A19</f>
        <v>41652</v>
      </c>
      <c r="B18" s="583">
        <f t="shared" si="0"/>
        <v>41652</v>
      </c>
      <c r="C18" s="214">
        <f t="shared" si="1"/>
        <v>2</v>
      </c>
      <c r="D18" s="213">
        <f t="shared" si="2"/>
        <v>41639</v>
      </c>
      <c r="E18" s="670">
        <f>Arbeitszeit!U19*24</f>
        <v>0</v>
      </c>
      <c r="F18" s="397">
        <f t="shared" si="3"/>
        <v>0</v>
      </c>
      <c r="G18" s="178">
        <f>IF(Arbeitszeit!F19=Urlaub,B_WorkTime*24,)</f>
        <v>0</v>
      </c>
      <c r="H18" s="174"/>
      <c r="I18" s="178">
        <f>IF(Arbeitszeit!F19=Krank,B_WorkTime*24,)</f>
        <v>0</v>
      </c>
      <c r="J18" s="174"/>
      <c r="K18" s="179"/>
      <c r="L18" s="180"/>
      <c r="M18" s="656"/>
      <c r="N18" s="657"/>
      <c r="O18" s="656"/>
      <c r="P18" s="657"/>
      <c r="Q18" s="656"/>
      <c r="R18" s="657"/>
      <c r="S18" s="656"/>
      <c r="T18" s="657"/>
      <c r="U18" s="656"/>
      <c r="V18" s="657"/>
      <c r="W18" s="656"/>
      <c r="X18" s="657"/>
      <c r="Y18" s="656"/>
      <c r="Z18" s="657"/>
      <c r="AA18" s="656"/>
      <c r="AB18" s="657"/>
      <c r="AC18" s="656"/>
      <c r="AD18" s="657"/>
      <c r="AE18" s="656"/>
      <c r="AF18" s="658"/>
      <c r="AG18" s="656"/>
      <c r="AH18" s="658"/>
      <c r="AI18" s="656"/>
      <c r="AJ18" s="658"/>
      <c r="AK18" s="656"/>
      <c r="AL18" s="658"/>
      <c r="AM18" s="659"/>
      <c r="AN18" s="658"/>
      <c r="AO18" s="656"/>
      <c r="AP18" s="658"/>
      <c r="AQ18" s="659"/>
      <c r="AR18" s="658"/>
      <c r="AS18" s="658"/>
      <c r="AT18" s="658"/>
      <c r="AU18" s="659"/>
      <c r="AV18" s="658"/>
      <c r="AW18" s="658"/>
      <c r="AX18" s="181"/>
      <c r="AY18" s="177"/>
      <c r="AZ18">
        <f ca="1">INDIRECT(ADDRESS(ROW()+1,COLUMN(Arbeitszeit!xDay),,,"Arbeitszeit"))</f>
        <v>7</v>
      </c>
    </row>
    <row r="19" spans="1:52" s="5" customFormat="1">
      <c r="A19" s="582">
        <f>Arbeitszeit!A20</f>
        <v>41653</v>
      </c>
      <c r="B19" s="583">
        <f t="shared" si="0"/>
        <v>41653</v>
      </c>
      <c r="C19" s="214">
        <f t="shared" si="1"/>
        <v>3</v>
      </c>
      <c r="D19" s="213">
        <f t="shared" si="2"/>
        <v>41639</v>
      </c>
      <c r="E19" s="670">
        <f>Arbeitszeit!U20*24</f>
        <v>0</v>
      </c>
      <c r="F19" s="397">
        <f t="shared" si="3"/>
        <v>0</v>
      </c>
      <c r="G19" s="178">
        <f>IF(Arbeitszeit!F20=Urlaub,B_WorkTime*24,)</f>
        <v>0</v>
      </c>
      <c r="H19" s="174"/>
      <c r="I19" s="178">
        <f>IF(Arbeitszeit!F20=Krank,B_WorkTime*24,)</f>
        <v>0</v>
      </c>
      <c r="J19" s="174"/>
      <c r="K19" s="179"/>
      <c r="L19" s="180"/>
      <c r="M19" s="656"/>
      <c r="N19" s="657"/>
      <c r="O19" s="656"/>
      <c r="P19" s="657"/>
      <c r="Q19" s="656"/>
      <c r="R19" s="657"/>
      <c r="S19" s="656"/>
      <c r="T19" s="657"/>
      <c r="U19" s="656"/>
      <c r="V19" s="657"/>
      <c r="W19" s="656"/>
      <c r="X19" s="657"/>
      <c r="Y19" s="656"/>
      <c r="Z19" s="657"/>
      <c r="AA19" s="656"/>
      <c r="AB19" s="657"/>
      <c r="AC19" s="656"/>
      <c r="AD19" s="657"/>
      <c r="AE19" s="656"/>
      <c r="AF19" s="658"/>
      <c r="AG19" s="656"/>
      <c r="AH19" s="658"/>
      <c r="AI19" s="656"/>
      <c r="AJ19" s="658"/>
      <c r="AK19" s="656"/>
      <c r="AL19" s="658"/>
      <c r="AM19" s="659"/>
      <c r="AN19" s="658"/>
      <c r="AO19" s="656"/>
      <c r="AP19" s="658"/>
      <c r="AQ19" s="659"/>
      <c r="AR19" s="658"/>
      <c r="AS19" s="658"/>
      <c r="AT19" s="658"/>
      <c r="AU19" s="659"/>
      <c r="AV19" s="658"/>
      <c r="AW19" s="658"/>
      <c r="AX19" s="181"/>
      <c r="AY19" s="177"/>
      <c r="AZ19">
        <f ca="1">INDIRECT(ADDRESS(ROW()+1,COLUMN(Arbeitszeit!xDay),,,"Arbeitszeit"))</f>
        <v>1</v>
      </c>
    </row>
    <row r="20" spans="1:52">
      <c r="A20" s="582">
        <f>Arbeitszeit!A21</f>
        <v>41654</v>
      </c>
      <c r="B20" s="583">
        <f t="shared" si="0"/>
        <v>41654</v>
      </c>
      <c r="C20" s="214">
        <f t="shared" si="1"/>
        <v>3</v>
      </c>
      <c r="D20" s="213">
        <f t="shared" si="2"/>
        <v>41639</v>
      </c>
      <c r="E20" s="670">
        <f>Arbeitszeit!U21*24</f>
        <v>0</v>
      </c>
      <c r="F20" s="397">
        <f t="shared" si="3"/>
        <v>0</v>
      </c>
      <c r="G20" s="178">
        <f>IF(Arbeitszeit!F21=Urlaub,B_WorkTime*24,)</f>
        <v>0</v>
      </c>
      <c r="H20" s="174"/>
      <c r="I20" s="178">
        <f>IF(Arbeitszeit!F21=Krank,B_WorkTime*24,)</f>
        <v>0</v>
      </c>
      <c r="J20" s="174"/>
      <c r="K20" s="179"/>
      <c r="L20" s="180"/>
      <c r="M20" s="656"/>
      <c r="N20" s="657"/>
      <c r="O20" s="656"/>
      <c r="P20" s="657"/>
      <c r="Q20" s="656"/>
      <c r="R20" s="657"/>
      <c r="S20" s="656"/>
      <c r="T20" s="657"/>
      <c r="U20" s="656"/>
      <c r="V20" s="657"/>
      <c r="W20" s="656"/>
      <c r="X20" s="657"/>
      <c r="Y20" s="656"/>
      <c r="Z20" s="657"/>
      <c r="AA20" s="656"/>
      <c r="AB20" s="657"/>
      <c r="AC20" s="656"/>
      <c r="AD20" s="657"/>
      <c r="AE20" s="656"/>
      <c r="AF20" s="658"/>
      <c r="AG20" s="656"/>
      <c r="AH20" s="658"/>
      <c r="AI20" s="656"/>
      <c r="AJ20" s="658"/>
      <c r="AK20" s="656"/>
      <c r="AL20" s="658"/>
      <c r="AM20" s="659"/>
      <c r="AN20" s="658"/>
      <c r="AO20" s="656"/>
      <c r="AP20" s="658"/>
      <c r="AQ20" s="659"/>
      <c r="AR20" s="658"/>
      <c r="AS20" s="658"/>
      <c r="AT20" s="658"/>
      <c r="AU20" s="659"/>
      <c r="AV20" s="658"/>
      <c r="AW20" s="658"/>
      <c r="AX20" s="181"/>
      <c r="AY20" s="177"/>
      <c r="AZ20">
        <f ca="1">INDIRECT(ADDRESS(ROW()+1,COLUMN(Arbeitszeit!xDay),,,"Arbeitszeit"))</f>
        <v>2</v>
      </c>
    </row>
    <row r="21" spans="1:52">
      <c r="A21" s="582">
        <f>Arbeitszeit!A22</f>
        <v>41655</v>
      </c>
      <c r="B21" s="583">
        <f t="shared" si="0"/>
        <v>41655</v>
      </c>
      <c r="C21" s="214">
        <f t="shared" si="1"/>
        <v>3</v>
      </c>
      <c r="D21" s="213">
        <f t="shared" si="2"/>
        <v>41639</v>
      </c>
      <c r="E21" s="670">
        <f>Arbeitszeit!U22*24</f>
        <v>0</v>
      </c>
      <c r="F21" s="397">
        <f t="shared" si="3"/>
        <v>0</v>
      </c>
      <c r="G21" s="178">
        <f>IF(Arbeitszeit!F22=Urlaub,B_WorkTime*24,)</f>
        <v>0</v>
      </c>
      <c r="H21" s="174"/>
      <c r="I21" s="178">
        <f>IF(Arbeitszeit!F22=Krank,B_WorkTime*24,)</f>
        <v>0</v>
      </c>
      <c r="J21" s="174"/>
      <c r="K21" s="179"/>
      <c r="L21" s="180"/>
      <c r="M21" s="656"/>
      <c r="N21" s="657"/>
      <c r="O21" s="656"/>
      <c r="P21" s="657"/>
      <c r="Q21" s="656"/>
      <c r="R21" s="657"/>
      <c r="S21" s="656"/>
      <c r="T21" s="657"/>
      <c r="U21" s="656"/>
      <c r="V21" s="657"/>
      <c r="W21" s="656"/>
      <c r="X21" s="657"/>
      <c r="Y21" s="656"/>
      <c r="Z21" s="657"/>
      <c r="AA21" s="656"/>
      <c r="AB21" s="657"/>
      <c r="AC21" s="656"/>
      <c r="AD21" s="657"/>
      <c r="AE21" s="656"/>
      <c r="AF21" s="658"/>
      <c r="AG21" s="656"/>
      <c r="AH21" s="658"/>
      <c r="AI21" s="656"/>
      <c r="AJ21" s="658"/>
      <c r="AK21" s="656"/>
      <c r="AL21" s="658"/>
      <c r="AM21" s="659"/>
      <c r="AN21" s="658"/>
      <c r="AO21" s="656"/>
      <c r="AP21" s="658"/>
      <c r="AQ21" s="659"/>
      <c r="AR21" s="658"/>
      <c r="AS21" s="658"/>
      <c r="AT21" s="658"/>
      <c r="AU21" s="659"/>
      <c r="AV21" s="658"/>
      <c r="AW21" s="658"/>
      <c r="AX21" s="181"/>
      <c r="AY21" s="177"/>
      <c r="AZ21">
        <f ca="1">INDIRECT(ADDRESS(ROW()+1,COLUMN(Arbeitszeit!xDay),,,"Arbeitszeit"))</f>
        <v>3</v>
      </c>
    </row>
    <row r="22" spans="1:52">
      <c r="A22" s="582">
        <f>Arbeitszeit!A23</f>
        <v>41656</v>
      </c>
      <c r="B22" s="583">
        <f t="shared" si="0"/>
        <v>41656</v>
      </c>
      <c r="C22" s="214">
        <f t="shared" si="1"/>
        <v>3</v>
      </c>
      <c r="D22" s="213">
        <f t="shared" si="2"/>
        <v>41639</v>
      </c>
      <c r="E22" s="670">
        <f>Arbeitszeit!U23*24</f>
        <v>0</v>
      </c>
      <c r="F22" s="397">
        <f t="shared" si="3"/>
        <v>0</v>
      </c>
      <c r="G22" s="178">
        <f>IF(Arbeitszeit!F23=Urlaub,B_WorkTime*24,)</f>
        <v>0</v>
      </c>
      <c r="H22" s="174"/>
      <c r="I22" s="178">
        <f>IF(Arbeitszeit!F23=Krank,B_WorkTime*24,)</f>
        <v>0</v>
      </c>
      <c r="J22" s="174"/>
      <c r="K22" s="179"/>
      <c r="L22" s="180"/>
      <c r="M22" s="656"/>
      <c r="N22" s="657"/>
      <c r="O22" s="656"/>
      <c r="P22" s="657"/>
      <c r="Q22" s="656"/>
      <c r="R22" s="657"/>
      <c r="S22" s="656"/>
      <c r="T22" s="657"/>
      <c r="U22" s="656"/>
      <c r="V22" s="657"/>
      <c r="W22" s="656"/>
      <c r="X22" s="657"/>
      <c r="Y22" s="656"/>
      <c r="Z22" s="657"/>
      <c r="AA22" s="656"/>
      <c r="AB22" s="657"/>
      <c r="AC22" s="656"/>
      <c r="AD22" s="657"/>
      <c r="AE22" s="656"/>
      <c r="AF22" s="658"/>
      <c r="AG22" s="656"/>
      <c r="AH22" s="658"/>
      <c r="AI22" s="656"/>
      <c r="AJ22" s="658"/>
      <c r="AK22" s="656"/>
      <c r="AL22" s="658"/>
      <c r="AM22" s="659"/>
      <c r="AN22" s="658"/>
      <c r="AO22" s="656"/>
      <c r="AP22" s="658"/>
      <c r="AQ22" s="659"/>
      <c r="AR22" s="658"/>
      <c r="AS22" s="658"/>
      <c r="AT22" s="658"/>
      <c r="AU22" s="659"/>
      <c r="AV22" s="658"/>
      <c r="AW22" s="658"/>
      <c r="AX22" s="181"/>
      <c r="AY22" s="177"/>
      <c r="AZ22">
        <f ca="1">INDIRECT(ADDRESS(ROW()+1,COLUMN(Arbeitszeit!xDay),,,"Arbeitszeit"))</f>
        <v>4</v>
      </c>
    </row>
    <row r="23" spans="1:52">
      <c r="A23" s="582">
        <f>Arbeitszeit!A24</f>
        <v>41657</v>
      </c>
      <c r="B23" s="583">
        <f t="shared" si="0"/>
        <v>41657</v>
      </c>
      <c r="C23" s="214">
        <f t="shared" si="1"/>
        <v>3</v>
      </c>
      <c r="D23" s="213">
        <f t="shared" si="2"/>
        <v>41639</v>
      </c>
      <c r="E23" s="670">
        <f>Arbeitszeit!U24*24</f>
        <v>0</v>
      </c>
      <c r="F23" s="397">
        <f t="shared" si="3"/>
        <v>0</v>
      </c>
      <c r="G23" s="178">
        <f>IF(Arbeitszeit!F24=Urlaub,B_WorkTime*24,)</f>
        <v>0</v>
      </c>
      <c r="H23" s="174"/>
      <c r="I23" s="178">
        <f>IF(Arbeitszeit!F24=Krank,B_WorkTime*24,)</f>
        <v>0</v>
      </c>
      <c r="J23" s="174"/>
      <c r="K23" s="179"/>
      <c r="L23" s="180"/>
      <c r="M23" s="656"/>
      <c r="N23" s="657"/>
      <c r="O23" s="656"/>
      <c r="P23" s="657"/>
      <c r="Q23" s="656"/>
      <c r="R23" s="657"/>
      <c r="S23" s="656"/>
      <c r="T23" s="657"/>
      <c r="U23" s="656"/>
      <c r="V23" s="657"/>
      <c r="W23" s="656"/>
      <c r="X23" s="657"/>
      <c r="Y23" s="656"/>
      <c r="Z23" s="657"/>
      <c r="AA23" s="656"/>
      <c r="AB23" s="657"/>
      <c r="AC23" s="656"/>
      <c r="AD23" s="657"/>
      <c r="AE23" s="656"/>
      <c r="AF23" s="658"/>
      <c r="AG23" s="656"/>
      <c r="AH23" s="658"/>
      <c r="AI23" s="656"/>
      <c r="AJ23" s="658"/>
      <c r="AK23" s="656"/>
      <c r="AL23" s="658"/>
      <c r="AM23" s="659"/>
      <c r="AN23" s="658"/>
      <c r="AO23" s="656"/>
      <c r="AP23" s="658"/>
      <c r="AQ23" s="659"/>
      <c r="AR23" s="658"/>
      <c r="AS23" s="658"/>
      <c r="AT23" s="658"/>
      <c r="AU23" s="659"/>
      <c r="AV23" s="658"/>
      <c r="AW23" s="658"/>
      <c r="AX23" s="181"/>
      <c r="AY23" s="177"/>
      <c r="AZ23">
        <f ca="1">INDIRECT(ADDRESS(ROW()+1,COLUMN(Arbeitszeit!xDay),,,"Arbeitszeit"))</f>
        <v>5</v>
      </c>
    </row>
    <row r="24" spans="1:52">
      <c r="A24" s="582">
        <f>Arbeitszeit!A25</f>
        <v>41658</v>
      </c>
      <c r="B24" s="583">
        <f t="shared" si="0"/>
        <v>41658</v>
      </c>
      <c r="C24" s="214">
        <f t="shared" si="1"/>
        <v>3</v>
      </c>
      <c r="D24" s="213">
        <f t="shared" si="2"/>
        <v>41639</v>
      </c>
      <c r="E24" s="670">
        <f>Arbeitszeit!U25*24</f>
        <v>0</v>
      </c>
      <c r="F24" s="397">
        <f t="shared" si="3"/>
        <v>0</v>
      </c>
      <c r="G24" s="178">
        <f>IF(Arbeitszeit!F25=Urlaub,B_WorkTime*24,)</f>
        <v>0</v>
      </c>
      <c r="H24" s="174"/>
      <c r="I24" s="178">
        <f>IF(Arbeitszeit!F25=Krank,B_WorkTime*24,)</f>
        <v>0</v>
      </c>
      <c r="J24" s="174"/>
      <c r="K24" s="179"/>
      <c r="L24" s="180"/>
      <c r="M24" s="656"/>
      <c r="N24" s="657"/>
      <c r="O24" s="656"/>
      <c r="P24" s="657"/>
      <c r="Q24" s="656"/>
      <c r="R24" s="657"/>
      <c r="S24" s="656"/>
      <c r="T24" s="657"/>
      <c r="U24" s="656"/>
      <c r="V24" s="657"/>
      <c r="W24" s="656"/>
      <c r="X24" s="657"/>
      <c r="Y24" s="656"/>
      <c r="Z24" s="657"/>
      <c r="AA24" s="656"/>
      <c r="AB24" s="657"/>
      <c r="AC24" s="656"/>
      <c r="AD24" s="657"/>
      <c r="AE24" s="656"/>
      <c r="AF24" s="658"/>
      <c r="AG24" s="656"/>
      <c r="AH24" s="658"/>
      <c r="AI24" s="656"/>
      <c r="AJ24" s="658"/>
      <c r="AK24" s="656"/>
      <c r="AL24" s="658"/>
      <c r="AM24" s="659"/>
      <c r="AN24" s="658"/>
      <c r="AO24" s="656"/>
      <c r="AP24" s="658"/>
      <c r="AQ24" s="659"/>
      <c r="AR24" s="658"/>
      <c r="AS24" s="658"/>
      <c r="AT24" s="658"/>
      <c r="AU24" s="659"/>
      <c r="AV24" s="658"/>
      <c r="AW24" s="658"/>
      <c r="AX24" s="181"/>
      <c r="AY24" s="177"/>
      <c r="AZ24">
        <f ca="1">INDIRECT(ADDRESS(ROW()+1,COLUMN(Arbeitszeit!xDay),,,"Arbeitszeit"))</f>
        <v>6</v>
      </c>
    </row>
    <row r="25" spans="1:52">
      <c r="A25" s="582">
        <f>Arbeitszeit!A26</f>
        <v>41659</v>
      </c>
      <c r="B25" s="583">
        <f t="shared" si="0"/>
        <v>41659</v>
      </c>
      <c r="C25" s="214">
        <f t="shared" si="1"/>
        <v>3</v>
      </c>
      <c r="D25" s="213">
        <f t="shared" si="2"/>
        <v>41639</v>
      </c>
      <c r="E25" s="670">
        <f>Arbeitszeit!U26*24</f>
        <v>0</v>
      </c>
      <c r="F25" s="397">
        <f t="shared" si="3"/>
        <v>0</v>
      </c>
      <c r="G25" s="178">
        <f>IF(Arbeitszeit!F26=Urlaub,B_WorkTime*24,)</f>
        <v>0</v>
      </c>
      <c r="H25" s="174"/>
      <c r="I25" s="178">
        <f>IF(Arbeitszeit!F26=Krank,B_WorkTime*24,)</f>
        <v>0</v>
      </c>
      <c r="J25" s="174"/>
      <c r="K25" s="179"/>
      <c r="L25" s="180"/>
      <c r="M25" s="656"/>
      <c r="N25" s="657"/>
      <c r="O25" s="656"/>
      <c r="P25" s="657"/>
      <c r="Q25" s="656"/>
      <c r="R25" s="657"/>
      <c r="S25" s="656"/>
      <c r="T25" s="657"/>
      <c r="U25" s="656"/>
      <c r="V25" s="657"/>
      <c r="W25" s="656"/>
      <c r="X25" s="657"/>
      <c r="Y25" s="656"/>
      <c r="Z25" s="657"/>
      <c r="AA25" s="656"/>
      <c r="AB25" s="657"/>
      <c r="AC25" s="656"/>
      <c r="AD25" s="657"/>
      <c r="AE25" s="656"/>
      <c r="AF25" s="658"/>
      <c r="AG25" s="656"/>
      <c r="AH25" s="658"/>
      <c r="AI25" s="656"/>
      <c r="AJ25" s="658"/>
      <c r="AK25" s="656"/>
      <c r="AL25" s="658"/>
      <c r="AM25" s="659"/>
      <c r="AN25" s="658"/>
      <c r="AO25" s="656"/>
      <c r="AP25" s="658"/>
      <c r="AQ25" s="659"/>
      <c r="AR25" s="658"/>
      <c r="AS25" s="658"/>
      <c r="AT25" s="658"/>
      <c r="AU25" s="659"/>
      <c r="AV25" s="658"/>
      <c r="AW25" s="658"/>
      <c r="AX25" s="181"/>
      <c r="AY25" s="177"/>
      <c r="AZ25">
        <f ca="1">INDIRECT(ADDRESS(ROW()+1,COLUMN(Arbeitszeit!xDay),,,"Arbeitszeit"))</f>
        <v>7</v>
      </c>
    </row>
    <row r="26" spans="1:52">
      <c r="A26" s="582">
        <f>Arbeitszeit!A27</f>
        <v>41660</v>
      </c>
      <c r="B26" s="583">
        <f t="shared" si="0"/>
        <v>41660</v>
      </c>
      <c r="C26" s="214">
        <f t="shared" si="1"/>
        <v>4</v>
      </c>
      <c r="D26" s="213">
        <f t="shared" si="2"/>
        <v>41639</v>
      </c>
      <c r="E26" s="670">
        <f>Arbeitszeit!U27*24</f>
        <v>0</v>
      </c>
      <c r="F26" s="397">
        <f t="shared" si="3"/>
        <v>0</v>
      </c>
      <c r="G26" s="178">
        <f>IF(Arbeitszeit!F27=Urlaub,B_WorkTime*24,)</f>
        <v>0</v>
      </c>
      <c r="H26" s="174"/>
      <c r="I26" s="178">
        <f>IF(Arbeitszeit!F27=Krank,B_WorkTime*24,)</f>
        <v>0</v>
      </c>
      <c r="J26" s="174"/>
      <c r="K26" s="179"/>
      <c r="L26" s="180"/>
      <c r="M26" s="656"/>
      <c r="N26" s="657"/>
      <c r="O26" s="656"/>
      <c r="P26" s="657"/>
      <c r="Q26" s="656"/>
      <c r="R26" s="657"/>
      <c r="S26" s="656"/>
      <c r="T26" s="657"/>
      <c r="U26" s="656"/>
      <c r="V26" s="657"/>
      <c r="W26" s="656"/>
      <c r="X26" s="657"/>
      <c r="Y26" s="656"/>
      <c r="Z26" s="657"/>
      <c r="AA26" s="656"/>
      <c r="AB26" s="657"/>
      <c r="AC26" s="656"/>
      <c r="AD26" s="657"/>
      <c r="AE26" s="656"/>
      <c r="AF26" s="658"/>
      <c r="AG26" s="656"/>
      <c r="AH26" s="658"/>
      <c r="AI26" s="656"/>
      <c r="AJ26" s="658"/>
      <c r="AK26" s="656"/>
      <c r="AL26" s="658"/>
      <c r="AM26" s="659"/>
      <c r="AN26" s="658"/>
      <c r="AO26" s="656"/>
      <c r="AP26" s="658"/>
      <c r="AQ26" s="659"/>
      <c r="AR26" s="658"/>
      <c r="AS26" s="658"/>
      <c r="AT26" s="658"/>
      <c r="AU26" s="659"/>
      <c r="AV26" s="658"/>
      <c r="AW26" s="658"/>
      <c r="AX26" s="181"/>
      <c r="AY26" s="177"/>
      <c r="AZ26">
        <f ca="1">INDIRECT(ADDRESS(ROW()+1,COLUMN(Arbeitszeit!xDay),,,"Arbeitszeit"))</f>
        <v>1</v>
      </c>
    </row>
    <row r="27" spans="1:52">
      <c r="A27" s="582">
        <f>Arbeitszeit!A28</f>
        <v>41661</v>
      </c>
      <c r="B27" s="583">
        <f t="shared" si="0"/>
        <v>41661</v>
      </c>
      <c r="C27" s="214">
        <f t="shared" si="1"/>
        <v>4</v>
      </c>
      <c r="D27" s="213">
        <f t="shared" si="2"/>
        <v>41639</v>
      </c>
      <c r="E27" s="670">
        <f>Arbeitszeit!U28*24</f>
        <v>0</v>
      </c>
      <c r="F27" s="397">
        <f t="shared" si="3"/>
        <v>0</v>
      </c>
      <c r="G27" s="178">
        <f>IF(Arbeitszeit!F28=Urlaub,B_WorkTime*24,)</f>
        <v>0</v>
      </c>
      <c r="H27" s="174"/>
      <c r="I27" s="178">
        <f>IF(Arbeitszeit!F28=Krank,B_WorkTime*24,)</f>
        <v>0</v>
      </c>
      <c r="J27" s="174"/>
      <c r="K27" s="179"/>
      <c r="L27" s="180"/>
      <c r="M27" s="656"/>
      <c r="N27" s="657"/>
      <c r="O27" s="656"/>
      <c r="P27" s="657"/>
      <c r="Q27" s="656"/>
      <c r="R27" s="657"/>
      <c r="S27" s="656"/>
      <c r="T27" s="657"/>
      <c r="U27" s="656"/>
      <c r="V27" s="657"/>
      <c r="W27" s="656"/>
      <c r="X27" s="657"/>
      <c r="Y27" s="656"/>
      <c r="Z27" s="657"/>
      <c r="AA27" s="656"/>
      <c r="AB27" s="657"/>
      <c r="AC27" s="656"/>
      <c r="AD27" s="657"/>
      <c r="AE27" s="656"/>
      <c r="AF27" s="658"/>
      <c r="AG27" s="656"/>
      <c r="AH27" s="658"/>
      <c r="AI27" s="656"/>
      <c r="AJ27" s="658"/>
      <c r="AK27" s="656"/>
      <c r="AL27" s="658"/>
      <c r="AM27" s="659"/>
      <c r="AN27" s="658"/>
      <c r="AO27" s="656"/>
      <c r="AP27" s="658"/>
      <c r="AQ27" s="659"/>
      <c r="AR27" s="658"/>
      <c r="AS27" s="658"/>
      <c r="AT27" s="658"/>
      <c r="AU27" s="659"/>
      <c r="AV27" s="658"/>
      <c r="AW27" s="658"/>
      <c r="AX27" s="181"/>
      <c r="AY27" s="177"/>
      <c r="AZ27">
        <f ca="1">INDIRECT(ADDRESS(ROW()+1,COLUMN(Arbeitszeit!xDay),,,"Arbeitszeit"))</f>
        <v>2</v>
      </c>
    </row>
    <row r="28" spans="1:52">
      <c r="A28" s="582">
        <f>Arbeitszeit!A29</f>
        <v>41662</v>
      </c>
      <c r="B28" s="583">
        <f t="shared" si="0"/>
        <v>41662</v>
      </c>
      <c r="C28" s="214">
        <f t="shared" si="1"/>
        <v>4</v>
      </c>
      <c r="D28" s="213">
        <f t="shared" si="2"/>
        <v>41639</v>
      </c>
      <c r="E28" s="670">
        <f>Arbeitszeit!U29*24</f>
        <v>0</v>
      </c>
      <c r="F28" s="397">
        <f t="shared" si="3"/>
        <v>0</v>
      </c>
      <c r="G28" s="178">
        <f>IF(Arbeitszeit!F29=Urlaub,B_WorkTime*24,)</f>
        <v>0</v>
      </c>
      <c r="H28" s="174"/>
      <c r="I28" s="178">
        <f>IF(Arbeitszeit!F29=Krank,B_WorkTime*24,)</f>
        <v>0</v>
      </c>
      <c r="J28" s="174"/>
      <c r="K28" s="179"/>
      <c r="L28" s="180"/>
      <c r="M28" s="656"/>
      <c r="N28" s="657"/>
      <c r="O28" s="656"/>
      <c r="P28" s="657"/>
      <c r="Q28" s="656"/>
      <c r="R28" s="657"/>
      <c r="S28" s="656"/>
      <c r="T28" s="657"/>
      <c r="U28" s="656"/>
      <c r="V28" s="657"/>
      <c r="W28" s="656"/>
      <c r="X28" s="657"/>
      <c r="Y28" s="656"/>
      <c r="Z28" s="657"/>
      <c r="AA28" s="656"/>
      <c r="AB28" s="657"/>
      <c r="AC28" s="656"/>
      <c r="AD28" s="657"/>
      <c r="AE28" s="656"/>
      <c r="AF28" s="658"/>
      <c r="AG28" s="656"/>
      <c r="AH28" s="658"/>
      <c r="AI28" s="656"/>
      <c r="AJ28" s="658"/>
      <c r="AK28" s="656"/>
      <c r="AL28" s="658"/>
      <c r="AM28" s="659"/>
      <c r="AN28" s="658"/>
      <c r="AO28" s="656"/>
      <c r="AP28" s="658"/>
      <c r="AQ28" s="659"/>
      <c r="AR28" s="658"/>
      <c r="AS28" s="658"/>
      <c r="AT28" s="658"/>
      <c r="AU28" s="659"/>
      <c r="AV28" s="658"/>
      <c r="AW28" s="658"/>
      <c r="AX28" s="181"/>
      <c r="AY28" s="177"/>
      <c r="AZ28">
        <f ca="1">INDIRECT(ADDRESS(ROW()+1,COLUMN(Arbeitszeit!xDay),,,"Arbeitszeit"))</f>
        <v>3</v>
      </c>
    </row>
    <row r="29" spans="1:52">
      <c r="A29" s="582">
        <f>Arbeitszeit!A30</f>
        <v>41663</v>
      </c>
      <c r="B29" s="583">
        <f t="shared" si="0"/>
        <v>41663</v>
      </c>
      <c r="C29" s="214">
        <f t="shared" si="1"/>
        <v>4</v>
      </c>
      <c r="D29" s="213">
        <f t="shared" si="2"/>
        <v>41639</v>
      </c>
      <c r="E29" s="670">
        <f>Arbeitszeit!U30*24</f>
        <v>0</v>
      </c>
      <c r="F29" s="397">
        <f t="shared" si="3"/>
        <v>0</v>
      </c>
      <c r="G29" s="178">
        <f>IF(Arbeitszeit!F30=Urlaub,B_WorkTime*24,)</f>
        <v>0</v>
      </c>
      <c r="H29" s="174"/>
      <c r="I29" s="178">
        <f>IF(Arbeitszeit!F30=Krank,B_WorkTime*24,)</f>
        <v>0</v>
      </c>
      <c r="J29" s="174"/>
      <c r="K29" s="179"/>
      <c r="L29" s="180"/>
      <c r="M29" s="656"/>
      <c r="N29" s="657"/>
      <c r="O29" s="656"/>
      <c r="P29" s="657"/>
      <c r="Q29" s="656"/>
      <c r="R29" s="657"/>
      <c r="S29" s="656"/>
      <c r="T29" s="657"/>
      <c r="U29" s="656"/>
      <c r="V29" s="657"/>
      <c r="W29" s="656"/>
      <c r="X29" s="657"/>
      <c r="Y29" s="656"/>
      <c r="Z29" s="657"/>
      <c r="AA29" s="656"/>
      <c r="AB29" s="657"/>
      <c r="AC29" s="656"/>
      <c r="AD29" s="657"/>
      <c r="AE29" s="656"/>
      <c r="AF29" s="658"/>
      <c r="AG29" s="656"/>
      <c r="AH29" s="658"/>
      <c r="AI29" s="656"/>
      <c r="AJ29" s="658"/>
      <c r="AK29" s="656"/>
      <c r="AL29" s="658"/>
      <c r="AM29" s="659"/>
      <c r="AN29" s="658"/>
      <c r="AO29" s="656"/>
      <c r="AP29" s="658"/>
      <c r="AQ29" s="659"/>
      <c r="AR29" s="658"/>
      <c r="AS29" s="658"/>
      <c r="AT29" s="658"/>
      <c r="AU29" s="659"/>
      <c r="AV29" s="658"/>
      <c r="AW29" s="658"/>
      <c r="AX29" s="181"/>
      <c r="AY29" s="177"/>
      <c r="AZ29">
        <f ca="1">INDIRECT(ADDRESS(ROW()+1,COLUMN(Arbeitszeit!xDay),,,"Arbeitszeit"))</f>
        <v>4</v>
      </c>
    </row>
    <row r="30" spans="1:52">
      <c r="A30" s="582">
        <f>Arbeitszeit!A31</f>
        <v>41664</v>
      </c>
      <c r="B30" s="583">
        <f t="shared" si="0"/>
        <v>41664</v>
      </c>
      <c r="C30" s="214">
        <f t="shared" si="1"/>
        <v>4</v>
      </c>
      <c r="D30" s="213">
        <f t="shared" si="2"/>
        <v>41639</v>
      </c>
      <c r="E30" s="670">
        <f>Arbeitszeit!U31*24</f>
        <v>0</v>
      </c>
      <c r="F30" s="397">
        <f t="shared" si="3"/>
        <v>0</v>
      </c>
      <c r="G30" s="178">
        <f>IF(Arbeitszeit!F31=Urlaub,B_WorkTime*24,)</f>
        <v>0</v>
      </c>
      <c r="H30" s="174"/>
      <c r="I30" s="178">
        <f>IF(Arbeitszeit!F31=Krank,B_WorkTime*24,)</f>
        <v>0</v>
      </c>
      <c r="J30" s="174"/>
      <c r="K30" s="179"/>
      <c r="L30" s="180"/>
      <c r="M30" s="656"/>
      <c r="N30" s="657"/>
      <c r="O30" s="656"/>
      <c r="P30" s="657"/>
      <c r="Q30" s="656"/>
      <c r="R30" s="657"/>
      <c r="S30" s="656"/>
      <c r="T30" s="657"/>
      <c r="U30" s="656"/>
      <c r="V30" s="657"/>
      <c r="W30" s="656"/>
      <c r="X30" s="657"/>
      <c r="Y30" s="656"/>
      <c r="Z30" s="657"/>
      <c r="AA30" s="656"/>
      <c r="AB30" s="657"/>
      <c r="AC30" s="656"/>
      <c r="AD30" s="657"/>
      <c r="AE30" s="656"/>
      <c r="AF30" s="658"/>
      <c r="AG30" s="656"/>
      <c r="AH30" s="658"/>
      <c r="AI30" s="656"/>
      <c r="AJ30" s="658"/>
      <c r="AK30" s="656"/>
      <c r="AL30" s="658"/>
      <c r="AM30" s="659"/>
      <c r="AN30" s="658"/>
      <c r="AO30" s="656"/>
      <c r="AP30" s="658"/>
      <c r="AQ30" s="659"/>
      <c r="AR30" s="658"/>
      <c r="AS30" s="658"/>
      <c r="AT30" s="658"/>
      <c r="AU30" s="659"/>
      <c r="AV30" s="658"/>
      <c r="AW30" s="658"/>
      <c r="AX30" s="181"/>
      <c r="AY30" s="177"/>
      <c r="AZ30">
        <f ca="1">INDIRECT(ADDRESS(ROW()+1,COLUMN(Arbeitszeit!xDay),,,"Arbeitszeit"))</f>
        <v>5</v>
      </c>
    </row>
    <row r="31" spans="1:52">
      <c r="A31" s="582">
        <f>Arbeitszeit!A32</f>
        <v>41665</v>
      </c>
      <c r="B31" s="583">
        <f t="shared" si="0"/>
        <v>41665</v>
      </c>
      <c r="C31" s="214">
        <f t="shared" si="1"/>
        <v>4</v>
      </c>
      <c r="D31" s="213">
        <f t="shared" si="2"/>
        <v>41639</v>
      </c>
      <c r="E31" s="670">
        <f>Arbeitszeit!U32*24</f>
        <v>0</v>
      </c>
      <c r="F31" s="397">
        <f t="shared" si="3"/>
        <v>0</v>
      </c>
      <c r="G31" s="178">
        <f>IF(Arbeitszeit!F32=Urlaub,B_WorkTime*24,)</f>
        <v>0</v>
      </c>
      <c r="H31" s="174"/>
      <c r="I31" s="178">
        <f>IF(Arbeitszeit!F32=Krank,B_WorkTime*24,)</f>
        <v>0</v>
      </c>
      <c r="J31" s="174"/>
      <c r="K31" s="179"/>
      <c r="L31" s="180"/>
      <c r="M31" s="656"/>
      <c r="N31" s="657"/>
      <c r="O31" s="656"/>
      <c r="P31" s="657"/>
      <c r="Q31" s="656"/>
      <c r="R31" s="657"/>
      <c r="S31" s="656"/>
      <c r="T31" s="657"/>
      <c r="U31" s="656"/>
      <c r="V31" s="657"/>
      <c r="W31" s="656"/>
      <c r="X31" s="657"/>
      <c r="Y31" s="656"/>
      <c r="Z31" s="657"/>
      <c r="AA31" s="656"/>
      <c r="AB31" s="657"/>
      <c r="AC31" s="656"/>
      <c r="AD31" s="657"/>
      <c r="AE31" s="656"/>
      <c r="AF31" s="658"/>
      <c r="AG31" s="656"/>
      <c r="AH31" s="658"/>
      <c r="AI31" s="656"/>
      <c r="AJ31" s="658"/>
      <c r="AK31" s="656"/>
      <c r="AL31" s="658"/>
      <c r="AM31" s="659"/>
      <c r="AN31" s="658"/>
      <c r="AO31" s="656"/>
      <c r="AP31" s="658"/>
      <c r="AQ31" s="659"/>
      <c r="AR31" s="658"/>
      <c r="AS31" s="658"/>
      <c r="AT31" s="658"/>
      <c r="AU31" s="659"/>
      <c r="AV31" s="658"/>
      <c r="AW31" s="658"/>
      <c r="AX31" s="181"/>
      <c r="AY31" s="177"/>
      <c r="AZ31">
        <f ca="1">INDIRECT(ADDRESS(ROW()+1,COLUMN(Arbeitszeit!xDay),,,"Arbeitszeit"))</f>
        <v>6</v>
      </c>
    </row>
    <row r="32" spans="1:52">
      <c r="A32" s="582">
        <f>Arbeitszeit!A33</f>
        <v>41666</v>
      </c>
      <c r="B32" s="583">
        <f t="shared" si="0"/>
        <v>41666</v>
      </c>
      <c r="C32" s="214">
        <f t="shared" si="1"/>
        <v>4</v>
      </c>
      <c r="D32" s="213">
        <f t="shared" si="2"/>
        <v>41639</v>
      </c>
      <c r="E32" s="670">
        <f>Arbeitszeit!U33*24</f>
        <v>0</v>
      </c>
      <c r="F32" s="397">
        <f t="shared" si="3"/>
        <v>0</v>
      </c>
      <c r="G32" s="178">
        <f>IF(Arbeitszeit!F33=Urlaub,B_WorkTime*24,)</f>
        <v>0</v>
      </c>
      <c r="H32" s="174"/>
      <c r="I32" s="178">
        <f>IF(Arbeitszeit!F33=Krank,B_WorkTime*24,)</f>
        <v>0</v>
      </c>
      <c r="J32" s="174"/>
      <c r="K32" s="179"/>
      <c r="L32" s="180"/>
      <c r="M32" s="656"/>
      <c r="N32" s="657"/>
      <c r="O32" s="656"/>
      <c r="P32" s="657"/>
      <c r="Q32" s="656"/>
      <c r="R32" s="657"/>
      <c r="S32" s="656"/>
      <c r="T32" s="657"/>
      <c r="U32" s="656"/>
      <c r="V32" s="657"/>
      <c r="W32" s="656"/>
      <c r="X32" s="657"/>
      <c r="Y32" s="656"/>
      <c r="Z32" s="657"/>
      <c r="AA32" s="656"/>
      <c r="AB32" s="657"/>
      <c r="AC32" s="656"/>
      <c r="AD32" s="657"/>
      <c r="AE32" s="656"/>
      <c r="AF32" s="658"/>
      <c r="AG32" s="656"/>
      <c r="AH32" s="658"/>
      <c r="AI32" s="656"/>
      <c r="AJ32" s="658"/>
      <c r="AK32" s="656"/>
      <c r="AL32" s="658"/>
      <c r="AM32" s="659"/>
      <c r="AN32" s="658"/>
      <c r="AO32" s="656"/>
      <c r="AP32" s="658"/>
      <c r="AQ32" s="659"/>
      <c r="AR32" s="658"/>
      <c r="AS32" s="658"/>
      <c r="AT32" s="658"/>
      <c r="AU32" s="659"/>
      <c r="AV32" s="658"/>
      <c r="AW32" s="658"/>
      <c r="AX32" s="181"/>
      <c r="AY32" s="177"/>
      <c r="AZ32">
        <f ca="1">INDIRECT(ADDRESS(ROW()+1,COLUMN(Arbeitszeit!xDay),,,"Arbeitszeit"))</f>
        <v>7</v>
      </c>
    </row>
    <row r="33" spans="1:52">
      <c r="A33" s="582">
        <f>Arbeitszeit!A34</f>
        <v>41667</v>
      </c>
      <c r="B33" s="583">
        <f t="shared" si="0"/>
        <v>41667</v>
      </c>
      <c r="C33" s="214">
        <f t="shared" si="1"/>
        <v>5</v>
      </c>
      <c r="D33" s="213">
        <f t="shared" si="2"/>
        <v>41639</v>
      </c>
      <c r="E33" s="670">
        <f>Arbeitszeit!U34*24</f>
        <v>0</v>
      </c>
      <c r="F33" s="397">
        <f t="shared" si="3"/>
        <v>0</v>
      </c>
      <c r="G33" s="178">
        <f>IF(Arbeitszeit!F34=Urlaub,B_WorkTime*24,)</f>
        <v>0</v>
      </c>
      <c r="H33" s="174"/>
      <c r="I33" s="178">
        <f>IF(Arbeitszeit!F34=Krank,B_WorkTime*24,)</f>
        <v>0</v>
      </c>
      <c r="J33" s="174"/>
      <c r="K33" s="179"/>
      <c r="L33" s="180"/>
      <c r="M33" s="656"/>
      <c r="N33" s="657"/>
      <c r="O33" s="656"/>
      <c r="P33" s="657"/>
      <c r="Q33" s="656"/>
      <c r="R33" s="657"/>
      <c r="S33" s="656"/>
      <c r="T33" s="657"/>
      <c r="U33" s="656"/>
      <c r="V33" s="657"/>
      <c r="W33" s="656"/>
      <c r="X33" s="657"/>
      <c r="Y33" s="656"/>
      <c r="Z33" s="657"/>
      <c r="AA33" s="656"/>
      <c r="AB33" s="657"/>
      <c r="AC33" s="656"/>
      <c r="AD33" s="657"/>
      <c r="AE33" s="656"/>
      <c r="AF33" s="658"/>
      <c r="AG33" s="656"/>
      <c r="AH33" s="658"/>
      <c r="AI33" s="656"/>
      <c r="AJ33" s="658"/>
      <c r="AK33" s="656"/>
      <c r="AL33" s="658"/>
      <c r="AM33" s="659"/>
      <c r="AN33" s="658"/>
      <c r="AO33" s="656"/>
      <c r="AP33" s="658"/>
      <c r="AQ33" s="659"/>
      <c r="AR33" s="658"/>
      <c r="AS33" s="658"/>
      <c r="AT33" s="658"/>
      <c r="AU33" s="659"/>
      <c r="AV33" s="658"/>
      <c r="AW33" s="658"/>
      <c r="AX33" s="181"/>
      <c r="AY33" s="177"/>
      <c r="AZ33">
        <f ca="1">INDIRECT(ADDRESS(ROW()+1,COLUMN(Arbeitszeit!xDay),,,"Arbeitszeit"))</f>
        <v>1</v>
      </c>
    </row>
    <row r="34" spans="1:52">
      <c r="A34" s="582">
        <f>Arbeitszeit!A35</f>
        <v>41668</v>
      </c>
      <c r="B34" s="583">
        <f t="shared" si="0"/>
        <v>41668</v>
      </c>
      <c r="C34" s="214">
        <f t="shared" si="1"/>
        <v>5</v>
      </c>
      <c r="D34" s="213">
        <f t="shared" si="2"/>
        <v>41639</v>
      </c>
      <c r="E34" s="670">
        <f>Arbeitszeit!U35*24</f>
        <v>0</v>
      </c>
      <c r="F34" s="397">
        <f t="shared" si="3"/>
        <v>0</v>
      </c>
      <c r="G34" s="178">
        <f>IF(Arbeitszeit!F35=Urlaub,B_WorkTime*24,)</f>
        <v>0</v>
      </c>
      <c r="H34" s="174"/>
      <c r="I34" s="178">
        <f>IF(Arbeitszeit!F35=Krank,B_WorkTime*24,)</f>
        <v>0</v>
      </c>
      <c r="J34" s="174"/>
      <c r="K34" s="179"/>
      <c r="L34" s="180"/>
      <c r="M34" s="656"/>
      <c r="N34" s="657"/>
      <c r="O34" s="656"/>
      <c r="P34" s="657"/>
      <c r="Q34" s="656"/>
      <c r="R34" s="657"/>
      <c r="S34" s="656"/>
      <c r="T34" s="657"/>
      <c r="U34" s="656"/>
      <c r="V34" s="657"/>
      <c r="W34" s="656"/>
      <c r="X34" s="657"/>
      <c r="Y34" s="656"/>
      <c r="Z34" s="657"/>
      <c r="AA34" s="656"/>
      <c r="AB34" s="657"/>
      <c r="AC34" s="656"/>
      <c r="AD34" s="657"/>
      <c r="AE34" s="656"/>
      <c r="AF34" s="658"/>
      <c r="AG34" s="656"/>
      <c r="AH34" s="658"/>
      <c r="AI34" s="656"/>
      <c r="AJ34" s="658"/>
      <c r="AK34" s="656"/>
      <c r="AL34" s="658"/>
      <c r="AM34" s="659"/>
      <c r="AN34" s="658"/>
      <c r="AO34" s="656"/>
      <c r="AP34" s="658"/>
      <c r="AQ34" s="659"/>
      <c r="AR34" s="658"/>
      <c r="AS34" s="658"/>
      <c r="AT34" s="658"/>
      <c r="AU34" s="659"/>
      <c r="AV34" s="658"/>
      <c r="AW34" s="658"/>
      <c r="AX34" s="181"/>
      <c r="AY34" s="177"/>
      <c r="AZ34">
        <f ca="1">INDIRECT(ADDRESS(ROW()+1,COLUMN(Arbeitszeit!xDay),,,"Arbeitszeit"))</f>
        <v>2</v>
      </c>
    </row>
    <row r="35" spans="1:52">
      <c r="A35" s="582">
        <f>Arbeitszeit!A36</f>
        <v>41669</v>
      </c>
      <c r="B35" s="583">
        <f t="shared" si="0"/>
        <v>41669</v>
      </c>
      <c r="C35" s="214">
        <f t="shared" si="1"/>
        <v>5</v>
      </c>
      <c r="D35" s="213">
        <f t="shared" si="2"/>
        <v>41639</v>
      </c>
      <c r="E35" s="670">
        <f>Arbeitszeit!U36*24</f>
        <v>0</v>
      </c>
      <c r="F35" s="397">
        <f t="shared" si="3"/>
        <v>0</v>
      </c>
      <c r="G35" s="178">
        <f>IF(Arbeitszeit!F36=Urlaub,B_WorkTime*24,)</f>
        <v>0</v>
      </c>
      <c r="H35" s="174"/>
      <c r="I35" s="178">
        <f>IF(Arbeitszeit!F36=Krank,B_WorkTime*24,)</f>
        <v>0</v>
      </c>
      <c r="J35" s="174"/>
      <c r="K35" s="179"/>
      <c r="L35" s="180"/>
      <c r="M35" s="656"/>
      <c r="N35" s="657"/>
      <c r="O35" s="656"/>
      <c r="P35" s="657"/>
      <c r="Q35" s="656"/>
      <c r="R35" s="657"/>
      <c r="S35" s="656"/>
      <c r="T35" s="657"/>
      <c r="U35" s="656"/>
      <c r="V35" s="657"/>
      <c r="W35" s="656"/>
      <c r="X35" s="657"/>
      <c r="Y35" s="656"/>
      <c r="Z35" s="657"/>
      <c r="AA35" s="656"/>
      <c r="AB35" s="657"/>
      <c r="AC35" s="656"/>
      <c r="AD35" s="657"/>
      <c r="AE35" s="656"/>
      <c r="AF35" s="658"/>
      <c r="AG35" s="656"/>
      <c r="AH35" s="658"/>
      <c r="AI35" s="656"/>
      <c r="AJ35" s="658"/>
      <c r="AK35" s="656"/>
      <c r="AL35" s="658"/>
      <c r="AM35" s="659"/>
      <c r="AN35" s="658"/>
      <c r="AO35" s="656"/>
      <c r="AP35" s="658"/>
      <c r="AQ35" s="659"/>
      <c r="AR35" s="658"/>
      <c r="AS35" s="658"/>
      <c r="AT35" s="658"/>
      <c r="AU35" s="659"/>
      <c r="AV35" s="658"/>
      <c r="AW35" s="658"/>
      <c r="AX35" s="181"/>
      <c r="AY35" s="177"/>
      <c r="AZ35">
        <f ca="1">INDIRECT(ADDRESS(ROW()+1,COLUMN(Arbeitszeit!xDay),,,"Arbeitszeit"))</f>
        <v>3</v>
      </c>
    </row>
    <row r="36" spans="1:52">
      <c r="A36" s="582">
        <f>Arbeitszeit!A37</f>
        <v>41670</v>
      </c>
      <c r="B36" s="583">
        <f t="shared" si="0"/>
        <v>41670</v>
      </c>
      <c r="C36" s="214">
        <f t="shared" si="1"/>
        <v>5</v>
      </c>
      <c r="D36" s="213">
        <f t="shared" si="2"/>
        <v>41670</v>
      </c>
      <c r="E36" s="670">
        <f>Arbeitszeit!U37*24</f>
        <v>0</v>
      </c>
      <c r="F36" s="397">
        <f t="shared" si="3"/>
        <v>0</v>
      </c>
      <c r="G36" s="178">
        <f>IF(Arbeitszeit!F37=Urlaub,B_WorkTime*24,)</f>
        <v>0</v>
      </c>
      <c r="H36" s="174"/>
      <c r="I36" s="178">
        <f>IF(Arbeitszeit!F37=Krank,B_WorkTime*24,)</f>
        <v>0</v>
      </c>
      <c r="J36" s="174"/>
      <c r="K36" s="179"/>
      <c r="L36" s="180"/>
      <c r="M36" s="656"/>
      <c r="N36" s="657"/>
      <c r="O36" s="656"/>
      <c r="P36" s="657"/>
      <c r="Q36" s="656"/>
      <c r="R36" s="657"/>
      <c r="S36" s="656"/>
      <c r="T36" s="657"/>
      <c r="U36" s="656"/>
      <c r="V36" s="657"/>
      <c r="W36" s="656"/>
      <c r="X36" s="657"/>
      <c r="Y36" s="656"/>
      <c r="Z36" s="657"/>
      <c r="AA36" s="656"/>
      <c r="AB36" s="657"/>
      <c r="AC36" s="656"/>
      <c r="AD36" s="657"/>
      <c r="AE36" s="656"/>
      <c r="AF36" s="658"/>
      <c r="AG36" s="656"/>
      <c r="AH36" s="658"/>
      <c r="AI36" s="656"/>
      <c r="AJ36" s="658"/>
      <c r="AK36" s="656"/>
      <c r="AL36" s="658"/>
      <c r="AM36" s="659"/>
      <c r="AN36" s="658"/>
      <c r="AO36" s="656"/>
      <c r="AP36" s="658"/>
      <c r="AQ36" s="659"/>
      <c r="AR36" s="658"/>
      <c r="AS36" s="658"/>
      <c r="AT36" s="658"/>
      <c r="AU36" s="659"/>
      <c r="AV36" s="658"/>
      <c r="AW36" s="658"/>
      <c r="AX36" s="181"/>
      <c r="AY36" s="177"/>
      <c r="AZ36">
        <f ca="1">INDIRECT(ADDRESS(ROW()+1,COLUMN(Arbeitszeit!xDay),,,"Arbeitszeit"))</f>
        <v>4</v>
      </c>
    </row>
    <row r="37" spans="1:52">
      <c r="A37" s="582">
        <f>Arbeitszeit!A38</f>
        <v>41671</v>
      </c>
      <c r="B37" s="583">
        <f t="shared" si="0"/>
        <v>41671</v>
      </c>
      <c r="C37" s="214">
        <f t="shared" si="1"/>
        <v>5</v>
      </c>
      <c r="D37" s="213">
        <f t="shared" si="2"/>
        <v>41670</v>
      </c>
      <c r="E37" s="670">
        <f>Arbeitszeit!U38*24</f>
        <v>0</v>
      </c>
      <c r="F37" s="397">
        <f t="shared" si="3"/>
        <v>0</v>
      </c>
      <c r="G37" s="178">
        <f>IF(Arbeitszeit!F38=Urlaub,B_WorkTime*24,)</f>
        <v>0</v>
      </c>
      <c r="H37" s="174"/>
      <c r="I37" s="178">
        <f>IF(Arbeitszeit!F38=Krank,B_WorkTime*24,)</f>
        <v>0</v>
      </c>
      <c r="J37" s="174"/>
      <c r="K37" s="179"/>
      <c r="L37" s="180"/>
      <c r="M37" s="656"/>
      <c r="N37" s="657"/>
      <c r="O37" s="656"/>
      <c r="P37" s="657"/>
      <c r="Q37" s="656"/>
      <c r="R37" s="657"/>
      <c r="S37" s="656"/>
      <c r="T37" s="657"/>
      <c r="U37" s="656"/>
      <c r="V37" s="657"/>
      <c r="W37" s="656"/>
      <c r="X37" s="657"/>
      <c r="Y37" s="656"/>
      <c r="Z37" s="657"/>
      <c r="AA37" s="656"/>
      <c r="AB37" s="657"/>
      <c r="AC37" s="656"/>
      <c r="AD37" s="657"/>
      <c r="AE37" s="656"/>
      <c r="AF37" s="658"/>
      <c r="AG37" s="656"/>
      <c r="AH37" s="658"/>
      <c r="AI37" s="656"/>
      <c r="AJ37" s="658"/>
      <c r="AK37" s="656"/>
      <c r="AL37" s="658"/>
      <c r="AM37" s="659"/>
      <c r="AN37" s="658"/>
      <c r="AO37" s="656"/>
      <c r="AP37" s="658"/>
      <c r="AQ37" s="659"/>
      <c r="AR37" s="658"/>
      <c r="AS37" s="658"/>
      <c r="AT37" s="658"/>
      <c r="AU37" s="659"/>
      <c r="AV37" s="658"/>
      <c r="AW37" s="658"/>
      <c r="AX37" s="181"/>
      <c r="AY37" s="177"/>
      <c r="AZ37">
        <f ca="1">INDIRECT(ADDRESS(ROW()+1,COLUMN(Arbeitszeit!xDay),,,"Arbeitszeit"))</f>
        <v>5</v>
      </c>
    </row>
    <row r="38" spans="1:52">
      <c r="A38" s="582">
        <f>Arbeitszeit!A39</f>
        <v>41672</v>
      </c>
      <c r="B38" s="583">
        <f t="shared" si="0"/>
        <v>41672</v>
      </c>
      <c r="C38" s="214">
        <f t="shared" si="1"/>
        <v>5</v>
      </c>
      <c r="D38" s="213">
        <f t="shared" si="2"/>
        <v>41670</v>
      </c>
      <c r="E38" s="670">
        <f>Arbeitszeit!U39*24</f>
        <v>0</v>
      </c>
      <c r="F38" s="397">
        <f t="shared" si="3"/>
        <v>0</v>
      </c>
      <c r="G38" s="178">
        <f>IF(Arbeitszeit!F39=Urlaub,B_WorkTime*24,)</f>
        <v>0</v>
      </c>
      <c r="H38" s="174"/>
      <c r="I38" s="178">
        <f>IF(Arbeitszeit!F39=Krank,B_WorkTime*24,)</f>
        <v>0</v>
      </c>
      <c r="J38" s="174"/>
      <c r="K38" s="179"/>
      <c r="L38" s="180"/>
      <c r="M38" s="656"/>
      <c r="N38" s="657"/>
      <c r="O38" s="656"/>
      <c r="P38" s="657"/>
      <c r="Q38" s="656"/>
      <c r="R38" s="657"/>
      <c r="S38" s="656"/>
      <c r="T38" s="657"/>
      <c r="U38" s="656"/>
      <c r="V38" s="657"/>
      <c r="W38" s="656"/>
      <c r="X38" s="657"/>
      <c r="Y38" s="656"/>
      <c r="Z38" s="657"/>
      <c r="AA38" s="656"/>
      <c r="AB38" s="657"/>
      <c r="AC38" s="656"/>
      <c r="AD38" s="657"/>
      <c r="AE38" s="656"/>
      <c r="AF38" s="658"/>
      <c r="AG38" s="656"/>
      <c r="AH38" s="658"/>
      <c r="AI38" s="656"/>
      <c r="AJ38" s="658"/>
      <c r="AK38" s="656"/>
      <c r="AL38" s="658"/>
      <c r="AM38" s="659"/>
      <c r="AN38" s="658"/>
      <c r="AO38" s="656"/>
      <c r="AP38" s="658"/>
      <c r="AQ38" s="659"/>
      <c r="AR38" s="658"/>
      <c r="AS38" s="658"/>
      <c r="AT38" s="658"/>
      <c r="AU38" s="659"/>
      <c r="AV38" s="658"/>
      <c r="AW38" s="658"/>
      <c r="AX38" s="181"/>
      <c r="AY38" s="177"/>
      <c r="AZ38">
        <f ca="1">INDIRECT(ADDRESS(ROW()+1,COLUMN(Arbeitszeit!xDay),,,"Arbeitszeit"))</f>
        <v>6</v>
      </c>
    </row>
    <row r="39" spans="1:52">
      <c r="A39" s="582">
        <f>Arbeitszeit!A40</f>
        <v>41673</v>
      </c>
      <c r="B39" s="583">
        <f t="shared" si="0"/>
        <v>41673</v>
      </c>
      <c r="C39" s="214">
        <f t="shared" si="1"/>
        <v>5</v>
      </c>
      <c r="D39" s="213">
        <f t="shared" si="2"/>
        <v>41670</v>
      </c>
      <c r="E39" s="670">
        <f>Arbeitszeit!U40*24</f>
        <v>0</v>
      </c>
      <c r="F39" s="397">
        <f t="shared" si="3"/>
        <v>0</v>
      </c>
      <c r="G39" s="178">
        <f>IF(Arbeitszeit!F40=Urlaub,B_WorkTime*24,)</f>
        <v>0</v>
      </c>
      <c r="H39" s="174"/>
      <c r="I39" s="178">
        <f>IF(Arbeitszeit!F40=Krank,B_WorkTime*24,)</f>
        <v>0</v>
      </c>
      <c r="J39" s="174"/>
      <c r="K39" s="179"/>
      <c r="L39" s="180"/>
      <c r="M39" s="656"/>
      <c r="N39" s="657"/>
      <c r="O39" s="656"/>
      <c r="P39" s="657"/>
      <c r="Q39" s="656"/>
      <c r="R39" s="657"/>
      <c r="S39" s="656"/>
      <c r="T39" s="657"/>
      <c r="U39" s="656"/>
      <c r="V39" s="657"/>
      <c r="W39" s="656"/>
      <c r="X39" s="657"/>
      <c r="Y39" s="656"/>
      <c r="Z39" s="657"/>
      <c r="AA39" s="656"/>
      <c r="AB39" s="657"/>
      <c r="AC39" s="656"/>
      <c r="AD39" s="657"/>
      <c r="AE39" s="656"/>
      <c r="AF39" s="658"/>
      <c r="AG39" s="656"/>
      <c r="AH39" s="658"/>
      <c r="AI39" s="656"/>
      <c r="AJ39" s="658"/>
      <c r="AK39" s="656"/>
      <c r="AL39" s="658"/>
      <c r="AM39" s="659"/>
      <c r="AN39" s="658"/>
      <c r="AO39" s="656"/>
      <c r="AP39" s="658"/>
      <c r="AQ39" s="659"/>
      <c r="AR39" s="658"/>
      <c r="AS39" s="658"/>
      <c r="AT39" s="658"/>
      <c r="AU39" s="659"/>
      <c r="AV39" s="658"/>
      <c r="AW39" s="658"/>
      <c r="AX39" s="181"/>
      <c r="AY39" s="177"/>
      <c r="AZ39">
        <f ca="1">INDIRECT(ADDRESS(ROW()+1,COLUMN(Arbeitszeit!xDay),,,"Arbeitszeit"))</f>
        <v>7</v>
      </c>
    </row>
    <row r="40" spans="1:52">
      <c r="A40" s="582">
        <f>Arbeitszeit!A41</f>
        <v>41674</v>
      </c>
      <c r="B40" s="583">
        <f t="shared" si="0"/>
        <v>41674</v>
      </c>
      <c r="C40" s="214">
        <f t="shared" si="1"/>
        <v>6</v>
      </c>
      <c r="D40" s="213">
        <f t="shared" si="2"/>
        <v>41670</v>
      </c>
      <c r="E40" s="670">
        <f>Arbeitszeit!U41*24</f>
        <v>0</v>
      </c>
      <c r="F40" s="397">
        <f t="shared" si="3"/>
        <v>0</v>
      </c>
      <c r="G40" s="178">
        <f>IF(Arbeitszeit!F41=Urlaub,B_WorkTime*24,)</f>
        <v>0</v>
      </c>
      <c r="H40" s="174"/>
      <c r="I40" s="178">
        <f>IF(Arbeitszeit!F41=Krank,B_WorkTime*24,)</f>
        <v>0</v>
      </c>
      <c r="J40" s="174"/>
      <c r="K40" s="179"/>
      <c r="L40" s="180"/>
      <c r="M40" s="656"/>
      <c r="N40" s="657"/>
      <c r="O40" s="656"/>
      <c r="P40" s="657"/>
      <c r="Q40" s="656"/>
      <c r="R40" s="657"/>
      <c r="S40" s="656"/>
      <c r="T40" s="657"/>
      <c r="U40" s="656"/>
      <c r="V40" s="657"/>
      <c r="W40" s="656"/>
      <c r="X40" s="657"/>
      <c r="Y40" s="656"/>
      <c r="Z40" s="657"/>
      <c r="AA40" s="656"/>
      <c r="AB40" s="657"/>
      <c r="AC40" s="656"/>
      <c r="AD40" s="657"/>
      <c r="AE40" s="656"/>
      <c r="AF40" s="658"/>
      <c r="AG40" s="656"/>
      <c r="AH40" s="658"/>
      <c r="AI40" s="656"/>
      <c r="AJ40" s="658"/>
      <c r="AK40" s="656"/>
      <c r="AL40" s="658"/>
      <c r="AM40" s="659"/>
      <c r="AN40" s="658"/>
      <c r="AO40" s="656"/>
      <c r="AP40" s="658"/>
      <c r="AQ40" s="659"/>
      <c r="AR40" s="658"/>
      <c r="AS40" s="658"/>
      <c r="AT40" s="658"/>
      <c r="AU40" s="659"/>
      <c r="AV40" s="658"/>
      <c r="AW40" s="658"/>
      <c r="AX40" s="181"/>
      <c r="AY40" s="177"/>
      <c r="AZ40">
        <f ca="1">INDIRECT(ADDRESS(ROW()+1,COLUMN(Arbeitszeit!xDay),,,"Arbeitszeit"))</f>
        <v>1</v>
      </c>
    </row>
    <row r="41" spans="1:52">
      <c r="A41" s="582">
        <f>Arbeitszeit!A42</f>
        <v>41675</v>
      </c>
      <c r="B41" s="583">
        <f t="shared" si="0"/>
        <v>41675</v>
      </c>
      <c r="C41" s="214">
        <f t="shared" si="1"/>
        <v>6</v>
      </c>
      <c r="D41" s="213">
        <f t="shared" si="2"/>
        <v>41670</v>
      </c>
      <c r="E41" s="670">
        <f>Arbeitszeit!U42*24</f>
        <v>0</v>
      </c>
      <c r="F41" s="397">
        <f t="shared" si="3"/>
        <v>0</v>
      </c>
      <c r="G41" s="178">
        <f>IF(Arbeitszeit!F42=Urlaub,B_WorkTime*24,)</f>
        <v>0</v>
      </c>
      <c r="H41" s="174"/>
      <c r="I41" s="178">
        <f>IF(Arbeitszeit!F42=Krank,B_WorkTime*24,)</f>
        <v>0</v>
      </c>
      <c r="J41" s="174"/>
      <c r="K41" s="179"/>
      <c r="L41" s="180"/>
      <c r="M41" s="656"/>
      <c r="N41" s="657"/>
      <c r="O41" s="656"/>
      <c r="P41" s="657"/>
      <c r="Q41" s="656"/>
      <c r="R41" s="657"/>
      <c r="S41" s="656"/>
      <c r="T41" s="657"/>
      <c r="U41" s="656"/>
      <c r="V41" s="657"/>
      <c r="W41" s="656"/>
      <c r="X41" s="657"/>
      <c r="Y41" s="656"/>
      <c r="Z41" s="657"/>
      <c r="AA41" s="656"/>
      <c r="AB41" s="657"/>
      <c r="AC41" s="656"/>
      <c r="AD41" s="657"/>
      <c r="AE41" s="656"/>
      <c r="AF41" s="658"/>
      <c r="AG41" s="656"/>
      <c r="AH41" s="658"/>
      <c r="AI41" s="656"/>
      <c r="AJ41" s="658"/>
      <c r="AK41" s="656"/>
      <c r="AL41" s="658"/>
      <c r="AM41" s="659"/>
      <c r="AN41" s="658"/>
      <c r="AO41" s="656"/>
      <c r="AP41" s="658"/>
      <c r="AQ41" s="659"/>
      <c r="AR41" s="658"/>
      <c r="AS41" s="658"/>
      <c r="AT41" s="658"/>
      <c r="AU41" s="659"/>
      <c r="AV41" s="658"/>
      <c r="AW41" s="658"/>
      <c r="AX41" s="181"/>
      <c r="AY41" s="177"/>
      <c r="AZ41">
        <f ca="1">INDIRECT(ADDRESS(ROW()+1,COLUMN(Arbeitszeit!xDay),,,"Arbeitszeit"))</f>
        <v>2</v>
      </c>
    </row>
    <row r="42" spans="1:52">
      <c r="A42" s="582">
        <f>Arbeitszeit!A43</f>
        <v>41676</v>
      </c>
      <c r="B42" s="583">
        <f t="shared" si="0"/>
        <v>41676</v>
      </c>
      <c r="C42" s="214">
        <f t="shared" si="1"/>
        <v>6</v>
      </c>
      <c r="D42" s="213">
        <f t="shared" si="2"/>
        <v>41670</v>
      </c>
      <c r="E42" s="670">
        <f>Arbeitszeit!U43*24</f>
        <v>0</v>
      </c>
      <c r="F42" s="397">
        <f t="shared" si="3"/>
        <v>0</v>
      </c>
      <c r="G42" s="178">
        <f>IF(Arbeitszeit!F43=Urlaub,B_WorkTime*24,)</f>
        <v>0</v>
      </c>
      <c r="H42" s="174"/>
      <c r="I42" s="178">
        <f>IF(Arbeitszeit!F43=Krank,B_WorkTime*24,)</f>
        <v>0</v>
      </c>
      <c r="J42" s="174"/>
      <c r="K42" s="179"/>
      <c r="L42" s="180"/>
      <c r="M42" s="656"/>
      <c r="N42" s="657"/>
      <c r="O42" s="656"/>
      <c r="P42" s="657"/>
      <c r="Q42" s="656"/>
      <c r="R42" s="657"/>
      <c r="S42" s="656"/>
      <c r="T42" s="657"/>
      <c r="U42" s="656"/>
      <c r="V42" s="657"/>
      <c r="W42" s="656"/>
      <c r="X42" s="657"/>
      <c r="Y42" s="656"/>
      <c r="Z42" s="657"/>
      <c r="AA42" s="656"/>
      <c r="AB42" s="657"/>
      <c r="AC42" s="656"/>
      <c r="AD42" s="657"/>
      <c r="AE42" s="656"/>
      <c r="AF42" s="658"/>
      <c r="AG42" s="656"/>
      <c r="AH42" s="658"/>
      <c r="AI42" s="656"/>
      <c r="AJ42" s="658"/>
      <c r="AK42" s="656"/>
      <c r="AL42" s="658"/>
      <c r="AM42" s="659"/>
      <c r="AN42" s="658"/>
      <c r="AO42" s="656"/>
      <c r="AP42" s="658"/>
      <c r="AQ42" s="659"/>
      <c r="AR42" s="658"/>
      <c r="AS42" s="658"/>
      <c r="AT42" s="658"/>
      <c r="AU42" s="659"/>
      <c r="AV42" s="658"/>
      <c r="AW42" s="658"/>
      <c r="AX42" s="181"/>
      <c r="AY42" s="177"/>
      <c r="AZ42">
        <f ca="1">INDIRECT(ADDRESS(ROW()+1,COLUMN(Arbeitszeit!xDay),,,"Arbeitszeit"))</f>
        <v>3</v>
      </c>
    </row>
    <row r="43" spans="1:52">
      <c r="A43" s="582">
        <f>Arbeitszeit!A44</f>
        <v>41677</v>
      </c>
      <c r="B43" s="583">
        <f t="shared" si="0"/>
        <v>41677</v>
      </c>
      <c r="C43" s="214">
        <f t="shared" si="1"/>
        <v>6</v>
      </c>
      <c r="D43" s="213">
        <f t="shared" si="2"/>
        <v>41670</v>
      </c>
      <c r="E43" s="670">
        <f>Arbeitszeit!U44*24</f>
        <v>0</v>
      </c>
      <c r="F43" s="397">
        <f t="shared" si="3"/>
        <v>0</v>
      </c>
      <c r="G43" s="178">
        <f>IF(Arbeitszeit!F44=Urlaub,B_WorkTime*24,)</f>
        <v>0</v>
      </c>
      <c r="H43" s="174"/>
      <c r="I43" s="178">
        <f>IF(Arbeitszeit!F44=Krank,B_WorkTime*24,)</f>
        <v>0</v>
      </c>
      <c r="J43" s="174"/>
      <c r="K43" s="179"/>
      <c r="L43" s="180"/>
      <c r="M43" s="656"/>
      <c r="N43" s="657"/>
      <c r="O43" s="656"/>
      <c r="P43" s="657"/>
      <c r="Q43" s="656"/>
      <c r="R43" s="657"/>
      <c r="S43" s="656"/>
      <c r="T43" s="657"/>
      <c r="U43" s="656"/>
      <c r="V43" s="657"/>
      <c r="W43" s="656"/>
      <c r="X43" s="657"/>
      <c r="Y43" s="656"/>
      <c r="Z43" s="657"/>
      <c r="AA43" s="656"/>
      <c r="AB43" s="657"/>
      <c r="AC43" s="656"/>
      <c r="AD43" s="657"/>
      <c r="AE43" s="656"/>
      <c r="AF43" s="658"/>
      <c r="AG43" s="656"/>
      <c r="AH43" s="658"/>
      <c r="AI43" s="656"/>
      <c r="AJ43" s="658"/>
      <c r="AK43" s="656"/>
      <c r="AL43" s="658"/>
      <c r="AM43" s="659"/>
      <c r="AN43" s="658"/>
      <c r="AO43" s="656"/>
      <c r="AP43" s="658"/>
      <c r="AQ43" s="659"/>
      <c r="AR43" s="658"/>
      <c r="AS43" s="658"/>
      <c r="AT43" s="658"/>
      <c r="AU43" s="659"/>
      <c r="AV43" s="658"/>
      <c r="AW43" s="658"/>
      <c r="AX43" s="181"/>
      <c r="AY43" s="177"/>
      <c r="AZ43">
        <f ca="1">INDIRECT(ADDRESS(ROW()+1,COLUMN(Arbeitszeit!xDay),,,"Arbeitszeit"))</f>
        <v>4</v>
      </c>
    </row>
    <row r="44" spans="1:52">
      <c r="A44" s="582">
        <f>Arbeitszeit!A45</f>
        <v>41678</v>
      </c>
      <c r="B44" s="583">
        <f t="shared" si="0"/>
        <v>41678</v>
      </c>
      <c r="C44" s="214">
        <f t="shared" si="1"/>
        <v>6</v>
      </c>
      <c r="D44" s="213">
        <f t="shared" si="2"/>
        <v>41670</v>
      </c>
      <c r="E44" s="670">
        <f>Arbeitszeit!U45*24</f>
        <v>0</v>
      </c>
      <c r="F44" s="397">
        <f t="shared" si="3"/>
        <v>0</v>
      </c>
      <c r="G44" s="178">
        <f>IF(Arbeitszeit!F45=Urlaub,B_WorkTime*24,)</f>
        <v>0</v>
      </c>
      <c r="H44" s="174"/>
      <c r="I44" s="178">
        <f>IF(Arbeitszeit!F45=Krank,B_WorkTime*24,)</f>
        <v>0</v>
      </c>
      <c r="J44" s="174"/>
      <c r="K44" s="179"/>
      <c r="L44" s="180"/>
      <c r="M44" s="656"/>
      <c r="N44" s="657"/>
      <c r="O44" s="656"/>
      <c r="P44" s="657"/>
      <c r="Q44" s="656"/>
      <c r="R44" s="657"/>
      <c r="S44" s="656"/>
      <c r="T44" s="657"/>
      <c r="U44" s="656"/>
      <c r="V44" s="657"/>
      <c r="W44" s="656"/>
      <c r="X44" s="657"/>
      <c r="Y44" s="656"/>
      <c r="Z44" s="657"/>
      <c r="AA44" s="656"/>
      <c r="AB44" s="657"/>
      <c r="AC44" s="656"/>
      <c r="AD44" s="657"/>
      <c r="AE44" s="656"/>
      <c r="AF44" s="658"/>
      <c r="AG44" s="656"/>
      <c r="AH44" s="658"/>
      <c r="AI44" s="656"/>
      <c r="AJ44" s="658"/>
      <c r="AK44" s="656"/>
      <c r="AL44" s="658"/>
      <c r="AM44" s="659"/>
      <c r="AN44" s="658"/>
      <c r="AO44" s="656"/>
      <c r="AP44" s="658"/>
      <c r="AQ44" s="659"/>
      <c r="AR44" s="658"/>
      <c r="AS44" s="658"/>
      <c r="AT44" s="658"/>
      <c r="AU44" s="659"/>
      <c r="AV44" s="658"/>
      <c r="AW44" s="658"/>
      <c r="AX44" s="181"/>
      <c r="AY44" s="177"/>
      <c r="AZ44">
        <f ca="1">INDIRECT(ADDRESS(ROW()+1,COLUMN(Arbeitszeit!xDay),,,"Arbeitszeit"))</f>
        <v>5</v>
      </c>
    </row>
    <row r="45" spans="1:52">
      <c r="A45" s="582">
        <f>Arbeitszeit!A46</f>
        <v>41679</v>
      </c>
      <c r="B45" s="583">
        <f t="shared" si="0"/>
        <v>41679</v>
      </c>
      <c r="C45" s="214">
        <f t="shared" si="1"/>
        <v>6</v>
      </c>
      <c r="D45" s="213">
        <f t="shared" si="2"/>
        <v>41670</v>
      </c>
      <c r="E45" s="670">
        <f>Arbeitszeit!U46*24</f>
        <v>0</v>
      </c>
      <c r="F45" s="397">
        <f t="shared" si="3"/>
        <v>0</v>
      </c>
      <c r="G45" s="178">
        <f>IF(Arbeitszeit!F46=Urlaub,B_WorkTime*24,)</f>
        <v>0</v>
      </c>
      <c r="H45" s="174"/>
      <c r="I45" s="178">
        <f>IF(Arbeitszeit!F46=Krank,B_WorkTime*24,)</f>
        <v>0</v>
      </c>
      <c r="J45" s="174"/>
      <c r="K45" s="179"/>
      <c r="L45" s="180"/>
      <c r="M45" s="656"/>
      <c r="N45" s="657"/>
      <c r="O45" s="656"/>
      <c r="P45" s="657"/>
      <c r="Q45" s="656"/>
      <c r="R45" s="657"/>
      <c r="S45" s="656"/>
      <c r="T45" s="657"/>
      <c r="U45" s="656"/>
      <c r="V45" s="657"/>
      <c r="W45" s="656"/>
      <c r="X45" s="657"/>
      <c r="Y45" s="656"/>
      <c r="Z45" s="657"/>
      <c r="AA45" s="656"/>
      <c r="AB45" s="657"/>
      <c r="AC45" s="656"/>
      <c r="AD45" s="657"/>
      <c r="AE45" s="656"/>
      <c r="AF45" s="658"/>
      <c r="AG45" s="656"/>
      <c r="AH45" s="658"/>
      <c r="AI45" s="656"/>
      <c r="AJ45" s="658"/>
      <c r="AK45" s="656"/>
      <c r="AL45" s="658"/>
      <c r="AM45" s="659"/>
      <c r="AN45" s="658"/>
      <c r="AO45" s="656"/>
      <c r="AP45" s="658"/>
      <c r="AQ45" s="659"/>
      <c r="AR45" s="658"/>
      <c r="AS45" s="658"/>
      <c r="AT45" s="658"/>
      <c r="AU45" s="659"/>
      <c r="AV45" s="658"/>
      <c r="AW45" s="658"/>
      <c r="AX45" s="181"/>
      <c r="AY45" s="177"/>
      <c r="AZ45">
        <f ca="1">INDIRECT(ADDRESS(ROW()+1,COLUMN(Arbeitszeit!xDay),,,"Arbeitszeit"))</f>
        <v>6</v>
      </c>
    </row>
    <row r="46" spans="1:52">
      <c r="A46" s="582">
        <f>Arbeitszeit!A47</f>
        <v>41680</v>
      </c>
      <c r="B46" s="583">
        <f t="shared" si="0"/>
        <v>41680</v>
      </c>
      <c r="C46" s="214">
        <f t="shared" si="1"/>
        <v>6</v>
      </c>
      <c r="D46" s="213">
        <f t="shared" si="2"/>
        <v>41670</v>
      </c>
      <c r="E46" s="670">
        <f>Arbeitszeit!U47*24</f>
        <v>0</v>
      </c>
      <c r="F46" s="397">
        <f t="shared" si="3"/>
        <v>0</v>
      </c>
      <c r="G46" s="178">
        <f>IF(Arbeitszeit!F47=Urlaub,B_WorkTime*24,)</f>
        <v>0</v>
      </c>
      <c r="H46" s="174"/>
      <c r="I46" s="178">
        <f>IF(Arbeitszeit!F47=Krank,B_WorkTime*24,)</f>
        <v>0</v>
      </c>
      <c r="J46" s="174"/>
      <c r="K46" s="179"/>
      <c r="L46" s="180"/>
      <c r="M46" s="656"/>
      <c r="N46" s="657"/>
      <c r="O46" s="656"/>
      <c r="P46" s="657"/>
      <c r="Q46" s="656"/>
      <c r="R46" s="657"/>
      <c r="S46" s="656"/>
      <c r="T46" s="657"/>
      <c r="U46" s="656"/>
      <c r="V46" s="657"/>
      <c r="W46" s="656"/>
      <c r="X46" s="657"/>
      <c r="Y46" s="656"/>
      <c r="Z46" s="657"/>
      <c r="AA46" s="656"/>
      <c r="AB46" s="657"/>
      <c r="AC46" s="656"/>
      <c r="AD46" s="657"/>
      <c r="AE46" s="656"/>
      <c r="AF46" s="658"/>
      <c r="AG46" s="656"/>
      <c r="AH46" s="658"/>
      <c r="AI46" s="656"/>
      <c r="AJ46" s="658"/>
      <c r="AK46" s="656"/>
      <c r="AL46" s="658"/>
      <c r="AM46" s="659"/>
      <c r="AN46" s="658"/>
      <c r="AO46" s="656"/>
      <c r="AP46" s="658"/>
      <c r="AQ46" s="659"/>
      <c r="AR46" s="658"/>
      <c r="AS46" s="658"/>
      <c r="AT46" s="658"/>
      <c r="AU46" s="659"/>
      <c r="AV46" s="658"/>
      <c r="AW46" s="658"/>
      <c r="AX46" s="181"/>
      <c r="AY46" s="177"/>
      <c r="AZ46">
        <f ca="1">INDIRECT(ADDRESS(ROW()+1,COLUMN(Arbeitszeit!xDay),,,"Arbeitszeit"))</f>
        <v>7</v>
      </c>
    </row>
    <row r="47" spans="1:52">
      <c r="A47" s="582">
        <f>Arbeitszeit!A48</f>
        <v>41681</v>
      </c>
      <c r="B47" s="583">
        <f t="shared" si="0"/>
        <v>41681</v>
      </c>
      <c r="C47" s="214">
        <f t="shared" si="1"/>
        <v>7</v>
      </c>
      <c r="D47" s="213">
        <f t="shared" si="2"/>
        <v>41670</v>
      </c>
      <c r="E47" s="670">
        <f>Arbeitszeit!U48*24</f>
        <v>0</v>
      </c>
      <c r="F47" s="397">
        <f t="shared" si="3"/>
        <v>0</v>
      </c>
      <c r="G47" s="178">
        <f>IF(Arbeitszeit!F48=Urlaub,B_WorkTime*24,)</f>
        <v>0</v>
      </c>
      <c r="H47" s="174"/>
      <c r="I47" s="178">
        <f>IF(Arbeitszeit!F48=Krank,B_WorkTime*24,)</f>
        <v>0</v>
      </c>
      <c r="J47" s="174"/>
      <c r="K47" s="179"/>
      <c r="L47" s="180"/>
      <c r="M47" s="656"/>
      <c r="N47" s="657"/>
      <c r="O47" s="656"/>
      <c r="P47" s="657"/>
      <c r="Q47" s="656"/>
      <c r="R47" s="657"/>
      <c r="S47" s="656"/>
      <c r="T47" s="657"/>
      <c r="U47" s="656"/>
      <c r="V47" s="657"/>
      <c r="W47" s="656"/>
      <c r="X47" s="657"/>
      <c r="Y47" s="656"/>
      <c r="Z47" s="657"/>
      <c r="AA47" s="656"/>
      <c r="AB47" s="657"/>
      <c r="AC47" s="656"/>
      <c r="AD47" s="657"/>
      <c r="AE47" s="656"/>
      <c r="AF47" s="658"/>
      <c r="AG47" s="656"/>
      <c r="AH47" s="658"/>
      <c r="AI47" s="656"/>
      <c r="AJ47" s="658"/>
      <c r="AK47" s="656"/>
      <c r="AL47" s="658"/>
      <c r="AM47" s="659"/>
      <c r="AN47" s="658"/>
      <c r="AO47" s="656"/>
      <c r="AP47" s="658"/>
      <c r="AQ47" s="659"/>
      <c r="AR47" s="658"/>
      <c r="AS47" s="658"/>
      <c r="AT47" s="658"/>
      <c r="AU47" s="659"/>
      <c r="AV47" s="658"/>
      <c r="AW47" s="658"/>
      <c r="AX47" s="181"/>
      <c r="AY47" s="177"/>
      <c r="AZ47">
        <f ca="1">INDIRECT(ADDRESS(ROW()+1,COLUMN(Arbeitszeit!xDay),,,"Arbeitszeit"))</f>
        <v>1</v>
      </c>
    </row>
    <row r="48" spans="1:52">
      <c r="A48" s="582">
        <f>Arbeitszeit!A49</f>
        <v>41682</v>
      </c>
      <c r="B48" s="583">
        <f t="shared" si="0"/>
        <v>41682</v>
      </c>
      <c r="C48" s="214">
        <f t="shared" si="1"/>
        <v>7</v>
      </c>
      <c r="D48" s="213">
        <f t="shared" si="2"/>
        <v>41670</v>
      </c>
      <c r="E48" s="670">
        <f>Arbeitszeit!U49*24</f>
        <v>0</v>
      </c>
      <c r="F48" s="397">
        <f t="shared" si="3"/>
        <v>0</v>
      </c>
      <c r="G48" s="178">
        <f>IF(Arbeitszeit!F49=Urlaub,B_WorkTime*24,)</f>
        <v>0</v>
      </c>
      <c r="H48" s="174"/>
      <c r="I48" s="178">
        <f>IF(Arbeitszeit!F49=Krank,B_WorkTime*24,)</f>
        <v>0</v>
      </c>
      <c r="J48" s="174"/>
      <c r="K48" s="179"/>
      <c r="L48" s="180"/>
      <c r="M48" s="656"/>
      <c r="N48" s="657"/>
      <c r="O48" s="656"/>
      <c r="P48" s="657"/>
      <c r="Q48" s="656"/>
      <c r="R48" s="657"/>
      <c r="S48" s="656"/>
      <c r="T48" s="657"/>
      <c r="U48" s="656"/>
      <c r="V48" s="657"/>
      <c r="W48" s="656"/>
      <c r="X48" s="657"/>
      <c r="Y48" s="656"/>
      <c r="Z48" s="657"/>
      <c r="AA48" s="656"/>
      <c r="AB48" s="657"/>
      <c r="AC48" s="656"/>
      <c r="AD48" s="657"/>
      <c r="AE48" s="656"/>
      <c r="AF48" s="658"/>
      <c r="AG48" s="656"/>
      <c r="AH48" s="658"/>
      <c r="AI48" s="656"/>
      <c r="AJ48" s="658"/>
      <c r="AK48" s="656"/>
      <c r="AL48" s="658"/>
      <c r="AM48" s="659"/>
      <c r="AN48" s="658"/>
      <c r="AO48" s="656"/>
      <c r="AP48" s="658"/>
      <c r="AQ48" s="659"/>
      <c r="AR48" s="658"/>
      <c r="AS48" s="658"/>
      <c r="AT48" s="658"/>
      <c r="AU48" s="659"/>
      <c r="AV48" s="658"/>
      <c r="AW48" s="658"/>
      <c r="AX48" s="181"/>
      <c r="AY48" s="177"/>
      <c r="AZ48">
        <f ca="1">INDIRECT(ADDRESS(ROW()+1,COLUMN(Arbeitszeit!xDay),,,"Arbeitszeit"))</f>
        <v>2</v>
      </c>
    </row>
    <row r="49" spans="1:52">
      <c r="A49" s="582">
        <f>Arbeitszeit!A50</f>
        <v>41683</v>
      </c>
      <c r="B49" s="583">
        <f t="shared" si="0"/>
        <v>41683</v>
      </c>
      <c r="C49" s="214">
        <f t="shared" si="1"/>
        <v>7</v>
      </c>
      <c r="D49" s="213">
        <f t="shared" si="2"/>
        <v>41670</v>
      </c>
      <c r="E49" s="670">
        <f>Arbeitszeit!U50*24</f>
        <v>0</v>
      </c>
      <c r="F49" s="397">
        <f t="shared" si="3"/>
        <v>0</v>
      </c>
      <c r="G49" s="178">
        <f>IF(Arbeitszeit!F50=Urlaub,B_WorkTime*24,)</f>
        <v>0</v>
      </c>
      <c r="H49" s="174"/>
      <c r="I49" s="178">
        <f>IF(Arbeitszeit!F50=Krank,B_WorkTime*24,)</f>
        <v>0</v>
      </c>
      <c r="J49" s="174"/>
      <c r="K49" s="179"/>
      <c r="L49" s="180"/>
      <c r="M49" s="656"/>
      <c r="N49" s="657"/>
      <c r="O49" s="656"/>
      <c r="P49" s="657"/>
      <c r="Q49" s="656"/>
      <c r="R49" s="657"/>
      <c r="S49" s="656"/>
      <c r="T49" s="657"/>
      <c r="U49" s="656"/>
      <c r="V49" s="657"/>
      <c r="W49" s="656"/>
      <c r="X49" s="657"/>
      <c r="Y49" s="656"/>
      <c r="Z49" s="657"/>
      <c r="AA49" s="656"/>
      <c r="AB49" s="657"/>
      <c r="AC49" s="656"/>
      <c r="AD49" s="657"/>
      <c r="AE49" s="656"/>
      <c r="AF49" s="658"/>
      <c r="AG49" s="656"/>
      <c r="AH49" s="658"/>
      <c r="AI49" s="656"/>
      <c r="AJ49" s="658"/>
      <c r="AK49" s="656"/>
      <c r="AL49" s="658"/>
      <c r="AM49" s="659"/>
      <c r="AN49" s="658"/>
      <c r="AO49" s="656"/>
      <c r="AP49" s="658"/>
      <c r="AQ49" s="659"/>
      <c r="AR49" s="658"/>
      <c r="AS49" s="658"/>
      <c r="AT49" s="658"/>
      <c r="AU49" s="659"/>
      <c r="AV49" s="658"/>
      <c r="AW49" s="658"/>
      <c r="AX49" s="181"/>
      <c r="AY49" s="177"/>
      <c r="AZ49">
        <f ca="1">INDIRECT(ADDRESS(ROW()+1,COLUMN(Arbeitszeit!xDay),,,"Arbeitszeit"))</f>
        <v>3</v>
      </c>
    </row>
    <row r="50" spans="1:52" s="5" customFormat="1">
      <c r="A50" s="582">
        <f>Arbeitszeit!A51</f>
        <v>41684</v>
      </c>
      <c r="B50" s="583">
        <f t="shared" si="0"/>
        <v>41684</v>
      </c>
      <c r="C50" s="214">
        <f t="shared" si="1"/>
        <v>7</v>
      </c>
      <c r="D50" s="213">
        <f t="shared" si="2"/>
        <v>41670</v>
      </c>
      <c r="E50" s="670">
        <f>Arbeitszeit!U51*24</f>
        <v>0</v>
      </c>
      <c r="F50" s="397">
        <f t="shared" si="3"/>
        <v>0</v>
      </c>
      <c r="G50" s="178">
        <f>IF(Arbeitszeit!F51=Urlaub,B_WorkTime*24,)</f>
        <v>0</v>
      </c>
      <c r="H50" s="174"/>
      <c r="I50" s="178">
        <f>IF(Arbeitszeit!F51=Krank,B_WorkTime*24,)</f>
        <v>0</v>
      </c>
      <c r="J50" s="174"/>
      <c r="K50" s="179"/>
      <c r="L50" s="180"/>
      <c r="M50" s="656"/>
      <c r="N50" s="657"/>
      <c r="O50" s="656"/>
      <c r="P50" s="657"/>
      <c r="Q50" s="656"/>
      <c r="R50" s="657"/>
      <c r="S50" s="656"/>
      <c r="T50" s="657"/>
      <c r="U50" s="656"/>
      <c r="V50" s="657"/>
      <c r="W50" s="656"/>
      <c r="X50" s="657"/>
      <c r="Y50" s="656"/>
      <c r="Z50" s="657"/>
      <c r="AA50" s="656"/>
      <c r="AB50" s="657"/>
      <c r="AC50" s="656"/>
      <c r="AD50" s="657"/>
      <c r="AE50" s="656"/>
      <c r="AF50" s="658"/>
      <c r="AG50" s="656"/>
      <c r="AH50" s="658"/>
      <c r="AI50" s="656"/>
      <c r="AJ50" s="658"/>
      <c r="AK50" s="656"/>
      <c r="AL50" s="658"/>
      <c r="AM50" s="659"/>
      <c r="AN50" s="658"/>
      <c r="AO50" s="656"/>
      <c r="AP50" s="658"/>
      <c r="AQ50" s="659"/>
      <c r="AR50" s="658"/>
      <c r="AS50" s="658"/>
      <c r="AT50" s="658"/>
      <c r="AU50" s="659"/>
      <c r="AV50" s="658"/>
      <c r="AW50" s="658"/>
      <c r="AX50" s="181"/>
      <c r="AY50" s="177"/>
      <c r="AZ50">
        <f ca="1">INDIRECT(ADDRESS(ROW()+1,COLUMN(Arbeitszeit!xDay),,,"Arbeitszeit"))</f>
        <v>4</v>
      </c>
    </row>
    <row r="51" spans="1:52">
      <c r="A51" s="582">
        <f>Arbeitszeit!A52</f>
        <v>41685</v>
      </c>
      <c r="B51" s="583">
        <f t="shared" si="0"/>
        <v>41685</v>
      </c>
      <c r="C51" s="214">
        <f t="shared" si="1"/>
        <v>7</v>
      </c>
      <c r="D51" s="213">
        <f t="shared" si="2"/>
        <v>41670</v>
      </c>
      <c r="E51" s="670">
        <f>Arbeitszeit!U52*24</f>
        <v>0</v>
      </c>
      <c r="F51" s="397">
        <f t="shared" si="3"/>
        <v>0</v>
      </c>
      <c r="G51" s="178">
        <f>IF(Arbeitszeit!F52=Urlaub,B_WorkTime*24,)</f>
        <v>0</v>
      </c>
      <c r="H51" s="174"/>
      <c r="I51" s="178">
        <f>IF(Arbeitszeit!F52=Krank,B_WorkTime*24,)</f>
        <v>0</v>
      </c>
      <c r="J51" s="174"/>
      <c r="K51" s="179"/>
      <c r="L51" s="180"/>
      <c r="M51" s="656"/>
      <c r="N51" s="657"/>
      <c r="O51" s="656"/>
      <c r="P51" s="657"/>
      <c r="Q51" s="656"/>
      <c r="R51" s="657"/>
      <c r="S51" s="656"/>
      <c r="T51" s="657"/>
      <c r="U51" s="656"/>
      <c r="V51" s="657"/>
      <c r="W51" s="656"/>
      <c r="X51" s="657"/>
      <c r="Y51" s="656"/>
      <c r="Z51" s="657"/>
      <c r="AA51" s="656"/>
      <c r="AB51" s="657"/>
      <c r="AC51" s="656"/>
      <c r="AD51" s="657"/>
      <c r="AE51" s="656"/>
      <c r="AF51" s="658"/>
      <c r="AG51" s="656"/>
      <c r="AH51" s="658"/>
      <c r="AI51" s="656"/>
      <c r="AJ51" s="658"/>
      <c r="AK51" s="656"/>
      <c r="AL51" s="658"/>
      <c r="AM51" s="659"/>
      <c r="AN51" s="658"/>
      <c r="AO51" s="656"/>
      <c r="AP51" s="658"/>
      <c r="AQ51" s="659"/>
      <c r="AR51" s="658"/>
      <c r="AS51" s="658"/>
      <c r="AT51" s="658"/>
      <c r="AU51" s="659"/>
      <c r="AV51" s="658"/>
      <c r="AW51" s="658"/>
      <c r="AX51" s="181"/>
      <c r="AY51" s="177"/>
      <c r="AZ51">
        <f ca="1">INDIRECT(ADDRESS(ROW()+1,COLUMN(Arbeitszeit!xDay),,,"Arbeitszeit"))</f>
        <v>5</v>
      </c>
    </row>
    <row r="52" spans="1:52">
      <c r="A52" s="582">
        <f>Arbeitszeit!A53</f>
        <v>41686</v>
      </c>
      <c r="B52" s="583">
        <f t="shared" si="0"/>
        <v>41686</v>
      </c>
      <c r="C52" s="214">
        <f t="shared" si="1"/>
        <v>7</v>
      </c>
      <c r="D52" s="213">
        <f t="shared" si="2"/>
        <v>41670</v>
      </c>
      <c r="E52" s="670">
        <f>Arbeitszeit!U53*24</f>
        <v>0</v>
      </c>
      <c r="F52" s="397">
        <f t="shared" si="3"/>
        <v>0</v>
      </c>
      <c r="G52" s="178">
        <f>IF(Arbeitszeit!F53=Urlaub,B_WorkTime*24,)</f>
        <v>0</v>
      </c>
      <c r="H52" s="174"/>
      <c r="I52" s="178">
        <f>IF(Arbeitszeit!F53=Krank,B_WorkTime*24,)</f>
        <v>0</v>
      </c>
      <c r="J52" s="174"/>
      <c r="K52" s="179"/>
      <c r="L52" s="180"/>
      <c r="M52" s="656"/>
      <c r="N52" s="657"/>
      <c r="O52" s="656"/>
      <c r="P52" s="657"/>
      <c r="Q52" s="656"/>
      <c r="R52" s="657"/>
      <c r="S52" s="656"/>
      <c r="T52" s="657"/>
      <c r="U52" s="656"/>
      <c r="V52" s="657"/>
      <c r="W52" s="656"/>
      <c r="X52" s="657"/>
      <c r="Y52" s="656"/>
      <c r="Z52" s="657"/>
      <c r="AA52" s="656"/>
      <c r="AB52" s="657"/>
      <c r="AC52" s="656"/>
      <c r="AD52" s="657"/>
      <c r="AE52" s="656"/>
      <c r="AF52" s="658"/>
      <c r="AG52" s="656"/>
      <c r="AH52" s="658"/>
      <c r="AI52" s="656"/>
      <c r="AJ52" s="658"/>
      <c r="AK52" s="656"/>
      <c r="AL52" s="658"/>
      <c r="AM52" s="659"/>
      <c r="AN52" s="658"/>
      <c r="AO52" s="656"/>
      <c r="AP52" s="658"/>
      <c r="AQ52" s="659"/>
      <c r="AR52" s="658"/>
      <c r="AS52" s="658"/>
      <c r="AT52" s="658"/>
      <c r="AU52" s="659"/>
      <c r="AV52" s="658"/>
      <c r="AW52" s="658"/>
      <c r="AX52" s="181"/>
      <c r="AY52" s="177"/>
      <c r="AZ52">
        <f ca="1">INDIRECT(ADDRESS(ROW()+1,COLUMN(Arbeitszeit!xDay),,,"Arbeitszeit"))</f>
        <v>6</v>
      </c>
    </row>
    <row r="53" spans="1:52">
      <c r="A53" s="582">
        <f>Arbeitszeit!A54</f>
        <v>41687</v>
      </c>
      <c r="B53" s="583">
        <f t="shared" si="0"/>
        <v>41687</v>
      </c>
      <c r="C53" s="214">
        <f t="shared" si="1"/>
        <v>7</v>
      </c>
      <c r="D53" s="213">
        <f t="shared" si="2"/>
        <v>41670</v>
      </c>
      <c r="E53" s="670">
        <f>Arbeitszeit!U54*24</f>
        <v>0</v>
      </c>
      <c r="F53" s="397">
        <f t="shared" si="3"/>
        <v>0</v>
      </c>
      <c r="G53" s="178">
        <f>IF(Arbeitszeit!F54=Urlaub,B_WorkTime*24,)</f>
        <v>0</v>
      </c>
      <c r="H53" s="174"/>
      <c r="I53" s="178">
        <f>IF(Arbeitszeit!F54=Krank,B_WorkTime*24,)</f>
        <v>0</v>
      </c>
      <c r="J53" s="174"/>
      <c r="K53" s="179"/>
      <c r="L53" s="180"/>
      <c r="M53" s="656"/>
      <c r="N53" s="657"/>
      <c r="O53" s="656"/>
      <c r="P53" s="657"/>
      <c r="Q53" s="656"/>
      <c r="R53" s="657"/>
      <c r="S53" s="656"/>
      <c r="T53" s="657"/>
      <c r="U53" s="656"/>
      <c r="V53" s="657"/>
      <c r="W53" s="656"/>
      <c r="X53" s="657"/>
      <c r="Y53" s="656"/>
      <c r="Z53" s="657"/>
      <c r="AA53" s="656"/>
      <c r="AB53" s="657"/>
      <c r="AC53" s="656"/>
      <c r="AD53" s="657"/>
      <c r="AE53" s="656"/>
      <c r="AF53" s="658"/>
      <c r="AG53" s="656"/>
      <c r="AH53" s="658"/>
      <c r="AI53" s="656"/>
      <c r="AJ53" s="658"/>
      <c r="AK53" s="656"/>
      <c r="AL53" s="658"/>
      <c r="AM53" s="659"/>
      <c r="AN53" s="658"/>
      <c r="AO53" s="656"/>
      <c r="AP53" s="658"/>
      <c r="AQ53" s="659"/>
      <c r="AR53" s="658"/>
      <c r="AS53" s="658"/>
      <c r="AT53" s="658"/>
      <c r="AU53" s="659"/>
      <c r="AV53" s="658"/>
      <c r="AW53" s="658"/>
      <c r="AX53" s="181"/>
      <c r="AY53" s="177"/>
      <c r="AZ53">
        <f ca="1">INDIRECT(ADDRESS(ROW()+1,COLUMN(Arbeitszeit!xDay),,,"Arbeitszeit"))</f>
        <v>7</v>
      </c>
    </row>
    <row r="54" spans="1:52">
      <c r="A54" s="582">
        <f>Arbeitszeit!A55</f>
        <v>41688</v>
      </c>
      <c r="B54" s="583">
        <f t="shared" si="0"/>
        <v>41688</v>
      </c>
      <c r="C54" s="214">
        <f t="shared" si="1"/>
        <v>8</v>
      </c>
      <c r="D54" s="213">
        <f t="shared" si="2"/>
        <v>41670</v>
      </c>
      <c r="E54" s="670">
        <f>Arbeitszeit!U55*24</f>
        <v>0</v>
      </c>
      <c r="F54" s="397">
        <f t="shared" si="3"/>
        <v>0</v>
      </c>
      <c r="G54" s="178">
        <f>IF(Arbeitszeit!F55=Urlaub,B_WorkTime*24,)</f>
        <v>0</v>
      </c>
      <c r="H54" s="174"/>
      <c r="I54" s="178">
        <f>IF(Arbeitszeit!F55=Krank,B_WorkTime*24,)</f>
        <v>0</v>
      </c>
      <c r="J54" s="174"/>
      <c r="K54" s="179"/>
      <c r="L54" s="180"/>
      <c r="M54" s="656"/>
      <c r="N54" s="657"/>
      <c r="O54" s="656"/>
      <c r="P54" s="657"/>
      <c r="Q54" s="656"/>
      <c r="R54" s="657"/>
      <c r="S54" s="656"/>
      <c r="T54" s="657"/>
      <c r="U54" s="656"/>
      <c r="V54" s="657"/>
      <c r="W54" s="656"/>
      <c r="X54" s="657"/>
      <c r="Y54" s="656"/>
      <c r="Z54" s="657"/>
      <c r="AA54" s="656"/>
      <c r="AB54" s="657"/>
      <c r="AC54" s="656"/>
      <c r="AD54" s="657"/>
      <c r="AE54" s="656"/>
      <c r="AF54" s="658"/>
      <c r="AG54" s="656"/>
      <c r="AH54" s="658"/>
      <c r="AI54" s="656"/>
      <c r="AJ54" s="658"/>
      <c r="AK54" s="656"/>
      <c r="AL54" s="658"/>
      <c r="AM54" s="659"/>
      <c r="AN54" s="658"/>
      <c r="AO54" s="656"/>
      <c r="AP54" s="658"/>
      <c r="AQ54" s="659"/>
      <c r="AR54" s="658"/>
      <c r="AS54" s="658"/>
      <c r="AT54" s="658"/>
      <c r="AU54" s="659"/>
      <c r="AV54" s="658"/>
      <c r="AW54" s="658"/>
      <c r="AX54" s="181"/>
      <c r="AY54" s="177"/>
      <c r="AZ54">
        <f ca="1">INDIRECT(ADDRESS(ROW()+1,COLUMN(Arbeitszeit!xDay),,,"Arbeitszeit"))</f>
        <v>1</v>
      </c>
    </row>
    <row r="55" spans="1:52">
      <c r="A55" s="582">
        <f>Arbeitszeit!A56</f>
        <v>41689</v>
      </c>
      <c r="B55" s="583">
        <f t="shared" si="0"/>
        <v>41689</v>
      </c>
      <c r="C55" s="214">
        <f t="shared" si="1"/>
        <v>8</v>
      </c>
      <c r="D55" s="213">
        <f t="shared" si="2"/>
        <v>41670</v>
      </c>
      <c r="E55" s="670">
        <f>Arbeitszeit!U56*24</f>
        <v>0</v>
      </c>
      <c r="F55" s="397">
        <f t="shared" si="3"/>
        <v>0</v>
      </c>
      <c r="G55" s="178">
        <f>IF(Arbeitszeit!F56=Urlaub,B_WorkTime*24,)</f>
        <v>0</v>
      </c>
      <c r="H55" s="174"/>
      <c r="I55" s="178">
        <f>IF(Arbeitszeit!F56=Krank,B_WorkTime*24,)</f>
        <v>0</v>
      </c>
      <c r="J55" s="174"/>
      <c r="K55" s="179"/>
      <c r="L55" s="180"/>
      <c r="M55" s="656"/>
      <c r="N55" s="657"/>
      <c r="O55" s="656"/>
      <c r="P55" s="657"/>
      <c r="Q55" s="656"/>
      <c r="R55" s="657"/>
      <c r="S55" s="656"/>
      <c r="T55" s="657"/>
      <c r="U55" s="656"/>
      <c r="V55" s="657"/>
      <c r="W55" s="656"/>
      <c r="X55" s="657"/>
      <c r="Y55" s="656"/>
      <c r="Z55" s="657"/>
      <c r="AA55" s="656"/>
      <c r="AB55" s="657"/>
      <c r="AC55" s="656"/>
      <c r="AD55" s="657"/>
      <c r="AE55" s="656"/>
      <c r="AF55" s="658"/>
      <c r="AG55" s="656"/>
      <c r="AH55" s="658"/>
      <c r="AI55" s="656"/>
      <c r="AJ55" s="658"/>
      <c r="AK55" s="656"/>
      <c r="AL55" s="658"/>
      <c r="AM55" s="659"/>
      <c r="AN55" s="658"/>
      <c r="AO55" s="656"/>
      <c r="AP55" s="658"/>
      <c r="AQ55" s="659"/>
      <c r="AR55" s="658"/>
      <c r="AS55" s="658"/>
      <c r="AT55" s="658"/>
      <c r="AU55" s="659"/>
      <c r="AV55" s="658"/>
      <c r="AW55" s="658"/>
      <c r="AX55" s="181"/>
      <c r="AY55" s="177"/>
      <c r="AZ55">
        <f ca="1">INDIRECT(ADDRESS(ROW()+1,COLUMN(Arbeitszeit!xDay),,,"Arbeitszeit"))</f>
        <v>2</v>
      </c>
    </row>
    <row r="56" spans="1:52">
      <c r="A56" s="582">
        <f>Arbeitszeit!A57</f>
        <v>41690</v>
      </c>
      <c r="B56" s="583">
        <f t="shared" si="0"/>
        <v>41690</v>
      </c>
      <c r="C56" s="214">
        <f t="shared" si="1"/>
        <v>8</v>
      </c>
      <c r="D56" s="213">
        <f t="shared" si="2"/>
        <v>41670</v>
      </c>
      <c r="E56" s="670">
        <f>Arbeitszeit!U57*24</f>
        <v>0</v>
      </c>
      <c r="F56" s="397">
        <f t="shared" si="3"/>
        <v>0</v>
      </c>
      <c r="G56" s="178">
        <f>IF(Arbeitszeit!F57=Urlaub,B_WorkTime*24,)</f>
        <v>0</v>
      </c>
      <c r="H56" s="174"/>
      <c r="I56" s="178">
        <f>IF(Arbeitszeit!F57=Krank,B_WorkTime*24,)</f>
        <v>0</v>
      </c>
      <c r="J56" s="174"/>
      <c r="K56" s="179"/>
      <c r="L56" s="180"/>
      <c r="M56" s="656"/>
      <c r="N56" s="657"/>
      <c r="O56" s="656"/>
      <c r="P56" s="657"/>
      <c r="Q56" s="656"/>
      <c r="R56" s="657"/>
      <c r="S56" s="656"/>
      <c r="T56" s="657"/>
      <c r="U56" s="656"/>
      <c r="V56" s="657"/>
      <c r="W56" s="656"/>
      <c r="X56" s="657"/>
      <c r="Y56" s="656"/>
      <c r="Z56" s="657"/>
      <c r="AA56" s="656"/>
      <c r="AB56" s="657"/>
      <c r="AC56" s="656"/>
      <c r="AD56" s="657"/>
      <c r="AE56" s="656"/>
      <c r="AF56" s="658"/>
      <c r="AG56" s="656"/>
      <c r="AH56" s="658"/>
      <c r="AI56" s="656"/>
      <c r="AJ56" s="658"/>
      <c r="AK56" s="656"/>
      <c r="AL56" s="658"/>
      <c r="AM56" s="659"/>
      <c r="AN56" s="658"/>
      <c r="AO56" s="656"/>
      <c r="AP56" s="658"/>
      <c r="AQ56" s="659"/>
      <c r="AR56" s="658"/>
      <c r="AS56" s="658"/>
      <c r="AT56" s="658"/>
      <c r="AU56" s="659"/>
      <c r="AV56" s="658"/>
      <c r="AW56" s="658"/>
      <c r="AX56" s="181"/>
      <c r="AY56" s="177"/>
      <c r="AZ56">
        <f ca="1">INDIRECT(ADDRESS(ROW()+1,COLUMN(Arbeitszeit!xDay),,,"Arbeitszeit"))</f>
        <v>3</v>
      </c>
    </row>
    <row r="57" spans="1:52">
      <c r="A57" s="582">
        <f>Arbeitszeit!A58</f>
        <v>41691</v>
      </c>
      <c r="B57" s="583">
        <f t="shared" si="0"/>
        <v>41691</v>
      </c>
      <c r="C57" s="214">
        <f t="shared" si="1"/>
        <v>8</v>
      </c>
      <c r="D57" s="213">
        <f t="shared" si="2"/>
        <v>41670</v>
      </c>
      <c r="E57" s="670">
        <f>Arbeitszeit!U58*24</f>
        <v>0</v>
      </c>
      <c r="F57" s="397">
        <f t="shared" si="3"/>
        <v>0</v>
      </c>
      <c r="G57" s="178">
        <f>IF(Arbeitszeit!F58=Urlaub,B_WorkTime*24,)</f>
        <v>0</v>
      </c>
      <c r="H57" s="174"/>
      <c r="I57" s="178">
        <f>IF(Arbeitszeit!F58=Krank,B_WorkTime*24,)</f>
        <v>0</v>
      </c>
      <c r="J57" s="174"/>
      <c r="K57" s="179"/>
      <c r="L57" s="180"/>
      <c r="M57" s="656"/>
      <c r="N57" s="657"/>
      <c r="O57" s="656"/>
      <c r="P57" s="657"/>
      <c r="Q57" s="656"/>
      <c r="R57" s="657"/>
      <c r="S57" s="656"/>
      <c r="T57" s="657"/>
      <c r="U57" s="656"/>
      <c r="V57" s="657"/>
      <c r="W57" s="656"/>
      <c r="X57" s="657"/>
      <c r="Y57" s="656"/>
      <c r="Z57" s="657"/>
      <c r="AA57" s="656"/>
      <c r="AB57" s="657"/>
      <c r="AC57" s="656"/>
      <c r="AD57" s="657"/>
      <c r="AE57" s="656"/>
      <c r="AF57" s="658"/>
      <c r="AG57" s="656"/>
      <c r="AH57" s="658"/>
      <c r="AI57" s="656"/>
      <c r="AJ57" s="658"/>
      <c r="AK57" s="656"/>
      <c r="AL57" s="658"/>
      <c r="AM57" s="659"/>
      <c r="AN57" s="658"/>
      <c r="AO57" s="656"/>
      <c r="AP57" s="658"/>
      <c r="AQ57" s="659"/>
      <c r="AR57" s="658"/>
      <c r="AS57" s="658"/>
      <c r="AT57" s="658"/>
      <c r="AU57" s="659"/>
      <c r="AV57" s="658"/>
      <c r="AW57" s="658"/>
      <c r="AX57" s="181"/>
      <c r="AY57" s="177"/>
      <c r="AZ57">
        <f ca="1">INDIRECT(ADDRESS(ROW()+1,COLUMN(Arbeitszeit!xDay),,,"Arbeitszeit"))</f>
        <v>4</v>
      </c>
    </row>
    <row r="58" spans="1:52">
      <c r="A58" s="582">
        <f>Arbeitszeit!A59</f>
        <v>41692</v>
      </c>
      <c r="B58" s="583">
        <f t="shared" si="0"/>
        <v>41692</v>
      </c>
      <c r="C58" s="214">
        <f t="shared" si="1"/>
        <v>8</v>
      </c>
      <c r="D58" s="213">
        <f t="shared" si="2"/>
        <v>41670</v>
      </c>
      <c r="E58" s="670">
        <f>Arbeitszeit!U59*24</f>
        <v>0</v>
      </c>
      <c r="F58" s="397">
        <f t="shared" si="3"/>
        <v>0</v>
      </c>
      <c r="G58" s="178">
        <f>IF(Arbeitszeit!F59=Urlaub,B_WorkTime*24,)</f>
        <v>0</v>
      </c>
      <c r="H58" s="174"/>
      <c r="I58" s="178">
        <f>IF(Arbeitszeit!F59=Krank,B_WorkTime*24,)</f>
        <v>0</v>
      </c>
      <c r="J58" s="174"/>
      <c r="K58" s="179"/>
      <c r="L58" s="180"/>
      <c r="M58" s="656"/>
      <c r="N58" s="657"/>
      <c r="O58" s="656"/>
      <c r="P58" s="657"/>
      <c r="Q58" s="656"/>
      <c r="R58" s="657"/>
      <c r="S58" s="656"/>
      <c r="T58" s="657"/>
      <c r="U58" s="656"/>
      <c r="V58" s="657"/>
      <c r="W58" s="656"/>
      <c r="X58" s="657"/>
      <c r="Y58" s="656"/>
      <c r="Z58" s="657"/>
      <c r="AA58" s="656"/>
      <c r="AB58" s="657"/>
      <c r="AC58" s="656"/>
      <c r="AD58" s="657"/>
      <c r="AE58" s="656"/>
      <c r="AF58" s="658"/>
      <c r="AG58" s="656"/>
      <c r="AH58" s="658"/>
      <c r="AI58" s="656"/>
      <c r="AJ58" s="658"/>
      <c r="AK58" s="656"/>
      <c r="AL58" s="658"/>
      <c r="AM58" s="659"/>
      <c r="AN58" s="658"/>
      <c r="AO58" s="656"/>
      <c r="AP58" s="658"/>
      <c r="AQ58" s="659"/>
      <c r="AR58" s="658"/>
      <c r="AS58" s="658"/>
      <c r="AT58" s="658"/>
      <c r="AU58" s="659"/>
      <c r="AV58" s="658"/>
      <c r="AW58" s="658"/>
      <c r="AX58" s="181"/>
      <c r="AY58" s="177"/>
      <c r="AZ58">
        <f ca="1">INDIRECT(ADDRESS(ROW()+1,COLUMN(Arbeitszeit!xDay),,,"Arbeitszeit"))</f>
        <v>5</v>
      </c>
    </row>
    <row r="59" spans="1:52">
      <c r="A59" s="582">
        <f>Arbeitszeit!A60</f>
        <v>41693</v>
      </c>
      <c r="B59" s="583">
        <f t="shared" si="0"/>
        <v>41693</v>
      </c>
      <c r="C59" s="214">
        <f t="shared" si="1"/>
        <v>8</v>
      </c>
      <c r="D59" s="213">
        <f t="shared" si="2"/>
        <v>41670</v>
      </c>
      <c r="E59" s="670">
        <f>Arbeitszeit!U60*24</f>
        <v>0</v>
      </c>
      <c r="F59" s="397">
        <f t="shared" si="3"/>
        <v>0</v>
      </c>
      <c r="G59" s="178">
        <f>IF(Arbeitszeit!F60=Urlaub,B_WorkTime*24,)</f>
        <v>0</v>
      </c>
      <c r="H59" s="174"/>
      <c r="I59" s="178">
        <f>IF(Arbeitszeit!F60=Krank,B_WorkTime*24,)</f>
        <v>0</v>
      </c>
      <c r="J59" s="174"/>
      <c r="K59" s="179"/>
      <c r="L59" s="180"/>
      <c r="M59" s="656"/>
      <c r="N59" s="657"/>
      <c r="O59" s="656"/>
      <c r="P59" s="657"/>
      <c r="Q59" s="656"/>
      <c r="R59" s="657"/>
      <c r="S59" s="656"/>
      <c r="T59" s="657"/>
      <c r="U59" s="656"/>
      <c r="V59" s="657"/>
      <c r="W59" s="656"/>
      <c r="X59" s="657"/>
      <c r="Y59" s="656"/>
      <c r="Z59" s="657"/>
      <c r="AA59" s="656"/>
      <c r="AB59" s="657"/>
      <c r="AC59" s="656"/>
      <c r="AD59" s="657"/>
      <c r="AE59" s="656"/>
      <c r="AF59" s="658"/>
      <c r="AG59" s="656"/>
      <c r="AH59" s="658"/>
      <c r="AI59" s="656"/>
      <c r="AJ59" s="658"/>
      <c r="AK59" s="656"/>
      <c r="AL59" s="658"/>
      <c r="AM59" s="659"/>
      <c r="AN59" s="658"/>
      <c r="AO59" s="656"/>
      <c r="AP59" s="658"/>
      <c r="AQ59" s="659"/>
      <c r="AR59" s="658"/>
      <c r="AS59" s="658"/>
      <c r="AT59" s="658"/>
      <c r="AU59" s="659"/>
      <c r="AV59" s="658"/>
      <c r="AW59" s="658"/>
      <c r="AX59" s="181"/>
      <c r="AY59" s="177"/>
      <c r="AZ59">
        <f ca="1">INDIRECT(ADDRESS(ROW()+1,COLUMN(Arbeitszeit!xDay),,,"Arbeitszeit"))</f>
        <v>6</v>
      </c>
    </row>
    <row r="60" spans="1:52">
      <c r="A60" s="582">
        <f>Arbeitszeit!A61</f>
        <v>41694</v>
      </c>
      <c r="B60" s="583">
        <f t="shared" si="0"/>
        <v>41694</v>
      </c>
      <c r="C60" s="214">
        <f t="shared" si="1"/>
        <v>8</v>
      </c>
      <c r="D60" s="213">
        <f t="shared" si="2"/>
        <v>41670</v>
      </c>
      <c r="E60" s="670">
        <f>Arbeitszeit!U61*24</f>
        <v>0</v>
      </c>
      <c r="F60" s="397">
        <f t="shared" si="3"/>
        <v>0</v>
      </c>
      <c r="G60" s="178">
        <f>IF(Arbeitszeit!F61=Urlaub,B_WorkTime*24,)</f>
        <v>0</v>
      </c>
      <c r="H60" s="174"/>
      <c r="I60" s="178">
        <f>IF(Arbeitszeit!F61=Krank,B_WorkTime*24,)</f>
        <v>0</v>
      </c>
      <c r="J60" s="174"/>
      <c r="K60" s="179"/>
      <c r="L60" s="180"/>
      <c r="M60" s="656"/>
      <c r="N60" s="657"/>
      <c r="O60" s="656"/>
      <c r="P60" s="657"/>
      <c r="Q60" s="656"/>
      <c r="R60" s="657"/>
      <c r="S60" s="656"/>
      <c r="T60" s="657"/>
      <c r="U60" s="656"/>
      <c r="V60" s="657"/>
      <c r="W60" s="656"/>
      <c r="X60" s="657"/>
      <c r="Y60" s="656"/>
      <c r="Z60" s="657"/>
      <c r="AA60" s="656"/>
      <c r="AB60" s="657"/>
      <c r="AC60" s="656"/>
      <c r="AD60" s="657"/>
      <c r="AE60" s="656"/>
      <c r="AF60" s="658"/>
      <c r="AG60" s="656"/>
      <c r="AH60" s="658"/>
      <c r="AI60" s="656"/>
      <c r="AJ60" s="658"/>
      <c r="AK60" s="656"/>
      <c r="AL60" s="658"/>
      <c r="AM60" s="659"/>
      <c r="AN60" s="658"/>
      <c r="AO60" s="656"/>
      <c r="AP60" s="658"/>
      <c r="AQ60" s="659"/>
      <c r="AR60" s="658"/>
      <c r="AS60" s="658"/>
      <c r="AT60" s="658"/>
      <c r="AU60" s="659"/>
      <c r="AV60" s="658"/>
      <c r="AW60" s="658"/>
      <c r="AX60" s="181"/>
      <c r="AY60" s="177"/>
      <c r="AZ60">
        <f ca="1">INDIRECT(ADDRESS(ROW()+1,COLUMN(Arbeitszeit!xDay),,,"Arbeitszeit"))</f>
        <v>7</v>
      </c>
    </row>
    <row r="61" spans="1:52">
      <c r="A61" s="582">
        <f>Arbeitszeit!A62</f>
        <v>41695</v>
      </c>
      <c r="B61" s="583">
        <f t="shared" si="0"/>
        <v>41695</v>
      </c>
      <c r="C61" s="214">
        <f t="shared" si="1"/>
        <v>9</v>
      </c>
      <c r="D61" s="213">
        <f t="shared" si="2"/>
        <v>41670</v>
      </c>
      <c r="E61" s="670">
        <f>Arbeitszeit!U62*24</f>
        <v>0</v>
      </c>
      <c r="F61" s="397">
        <f t="shared" si="3"/>
        <v>0</v>
      </c>
      <c r="G61" s="178">
        <f>IF(Arbeitszeit!F62=Urlaub,B_WorkTime*24,)</f>
        <v>0</v>
      </c>
      <c r="H61" s="174"/>
      <c r="I61" s="178">
        <f>IF(Arbeitszeit!F62=Krank,B_WorkTime*24,)</f>
        <v>0</v>
      </c>
      <c r="J61" s="174"/>
      <c r="K61" s="179"/>
      <c r="L61" s="180"/>
      <c r="M61" s="656"/>
      <c r="N61" s="657"/>
      <c r="O61" s="656"/>
      <c r="P61" s="657"/>
      <c r="Q61" s="656"/>
      <c r="R61" s="657"/>
      <c r="S61" s="656"/>
      <c r="T61" s="657"/>
      <c r="U61" s="656"/>
      <c r="V61" s="657"/>
      <c r="W61" s="656"/>
      <c r="X61" s="657"/>
      <c r="Y61" s="656"/>
      <c r="Z61" s="657"/>
      <c r="AA61" s="656"/>
      <c r="AB61" s="657"/>
      <c r="AC61" s="656"/>
      <c r="AD61" s="657"/>
      <c r="AE61" s="656"/>
      <c r="AF61" s="658"/>
      <c r="AG61" s="656"/>
      <c r="AH61" s="658"/>
      <c r="AI61" s="656"/>
      <c r="AJ61" s="658"/>
      <c r="AK61" s="656"/>
      <c r="AL61" s="658"/>
      <c r="AM61" s="659"/>
      <c r="AN61" s="658"/>
      <c r="AO61" s="656"/>
      <c r="AP61" s="658"/>
      <c r="AQ61" s="659"/>
      <c r="AR61" s="658"/>
      <c r="AS61" s="658"/>
      <c r="AT61" s="658"/>
      <c r="AU61" s="659"/>
      <c r="AV61" s="658"/>
      <c r="AW61" s="658"/>
      <c r="AX61" s="181"/>
      <c r="AY61" s="177"/>
      <c r="AZ61">
        <f ca="1">INDIRECT(ADDRESS(ROW()+1,COLUMN(Arbeitszeit!xDay),,,"Arbeitszeit"))</f>
        <v>1</v>
      </c>
    </row>
    <row r="62" spans="1:52">
      <c r="A62" s="582">
        <f>Arbeitszeit!A63</f>
        <v>41696</v>
      </c>
      <c r="B62" s="583">
        <f t="shared" si="0"/>
        <v>41696</v>
      </c>
      <c r="C62" s="214">
        <f t="shared" si="1"/>
        <v>9</v>
      </c>
      <c r="D62" s="213">
        <f t="shared" si="2"/>
        <v>41670</v>
      </c>
      <c r="E62" s="670">
        <f>Arbeitszeit!U63*24</f>
        <v>0</v>
      </c>
      <c r="F62" s="397">
        <f t="shared" si="3"/>
        <v>0</v>
      </c>
      <c r="G62" s="178">
        <f>IF(Arbeitszeit!F63=Urlaub,B_WorkTime*24,)</f>
        <v>0</v>
      </c>
      <c r="H62" s="174"/>
      <c r="I62" s="178">
        <f>IF(Arbeitszeit!F63=Krank,B_WorkTime*24,)</f>
        <v>0</v>
      </c>
      <c r="J62" s="174"/>
      <c r="K62" s="179"/>
      <c r="L62" s="180"/>
      <c r="M62" s="656"/>
      <c r="N62" s="657"/>
      <c r="O62" s="656"/>
      <c r="P62" s="657"/>
      <c r="Q62" s="656"/>
      <c r="R62" s="657"/>
      <c r="S62" s="656"/>
      <c r="T62" s="657"/>
      <c r="U62" s="656"/>
      <c r="V62" s="657"/>
      <c r="W62" s="656"/>
      <c r="X62" s="657"/>
      <c r="Y62" s="656"/>
      <c r="Z62" s="657"/>
      <c r="AA62" s="656"/>
      <c r="AB62" s="657"/>
      <c r="AC62" s="656"/>
      <c r="AD62" s="657"/>
      <c r="AE62" s="656"/>
      <c r="AF62" s="658"/>
      <c r="AG62" s="656"/>
      <c r="AH62" s="658"/>
      <c r="AI62" s="656"/>
      <c r="AJ62" s="658"/>
      <c r="AK62" s="656"/>
      <c r="AL62" s="658"/>
      <c r="AM62" s="659"/>
      <c r="AN62" s="658"/>
      <c r="AO62" s="656"/>
      <c r="AP62" s="658"/>
      <c r="AQ62" s="659"/>
      <c r="AR62" s="658"/>
      <c r="AS62" s="658"/>
      <c r="AT62" s="658"/>
      <c r="AU62" s="659"/>
      <c r="AV62" s="658"/>
      <c r="AW62" s="658"/>
      <c r="AX62" s="181"/>
      <c r="AY62" s="177"/>
      <c r="AZ62">
        <f ca="1">INDIRECT(ADDRESS(ROW()+1,COLUMN(Arbeitszeit!xDay),,,"Arbeitszeit"))</f>
        <v>2</v>
      </c>
    </row>
    <row r="63" spans="1:52">
      <c r="A63" s="582">
        <f>Arbeitszeit!A64</f>
        <v>41697</v>
      </c>
      <c r="B63" s="583">
        <f t="shared" si="0"/>
        <v>41697</v>
      </c>
      <c r="C63" s="214">
        <f t="shared" si="1"/>
        <v>9</v>
      </c>
      <c r="D63" s="213">
        <f t="shared" si="2"/>
        <v>41670</v>
      </c>
      <c r="E63" s="670">
        <f>Arbeitszeit!U64*24</f>
        <v>0</v>
      </c>
      <c r="F63" s="397">
        <f t="shared" si="3"/>
        <v>0</v>
      </c>
      <c r="G63" s="178">
        <f>IF(Arbeitszeit!F64=Urlaub,B_WorkTime*24,)</f>
        <v>0</v>
      </c>
      <c r="H63" s="174"/>
      <c r="I63" s="178">
        <f>IF(Arbeitszeit!F64=Krank,B_WorkTime*24,)</f>
        <v>0</v>
      </c>
      <c r="J63" s="174"/>
      <c r="K63" s="179"/>
      <c r="L63" s="180"/>
      <c r="M63" s="656"/>
      <c r="N63" s="657"/>
      <c r="O63" s="656"/>
      <c r="P63" s="657"/>
      <c r="Q63" s="656"/>
      <c r="R63" s="657"/>
      <c r="S63" s="656"/>
      <c r="T63" s="657"/>
      <c r="U63" s="656"/>
      <c r="V63" s="657"/>
      <c r="W63" s="656"/>
      <c r="X63" s="657"/>
      <c r="Y63" s="656"/>
      <c r="Z63" s="657"/>
      <c r="AA63" s="656"/>
      <c r="AB63" s="657"/>
      <c r="AC63" s="656"/>
      <c r="AD63" s="657"/>
      <c r="AE63" s="656"/>
      <c r="AF63" s="658"/>
      <c r="AG63" s="656"/>
      <c r="AH63" s="658"/>
      <c r="AI63" s="656"/>
      <c r="AJ63" s="658"/>
      <c r="AK63" s="656"/>
      <c r="AL63" s="658"/>
      <c r="AM63" s="659"/>
      <c r="AN63" s="658"/>
      <c r="AO63" s="656"/>
      <c r="AP63" s="658"/>
      <c r="AQ63" s="659"/>
      <c r="AR63" s="658"/>
      <c r="AS63" s="658"/>
      <c r="AT63" s="658"/>
      <c r="AU63" s="659"/>
      <c r="AV63" s="658"/>
      <c r="AW63" s="658"/>
      <c r="AX63" s="181"/>
      <c r="AY63" s="177"/>
      <c r="AZ63">
        <f ca="1">INDIRECT(ADDRESS(ROW()+1,COLUMN(Arbeitszeit!xDay),,,"Arbeitszeit"))</f>
        <v>3</v>
      </c>
    </row>
    <row r="64" spans="1:52">
      <c r="A64" s="582">
        <f>Arbeitszeit!A65</f>
        <v>41698</v>
      </c>
      <c r="B64" s="583">
        <f t="shared" si="0"/>
        <v>41698</v>
      </c>
      <c r="C64" s="214">
        <f t="shared" si="1"/>
        <v>9</v>
      </c>
      <c r="D64" s="213">
        <f t="shared" si="2"/>
        <v>41698</v>
      </c>
      <c r="E64" s="670">
        <f>Arbeitszeit!U65*24</f>
        <v>0</v>
      </c>
      <c r="F64" s="397">
        <f t="shared" si="3"/>
        <v>0</v>
      </c>
      <c r="G64" s="178">
        <f>IF(Arbeitszeit!F65=Urlaub,B_WorkTime*24,)</f>
        <v>0</v>
      </c>
      <c r="H64" s="174"/>
      <c r="I64" s="178">
        <f>IF(Arbeitszeit!F65=Krank,B_WorkTime*24,)</f>
        <v>0</v>
      </c>
      <c r="J64" s="174"/>
      <c r="K64" s="179"/>
      <c r="L64" s="180"/>
      <c r="M64" s="656"/>
      <c r="N64" s="657"/>
      <c r="O64" s="656"/>
      <c r="P64" s="657"/>
      <c r="Q64" s="656"/>
      <c r="R64" s="657"/>
      <c r="S64" s="656"/>
      <c r="T64" s="657"/>
      <c r="U64" s="656"/>
      <c r="V64" s="657"/>
      <c r="W64" s="656"/>
      <c r="X64" s="657"/>
      <c r="Y64" s="656"/>
      <c r="Z64" s="657"/>
      <c r="AA64" s="656"/>
      <c r="AB64" s="657"/>
      <c r="AC64" s="656"/>
      <c r="AD64" s="657"/>
      <c r="AE64" s="656"/>
      <c r="AF64" s="658"/>
      <c r="AG64" s="656"/>
      <c r="AH64" s="658"/>
      <c r="AI64" s="656"/>
      <c r="AJ64" s="658"/>
      <c r="AK64" s="656"/>
      <c r="AL64" s="658"/>
      <c r="AM64" s="659"/>
      <c r="AN64" s="658"/>
      <c r="AO64" s="656"/>
      <c r="AP64" s="658"/>
      <c r="AQ64" s="659"/>
      <c r="AR64" s="658"/>
      <c r="AS64" s="658"/>
      <c r="AT64" s="658"/>
      <c r="AU64" s="659"/>
      <c r="AV64" s="658"/>
      <c r="AW64" s="658"/>
      <c r="AX64" s="181"/>
      <c r="AY64" s="177"/>
      <c r="AZ64">
        <f ca="1">INDIRECT(ADDRESS(ROW()+1,COLUMN(Arbeitszeit!xDay),,,"Arbeitszeit"))</f>
        <v>4</v>
      </c>
    </row>
    <row r="65" spans="1:52">
      <c r="A65" s="582">
        <f>Arbeitszeit!A66</f>
        <v>41699</v>
      </c>
      <c r="B65" s="583">
        <f t="shared" si="0"/>
        <v>41699</v>
      </c>
      <c r="C65" s="214">
        <f t="shared" si="1"/>
        <v>9</v>
      </c>
      <c r="D65" s="213">
        <f t="shared" si="2"/>
        <v>41698</v>
      </c>
      <c r="E65" s="670">
        <f>Arbeitszeit!U66*24</f>
        <v>0</v>
      </c>
      <c r="F65" s="397">
        <f t="shared" si="3"/>
        <v>0</v>
      </c>
      <c r="G65" s="178">
        <f>IF(Arbeitszeit!F66=Urlaub,B_WorkTime*24,)</f>
        <v>0</v>
      </c>
      <c r="H65" s="174"/>
      <c r="I65" s="178">
        <f>IF(Arbeitszeit!F66=Krank,B_WorkTime*24,)</f>
        <v>0</v>
      </c>
      <c r="J65" s="174"/>
      <c r="K65" s="179"/>
      <c r="L65" s="180"/>
      <c r="M65" s="656"/>
      <c r="N65" s="657"/>
      <c r="O65" s="656"/>
      <c r="P65" s="657"/>
      <c r="Q65" s="656"/>
      <c r="R65" s="657"/>
      <c r="S65" s="656"/>
      <c r="T65" s="657"/>
      <c r="U65" s="656"/>
      <c r="V65" s="657"/>
      <c r="W65" s="656"/>
      <c r="X65" s="657"/>
      <c r="Y65" s="656"/>
      <c r="Z65" s="657"/>
      <c r="AA65" s="656"/>
      <c r="AB65" s="657"/>
      <c r="AC65" s="656"/>
      <c r="AD65" s="657"/>
      <c r="AE65" s="656"/>
      <c r="AF65" s="658"/>
      <c r="AG65" s="656"/>
      <c r="AH65" s="658"/>
      <c r="AI65" s="656"/>
      <c r="AJ65" s="658"/>
      <c r="AK65" s="656"/>
      <c r="AL65" s="658"/>
      <c r="AM65" s="659"/>
      <c r="AN65" s="658"/>
      <c r="AO65" s="656"/>
      <c r="AP65" s="658"/>
      <c r="AQ65" s="659"/>
      <c r="AR65" s="658"/>
      <c r="AS65" s="658"/>
      <c r="AT65" s="658"/>
      <c r="AU65" s="659"/>
      <c r="AV65" s="658"/>
      <c r="AW65" s="658"/>
      <c r="AX65" s="181"/>
      <c r="AY65" s="177"/>
      <c r="AZ65">
        <f ca="1">INDIRECT(ADDRESS(ROW()+1,COLUMN(Arbeitszeit!xDay),,,"Arbeitszeit"))</f>
        <v>5</v>
      </c>
    </row>
    <row r="66" spans="1:52">
      <c r="A66" s="582">
        <f>Arbeitszeit!A67</f>
        <v>41700</v>
      </c>
      <c r="B66" s="583">
        <f t="shared" si="0"/>
        <v>41700</v>
      </c>
      <c r="C66" s="214">
        <f t="shared" si="1"/>
        <v>9</v>
      </c>
      <c r="D66" s="213">
        <f t="shared" si="2"/>
        <v>41698</v>
      </c>
      <c r="E66" s="670">
        <f>Arbeitszeit!U67*24</f>
        <v>0</v>
      </c>
      <c r="F66" s="397">
        <f t="shared" si="3"/>
        <v>0</v>
      </c>
      <c r="G66" s="178">
        <f>IF(Arbeitszeit!F67=Urlaub,B_WorkTime*24,)</f>
        <v>0</v>
      </c>
      <c r="H66" s="174"/>
      <c r="I66" s="178">
        <f>IF(Arbeitszeit!F67=Krank,B_WorkTime*24,)</f>
        <v>0</v>
      </c>
      <c r="J66" s="174"/>
      <c r="K66" s="179"/>
      <c r="L66" s="180"/>
      <c r="M66" s="656"/>
      <c r="N66" s="657"/>
      <c r="O66" s="656"/>
      <c r="P66" s="657"/>
      <c r="Q66" s="656"/>
      <c r="R66" s="657"/>
      <c r="S66" s="656"/>
      <c r="T66" s="657"/>
      <c r="U66" s="656"/>
      <c r="V66" s="657"/>
      <c r="W66" s="656"/>
      <c r="X66" s="657"/>
      <c r="Y66" s="656"/>
      <c r="Z66" s="657"/>
      <c r="AA66" s="656"/>
      <c r="AB66" s="657"/>
      <c r="AC66" s="656"/>
      <c r="AD66" s="657"/>
      <c r="AE66" s="656"/>
      <c r="AF66" s="658"/>
      <c r="AG66" s="656"/>
      <c r="AH66" s="658"/>
      <c r="AI66" s="656"/>
      <c r="AJ66" s="658"/>
      <c r="AK66" s="656"/>
      <c r="AL66" s="658"/>
      <c r="AM66" s="659"/>
      <c r="AN66" s="658"/>
      <c r="AO66" s="656"/>
      <c r="AP66" s="658"/>
      <c r="AQ66" s="659"/>
      <c r="AR66" s="658"/>
      <c r="AS66" s="658"/>
      <c r="AT66" s="658"/>
      <c r="AU66" s="659"/>
      <c r="AV66" s="658"/>
      <c r="AW66" s="658"/>
      <c r="AX66" s="181"/>
      <c r="AY66" s="177"/>
      <c r="AZ66">
        <f ca="1">INDIRECT(ADDRESS(ROW()+1,COLUMN(Arbeitszeit!xDay),,,"Arbeitszeit"))</f>
        <v>6</v>
      </c>
    </row>
    <row r="67" spans="1:52">
      <c r="A67" s="582">
        <f>Arbeitszeit!A68</f>
        <v>41701</v>
      </c>
      <c r="B67" s="583">
        <f t="shared" si="0"/>
        <v>41701</v>
      </c>
      <c r="C67" s="214">
        <f t="shared" si="1"/>
        <v>9</v>
      </c>
      <c r="D67" s="213">
        <f t="shared" si="2"/>
        <v>41698</v>
      </c>
      <c r="E67" s="670">
        <f>Arbeitszeit!U68*24</f>
        <v>0</v>
      </c>
      <c r="F67" s="397">
        <f t="shared" si="3"/>
        <v>0</v>
      </c>
      <c r="G67" s="178">
        <f>IF(Arbeitszeit!F68=Urlaub,B_WorkTime*24,)</f>
        <v>0</v>
      </c>
      <c r="H67" s="174"/>
      <c r="I67" s="178">
        <f>IF(Arbeitszeit!F68=Krank,B_WorkTime*24,)</f>
        <v>0</v>
      </c>
      <c r="J67" s="174"/>
      <c r="K67" s="179"/>
      <c r="L67" s="180"/>
      <c r="M67" s="656"/>
      <c r="N67" s="657"/>
      <c r="O67" s="656"/>
      <c r="P67" s="657"/>
      <c r="Q67" s="656"/>
      <c r="R67" s="657"/>
      <c r="S67" s="656"/>
      <c r="T67" s="657"/>
      <c r="U67" s="656"/>
      <c r="V67" s="657"/>
      <c r="W67" s="656"/>
      <c r="X67" s="657"/>
      <c r="Y67" s="656"/>
      <c r="Z67" s="657"/>
      <c r="AA67" s="656"/>
      <c r="AB67" s="657"/>
      <c r="AC67" s="656"/>
      <c r="AD67" s="657"/>
      <c r="AE67" s="656"/>
      <c r="AF67" s="658"/>
      <c r="AG67" s="656"/>
      <c r="AH67" s="658"/>
      <c r="AI67" s="656"/>
      <c r="AJ67" s="658"/>
      <c r="AK67" s="656"/>
      <c r="AL67" s="658"/>
      <c r="AM67" s="659"/>
      <c r="AN67" s="658"/>
      <c r="AO67" s="656"/>
      <c r="AP67" s="658"/>
      <c r="AQ67" s="659"/>
      <c r="AR67" s="658"/>
      <c r="AS67" s="658"/>
      <c r="AT67" s="658"/>
      <c r="AU67" s="659"/>
      <c r="AV67" s="658"/>
      <c r="AW67" s="658"/>
      <c r="AX67" s="181"/>
      <c r="AY67" s="177"/>
      <c r="AZ67">
        <f ca="1">INDIRECT(ADDRESS(ROW()+1,COLUMN(Arbeitszeit!xDay),,,"Arbeitszeit"))</f>
        <v>7</v>
      </c>
    </row>
    <row r="68" spans="1:52">
      <c r="A68" s="582">
        <f>Arbeitszeit!A69</f>
        <v>41702</v>
      </c>
      <c r="B68" s="583">
        <f t="shared" si="0"/>
        <v>41702</v>
      </c>
      <c r="C68" s="214">
        <f t="shared" si="1"/>
        <v>10</v>
      </c>
      <c r="D68" s="213">
        <f t="shared" si="2"/>
        <v>41698</v>
      </c>
      <c r="E68" s="670">
        <f>Arbeitszeit!U69*24</f>
        <v>0</v>
      </c>
      <c r="F68" s="397">
        <f t="shared" si="3"/>
        <v>0</v>
      </c>
      <c r="G68" s="178">
        <f>IF(Arbeitszeit!F69=Urlaub,B_WorkTime*24,)</f>
        <v>0</v>
      </c>
      <c r="H68" s="174"/>
      <c r="I68" s="178">
        <f>IF(Arbeitszeit!F69=Krank,B_WorkTime*24,)</f>
        <v>0</v>
      </c>
      <c r="J68" s="174"/>
      <c r="K68" s="179"/>
      <c r="L68" s="180"/>
      <c r="M68" s="656"/>
      <c r="N68" s="657"/>
      <c r="O68" s="656"/>
      <c r="P68" s="657"/>
      <c r="Q68" s="656"/>
      <c r="R68" s="657"/>
      <c r="S68" s="656"/>
      <c r="T68" s="657"/>
      <c r="U68" s="656"/>
      <c r="V68" s="657"/>
      <c r="W68" s="656"/>
      <c r="X68" s="657"/>
      <c r="Y68" s="656"/>
      <c r="Z68" s="657"/>
      <c r="AA68" s="656"/>
      <c r="AB68" s="657"/>
      <c r="AC68" s="656"/>
      <c r="AD68" s="657"/>
      <c r="AE68" s="656"/>
      <c r="AF68" s="658"/>
      <c r="AG68" s="656"/>
      <c r="AH68" s="658"/>
      <c r="AI68" s="656"/>
      <c r="AJ68" s="658"/>
      <c r="AK68" s="656"/>
      <c r="AL68" s="658"/>
      <c r="AM68" s="659"/>
      <c r="AN68" s="658"/>
      <c r="AO68" s="656"/>
      <c r="AP68" s="658"/>
      <c r="AQ68" s="659"/>
      <c r="AR68" s="658"/>
      <c r="AS68" s="658"/>
      <c r="AT68" s="658"/>
      <c r="AU68" s="659"/>
      <c r="AV68" s="658"/>
      <c r="AW68" s="658"/>
      <c r="AX68" s="181"/>
      <c r="AY68" s="177"/>
      <c r="AZ68">
        <f ca="1">INDIRECT(ADDRESS(ROW()+1,COLUMN(Arbeitszeit!xDay),,,"Arbeitszeit"))</f>
        <v>1</v>
      </c>
    </row>
    <row r="69" spans="1:52">
      <c r="A69" s="582">
        <f>Arbeitszeit!A70</f>
        <v>41703</v>
      </c>
      <c r="B69" s="583">
        <f t="shared" si="0"/>
        <v>41703</v>
      </c>
      <c r="C69" s="214">
        <f t="shared" si="1"/>
        <v>10</v>
      </c>
      <c r="D69" s="213">
        <f t="shared" si="2"/>
        <v>41698</v>
      </c>
      <c r="E69" s="670">
        <f>Arbeitszeit!U70*24</f>
        <v>0</v>
      </c>
      <c r="F69" s="397">
        <f t="shared" si="3"/>
        <v>0</v>
      </c>
      <c r="G69" s="178">
        <f>IF(Arbeitszeit!F70=Urlaub,B_WorkTime*24,)</f>
        <v>0</v>
      </c>
      <c r="H69" s="174"/>
      <c r="I69" s="178">
        <f>IF(Arbeitszeit!F70=Krank,B_WorkTime*24,)</f>
        <v>0</v>
      </c>
      <c r="J69" s="174"/>
      <c r="K69" s="179"/>
      <c r="L69" s="180"/>
      <c r="M69" s="656"/>
      <c r="N69" s="657"/>
      <c r="O69" s="656"/>
      <c r="P69" s="657"/>
      <c r="Q69" s="656"/>
      <c r="R69" s="657"/>
      <c r="S69" s="656"/>
      <c r="T69" s="657"/>
      <c r="U69" s="656"/>
      <c r="V69" s="657"/>
      <c r="W69" s="656"/>
      <c r="X69" s="657"/>
      <c r="Y69" s="656"/>
      <c r="Z69" s="657"/>
      <c r="AA69" s="656"/>
      <c r="AB69" s="657"/>
      <c r="AC69" s="656"/>
      <c r="AD69" s="657"/>
      <c r="AE69" s="656"/>
      <c r="AF69" s="658"/>
      <c r="AG69" s="656"/>
      <c r="AH69" s="658"/>
      <c r="AI69" s="656"/>
      <c r="AJ69" s="658"/>
      <c r="AK69" s="656"/>
      <c r="AL69" s="658"/>
      <c r="AM69" s="659"/>
      <c r="AN69" s="658"/>
      <c r="AO69" s="656"/>
      <c r="AP69" s="658"/>
      <c r="AQ69" s="659"/>
      <c r="AR69" s="658"/>
      <c r="AS69" s="658"/>
      <c r="AT69" s="658"/>
      <c r="AU69" s="659"/>
      <c r="AV69" s="658"/>
      <c r="AW69" s="658"/>
      <c r="AX69" s="181"/>
      <c r="AY69" s="177"/>
      <c r="AZ69">
        <f ca="1">INDIRECT(ADDRESS(ROW()+1,COLUMN(Arbeitszeit!xDay),,,"Arbeitszeit"))</f>
        <v>2</v>
      </c>
    </row>
    <row r="70" spans="1:52">
      <c r="A70" s="582">
        <f>Arbeitszeit!A71</f>
        <v>41704</v>
      </c>
      <c r="B70" s="583">
        <f t="shared" ref="B70:B133" si="4">IF(A70="","",A70)</f>
        <v>41704</v>
      </c>
      <c r="C70" s="214">
        <f t="shared" si="1"/>
        <v>10</v>
      </c>
      <c r="D70" s="213">
        <f t="shared" si="2"/>
        <v>41698</v>
      </c>
      <c r="E70" s="670">
        <f>Arbeitszeit!U71*24</f>
        <v>0</v>
      </c>
      <c r="F70" s="397">
        <f t="shared" si="3"/>
        <v>0</v>
      </c>
      <c r="G70" s="178">
        <f>IF(Arbeitszeit!F71=Urlaub,B_WorkTime*24,)</f>
        <v>0</v>
      </c>
      <c r="H70" s="174"/>
      <c r="I70" s="178">
        <f>IF(Arbeitszeit!F71=Krank,B_WorkTime*24,)</f>
        <v>0</v>
      </c>
      <c r="J70" s="174"/>
      <c r="K70" s="179"/>
      <c r="L70" s="180"/>
      <c r="M70" s="656"/>
      <c r="N70" s="657"/>
      <c r="O70" s="656"/>
      <c r="P70" s="657"/>
      <c r="Q70" s="656"/>
      <c r="R70" s="657"/>
      <c r="S70" s="656"/>
      <c r="T70" s="657"/>
      <c r="U70" s="656"/>
      <c r="V70" s="657"/>
      <c r="W70" s="656"/>
      <c r="X70" s="657"/>
      <c r="Y70" s="656"/>
      <c r="Z70" s="657"/>
      <c r="AA70" s="656"/>
      <c r="AB70" s="657"/>
      <c r="AC70" s="656"/>
      <c r="AD70" s="657"/>
      <c r="AE70" s="656"/>
      <c r="AF70" s="658"/>
      <c r="AG70" s="656"/>
      <c r="AH70" s="658"/>
      <c r="AI70" s="656"/>
      <c r="AJ70" s="658"/>
      <c r="AK70" s="656"/>
      <c r="AL70" s="658"/>
      <c r="AM70" s="659"/>
      <c r="AN70" s="658"/>
      <c r="AO70" s="656"/>
      <c r="AP70" s="658"/>
      <c r="AQ70" s="659"/>
      <c r="AR70" s="658"/>
      <c r="AS70" s="658"/>
      <c r="AT70" s="658"/>
      <c r="AU70" s="659"/>
      <c r="AV70" s="658"/>
      <c r="AW70" s="658"/>
      <c r="AX70" s="181"/>
      <c r="AY70" s="177"/>
      <c r="AZ70">
        <f ca="1">INDIRECT(ADDRESS(ROW()+1,COLUMN(Arbeitszeit!xDay),,,"Arbeitszeit"))</f>
        <v>3</v>
      </c>
    </row>
    <row r="71" spans="1:52">
      <c r="A71" s="582">
        <f>Arbeitszeit!A72</f>
        <v>41705</v>
      </c>
      <c r="B71" s="583">
        <f t="shared" si="4"/>
        <v>41705</v>
      </c>
      <c r="C71" s="214">
        <f t="shared" ref="C71:C134" si="5">IF(A71="","",NumberOfWeek(A71))</f>
        <v>10</v>
      </c>
      <c r="D71" s="213">
        <f t="shared" ref="D71:D134" si="6">IF(A71="","",DATE(YEAR(A71),MONTH(A71),1))</f>
        <v>41698</v>
      </c>
      <c r="E71" s="670">
        <f>Arbeitszeit!U72*24</f>
        <v>0</v>
      </c>
      <c r="F71" s="397">
        <f t="shared" si="3"/>
        <v>0</v>
      </c>
      <c r="G71" s="178">
        <f>IF(Arbeitszeit!F72=Urlaub,B_WorkTime*24,)</f>
        <v>0</v>
      </c>
      <c r="H71" s="174"/>
      <c r="I71" s="178">
        <f>IF(Arbeitszeit!F72=Krank,B_WorkTime*24,)</f>
        <v>0</v>
      </c>
      <c r="J71" s="174"/>
      <c r="K71" s="179"/>
      <c r="L71" s="180"/>
      <c r="M71" s="656"/>
      <c r="N71" s="657"/>
      <c r="O71" s="656"/>
      <c r="P71" s="657"/>
      <c r="Q71" s="656"/>
      <c r="R71" s="657"/>
      <c r="S71" s="656"/>
      <c r="T71" s="657"/>
      <c r="U71" s="656"/>
      <c r="V71" s="657"/>
      <c r="W71" s="656"/>
      <c r="X71" s="657"/>
      <c r="Y71" s="656"/>
      <c r="Z71" s="657"/>
      <c r="AA71" s="656"/>
      <c r="AB71" s="657"/>
      <c r="AC71" s="656"/>
      <c r="AD71" s="657"/>
      <c r="AE71" s="656"/>
      <c r="AF71" s="658"/>
      <c r="AG71" s="656"/>
      <c r="AH71" s="658"/>
      <c r="AI71" s="656"/>
      <c r="AJ71" s="658"/>
      <c r="AK71" s="656"/>
      <c r="AL71" s="658"/>
      <c r="AM71" s="659"/>
      <c r="AN71" s="658"/>
      <c r="AO71" s="656"/>
      <c r="AP71" s="658"/>
      <c r="AQ71" s="659"/>
      <c r="AR71" s="658"/>
      <c r="AS71" s="658"/>
      <c r="AT71" s="658"/>
      <c r="AU71" s="659"/>
      <c r="AV71" s="658"/>
      <c r="AW71" s="658"/>
      <c r="AX71" s="181"/>
      <c r="AY71" s="177"/>
      <c r="AZ71">
        <f ca="1">INDIRECT(ADDRESS(ROW()+1,COLUMN(Arbeitszeit!xDay),,,"Arbeitszeit"))</f>
        <v>4</v>
      </c>
    </row>
    <row r="72" spans="1:52">
      <c r="A72" s="582">
        <f>Arbeitszeit!A73</f>
        <v>41706</v>
      </c>
      <c r="B72" s="583">
        <f t="shared" si="4"/>
        <v>41706</v>
      </c>
      <c r="C72" s="214">
        <f t="shared" si="5"/>
        <v>10</v>
      </c>
      <c r="D72" s="213">
        <f t="shared" si="6"/>
        <v>41698</v>
      </c>
      <c r="E72" s="670">
        <f>Arbeitszeit!U73*24</f>
        <v>0</v>
      </c>
      <c r="F72" s="397">
        <f t="shared" ref="F72:F135" si="7">ROUND(E72-SUM(K72:AW72),1)</f>
        <v>0</v>
      </c>
      <c r="G72" s="178">
        <f>IF(Arbeitszeit!F73=Urlaub,B_WorkTime*24,)</f>
        <v>0</v>
      </c>
      <c r="H72" s="174"/>
      <c r="I72" s="178">
        <f>IF(Arbeitszeit!F73=Krank,B_WorkTime*24,)</f>
        <v>0</v>
      </c>
      <c r="J72" s="174"/>
      <c r="K72" s="179"/>
      <c r="L72" s="180"/>
      <c r="M72" s="656"/>
      <c r="N72" s="657"/>
      <c r="O72" s="656"/>
      <c r="P72" s="657"/>
      <c r="Q72" s="656"/>
      <c r="R72" s="657"/>
      <c r="S72" s="656"/>
      <c r="T72" s="657"/>
      <c r="U72" s="656"/>
      <c r="V72" s="657"/>
      <c r="W72" s="656"/>
      <c r="X72" s="657"/>
      <c r="Y72" s="656"/>
      <c r="Z72" s="657"/>
      <c r="AA72" s="656"/>
      <c r="AB72" s="657"/>
      <c r="AC72" s="656"/>
      <c r="AD72" s="657"/>
      <c r="AE72" s="656"/>
      <c r="AF72" s="658"/>
      <c r="AG72" s="656"/>
      <c r="AH72" s="658"/>
      <c r="AI72" s="656"/>
      <c r="AJ72" s="658"/>
      <c r="AK72" s="656"/>
      <c r="AL72" s="658"/>
      <c r="AM72" s="659"/>
      <c r="AN72" s="658"/>
      <c r="AO72" s="656"/>
      <c r="AP72" s="658"/>
      <c r="AQ72" s="659"/>
      <c r="AR72" s="658"/>
      <c r="AS72" s="658"/>
      <c r="AT72" s="658"/>
      <c r="AU72" s="659"/>
      <c r="AV72" s="658"/>
      <c r="AW72" s="658"/>
      <c r="AX72" s="181"/>
      <c r="AY72" s="177"/>
      <c r="AZ72">
        <f ca="1">INDIRECT(ADDRESS(ROW()+1,COLUMN(Arbeitszeit!xDay),,,"Arbeitszeit"))</f>
        <v>5</v>
      </c>
    </row>
    <row r="73" spans="1:52">
      <c r="A73" s="582">
        <f>Arbeitszeit!A74</f>
        <v>41707</v>
      </c>
      <c r="B73" s="583">
        <f t="shared" si="4"/>
        <v>41707</v>
      </c>
      <c r="C73" s="214">
        <f t="shared" si="5"/>
        <v>10</v>
      </c>
      <c r="D73" s="213">
        <f t="shared" si="6"/>
        <v>41698</v>
      </c>
      <c r="E73" s="670">
        <f>Arbeitszeit!U74*24</f>
        <v>0</v>
      </c>
      <c r="F73" s="397">
        <f t="shared" si="7"/>
        <v>0</v>
      </c>
      <c r="G73" s="178">
        <f>IF(Arbeitszeit!F74=Urlaub,B_WorkTime*24,)</f>
        <v>0</v>
      </c>
      <c r="H73" s="174"/>
      <c r="I73" s="178">
        <f>IF(Arbeitszeit!F74=Krank,B_WorkTime*24,)</f>
        <v>0</v>
      </c>
      <c r="J73" s="174"/>
      <c r="K73" s="179"/>
      <c r="L73" s="180"/>
      <c r="M73" s="656"/>
      <c r="N73" s="657"/>
      <c r="O73" s="656"/>
      <c r="P73" s="657"/>
      <c r="Q73" s="656"/>
      <c r="R73" s="657"/>
      <c r="S73" s="656"/>
      <c r="T73" s="657"/>
      <c r="U73" s="656"/>
      <c r="V73" s="657"/>
      <c r="W73" s="656"/>
      <c r="X73" s="657"/>
      <c r="Y73" s="656"/>
      <c r="Z73" s="657"/>
      <c r="AA73" s="656"/>
      <c r="AB73" s="657"/>
      <c r="AC73" s="656"/>
      <c r="AD73" s="657"/>
      <c r="AE73" s="656"/>
      <c r="AF73" s="658"/>
      <c r="AG73" s="656"/>
      <c r="AH73" s="658"/>
      <c r="AI73" s="656"/>
      <c r="AJ73" s="658"/>
      <c r="AK73" s="656"/>
      <c r="AL73" s="658"/>
      <c r="AM73" s="659"/>
      <c r="AN73" s="658"/>
      <c r="AO73" s="656"/>
      <c r="AP73" s="658"/>
      <c r="AQ73" s="659"/>
      <c r="AR73" s="658"/>
      <c r="AS73" s="658"/>
      <c r="AT73" s="658"/>
      <c r="AU73" s="659"/>
      <c r="AV73" s="658"/>
      <c r="AW73" s="658"/>
      <c r="AX73" s="181"/>
      <c r="AY73" s="177"/>
      <c r="AZ73">
        <f ca="1">INDIRECT(ADDRESS(ROW()+1,COLUMN(Arbeitszeit!xDay),,,"Arbeitszeit"))</f>
        <v>6</v>
      </c>
    </row>
    <row r="74" spans="1:52">
      <c r="A74" s="582">
        <f>Arbeitszeit!A75</f>
        <v>41708</v>
      </c>
      <c r="B74" s="583">
        <f t="shared" si="4"/>
        <v>41708</v>
      </c>
      <c r="C74" s="214">
        <f t="shared" si="5"/>
        <v>10</v>
      </c>
      <c r="D74" s="213">
        <f t="shared" si="6"/>
        <v>41698</v>
      </c>
      <c r="E74" s="670">
        <f>Arbeitszeit!U75*24</f>
        <v>0</v>
      </c>
      <c r="F74" s="397">
        <f t="shared" si="7"/>
        <v>0</v>
      </c>
      <c r="G74" s="178">
        <f>IF(Arbeitszeit!F75=Urlaub,B_WorkTime*24,)</f>
        <v>0</v>
      </c>
      <c r="H74" s="174"/>
      <c r="I74" s="178">
        <f>IF(Arbeitszeit!F75=Krank,B_WorkTime*24,)</f>
        <v>0</v>
      </c>
      <c r="J74" s="174"/>
      <c r="K74" s="179"/>
      <c r="L74" s="180"/>
      <c r="M74" s="656"/>
      <c r="N74" s="657"/>
      <c r="O74" s="656"/>
      <c r="P74" s="657"/>
      <c r="Q74" s="656"/>
      <c r="R74" s="657"/>
      <c r="S74" s="656"/>
      <c r="T74" s="657"/>
      <c r="U74" s="656"/>
      <c r="V74" s="657"/>
      <c r="W74" s="656"/>
      <c r="X74" s="657"/>
      <c r="Y74" s="656"/>
      <c r="Z74" s="657"/>
      <c r="AA74" s="656"/>
      <c r="AB74" s="657"/>
      <c r="AC74" s="656"/>
      <c r="AD74" s="657"/>
      <c r="AE74" s="656"/>
      <c r="AF74" s="658"/>
      <c r="AG74" s="656"/>
      <c r="AH74" s="658"/>
      <c r="AI74" s="656"/>
      <c r="AJ74" s="658"/>
      <c r="AK74" s="656"/>
      <c r="AL74" s="658"/>
      <c r="AM74" s="659"/>
      <c r="AN74" s="658"/>
      <c r="AO74" s="656"/>
      <c r="AP74" s="658"/>
      <c r="AQ74" s="659"/>
      <c r="AR74" s="658"/>
      <c r="AS74" s="658"/>
      <c r="AT74" s="658"/>
      <c r="AU74" s="659"/>
      <c r="AV74" s="658"/>
      <c r="AW74" s="658"/>
      <c r="AX74" s="181"/>
      <c r="AY74" s="177"/>
      <c r="AZ74">
        <f ca="1">INDIRECT(ADDRESS(ROW()+1,COLUMN(Arbeitszeit!xDay),,,"Arbeitszeit"))</f>
        <v>7</v>
      </c>
    </row>
    <row r="75" spans="1:52">
      <c r="A75" s="582">
        <f>Arbeitszeit!A76</f>
        <v>41709</v>
      </c>
      <c r="B75" s="583">
        <f t="shared" si="4"/>
        <v>41709</v>
      </c>
      <c r="C75" s="214">
        <f t="shared" si="5"/>
        <v>11</v>
      </c>
      <c r="D75" s="213">
        <f t="shared" si="6"/>
        <v>41698</v>
      </c>
      <c r="E75" s="670">
        <f>Arbeitszeit!U76*24</f>
        <v>0</v>
      </c>
      <c r="F75" s="397">
        <f t="shared" si="7"/>
        <v>0</v>
      </c>
      <c r="G75" s="178">
        <f>IF(Arbeitszeit!F76=Urlaub,B_WorkTime*24,)</f>
        <v>0</v>
      </c>
      <c r="H75" s="174"/>
      <c r="I75" s="178">
        <f>IF(Arbeitszeit!F76=Krank,B_WorkTime*24,)</f>
        <v>0</v>
      </c>
      <c r="J75" s="174"/>
      <c r="K75" s="179"/>
      <c r="L75" s="180"/>
      <c r="M75" s="656"/>
      <c r="N75" s="657"/>
      <c r="O75" s="656"/>
      <c r="P75" s="657"/>
      <c r="Q75" s="656"/>
      <c r="R75" s="657"/>
      <c r="S75" s="656"/>
      <c r="T75" s="657"/>
      <c r="U75" s="656"/>
      <c r="V75" s="657"/>
      <c r="W75" s="656"/>
      <c r="X75" s="657"/>
      <c r="Y75" s="656"/>
      <c r="Z75" s="657"/>
      <c r="AA75" s="656"/>
      <c r="AB75" s="657"/>
      <c r="AC75" s="656"/>
      <c r="AD75" s="657"/>
      <c r="AE75" s="656"/>
      <c r="AF75" s="658"/>
      <c r="AG75" s="656"/>
      <c r="AH75" s="658"/>
      <c r="AI75" s="656"/>
      <c r="AJ75" s="658"/>
      <c r="AK75" s="656"/>
      <c r="AL75" s="658"/>
      <c r="AM75" s="659"/>
      <c r="AN75" s="658"/>
      <c r="AO75" s="656"/>
      <c r="AP75" s="658"/>
      <c r="AQ75" s="659"/>
      <c r="AR75" s="658"/>
      <c r="AS75" s="658"/>
      <c r="AT75" s="658"/>
      <c r="AU75" s="659"/>
      <c r="AV75" s="658"/>
      <c r="AW75" s="658"/>
      <c r="AX75" s="181"/>
      <c r="AY75" s="177"/>
      <c r="AZ75">
        <f ca="1">INDIRECT(ADDRESS(ROW()+1,COLUMN(Arbeitszeit!xDay),,,"Arbeitszeit"))</f>
        <v>1</v>
      </c>
    </row>
    <row r="76" spans="1:52">
      <c r="A76" s="582">
        <f>Arbeitszeit!A77</f>
        <v>41710</v>
      </c>
      <c r="B76" s="583">
        <f t="shared" si="4"/>
        <v>41710</v>
      </c>
      <c r="C76" s="214">
        <f t="shared" si="5"/>
        <v>11</v>
      </c>
      <c r="D76" s="213">
        <f t="shared" si="6"/>
        <v>41698</v>
      </c>
      <c r="E76" s="670">
        <f>Arbeitszeit!U77*24</f>
        <v>0</v>
      </c>
      <c r="F76" s="397">
        <f t="shared" si="7"/>
        <v>0</v>
      </c>
      <c r="G76" s="178">
        <f>IF(Arbeitszeit!F77=Urlaub,B_WorkTime*24,)</f>
        <v>0</v>
      </c>
      <c r="H76" s="174"/>
      <c r="I76" s="178">
        <f>IF(Arbeitszeit!F77=Krank,B_WorkTime*24,)</f>
        <v>0</v>
      </c>
      <c r="J76" s="174"/>
      <c r="K76" s="179"/>
      <c r="L76" s="180"/>
      <c r="M76" s="656"/>
      <c r="N76" s="657"/>
      <c r="O76" s="656"/>
      <c r="P76" s="657"/>
      <c r="Q76" s="656"/>
      <c r="R76" s="657"/>
      <c r="S76" s="656"/>
      <c r="T76" s="657"/>
      <c r="U76" s="656"/>
      <c r="V76" s="657"/>
      <c r="W76" s="656"/>
      <c r="X76" s="657"/>
      <c r="Y76" s="656"/>
      <c r="Z76" s="657"/>
      <c r="AA76" s="656"/>
      <c r="AB76" s="657"/>
      <c r="AC76" s="656"/>
      <c r="AD76" s="657"/>
      <c r="AE76" s="656"/>
      <c r="AF76" s="658"/>
      <c r="AG76" s="656"/>
      <c r="AH76" s="658"/>
      <c r="AI76" s="656"/>
      <c r="AJ76" s="658"/>
      <c r="AK76" s="656"/>
      <c r="AL76" s="658"/>
      <c r="AM76" s="659"/>
      <c r="AN76" s="658"/>
      <c r="AO76" s="656"/>
      <c r="AP76" s="658"/>
      <c r="AQ76" s="659"/>
      <c r="AR76" s="658"/>
      <c r="AS76" s="658"/>
      <c r="AT76" s="658"/>
      <c r="AU76" s="659"/>
      <c r="AV76" s="658"/>
      <c r="AW76" s="658"/>
      <c r="AX76" s="181"/>
      <c r="AY76" s="177"/>
      <c r="AZ76">
        <f ca="1">INDIRECT(ADDRESS(ROW()+1,COLUMN(Arbeitszeit!xDay),,,"Arbeitszeit"))</f>
        <v>2</v>
      </c>
    </row>
    <row r="77" spans="1:52">
      <c r="A77" s="582">
        <f>Arbeitszeit!A78</f>
        <v>41711</v>
      </c>
      <c r="B77" s="583">
        <f t="shared" si="4"/>
        <v>41711</v>
      </c>
      <c r="C77" s="214">
        <f t="shared" si="5"/>
        <v>11</v>
      </c>
      <c r="D77" s="213">
        <f t="shared" si="6"/>
        <v>41698</v>
      </c>
      <c r="E77" s="670">
        <f>Arbeitszeit!U78*24</f>
        <v>0</v>
      </c>
      <c r="F77" s="397">
        <f t="shared" si="7"/>
        <v>0</v>
      </c>
      <c r="G77" s="178">
        <f>IF(Arbeitszeit!F78=Urlaub,B_WorkTime*24,)</f>
        <v>0</v>
      </c>
      <c r="H77" s="174"/>
      <c r="I77" s="178">
        <f>IF(Arbeitszeit!F78=Krank,B_WorkTime*24,)</f>
        <v>0</v>
      </c>
      <c r="J77" s="174"/>
      <c r="K77" s="179"/>
      <c r="L77" s="180"/>
      <c r="M77" s="656"/>
      <c r="N77" s="657"/>
      <c r="O77" s="656"/>
      <c r="P77" s="657"/>
      <c r="Q77" s="656"/>
      <c r="R77" s="657"/>
      <c r="S77" s="656"/>
      <c r="T77" s="657"/>
      <c r="U77" s="656"/>
      <c r="V77" s="657"/>
      <c r="W77" s="656"/>
      <c r="X77" s="657"/>
      <c r="Y77" s="656"/>
      <c r="Z77" s="657"/>
      <c r="AA77" s="656"/>
      <c r="AB77" s="657"/>
      <c r="AC77" s="656"/>
      <c r="AD77" s="657"/>
      <c r="AE77" s="656"/>
      <c r="AF77" s="658"/>
      <c r="AG77" s="656"/>
      <c r="AH77" s="658"/>
      <c r="AI77" s="656"/>
      <c r="AJ77" s="658"/>
      <c r="AK77" s="656"/>
      <c r="AL77" s="658"/>
      <c r="AM77" s="659"/>
      <c r="AN77" s="658"/>
      <c r="AO77" s="656"/>
      <c r="AP77" s="658"/>
      <c r="AQ77" s="659"/>
      <c r="AR77" s="658"/>
      <c r="AS77" s="658"/>
      <c r="AT77" s="658"/>
      <c r="AU77" s="659"/>
      <c r="AV77" s="658"/>
      <c r="AW77" s="658"/>
      <c r="AX77" s="181"/>
      <c r="AY77" s="177"/>
      <c r="AZ77">
        <f ca="1">INDIRECT(ADDRESS(ROW()+1,COLUMN(Arbeitszeit!xDay),,,"Arbeitszeit"))</f>
        <v>3</v>
      </c>
    </row>
    <row r="78" spans="1:52" s="5" customFormat="1">
      <c r="A78" s="582">
        <f>Arbeitszeit!A79</f>
        <v>41712</v>
      </c>
      <c r="B78" s="583">
        <f t="shared" si="4"/>
        <v>41712</v>
      </c>
      <c r="C78" s="214">
        <f t="shared" si="5"/>
        <v>11</v>
      </c>
      <c r="D78" s="213">
        <f t="shared" si="6"/>
        <v>41698</v>
      </c>
      <c r="E78" s="670">
        <f>Arbeitszeit!U79*24</f>
        <v>0</v>
      </c>
      <c r="F78" s="397">
        <f t="shared" si="7"/>
        <v>0</v>
      </c>
      <c r="G78" s="178">
        <f>IF(Arbeitszeit!F79=Urlaub,B_WorkTime*24,)</f>
        <v>0</v>
      </c>
      <c r="H78" s="174"/>
      <c r="I78" s="178">
        <f>IF(Arbeitszeit!F79=Krank,B_WorkTime*24,)</f>
        <v>0</v>
      </c>
      <c r="J78" s="174"/>
      <c r="K78" s="179"/>
      <c r="L78" s="180"/>
      <c r="M78" s="656"/>
      <c r="N78" s="657"/>
      <c r="O78" s="656"/>
      <c r="P78" s="657"/>
      <c r="Q78" s="656"/>
      <c r="R78" s="657"/>
      <c r="S78" s="656"/>
      <c r="T78" s="657"/>
      <c r="U78" s="656"/>
      <c r="V78" s="657"/>
      <c r="W78" s="656"/>
      <c r="X78" s="657"/>
      <c r="Y78" s="656"/>
      <c r="Z78" s="657"/>
      <c r="AA78" s="656"/>
      <c r="AB78" s="657"/>
      <c r="AC78" s="656"/>
      <c r="AD78" s="657"/>
      <c r="AE78" s="656"/>
      <c r="AF78" s="658"/>
      <c r="AG78" s="656"/>
      <c r="AH78" s="658"/>
      <c r="AI78" s="656"/>
      <c r="AJ78" s="658"/>
      <c r="AK78" s="656"/>
      <c r="AL78" s="658"/>
      <c r="AM78" s="659"/>
      <c r="AN78" s="658"/>
      <c r="AO78" s="656"/>
      <c r="AP78" s="658"/>
      <c r="AQ78" s="659"/>
      <c r="AR78" s="658"/>
      <c r="AS78" s="658"/>
      <c r="AT78" s="658"/>
      <c r="AU78" s="659"/>
      <c r="AV78" s="658"/>
      <c r="AW78" s="658"/>
      <c r="AX78" s="181"/>
      <c r="AY78" s="177"/>
      <c r="AZ78">
        <f ca="1">INDIRECT(ADDRESS(ROW()+1,COLUMN(Arbeitszeit!xDay),,,"Arbeitszeit"))</f>
        <v>4</v>
      </c>
    </row>
    <row r="79" spans="1:52">
      <c r="A79" s="582">
        <f>Arbeitszeit!A80</f>
        <v>41713</v>
      </c>
      <c r="B79" s="583">
        <f t="shared" si="4"/>
        <v>41713</v>
      </c>
      <c r="C79" s="214">
        <f t="shared" si="5"/>
        <v>11</v>
      </c>
      <c r="D79" s="213">
        <f t="shared" si="6"/>
        <v>41698</v>
      </c>
      <c r="E79" s="670">
        <f>Arbeitszeit!U80*24</f>
        <v>0</v>
      </c>
      <c r="F79" s="397">
        <f t="shared" si="7"/>
        <v>0</v>
      </c>
      <c r="G79" s="178">
        <f>IF(Arbeitszeit!F80=Urlaub,B_WorkTime*24,)</f>
        <v>0</v>
      </c>
      <c r="H79" s="174"/>
      <c r="I79" s="178">
        <f>IF(Arbeitszeit!F80=Krank,B_WorkTime*24,)</f>
        <v>0</v>
      </c>
      <c r="J79" s="174"/>
      <c r="K79" s="179"/>
      <c r="L79" s="180"/>
      <c r="M79" s="656"/>
      <c r="N79" s="657"/>
      <c r="O79" s="656"/>
      <c r="P79" s="657"/>
      <c r="Q79" s="656"/>
      <c r="R79" s="657"/>
      <c r="S79" s="656"/>
      <c r="T79" s="657"/>
      <c r="U79" s="656"/>
      <c r="V79" s="657"/>
      <c r="W79" s="656"/>
      <c r="X79" s="657"/>
      <c r="Y79" s="656"/>
      <c r="Z79" s="657"/>
      <c r="AA79" s="656"/>
      <c r="AB79" s="657"/>
      <c r="AC79" s="656"/>
      <c r="AD79" s="657"/>
      <c r="AE79" s="656"/>
      <c r="AF79" s="658"/>
      <c r="AG79" s="656"/>
      <c r="AH79" s="658"/>
      <c r="AI79" s="656"/>
      <c r="AJ79" s="658"/>
      <c r="AK79" s="656"/>
      <c r="AL79" s="658"/>
      <c r="AM79" s="659"/>
      <c r="AN79" s="658"/>
      <c r="AO79" s="656"/>
      <c r="AP79" s="658"/>
      <c r="AQ79" s="659"/>
      <c r="AR79" s="658"/>
      <c r="AS79" s="658"/>
      <c r="AT79" s="658"/>
      <c r="AU79" s="659"/>
      <c r="AV79" s="658"/>
      <c r="AW79" s="658"/>
      <c r="AX79" s="181"/>
      <c r="AY79" s="177"/>
      <c r="AZ79">
        <f ca="1">INDIRECT(ADDRESS(ROW()+1,COLUMN(Arbeitszeit!xDay),,,"Arbeitszeit"))</f>
        <v>5</v>
      </c>
    </row>
    <row r="80" spans="1:52">
      <c r="A80" s="582">
        <f>Arbeitszeit!A81</f>
        <v>41714</v>
      </c>
      <c r="B80" s="583">
        <f t="shared" si="4"/>
        <v>41714</v>
      </c>
      <c r="C80" s="214">
        <f t="shared" si="5"/>
        <v>11</v>
      </c>
      <c r="D80" s="213">
        <f t="shared" si="6"/>
        <v>41698</v>
      </c>
      <c r="E80" s="670">
        <f>Arbeitszeit!U81*24</f>
        <v>0</v>
      </c>
      <c r="F80" s="397">
        <f t="shared" si="7"/>
        <v>0</v>
      </c>
      <c r="G80" s="178">
        <f>IF(Arbeitszeit!F81=Urlaub,B_WorkTime*24,)</f>
        <v>0</v>
      </c>
      <c r="H80" s="174"/>
      <c r="I80" s="178">
        <f>IF(Arbeitszeit!F81=Krank,B_WorkTime*24,)</f>
        <v>0</v>
      </c>
      <c r="J80" s="174"/>
      <c r="K80" s="179"/>
      <c r="L80" s="180"/>
      <c r="M80" s="656"/>
      <c r="N80" s="657"/>
      <c r="O80" s="656"/>
      <c r="P80" s="657"/>
      <c r="Q80" s="656"/>
      <c r="R80" s="657"/>
      <c r="S80" s="656"/>
      <c r="T80" s="657"/>
      <c r="U80" s="656"/>
      <c r="V80" s="657"/>
      <c r="W80" s="656"/>
      <c r="X80" s="657"/>
      <c r="Y80" s="656"/>
      <c r="Z80" s="657"/>
      <c r="AA80" s="656"/>
      <c r="AB80" s="657"/>
      <c r="AC80" s="656"/>
      <c r="AD80" s="657"/>
      <c r="AE80" s="656"/>
      <c r="AF80" s="658"/>
      <c r="AG80" s="656"/>
      <c r="AH80" s="658"/>
      <c r="AI80" s="656"/>
      <c r="AJ80" s="658"/>
      <c r="AK80" s="656"/>
      <c r="AL80" s="658"/>
      <c r="AM80" s="659"/>
      <c r="AN80" s="658"/>
      <c r="AO80" s="656"/>
      <c r="AP80" s="658"/>
      <c r="AQ80" s="659"/>
      <c r="AR80" s="658"/>
      <c r="AS80" s="658"/>
      <c r="AT80" s="658"/>
      <c r="AU80" s="659"/>
      <c r="AV80" s="658"/>
      <c r="AW80" s="658"/>
      <c r="AX80" s="181"/>
      <c r="AY80" s="177"/>
      <c r="AZ80">
        <f ca="1">INDIRECT(ADDRESS(ROW()+1,COLUMN(Arbeitszeit!xDay),,,"Arbeitszeit"))</f>
        <v>6</v>
      </c>
    </row>
    <row r="81" spans="1:52">
      <c r="A81" s="582">
        <f>Arbeitszeit!A82</f>
        <v>41715</v>
      </c>
      <c r="B81" s="583">
        <f t="shared" si="4"/>
        <v>41715</v>
      </c>
      <c r="C81" s="214">
        <f t="shared" si="5"/>
        <v>11</v>
      </c>
      <c r="D81" s="213">
        <f t="shared" si="6"/>
        <v>41698</v>
      </c>
      <c r="E81" s="670">
        <f>Arbeitszeit!U82*24</f>
        <v>0</v>
      </c>
      <c r="F81" s="397">
        <f t="shared" si="7"/>
        <v>0</v>
      </c>
      <c r="G81" s="178">
        <f>IF(Arbeitszeit!F82=Urlaub,B_WorkTime*24,)</f>
        <v>0</v>
      </c>
      <c r="H81" s="174"/>
      <c r="I81" s="178">
        <f>IF(Arbeitszeit!F82=Krank,B_WorkTime*24,)</f>
        <v>0</v>
      </c>
      <c r="J81" s="174"/>
      <c r="K81" s="179"/>
      <c r="L81" s="180"/>
      <c r="M81" s="656"/>
      <c r="N81" s="657"/>
      <c r="O81" s="656"/>
      <c r="P81" s="657"/>
      <c r="Q81" s="656"/>
      <c r="R81" s="657"/>
      <c r="S81" s="656"/>
      <c r="T81" s="657"/>
      <c r="U81" s="656"/>
      <c r="V81" s="657"/>
      <c r="W81" s="656"/>
      <c r="X81" s="657"/>
      <c r="Y81" s="656"/>
      <c r="Z81" s="657"/>
      <c r="AA81" s="656"/>
      <c r="AB81" s="657"/>
      <c r="AC81" s="656"/>
      <c r="AD81" s="657"/>
      <c r="AE81" s="656"/>
      <c r="AF81" s="658"/>
      <c r="AG81" s="656"/>
      <c r="AH81" s="658"/>
      <c r="AI81" s="656"/>
      <c r="AJ81" s="658"/>
      <c r="AK81" s="656"/>
      <c r="AL81" s="658"/>
      <c r="AM81" s="659"/>
      <c r="AN81" s="658"/>
      <c r="AO81" s="656"/>
      <c r="AP81" s="658"/>
      <c r="AQ81" s="659"/>
      <c r="AR81" s="658"/>
      <c r="AS81" s="658"/>
      <c r="AT81" s="658"/>
      <c r="AU81" s="659"/>
      <c r="AV81" s="658"/>
      <c r="AW81" s="658"/>
      <c r="AX81" s="181"/>
      <c r="AY81" s="177"/>
      <c r="AZ81">
        <f ca="1">INDIRECT(ADDRESS(ROW()+1,COLUMN(Arbeitszeit!xDay),,,"Arbeitszeit"))</f>
        <v>7</v>
      </c>
    </row>
    <row r="82" spans="1:52">
      <c r="A82" s="582">
        <f>Arbeitszeit!A83</f>
        <v>41716</v>
      </c>
      <c r="B82" s="583">
        <f t="shared" si="4"/>
        <v>41716</v>
      </c>
      <c r="C82" s="214">
        <f t="shared" si="5"/>
        <v>12</v>
      </c>
      <c r="D82" s="213">
        <f t="shared" si="6"/>
        <v>41698</v>
      </c>
      <c r="E82" s="670">
        <f>Arbeitszeit!U83*24</f>
        <v>0</v>
      </c>
      <c r="F82" s="397">
        <f t="shared" si="7"/>
        <v>0</v>
      </c>
      <c r="G82" s="178">
        <f>IF(Arbeitszeit!F83=Urlaub,B_WorkTime*24,)</f>
        <v>0</v>
      </c>
      <c r="H82" s="174"/>
      <c r="I82" s="178">
        <f>IF(Arbeitszeit!F83=Krank,B_WorkTime*24,)</f>
        <v>0</v>
      </c>
      <c r="J82" s="174"/>
      <c r="K82" s="179"/>
      <c r="L82" s="180"/>
      <c r="M82" s="656"/>
      <c r="N82" s="657"/>
      <c r="O82" s="656"/>
      <c r="P82" s="657"/>
      <c r="Q82" s="656"/>
      <c r="R82" s="657"/>
      <c r="S82" s="656"/>
      <c r="T82" s="657"/>
      <c r="U82" s="656"/>
      <c r="V82" s="657"/>
      <c r="W82" s="656"/>
      <c r="X82" s="657"/>
      <c r="Y82" s="656"/>
      <c r="Z82" s="657"/>
      <c r="AA82" s="656"/>
      <c r="AB82" s="657"/>
      <c r="AC82" s="656"/>
      <c r="AD82" s="657"/>
      <c r="AE82" s="656"/>
      <c r="AF82" s="658"/>
      <c r="AG82" s="656"/>
      <c r="AH82" s="658"/>
      <c r="AI82" s="656"/>
      <c r="AJ82" s="658"/>
      <c r="AK82" s="656"/>
      <c r="AL82" s="658"/>
      <c r="AM82" s="659"/>
      <c r="AN82" s="658"/>
      <c r="AO82" s="656"/>
      <c r="AP82" s="658"/>
      <c r="AQ82" s="659"/>
      <c r="AR82" s="658"/>
      <c r="AS82" s="658"/>
      <c r="AT82" s="658"/>
      <c r="AU82" s="659"/>
      <c r="AV82" s="658"/>
      <c r="AW82" s="658"/>
      <c r="AX82" s="181"/>
      <c r="AY82" s="177"/>
      <c r="AZ82">
        <f ca="1">INDIRECT(ADDRESS(ROW()+1,COLUMN(Arbeitszeit!xDay),,,"Arbeitszeit"))</f>
        <v>1</v>
      </c>
    </row>
    <row r="83" spans="1:52">
      <c r="A83" s="582">
        <f>Arbeitszeit!A84</f>
        <v>41717</v>
      </c>
      <c r="B83" s="583">
        <f t="shared" si="4"/>
        <v>41717</v>
      </c>
      <c r="C83" s="214">
        <f t="shared" si="5"/>
        <v>12</v>
      </c>
      <c r="D83" s="213">
        <f t="shared" si="6"/>
        <v>41698</v>
      </c>
      <c r="E83" s="670">
        <f>Arbeitszeit!U84*24</f>
        <v>0</v>
      </c>
      <c r="F83" s="397">
        <f t="shared" si="7"/>
        <v>0</v>
      </c>
      <c r="G83" s="178">
        <f>IF(Arbeitszeit!F84=Urlaub,B_WorkTime*24,)</f>
        <v>0</v>
      </c>
      <c r="H83" s="174"/>
      <c r="I83" s="178">
        <f>IF(Arbeitszeit!F84=Krank,B_WorkTime*24,)</f>
        <v>0</v>
      </c>
      <c r="J83" s="174"/>
      <c r="K83" s="179"/>
      <c r="L83" s="180"/>
      <c r="M83" s="656"/>
      <c r="N83" s="657"/>
      <c r="O83" s="656"/>
      <c r="P83" s="657"/>
      <c r="Q83" s="656"/>
      <c r="R83" s="657"/>
      <c r="S83" s="656"/>
      <c r="T83" s="657"/>
      <c r="U83" s="656"/>
      <c r="V83" s="657"/>
      <c r="W83" s="656"/>
      <c r="X83" s="657"/>
      <c r="Y83" s="656"/>
      <c r="Z83" s="657"/>
      <c r="AA83" s="656"/>
      <c r="AB83" s="657"/>
      <c r="AC83" s="656"/>
      <c r="AD83" s="657"/>
      <c r="AE83" s="656"/>
      <c r="AF83" s="658"/>
      <c r="AG83" s="656"/>
      <c r="AH83" s="658"/>
      <c r="AI83" s="656"/>
      <c r="AJ83" s="658"/>
      <c r="AK83" s="656"/>
      <c r="AL83" s="658"/>
      <c r="AM83" s="659"/>
      <c r="AN83" s="658"/>
      <c r="AO83" s="656"/>
      <c r="AP83" s="658"/>
      <c r="AQ83" s="659"/>
      <c r="AR83" s="658"/>
      <c r="AS83" s="658"/>
      <c r="AT83" s="658"/>
      <c r="AU83" s="659"/>
      <c r="AV83" s="658"/>
      <c r="AW83" s="658"/>
      <c r="AX83" s="181"/>
      <c r="AY83" s="177"/>
      <c r="AZ83">
        <f ca="1">INDIRECT(ADDRESS(ROW()+1,COLUMN(Arbeitszeit!xDay),,,"Arbeitszeit"))</f>
        <v>2</v>
      </c>
    </row>
    <row r="84" spans="1:52">
      <c r="A84" s="582">
        <f>Arbeitszeit!A85</f>
        <v>41718</v>
      </c>
      <c r="B84" s="583">
        <f t="shared" si="4"/>
        <v>41718</v>
      </c>
      <c r="C84" s="214">
        <f t="shared" si="5"/>
        <v>12</v>
      </c>
      <c r="D84" s="213">
        <f t="shared" si="6"/>
        <v>41698</v>
      </c>
      <c r="E84" s="670">
        <f>Arbeitszeit!U85*24</f>
        <v>0</v>
      </c>
      <c r="F84" s="397">
        <f t="shared" si="7"/>
        <v>0</v>
      </c>
      <c r="G84" s="178">
        <f>IF(Arbeitszeit!F85=Urlaub,B_WorkTime*24,)</f>
        <v>0</v>
      </c>
      <c r="H84" s="174"/>
      <c r="I84" s="178">
        <f>IF(Arbeitszeit!F85=Krank,B_WorkTime*24,)</f>
        <v>0</v>
      </c>
      <c r="J84" s="174"/>
      <c r="K84" s="179"/>
      <c r="L84" s="180"/>
      <c r="M84" s="656"/>
      <c r="N84" s="657"/>
      <c r="O84" s="656"/>
      <c r="P84" s="657"/>
      <c r="Q84" s="656"/>
      <c r="R84" s="657"/>
      <c r="S84" s="656"/>
      <c r="T84" s="657"/>
      <c r="U84" s="656"/>
      <c r="V84" s="657"/>
      <c r="W84" s="656"/>
      <c r="X84" s="657"/>
      <c r="Y84" s="656"/>
      <c r="Z84" s="657"/>
      <c r="AA84" s="656"/>
      <c r="AB84" s="657"/>
      <c r="AC84" s="656"/>
      <c r="AD84" s="657"/>
      <c r="AE84" s="656"/>
      <c r="AF84" s="658"/>
      <c r="AG84" s="656"/>
      <c r="AH84" s="658"/>
      <c r="AI84" s="656"/>
      <c r="AJ84" s="658"/>
      <c r="AK84" s="656"/>
      <c r="AL84" s="658"/>
      <c r="AM84" s="659"/>
      <c r="AN84" s="658"/>
      <c r="AO84" s="656"/>
      <c r="AP84" s="658"/>
      <c r="AQ84" s="659"/>
      <c r="AR84" s="658"/>
      <c r="AS84" s="658"/>
      <c r="AT84" s="658"/>
      <c r="AU84" s="659"/>
      <c r="AV84" s="658"/>
      <c r="AW84" s="658"/>
      <c r="AX84" s="181"/>
      <c r="AY84" s="177"/>
      <c r="AZ84">
        <f ca="1">INDIRECT(ADDRESS(ROW()+1,COLUMN(Arbeitszeit!xDay),,,"Arbeitszeit"))</f>
        <v>3</v>
      </c>
    </row>
    <row r="85" spans="1:52">
      <c r="A85" s="582">
        <f>Arbeitszeit!A86</f>
        <v>41719</v>
      </c>
      <c r="B85" s="583">
        <f t="shared" si="4"/>
        <v>41719</v>
      </c>
      <c r="C85" s="214">
        <f t="shared" si="5"/>
        <v>12</v>
      </c>
      <c r="D85" s="213">
        <f t="shared" si="6"/>
        <v>41698</v>
      </c>
      <c r="E85" s="670">
        <f>Arbeitszeit!U86*24</f>
        <v>0</v>
      </c>
      <c r="F85" s="397">
        <f t="shared" si="7"/>
        <v>0</v>
      </c>
      <c r="G85" s="178">
        <f>IF(Arbeitszeit!F86=Urlaub,B_WorkTime*24,)</f>
        <v>0</v>
      </c>
      <c r="H85" s="174"/>
      <c r="I85" s="178">
        <f>IF(Arbeitszeit!F86=Krank,B_WorkTime*24,)</f>
        <v>0</v>
      </c>
      <c r="J85" s="174"/>
      <c r="K85" s="179"/>
      <c r="L85" s="180"/>
      <c r="M85" s="656"/>
      <c r="N85" s="657"/>
      <c r="O85" s="656"/>
      <c r="P85" s="657"/>
      <c r="Q85" s="656"/>
      <c r="R85" s="657"/>
      <c r="S85" s="656"/>
      <c r="T85" s="657"/>
      <c r="U85" s="656"/>
      <c r="V85" s="657"/>
      <c r="W85" s="656"/>
      <c r="X85" s="657"/>
      <c r="Y85" s="656"/>
      <c r="Z85" s="657"/>
      <c r="AA85" s="656"/>
      <c r="AB85" s="657"/>
      <c r="AC85" s="656"/>
      <c r="AD85" s="657"/>
      <c r="AE85" s="656"/>
      <c r="AF85" s="658"/>
      <c r="AG85" s="656"/>
      <c r="AH85" s="658"/>
      <c r="AI85" s="656"/>
      <c r="AJ85" s="658"/>
      <c r="AK85" s="656"/>
      <c r="AL85" s="658"/>
      <c r="AM85" s="659"/>
      <c r="AN85" s="658"/>
      <c r="AO85" s="656"/>
      <c r="AP85" s="658"/>
      <c r="AQ85" s="659"/>
      <c r="AR85" s="658"/>
      <c r="AS85" s="658"/>
      <c r="AT85" s="658"/>
      <c r="AU85" s="659"/>
      <c r="AV85" s="658"/>
      <c r="AW85" s="658"/>
      <c r="AX85" s="181"/>
      <c r="AY85" s="177"/>
      <c r="AZ85">
        <f ca="1">INDIRECT(ADDRESS(ROW()+1,COLUMN(Arbeitszeit!xDay),,,"Arbeitszeit"))</f>
        <v>4</v>
      </c>
    </row>
    <row r="86" spans="1:52">
      <c r="A86" s="582">
        <f>Arbeitszeit!A87</f>
        <v>41720</v>
      </c>
      <c r="B86" s="583">
        <f t="shared" si="4"/>
        <v>41720</v>
      </c>
      <c r="C86" s="214">
        <f t="shared" si="5"/>
        <v>12</v>
      </c>
      <c r="D86" s="213">
        <f t="shared" si="6"/>
        <v>41698</v>
      </c>
      <c r="E86" s="670">
        <f>Arbeitszeit!U87*24</f>
        <v>0</v>
      </c>
      <c r="F86" s="397">
        <f t="shared" si="7"/>
        <v>0</v>
      </c>
      <c r="G86" s="178">
        <f>IF(Arbeitszeit!F87=Urlaub,B_WorkTime*24,)</f>
        <v>0</v>
      </c>
      <c r="H86" s="174"/>
      <c r="I86" s="178">
        <f>IF(Arbeitszeit!F87=Krank,B_WorkTime*24,)</f>
        <v>0</v>
      </c>
      <c r="J86" s="174"/>
      <c r="K86" s="179"/>
      <c r="L86" s="180"/>
      <c r="M86" s="656"/>
      <c r="N86" s="657"/>
      <c r="O86" s="656"/>
      <c r="P86" s="657"/>
      <c r="Q86" s="656"/>
      <c r="R86" s="657"/>
      <c r="S86" s="656"/>
      <c r="T86" s="657"/>
      <c r="U86" s="656"/>
      <c r="V86" s="657"/>
      <c r="W86" s="656"/>
      <c r="X86" s="657"/>
      <c r="Y86" s="656"/>
      <c r="Z86" s="657"/>
      <c r="AA86" s="656"/>
      <c r="AB86" s="657"/>
      <c r="AC86" s="656"/>
      <c r="AD86" s="657"/>
      <c r="AE86" s="656"/>
      <c r="AF86" s="658"/>
      <c r="AG86" s="656"/>
      <c r="AH86" s="658"/>
      <c r="AI86" s="656"/>
      <c r="AJ86" s="658"/>
      <c r="AK86" s="656"/>
      <c r="AL86" s="658"/>
      <c r="AM86" s="659"/>
      <c r="AN86" s="658"/>
      <c r="AO86" s="656"/>
      <c r="AP86" s="658"/>
      <c r="AQ86" s="659"/>
      <c r="AR86" s="658"/>
      <c r="AS86" s="658"/>
      <c r="AT86" s="658"/>
      <c r="AU86" s="659"/>
      <c r="AV86" s="658"/>
      <c r="AW86" s="658"/>
      <c r="AX86" s="181"/>
      <c r="AY86" s="177"/>
      <c r="AZ86">
        <f ca="1">INDIRECT(ADDRESS(ROW()+1,COLUMN(Arbeitszeit!xDay),,,"Arbeitszeit"))</f>
        <v>5</v>
      </c>
    </row>
    <row r="87" spans="1:52">
      <c r="A87" s="582">
        <f>Arbeitszeit!A88</f>
        <v>41721</v>
      </c>
      <c r="B87" s="583">
        <f t="shared" si="4"/>
        <v>41721</v>
      </c>
      <c r="C87" s="214">
        <f t="shared" si="5"/>
        <v>12</v>
      </c>
      <c r="D87" s="213">
        <f t="shared" si="6"/>
        <v>41698</v>
      </c>
      <c r="E87" s="670">
        <f>Arbeitszeit!U88*24</f>
        <v>0</v>
      </c>
      <c r="F87" s="397">
        <f t="shared" si="7"/>
        <v>0</v>
      </c>
      <c r="G87" s="178">
        <f>IF(Arbeitszeit!F88=Urlaub,B_WorkTime*24,)</f>
        <v>0</v>
      </c>
      <c r="H87" s="174"/>
      <c r="I87" s="178">
        <f>IF(Arbeitszeit!F88=Krank,B_WorkTime*24,)</f>
        <v>0</v>
      </c>
      <c r="J87" s="174"/>
      <c r="K87" s="179"/>
      <c r="L87" s="180"/>
      <c r="M87" s="656"/>
      <c r="N87" s="657"/>
      <c r="O87" s="656"/>
      <c r="P87" s="657"/>
      <c r="Q87" s="656"/>
      <c r="R87" s="657"/>
      <c r="S87" s="656"/>
      <c r="T87" s="657"/>
      <c r="U87" s="656"/>
      <c r="V87" s="657"/>
      <c r="W87" s="656"/>
      <c r="X87" s="657"/>
      <c r="Y87" s="656"/>
      <c r="Z87" s="657"/>
      <c r="AA87" s="656"/>
      <c r="AB87" s="657"/>
      <c r="AC87" s="656"/>
      <c r="AD87" s="657"/>
      <c r="AE87" s="656"/>
      <c r="AF87" s="658"/>
      <c r="AG87" s="656"/>
      <c r="AH87" s="658"/>
      <c r="AI87" s="656"/>
      <c r="AJ87" s="658"/>
      <c r="AK87" s="656"/>
      <c r="AL87" s="658"/>
      <c r="AM87" s="659"/>
      <c r="AN87" s="658"/>
      <c r="AO87" s="656"/>
      <c r="AP87" s="658"/>
      <c r="AQ87" s="659"/>
      <c r="AR87" s="658"/>
      <c r="AS87" s="658"/>
      <c r="AT87" s="658"/>
      <c r="AU87" s="659"/>
      <c r="AV87" s="658"/>
      <c r="AW87" s="658"/>
      <c r="AX87" s="181"/>
      <c r="AY87" s="177"/>
      <c r="AZ87">
        <f ca="1">INDIRECT(ADDRESS(ROW()+1,COLUMN(Arbeitszeit!xDay),,,"Arbeitszeit"))</f>
        <v>6</v>
      </c>
    </row>
    <row r="88" spans="1:52">
      <c r="A88" s="582">
        <f>Arbeitszeit!A89</f>
        <v>41722</v>
      </c>
      <c r="B88" s="583">
        <f t="shared" si="4"/>
        <v>41722</v>
      </c>
      <c r="C88" s="214">
        <f t="shared" si="5"/>
        <v>12</v>
      </c>
      <c r="D88" s="213">
        <f t="shared" si="6"/>
        <v>41698</v>
      </c>
      <c r="E88" s="670">
        <f>Arbeitszeit!U89*24</f>
        <v>0</v>
      </c>
      <c r="F88" s="397">
        <f t="shared" si="7"/>
        <v>0</v>
      </c>
      <c r="G88" s="178">
        <f>IF(Arbeitszeit!F89=Urlaub,B_WorkTime*24,)</f>
        <v>0</v>
      </c>
      <c r="H88" s="174"/>
      <c r="I88" s="178">
        <f>IF(Arbeitszeit!F89=Krank,B_WorkTime*24,)</f>
        <v>0</v>
      </c>
      <c r="J88" s="174"/>
      <c r="K88" s="179"/>
      <c r="L88" s="180"/>
      <c r="M88" s="656"/>
      <c r="N88" s="657"/>
      <c r="O88" s="656"/>
      <c r="P88" s="657"/>
      <c r="Q88" s="656"/>
      <c r="R88" s="657"/>
      <c r="S88" s="656"/>
      <c r="T88" s="657"/>
      <c r="U88" s="656"/>
      <c r="V88" s="657"/>
      <c r="W88" s="656"/>
      <c r="X88" s="657"/>
      <c r="Y88" s="656"/>
      <c r="Z88" s="657"/>
      <c r="AA88" s="656"/>
      <c r="AB88" s="657"/>
      <c r="AC88" s="656"/>
      <c r="AD88" s="657"/>
      <c r="AE88" s="656"/>
      <c r="AF88" s="658"/>
      <c r="AG88" s="656"/>
      <c r="AH88" s="658"/>
      <c r="AI88" s="656"/>
      <c r="AJ88" s="658"/>
      <c r="AK88" s="656"/>
      <c r="AL88" s="658"/>
      <c r="AM88" s="659"/>
      <c r="AN88" s="658"/>
      <c r="AO88" s="656"/>
      <c r="AP88" s="658"/>
      <c r="AQ88" s="659"/>
      <c r="AR88" s="658"/>
      <c r="AS88" s="658"/>
      <c r="AT88" s="658"/>
      <c r="AU88" s="659"/>
      <c r="AV88" s="658"/>
      <c r="AW88" s="658"/>
      <c r="AX88" s="181"/>
      <c r="AY88" s="177"/>
      <c r="AZ88">
        <f ca="1">INDIRECT(ADDRESS(ROW()+1,COLUMN(Arbeitszeit!xDay),,,"Arbeitszeit"))</f>
        <v>7</v>
      </c>
    </row>
    <row r="89" spans="1:52">
      <c r="A89" s="582">
        <f>Arbeitszeit!A90</f>
        <v>41723</v>
      </c>
      <c r="B89" s="583">
        <f t="shared" si="4"/>
        <v>41723</v>
      </c>
      <c r="C89" s="214">
        <f t="shared" si="5"/>
        <v>13</v>
      </c>
      <c r="D89" s="213">
        <f t="shared" si="6"/>
        <v>41698</v>
      </c>
      <c r="E89" s="670">
        <f>Arbeitszeit!U90*24</f>
        <v>0</v>
      </c>
      <c r="F89" s="397">
        <f t="shared" si="7"/>
        <v>0</v>
      </c>
      <c r="G89" s="178">
        <f>IF(Arbeitszeit!F90=Urlaub,B_WorkTime*24,)</f>
        <v>0</v>
      </c>
      <c r="H89" s="174"/>
      <c r="I89" s="178">
        <f>IF(Arbeitszeit!F90=Krank,B_WorkTime*24,)</f>
        <v>0</v>
      </c>
      <c r="J89" s="174"/>
      <c r="K89" s="179"/>
      <c r="L89" s="180"/>
      <c r="M89" s="656"/>
      <c r="N89" s="657"/>
      <c r="O89" s="656"/>
      <c r="P89" s="657"/>
      <c r="Q89" s="656"/>
      <c r="R89" s="657"/>
      <c r="S89" s="656"/>
      <c r="T89" s="657"/>
      <c r="U89" s="656"/>
      <c r="V89" s="657"/>
      <c r="W89" s="656"/>
      <c r="X89" s="657"/>
      <c r="Y89" s="656"/>
      <c r="Z89" s="657"/>
      <c r="AA89" s="656"/>
      <c r="AB89" s="657"/>
      <c r="AC89" s="656"/>
      <c r="AD89" s="657"/>
      <c r="AE89" s="656"/>
      <c r="AF89" s="658"/>
      <c r="AG89" s="656"/>
      <c r="AH89" s="658"/>
      <c r="AI89" s="656"/>
      <c r="AJ89" s="658"/>
      <c r="AK89" s="656"/>
      <c r="AL89" s="658"/>
      <c r="AM89" s="659"/>
      <c r="AN89" s="658"/>
      <c r="AO89" s="656"/>
      <c r="AP89" s="658"/>
      <c r="AQ89" s="659"/>
      <c r="AR89" s="658"/>
      <c r="AS89" s="658"/>
      <c r="AT89" s="658"/>
      <c r="AU89" s="659"/>
      <c r="AV89" s="658"/>
      <c r="AW89" s="658"/>
      <c r="AX89" s="181"/>
      <c r="AY89" s="177"/>
      <c r="AZ89">
        <f ca="1">INDIRECT(ADDRESS(ROW()+1,COLUMN(Arbeitszeit!xDay),,,"Arbeitszeit"))</f>
        <v>1</v>
      </c>
    </row>
    <row r="90" spans="1:52">
      <c r="A90" s="582">
        <f>Arbeitszeit!A91</f>
        <v>41724</v>
      </c>
      <c r="B90" s="583">
        <f t="shared" si="4"/>
        <v>41724</v>
      </c>
      <c r="C90" s="214">
        <f t="shared" si="5"/>
        <v>13</v>
      </c>
      <c r="D90" s="213">
        <f t="shared" si="6"/>
        <v>41698</v>
      </c>
      <c r="E90" s="670">
        <f>Arbeitszeit!U91*24</f>
        <v>0</v>
      </c>
      <c r="F90" s="397">
        <f t="shared" si="7"/>
        <v>0</v>
      </c>
      <c r="G90" s="178">
        <f>IF(Arbeitszeit!F91=Urlaub,B_WorkTime*24,)</f>
        <v>0</v>
      </c>
      <c r="H90" s="174"/>
      <c r="I90" s="178">
        <f>IF(Arbeitszeit!F91=Krank,B_WorkTime*24,)</f>
        <v>0</v>
      </c>
      <c r="J90" s="174"/>
      <c r="K90" s="179"/>
      <c r="L90" s="180"/>
      <c r="M90" s="656"/>
      <c r="N90" s="657"/>
      <c r="O90" s="656"/>
      <c r="P90" s="657"/>
      <c r="Q90" s="656"/>
      <c r="R90" s="657"/>
      <c r="S90" s="656"/>
      <c r="T90" s="657"/>
      <c r="U90" s="656"/>
      <c r="V90" s="657"/>
      <c r="W90" s="656"/>
      <c r="X90" s="657"/>
      <c r="Y90" s="656"/>
      <c r="Z90" s="657"/>
      <c r="AA90" s="656"/>
      <c r="AB90" s="657"/>
      <c r="AC90" s="656"/>
      <c r="AD90" s="657"/>
      <c r="AE90" s="656"/>
      <c r="AF90" s="658"/>
      <c r="AG90" s="656"/>
      <c r="AH90" s="658"/>
      <c r="AI90" s="656"/>
      <c r="AJ90" s="658"/>
      <c r="AK90" s="656"/>
      <c r="AL90" s="658"/>
      <c r="AM90" s="659"/>
      <c r="AN90" s="658"/>
      <c r="AO90" s="656"/>
      <c r="AP90" s="658"/>
      <c r="AQ90" s="659"/>
      <c r="AR90" s="658"/>
      <c r="AS90" s="658"/>
      <c r="AT90" s="658"/>
      <c r="AU90" s="659"/>
      <c r="AV90" s="658"/>
      <c r="AW90" s="658"/>
      <c r="AX90" s="181"/>
      <c r="AY90" s="177"/>
      <c r="AZ90">
        <f ca="1">INDIRECT(ADDRESS(ROW()+1,COLUMN(Arbeitszeit!xDay),,,"Arbeitszeit"))</f>
        <v>2</v>
      </c>
    </row>
    <row r="91" spans="1:52">
      <c r="A91" s="582">
        <f>Arbeitszeit!A92</f>
        <v>41725</v>
      </c>
      <c r="B91" s="583">
        <f t="shared" si="4"/>
        <v>41725</v>
      </c>
      <c r="C91" s="214">
        <f t="shared" si="5"/>
        <v>13</v>
      </c>
      <c r="D91" s="213">
        <f t="shared" si="6"/>
        <v>41698</v>
      </c>
      <c r="E91" s="670">
        <f>Arbeitszeit!U92*24</f>
        <v>0</v>
      </c>
      <c r="F91" s="397">
        <f t="shared" si="7"/>
        <v>0</v>
      </c>
      <c r="G91" s="178">
        <f>IF(Arbeitszeit!F92=Urlaub,B_WorkTime*24,)</f>
        <v>0</v>
      </c>
      <c r="H91" s="174"/>
      <c r="I91" s="178">
        <f>IF(Arbeitszeit!F92=Krank,B_WorkTime*24,)</f>
        <v>0</v>
      </c>
      <c r="J91" s="174"/>
      <c r="K91" s="179"/>
      <c r="L91" s="180"/>
      <c r="M91" s="656"/>
      <c r="N91" s="657"/>
      <c r="O91" s="656"/>
      <c r="P91" s="657"/>
      <c r="Q91" s="656"/>
      <c r="R91" s="657"/>
      <c r="S91" s="656"/>
      <c r="T91" s="657"/>
      <c r="U91" s="656"/>
      <c r="V91" s="657"/>
      <c r="W91" s="656"/>
      <c r="X91" s="657"/>
      <c r="Y91" s="656"/>
      <c r="Z91" s="657"/>
      <c r="AA91" s="656"/>
      <c r="AB91" s="657"/>
      <c r="AC91" s="656"/>
      <c r="AD91" s="657"/>
      <c r="AE91" s="656"/>
      <c r="AF91" s="658"/>
      <c r="AG91" s="656"/>
      <c r="AH91" s="658"/>
      <c r="AI91" s="656"/>
      <c r="AJ91" s="658"/>
      <c r="AK91" s="656"/>
      <c r="AL91" s="658"/>
      <c r="AM91" s="659"/>
      <c r="AN91" s="658"/>
      <c r="AO91" s="656"/>
      <c r="AP91" s="658"/>
      <c r="AQ91" s="659"/>
      <c r="AR91" s="658"/>
      <c r="AS91" s="658"/>
      <c r="AT91" s="658"/>
      <c r="AU91" s="659"/>
      <c r="AV91" s="658"/>
      <c r="AW91" s="658"/>
      <c r="AX91" s="181"/>
      <c r="AY91" s="177"/>
      <c r="AZ91">
        <f ca="1">INDIRECT(ADDRESS(ROW()+1,COLUMN(Arbeitszeit!xDay),,,"Arbeitszeit"))</f>
        <v>3</v>
      </c>
    </row>
    <row r="92" spans="1:52">
      <c r="A92" s="582">
        <f>Arbeitszeit!A93</f>
        <v>41726</v>
      </c>
      <c r="B92" s="583">
        <f t="shared" si="4"/>
        <v>41726</v>
      </c>
      <c r="C92" s="214">
        <f t="shared" si="5"/>
        <v>13</v>
      </c>
      <c r="D92" s="213">
        <f t="shared" si="6"/>
        <v>41698</v>
      </c>
      <c r="E92" s="670">
        <f>Arbeitszeit!U93*24</f>
        <v>0</v>
      </c>
      <c r="F92" s="397">
        <f t="shared" si="7"/>
        <v>0</v>
      </c>
      <c r="G92" s="178">
        <f>IF(Arbeitszeit!F93=Urlaub,B_WorkTime*24,)</f>
        <v>0</v>
      </c>
      <c r="H92" s="174"/>
      <c r="I92" s="178">
        <f>IF(Arbeitszeit!F93=Krank,B_WorkTime*24,)</f>
        <v>0</v>
      </c>
      <c r="J92" s="174"/>
      <c r="K92" s="179"/>
      <c r="L92" s="180"/>
      <c r="M92" s="656"/>
      <c r="N92" s="657"/>
      <c r="O92" s="656"/>
      <c r="P92" s="657"/>
      <c r="Q92" s="656"/>
      <c r="R92" s="657"/>
      <c r="S92" s="656"/>
      <c r="T92" s="657"/>
      <c r="U92" s="656"/>
      <c r="V92" s="657"/>
      <c r="W92" s="656"/>
      <c r="X92" s="657"/>
      <c r="Y92" s="656"/>
      <c r="Z92" s="657"/>
      <c r="AA92" s="656"/>
      <c r="AB92" s="657"/>
      <c r="AC92" s="656"/>
      <c r="AD92" s="657"/>
      <c r="AE92" s="656"/>
      <c r="AF92" s="658"/>
      <c r="AG92" s="656"/>
      <c r="AH92" s="658"/>
      <c r="AI92" s="656"/>
      <c r="AJ92" s="658"/>
      <c r="AK92" s="656"/>
      <c r="AL92" s="658"/>
      <c r="AM92" s="659"/>
      <c r="AN92" s="658"/>
      <c r="AO92" s="656"/>
      <c r="AP92" s="658"/>
      <c r="AQ92" s="659"/>
      <c r="AR92" s="658"/>
      <c r="AS92" s="658"/>
      <c r="AT92" s="658"/>
      <c r="AU92" s="659"/>
      <c r="AV92" s="658"/>
      <c r="AW92" s="658"/>
      <c r="AX92" s="181"/>
      <c r="AY92" s="177"/>
      <c r="AZ92">
        <f ca="1">INDIRECT(ADDRESS(ROW()+1,COLUMN(Arbeitszeit!xDay),,,"Arbeitszeit"))</f>
        <v>4</v>
      </c>
    </row>
    <row r="93" spans="1:52">
      <c r="A93" s="582">
        <f>Arbeitszeit!A94</f>
        <v>41727</v>
      </c>
      <c r="B93" s="583">
        <f t="shared" si="4"/>
        <v>41727</v>
      </c>
      <c r="C93" s="214">
        <f t="shared" si="5"/>
        <v>13</v>
      </c>
      <c r="D93" s="213">
        <f t="shared" si="6"/>
        <v>41698</v>
      </c>
      <c r="E93" s="670">
        <f>Arbeitszeit!U94*24</f>
        <v>0</v>
      </c>
      <c r="F93" s="397">
        <f t="shared" si="7"/>
        <v>0</v>
      </c>
      <c r="G93" s="178">
        <f>IF(Arbeitszeit!F94=Urlaub,B_WorkTime*24,)</f>
        <v>0</v>
      </c>
      <c r="H93" s="174"/>
      <c r="I93" s="178">
        <f>IF(Arbeitszeit!F94=Krank,B_WorkTime*24,)</f>
        <v>0</v>
      </c>
      <c r="J93" s="174"/>
      <c r="K93" s="179"/>
      <c r="L93" s="180"/>
      <c r="M93" s="656"/>
      <c r="N93" s="657"/>
      <c r="O93" s="656"/>
      <c r="P93" s="657"/>
      <c r="Q93" s="656"/>
      <c r="R93" s="657"/>
      <c r="S93" s="656"/>
      <c r="T93" s="657"/>
      <c r="U93" s="656"/>
      <c r="V93" s="657"/>
      <c r="W93" s="656"/>
      <c r="X93" s="657"/>
      <c r="Y93" s="656"/>
      <c r="Z93" s="657"/>
      <c r="AA93" s="656"/>
      <c r="AB93" s="657"/>
      <c r="AC93" s="656"/>
      <c r="AD93" s="657"/>
      <c r="AE93" s="656"/>
      <c r="AF93" s="658"/>
      <c r="AG93" s="656"/>
      <c r="AH93" s="658"/>
      <c r="AI93" s="656"/>
      <c r="AJ93" s="658"/>
      <c r="AK93" s="656"/>
      <c r="AL93" s="658"/>
      <c r="AM93" s="659"/>
      <c r="AN93" s="658"/>
      <c r="AO93" s="656"/>
      <c r="AP93" s="658"/>
      <c r="AQ93" s="659"/>
      <c r="AR93" s="658"/>
      <c r="AS93" s="658"/>
      <c r="AT93" s="658"/>
      <c r="AU93" s="659"/>
      <c r="AV93" s="658"/>
      <c r="AW93" s="658"/>
      <c r="AX93" s="181"/>
      <c r="AY93" s="177"/>
      <c r="AZ93">
        <f ca="1">INDIRECT(ADDRESS(ROW()+1,COLUMN(Arbeitszeit!xDay),,,"Arbeitszeit"))</f>
        <v>8</v>
      </c>
    </row>
    <row r="94" spans="1:52">
      <c r="A94" s="582">
        <f>Arbeitszeit!A95</f>
        <v>41728</v>
      </c>
      <c r="B94" s="583">
        <f t="shared" si="4"/>
        <v>41728</v>
      </c>
      <c r="C94" s="214">
        <f t="shared" si="5"/>
        <v>13</v>
      </c>
      <c r="D94" s="213">
        <f t="shared" si="6"/>
        <v>41698</v>
      </c>
      <c r="E94" s="670">
        <f>Arbeitszeit!U95*24</f>
        <v>0</v>
      </c>
      <c r="F94" s="397">
        <f t="shared" si="7"/>
        <v>0</v>
      </c>
      <c r="G94" s="178">
        <f>IF(Arbeitszeit!F95=Urlaub,B_WorkTime*24,)</f>
        <v>0</v>
      </c>
      <c r="H94" s="174"/>
      <c r="I94" s="178">
        <f>IF(Arbeitszeit!F95=Krank,B_WorkTime*24,)</f>
        <v>0</v>
      </c>
      <c r="J94" s="174"/>
      <c r="K94" s="179"/>
      <c r="L94" s="180"/>
      <c r="M94" s="656"/>
      <c r="N94" s="657"/>
      <c r="O94" s="656"/>
      <c r="P94" s="657"/>
      <c r="Q94" s="656"/>
      <c r="R94" s="657"/>
      <c r="S94" s="656"/>
      <c r="T94" s="657"/>
      <c r="U94" s="656"/>
      <c r="V94" s="657"/>
      <c r="W94" s="656"/>
      <c r="X94" s="657"/>
      <c r="Y94" s="656"/>
      <c r="Z94" s="657"/>
      <c r="AA94" s="656"/>
      <c r="AB94" s="657"/>
      <c r="AC94" s="656"/>
      <c r="AD94" s="657"/>
      <c r="AE94" s="656"/>
      <c r="AF94" s="658"/>
      <c r="AG94" s="656"/>
      <c r="AH94" s="658"/>
      <c r="AI94" s="656"/>
      <c r="AJ94" s="658"/>
      <c r="AK94" s="656"/>
      <c r="AL94" s="658"/>
      <c r="AM94" s="659"/>
      <c r="AN94" s="658"/>
      <c r="AO94" s="656"/>
      <c r="AP94" s="658"/>
      <c r="AQ94" s="659"/>
      <c r="AR94" s="658"/>
      <c r="AS94" s="658"/>
      <c r="AT94" s="658"/>
      <c r="AU94" s="659"/>
      <c r="AV94" s="658"/>
      <c r="AW94" s="658"/>
      <c r="AX94" s="181"/>
      <c r="AY94" s="177"/>
      <c r="AZ94">
        <f ca="1">INDIRECT(ADDRESS(ROW()+1,COLUMN(Arbeitszeit!xDay),,,"Arbeitszeit"))</f>
        <v>6</v>
      </c>
    </row>
    <row r="95" spans="1:52">
      <c r="A95" s="582">
        <f>Arbeitszeit!A96</f>
        <v>41729</v>
      </c>
      <c r="B95" s="583">
        <f t="shared" si="4"/>
        <v>41729</v>
      </c>
      <c r="C95" s="214">
        <f t="shared" si="5"/>
        <v>13</v>
      </c>
      <c r="D95" s="213">
        <f t="shared" si="6"/>
        <v>41729</v>
      </c>
      <c r="E95" s="670">
        <f>Arbeitszeit!U96*24</f>
        <v>0</v>
      </c>
      <c r="F95" s="397">
        <f t="shared" si="7"/>
        <v>0</v>
      </c>
      <c r="G95" s="178">
        <f>IF(Arbeitszeit!F96=Urlaub,B_WorkTime*24,)</f>
        <v>0</v>
      </c>
      <c r="H95" s="174"/>
      <c r="I95" s="178">
        <f>IF(Arbeitszeit!F96=Krank,B_WorkTime*24,)</f>
        <v>0</v>
      </c>
      <c r="J95" s="174"/>
      <c r="K95" s="179"/>
      <c r="L95" s="180"/>
      <c r="M95" s="656"/>
      <c r="N95" s="657"/>
      <c r="O95" s="656"/>
      <c r="P95" s="657"/>
      <c r="Q95" s="656"/>
      <c r="R95" s="657"/>
      <c r="S95" s="656"/>
      <c r="T95" s="657"/>
      <c r="U95" s="656"/>
      <c r="V95" s="657"/>
      <c r="W95" s="656"/>
      <c r="X95" s="657"/>
      <c r="Y95" s="656"/>
      <c r="Z95" s="657"/>
      <c r="AA95" s="656"/>
      <c r="AB95" s="657"/>
      <c r="AC95" s="656"/>
      <c r="AD95" s="657"/>
      <c r="AE95" s="656"/>
      <c r="AF95" s="658"/>
      <c r="AG95" s="656"/>
      <c r="AH95" s="658"/>
      <c r="AI95" s="656"/>
      <c r="AJ95" s="658"/>
      <c r="AK95" s="656"/>
      <c r="AL95" s="658"/>
      <c r="AM95" s="659"/>
      <c r="AN95" s="658"/>
      <c r="AO95" s="656"/>
      <c r="AP95" s="658"/>
      <c r="AQ95" s="659"/>
      <c r="AR95" s="658"/>
      <c r="AS95" s="658"/>
      <c r="AT95" s="658"/>
      <c r="AU95" s="659"/>
      <c r="AV95" s="658"/>
      <c r="AW95" s="658"/>
      <c r="AX95" s="181"/>
      <c r="AY95" s="177"/>
      <c r="AZ95">
        <f ca="1">INDIRECT(ADDRESS(ROW()+1,COLUMN(Arbeitszeit!xDay),,,"Arbeitszeit"))</f>
        <v>8</v>
      </c>
    </row>
    <row r="96" spans="1:52">
      <c r="A96" s="582">
        <f>Arbeitszeit!A97</f>
        <v>41730</v>
      </c>
      <c r="B96" s="583">
        <f t="shared" si="4"/>
        <v>41730</v>
      </c>
      <c r="C96" s="214">
        <f t="shared" si="5"/>
        <v>14</v>
      </c>
      <c r="D96" s="213">
        <f t="shared" si="6"/>
        <v>41729</v>
      </c>
      <c r="E96" s="670">
        <f>Arbeitszeit!U97*24</f>
        <v>0</v>
      </c>
      <c r="F96" s="397">
        <f t="shared" si="7"/>
        <v>0</v>
      </c>
      <c r="G96" s="178">
        <f>IF(Arbeitszeit!F97=Urlaub,B_WorkTime*24,)</f>
        <v>0</v>
      </c>
      <c r="H96" s="174"/>
      <c r="I96" s="178">
        <f>IF(Arbeitszeit!F97=Krank,B_WorkTime*24,)</f>
        <v>0</v>
      </c>
      <c r="J96" s="174"/>
      <c r="K96" s="179"/>
      <c r="L96" s="180"/>
      <c r="M96" s="656"/>
      <c r="N96" s="657"/>
      <c r="O96" s="656"/>
      <c r="P96" s="657"/>
      <c r="Q96" s="656"/>
      <c r="R96" s="657"/>
      <c r="S96" s="656"/>
      <c r="T96" s="657"/>
      <c r="U96" s="656"/>
      <c r="V96" s="657"/>
      <c r="W96" s="656"/>
      <c r="X96" s="657"/>
      <c r="Y96" s="656"/>
      <c r="Z96" s="657"/>
      <c r="AA96" s="656"/>
      <c r="AB96" s="657"/>
      <c r="AC96" s="656"/>
      <c r="AD96" s="657"/>
      <c r="AE96" s="656"/>
      <c r="AF96" s="658"/>
      <c r="AG96" s="656"/>
      <c r="AH96" s="658"/>
      <c r="AI96" s="656"/>
      <c r="AJ96" s="658"/>
      <c r="AK96" s="656"/>
      <c r="AL96" s="658"/>
      <c r="AM96" s="659"/>
      <c r="AN96" s="658"/>
      <c r="AO96" s="656"/>
      <c r="AP96" s="658"/>
      <c r="AQ96" s="659"/>
      <c r="AR96" s="658"/>
      <c r="AS96" s="658"/>
      <c r="AT96" s="658"/>
      <c r="AU96" s="659"/>
      <c r="AV96" s="658"/>
      <c r="AW96" s="658"/>
      <c r="AX96" s="181"/>
      <c r="AY96" s="177"/>
      <c r="AZ96">
        <f ca="1">INDIRECT(ADDRESS(ROW()+1,COLUMN(Arbeitszeit!xDay),,,"Arbeitszeit"))</f>
        <v>8</v>
      </c>
    </row>
    <row r="97" spans="1:52">
      <c r="A97" s="582">
        <f>Arbeitszeit!A98</f>
        <v>41731</v>
      </c>
      <c r="B97" s="583">
        <f t="shared" si="4"/>
        <v>41731</v>
      </c>
      <c r="C97" s="214">
        <f t="shared" si="5"/>
        <v>14</v>
      </c>
      <c r="D97" s="213">
        <f t="shared" si="6"/>
        <v>41729</v>
      </c>
      <c r="E97" s="670">
        <f>Arbeitszeit!U98*24</f>
        <v>0</v>
      </c>
      <c r="F97" s="397">
        <f t="shared" si="7"/>
        <v>0</v>
      </c>
      <c r="G97" s="178">
        <f>IF(Arbeitszeit!F98=Urlaub,B_WorkTime*24,)</f>
        <v>0</v>
      </c>
      <c r="H97" s="174"/>
      <c r="I97" s="178">
        <f>IF(Arbeitszeit!F98=Krank,B_WorkTime*24,)</f>
        <v>0</v>
      </c>
      <c r="J97" s="174"/>
      <c r="K97" s="179"/>
      <c r="L97" s="180"/>
      <c r="M97" s="656"/>
      <c r="N97" s="657"/>
      <c r="O97" s="656"/>
      <c r="P97" s="657"/>
      <c r="Q97" s="656"/>
      <c r="R97" s="657"/>
      <c r="S97" s="656"/>
      <c r="T97" s="657"/>
      <c r="U97" s="656"/>
      <c r="V97" s="657"/>
      <c r="W97" s="656"/>
      <c r="X97" s="657"/>
      <c r="Y97" s="656"/>
      <c r="Z97" s="657"/>
      <c r="AA97" s="656"/>
      <c r="AB97" s="657"/>
      <c r="AC97" s="656"/>
      <c r="AD97" s="657"/>
      <c r="AE97" s="656"/>
      <c r="AF97" s="658"/>
      <c r="AG97" s="656"/>
      <c r="AH97" s="658"/>
      <c r="AI97" s="656"/>
      <c r="AJ97" s="658"/>
      <c r="AK97" s="656"/>
      <c r="AL97" s="658"/>
      <c r="AM97" s="659"/>
      <c r="AN97" s="658"/>
      <c r="AO97" s="656"/>
      <c r="AP97" s="658"/>
      <c r="AQ97" s="659"/>
      <c r="AR97" s="658"/>
      <c r="AS97" s="658"/>
      <c r="AT97" s="658"/>
      <c r="AU97" s="659"/>
      <c r="AV97" s="658"/>
      <c r="AW97" s="658"/>
      <c r="AX97" s="181"/>
      <c r="AY97" s="177"/>
      <c r="AZ97">
        <f ca="1">INDIRECT(ADDRESS(ROW()+1,COLUMN(Arbeitszeit!xDay),,,"Arbeitszeit"))</f>
        <v>2</v>
      </c>
    </row>
    <row r="98" spans="1:52">
      <c r="A98" s="582">
        <f>Arbeitszeit!A99</f>
        <v>41732</v>
      </c>
      <c r="B98" s="583">
        <f t="shared" si="4"/>
        <v>41732</v>
      </c>
      <c r="C98" s="214">
        <f t="shared" si="5"/>
        <v>14</v>
      </c>
      <c r="D98" s="213">
        <f t="shared" si="6"/>
        <v>41729</v>
      </c>
      <c r="E98" s="670">
        <f>Arbeitszeit!U99*24</f>
        <v>0</v>
      </c>
      <c r="F98" s="397">
        <f t="shared" si="7"/>
        <v>0</v>
      </c>
      <c r="G98" s="178">
        <f>IF(Arbeitszeit!F99=Urlaub,B_WorkTime*24,)</f>
        <v>0</v>
      </c>
      <c r="H98" s="174"/>
      <c r="I98" s="178">
        <f>IF(Arbeitszeit!F99=Krank,B_WorkTime*24,)</f>
        <v>0</v>
      </c>
      <c r="J98" s="174"/>
      <c r="K98" s="179"/>
      <c r="L98" s="180"/>
      <c r="M98" s="656"/>
      <c r="N98" s="657"/>
      <c r="O98" s="656"/>
      <c r="P98" s="657"/>
      <c r="Q98" s="656"/>
      <c r="R98" s="657"/>
      <c r="S98" s="656"/>
      <c r="T98" s="657"/>
      <c r="U98" s="656"/>
      <c r="V98" s="657"/>
      <c r="W98" s="656"/>
      <c r="X98" s="657"/>
      <c r="Y98" s="656"/>
      <c r="Z98" s="657"/>
      <c r="AA98" s="656"/>
      <c r="AB98" s="657"/>
      <c r="AC98" s="656"/>
      <c r="AD98" s="657"/>
      <c r="AE98" s="656"/>
      <c r="AF98" s="658"/>
      <c r="AG98" s="656"/>
      <c r="AH98" s="658"/>
      <c r="AI98" s="656"/>
      <c r="AJ98" s="658"/>
      <c r="AK98" s="656"/>
      <c r="AL98" s="658"/>
      <c r="AM98" s="659"/>
      <c r="AN98" s="658"/>
      <c r="AO98" s="656"/>
      <c r="AP98" s="658"/>
      <c r="AQ98" s="659"/>
      <c r="AR98" s="658"/>
      <c r="AS98" s="658"/>
      <c r="AT98" s="658"/>
      <c r="AU98" s="659"/>
      <c r="AV98" s="658"/>
      <c r="AW98" s="658"/>
      <c r="AX98" s="181"/>
      <c r="AY98" s="177"/>
      <c r="AZ98">
        <f ca="1">INDIRECT(ADDRESS(ROW()+1,COLUMN(Arbeitszeit!xDay),,,"Arbeitszeit"))</f>
        <v>3</v>
      </c>
    </row>
    <row r="99" spans="1:52">
      <c r="A99" s="582">
        <f>Arbeitszeit!A100</f>
        <v>41733</v>
      </c>
      <c r="B99" s="583">
        <f t="shared" si="4"/>
        <v>41733</v>
      </c>
      <c r="C99" s="214">
        <f t="shared" si="5"/>
        <v>14</v>
      </c>
      <c r="D99" s="213">
        <f t="shared" si="6"/>
        <v>41729</v>
      </c>
      <c r="E99" s="670">
        <f>Arbeitszeit!U100*24</f>
        <v>0</v>
      </c>
      <c r="F99" s="397">
        <f t="shared" si="7"/>
        <v>0</v>
      </c>
      <c r="G99" s="178">
        <f>IF(Arbeitszeit!F100=Urlaub,B_WorkTime*24,)</f>
        <v>0</v>
      </c>
      <c r="H99" s="174"/>
      <c r="I99" s="178">
        <f>IF(Arbeitszeit!F100=Krank,B_WorkTime*24,)</f>
        <v>0</v>
      </c>
      <c r="J99" s="174"/>
      <c r="K99" s="179"/>
      <c r="L99" s="180"/>
      <c r="M99" s="656"/>
      <c r="N99" s="657"/>
      <c r="O99" s="656"/>
      <c r="P99" s="657"/>
      <c r="Q99" s="656"/>
      <c r="R99" s="657"/>
      <c r="S99" s="656"/>
      <c r="T99" s="657"/>
      <c r="U99" s="656"/>
      <c r="V99" s="657"/>
      <c r="W99" s="656"/>
      <c r="X99" s="657"/>
      <c r="Y99" s="656"/>
      <c r="Z99" s="657"/>
      <c r="AA99" s="656"/>
      <c r="AB99" s="657"/>
      <c r="AC99" s="656"/>
      <c r="AD99" s="657"/>
      <c r="AE99" s="656"/>
      <c r="AF99" s="658"/>
      <c r="AG99" s="656"/>
      <c r="AH99" s="658"/>
      <c r="AI99" s="656"/>
      <c r="AJ99" s="658"/>
      <c r="AK99" s="656"/>
      <c r="AL99" s="658"/>
      <c r="AM99" s="659"/>
      <c r="AN99" s="658"/>
      <c r="AO99" s="656"/>
      <c r="AP99" s="658"/>
      <c r="AQ99" s="659"/>
      <c r="AR99" s="658"/>
      <c r="AS99" s="658"/>
      <c r="AT99" s="658"/>
      <c r="AU99" s="659"/>
      <c r="AV99" s="658"/>
      <c r="AW99" s="658"/>
      <c r="AX99" s="181"/>
      <c r="AY99" s="177"/>
      <c r="AZ99">
        <f ca="1">INDIRECT(ADDRESS(ROW()+1,COLUMN(Arbeitszeit!xDay),,,"Arbeitszeit"))</f>
        <v>4</v>
      </c>
    </row>
    <row r="100" spans="1:52">
      <c r="A100" s="582">
        <f>Arbeitszeit!A101</f>
        <v>41734</v>
      </c>
      <c r="B100" s="583">
        <f t="shared" si="4"/>
        <v>41734</v>
      </c>
      <c r="C100" s="214">
        <f t="shared" si="5"/>
        <v>14</v>
      </c>
      <c r="D100" s="213">
        <f t="shared" si="6"/>
        <v>41729</v>
      </c>
      <c r="E100" s="670">
        <f>Arbeitszeit!U101*24</f>
        <v>0</v>
      </c>
      <c r="F100" s="397">
        <f t="shared" si="7"/>
        <v>0</v>
      </c>
      <c r="G100" s="178">
        <f>IF(Arbeitszeit!F101=Urlaub,B_WorkTime*24,)</f>
        <v>0</v>
      </c>
      <c r="H100" s="174"/>
      <c r="I100" s="178">
        <f>IF(Arbeitszeit!F101=Krank,B_WorkTime*24,)</f>
        <v>0</v>
      </c>
      <c r="J100" s="174"/>
      <c r="K100" s="179"/>
      <c r="L100" s="180"/>
      <c r="M100" s="656"/>
      <c r="N100" s="657"/>
      <c r="O100" s="656"/>
      <c r="P100" s="657"/>
      <c r="Q100" s="656"/>
      <c r="R100" s="657"/>
      <c r="S100" s="656"/>
      <c r="T100" s="657"/>
      <c r="U100" s="656"/>
      <c r="V100" s="657"/>
      <c r="W100" s="656"/>
      <c r="X100" s="657"/>
      <c r="Y100" s="656"/>
      <c r="Z100" s="657"/>
      <c r="AA100" s="656"/>
      <c r="AB100" s="657"/>
      <c r="AC100" s="656"/>
      <c r="AD100" s="657"/>
      <c r="AE100" s="656"/>
      <c r="AF100" s="658"/>
      <c r="AG100" s="656"/>
      <c r="AH100" s="658"/>
      <c r="AI100" s="656"/>
      <c r="AJ100" s="658"/>
      <c r="AK100" s="656"/>
      <c r="AL100" s="658"/>
      <c r="AM100" s="659"/>
      <c r="AN100" s="658"/>
      <c r="AO100" s="656"/>
      <c r="AP100" s="658"/>
      <c r="AQ100" s="659"/>
      <c r="AR100" s="658"/>
      <c r="AS100" s="658"/>
      <c r="AT100" s="658"/>
      <c r="AU100" s="659"/>
      <c r="AV100" s="658"/>
      <c r="AW100" s="658"/>
      <c r="AX100" s="181"/>
      <c r="AY100" s="177"/>
      <c r="AZ100">
        <f ca="1">INDIRECT(ADDRESS(ROW()+1,COLUMN(Arbeitszeit!xDay),,,"Arbeitszeit"))</f>
        <v>5</v>
      </c>
    </row>
    <row r="101" spans="1:52">
      <c r="A101" s="582">
        <f>Arbeitszeit!A102</f>
        <v>41735</v>
      </c>
      <c r="B101" s="583">
        <f t="shared" si="4"/>
        <v>41735</v>
      </c>
      <c r="C101" s="214">
        <f t="shared" si="5"/>
        <v>14</v>
      </c>
      <c r="D101" s="213">
        <f t="shared" si="6"/>
        <v>41729</v>
      </c>
      <c r="E101" s="670">
        <f>Arbeitszeit!U102*24</f>
        <v>0</v>
      </c>
      <c r="F101" s="397">
        <f t="shared" si="7"/>
        <v>0</v>
      </c>
      <c r="G101" s="178">
        <f>IF(Arbeitszeit!F102=Urlaub,B_WorkTime*24,)</f>
        <v>0</v>
      </c>
      <c r="H101" s="174"/>
      <c r="I101" s="178">
        <f>IF(Arbeitszeit!F102=Krank,B_WorkTime*24,)</f>
        <v>0</v>
      </c>
      <c r="J101" s="174"/>
      <c r="K101" s="179"/>
      <c r="L101" s="180"/>
      <c r="M101" s="656"/>
      <c r="N101" s="657"/>
      <c r="O101" s="656"/>
      <c r="P101" s="657"/>
      <c r="Q101" s="656"/>
      <c r="R101" s="657"/>
      <c r="S101" s="656"/>
      <c r="T101" s="657"/>
      <c r="U101" s="656"/>
      <c r="V101" s="657"/>
      <c r="W101" s="656"/>
      <c r="X101" s="657"/>
      <c r="Y101" s="656"/>
      <c r="Z101" s="657"/>
      <c r="AA101" s="656"/>
      <c r="AB101" s="657"/>
      <c r="AC101" s="656"/>
      <c r="AD101" s="657"/>
      <c r="AE101" s="656"/>
      <c r="AF101" s="658"/>
      <c r="AG101" s="656"/>
      <c r="AH101" s="658"/>
      <c r="AI101" s="656"/>
      <c r="AJ101" s="658"/>
      <c r="AK101" s="656"/>
      <c r="AL101" s="658"/>
      <c r="AM101" s="659"/>
      <c r="AN101" s="658"/>
      <c r="AO101" s="656"/>
      <c r="AP101" s="658"/>
      <c r="AQ101" s="659"/>
      <c r="AR101" s="658"/>
      <c r="AS101" s="658"/>
      <c r="AT101" s="658"/>
      <c r="AU101" s="659"/>
      <c r="AV101" s="658"/>
      <c r="AW101" s="658"/>
      <c r="AX101" s="181"/>
      <c r="AY101" s="177"/>
      <c r="AZ101">
        <f ca="1">INDIRECT(ADDRESS(ROW()+1,COLUMN(Arbeitszeit!xDay),,,"Arbeitszeit"))</f>
        <v>6</v>
      </c>
    </row>
    <row r="102" spans="1:52">
      <c r="A102" s="582">
        <f>Arbeitszeit!A103</f>
        <v>41736</v>
      </c>
      <c r="B102" s="583">
        <f t="shared" si="4"/>
        <v>41736</v>
      </c>
      <c r="C102" s="214">
        <f t="shared" si="5"/>
        <v>14</v>
      </c>
      <c r="D102" s="213">
        <f t="shared" si="6"/>
        <v>41729</v>
      </c>
      <c r="E102" s="670">
        <f>Arbeitszeit!U103*24</f>
        <v>0</v>
      </c>
      <c r="F102" s="397">
        <f t="shared" si="7"/>
        <v>0</v>
      </c>
      <c r="G102" s="178">
        <f>IF(Arbeitszeit!F103=Urlaub,B_WorkTime*24,)</f>
        <v>0</v>
      </c>
      <c r="H102" s="174"/>
      <c r="I102" s="178">
        <f>IF(Arbeitszeit!F103=Krank,B_WorkTime*24,)</f>
        <v>0</v>
      </c>
      <c r="J102" s="174"/>
      <c r="K102" s="179"/>
      <c r="L102" s="180"/>
      <c r="M102" s="656"/>
      <c r="N102" s="657"/>
      <c r="O102" s="656"/>
      <c r="P102" s="657"/>
      <c r="Q102" s="656"/>
      <c r="R102" s="657"/>
      <c r="S102" s="656"/>
      <c r="T102" s="657"/>
      <c r="U102" s="656"/>
      <c r="V102" s="657"/>
      <c r="W102" s="656"/>
      <c r="X102" s="657"/>
      <c r="Y102" s="656"/>
      <c r="Z102" s="657"/>
      <c r="AA102" s="656"/>
      <c r="AB102" s="657"/>
      <c r="AC102" s="656"/>
      <c r="AD102" s="657"/>
      <c r="AE102" s="656"/>
      <c r="AF102" s="658"/>
      <c r="AG102" s="656"/>
      <c r="AH102" s="658"/>
      <c r="AI102" s="656"/>
      <c r="AJ102" s="658"/>
      <c r="AK102" s="656"/>
      <c r="AL102" s="658"/>
      <c r="AM102" s="659"/>
      <c r="AN102" s="658"/>
      <c r="AO102" s="656"/>
      <c r="AP102" s="658"/>
      <c r="AQ102" s="659"/>
      <c r="AR102" s="658"/>
      <c r="AS102" s="658"/>
      <c r="AT102" s="658"/>
      <c r="AU102" s="659"/>
      <c r="AV102" s="658"/>
      <c r="AW102" s="658"/>
      <c r="AX102" s="181"/>
      <c r="AY102" s="177"/>
      <c r="AZ102">
        <f ca="1">INDIRECT(ADDRESS(ROW()+1,COLUMN(Arbeitszeit!xDay),,,"Arbeitszeit"))</f>
        <v>7</v>
      </c>
    </row>
    <row r="103" spans="1:52">
      <c r="A103" s="582">
        <f>Arbeitszeit!A104</f>
        <v>41737</v>
      </c>
      <c r="B103" s="583">
        <f t="shared" si="4"/>
        <v>41737</v>
      </c>
      <c r="C103" s="214">
        <f t="shared" si="5"/>
        <v>15</v>
      </c>
      <c r="D103" s="213">
        <f t="shared" si="6"/>
        <v>41729</v>
      </c>
      <c r="E103" s="670">
        <f>Arbeitszeit!U104*24</f>
        <v>0</v>
      </c>
      <c r="F103" s="397">
        <f t="shared" si="7"/>
        <v>0</v>
      </c>
      <c r="G103" s="178">
        <f>IF(Arbeitszeit!F104=Urlaub,B_WorkTime*24,)</f>
        <v>0</v>
      </c>
      <c r="H103" s="174"/>
      <c r="I103" s="178">
        <f>IF(Arbeitszeit!F104=Krank,B_WorkTime*24,)</f>
        <v>0</v>
      </c>
      <c r="J103" s="174"/>
      <c r="K103" s="179"/>
      <c r="L103" s="180"/>
      <c r="M103" s="656"/>
      <c r="N103" s="657"/>
      <c r="O103" s="656"/>
      <c r="P103" s="657"/>
      <c r="Q103" s="656"/>
      <c r="R103" s="657"/>
      <c r="S103" s="656"/>
      <c r="T103" s="657"/>
      <c r="U103" s="656"/>
      <c r="V103" s="657"/>
      <c r="W103" s="656"/>
      <c r="X103" s="657"/>
      <c r="Y103" s="656"/>
      <c r="Z103" s="657"/>
      <c r="AA103" s="656"/>
      <c r="AB103" s="657"/>
      <c r="AC103" s="656"/>
      <c r="AD103" s="657"/>
      <c r="AE103" s="656"/>
      <c r="AF103" s="658"/>
      <c r="AG103" s="656"/>
      <c r="AH103" s="658"/>
      <c r="AI103" s="656"/>
      <c r="AJ103" s="658"/>
      <c r="AK103" s="656"/>
      <c r="AL103" s="658"/>
      <c r="AM103" s="659"/>
      <c r="AN103" s="658"/>
      <c r="AO103" s="656"/>
      <c r="AP103" s="658"/>
      <c r="AQ103" s="659"/>
      <c r="AR103" s="658"/>
      <c r="AS103" s="658"/>
      <c r="AT103" s="658"/>
      <c r="AU103" s="659"/>
      <c r="AV103" s="658"/>
      <c r="AW103" s="658"/>
      <c r="AX103" s="181"/>
      <c r="AY103" s="177"/>
      <c r="AZ103">
        <f ca="1">INDIRECT(ADDRESS(ROW()+1,COLUMN(Arbeitszeit!xDay),,,"Arbeitszeit"))</f>
        <v>1</v>
      </c>
    </row>
    <row r="104" spans="1:52">
      <c r="A104" s="582">
        <f>Arbeitszeit!A105</f>
        <v>41738</v>
      </c>
      <c r="B104" s="583">
        <f t="shared" si="4"/>
        <v>41738</v>
      </c>
      <c r="C104" s="214">
        <f t="shared" si="5"/>
        <v>15</v>
      </c>
      <c r="D104" s="213">
        <f t="shared" si="6"/>
        <v>41729</v>
      </c>
      <c r="E104" s="670">
        <f>Arbeitszeit!U105*24</f>
        <v>0</v>
      </c>
      <c r="F104" s="397">
        <f t="shared" si="7"/>
        <v>0</v>
      </c>
      <c r="G104" s="178">
        <f>IF(Arbeitszeit!F105=Urlaub,B_WorkTime*24,)</f>
        <v>0</v>
      </c>
      <c r="H104" s="174"/>
      <c r="I104" s="178">
        <f>IF(Arbeitszeit!F105=Krank,B_WorkTime*24,)</f>
        <v>0</v>
      </c>
      <c r="J104" s="174"/>
      <c r="K104" s="179"/>
      <c r="L104" s="180"/>
      <c r="M104" s="656"/>
      <c r="N104" s="657"/>
      <c r="O104" s="656"/>
      <c r="P104" s="657"/>
      <c r="Q104" s="656"/>
      <c r="R104" s="657"/>
      <c r="S104" s="656"/>
      <c r="T104" s="657"/>
      <c r="U104" s="656"/>
      <c r="V104" s="657"/>
      <c r="W104" s="656"/>
      <c r="X104" s="657"/>
      <c r="Y104" s="656"/>
      <c r="Z104" s="657"/>
      <c r="AA104" s="656"/>
      <c r="AB104" s="657"/>
      <c r="AC104" s="656"/>
      <c r="AD104" s="657"/>
      <c r="AE104" s="656"/>
      <c r="AF104" s="658"/>
      <c r="AG104" s="656"/>
      <c r="AH104" s="658"/>
      <c r="AI104" s="656"/>
      <c r="AJ104" s="658"/>
      <c r="AK104" s="656"/>
      <c r="AL104" s="658"/>
      <c r="AM104" s="659"/>
      <c r="AN104" s="658"/>
      <c r="AO104" s="656"/>
      <c r="AP104" s="658"/>
      <c r="AQ104" s="659"/>
      <c r="AR104" s="658"/>
      <c r="AS104" s="658"/>
      <c r="AT104" s="658"/>
      <c r="AU104" s="659"/>
      <c r="AV104" s="658"/>
      <c r="AW104" s="658"/>
      <c r="AX104" s="181"/>
      <c r="AY104" s="177"/>
      <c r="AZ104">
        <f ca="1">INDIRECT(ADDRESS(ROW()+1,COLUMN(Arbeitszeit!xDay),,,"Arbeitszeit"))</f>
        <v>2</v>
      </c>
    </row>
    <row r="105" spans="1:52">
      <c r="A105" s="582">
        <f>Arbeitszeit!A106</f>
        <v>41739</v>
      </c>
      <c r="B105" s="583">
        <f t="shared" si="4"/>
        <v>41739</v>
      </c>
      <c r="C105" s="214">
        <f t="shared" si="5"/>
        <v>15</v>
      </c>
      <c r="D105" s="213">
        <f t="shared" si="6"/>
        <v>41729</v>
      </c>
      <c r="E105" s="670">
        <f>Arbeitszeit!U106*24</f>
        <v>0</v>
      </c>
      <c r="F105" s="397">
        <f t="shared" si="7"/>
        <v>0</v>
      </c>
      <c r="G105" s="178">
        <f>IF(Arbeitszeit!F106=Urlaub,B_WorkTime*24,)</f>
        <v>0</v>
      </c>
      <c r="H105" s="174"/>
      <c r="I105" s="178">
        <f>IF(Arbeitszeit!F106=Krank,B_WorkTime*24,)</f>
        <v>0</v>
      </c>
      <c r="J105" s="174"/>
      <c r="K105" s="179"/>
      <c r="L105" s="180"/>
      <c r="M105" s="656"/>
      <c r="N105" s="657"/>
      <c r="O105" s="656"/>
      <c r="P105" s="657"/>
      <c r="Q105" s="656"/>
      <c r="R105" s="657"/>
      <c r="S105" s="656"/>
      <c r="T105" s="657"/>
      <c r="U105" s="656"/>
      <c r="V105" s="657"/>
      <c r="W105" s="656"/>
      <c r="X105" s="657"/>
      <c r="Y105" s="656"/>
      <c r="Z105" s="657"/>
      <c r="AA105" s="656"/>
      <c r="AB105" s="657"/>
      <c r="AC105" s="656"/>
      <c r="AD105" s="657"/>
      <c r="AE105" s="656"/>
      <c r="AF105" s="658"/>
      <c r="AG105" s="656"/>
      <c r="AH105" s="658"/>
      <c r="AI105" s="656"/>
      <c r="AJ105" s="658"/>
      <c r="AK105" s="656"/>
      <c r="AL105" s="658"/>
      <c r="AM105" s="659"/>
      <c r="AN105" s="658"/>
      <c r="AO105" s="656"/>
      <c r="AP105" s="658"/>
      <c r="AQ105" s="659"/>
      <c r="AR105" s="658"/>
      <c r="AS105" s="658"/>
      <c r="AT105" s="658"/>
      <c r="AU105" s="659"/>
      <c r="AV105" s="658"/>
      <c r="AW105" s="658"/>
      <c r="AX105" s="181"/>
      <c r="AY105" s="177"/>
      <c r="AZ105">
        <f ca="1">INDIRECT(ADDRESS(ROW()+1,COLUMN(Arbeitszeit!xDay),,,"Arbeitszeit"))</f>
        <v>3</v>
      </c>
    </row>
    <row r="106" spans="1:52">
      <c r="A106" s="582">
        <f>Arbeitszeit!A107</f>
        <v>41740</v>
      </c>
      <c r="B106" s="583">
        <f t="shared" si="4"/>
        <v>41740</v>
      </c>
      <c r="C106" s="214">
        <f t="shared" si="5"/>
        <v>15</v>
      </c>
      <c r="D106" s="213">
        <f t="shared" si="6"/>
        <v>41729</v>
      </c>
      <c r="E106" s="670">
        <f>Arbeitszeit!U107*24</f>
        <v>0</v>
      </c>
      <c r="F106" s="397">
        <f t="shared" si="7"/>
        <v>0</v>
      </c>
      <c r="G106" s="178">
        <f>IF(Arbeitszeit!F107=Urlaub,B_WorkTime*24,)</f>
        <v>0</v>
      </c>
      <c r="H106" s="174"/>
      <c r="I106" s="178">
        <f>IF(Arbeitszeit!F107=Krank,B_WorkTime*24,)</f>
        <v>0</v>
      </c>
      <c r="J106" s="174"/>
      <c r="K106" s="179"/>
      <c r="L106" s="180"/>
      <c r="M106" s="656"/>
      <c r="N106" s="657"/>
      <c r="O106" s="656"/>
      <c r="P106" s="657"/>
      <c r="Q106" s="656"/>
      <c r="R106" s="657"/>
      <c r="S106" s="656"/>
      <c r="T106" s="657"/>
      <c r="U106" s="656"/>
      <c r="V106" s="657"/>
      <c r="W106" s="656"/>
      <c r="X106" s="657"/>
      <c r="Y106" s="656"/>
      <c r="Z106" s="657"/>
      <c r="AA106" s="656"/>
      <c r="AB106" s="657"/>
      <c r="AC106" s="656"/>
      <c r="AD106" s="657"/>
      <c r="AE106" s="656"/>
      <c r="AF106" s="658"/>
      <c r="AG106" s="656"/>
      <c r="AH106" s="658"/>
      <c r="AI106" s="656"/>
      <c r="AJ106" s="658"/>
      <c r="AK106" s="656"/>
      <c r="AL106" s="658"/>
      <c r="AM106" s="659"/>
      <c r="AN106" s="658"/>
      <c r="AO106" s="656"/>
      <c r="AP106" s="658"/>
      <c r="AQ106" s="659"/>
      <c r="AR106" s="658"/>
      <c r="AS106" s="658"/>
      <c r="AT106" s="658"/>
      <c r="AU106" s="659"/>
      <c r="AV106" s="658"/>
      <c r="AW106" s="658"/>
      <c r="AX106" s="181"/>
      <c r="AY106" s="177"/>
      <c r="AZ106">
        <f ca="1">INDIRECT(ADDRESS(ROW()+1,COLUMN(Arbeitszeit!xDay),,,"Arbeitszeit"))</f>
        <v>4</v>
      </c>
    </row>
    <row r="107" spans="1:52">
      <c r="A107" s="582">
        <f>Arbeitszeit!A108</f>
        <v>41741</v>
      </c>
      <c r="B107" s="583">
        <f t="shared" si="4"/>
        <v>41741</v>
      </c>
      <c r="C107" s="214">
        <f t="shared" si="5"/>
        <v>15</v>
      </c>
      <c r="D107" s="213">
        <f t="shared" si="6"/>
        <v>41729</v>
      </c>
      <c r="E107" s="670">
        <f>Arbeitszeit!U108*24</f>
        <v>0</v>
      </c>
      <c r="F107" s="397">
        <f t="shared" si="7"/>
        <v>0</v>
      </c>
      <c r="G107" s="178">
        <f>IF(Arbeitszeit!F108=Urlaub,B_WorkTime*24,)</f>
        <v>0</v>
      </c>
      <c r="H107" s="174"/>
      <c r="I107" s="178">
        <f>IF(Arbeitszeit!F108=Krank,B_WorkTime*24,)</f>
        <v>0</v>
      </c>
      <c r="J107" s="174"/>
      <c r="K107" s="179"/>
      <c r="L107" s="180"/>
      <c r="M107" s="656"/>
      <c r="N107" s="657"/>
      <c r="O107" s="656"/>
      <c r="P107" s="657"/>
      <c r="Q107" s="656"/>
      <c r="R107" s="657"/>
      <c r="S107" s="656"/>
      <c r="T107" s="657"/>
      <c r="U107" s="656"/>
      <c r="V107" s="657"/>
      <c r="W107" s="656"/>
      <c r="X107" s="657"/>
      <c r="Y107" s="656"/>
      <c r="Z107" s="657"/>
      <c r="AA107" s="656"/>
      <c r="AB107" s="657"/>
      <c r="AC107" s="656"/>
      <c r="AD107" s="657"/>
      <c r="AE107" s="656"/>
      <c r="AF107" s="658"/>
      <c r="AG107" s="656"/>
      <c r="AH107" s="658"/>
      <c r="AI107" s="656"/>
      <c r="AJ107" s="658"/>
      <c r="AK107" s="656"/>
      <c r="AL107" s="658"/>
      <c r="AM107" s="659"/>
      <c r="AN107" s="658"/>
      <c r="AO107" s="656"/>
      <c r="AP107" s="658"/>
      <c r="AQ107" s="659"/>
      <c r="AR107" s="658"/>
      <c r="AS107" s="658"/>
      <c r="AT107" s="658"/>
      <c r="AU107" s="659"/>
      <c r="AV107" s="658"/>
      <c r="AW107" s="658"/>
      <c r="AX107" s="181"/>
      <c r="AY107" s="177"/>
      <c r="AZ107">
        <f ca="1">INDIRECT(ADDRESS(ROW()+1,COLUMN(Arbeitszeit!xDay),,,"Arbeitszeit"))</f>
        <v>5</v>
      </c>
    </row>
    <row r="108" spans="1:52">
      <c r="A108" s="582">
        <f>Arbeitszeit!A109</f>
        <v>41742</v>
      </c>
      <c r="B108" s="583">
        <f t="shared" si="4"/>
        <v>41742</v>
      </c>
      <c r="C108" s="214">
        <f t="shared" si="5"/>
        <v>15</v>
      </c>
      <c r="D108" s="213">
        <f t="shared" si="6"/>
        <v>41729</v>
      </c>
      <c r="E108" s="670">
        <f>Arbeitszeit!U109*24</f>
        <v>0</v>
      </c>
      <c r="F108" s="397">
        <f t="shared" si="7"/>
        <v>0</v>
      </c>
      <c r="G108" s="178">
        <f>IF(Arbeitszeit!F109=Urlaub,B_WorkTime*24,)</f>
        <v>0</v>
      </c>
      <c r="H108" s="174"/>
      <c r="I108" s="178">
        <f>IF(Arbeitszeit!F109=Krank,B_WorkTime*24,)</f>
        <v>0</v>
      </c>
      <c r="J108" s="174"/>
      <c r="K108" s="179"/>
      <c r="L108" s="180"/>
      <c r="M108" s="656"/>
      <c r="N108" s="657"/>
      <c r="O108" s="656"/>
      <c r="P108" s="657"/>
      <c r="Q108" s="656"/>
      <c r="R108" s="657"/>
      <c r="S108" s="656"/>
      <c r="T108" s="657"/>
      <c r="U108" s="656"/>
      <c r="V108" s="657"/>
      <c r="W108" s="656"/>
      <c r="X108" s="657"/>
      <c r="Y108" s="656"/>
      <c r="Z108" s="657"/>
      <c r="AA108" s="656"/>
      <c r="AB108" s="657"/>
      <c r="AC108" s="656"/>
      <c r="AD108" s="657"/>
      <c r="AE108" s="656"/>
      <c r="AF108" s="658"/>
      <c r="AG108" s="656"/>
      <c r="AH108" s="658"/>
      <c r="AI108" s="656"/>
      <c r="AJ108" s="658"/>
      <c r="AK108" s="656"/>
      <c r="AL108" s="658"/>
      <c r="AM108" s="659"/>
      <c r="AN108" s="658"/>
      <c r="AO108" s="656"/>
      <c r="AP108" s="658"/>
      <c r="AQ108" s="659"/>
      <c r="AR108" s="658"/>
      <c r="AS108" s="658"/>
      <c r="AT108" s="658"/>
      <c r="AU108" s="659"/>
      <c r="AV108" s="658"/>
      <c r="AW108" s="658"/>
      <c r="AX108" s="181"/>
      <c r="AY108" s="177"/>
      <c r="AZ108">
        <f ca="1">INDIRECT(ADDRESS(ROW()+1,COLUMN(Arbeitszeit!xDay),,,"Arbeitszeit"))</f>
        <v>6</v>
      </c>
    </row>
    <row r="109" spans="1:52" s="5" customFormat="1">
      <c r="A109" s="582">
        <f>Arbeitszeit!A110</f>
        <v>41743</v>
      </c>
      <c r="B109" s="583">
        <f t="shared" si="4"/>
        <v>41743</v>
      </c>
      <c r="C109" s="214">
        <f t="shared" si="5"/>
        <v>15</v>
      </c>
      <c r="D109" s="213">
        <f t="shared" si="6"/>
        <v>41729</v>
      </c>
      <c r="E109" s="670">
        <f>Arbeitszeit!U110*24</f>
        <v>0</v>
      </c>
      <c r="F109" s="397">
        <f t="shared" si="7"/>
        <v>0</v>
      </c>
      <c r="G109" s="178">
        <f>IF(Arbeitszeit!F110=Urlaub,B_WorkTime*24,)</f>
        <v>0</v>
      </c>
      <c r="H109" s="174"/>
      <c r="I109" s="178">
        <f>IF(Arbeitszeit!F110=Krank,B_WorkTime*24,)</f>
        <v>0</v>
      </c>
      <c r="J109" s="174"/>
      <c r="K109" s="179"/>
      <c r="L109" s="180"/>
      <c r="M109" s="656"/>
      <c r="N109" s="657"/>
      <c r="O109" s="656"/>
      <c r="P109" s="657"/>
      <c r="Q109" s="656"/>
      <c r="R109" s="657"/>
      <c r="S109" s="656"/>
      <c r="T109" s="657"/>
      <c r="U109" s="656"/>
      <c r="V109" s="657"/>
      <c r="W109" s="656"/>
      <c r="X109" s="657"/>
      <c r="Y109" s="656"/>
      <c r="Z109" s="657"/>
      <c r="AA109" s="656"/>
      <c r="AB109" s="657"/>
      <c r="AC109" s="656"/>
      <c r="AD109" s="657"/>
      <c r="AE109" s="656"/>
      <c r="AF109" s="658"/>
      <c r="AG109" s="656"/>
      <c r="AH109" s="658"/>
      <c r="AI109" s="656"/>
      <c r="AJ109" s="658"/>
      <c r="AK109" s="656"/>
      <c r="AL109" s="658"/>
      <c r="AM109" s="659"/>
      <c r="AN109" s="658"/>
      <c r="AO109" s="656"/>
      <c r="AP109" s="658"/>
      <c r="AQ109" s="659"/>
      <c r="AR109" s="658"/>
      <c r="AS109" s="658"/>
      <c r="AT109" s="658"/>
      <c r="AU109" s="659"/>
      <c r="AV109" s="658"/>
      <c r="AW109" s="658"/>
      <c r="AX109" s="181"/>
      <c r="AY109" s="177"/>
      <c r="AZ109">
        <f ca="1">INDIRECT(ADDRESS(ROW()+1,COLUMN(Arbeitszeit!xDay),,,"Arbeitszeit"))</f>
        <v>7</v>
      </c>
    </row>
    <row r="110" spans="1:52">
      <c r="A110" s="582">
        <f>Arbeitszeit!A111</f>
        <v>41744</v>
      </c>
      <c r="B110" s="583">
        <f t="shared" si="4"/>
        <v>41744</v>
      </c>
      <c r="C110" s="214">
        <f t="shared" si="5"/>
        <v>16</v>
      </c>
      <c r="D110" s="213">
        <f t="shared" si="6"/>
        <v>41729</v>
      </c>
      <c r="E110" s="670">
        <f>Arbeitszeit!U111*24</f>
        <v>0</v>
      </c>
      <c r="F110" s="397">
        <f t="shared" si="7"/>
        <v>0</v>
      </c>
      <c r="G110" s="178">
        <f>IF(Arbeitszeit!F111=Urlaub,B_WorkTime*24,)</f>
        <v>0</v>
      </c>
      <c r="H110" s="174"/>
      <c r="I110" s="178">
        <f>IF(Arbeitszeit!F111=Krank,B_WorkTime*24,)</f>
        <v>0</v>
      </c>
      <c r="J110" s="174"/>
      <c r="K110" s="179"/>
      <c r="L110" s="180"/>
      <c r="M110" s="656"/>
      <c r="N110" s="657"/>
      <c r="O110" s="656"/>
      <c r="P110" s="657"/>
      <c r="Q110" s="656"/>
      <c r="R110" s="657"/>
      <c r="S110" s="656"/>
      <c r="T110" s="657"/>
      <c r="U110" s="656"/>
      <c r="V110" s="657"/>
      <c r="W110" s="656"/>
      <c r="X110" s="657"/>
      <c r="Y110" s="656"/>
      <c r="Z110" s="657"/>
      <c r="AA110" s="656"/>
      <c r="AB110" s="657"/>
      <c r="AC110" s="656"/>
      <c r="AD110" s="657"/>
      <c r="AE110" s="656"/>
      <c r="AF110" s="658"/>
      <c r="AG110" s="656"/>
      <c r="AH110" s="658"/>
      <c r="AI110" s="656"/>
      <c r="AJ110" s="658"/>
      <c r="AK110" s="656"/>
      <c r="AL110" s="658"/>
      <c r="AM110" s="659"/>
      <c r="AN110" s="658"/>
      <c r="AO110" s="656"/>
      <c r="AP110" s="658"/>
      <c r="AQ110" s="659"/>
      <c r="AR110" s="658"/>
      <c r="AS110" s="658"/>
      <c r="AT110" s="658"/>
      <c r="AU110" s="659"/>
      <c r="AV110" s="658"/>
      <c r="AW110" s="658"/>
      <c r="AX110" s="181"/>
      <c r="AY110" s="177"/>
      <c r="AZ110">
        <f ca="1">INDIRECT(ADDRESS(ROW()+1,COLUMN(Arbeitszeit!xDay),,,"Arbeitszeit"))</f>
        <v>1</v>
      </c>
    </row>
    <row r="111" spans="1:52">
      <c r="A111" s="582">
        <f>Arbeitszeit!A112</f>
        <v>41745</v>
      </c>
      <c r="B111" s="583">
        <f t="shared" si="4"/>
        <v>41745</v>
      </c>
      <c r="C111" s="214">
        <f t="shared" si="5"/>
        <v>16</v>
      </c>
      <c r="D111" s="213">
        <f t="shared" si="6"/>
        <v>41729</v>
      </c>
      <c r="E111" s="670">
        <f>Arbeitszeit!U112*24</f>
        <v>0</v>
      </c>
      <c r="F111" s="397">
        <f t="shared" si="7"/>
        <v>0</v>
      </c>
      <c r="G111" s="178">
        <f>IF(Arbeitszeit!F112=Urlaub,B_WorkTime*24,)</f>
        <v>0</v>
      </c>
      <c r="H111" s="174"/>
      <c r="I111" s="178">
        <f>IF(Arbeitszeit!F112=Krank,B_WorkTime*24,)</f>
        <v>0</v>
      </c>
      <c r="J111" s="174"/>
      <c r="K111" s="179"/>
      <c r="L111" s="180"/>
      <c r="M111" s="656"/>
      <c r="N111" s="657"/>
      <c r="O111" s="656"/>
      <c r="P111" s="657"/>
      <c r="Q111" s="656"/>
      <c r="R111" s="657"/>
      <c r="S111" s="656"/>
      <c r="T111" s="657"/>
      <c r="U111" s="656"/>
      <c r="V111" s="657"/>
      <c r="W111" s="656"/>
      <c r="X111" s="657"/>
      <c r="Y111" s="656"/>
      <c r="Z111" s="657"/>
      <c r="AA111" s="656"/>
      <c r="AB111" s="657"/>
      <c r="AC111" s="656"/>
      <c r="AD111" s="657"/>
      <c r="AE111" s="656"/>
      <c r="AF111" s="658"/>
      <c r="AG111" s="656"/>
      <c r="AH111" s="658"/>
      <c r="AI111" s="656"/>
      <c r="AJ111" s="658"/>
      <c r="AK111" s="656"/>
      <c r="AL111" s="658"/>
      <c r="AM111" s="659"/>
      <c r="AN111" s="658"/>
      <c r="AO111" s="656"/>
      <c r="AP111" s="658"/>
      <c r="AQ111" s="659"/>
      <c r="AR111" s="658"/>
      <c r="AS111" s="658"/>
      <c r="AT111" s="658"/>
      <c r="AU111" s="659"/>
      <c r="AV111" s="658"/>
      <c r="AW111" s="658"/>
      <c r="AX111" s="181"/>
      <c r="AY111" s="177"/>
      <c r="AZ111">
        <f ca="1">INDIRECT(ADDRESS(ROW()+1,COLUMN(Arbeitszeit!xDay),,,"Arbeitszeit"))</f>
        <v>2</v>
      </c>
    </row>
    <row r="112" spans="1:52">
      <c r="A112" s="582">
        <f>Arbeitszeit!A113</f>
        <v>41746</v>
      </c>
      <c r="B112" s="583">
        <f t="shared" si="4"/>
        <v>41746</v>
      </c>
      <c r="C112" s="214">
        <f t="shared" si="5"/>
        <v>16</v>
      </c>
      <c r="D112" s="213">
        <f t="shared" si="6"/>
        <v>41729</v>
      </c>
      <c r="E112" s="670">
        <f>Arbeitszeit!U113*24</f>
        <v>0</v>
      </c>
      <c r="F112" s="397">
        <f t="shared" si="7"/>
        <v>0</v>
      </c>
      <c r="G112" s="178">
        <f>IF(Arbeitszeit!F113=Urlaub,B_WorkTime*24,)</f>
        <v>0</v>
      </c>
      <c r="H112" s="174"/>
      <c r="I112" s="178">
        <f>IF(Arbeitszeit!F113=Krank,B_WorkTime*24,)</f>
        <v>0</v>
      </c>
      <c r="J112" s="174"/>
      <c r="K112" s="179"/>
      <c r="L112" s="180"/>
      <c r="M112" s="656"/>
      <c r="N112" s="657"/>
      <c r="O112" s="656"/>
      <c r="P112" s="657"/>
      <c r="Q112" s="656"/>
      <c r="R112" s="657"/>
      <c r="S112" s="656"/>
      <c r="T112" s="657"/>
      <c r="U112" s="656"/>
      <c r="V112" s="657"/>
      <c r="W112" s="656"/>
      <c r="X112" s="657"/>
      <c r="Y112" s="656"/>
      <c r="Z112" s="657"/>
      <c r="AA112" s="656"/>
      <c r="AB112" s="657"/>
      <c r="AC112" s="656"/>
      <c r="AD112" s="657"/>
      <c r="AE112" s="656"/>
      <c r="AF112" s="658"/>
      <c r="AG112" s="656"/>
      <c r="AH112" s="658"/>
      <c r="AI112" s="656"/>
      <c r="AJ112" s="658"/>
      <c r="AK112" s="656"/>
      <c r="AL112" s="658"/>
      <c r="AM112" s="659"/>
      <c r="AN112" s="658"/>
      <c r="AO112" s="656"/>
      <c r="AP112" s="658"/>
      <c r="AQ112" s="659"/>
      <c r="AR112" s="658"/>
      <c r="AS112" s="658"/>
      <c r="AT112" s="658"/>
      <c r="AU112" s="659"/>
      <c r="AV112" s="658"/>
      <c r="AW112" s="658"/>
      <c r="AX112" s="181"/>
      <c r="AY112" s="177"/>
      <c r="AZ112">
        <f ca="1">INDIRECT(ADDRESS(ROW()+1,COLUMN(Arbeitszeit!xDay),,,"Arbeitszeit"))</f>
        <v>3</v>
      </c>
    </row>
    <row r="113" spans="1:52">
      <c r="A113" s="582">
        <f>Arbeitszeit!A114</f>
        <v>41747</v>
      </c>
      <c r="B113" s="583">
        <f t="shared" si="4"/>
        <v>41747</v>
      </c>
      <c r="C113" s="214">
        <f t="shared" si="5"/>
        <v>16</v>
      </c>
      <c r="D113" s="213">
        <f t="shared" si="6"/>
        <v>41729</v>
      </c>
      <c r="E113" s="670">
        <f>Arbeitszeit!U114*24</f>
        <v>0</v>
      </c>
      <c r="F113" s="397">
        <f t="shared" si="7"/>
        <v>0</v>
      </c>
      <c r="G113" s="178">
        <f>IF(Arbeitszeit!F114=Urlaub,B_WorkTime*24,)</f>
        <v>0</v>
      </c>
      <c r="H113" s="174"/>
      <c r="I113" s="178">
        <f>IF(Arbeitszeit!F114=Krank,B_WorkTime*24,)</f>
        <v>0</v>
      </c>
      <c r="J113" s="174"/>
      <c r="K113" s="179"/>
      <c r="L113" s="180"/>
      <c r="M113" s="656"/>
      <c r="N113" s="657"/>
      <c r="O113" s="656"/>
      <c r="P113" s="657"/>
      <c r="Q113" s="656"/>
      <c r="R113" s="657"/>
      <c r="S113" s="656"/>
      <c r="T113" s="657"/>
      <c r="U113" s="656"/>
      <c r="V113" s="657"/>
      <c r="W113" s="656"/>
      <c r="X113" s="657"/>
      <c r="Y113" s="656"/>
      <c r="Z113" s="657"/>
      <c r="AA113" s="656"/>
      <c r="AB113" s="657"/>
      <c r="AC113" s="656"/>
      <c r="AD113" s="657"/>
      <c r="AE113" s="656"/>
      <c r="AF113" s="658"/>
      <c r="AG113" s="656"/>
      <c r="AH113" s="658"/>
      <c r="AI113" s="656"/>
      <c r="AJ113" s="658"/>
      <c r="AK113" s="656"/>
      <c r="AL113" s="658"/>
      <c r="AM113" s="659"/>
      <c r="AN113" s="658"/>
      <c r="AO113" s="656"/>
      <c r="AP113" s="658"/>
      <c r="AQ113" s="659"/>
      <c r="AR113" s="658"/>
      <c r="AS113" s="658"/>
      <c r="AT113" s="658"/>
      <c r="AU113" s="659"/>
      <c r="AV113" s="658"/>
      <c r="AW113" s="658"/>
      <c r="AX113" s="181"/>
      <c r="AY113" s="177"/>
      <c r="AZ113">
        <f ca="1">INDIRECT(ADDRESS(ROW()+1,COLUMN(Arbeitszeit!xDay),,,"Arbeitszeit"))</f>
        <v>4</v>
      </c>
    </row>
    <row r="114" spans="1:52">
      <c r="A114" s="582">
        <f>Arbeitszeit!A115</f>
        <v>41748</v>
      </c>
      <c r="B114" s="583">
        <f t="shared" si="4"/>
        <v>41748</v>
      </c>
      <c r="C114" s="214">
        <f t="shared" si="5"/>
        <v>16</v>
      </c>
      <c r="D114" s="213">
        <f t="shared" si="6"/>
        <v>41729</v>
      </c>
      <c r="E114" s="670">
        <f>Arbeitszeit!U115*24</f>
        <v>0</v>
      </c>
      <c r="F114" s="397">
        <f t="shared" si="7"/>
        <v>0</v>
      </c>
      <c r="G114" s="178">
        <f>IF(Arbeitszeit!F115=Urlaub,B_WorkTime*24,)</f>
        <v>0</v>
      </c>
      <c r="H114" s="174"/>
      <c r="I114" s="178">
        <f>IF(Arbeitszeit!F115=Krank,B_WorkTime*24,)</f>
        <v>0</v>
      </c>
      <c r="J114" s="174"/>
      <c r="K114" s="179"/>
      <c r="L114" s="180"/>
      <c r="M114" s="656"/>
      <c r="N114" s="657"/>
      <c r="O114" s="656"/>
      <c r="P114" s="657"/>
      <c r="Q114" s="656"/>
      <c r="R114" s="657"/>
      <c r="S114" s="656"/>
      <c r="T114" s="657"/>
      <c r="U114" s="656"/>
      <c r="V114" s="657"/>
      <c r="W114" s="656"/>
      <c r="X114" s="657"/>
      <c r="Y114" s="656"/>
      <c r="Z114" s="657"/>
      <c r="AA114" s="656"/>
      <c r="AB114" s="657"/>
      <c r="AC114" s="656"/>
      <c r="AD114" s="657"/>
      <c r="AE114" s="656"/>
      <c r="AF114" s="658"/>
      <c r="AG114" s="656"/>
      <c r="AH114" s="658"/>
      <c r="AI114" s="656"/>
      <c r="AJ114" s="658"/>
      <c r="AK114" s="656"/>
      <c r="AL114" s="658"/>
      <c r="AM114" s="659"/>
      <c r="AN114" s="658"/>
      <c r="AO114" s="656"/>
      <c r="AP114" s="658"/>
      <c r="AQ114" s="659"/>
      <c r="AR114" s="658"/>
      <c r="AS114" s="658"/>
      <c r="AT114" s="658"/>
      <c r="AU114" s="659"/>
      <c r="AV114" s="658"/>
      <c r="AW114" s="658"/>
      <c r="AX114" s="181"/>
      <c r="AY114" s="177"/>
      <c r="AZ114">
        <f ca="1">INDIRECT(ADDRESS(ROW()+1,COLUMN(Arbeitszeit!xDay),,,"Arbeitszeit"))</f>
        <v>5</v>
      </c>
    </row>
    <row r="115" spans="1:52">
      <c r="A115" s="582">
        <f>Arbeitszeit!A116</f>
        <v>41749</v>
      </c>
      <c r="B115" s="583">
        <f t="shared" si="4"/>
        <v>41749</v>
      </c>
      <c r="C115" s="214">
        <f t="shared" si="5"/>
        <v>16</v>
      </c>
      <c r="D115" s="213">
        <f t="shared" si="6"/>
        <v>41729</v>
      </c>
      <c r="E115" s="670">
        <f>Arbeitszeit!U116*24</f>
        <v>0</v>
      </c>
      <c r="F115" s="397">
        <f t="shared" si="7"/>
        <v>0</v>
      </c>
      <c r="G115" s="178">
        <f>IF(Arbeitszeit!F116=Urlaub,B_WorkTime*24,)</f>
        <v>0</v>
      </c>
      <c r="H115" s="174"/>
      <c r="I115" s="178">
        <f>IF(Arbeitszeit!F116=Krank,B_WorkTime*24,)</f>
        <v>0</v>
      </c>
      <c r="J115" s="174"/>
      <c r="K115" s="179"/>
      <c r="L115" s="180"/>
      <c r="M115" s="656"/>
      <c r="N115" s="657"/>
      <c r="O115" s="656"/>
      <c r="P115" s="657"/>
      <c r="Q115" s="656"/>
      <c r="R115" s="657"/>
      <c r="S115" s="656"/>
      <c r="T115" s="657"/>
      <c r="U115" s="656"/>
      <c r="V115" s="657"/>
      <c r="W115" s="656"/>
      <c r="X115" s="657"/>
      <c r="Y115" s="656"/>
      <c r="Z115" s="657"/>
      <c r="AA115" s="656"/>
      <c r="AB115" s="657"/>
      <c r="AC115" s="656"/>
      <c r="AD115" s="657"/>
      <c r="AE115" s="656"/>
      <c r="AF115" s="658"/>
      <c r="AG115" s="656"/>
      <c r="AH115" s="658"/>
      <c r="AI115" s="656"/>
      <c r="AJ115" s="658"/>
      <c r="AK115" s="656"/>
      <c r="AL115" s="658"/>
      <c r="AM115" s="659"/>
      <c r="AN115" s="658"/>
      <c r="AO115" s="656"/>
      <c r="AP115" s="658"/>
      <c r="AQ115" s="659"/>
      <c r="AR115" s="658"/>
      <c r="AS115" s="658"/>
      <c r="AT115" s="658"/>
      <c r="AU115" s="659"/>
      <c r="AV115" s="658"/>
      <c r="AW115" s="658"/>
      <c r="AX115" s="181"/>
      <c r="AY115" s="177"/>
      <c r="AZ115">
        <f ca="1">INDIRECT(ADDRESS(ROW()+1,COLUMN(Arbeitszeit!xDay),,,"Arbeitszeit"))</f>
        <v>6</v>
      </c>
    </row>
    <row r="116" spans="1:52">
      <c r="A116" s="582">
        <f>Arbeitszeit!A117</f>
        <v>41750</v>
      </c>
      <c r="B116" s="583">
        <f t="shared" si="4"/>
        <v>41750</v>
      </c>
      <c r="C116" s="214">
        <f t="shared" si="5"/>
        <v>16</v>
      </c>
      <c r="D116" s="213">
        <f t="shared" si="6"/>
        <v>41729</v>
      </c>
      <c r="E116" s="670">
        <f>Arbeitszeit!U117*24</f>
        <v>0</v>
      </c>
      <c r="F116" s="397">
        <f t="shared" si="7"/>
        <v>0</v>
      </c>
      <c r="G116" s="178">
        <f>IF(Arbeitszeit!F117=Urlaub,B_WorkTime*24,)</f>
        <v>0</v>
      </c>
      <c r="H116" s="174"/>
      <c r="I116" s="178">
        <f>IF(Arbeitszeit!F117=Krank,B_WorkTime*24,)</f>
        <v>0</v>
      </c>
      <c r="J116" s="174"/>
      <c r="K116" s="179"/>
      <c r="L116" s="180"/>
      <c r="M116" s="656"/>
      <c r="N116" s="657"/>
      <c r="O116" s="656"/>
      <c r="P116" s="657"/>
      <c r="Q116" s="656"/>
      <c r="R116" s="657"/>
      <c r="S116" s="656"/>
      <c r="T116" s="657"/>
      <c r="U116" s="656"/>
      <c r="V116" s="657"/>
      <c r="W116" s="656"/>
      <c r="X116" s="657"/>
      <c r="Y116" s="656"/>
      <c r="Z116" s="657"/>
      <c r="AA116" s="656"/>
      <c r="AB116" s="657"/>
      <c r="AC116" s="656"/>
      <c r="AD116" s="657"/>
      <c r="AE116" s="656"/>
      <c r="AF116" s="658"/>
      <c r="AG116" s="656"/>
      <c r="AH116" s="658"/>
      <c r="AI116" s="656"/>
      <c r="AJ116" s="658"/>
      <c r="AK116" s="656"/>
      <c r="AL116" s="658"/>
      <c r="AM116" s="659"/>
      <c r="AN116" s="658"/>
      <c r="AO116" s="656"/>
      <c r="AP116" s="658"/>
      <c r="AQ116" s="659"/>
      <c r="AR116" s="658"/>
      <c r="AS116" s="658"/>
      <c r="AT116" s="658"/>
      <c r="AU116" s="659"/>
      <c r="AV116" s="658"/>
      <c r="AW116" s="658"/>
      <c r="AX116" s="181"/>
      <c r="AY116" s="177"/>
      <c r="AZ116">
        <f ca="1">INDIRECT(ADDRESS(ROW()+1,COLUMN(Arbeitszeit!xDay),,,"Arbeitszeit"))</f>
        <v>7</v>
      </c>
    </row>
    <row r="117" spans="1:52">
      <c r="A117" s="582">
        <f>Arbeitszeit!A118</f>
        <v>41751</v>
      </c>
      <c r="B117" s="583">
        <f t="shared" si="4"/>
        <v>41751</v>
      </c>
      <c r="C117" s="214">
        <f t="shared" si="5"/>
        <v>17</v>
      </c>
      <c r="D117" s="213">
        <f t="shared" si="6"/>
        <v>41729</v>
      </c>
      <c r="E117" s="670">
        <f>Arbeitszeit!U118*24</f>
        <v>0</v>
      </c>
      <c r="F117" s="397">
        <f t="shared" si="7"/>
        <v>0</v>
      </c>
      <c r="G117" s="178">
        <f>IF(Arbeitszeit!F118=Urlaub,B_WorkTime*24,)</f>
        <v>0</v>
      </c>
      <c r="H117" s="174"/>
      <c r="I117" s="178">
        <f>IF(Arbeitszeit!F118=Krank,B_WorkTime*24,)</f>
        <v>0</v>
      </c>
      <c r="J117" s="174"/>
      <c r="K117" s="179"/>
      <c r="L117" s="180"/>
      <c r="M117" s="656"/>
      <c r="N117" s="657"/>
      <c r="O117" s="656"/>
      <c r="P117" s="657"/>
      <c r="Q117" s="656"/>
      <c r="R117" s="657"/>
      <c r="S117" s="656"/>
      <c r="T117" s="657"/>
      <c r="U117" s="656"/>
      <c r="V117" s="657"/>
      <c r="W117" s="656"/>
      <c r="X117" s="657"/>
      <c r="Y117" s="656"/>
      <c r="Z117" s="657"/>
      <c r="AA117" s="656"/>
      <c r="AB117" s="657"/>
      <c r="AC117" s="656"/>
      <c r="AD117" s="657"/>
      <c r="AE117" s="656"/>
      <c r="AF117" s="658"/>
      <c r="AG117" s="656"/>
      <c r="AH117" s="658"/>
      <c r="AI117" s="656"/>
      <c r="AJ117" s="658"/>
      <c r="AK117" s="656"/>
      <c r="AL117" s="658"/>
      <c r="AM117" s="659"/>
      <c r="AN117" s="658"/>
      <c r="AO117" s="656"/>
      <c r="AP117" s="658"/>
      <c r="AQ117" s="659"/>
      <c r="AR117" s="658"/>
      <c r="AS117" s="658"/>
      <c r="AT117" s="658"/>
      <c r="AU117" s="659"/>
      <c r="AV117" s="658"/>
      <c r="AW117" s="658"/>
      <c r="AX117" s="181"/>
      <c r="AY117" s="177"/>
      <c r="AZ117">
        <f ca="1">INDIRECT(ADDRESS(ROW()+1,COLUMN(Arbeitszeit!xDay),,,"Arbeitszeit"))</f>
        <v>1</v>
      </c>
    </row>
    <row r="118" spans="1:52">
      <c r="A118" s="582">
        <f>Arbeitszeit!A119</f>
        <v>41752</v>
      </c>
      <c r="B118" s="583">
        <f t="shared" si="4"/>
        <v>41752</v>
      </c>
      <c r="C118" s="214">
        <f t="shared" si="5"/>
        <v>17</v>
      </c>
      <c r="D118" s="213">
        <f t="shared" si="6"/>
        <v>41729</v>
      </c>
      <c r="E118" s="670">
        <f>Arbeitszeit!U119*24</f>
        <v>0</v>
      </c>
      <c r="F118" s="397">
        <f t="shared" si="7"/>
        <v>0</v>
      </c>
      <c r="G118" s="178">
        <f>IF(Arbeitszeit!F119=Urlaub,B_WorkTime*24,)</f>
        <v>0</v>
      </c>
      <c r="H118" s="174"/>
      <c r="I118" s="178">
        <f>IF(Arbeitszeit!F119=Krank,B_WorkTime*24,)</f>
        <v>0</v>
      </c>
      <c r="J118" s="174"/>
      <c r="K118" s="179"/>
      <c r="L118" s="180"/>
      <c r="M118" s="656"/>
      <c r="N118" s="657"/>
      <c r="O118" s="656"/>
      <c r="P118" s="657"/>
      <c r="Q118" s="656"/>
      <c r="R118" s="657"/>
      <c r="S118" s="656"/>
      <c r="T118" s="657"/>
      <c r="U118" s="656"/>
      <c r="V118" s="657"/>
      <c r="W118" s="656"/>
      <c r="X118" s="657"/>
      <c r="Y118" s="656"/>
      <c r="Z118" s="657"/>
      <c r="AA118" s="656"/>
      <c r="AB118" s="657"/>
      <c r="AC118" s="656"/>
      <c r="AD118" s="657"/>
      <c r="AE118" s="656"/>
      <c r="AF118" s="658"/>
      <c r="AG118" s="656"/>
      <c r="AH118" s="658"/>
      <c r="AI118" s="656"/>
      <c r="AJ118" s="658"/>
      <c r="AK118" s="656"/>
      <c r="AL118" s="658"/>
      <c r="AM118" s="659"/>
      <c r="AN118" s="658"/>
      <c r="AO118" s="656"/>
      <c r="AP118" s="658"/>
      <c r="AQ118" s="659"/>
      <c r="AR118" s="658"/>
      <c r="AS118" s="658"/>
      <c r="AT118" s="658"/>
      <c r="AU118" s="659"/>
      <c r="AV118" s="658"/>
      <c r="AW118" s="658"/>
      <c r="AX118" s="181"/>
      <c r="AY118" s="177"/>
      <c r="AZ118">
        <f ca="1">INDIRECT(ADDRESS(ROW()+1,COLUMN(Arbeitszeit!xDay),,,"Arbeitszeit"))</f>
        <v>2</v>
      </c>
    </row>
    <row r="119" spans="1:52">
      <c r="A119" s="582">
        <f>Arbeitszeit!A120</f>
        <v>41753</v>
      </c>
      <c r="B119" s="583">
        <f t="shared" si="4"/>
        <v>41753</v>
      </c>
      <c r="C119" s="214">
        <f t="shared" si="5"/>
        <v>17</v>
      </c>
      <c r="D119" s="213">
        <f t="shared" si="6"/>
        <v>41729</v>
      </c>
      <c r="E119" s="670">
        <f>Arbeitszeit!U120*24</f>
        <v>0</v>
      </c>
      <c r="F119" s="397">
        <f t="shared" si="7"/>
        <v>0</v>
      </c>
      <c r="G119" s="178">
        <f>IF(Arbeitszeit!F120=Urlaub,B_WorkTime*24,)</f>
        <v>0</v>
      </c>
      <c r="H119" s="174"/>
      <c r="I119" s="178">
        <f>IF(Arbeitszeit!F120=Krank,B_WorkTime*24,)</f>
        <v>0</v>
      </c>
      <c r="J119" s="174"/>
      <c r="K119" s="179"/>
      <c r="L119" s="180"/>
      <c r="M119" s="656"/>
      <c r="N119" s="657"/>
      <c r="O119" s="656"/>
      <c r="P119" s="657"/>
      <c r="Q119" s="656"/>
      <c r="R119" s="657"/>
      <c r="S119" s="656"/>
      <c r="T119" s="657"/>
      <c r="U119" s="656"/>
      <c r="V119" s="657"/>
      <c r="W119" s="656"/>
      <c r="X119" s="657"/>
      <c r="Y119" s="656"/>
      <c r="Z119" s="657"/>
      <c r="AA119" s="656"/>
      <c r="AB119" s="657"/>
      <c r="AC119" s="656"/>
      <c r="AD119" s="657"/>
      <c r="AE119" s="656"/>
      <c r="AF119" s="658"/>
      <c r="AG119" s="656"/>
      <c r="AH119" s="658"/>
      <c r="AI119" s="656"/>
      <c r="AJ119" s="658"/>
      <c r="AK119" s="656"/>
      <c r="AL119" s="658"/>
      <c r="AM119" s="659"/>
      <c r="AN119" s="658"/>
      <c r="AO119" s="656"/>
      <c r="AP119" s="658"/>
      <c r="AQ119" s="659"/>
      <c r="AR119" s="658"/>
      <c r="AS119" s="658"/>
      <c r="AT119" s="658"/>
      <c r="AU119" s="659"/>
      <c r="AV119" s="658"/>
      <c r="AW119" s="658"/>
      <c r="AX119" s="181"/>
      <c r="AY119" s="177"/>
      <c r="AZ119">
        <f ca="1">INDIRECT(ADDRESS(ROW()+1,COLUMN(Arbeitszeit!xDay),,,"Arbeitszeit"))</f>
        <v>3</v>
      </c>
    </row>
    <row r="120" spans="1:52">
      <c r="A120" s="582">
        <f>Arbeitszeit!A121</f>
        <v>41754</v>
      </c>
      <c r="B120" s="583">
        <f t="shared" si="4"/>
        <v>41754</v>
      </c>
      <c r="C120" s="214">
        <f t="shared" si="5"/>
        <v>17</v>
      </c>
      <c r="D120" s="213">
        <f t="shared" si="6"/>
        <v>41729</v>
      </c>
      <c r="E120" s="670">
        <f>Arbeitszeit!U121*24</f>
        <v>0</v>
      </c>
      <c r="F120" s="397">
        <f t="shared" si="7"/>
        <v>0</v>
      </c>
      <c r="G120" s="178">
        <f>IF(Arbeitszeit!F121=Urlaub,B_WorkTime*24,)</f>
        <v>0</v>
      </c>
      <c r="H120" s="174"/>
      <c r="I120" s="178">
        <f>IF(Arbeitszeit!F121=Krank,B_WorkTime*24,)</f>
        <v>0</v>
      </c>
      <c r="J120" s="174"/>
      <c r="K120" s="179"/>
      <c r="L120" s="180"/>
      <c r="M120" s="656"/>
      <c r="N120" s="657"/>
      <c r="O120" s="656"/>
      <c r="P120" s="657"/>
      <c r="Q120" s="656"/>
      <c r="R120" s="657"/>
      <c r="S120" s="656"/>
      <c r="T120" s="657"/>
      <c r="U120" s="656"/>
      <c r="V120" s="657"/>
      <c r="W120" s="656"/>
      <c r="X120" s="657"/>
      <c r="Y120" s="656"/>
      <c r="Z120" s="657"/>
      <c r="AA120" s="656"/>
      <c r="AB120" s="657"/>
      <c r="AC120" s="656"/>
      <c r="AD120" s="657"/>
      <c r="AE120" s="656"/>
      <c r="AF120" s="658"/>
      <c r="AG120" s="656"/>
      <c r="AH120" s="658"/>
      <c r="AI120" s="656"/>
      <c r="AJ120" s="658"/>
      <c r="AK120" s="656"/>
      <c r="AL120" s="658"/>
      <c r="AM120" s="659"/>
      <c r="AN120" s="658"/>
      <c r="AO120" s="656"/>
      <c r="AP120" s="658"/>
      <c r="AQ120" s="659"/>
      <c r="AR120" s="658"/>
      <c r="AS120" s="658"/>
      <c r="AT120" s="658"/>
      <c r="AU120" s="659"/>
      <c r="AV120" s="658"/>
      <c r="AW120" s="658"/>
      <c r="AX120" s="181"/>
      <c r="AY120" s="177"/>
      <c r="AZ120">
        <f ca="1">INDIRECT(ADDRESS(ROW()+1,COLUMN(Arbeitszeit!xDay),,,"Arbeitszeit"))</f>
        <v>4</v>
      </c>
    </row>
    <row r="121" spans="1:52">
      <c r="A121" s="582">
        <f>Arbeitszeit!A122</f>
        <v>41755</v>
      </c>
      <c r="B121" s="583">
        <f t="shared" si="4"/>
        <v>41755</v>
      </c>
      <c r="C121" s="214">
        <f t="shared" si="5"/>
        <v>17</v>
      </c>
      <c r="D121" s="213">
        <f t="shared" si="6"/>
        <v>41729</v>
      </c>
      <c r="E121" s="670">
        <f>Arbeitszeit!U122*24</f>
        <v>0</v>
      </c>
      <c r="F121" s="397">
        <f t="shared" si="7"/>
        <v>0</v>
      </c>
      <c r="G121" s="178">
        <f>IF(Arbeitszeit!F122=Urlaub,B_WorkTime*24,)</f>
        <v>0</v>
      </c>
      <c r="H121" s="174"/>
      <c r="I121" s="178">
        <f>IF(Arbeitszeit!F122=Krank,B_WorkTime*24,)</f>
        <v>0</v>
      </c>
      <c r="J121" s="174"/>
      <c r="K121" s="179"/>
      <c r="L121" s="180"/>
      <c r="M121" s="656"/>
      <c r="N121" s="657"/>
      <c r="O121" s="656"/>
      <c r="P121" s="657"/>
      <c r="Q121" s="656"/>
      <c r="R121" s="657"/>
      <c r="S121" s="656"/>
      <c r="T121" s="657"/>
      <c r="U121" s="656"/>
      <c r="V121" s="657"/>
      <c r="W121" s="656"/>
      <c r="X121" s="657"/>
      <c r="Y121" s="656"/>
      <c r="Z121" s="657"/>
      <c r="AA121" s="656"/>
      <c r="AB121" s="657"/>
      <c r="AC121" s="656"/>
      <c r="AD121" s="657"/>
      <c r="AE121" s="656"/>
      <c r="AF121" s="658"/>
      <c r="AG121" s="656"/>
      <c r="AH121" s="658"/>
      <c r="AI121" s="656"/>
      <c r="AJ121" s="658"/>
      <c r="AK121" s="656"/>
      <c r="AL121" s="658"/>
      <c r="AM121" s="659"/>
      <c r="AN121" s="658"/>
      <c r="AO121" s="656"/>
      <c r="AP121" s="658"/>
      <c r="AQ121" s="659"/>
      <c r="AR121" s="658"/>
      <c r="AS121" s="658"/>
      <c r="AT121" s="658"/>
      <c r="AU121" s="659"/>
      <c r="AV121" s="658"/>
      <c r="AW121" s="658"/>
      <c r="AX121" s="181"/>
      <c r="AY121" s="177"/>
      <c r="AZ121">
        <f ca="1">INDIRECT(ADDRESS(ROW()+1,COLUMN(Arbeitszeit!xDay),,,"Arbeitszeit"))</f>
        <v>5</v>
      </c>
    </row>
    <row r="122" spans="1:52">
      <c r="A122" s="582">
        <f>Arbeitszeit!A123</f>
        <v>41756</v>
      </c>
      <c r="B122" s="583">
        <f t="shared" si="4"/>
        <v>41756</v>
      </c>
      <c r="C122" s="214">
        <f t="shared" si="5"/>
        <v>17</v>
      </c>
      <c r="D122" s="213">
        <f t="shared" si="6"/>
        <v>41729</v>
      </c>
      <c r="E122" s="670">
        <f>Arbeitszeit!U123*24</f>
        <v>0</v>
      </c>
      <c r="F122" s="397">
        <f t="shared" si="7"/>
        <v>0</v>
      </c>
      <c r="G122" s="178">
        <f>IF(Arbeitszeit!F123=Urlaub,B_WorkTime*24,)</f>
        <v>0</v>
      </c>
      <c r="H122" s="174"/>
      <c r="I122" s="178">
        <f>IF(Arbeitszeit!F123=Krank,B_WorkTime*24,)</f>
        <v>0</v>
      </c>
      <c r="J122" s="174"/>
      <c r="K122" s="179"/>
      <c r="L122" s="180"/>
      <c r="M122" s="656"/>
      <c r="N122" s="657"/>
      <c r="O122" s="656"/>
      <c r="P122" s="657"/>
      <c r="Q122" s="656"/>
      <c r="R122" s="657"/>
      <c r="S122" s="656"/>
      <c r="T122" s="657"/>
      <c r="U122" s="656"/>
      <c r="V122" s="657"/>
      <c r="W122" s="656"/>
      <c r="X122" s="657"/>
      <c r="Y122" s="656"/>
      <c r="Z122" s="657"/>
      <c r="AA122" s="656"/>
      <c r="AB122" s="657"/>
      <c r="AC122" s="656"/>
      <c r="AD122" s="657"/>
      <c r="AE122" s="656"/>
      <c r="AF122" s="658"/>
      <c r="AG122" s="656"/>
      <c r="AH122" s="658"/>
      <c r="AI122" s="656"/>
      <c r="AJ122" s="658"/>
      <c r="AK122" s="656"/>
      <c r="AL122" s="658"/>
      <c r="AM122" s="659"/>
      <c r="AN122" s="658"/>
      <c r="AO122" s="656"/>
      <c r="AP122" s="658"/>
      <c r="AQ122" s="659"/>
      <c r="AR122" s="658"/>
      <c r="AS122" s="658"/>
      <c r="AT122" s="658"/>
      <c r="AU122" s="659"/>
      <c r="AV122" s="658"/>
      <c r="AW122" s="658"/>
      <c r="AX122" s="181"/>
      <c r="AY122" s="177"/>
      <c r="AZ122">
        <f ca="1">INDIRECT(ADDRESS(ROW()+1,COLUMN(Arbeitszeit!xDay),,,"Arbeitszeit"))</f>
        <v>6</v>
      </c>
    </row>
    <row r="123" spans="1:52">
      <c r="A123" s="582">
        <f>Arbeitszeit!A124</f>
        <v>41757</v>
      </c>
      <c r="B123" s="583">
        <f t="shared" si="4"/>
        <v>41757</v>
      </c>
      <c r="C123" s="214">
        <f t="shared" si="5"/>
        <v>17</v>
      </c>
      <c r="D123" s="213">
        <f t="shared" si="6"/>
        <v>41729</v>
      </c>
      <c r="E123" s="670">
        <f>Arbeitszeit!U124*24</f>
        <v>0</v>
      </c>
      <c r="F123" s="397">
        <f t="shared" si="7"/>
        <v>0</v>
      </c>
      <c r="G123" s="178">
        <f>IF(Arbeitszeit!F124=Urlaub,B_WorkTime*24,)</f>
        <v>0</v>
      </c>
      <c r="H123" s="174"/>
      <c r="I123" s="178">
        <f>IF(Arbeitszeit!F124=Krank,B_WorkTime*24,)</f>
        <v>0</v>
      </c>
      <c r="J123" s="174"/>
      <c r="K123" s="179"/>
      <c r="L123" s="180"/>
      <c r="M123" s="656"/>
      <c r="N123" s="657"/>
      <c r="O123" s="656"/>
      <c r="P123" s="657"/>
      <c r="Q123" s="656"/>
      <c r="R123" s="657"/>
      <c r="S123" s="656"/>
      <c r="T123" s="657"/>
      <c r="U123" s="656"/>
      <c r="V123" s="657"/>
      <c r="W123" s="656"/>
      <c r="X123" s="657"/>
      <c r="Y123" s="656"/>
      <c r="Z123" s="657"/>
      <c r="AA123" s="656"/>
      <c r="AB123" s="657"/>
      <c r="AC123" s="656"/>
      <c r="AD123" s="657"/>
      <c r="AE123" s="656"/>
      <c r="AF123" s="658"/>
      <c r="AG123" s="656"/>
      <c r="AH123" s="658"/>
      <c r="AI123" s="656"/>
      <c r="AJ123" s="658"/>
      <c r="AK123" s="656"/>
      <c r="AL123" s="658"/>
      <c r="AM123" s="659"/>
      <c r="AN123" s="658"/>
      <c r="AO123" s="656"/>
      <c r="AP123" s="658"/>
      <c r="AQ123" s="659"/>
      <c r="AR123" s="658"/>
      <c r="AS123" s="658"/>
      <c r="AT123" s="658"/>
      <c r="AU123" s="659"/>
      <c r="AV123" s="658"/>
      <c r="AW123" s="658"/>
      <c r="AX123" s="181"/>
      <c r="AY123" s="177"/>
      <c r="AZ123">
        <f ca="1">INDIRECT(ADDRESS(ROW()+1,COLUMN(Arbeitszeit!xDay),,,"Arbeitszeit"))</f>
        <v>7</v>
      </c>
    </row>
    <row r="124" spans="1:52">
      <c r="A124" s="582">
        <f>Arbeitszeit!A125</f>
        <v>41758</v>
      </c>
      <c r="B124" s="583">
        <f t="shared" si="4"/>
        <v>41758</v>
      </c>
      <c r="C124" s="214">
        <f t="shared" si="5"/>
        <v>18</v>
      </c>
      <c r="D124" s="213">
        <f t="shared" si="6"/>
        <v>41729</v>
      </c>
      <c r="E124" s="670">
        <f>Arbeitszeit!U125*24</f>
        <v>0</v>
      </c>
      <c r="F124" s="397">
        <f t="shared" si="7"/>
        <v>0</v>
      </c>
      <c r="G124" s="178">
        <f>IF(Arbeitszeit!F125=Urlaub,B_WorkTime*24,)</f>
        <v>0</v>
      </c>
      <c r="H124" s="174"/>
      <c r="I124" s="178">
        <f>IF(Arbeitszeit!F125=Krank,B_WorkTime*24,)</f>
        <v>0</v>
      </c>
      <c r="J124" s="174"/>
      <c r="K124" s="179"/>
      <c r="L124" s="180"/>
      <c r="M124" s="656"/>
      <c r="N124" s="657"/>
      <c r="O124" s="656"/>
      <c r="P124" s="657"/>
      <c r="Q124" s="656"/>
      <c r="R124" s="657"/>
      <c r="S124" s="656"/>
      <c r="T124" s="657"/>
      <c r="U124" s="656"/>
      <c r="V124" s="657"/>
      <c r="W124" s="656"/>
      <c r="X124" s="657"/>
      <c r="Y124" s="656"/>
      <c r="Z124" s="657"/>
      <c r="AA124" s="656"/>
      <c r="AB124" s="657"/>
      <c r="AC124" s="656"/>
      <c r="AD124" s="657"/>
      <c r="AE124" s="656"/>
      <c r="AF124" s="658"/>
      <c r="AG124" s="656"/>
      <c r="AH124" s="658"/>
      <c r="AI124" s="656"/>
      <c r="AJ124" s="658"/>
      <c r="AK124" s="656"/>
      <c r="AL124" s="658"/>
      <c r="AM124" s="659"/>
      <c r="AN124" s="658"/>
      <c r="AO124" s="656"/>
      <c r="AP124" s="658"/>
      <c r="AQ124" s="659"/>
      <c r="AR124" s="658"/>
      <c r="AS124" s="658"/>
      <c r="AT124" s="658"/>
      <c r="AU124" s="659"/>
      <c r="AV124" s="658"/>
      <c r="AW124" s="658"/>
      <c r="AX124" s="181"/>
      <c r="AY124" s="177"/>
      <c r="AZ124">
        <f ca="1">INDIRECT(ADDRESS(ROW()+1,COLUMN(Arbeitszeit!xDay),,,"Arbeitszeit"))</f>
        <v>1</v>
      </c>
    </row>
    <row r="125" spans="1:52">
      <c r="A125" s="582">
        <f>Arbeitszeit!A126</f>
        <v>41759</v>
      </c>
      <c r="B125" s="583">
        <f t="shared" si="4"/>
        <v>41759</v>
      </c>
      <c r="C125" s="214">
        <f t="shared" si="5"/>
        <v>18</v>
      </c>
      <c r="D125" s="213">
        <f t="shared" si="6"/>
        <v>41759</v>
      </c>
      <c r="E125" s="670">
        <f>Arbeitszeit!U126*24</f>
        <v>0</v>
      </c>
      <c r="F125" s="397">
        <f t="shared" si="7"/>
        <v>0</v>
      </c>
      <c r="G125" s="178">
        <f>IF(Arbeitszeit!F126=Urlaub,B_WorkTime*24,)</f>
        <v>0</v>
      </c>
      <c r="H125" s="174"/>
      <c r="I125" s="178">
        <f>IF(Arbeitszeit!F126=Krank,B_WorkTime*24,)</f>
        <v>0</v>
      </c>
      <c r="J125" s="174"/>
      <c r="K125" s="179"/>
      <c r="L125" s="180"/>
      <c r="M125" s="656"/>
      <c r="N125" s="657"/>
      <c r="O125" s="656"/>
      <c r="P125" s="657"/>
      <c r="Q125" s="656"/>
      <c r="R125" s="657"/>
      <c r="S125" s="656"/>
      <c r="T125" s="657"/>
      <c r="U125" s="656"/>
      <c r="V125" s="657"/>
      <c r="W125" s="656"/>
      <c r="X125" s="657"/>
      <c r="Y125" s="656"/>
      <c r="Z125" s="657"/>
      <c r="AA125" s="656"/>
      <c r="AB125" s="657"/>
      <c r="AC125" s="656"/>
      <c r="AD125" s="657"/>
      <c r="AE125" s="656"/>
      <c r="AF125" s="658"/>
      <c r="AG125" s="656"/>
      <c r="AH125" s="658"/>
      <c r="AI125" s="656"/>
      <c r="AJ125" s="658"/>
      <c r="AK125" s="656"/>
      <c r="AL125" s="658"/>
      <c r="AM125" s="659"/>
      <c r="AN125" s="658"/>
      <c r="AO125" s="656"/>
      <c r="AP125" s="658"/>
      <c r="AQ125" s="659"/>
      <c r="AR125" s="658"/>
      <c r="AS125" s="658"/>
      <c r="AT125" s="658"/>
      <c r="AU125" s="659"/>
      <c r="AV125" s="658"/>
      <c r="AW125" s="658"/>
      <c r="AX125" s="181"/>
      <c r="AY125" s="177"/>
      <c r="AZ125">
        <f ca="1">INDIRECT(ADDRESS(ROW()+1,COLUMN(Arbeitszeit!xDay),,,"Arbeitszeit"))</f>
        <v>8</v>
      </c>
    </row>
    <row r="126" spans="1:52">
      <c r="A126" s="582">
        <f>Arbeitszeit!A127</f>
        <v>41760</v>
      </c>
      <c r="B126" s="583">
        <f t="shared" si="4"/>
        <v>41760</v>
      </c>
      <c r="C126" s="214">
        <f t="shared" si="5"/>
        <v>18</v>
      </c>
      <c r="D126" s="213">
        <f t="shared" si="6"/>
        <v>41759</v>
      </c>
      <c r="E126" s="670">
        <f>Arbeitszeit!U127*24</f>
        <v>0</v>
      </c>
      <c r="F126" s="397">
        <f t="shared" si="7"/>
        <v>0</v>
      </c>
      <c r="G126" s="178">
        <f>IF(Arbeitszeit!F127=Urlaub,B_WorkTime*24,)</f>
        <v>0</v>
      </c>
      <c r="H126" s="174"/>
      <c r="I126" s="178">
        <f>IF(Arbeitszeit!F127=Krank,B_WorkTime*24,)</f>
        <v>0</v>
      </c>
      <c r="J126" s="174"/>
      <c r="K126" s="179"/>
      <c r="L126" s="180"/>
      <c r="M126" s="656"/>
      <c r="N126" s="657"/>
      <c r="O126" s="656"/>
      <c r="P126" s="657"/>
      <c r="Q126" s="656"/>
      <c r="R126" s="657"/>
      <c r="S126" s="656"/>
      <c r="T126" s="657"/>
      <c r="U126" s="656"/>
      <c r="V126" s="657"/>
      <c r="W126" s="656"/>
      <c r="X126" s="657"/>
      <c r="Y126" s="656"/>
      <c r="Z126" s="657"/>
      <c r="AA126" s="656"/>
      <c r="AB126" s="657"/>
      <c r="AC126" s="656"/>
      <c r="AD126" s="657"/>
      <c r="AE126" s="656"/>
      <c r="AF126" s="658"/>
      <c r="AG126" s="656"/>
      <c r="AH126" s="658"/>
      <c r="AI126" s="656"/>
      <c r="AJ126" s="658"/>
      <c r="AK126" s="656"/>
      <c r="AL126" s="658"/>
      <c r="AM126" s="659"/>
      <c r="AN126" s="658"/>
      <c r="AO126" s="656"/>
      <c r="AP126" s="658"/>
      <c r="AQ126" s="659"/>
      <c r="AR126" s="658"/>
      <c r="AS126" s="658"/>
      <c r="AT126" s="658"/>
      <c r="AU126" s="659"/>
      <c r="AV126" s="658"/>
      <c r="AW126" s="658"/>
      <c r="AX126" s="181"/>
      <c r="AY126" s="177"/>
      <c r="AZ126">
        <f ca="1">INDIRECT(ADDRESS(ROW()+1,COLUMN(Arbeitszeit!xDay),,,"Arbeitszeit"))</f>
        <v>3</v>
      </c>
    </row>
    <row r="127" spans="1:52">
      <c r="A127" s="582">
        <f>Arbeitszeit!A128</f>
        <v>41761</v>
      </c>
      <c r="B127" s="583">
        <f t="shared" si="4"/>
        <v>41761</v>
      </c>
      <c r="C127" s="214">
        <f t="shared" si="5"/>
        <v>18</v>
      </c>
      <c r="D127" s="213">
        <f t="shared" si="6"/>
        <v>41759</v>
      </c>
      <c r="E127" s="670">
        <f>Arbeitszeit!U128*24</f>
        <v>0</v>
      </c>
      <c r="F127" s="397">
        <f t="shared" si="7"/>
        <v>0</v>
      </c>
      <c r="G127" s="178">
        <f>IF(Arbeitszeit!F128=Urlaub,B_WorkTime*24,)</f>
        <v>0</v>
      </c>
      <c r="H127" s="174"/>
      <c r="I127" s="178">
        <f>IF(Arbeitszeit!F128=Krank,B_WorkTime*24,)</f>
        <v>0</v>
      </c>
      <c r="J127" s="174"/>
      <c r="K127" s="179"/>
      <c r="L127" s="180"/>
      <c r="M127" s="656"/>
      <c r="N127" s="657"/>
      <c r="O127" s="656"/>
      <c r="P127" s="657"/>
      <c r="Q127" s="656"/>
      <c r="R127" s="657"/>
      <c r="S127" s="656"/>
      <c r="T127" s="657"/>
      <c r="U127" s="656"/>
      <c r="V127" s="657"/>
      <c r="W127" s="656"/>
      <c r="X127" s="657"/>
      <c r="Y127" s="656"/>
      <c r="Z127" s="657"/>
      <c r="AA127" s="656"/>
      <c r="AB127" s="657"/>
      <c r="AC127" s="656"/>
      <c r="AD127" s="657"/>
      <c r="AE127" s="656"/>
      <c r="AF127" s="658"/>
      <c r="AG127" s="656"/>
      <c r="AH127" s="658"/>
      <c r="AI127" s="656"/>
      <c r="AJ127" s="658"/>
      <c r="AK127" s="656"/>
      <c r="AL127" s="658"/>
      <c r="AM127" s="659"/>
      <c r="AN127" s="658"/>
      <c r="AO127" s="656"/>
      <c r="AP127" s="658"/>
      <c r="AQ127" s="659"/>
      <c r="AR127" s="658"/>
      <c r="AS127" s="658"/>
      <c r="AT127" s="658"/>
      <c r="AU127" s="659"/>
      <c r="AV127" s="658"/>
      <c r="AW127" s="658"/>
      <c r="AX127" s="181"/>
      <c r="AY127" s="177"/>
      <c r="AZ127">
        <f ca="1">INDIRECT(ADDRESS(ROW()+1,COLUMN(Arbeitszeit!xDay),,,"Arbeitszeit"))</f>
        <v>4</v>
      </c>
    </row>
    <row r="128" spans="1:52">
      <c r="A128" s="582">
        <f>Arbeitszeit!A129</f>
        <v>41762</v>
      </c>
      <c r="B128" s="583">
        <f t="shared" si="4"/>
        <v>41762</v>
      </c>
      <c r="C128" s="214">
        <f t="shared" si="5"/>
        <v>18</v>
      </c>
      <c r="D128" s="213">
        <f t="shared" si="6"/>
        <v>41759</v>
      </c>
      <c r="E128" s="670">
        <f>Arbeitszeit!U129*24</f>
        <v>0</v>
      </c>
      <c r="F128" s="397">
        <f t="shared" si="7"/>
        <v>0</v>
      </c>
      <c r="G128" s="178">
        <f>IF(Arbeitszeit!F129=Urlaub,B_WorkTime*24,)</f>
        <v>0</v>
      </c>
      <c r="H128" s="174"/>
      <c r="I128" s="178">
        <f>IF(Arbeitszeit!F129=Krank,B_WorkTime*24,)</f>
        <v>0</v>
      </c>
      <c r="J128" s="174"/>
      <c r="K128" s="179"/>
      <c r="L128" s="180"/>
      <c r="M128" s="656"/>
      <c r="N128" s="657"/>
      <c r="O128" s="656"/>
      <c r="P128" s="657"/>
      <c r="Q128" s="656"/>
      <c r="R128" s="657"/>
      <c r="S128" s="656"/>
      <c r="T128" s="657"/>
      <c r="U128" s="656"/>
      <c r="V128" s="657"/>
      <c r="W128" s="656"/>
      <c r="X128" s="657"/>
      <c r="Y128" s="656"/>
      <c r="Z128" s="657"/>
      <c r="AA128" s="656"/>
      <c r="AB128" s="657"/>
      <c r="AC128" s="656"/>
      <c r="AD128" s="657"/>
      <c r="AE128" s="656"/>
      <c r="AF128" s="658"/>
      <c r="AG128" s="656"/>
      <c r="AH128" s="658"/>
      <c r="AI128" s="656"/>
      <c r="AJ128" s="658"/>
      <c r="AK128" s="656"/>
      <c r="AL128" s="658"/>
      <c r="AM128" s="659"/>
      <c r="AN128" s="658"/>
      <c r="AO128" s="656"/>
      <c r="AP128" s="658"/>
      <c r="AQ128" s="659"/>
      <c r="AR128" s="658"/>
      <c r="AS128" s="658"/>
      <c r="AT128" s="658"/>
      <c r="AU128" s="659"/>
      <c r="AV128" s="658"/>
      <c r="AW128" s="658"/>
      <c r="AX128" s="181"/>
      <c r="AY128" s="177"/>
      <c r="AZ128">
        <f ca="1">INDIRECT(ADDRESS(ROW()+1,COLUMN(Arbeitszeit!xDay),,,"Arbeitszeit"))</f>
        <v>5</v>
      </c>
    </row>
    <row r="129" spans="1:52">
      <c r="A129" s="582">
        <f>Arbeitszeit!A130</f>
        <v>41763</v>
      </c>
      <c r="B129" s="583">
        <f t="shared" si="4"/>
        <v>41763</v>
      </c>
      <c r="C129" s="214">
        <f t="shared" si="5"/>
        <v>18</v>
      </c>
      <c r="D129" s="213">
        <f t="shared" si="6"/>
        <v>41759</v>
      </c>
      <c r="E129" s="670">
        <f>Arbeitszeit!U130*24</f>
        <v>0</v>
      </c>
      <c r="F129" s="397">
        <f t="shared" si="7"/>
        <v>0</v>
      </c>
      <c r="G129" s="178">
        <f>IF(Arbeitszeit!F130=Urlaub,B_WorkTime*24,)</f>
        <v>0</v>
      </c>
      <c r="H129" s="174"/>
      <c r="I129" s="178">
        <f>IF(Arbeitszeit!F130=Krank,B_WorkTime*24,)</f>
        <v>0</v>
      </c>
      <c r="J129" s="174"/>
      <c r="K129" s="179"/>
      <c r="L129" s="180"/>
      <c r="M129" s="656"/>
      <c r="N129" s="657"/>
      <c r="O129" s="656"/>
      <c r="P129" s="657"/>
      <c r="Q129" s="656"/>
      <c r="R129" s="657"/>
      <c r="S129" s="656"/>
      <c r="T129" s="657"/>
      <c r="U129" s="656"/>
      <c r="V129" s="657"/>
      <c r="W129" s="656"/>
      <c r="X129" s="657"/>
      <c r="Y129" s="656"/>
      <c r="Z129" s="657"/>
      <c r="AA129" s="656"/>
      <c r="AB129" s="657"/>
      <c r="AC129" s="656"/>
      <c r="AD129" s="657"/>
      <c r="AE129" s="656"/>
      <c r="AF129" s="658"/>
      <c r="AG129" s="656"/>
      <c r="AH129" s="658"/>
      <c r="AI129" s="656"/>
      <c r="AJ129" s="658"/>
      <c r="AK129" s="656"/>
      <c r="AL129" s="658"/>
      <c r="AM129" s="659"/>
      <c r="AN129" s="658"/>
      <c r="AO129" s="656"/>
      <c r="AP129" s="658"/>
      <c r="AQ129" s="659"/>
      <c r="AR129" s="658"/>
      <c r="AS129" s="658"/>
      <c r="AT129" s="658"/>
      <c r="AU129" s="659"/>
      <c r="AV129" s="658"/>
      <c r="AW129" s="658"/>
      <c r="AX129" s="181"/>
      <c r="AY129" s="177"/>
      <c r="AZ129">
        <f ca="1">INDIRECT(ADDRESS(ROW()+1,COLUMN(Arbeitszeit!xDay),,,"Arbeitszeit"))</f>
        <v>6</v>
      </c>
    </row>
    <row r="130" spans="1:52">
      <c r="A130" s="582">
        <f>Arbeitszeit!A131</f>
        <v>41764</v>
      </c>
      <c r="B130" s="583">
        <f t="shared" si="4"/>
        <v>41764</v>
      </c>
      <c r="C130" s="214">
        <f t="shared" si="5"/>
        <v>18</v>
      </c>
      <c r="D130" s="213">
        <f t="shared" si="6"/>
        <v>41759</v>
      </c>
      <c r="E130" s="670">
        <f>Arbeitszeit!U131*24</f>
        <v>0</v>
      </c>
      <c r="F130" s="397">
        <f t="shared" si="7"/>
        <v>0</v>
      </c>
      <c r="G130" s="178">
        <f>IF(Arbeitszeit!F131=Urlaub,B_WorkTime*24,)</f>
        <v>0</v>
      </c>
      <c r="H130" s="174"/>
      <c r="I130" s="178">
        <f>IF(Arbeitszeit!F131=Krank,B_WorkTime*24,)</f>
        <v>0</v>
      </c>
      <c r="J130" s="174"/>
      <c r="K130" s="179"/>
      <c r="L130" s="180"/>
      <c r="M130" s="656"/>
      <c r="N130" s="657"/>
      <c r="O130" s="656"/>
      <c r="P130" s="657"/>
      <c r="Q130" s="656"/>
      <c r="R130" s="657"/>
      <c r="S130" s="656"/>
      <c r="T130" s="657"/>
      <c r="U130" s="656"/>
      <c r="V130" s="657"/>
      <c r="W130" s="656"/>
      <c r="X130" s="657"/>
      <c r="Y130" s="656"/>
      <c r="Z130" s="657"/>
      <c r="AA130" s="656"/>
      <c r="AB130" s="657"/>
      <c r="AC130" s="656"/>
      <c r="AD130" s="657"/>
      <c r="AE130" s="656"/>
      <c r="AF130" s="658"/>
      <c r="AG130" s="656"/>
      <c r="AH130" s="658"/>
      <c r="AI130" s="656"/>
      <c r="AJ130" s="658"/>
      <c r="AK130" s="656"/>
      <c r="AL130" s="658"/>
      <c r="AM130" s="659"/>
      <c r="AN130" s="658"/>
      <c r="AO130" s="656"/>
      <c r="AP130" s="658"/>
      <c r="AQ130" s="659"/>
      <c r="AR130" s="658"/>
      <c r="AS130" s="658"/>
      <c r="AT130" s="658"/>
      <c r="AU130" s="659"/>
      <c r="AV130" s="658"/>
      <c r="AW130" s="658"/>
      <c r="AX130" s="181"/>
      <c r="AY130" s="177"/>
      <c r="AZ130">
        <f ca="1">INDIRECT(ADDRESS(ROW()+1,COLUMN(Arbeitszeit!xDay),,,"Arbeitszeit"))</f>
        <v>7</v>
      </c>
    </row>
    <row r="131" spans="1:52">
      <c r="A131" s="582">
        <f>Arbeitszeit!A132</f>
        <v>41765</v>
      </c>
      <c r="B131" s="583">
        <f t="shared" si="4"/>
        <v>41765</v>
      </c>
      <c r="C131" s="214">
        <f t="shared" si="5"/>
        <v>19</v>
      </c>
      <c r="D131" s="213">
        <f t="shared" si="6"/>
        <v>41759</v>
      </c>
      <c r="E131" s="670">
        <f>Arbeitszeit!U132*24</f>
        <v>0</v>
      </c>
      <c r="F131" s="397">
        <f t="shared" si="7"/>
        <v>0</v>
      </c>
      <c r="G131" s="178">
        <f>IF(Arbeitszeit!F132=Urlaub,B_WorkTime*24,)</f>
        <v>0</v>
      </c>
      <c r="H131" s="174"/>
      <c r="I131" s="178">
        <f>IF(Arbeitszeit!F132=Krank,B_WorkTime*24,)</f>
        <v>0</v>
      </c>
      <c r="J131" s="174"/>
      <c r="K131" s="179"/>
      <c r="L131" s="180"/>
      <c r="M131" s="656"/>
      <c r="N131" s="657"/>
      <c r="O131" s="656"/>
      <c r="P131" s="657"/>
      <c r="Q131" s="656"/>
      <c r="R131" s="657"/>
      <c r="S131" s="656"/>
      <c r="T131" s="657"/>
      <c r="U131" s="656"/>
      <c r="V131" s="657"/>
      <c r="W131" s="656"/>
      <c r="X131" s="657"/>
      <c r="Y131" s="656"/>
      <c r="Z131" s="657"/>
      <c r="AA131" s="656"/>
      <c r="AB131" s="657"/>
      <c r="AC131" s="656"/>
      <c r="AD131" s="657"/>
      <c r="AE131" s="656"/>
      <c r="AF131" s="658"/>
      <c r="AG131" s="656"/>
      <c r="AH131" s="658"/>
      <c r="AI131" s="656"/>
      <c r="AJ131" s="658"/>
      <c r="AK131" s="656"/>
      <c r="AL131" s="658"/>
      <c r="AM131" s="659"/>
      <c r="AN131" s="658"/>
      <c r="AO131" s="656"/>
      <c r="AP131" s="658"/>
      <c r="AQ131" s="659"/>
      <c r="AR131" s="658"/>
      <c r="AS131" s="658"/>
      <c r="AT131" s="658"/>
      <c r="AU131" s="659"/>
      <c r="AV131" s="658"/>
      <c r="AW131" s="658"/>
      <c r="AX131" s="181"/>
      <c r="AY131" s="177"/>
      <c r="AZ131">
        <f ca="1">INDIRECT(ADDRESS(ROW()+1,COLUMN(Arbeitszeit!xDay),,,"Arbeitszeit"))</f>
        <v>1</v>
      </c>
    </row>
    <row r="132" spans="1:52">
      <c r="A132" s="582">
        <f>Arbeitszeit!A133</f>
        <v>41766</v>
      </c>
      <c r="B132" s="583">
        <f t="shared" si="4"/>
        <v>41766</v>
      </c>
      <c r="C132" s="214">
        <f t="shared" si="5"/>
        <v>19</v>
      </c>
      <c r="D132" s="213">
        <f t="shared" si="6"/>
        <v>41759</v>
      </c>
      <c r="E132" s="670">
        <f>Arbeitszeit!U133*24</f>
        <v>0</v>
      </c>
      <c r="F132" s="397">
        <f t="shared" si="7"/>
        <v>0</v>
      </c>
      <c r="G132" s="178">
        <f>IF(Arbeitszeit!F133=Urlaub,B_WorkTime*24,)</f>
        <v>0</v>
      </c>
      <c r="H132" s="174"/>
      <c r="I132" s="178">
        <f>IF(Arbeitszeit!F133=Krank,B_WorkTime*24,)</f>
        <v>0</v>
      </c>
      <c r="J132" s="174"/>
      <c r="K132" s="179"/>
      <c r="L132" s="180"/>
      <c r="M132" s="656"/>
      <c r="N132" s="657"/>
      <c r="O132" s="656"/>
      <c r="P132" s="657"/>
      <c r="Q132" s="656"/>
      <c r="R132" s="657"/>
      <c r="S132" s="656"/>
      <c r="T132" s="657"/>
      <c r="U132" s="656"/>
      <c r="V132" s="657"/>
      <c r="W132" s="656"/>
      <c r="X132" s="657"/>
      <c r="Y132" s="656"/>
      <c r="Z132" s="657"/>
      <c r="AA132" s="656"/>
      <c r="AB132" s="657"/>
      <c r="AC132" s="656"/>
      <c r="AD132" s="657"/>
      <c r="AE132" s="656"/>
      <c r="AF132" s="658"/>
      <c r="AG132" s="656"/>
      <c r="AH132" s="658"/>
      <c r="AI132" s="656"/>
      <c r="AJ132" s="658"/>
      <c r="AK132" s="656"/>
      <c r="AL132" s="658"/>
      <c r="AM132" s="659"/>
      <c r="AN132" s="658"/>
      <c r="AO132" s="656"/>
      <c r="AP132" s="658"/>
      <c r="AQ132" s="659"/>
      <c r="AR132" s="658"/>
      <c r="AS132" s="658"/>
      <c r="AT132" s="658"/>
      <c r="AU132" s="659"/>
      <c r="AV132" s="658"/>
      <c r="AW132" s="658"/>
      <c r="AX132" s="181"/>
      <c r="AY132" s="177"/>
      <c r="AZ132">
        <f ca="1">INDIRECT(ADDRESS(ROW()+1,COLUMN(Arbeitszeit!xDay),,,"Arbeitszeit"))</f>
        <v>2</v>
      </c>
    </row>
    <row r="133" spans="1:52">
      <c r="A133" s="582">
        <f>Arbeitszeit!A134</f>
        <v>41767</v>
      </c>
      <c r="B133" s="583">
        <f t="shared" si="4"/>
        <v>41767</v>
      </c>
      <c r="C133" s="214">
        <f t="shared" si="5"/>
        <v>19</v>
      </c>
      <c r="D133" s="213">
        <f t="shared" si="6"/>
        <v>41759</v>
      </c>
      <c r="E133" s="670">
        <f>Arbeitszeit!U134*24</f>
        <v>0</v>
      </c>
      <c r="F133" s="397">
        <f t="shared" si="7"/>
        <v>0</v>
      </c>
      <c r="G133" s="178">
        <f>IF(Arbeitszeit!F134=Urlaub,B_WorkTime*24,)</f>
        <v>0</v>
      </c>
      <c r="H133" s="174"/>
      <c r="I133" s="178">
        <f>IF(Arbeitszeit!F134=Krank,B_WorkTime*24,)</f>
        <v>0</v>
      </c>
      <c r="J133" s="174"/>
      <c r="K133" s="179"/>
      <c r="L133" s="180"/>
      <c r="M133" s="656"/>
      <c r="N133" s="657"/>
      <c r="O133" s="656"/>
      <c r="P133" s="657"/>
      <c r="Q133" s="656"/>
      <c r="R133" s="657"/>
      <c r="S133" s="656"/>
      <c r="T133" s="657"/>
      <c r="U133" s="656"/>
      <c r="V133" s="657"/>
      <c r="W133" s="656"/>
      <c r="X133" s="657"/>
      <c r="Y133" s="656"/>
      <c r="Z133" s="657"/>
      <c r="AA133" s="656"/>
      <c r="AB133" s="657"/>
      <c r="AC133" s="656"/>
      <c r="AD133" s="657"/>
      <c r="AE133" s="656"/>
      <c r="AF133" s="658"/>
      <c r="AG133" s="656"/>
      <c r="AH133" s="658"/>
      <c r="AI133" s="656"/>
      <c r="AJ133" s="658"/>
      <c r="AK133" s="656"/>
      <c r="AL133" s="658"/>
      <c r="AM133" s="659"/>
      <c r="AN133" s="658"/>
      <c r="AO133" s="656"/>
      <c r="AP133" s="658"/>
      <c r="AQ133" s="659"/>
      <c r="AR133" s="658"/>
      <c r="AS133" s="658"/>
      <c r="AT133" s="658"/>
      <c r="AU133" s="659"/>
      <c r="AV133" s="658"/>
      <c r="AW133" s="658"/>
      <c r="AX133" s="181"/>
      <c r="AY133" s="177"/>
      <c r="AZ133">
        <f ca="1">INDIRECT(ADDRESS(ROW()+1,COLUMN(Arbeitszeit!xDay),,,"Arbeitszeit"))</f>
        <v>3</v>
      </c>
    </row>
    <row r="134" spans="1:52">
      <c r="A134" s="582">
        <f>Arbeitszeit!A135</f>
        <v>41768</v>
      </c>
      <c r="B134" s="583">
        <f t="shared" ref="B134:B197" si="8">IF(A134="","",A134)</f>
        <v>41768</v>
      </c>
      <c r="C134" s="214">
        <f t="shared" si="5"/>
        <v>19</v>
      </c>
      <c r="D134" s="213">
        <f t="shared" si="6"/>
        <v>41759</v>
      </c>
      <c r="E134" s="670">
        <f>Arbeitszeit!U135*24</f>
        <v>0</v>
      </c>
      <c r="F134" s="397">
        <f t="shared" si="7"/>
        <v>0</v>
      </c>
      <c r="G134" s="178">
        <f>IF(Arbeitszeit!F135=Urlaub,B_WorkTime*24,)</f>
        <v>0</v>
      </c>
      <c r="H134" s="174"/>
      <c r="I134" s="178">
        <f>IF(Arbeitszeit!F135=Krank,B_WorkTime*24,)</f>
        <v>0</v>
      </c>
      <c r="J134" s="174"/>
      <c r="K134" s="179"/>
      <c r="L134" s="180"/>
      <c r="M134" s="656"/>
      <c r="N134" s="657"/>
      <c r="O134" s="656"/>
      <c r="P134" s="657"/>
      <c r="Q134" s="656"/>
      <c r="R134" s="657"/>
      <c r="S134" s="656"/>
      <c r="T134" s="657"/>
      <c r="U134" s="656"/>
      <c r="V134" s="657"/>
      <c r="W134" s="656"/>
      <c r="X134" s="657"/>
      <c r="Y134" s="656"/>
      <c r="Z134" s="657"/>
      <c r="AA134" s="656"/>
      <c r="AB134" s="657"/>
      <c r="AC134" s="656"/>
      <c r="AD134" s="657"/>
      <c r="AE134" s="656"/>
      <c r="AF134" s="658"/>
      <c r="AG134" s="656"/>
      <c r="AH134" s="658"/>
      <c r="AI134" s="656"/>
      <c r="AJ134" s="658"/>
      <c r="AK134" s="656"/>
      <c r="AL134" s="658"/>
      <c r="AM134" s="659"/>
      <c r="AN134" s="658"/>
      <c r="AO134" s="656"/>
      <c r="AP134" s="658"/>
      <c r="AQ134" s="659"/>
      <c r="AR134" s="658"/>
      <c r="AS134" s="658"/>
      <c r="AT134" s="658"/>
      <c r="AU134" s="659"/>
      <c r="AV134" s="658"/>
      <c r="AW134" s="658"/>
      <c r="AX134" s="181"/>
      <c r="AY134" s="177"/>
      <c r="AZ134">
        <f ca="1">INDIRECT(ADDRESS(ROW()+1,COLUMN(Arbeitszeit!xDay),,,"Arbeitszeit"))</f>
        <v>8</v>
      </c>
    </row>
    <row r="135" spans="1:52">
      <c r="A135" s="582">
        <f>Arbeitszeit!A136</f>
        <v>41769</v>
      </c>
      <c r="B135" s="583">
        <f t="shared" si="8"/>
        <v>41769</v>
      </c>
      <c r="C135" s="214">
        <f t="shared" ref="C135:C198" si="9">IF(A135="","",NumberOfWeek(A135))</f>
        <v>19</v>
      </c>
      <c r="D135" s="213">
        <f t="shared" ref="D135:D198" si="10">IF(A135="","",DATE(YEAR(A135),MONTH(A135),1))</f>
        <v>41759</v>
      </c>
      <c r="E135" s="670">
        <f>Arbeitszeit!U136*24</f>
        <v>0</v>
      </c>
      <c r="F135" s="397">
        <f t="shared" si="7"/>
        <v>0</v>
      </c>
      <c r="G135" s="178">
        <f>IF(Arbeitszeit!F136=Urlaub,B_WorkTime*24,)</f>
        <v>0</v>
      </c>
      <c r="H135" s="174"/>
      <c r="I135" s="178">
        <f>IF(Arbeitszeit!F136=Krank,B_WorkTime*24,)</f>
        <v>0</v>
      </c>
      <c r="J135" s="174"/>
      <c r="K135" s="179"/>
      <c r="L135" s="180"/>
      <c r="M135" s="656"/>
      <c r="N135" s="657"/>
      <c r="O135" s="656"/>
      <c r="P135" s="657"/>
      <c r="Q135" s="656"/>
      <c r="R135" s="657"/>
      <c r="S135" s="656"/>
      <c r="T135" s="657"/>
      <c r="U135" s="656"/>
      <c r="V135" s="657"/>
      <c r="W135" s="656"/>
      <c r="X135" s="657"/>
      <c r="Y135" s="656"/>
      <c r="Z135" s="657"/>
      <c r="AA135" s="656"/>
      <c r="AB135" s="657"/>
      <c r="AC135" s="656"/>
      <c r="AD135" s="657"/>
      <c r="AE135" s="656"/>
      <c r="AF135" s="658"/>
      <c r="AG135" s="656"/>
      <c r="AH135" s="658"/>
      <c r="AI135" s="656"/>
      <c r="AJ135" s="658"/>
      <c r="AK135" s="656"/>
      <c r="AL135" s="658"/>
      <c r="AM135" s="659"/>
      <c r="AN135" s="658"/>
      <c r="AO135" s="656"/>
      <c r="AP135" s="658"/>
      <c r="AQ135" s="659"/>
      <c r="AR135" s="658"/>
      <c r="AS135" s="658"/>
      <c r="AT135" s="658"/>
      <c r="AU135" s="659"/>
      <c r="AV135" s="658"/>
      <c r="AW135" s="658"/>
      <c r="AX135" s="181"/>
      <c r="AY135" s="177"/>
      <c r="AZ135">
        <f ca="1">INDIRECT(ADDRESS(ROW()+1,COLUMN(Arbeitszeit!xDay),,,"Arbeitszeit"))</f>
        <v>5</v>
      </c>
    </row>
    <row r="136" spans="1:52">
      <c r="A136" s="582">
        <f>Arbeitszeit!A137</f>
        <v>41770</v>
      </c>
      <c r="B136" s="583">
        <f t="shared" si="8"/>
        <v>41770</v>
      </c>
      <c r="C136" s="214">
        <f t="shared" si="9"/>
        <v>19</v>
      </c>
      <c r="D136" s="213">
        <f t="shared" si="10"/>
        <v>41759</v>
      </c>
      <c r="E136" s="670">
        <f>Arbeitszeit!U137*24</f>
        <v>0</v>
      </c>
      <c r="F136" s="397">
        <f t="shared" ref="F136:F199" si="11">ROUND(E136-SUM(K136:AW136),1)</f>
        <v>0</v>
      </c>
      <c r="G136" s="178">
        <f>IF(Arbeitszeit!F137=Urlaub,B_WorkTime*24,)</f>
        <v>0</v>
      </c>
      <c r="H136" s="174"/>
      <c r="I136" s="178">
        <f>IF(Arbeitszeit!F137=Krank,B_WorkTime*24,)</f>
        <v>0</v>
      </c>
      <c r="J136" s="174"/>
      <c r="K136" s="179"/>
      <c r="L136" s="180"/>
      <c r="M136" s="656"/>
      <c r="N136" s="657"/>
      <c r="O136" s="656"/>
      <c r="P136" s="657"/>
      <c r="Q136" s="656"/>
      <c r="R136" s="657"/>
      <c r="S136" s="656"/>
      <c r="T136" s="657"/>
      <c r="U136" s="656"/>
      <c r="V136" s="657"/>
      <c r="W136" s="656"/>
      <c r="X136" s="657"/>
      <c r="Y136" s="656"/>
      <c r="Z136" s="657"/>
      <c r="AA136" s="656"/>
      <c r="AB136" s="657"/>
      <c r="AC136" s="656"/>
      <c r="AD136" s="657"/>
      <c r="AE136" s="656"/>
      <c r="AF136" s="658"/>
      <c r="AG136" s="656"/>
      <c r="AH136" s="658"/>
      <c r="AI136" s="656"/>
      <c r="AJ136" s="658"/>
      <c r="AK136" s="656"/>
      <c r="AL136" s="658"/>
      <c r="AM136" s="659"/>
      <c r="AN136" s="658"/>
      <c r="AO136" s="656"/>
      <c r="AP136" s="658"/>
      <c r="AQ136" s="659"/>
      <c r="AR136" s="658"/>
      <c r="AS136" s="658"/>
      <c r="AT136" s="658"/>
      <c r="AU136" s="659"/>
      <c r="AV136" s="658"/>
      <c r="AW136" s="658"/>
      <c r="AX136" s="181"/>
      <c r="AY136" s="177"/>
      <c r="AZ136">
        <f ca="1">INDIRECT(ADDRESS(ROW()+1,COLUMN(Arbeitszeit!xDay),,,"Arbeitszeit"))</f>
        <v>6</v>
      </c>
    </row>
    <row r="137" spans="1:52">
      <c r="A137" s="582">
        <f>Arbeitszeit!A138</f>
        <v>41771</v>
      </c>
      <c r="B137" s="583">
        <f t="shared" si="8"/>
        <v>41771</v>
      </c>
      <c r="C137" s="214">
        <f t="shared" si="9"/>
        <v>19</v>
      </c>
      <c r="D137" s="213">
        <f t="shared" si="10"/>
        <v>41759</v>
      </c>
      <c r="E137" s="670">
        <f>Arbeitszeit!U138*24</f>
        <v>0</v>
      </c>
      <c r="F137" s="397">
        <f t="shared" si="11"/>
        <v>0</v>
      </c>
      <c r="G137" s="178">
        <f>IF(Arbeitszeit!F138=Urlaub,B_WorkTime*24,)</f>
        <v>0</v>
      </c>
      <c r="H137" s="174"/>
      <c r="I137" s="178">
        <f>IF(Arbeitszeit!F138=Krank,B_WorkTime*24,)</f>
        <v>0</v>
      </c>
      <c r="J137" s="174"/>
      <c r="K137" s="179"/>
      <c r="L137" s="180"/>
      <c r="M137" s="656"/>
      <c r="N137" s="657"/>
      <c r="O137" s="656"/>
      <c r="P137" s="657"/>
      <c r="Q137" s="656"/>
      <c r="R137" s="657"/>
      <c r="S137" s="656"/>
      <c r="T137" s="657"/>
      <c r="U137" s="656"/>
      <c r="V137" s="657"/>
      <c r="W137" s="656"/>
      <c r="X137" s="657"/>
      <c r="Y137" s="656"/>
      <c r="Z137" s="657"/>
      <c r="AA137" s="656"/>
      <c r="AB137" s="657"/>
      <c r="AC137" s="656"/>
      <c r="AD137" s="657"/>
      <c r="AE137" s="656"/>
      <c r="AF137" s="658"/>
      <c r="AG137" s="656"/>
      <c r="AH137" s="658"/>
      <c r="AI137" s="656"/>
      <c r="AJ137" s="658"/>
      <c r="AK137" s="656"/>
      <c r="AL137" s="658"/>
      <c r="AM137" s="659"/>
      <c r="AN137" s="658"/>
      <c r="AO137" s="656"/>
      <c r="AP137" s="658"/>
      <c r="AQ137" s="659"/>
      <c r="AR137" s="658"/>
      <c r="AS137" s="658"/>
      <c r="AT137" s="658"/>
      <c r="AU137" s="659"/>
      <c r="AV137" s="658"/>
      <c r="AW137" s="658"/>
      <c r="AX137" s="181"/>
      <c r="AY137" s="177"/>
      <c r="AZ137">
        <f ca="1">INDIRECT(ADDRESS(ROW()+1,COLUMN(Arbeitszeit!xDay),,,"Arbeitszeit"))</f>
        <v>7</v>
      </c>
    </row>
    <row r="138" spans="1:52">
      <c r="A138" s="582">
        <f>Arbeitszeit!A139</f>
        <v>41772</v>
      </c>
      <c r="B138" s="583">
        <f t="shared" si="8"/>
        <v>41772</v>
      </c>
      <c r="C138" s="214">
        <f t="shared" si="9"/>
        <v>20</v>
      </c>
      <c r="D138" s="213">
        <f t="shared" si="10"/>
        <v>41759</v>
      </c>
      <c r="E138" s="670">
        <f>Arbeitszeit!U139*24</f>
        <v>0</v>
      </c>
      <c r="F138" s="397">
        <f t="shared" si="11"/>
        <v>0</v>
      </c>
      <c r="G138" s="178">
        <f>IF(Arbeitszeit!F139=Urlaub,B_WorkTime*24,)</f>
        <v>0</v>
      </c>
      <c r="H138" s="174"/>
      <c r="I138" s="178">
        <f>IF(Arbeitszeit!F139=Krank,B_WorkTime*24,)</f>
        <v>0</v>
      </c>
      <c r="J138" s="174"/>
      <c r="K138" s="179"/>
      <c r="L138" s="180"/>
      <c r="M138" s="656"/>
      <c r="N138" s="657"/>
      <c r="O138" s="656"/>
      <c r="P138" s="657"/>
      <c r="Q138" s="656"/>
      <c r="R138" s="657"/>
      <c r="S138" s="656"/>
      <c r="T138" s="657"/>
      <c r="U138" s="656"/>
      <c r="V138" s="657"/>
      <c r="W138" s="656"/>
      <c r="X138" s="657"/>
      <c r="Y138" s="656"/>
      <c r="Z138" s="657"/>
      <c r="AA138" s="656"/>
      <c r="AB138" s="657"/>
      <c r="AC138" s="656"/>
      <c r="AD138" s="657"/>
      <c r="AE138" s="656"/>
      <c r="AF138" s="658"/>
      <c r="AG138" s="656"/>
      <c r="AH138" s="658"/>
      <c r="AI138" s="656"/>
      <c r="AJ138" s="658"/>
      <c r="AK138" s="656"/>
      <c r="AL138" s="658"/>
      <c r="AM138" s="659"/>
      <c r="AN138" s="658"/>
      <c r="AO138" s="656"/>
      <c r="AP138" s="658"/>
      <c r="AQ138" s="659"/>
      <c r="AR138" s="658"/>
      <c r="AS138" s="658"/>
      <c r="AT138" s="658"/>
      <c r="AU138" s="659"/>
      <c r="AV138" s="658"/>
      <c r="AW138" s="658"/>
      <c r="AX138" s="181"/>
      <c r="AY138" s="177"/>
      <c r="AZ138">
        <f ca="1">INDIRECT(ADDRESS(ROW()+1,COLUMN(Arbeitszeit!xDay),,,"Arbeitszeit"))</f>
        <v>1</v>
      </c>
    </row>
    <row r="139" spans="1:52" s="5" customFormat="1">
      <c r="A139" s="582">
        <f>Arbeitszeit!A140</f>
        <v>41773</v>
      </c>
      <c r="B139" s="583">
        <f t="shared" si="8"/>
        <v>41773</v>
      </c>
      <c r="C139" s="214">
        <f t="shared" si="9"/>
        <v>20</v>
      </c>
      <c r="D139" s="213">
        <f t="shared" si="10"/>
        <v>41759</v>
      </c>
      <c r="E139" s="670">
        <f>Arbeitszeit!U140*24</f>
        <v>0</v>
      </c>
      <c r="F139" s="397">
        <f t="shared" si="11"/>
        <v>0</v>
      </c>
      <c r="G139" s="178">
        <f>IF(Arbeitszeit!F140=Urlaub,B_WorkTime*24,)</f>
        <v>0</v>
      </c>
      <c r="H139" s="174"/>
      <c r="I139" s="178">
        <f>IF(Arbeitszeit!F140=Krank,B_WorkTime*24,)</f>
        <v>0</v>
      </c>
      <c r="J139" s="174"/>
      <c r="K139" s="179"/>
      <c r="L139" s="180"/>
      <c r="M139" s="656"/>
      <c r="N139" s="657"/>
      <c r="O139" s="656"/>
      <c r="P139" s="657"/>
      <c r="Q139" s="656"/>
      <c r="R139" s="657"/>
      <c r="S139" s="656"/>
      <c r="T139" s="657"/>
      <c r="U139" s="656"/>
      <c r="V139" s="657"/>
      <c r="W139" s="656"/>
      <c r="X139" s="657"/>
      <c r="Y139" s="656"/>
      <c r="Z139" s="657"/>
      <c r="AA139" s="656"/>
      <c r="AB139" s="657"/>
      <c r="AC139" s="656"/>
      <c r="AD139" s="657"/>
      <c r="AE139" s="656"/>
      <c r="AF139" s="658"/>
      <c r="AG139" s="656"/>
      <c r="AH139" s="658"/>
      <c r="AI139" s="656"/>
      <c r="AJ139" s="658"/>
      <c r="AK139" s="656"/>
      <c r="AL139" s="658"/>
      <c r="AM139" s="659"/>
      <c r="AN139" s="658"/>
      <c r="AO139" s="656"/>
      <c r="AP139" s="658"/>
      <c r="AQ139" s="659"/>
      <c r="AR139" s="658"/>
      <c r="AS139" s="658"/>
      <c r="AT139" s="658"/>
      <c r="AU139" s="659"/>
      <c r="AV139" s="658"/>
      <c r="AW139" s="658"/>
      <c r="AX139" s="181"/>
      <c r="AY139" s="177"/>
      <c r="AZ139">
        <f ca="1">INDIRECT(ADDRESS(ROW()+1,COLUMN(Arbeitszeit!xDay),,,"Arbeitszeit"))</f>
        <v>2</v>
      </c>
    </row>
    <row r="140" spans="1:52">
      <c r="A140" s="582">
        <f>Arbeitszeit!A141</f>
        <v>41774</v>
      </c>
      <c r="B140" s="583">
        <f t="shared" si="8"/>
        <v>41774</v>
      </c>
      <c r="C140" s="214">
        <f t="shared" si="9"/>
        <v>20</v>
      </c>
      <c r="D140" s="213">
        <f t="shared" si="10"/>
        <v>41759</v>
      </c>
      <c r="E140" s="670">
        <f>Arbeitszeit!U141*24</f>
        <v>0</v>
      </c>
      <c r="F140" s="397">
        <f t="shared" si="11"/>
        <v>0</v>
      </c>
      <c r="G140" s="178">
        <f>IF(Arbeitszeit!F141=Urlaub,B_WorkTime*24,)</f>
        <v>0</v>
      </c>
      <c r="H140" s="174"/>
      <c r="I140" s="178">
        <f>IF(Arbeitszeit!F141=Krank,B_WorkTime*24,)</f>
        <v>0</v>
      </c>
      <c r="J140" s="174"/>
      <c r="K140" s="179"/>
      <c r="L140" s="180"/>
      <c r="M140" s="656"/>
      <c r="N140" s="657"/>
      <c r="O140" s="656"/>
      <c r="P140" s="657"/>
      <c r="Q140" s="656"/>
      <c r="R140" s="657"/>
      <c r="S140" s="656"/>
      <c r="T140" s="657"/>
      <c r="U140" s="656"/>
      <c r="V140" s="657"/>
      <c r="W140" s="656"/>
      <c r="X140" s="657"/>
      <c r="Y140" s="656"/>
      <c r="Z140" s="657"/>
      <c r="AA140" s="656"/>
      <c r="AB140" s="657"/>
      <c r="AC140" s="656"/>
      <c r="AD140" s="657"/>
      <c r="AE140" s="656"/>
      <c r="AF140" s="658"/>
      <c r="AG140" s="656"/>
      <c r="AH140" s="658"/>
      <c r="AI140" s="656"/>
      <c r="AJ140" s="658"/>
      <c r="AK140" s="656"/>
      <c r="AL140" s="658"/>
      <c r="AM140" s="659"/>
      <c r="AN140" s="658"/>
      <c r="AO140" s="656"/>
      <c r="AP140" s="658"/>
      <c r="AQ140" s="659"/>
      <c r="AR140" s="658"/>
      <c r="AS140" s="658"/>
      <c r="AT140" s="658"/>
      <c r="AU140" s="659"/>
      <c r="AV140" s="658"/>
      <c r="AW140" s="658"/>
      <c r="AX140" s="181"/>
      <c r="AY140" s="177"/>
      <c r="AZ140">
        <f ca="1">INDIRECT(ADDRESS(ROW()+1,COLUMN(Arbeitszeit!xDay),,,"Arbeitszeit"))</f>
        <v>3</v>
      </c>
    </row>
    <row r="141" spans="1:52">
      <c r="A141" s="582">
        <f>Arbeitszeit!A142</f>
        <v>41775</v>
      </c>
      <c r="B141" s="583">
        <f t="shared" si="8"/>
        <v>41775</v>
      </c>
      <c r="C141" s="214">
        <f t="shared" si="9"/>
        <v>20</v>
      </c>
      <c r="D141" s="213">
        <f t="shared" si="10"/>
        <v>41759</v>
      </c>
      <c r="E141" s="670">
        <f>Arbeitszeit!U142*24</f>
        <v>0</v>
      </c>
      <c r="F141" s="397">
        <f t="shared" si="11"/>
        <v>0</v>
      </c>
      <c r="G141" s="178">
        <f>IF(Arbeitszeit!F142=Urlaub,B_WorkTime*24,)</f>
        <v>0</v>
      </c>
      <c r="H141" s="174"/>
      <c r="I141" s="178">
        <f>IF(Arbeitszeit!F142=Krank,B_WorkTime*24,)</f>
        <v>0</v>
      </c>
      <c r="J141" s="174"/>
      <c r="K141" s="179"/>
      <c r="L141" s="180"/>
      <c r="M141" s="656"/>
      <c r="N141" s="657"/>
      <c r="O141" s="656"/>
      <c r="P141" s="657"/>
      <c r="Q141" s="656"/>
      <c r="R141" s="657"/>
      <c r="S141" s="656"/>
      <c r="T141" s="657"/>
      <c r="U141" s="656"/>
      <c r="V141" s="657"/>
      <c r="W141" s="656"/>
      <c r="X141" s="657"/>
      <c r="Y141" s="656"/>
      <c r="Z141" s="657"/>
      <c r="AA141" s="656"/>
      <c r="AB141" s="657"/>
      <c r="AC141" s="656"/>
      <c r="AD141" s="657"/>
      <c r="AE141" s="656"/>
      <c r="AF141" s="658"/>
      <c r="AG141" s="656"/>
      <c r="AH141" s="658"/>
      <c r="AI141" s="656"/>
      <c r="AJ141" s="658"/>
      <c r="AK141" s="656"/>
      <c r="AL141" s="658"/>
      <c r="AM141" s="659"/>
      <c r="AN141" s="658"/>
      <c r="AO141" s="656"/>
      <c r="AP141" s="658"/>
      <c r="AQ141" s="659"/>
      <c r="AR141" s="658"/>
      <c r="AS141" s="658"/>
      <c r="AT141" s="658"/>
      <c r="AU141" s="659"/>
      <c r="AV141" s="658"/>
      <c r="AW141" s="658"/>
      <c r="AX141" s="181"/>
      <c r="AY141" s="177"/>
      <c r="AZ141">
        <f ca="1">INDIRECT(ADDRESS(ROW()+1,COLUMN(Arbeitszeit!xDay),,,"Arbeitszeit"))</f>
        <v>4</v>
      </c>
    </row>
    <row r="142" spans="1:52">
      <c r="A142" s="582">
        <f>Arbeitszeit!A143</f>
        <v>41776</v>
      </c>
      <c r="B142" s="583">
        <f t="shared" si="8"/>
        <v>41776</v>
      </c>
      <c r="C142" s="214">
        <f t="shared" si="9"/>
        <v>20</v>
      </c>
      <c r="D142" s="213">
        <f t="shared" si="10"/>
        <v>41759</v>
      </c>
      <c r="E142" s="670">
        <f>Arbeitszeit!U143*24</f>
        <v>0</v>
      </c>
      <c r="F142" s="397">
        <f t="shared" si="11"/>
        <v>0</v>
      </c>
      <c r="G142" s="178">
        <f>IF(Arbeitszeit!F143=Urlaub,B_WorkTime*24,)</f>
        <v>0</v>
      </c>
      <c r="H142" s="174"/>
      <c r="I142" s="178">
        <f>IF(Arbeitszeit!F143=Krank,B_WorkTime*24,)</f>
        <v>0</v>
      </c>
      <c r="J142" s="174"/>
      <c r="K142" s="179"/>
      <c r="L142" s="180"/>
      <c r="M142" s="656"/>
      <c r="N142" s="657"/>
      <c r="O142" s="656"/>
      <c r="P142" s="657"/>
      <c r="Q142" s="656"/>
      <c r="R142" s="657"/>
      <c r="S142" s="656"/>
      <c r="T142" s="657"/>
      <c r="U142" s="656"/>
      <c r="V142" s="657"/>
      <c r="W142" s="656"/>
      <c r="X142" s="657"/>
      <c r="Y142" s="656"/>
      <c r="Z142" s="657"/>
      <c r="AA142" s="656"/>
      <c r="AB142" s="657"/>
      <c r="AC142" s="656"/>
      <c r="AD142" s="657"/>
      <c r="AE142" s="656"/>
      <c r="AF142" s="658"/>
      <c r="AG142" s="656"/>
      <c r="AH142" s="658"/>
      <c r="AI142" s="656"/>
      <c r="AJ142" s="658"/>
      <c r="AK142" s="656"/>
      <c r="AL142" s="658"/>
      <c r="AM142" s="659"/>
      <c r="AN142" s="658"/>
      <c r="AO142" s="656"/>
      <c r="AP142" s="658"/>
      <c r="AQ142" s="659"/>
      <c r="AR142" s="658"/>
      <c r="AS142" s="658"/>
      <c r="AT142" s="658"/>
      <c r="AU142" s="659"/>
      <c r="AV142" s="658"/>
      <c r="AW142" s="658"/>
      <c r="AX142" s="181"/>
      <c r="AY142" s="177"/>
      <c r="AZ142">
        <f ca="1">INDIRECT(ADDRESS(ROW()+1,COLUMN(Arbeitszeit!xDay),,,"Arbeitszeit"))</f>
        <v>5</v>
      </c>
    </row>
    <row r="143" spans="1:52">
      <c r="A143" s="582">
        <f>Arbeitszeit!A144</f>
        <v>41777</v>
      </c>
      <c r="B143" s="583">
        <f t="shared" si="8"/>
        <v>41777</v>
      </c>
      <c r="C143" s="214">
        <f t="shared" si="9"/>
        <v>20</v>
      </c>
      <c r="D143" s="213">
        <f t="shared" si="10"/>
        <v>41759</v>
      </c>
      <c r="E143" s="670">
        <f>Arbeitszeit!U144*24</f>
        <v>0</v>
      </c>
      <c r="F143" s="397">
        <f t="shared" si="11"/>
        <v>0</v>
      </c>
      <c r="G143" s="178">
        <f>IF(Arbeitszeit!F144=Urlaub,B_WorkTime*24,)</f>
        <v>0</v>
      </c>
      <c r="H143" s="174"/>
      <c r="I143" s="178">
        <f>IF(Arbeitszeit!F144=Krank,B_WorkTime*24,)</f>
        <v>0</v>
      </c>
      <c r="J143" s="174"/>
      <c r="K143" s="179"/>
      <c r="L143" s="180"/>
      <c r="M143" s="656"/>
      <c r="N143" s="657"/>
      <c r="O143" s="656"/>
      <c r="P143" s="657"/>
      <c r="Q143" s="656"/>
      <c r="R143" s="657"/>
      <c r="S143" s="656"/>
      <c r="T143" s="657"/>
      <c r="U143" s="656"/>
      <c r="V143" s="657"/>
      <c r="W143" s="656"/>
      <c r="X143" s="657"/>
      <c r="Y143" s="656"/>
      <c r="Z143" s="657"/>
      <c r="AA143" s="656"/>
      <c r="AB143" s="657"/>
      <c r="AC143" s="656"/>
      <c r="AD143" s="657"/>
      <c r="AE143" s="656"/>
      <c r="AF143" s="658"/>
      <c r="AG143" s="656"/>
      <c r="AH143" s="658"/>
      <c r="AI143" s="656"/>
      <c r="AJ143" s="658"/>
      <c r="AK143" s="656"/>
      <c r="AL143" s="658"/>
      <c r="AM143" s="659"/>
      <c r="AN143" s="658"/>
      <c r="AO143" s="656"/>
      <c r="AP143" s="658"/>
      <c r="AQ143" s="659"/>
      <c r="AR143" s="658"/>
      <c r="AS143" s="658"/>
      <c r="AT143" s="658"/>
      <c r="AU143" s="659"/>
      <c r="AV143" s="658"/>
      <c r="AW143" s="658"/>
      <c r="AX143" s="181"/>
      <c r="AY143" s="177"/>
      <c r="AZ143">
        <f ca="1">INDIRECT(ADDRESS(ROW()+1,COLUMN(Arbeitszeit!xDay),,,"Arbeitszeit"))</f>
        <v>6</v>
      </c>
    </row>
    <row r="144" spans="1:52">
      <c r="A144" s="582">
        <f>Arbeitszeit!A145</f>
        <v>41778</v>
      </c>
      <c r="B144" s="583">
        <f t="shared" si="8"/>
        <v>41778</v>
      </c>
      <c r="C144" s="214">
        <f t="shared" si="9"/>
        <v>20</v>
      </c>
      <c r="D144" s="213">
        <f t="shared" si="10"/>
        <v>41759</v>
      </c>
      <c r="E144" s="670">
        <f>Arbeitszeit!U145*24</f>
        <v>0</v>
      </c>
      <c r="F144" s="397">
        <f t="shared" si="11"/>
        <v>0</v>
      </c>
      <c r="G144" s="178">
        <f>IF(Arbeitszeit!F145=Urlaub,B_WorkTime*24,)</f>
        <v>0</v>
      </c>
      <c r="H144" s="174"/>
      <c r="I144" s="178">
        <f>IF(Arbeitszeit!F145=Krank,B_WorkTime*24,)</f>
        <v>0</v>
      </c>
      <c r="J144" s="174"/>
      <c r="K144" s="179"/>
      <c r="L144" s="180"/>
      <c r="M144" s="656"/>
      <c r="N144" s="657"/>
      <c r="O144" s="656"/>
      <c r="P144" s="657"/>
      <c r="Q144" s="656"/>
      <c r="R144" s="657"/>
      <c r="S144" s="656"/>
      <c r="T144" s="657"/>
      <c r="U144" s="656"/>
      <c r="V144" s="657"/>
      <c r="W144" s="656"/>
      <c r="X144" s="657"/>
      <c r="Y144" s="656"/>
      <c r="Z144" s="657"/>
      <c r="AA144" s="656"/>
      <c r="AB144" s="657"/>
      <c r="AC144" s="656"/>
      <c r="AD144" s="657"/>
      <c r="AE144" s="656"/>
      <c r="AF144" s="658"/>
      <c r="AG144" s="656"/>
      <c r="AH144" s="658"/>
      <c r="AI144" s="656"/>
      <c r="AJ144" s="658"/>
      <c r="AK144" s="656"/>
      <c r="AL144" s="658"/>
      <c r="AM144" s="659"/>
      <c r="AN144" s="658"/>
      <c r="AO144" s="656"/>
      <c r="AP144" s="658"/>
      <c r="AQ144" s="659"/>
      <c r="AR144" s="658"/>
      <c r="AS144" s="658"/>
      <c r="AT144" s="658"/>
      <c r="AU144" s="659"/>
      <c r="AV144" s="658"/>
      <c r="AW144" s="658"/>
      <c r="AX144" s="181"/>
      <c r="AY144" s="177"/>
      <c r="AZ144">
        <f ca="1">INDIRECT(ADDRESS(ROW()+1,COLUMN(Arbeitszeit!xDay),,,"Arbeitszeit"))</f>
        <v>8</v>
      </c>
    </row>
    <row r="145" spans="1:52">
      <c r="A145" s="582">
        <f>Arbeitszeit!A146</f>
        <v>41779</v>
      </c>
      <c r="B145" s="583">
        <f t="shared" si="8"/>
        <v>41779</v>
      </c>
      <c r="C145" s="214">
        <f t="shared" si="9"/>
        <v>21</v>
      </c>
      <c r="D145" s="213">
        <f t="shared" si="10"/>
        <v>41759</v>
      </c>
      <c r="E145" s="670">
        <f>Arbeitszeit!U146*24</f>
        <v>0</v>
      </c>
      <c r="F145" s="397">
        <f t="shared" si="11"/>
        <v>0</v>
      </c>
      <c r="G145" s="178">
        <f>IF(Arbeitszeit!F146=Urlaub,B_WorkTime*24,)</f>
        <v>0</v>
      </c>
      <c r="H145" s="174"/>
      <c r="I145" s="178">
        <f>IF(Arbeitszeit!F146=Krank,B_WorkTime*24,)</f>
        <v>0</v>
      </c>
      <c r="J145" s="174"/>
      <c r="K145" s="179"/>
      <c r="L145" s="180"/>
      <c r="M145" s="656"/>
      <c r="N145" s="657"/>
      <c r="O145" s="656"/>
      <c r="P145" s="657"/>
      <c r="Q145" s="656"/>
      <c r="R145" s="657"/>
      <c r="S145" s="656"/>
      <c r="T145" s="657"/>
      <c r="U145" s="656"/>
      <c r="V145" s="657"/>
      <c r="W145" s="656"/>
      <c r="X145" s="657"/>
      <c r="Y145" s="656"/>
      <c r="Z145" s="657"/>
      <c r="AA145" s="656"/>
      <c r="AB145" s="657"/>
      <c r="AC145" s="656"/>
      <c r="AD145" s="657"/>
      <c r="AE145" s="656"/>
      <c r="AF145" s="658"/>
      <c r="AG145" s="656"/>
      <c r="AH145" s="658"/>
      <c r="AI145" s="656"/>
      <c r="AJ145" s="658"/>
      <c r="AK145" s="656"/>
      <c r="AL145" s="658"/>
      <c r="AM145" s="659"/>
      <c r="AN145" s="658"/>
      <c r="AO145" s="656"/>
      <c r="AP145" s="658"/>
      <c r="AQ145" s="659"/>
      <c r="AR145" s="658"/>
      <c r="AS145" s="658"/>
      <c r="AT145" s="658"/>
      <c r="AU145" s="659"/>
      <c r="AV145" s="658"/>
      <c r="AW145" s="658"/>
      <c r="AX145" s="181"/>
      <c r="AY145" s="177"/>
      <c r="AZ145">
        <f ca="1">INDIRECT(ADDRESS(ROW()+1,COLUMN(Arbeitszeit!xDay),,,"Arbeitszeit"))</f>
        <v>8</v>
      </c>
    </row>
    <row r="146" spans="1:52">
      <c r="A146" s="582">
        <f>Arbeitszeit!A147</f>
        <v>41780</v>
      </c>
      <c r="B146" s="583">
        <f t="shared" si="8"/>
        <v>41780</v>
      </c>
      <c r="C146" s="214">
        <f t="shared" si="9"/>
        <v>21</v>
      </c>
      <c r="D146" s="213">
        <f t="shared" si="10"/>
        <v>41759</v>
      </c>
      <c r="E146" s="670">
        <f>Arbeitszeit!U147*24</f>
        <v>0</v>
      </c>
      <c r="F146" s="397">
        <f t="shared" si="11"/>
        <v>0</v>
      </c>
      <c r="G146" s="178">
        <f>IF(Arbeitszeit!F147=Urlaub,B_WorkTime*24,)</f>
        <v>0</v>
      </c>
      <c r="H146" s="174"/>
      <c r="I146" s="178">
        <f>IF(Arbeitszeit!F147=Krank,B_WorkTime*24,)</f>
        <v>0</v>
      </c>
      <c r="J146" s="174"/>
      <c r="K146" s="179"/>
      <c r="L146" s="180"/>
      <c r="M146" s="656"/>
      <c r="N146" s="657"/>
      <c r="O146" s="656"/>
      <c r="P146" s="657"/>
      <c r="Q146" s="656"/>
      <c r="R146" s="657"/>
      <c r="S146" s="656"/>
      <c r="T146" s="657"/>
      <c r="U146" s="656"/>
      <c r="V146" s="657"/>
      <c r="W146" s="656"/>
      <c r="X146" s="657"/>
      <c r="Y146" s="656"/>
      <c r="Z146" s="657"/>
      <c r="AA146" s="656"/>
      <c r="AB146" s="657"/>
      <c r="AC146" s="656"/>
      <c r="AD146" s="657"/>
      <c r="AE146" s="656"/>
      <c r="AF146" s="658"/>
      <c r="AG146" s="656"/>
      <c r="AH146" s="658"/>
      <c r="AI146" s="656"/>
      <c r="AJ146" s="658"/>
      <c r="AK146" s="656"/>
      <c r="AL146" s="658"/>
      <c r="AM146" s="659"/>
      <c r="AN146" s="658"/>
      <c r="AO146" s="656"/>
      <c r="AP146" s="658"/>
      <c r="AQ146" s="659"/>
      <c r="AR146" s="658"/>
      <c r="AS146" s="658"/>
      <c r="AT146" s="658"/>
      <c r="AU146" s="659"/>
      <c r="AV146" s="658"/>
      <c r="AW146" s="658"/>
      <c r="AX146" s="181"/>
      <c r="AY146" s="177"/>
      <c r="AZ146">
        <f ca="1">INDIRECT(ADDRESS(ROW()+1,COLUMN(Arbeitszeit!xDay),,,"Arbeitszeit"))</f>
        <v>2</v>
      </c>
    </row>
    <row r="147" spans="1:52">
      <c r="A147" s="582">
        <f>Arbeitszeit!A148</f>
        <v>41781</v>
      </c>
      <c r="B147" s="583">
        <f t="shared" si="8"/>
        <v>41781</v>
      </c>
      <c r="C147" s="214">
        <f t="shared" si="9"/>
        <v>21</v>
      </c>
      <c r="D147" s="213">
        <f t="shared" si="10"/>
        <v>41759</v>
      </c>
      <c r="E147" s="670">
        <f>Arbeitszeit!U148*24</f>
        <v>0</v>
      </c>
      <c r="F147" s="397">
        <f t="shared" si="11"/>
        <v>0</v>
      </c>
      <c r="G147" s="178">
        <f>IF(Arbeitszeit!F148=Urlaub,B_WorkTime*24,)</f>
        <v>0</v>
      </c>
      <c r="H147" s="174"/>
      <c r="I147" s="178">
        <f>IF(Arbeitszeit!F148=Krank,B_WorkTime*24,)</f>
        <v>0</v>
      </c>
      <c r="J147" s="174"/>
      <c r="K147" s="179"/>
      <c r="L147" s="180"/>
      <c r="M147" s="656"/>
      <c r="N147" s="657"/>
      <c r="O147" s="656"/>
      <c r="P147" s="657"/>
      <c r="Q147" s="656"/>
      <c r="R147" s="657"/>
      <c r="S147" s="656"/>
      <c r="T147" s="657"/>
      <c r="U147" s="656"/>
      <c r="V147" s="657"/>
      <c r="W147" s="656"/>
      <c r="X147" s="657"/>
      <c r="Y147" s="656"/>
      <c r="Z147" s="657"/>
      <c r="AA147" s="656"/>
      <c r="AB147" s="657"/>
      <c r="AC147" s="656"/>
      <c r="AD147" s="657"/>
      <c r="AE147" s="656"/>
      <c r="AF147" s="658"/>
      <c r="AG147" s="656"/>
      <c r="AH147" s="658"/>
      <c r="AI147" s="656"/>
      <c r="AJ147" s="658"/>
      <c r="AK147" s="656"/>
      <c r="AL147" s="658"/>
      <c r="AM147" s="659"/>
      <c r="AN147" s="658"/>
      <c r="AO147" s="656"/>
      <c r="AP147" s="658"/>
      <c r="AQ147" s="659"/>
      <c r="AR147" s="658"/>
      <c r="AS147" s="658"/>
      <c r="AT147" s="658"/>
      <c r="AU147" s="659"/>
      <c r="AV147" s="658"/>
      <c r="AW147" s="658"/>
      <c r="AX147" s="181"/>
      <c r="AY147" s="177"/>
      <c r="AZ147">
        <f ca="1">INDIRECT(ADDRESS(ROW()+1,COLUMN(Arbeitszeit!xDay),,,"Arbeitszeit"))</f>
        <v>3</v>
      </c>
    </row>
    <row r="148" spans="1:52">
      <c r="A148" s="582">
        <f>Arbeitszeit!A149</f>
        <v>41782</v>
      </c>
      <c r="B148" s="583">
        <f t="shared" si="8"/>
        <v>41782</v>
      </c>
      <c r="C148" s="214">
        <f t="shared" si="9"/>
        <v>21</v>
      </c>
      <c r="D148" s="213">
        <f t="shared" si="10"/>
        <v>41759</v>
      </c>
      <c r="E148" s="670">
        <f>Arbeitszeit!U149*24</f>
        <v>0</v>
      </c>
      <c r="F148" s="397">
        <f t="shared" si="11"/>
        <v>0</v>
      </c>
      <c r="G148" s="178">
        <f>IF(Arbeitszeit!F149=Urlaub,B_WorkTime*24,)</f>
        <v>0</v>
      </c>
      <c r="H148" s="174"/>
      <c r="I148" s="178">
        <f>IF(Arbeitszeit!F149=Krank,B_WorkTime*24,)</f>
        <v>0</v>
      </c>
      <c r="J148" s="174"/>
      <c r="K148" s="179"/>
      <c r="L148" s="180"/>
      <c r="M148" s="656"/>
      <c r="N148" s="657"/>
      <c r="O148" s="656"/>
      <c r="P148" s="657"/>
      <c r="Q148" s="656"/>
      <c r="R148" s="657"/>
      <c r="S148" s="656"/>
      <c r="T148" s="657"/>
      <c r="U148" s="656"/>
      <c r="V148" s="657"/>
      <c r="W148" s="656"/>
      <c r="X148" s="657"/>
      <c r="Y148" s="656"/>
      <c r="Z148" s="657"/>
      <c r="AA148" s="656"/>
      <c r="AB148" s="657"/>
      <c r="AC148" s="656"/>
      <c r="AD148" s="657"/>
      <c r="AE148" s="656"/>
      <c r="AF148" s="658"/>
      <c r="AG148" s="656"/>
      <c r="AH148" s="658"/>
      <c r="AI148" s="656"/>
      <c r="AJ148" s="658"/>
      <c r="AK148" s="656"/>
      <c r="AL148" s="658"/>
      <c r="AM148" s="659"/>
      <c r="AN148" s="658"/>
      <c r="AO148" s="656"/>
      <c r="AP148" s="658"/>
      <c r="AQ148" s="659"/>
      <c r="AR148" s="658"/>
      <c r="AS148" s="658"/>
      <c r="AT148" s="658"/>
      <c r="AU148" s="659"/>
      <c r="AV148" s="658"/>
      <c r="AW148" s="658"/>
      <c r="AX148" s="181"/>
      <c r="AY148" s="177"/>
      <c r="AZ148">
        <f ca="1">INDIRECT(ADDRESS(ROW()+1,COLUMN(Arbeitszeit!xDay),,,"Arbeitszeit"))</f>
        <v>4</v>
      </c>
    </row>
    <row r="149" spans="1:52">
      <c r="A149" s="582">
        <f>Arbeitszeit!A150</f>
        <v>41783</v>
      </c>
      <c r="B149" s="583">
        <f t="shared" si="8"/>
        <v>41783</v>
      </c>
      <c r="C149" s="214">
        <f t="shared" si="9"/>
        <v>21</v>
      </c>
      <c r="D149" s="213">
        <f t="shared" si="10"/>
        <v>41759</v>
      </c>
      <c r="E149" s="670">
        <f>Arbeitszeit!U150*24</f>
        <v>0</v>
      </c>
      <c r="F149" s="397">
        <f t="shared" si="11"/>
        <v>0</v>
      </c>
      <c r="G149" s="178">
        <f>IF(Arbeitszeit!F150=Urlaub,B_WorkTime*24,)</f>
        <v>0</v>
      </c>
      <c r="H149" s="174"/>
      <c r="I149" s="178">
        <f>IF(Arbeitszeit!F150=Krank,B_WorkTime*24,)</f>
        <v>0</v>
      </c>
      <c r="J149" s="174"/>
      <c r="K149" s="179"/>
      <c r="L149" s="180"/>
      <c r="M149" s="656"/>
      <c r="N149" s="657"/>
      <c r="O149" s="656"/>
      <c r="P149" s="657"/>
      <c r="Q149" s="656"/>
      <c r="R149" s="657"/>
      <c r="S149" s="656"/>
      <c r="T149" s="657"/>
      <c r="U149" s="656"/>
      <c r="V149" s="657"/>
      <c r="W149" s="656"/>
      <c r="X149" s="657"/>
      <c r="Y149" s="656"/>
      <c r="Z149" s="657"/>
      <c r="AA149" s="656"/>
      <c r="AB149" s="657"/>
      <c r="AC149" s="656"/>
      <c r="AD149" s="657"/>
      <c r="AE149" s="656"/>
      <c r="AF149" s="658"/>
      <c r="AG149" s="656"/>
      <c r="AH149" s="658"/>
      <c r="AI149" s="656"/>
      <c r="AJ149" s="658"/>
      <c r="AK149" s="656"/>
      <c r="AL149" s="658"/>
      <c r="AM149" s="659"/>
      <c r="AN149" s="658"/>
      <c r="AO149" s="656"/>
      <c r="AP149" s="658"/>
      <c r="AQ149" s="659"/>
      <c r="AR149" s="658"/>
      <c r="AS149" s="658"/>
      <c r="AT149" s="658"/>
      <c r="AU149" s="659"/>
      <c r="AV149" s="658"/>
      <c r="AW149" s="658"/>
      <c r="AX149" s="181"/>
      <c r="AY149" s="177"/>
      <c r="AZ149">
        <f ca="1">INDIRECT(ADDRESS(ROW()+1,COLUMN(Arbeitszeit!xDay),,,"Arbeitszeit"))</f>
        <v>5</v>
      </c>
    </row>
    <row r="150" spans="1:52">
      <c r="A150" s="582">
        <f>Arbeitszeit!A151</f>
        <v>41784</v>
      </c>
      <c r="B150" s="583">
        <f t="shared" si="8"/>
        <v>41784</v>
      </c>
      <c r="C150" s="214">
        <f t="shared" si="9"/>
        <v>21</v>
      </c>
      <c r="D150" s="213">
        <f t="shared" si="10"/>
        <v>41759</v>
      </c>
      <c r="E150" s="670">
        <f>Arbeitszeit!U151*24</f>
        <v>0</v>
      </c>
      <c r="F150" s="397">
        <f t="shared" si="11"/>
        <v>0</v>
      </c>
      <c r="G150" s="178">
        <f>IF(Arbeitszeit!F151=Urlaub,B_WorkTime*24,)</f>
        <v>0</v>
      </c>
      <c r="H150" s="174"/>
      <c r="I150" s="178">
        <f>IF(Arbeitszeit!F151=Krank,B_WorkTime*24,)</f>
        <v>0</v>
      </c>
      <c r="J150" s="174"/>
      <c r="K150" s="179"/>
      <c r="L150" s="180"/>
      <c r="M150" s="656"/>
      <c r="N150" s="657"/>
      <c r="O150" s="656"/>
      <c r="P150" s="657"/>
      <c r="Q150" s="656"/>
      <c r="R150" s="657"/>
      <c r="S150" s="656"/>
      <c r="T150" s="657"/>
      <c r="U150" s="656"/>
      <c r="V150" s="657"/>
      <c r="W150" s="656"/>
      <c r="X150" s="657"/>
      <c r="Y150" s="656"/>
      <c r="Z150" s="657"/>
      <c r="AA150" s="656"/>
      <c r="AB150" s="657"/>
      <c r="AC150" s="656"/>
      <c r="AD150" s="657"/>
      <c r="AE150" s="656"/>
      <c r="AF150" s="658"/>
      <c r="AG150" s="656"/>
      <c r="AH150" s="658"/>
      <c r="AI150" s="656"/>
      <c r="AJ150" s="658"/>
      <c r="AK150" s="656"/>
      <c r="AL150" s="658"/>
      <c r="AM150" s="659"/>
      <c r="AN150" s="658"/>
      <c r="AO150" s="656"/>
      <c r="AP150" s="658"/>
      <c r="AQ150" s="659"/>
      <c r="AR150" s="658"/>
      <c r="AS150" s="658"/>
      <c r="AT150" s="658"/>
      <c r="AU150" s="659"/>
      <c r="AV150" s="658"/>
      <c r="AW150" s="658"/>
      <c r="AX150" s="181"/>
      <c r="AY150" s="177"/>
      <c r="AZ150">
        <f ca="1">INDIRECT(ADDRESS(ROW()+1,COLUMN(Arbeitszeit!xDay),,,"Arbeitszeit"))</f>
        <v>6</v>
      </c>
    </row>
    <row r="151" spans="1:52">
      <c r="A151" s="582">
        <f>Arbeitszeit!A152</f>
        <v>41785</v>
      </c>
      <c r="B151" s="583">
        <f t="shared" si="8"/>
        <v>41785</v>
      </c>
      <c r="C151" s="214">
        <f t="shared" si="9"/>
        <v>21</v>
      </c>
      <c r="D151" s="213">
        <f t="shared" si="10"/>
        <v>41759</v>
      </c>
      <c r="E151" s="670">
        <f>Arbeitszeit!U152*24</f>
        <v>0</v>
      </c>
      <c r="F151" s="397">
        <f t="shared" si="11"/>
        <v>0</v>
      </c>
      <c r="G151" s="178">
        <f>IF(Arbeitszeit!F152=Urlaub,B_WorkTime*24,)</f>
        <v>0</v>
      </c>
      <c r="H151" s="174"/>
      <c r="I151" s="178">
        <f>IF(Arbeitszeit!F152=Krank,B_WorkTime*24,)</f>
        <v>0</v>
      </c>
      <c r="J151" s="174"/>
      <c r="K151" s="179"/>
      <c r="L151" s="180"/>
      <c r="M151" s="656"/>
      <c r="N151" s="657"/>
      <c r="O151" s="656"/>
      <c r="P151" s="657"/>
      <c r="Q151" s="656"/>
      <c r="R151" s="657"/>
      <c r="S151" s="656"/>
      <c r="T151" s="657"/>
      <c r="U151" s="656"/>
      <c r="V151" s="657"/>
      <c r="W151" s="656"/>
      <c r="X151" s="657"/>
      <c r="Y151" s="656"/>
      <c r="Z151" s="657"/>
      <c r="AA151" s="656"/>
      <c r="AB151" s="657"/>
      <c r="AC151" s="656"/>
      <c r="AD151" s="657"/>
      <c r="AE151" s="656"/>
      <c r="AF151" s="658"/>
      <c r="AG151" s="656"/>
      <c r="AH151" s="658"/>
      <c r="AI151" s="656"/>
      <c r="AJ151" s="658"/>
      <c r="AK151" s="656"/>
      <c r="AL151" s="658"/>
      <c r="AM151" s="659"/>
      <c r="AN151" s="658"/>
      <c r="AO151" s="656"/>
      <c r="AP151" s="658"/>
      <c r="AQ151" s="659"/>
      <c r="AR151" s="658"/>
      <c r="AS151" s="658"/>
      <c r="AT151" s="658"/>
      <c r="AU151" s="659"/>
      <c r="AV151" s="658"/>
      <c r="AW151" s="658"/>
      <c r="AX151" s="181"/>
      <c r="AY151" s="177"/>
      <c r="AZ151">
        <f ca="1">INDIRECT(ADDRESS(ROW()+1,COLUMN(Arbeitszeit!xDay),,,"Arbeitszeit"))</f>
        <v>7</v>
      </c>
    </row>
    <row r="152" spans="1:52">
      <c r="A152" s="582">
        <f>Arbeitszeit!A153</f>
        <v>41786</v>
      </c>
      <c r="B152" s="583">
        <f t="shared" si="8"/>
        <v>41786</v>
      </c>
      <c r="C152" s="214">
        <f t="shared" si="9"/>
        <v>22</v>
      </c>
      <c r="D152" s="213">
        <f t="shared" si="10"/>
        <v>41759</v>
      </c>
      <c r="E152" s="670">
        <f>Arbeitszeit!U153*24</f>
        <v>0</v>
      </c>
      <c r="F152" s="397">
        <f t="shared" si="11"/>
        <v>0</v>
      </c>
      <c r="G152" s="178">
        <f>IF(Arbeitszeit!F153=Urlaub,B_WorkTime*24,)</f>
        <v>0</v>
      </c>
      <c r="H152" s="174"/>
      <c r="I152" s="178">
        <f>IF(Arbeitszeit!F153=Krank,B_WorkTime*24,)</f>
        <v>0</v>
      </c>
      <c r="J152" s="174"/>
      <c r="K152" s="179"/>
      <c r="L152" s="180"/>
      <c r="M152" s="656"/>
      <c r="N152" s="657"/>
      <c r="O152" s="656"/>
      <c r="P152" s="657"/>
      <c r="Q152" s="656"/>
      <c r="R152" s="657"/>
      <c r="S152" s="656"/>
      <c r="T152" s="657"/>
      <c r="U152" s="656"/>
      <c r="V152" s="657"/>
      <c r="W152" s="656"/>
      <c r="X152" s="657"/>
      <c r="Y152" s="656"/>
      <c r="Z152" s="657"/>
      <c r="AA152" s="656"/>
      <c r="AB152" s="657"/>
      <c r="AC152" s="656"/>
      <c r="AD152" s="657"/>
      <c r="AE152" s="656"/>
      <c r="AF152" s="658"/>
      <c r="AG152" s="656"/>
      <c r="AH152" s="658"/>
      <c r="AI152" s="656"/>
      <c r="AJ152" s="658"/>
      <c r="AK152" s="656"/>
      <c r="AL152" s="658"/>
      <c r="AM152" s="659"/>
      <c r="AN152" s="658"/>
      <c r="AO152" s="656"/>
      <c r="AP152" s="658"/>
      <c r="AQ152" s="659"/>
      <c r="AR152" s="658"/>
      <c r="AS152" s="658"/>
      <c r="AT152" s="658"/>
      <c r="AU152" s="659"/>
      <c r="AV152" s="658"/>
      <c r="AW152" s="658"/>
      <c r="AX152" s="181"/>
      <c r="AY152" s="177"/>
      <c r="AZ152">
        <f ca="1">INDIRECT(ADDRESS(ROW()+1,COLUMN(Arbeitszeit!xDay),,,"Arbeitszeit"))</f>
        <v>1</v>
      </c>
    </row>
    <row r="153" spans="1:52">
      <c r="A153" s="582">
        <f>Arbeitszeit!A154</f>
        <v>41787</v>
      </c>
      <c r="B153" s="583">
        <f t="shared" si="8"/>
        <v>41787</v>
      </c>
      <c r="C153" s="214">
        <f t="shared" si="9"/>
        <v>22</v>
      </c>
      <c r="D153" s="213">
        <f t="shared" si="10"/>
        <v>41759</v>
      </c>
      <c r="E153" s="670">
        <f>Arbeitszeit!U154*24</f>
        <v>0</v>
      </c>
      <c r="F153" s="397">
        <f t="shared" si="11"/>
        <v>0</v>
      </c>
      <c r="G153" s="178">
        <f>IF(Arbeitszeit!F154=Urlaub,B_WorkTime*24,)</f>
        <v>0</v>
      </c>
      <c r="H153" s="174"/>
      <c r="I153" s="178">
        <f>IF(Arbeitszeit!F154=Krank,B_WorkTime*24,)</f>
        <v>0</v>
      </c>
      <c r="J153" s="174"/>
      <c r="K153" s="179"/>
      <c r="L153" s="180"/>
      <c r="M153" s="656"/>
      <c r="N153" s="657"/>
      <c r="O153" s="656"/>
      <c r="P153" s="657"/>
      <c r="Q153" s="656"/>
      <c r="R153" s="657"/>
      <c r="S153" s="656"/>
      <c r="T153" s="657"/>
      <c r="U153" s="656"/>
      <c r="V153" s="657"/>
      <c r="W153" s="656"/>
      <c r="X153" s="657"/>
      <c r="Y153" s="656"/>
      <c r="Z153" s="657"/>
      <c r="AA153" s="656"/>
      <c r="AB153" s="657"/>
      <c r="AC153" s="656"/>
      <c r="AD153" s="657"/>
      <c r="AE153" s="656"/>
      <c r="AF153" s="658"/>
      <c r="AG153" s="656"/>
      <c r="AH153" s="658"/>
      <c r="AI153" s="656"/>
      <c r="AJ153" s="658"/>
      <c r="AK153" s="656"/>
      <c r="AL153" s="658"/>
      <c r="AM153" s="659"/>
      <c r="AN153" s="658"/>
      <c r="AO153" s="656"/>
      <c r="AP153" s="658"/>
      <c r="AQ153" s="659"/>
      <c r="AR153" s="658"/>
      <c r="AS153" s="658"/>
      <c r="AT153" s="658"/>
      <c r="AU153" s="659"/>
      <c r="AV153" s="658"/>
      <c r="AW153" s="658"/>
      <c r="AX153" s="181"/>
      <c r="AY153" s="177"/>
      <c r="AZ153">
        <f ca="1">INDIRECT(ADDRESS(ROW()+1,COLUMN(Arbeitszeit!xDay),,,"Arbeitszeit"))</f>
        <v>2</v>
      </c>
    </row>
    <row r="154" spans="1:52">
      <c r="A154" s="582">
        <f>Arbeitszeit!A155</f>
        <v>41788</v>
      </c>
      <c r="B154" s="583">
        <f t="shared" si="8"/>
        <v>41788</v>
      </c>
      <c r="C154" s="214">
        <f t="shared" si="9"/>
        <v>22</v>
      </c>
      <c r="D154" s="213">
        <f t="shared" si="10"/>
        <v>41759</v>
      </c>
      <c r="E154" s="670">
        <f>Arbeitszeit!U155*24</f>
        <v>0</v>
      </c>
      <c r="F154" s="397">
        <f t="shared" si="11"/>
        <v>0</v>
      </c>
      <c r="G154" s="178">
        <f>IF(Arbeitszeit!F155=Urlaub,B_WorkTime*24,)</f>
        <v>0</v>
      </c>
      <c r="H154" s="174"/>
      <c r="I154" s="178">
        <f>IF(Arbeitszeit!F155=Krank,B_WorkTime*24,)</f>
        <v>0</v>
      </c>
      <c r="J154" s="174"/>
      <c r="K154" s="179"/>
      <c r="L154" s="180"/>
      <c r="M154" s="656"/>
      <c r="N154" s="657"/>
      <c r="O154" s="656"/>
      <c r="P154" s="657"/>
      <c r="Q154" s="656"/>
      <c r="R154" s="657"/>
      <c r="S154" s="656"/>
      <c r="T154" s="657"/>
      <c r="U154" s="656"/>
      <c r="V154" s="657"/>
      <c r="W154" s="656"/>
      <c r="X154" s="657"/>
      <c r="Y154" s="656"/>
      <c r="Z154" s="657"/>
      <c r="AA154" s="656"/>
      <c r="AB154" s="657"/>
      <c r="AC154" s="656"/>
      <c r="AD154" s="657"/>
      <c r="AE154" s="656"/>
      <c r="AF154" s="658"/>
      <c r="AG154" s="656"/>
      <c r="AH154" s="658"/>
      <c r="AI154" s="656"/>
      <c r="AJ154" s="658"/>
      <c r="AK154" s="656"/>
      <c r="AL154" s="658"/>
      <c r="AM154" s="659"/>
      <c r="AN154" s="658"/>
      <c r="AO154" s="656"/>
      <c r="AP154" s="658"/>
      <c r="AQ154" s="659"/>
      <c r="AR154" s="658"/>
      <c r="AS154" s="658"/>
      <c r="AT154" s="658"/>
      <c r="AU154" s="659"/>
      <c r="AV154" s="658"/>
      <c r="AW154" s="658"/>
      <c r="AX154" s="181"/>
      <c r="AY154" s="177"/>
      <c r="AZ154">
        <f ca="1">INDIRECT(ADDRESS(ROW()+1,COLUMN(Arbeitszeit!xDay),,,"Arbeitszeit"))</f>
        <v>3</v>
      </c>
    </row>
    <row r="155" spans="1:52">
      <c r="A155" s="582">
        <f>Arbeitszeit!A156</f>
        <v>41789</v>
      </c>
      <c r="B155" s="583">
        <f t="shared" si="8"/>
        <v>41789</v>
      </c>
      <c r="C155" s="214">
        <f t="shared" si="9"/>
        <v>22</v>
      </c>
      <c r="D155" s="213">
        <f t="shared" si="10"/>
        <v>41759</v>
      </c>
      <c r="E155" s="670">
        <f>Arbeitszeit!U156*24</f>
        <v>0</v>
      </c>
      <c r="F155" s="397">
        <f t="shared" si="11"/>
        <v>0</v>
      </c>
      <c r="G155" s="178">
        <f>IF(Arbeitszeit!F156=Urlaub,B_WorkTime*24,)</f>
        <v>0</v>
      </c>
      <c r="H155" s="174"/>
      <c r="I155" s="178">
        <f>IF(Arbeitszeit!F156=Krank,B_WorkTime*24,)</f>
        <v>0</v>
      </c>
      <c r="J155" s="174"/>
      <c r="K155" s="179"/>
      <c r="L155" s="180"/>
      <c r="M155" s="656"/>
      <c r="N155" s="657"/>
      <c r="O155" s="656"/>
      <c r="P155" s="657"/>
      <c r="Q155" s="656"/>
      <c r="R155" s="657"/>
      <c r="S155" s="656"/>
      <c r="T155" s="657"/>
      <c r="U155" s="656"/>
      <c r="V155" s="657"/>
      <c r="W155" s="656"/>
      <c r="X155" s="657"/>
      <c r="Y155" s="656"/>
      <c r="Z155" s="657"/>
      <c r="AA155" s="656"/>
      <c r="AB155" s="657"/>
      <c r="AC155" s="656"/>
      <c r="AD155" s="657"/>
      <c r="AE155" s="656"/>
      <c r="AF155" s="658"/>
      <c r="AG155" s="656"/>
      <c r="AH155" s="658"/>
      <c r="AI155" s="656"/>
      <c r="AJ155" s="658"/>
      <c r="AK155" s="656"/>
      <c r="AL155" s="658"/>
      <c r="AM155" s="659"/>
      <c r="AN155" s="658"/>
      <c r="AO155" s="656"/>
      <c r="AP155" s="658"/>
      <c r="AQ155" s="659"/>
      <c r="AR155" s="658"/>
      <c r="AS155" s="658"/>
      <c r="AT155" s="658"/>
      <c r="AU155" s="659"/>
      <c r="AV155" s="658"/>
      <c r="AW155" s="658"/>
      <c r="AX155" s="181"/>
      <c r="AY155" s="177"/>
      <c r="AZ155">
        <f ca="1">INDIRECT(ADDRESS(ROW()+1,COLUMN(Arbeitszeit!xDay),,,"Arbeitszeit"))</f>
        <v>8</v>
      </c>
    </row>
    <row r="156" spans="1:52">
      <c r="A156" s="582">
        <f>Arbeitszeit!A157</f>
        <v>41790</v>
      </c>
      <c r="B156" s="583">
        <f t="shared" si="8"/>
        <v>41790</v>
      </c>
      <c r="C156" s="214">
        <f t="shared" si="9"/>
        <v>22</v>
      </c>
      <c r="D156" s="213">
        <f t="shared" si="10"/>
        <v>41790</v>
      </c>
      <c r="E156" s="670">
        <f>Arbeitszeit!U157*24</f>
        <v>0</v>
      </c>
      <c r="F156" s="397">
        <f t="shared" si="11"/>
        <v>0</v>
      </c>
      <c r="G156" s="178">
        <f>IF(Arbeitszeit!F157=Urlaub,B_WorkTime*24,)</f>
        <v>0</v>
      </c>
      <c r="H156" s="174"/>
      <c r="I156" s="178">
        <f>IF(Arbeitszeit!F157=Krank,B_WorkTime*24,)</f>
        <v>0</v>
      </c>
      <c r="J156" s="174"/>
      <c r="K156" s="179"/>
      <c r="L156" s="180"/>
      <c r="M156" s="656"/>
      <c r="N156" s="657"/>
      <c r="O156" s="656"/>
      <c r="P156" s="657"/>
      <c r="Q156" s="656"/>
      <c r="R156" s="657"/>
      <c r="S156" s="656"/>
      <c r="T156" s="657"/>
      <c r="U156" s="656"/>
      <c r="V156" s="657"/>
      <c r="W156" s="656"/>
      <c r="X156" s="657"/>
      <c r="Y156" s="656"/>
      <c r="Z156" s="657"/>
      <c r="AA156" s="656"/>
      <c r="AB156" s="657"/>
      <c r="AC156" s="656"/>
      <c r="AD156" s="657"/>
      <c r="AE156" s="656"/>
      <c r="AF156" s="658"/>
      <c r="AG156" s="656"/>
      <c r="AH156" s="658"/>
      <c r="AI156" s="656"/>
      <c r="AJ156" s="658"/>
      <c r="AK156" s="656"/>
      <c r="AL156" s="658"/>
      <c r="AM156" s="659"/>
      <c r="AN156" s="658"/>
      <c r="AO156" s="656"/>
      <c r="AP156" s="658"/>
      <c r="AQ156" s="659"/>
      <c r="AR156" s="658"/>
      <c r="AS156" s="658"/>
      <c r="AT156" s="658"/>
      <c r="AU156" s="659"/>
      <c r="AV156" s="658"/>
      <c r="AW156" s="658"/>
      <c r="AX156" s="181"/>
      <c r="AY156" s="177"/>
      <c r="AZ156">
        <f ca="1">INDIRECT(ADDRESS(ROW()+1,COLUMN(Arbeitszeit!xDay),,,"Arbeitszeit"))</f>
        <v>5</v>
      </c>
    </row>
    <row r="157" spans="1:52">
      <c r="A157" s="582">
        <f>Arbeitszeit!A158</f>
        <v>41791</v>
      </c>
      <c r="B157" s="583">
        <f t="shared" si="8"/>
        <v>41791</v>
      </c>
      <c r="C157" s="214">
        <f t="shared" si="9"/>
        <v>22</v>
      </c>
      <c r="D157" s="213">
        <f t="shared" si="10"/>
        <v>41790</v>
      </c>
      <c r="E157" s="670">
        <f>Arbeitszeit!U158*24</f>
        <v>0</v>
      </c>
      <c r="F157" s="397">
        <f t="shared" si="11"/>
        <v>0</v>
      </c>
      <c r="G157" s="178">
        <f>IF(Arbeitszeit!F158=Urlaub,B_WorkTime*24,)</f>
        <v>0</v>
      </c>
      <c r="H157" s="174"/>
      <c r="I157" s="178">
        <f>IF(Arbeitszeit!F158=Krank,B_WorkTime*24,)</f>
        <v>0</v>
      </c>
      <c r="J157" s="174"/>
      <c r="K157" s="179"/>
      <c r="L157" s="180"/>
      <c r="M157" s="656"/>
      <c r="N157" s="657"/>
      <c r="O157" s="656"/>
      <c r="P157" s="657"/>
      <c r="Q157" s="656"/>
      <c r="R157" s="657"/>
      <c r="S157" s="656"/>
      <c r="T157" s="657"/>
      <c r="U157" s="656"/>
      <c r="V157" s="657"/>
      <c r="W157" s="656"/>
      <c r="X157" s="657"/>
      <c r="Y157" s="656"/>
      <c r="Z157" s="657"/>
      <c r="AA157" s="656"/>
      <c r="AB157" s="657"/>
      <c r="AC157" s="656"/>
      <c r="AD157" s="657"/>
      <c r="AE157" s="656"/>
      <c r="AF157" s="658"/>
      <c r="AG157" s="656"/>
      <c r="AH157" s="658"/>
      <c r="AI157" s="656"/>
      <c r="AJ157" s="658"/>
      <c r="AK157" s="656"/>
      <c r="AL157" s="658"/>
      <c r="AM157" s="659"/>
      <c r="AN157" s="658"/>
      <c r="AO157" s="656"/>
      <c r="AP157" s="658"/>
      <c r="AQ157" s="659"/>
      <c r="AR157" s="658"/>
      <c r="AS157" s="658"/>
      <c r="AT157" s="658"/>
      <c r="AU157" s="659"/>
      <c r="AV157" s="658"/>
      <c r="AW157" s="658"/>
      <c r="AX157" s="181"/>
      <c r="AY157" s="177"/>
      <c r="AZ157">
        <f ca="1">INDIRECT(ADDRESS(ROW()+1,COLUMN(Arbeitszeit!xDay),,,"Arbeitszeit"))</f>
        <v>6</v>
      </c>
    </row>
    <row r="158" spans="1:52">
      <c r="A158" s="582">
        <f>Arbeitszeit!A159</f>
        <v>41792</v>
      </c>
      <c r="B158" s="583">
        <f t="shared" si="8"/>
        <v>41792</v>
      </c>
      <c r="C158" s="214">
        <f t="shared" si="9"/>
        <v>22</v>
      </c>
      <c r="D158" s="213">
        <f t="shared" si="10"/>
        <v>41790</v>
      </c>
      <c r="E158" s="670">
        <f>Arbeitszeit!U159*24</f>
        <v>0</v>
      </c>
      <c r="F158" s="397">
        <f t="shared" si="11"/>
        <v>0</v>
      </c>
      <c r="G158" s="178">
        <f>IF(Arbeitszeit!F159=Urlaub,B_WorkTime*24,)</f>
        <v>0</v>
      </c>
      <c r="H158" s="174"/>
      <c r="I158" s="178">
        <f>IF(Arbeitszeit!F159=Krank,B_WorkTime*24,)</f>
        <v>0</v>
      </c>
      <c r="J158" s="174"/>
      <c r="K158" s="179"/>
      <c r="L158" s="180"/>
      <c r="M158" s="656"/>
      <c r="N158" s="657"/>
      <c r="O158" s="656"/>
      <c r="P158" s="657"/>
      <c r="Q158" s="656"/>
      <c r="R158" s="657"/>
      <c r="S158" s="656"/>
      <c r="T158" s="657"/>
      <c r="U158" s="656"/>
      <c r="V158" s="657"/>
      <c r="W158" s="656"/>
      <c r="X158" s="657"/>
      <c r="Y158" s="656"/>
      <c r="Z158" s="657"/>
      <c r="AA158" s="656"/>
      <c r="AB158" s="657"/>
      <c r="AC158" s="656"/>
      <c r="AD158" s="657"/>
      <c r="AE158" s="656"/>
      <c r="AF158" s="658"/>
      <c r="AG158" s="656"/>
      <c r="AH158" s="658"/>
      <c r="AI158" s="656"/>
      <c r="AJ158" s="658"/>
      <c r="AK158" s="656"/>
      <c r="AL158" s="658"/>
      <c r="AM158" s="659"/>
      <c r="AN158" s="658"/>
      <c r="AO158" s="656"/>
      <c r="AP158" s="658"/>
      <c r="AQ158" s="659"/>
      <c r="AR158" s="658"/>
      <c r="AS158" s="658"/>
      <c r="AT158" s="658"/>
      <c r="AU158" s="659"/>
      <c r="AV158" s="658"/>
      <c r="AW158" s="658"/>
      <c r="AX158" s="181"/>
      <c r="AY158" s="177"/>
      <c r="AZ158">
        <f ca="1">INDIRECT(ADDRESS(ROW()+1,COLUMN(Arbeitszeit!xDay),,,"Arbeitszeit"))</f>
        <v>7</v>
      </c>
    </row>
    <row r="159" spans="1:52">
      <c r="A159" s="582">
        <f>Arbeitszeit!A160</f>
        <v>41793</v>
      </c>
      <c r="B159" s="583">
        <f t="shared" si="8"/>
        <v>41793</v>
      </c>
      <c r="C159" s="214">
        <f t="shared" si="9"/>
        <v>23</v>
      </c>
      <c r="D159" s="213">
        <f t="shared" si="10"/>
        <v>41790</v>
      </c>
      <c r="E159" s="670">
        <f>Arbeitszeit!U160*24</f>
        <v>0</v>
      </c>
      <c r="F159" s="397">
        <f t="shared" si="11"/>
        <v>0</v>
      </c>
      <c r="G159" s="178">
        <f>IF(Arbeitszeit!F160=Urlaub,B_WorkTime*24,)</f>
        <v>0</v>
      </c>
      <c r="H159" s="174"/>
      <c r="I159" s="178">
        <f>IF(Arbeitszeit!F160=Krank,B_WorkTime*24,)</f>
        <v>0</v>
      </c>
      <c r="J159" s="174"/>
      <c r="K159" s="179"/>
      <c r="L159" s="180"/>
      <c r="M159" s="656"/>
      <c r="N159" s="657"/>
      <c r="O159" s="656"/>
      <c r="P159" s="657"/>
      <c r="Q159" s="656"/>
      <c r="R159" s="657"/>
      <c r="S159" s="656"/>
      <c r="T159" s="657"/>
      <c r="U159" s="656"/>
      <c r="V159" s="657"/>
      <c r="W159" s="656"/>
      <c r="X159" s="657"/>
      <c r="Y159" s="656"/>
      <c r="Z159" s="657"/>
      <c r="AA159" s="656"/>
      <c r="AB159" s="657"/>
      <c r="AC159" s="656"/>
      <c r="AD159" s="657"/>
      <c r="AE159" s="656"/>
      <c r="AF159" s="658"/>
      <c r="AG159" s="656"/>
      <c r="AH159" s="658"/>
      <c r="AI159" s="656"/>
      <c r="AJ159" s="658"/>
      <c r="AK159" s="656"/>
      <c r="AL159" s="658"/>
      <c r="AM159" s="659"/>
      <c r="AN159" s="658"/>
      <c r="AO159" s="656"/>
      <c r="AP159" s="658"/>
      <c r="AQ159" s="659"/>
      <c r="AR159" s="658"/>
      <c r="AS159" s="658"/>
      <c r="AT159" s="658"/>
      <c r="AU159" s="659"/>
      <c r="AV159" s="658"/>
      <c r="AW159" s="658"/>
      <c r="AX159" s="181"/>
      <c r="AY159" s="177"/>
      <c r="AZ159">
        <f ca="1">INDIRECT(ADDRESS(ROW()+1,COLUMN(Arbeitszeit!xDay),,,"Arbeitszeit"))</f>
        <v>1</v>
      </c>
    </row>
    <row r="160" spans="1:52">
      <c r="A160" s="582">
        <f>Arbeitszeit!A161</f>
        <v>41794</v>
      </c>
      <c r="B160" s="583">
        <f t="shared" si="8"/>
        <v>41794</v>
      </c>
      <c r="C160" s="214">
        <f t="shared" si="9"/>
        <v>23</v>
      </c>
      <c r="D160" s="213">
        <f t="shared" si="10"/>
        <v>41790</v>
      </c>
      <c r="E160" s="670">
        <f>Arbeitszeit!U161*24</f>
        <v>0</v>
      </c>
      <c r="F160" s="397">
        <f t="shared" si="11"/>
        <v>0</v>
      </c>
      <c r="G160" s="178">
        <f>IF(Arbeitszeit!F161=Urlaub,B_WorkTime*24,)</f>
        <v>0</v>
      </c>
      <c r="H160" s="174"/>
      <c r="I160" s="178">
        <f>IF(Arbeitszeit!F161=Krank,B_WorkTime*24,)</f>
        <v>0</v>
      </c>
      <c r="J160" s="174"/>
      <c r="K160" s="179"/>
      <c r="L160" s="180"/>
      <c r="M160" s="656"/>
      <c r="N160" s="657"/>
      <c r="O160" s="656"/>
      <c r="P160" s="657"/>
      <c r="Q160" s="656"/>
      <c r="R160" s="657"/>
      <c r="S160" s="656"/>
      <c r="T160" s="657"/>
      <c r="U160" s="656"/>
      <c r="V160" s="657"/>
      <c r="W160" s="656"/>
      <c r="X160" s="657"/>
      <c r="Y160" s="656"/>
      <c r="Z160" s="657"/>
      <c r="AA160" s="656"/>
      <c r="AB160" s="657"/>
      <c r="AC160" s="656"/>
      <c r="AD160" s="657"/>
      <c r="AE160" s="656"/>
      <c r="AF160" s="658"/>
      <c r="AG160" s="656"/>
      <c r="AH160" s="658"/>
      <c r="AI160" s="656"/>
      <c r="AJ160" s="658"/>
      <c r="AK160" s="656"/>
      <c r="AL160" s="658"/>
      <c r="AM160" s="659"/>
      <c r="AN160" s="658"/>
      <c r="AO160" s="656"/>
      <c r="AP160" s="658"/>
      <c r="AQ160" s="659"/>
      <c r="AR160" s="658"/>
      <c r="AS160" s="658"/>
      <c r="AT160" s="658"/>
      <c r="AU160" s="659"/>
      <c r="AV160" s="658"/>
      <c r="AW160" s="658"/>
      <c r="AX160" s="181"/>
      <c r="AY160" s="177"/>
      <c r="AZ160">
        <f ca="1">INDIRECT(ADDRESS(ROW()+1,COLUMN(Arbeitszeit!xDay),,,"Arbeitszeit"))</f>
        <v>2</v>
      </c>
    </row>
    <row r="161" spans="1:52">
      <c r="A161" s="582">
        <f>Arbeitszeit!A162</f>
        <v>41795</v>
      </c>
      <c r="B161" s="583">
        <f t="shared" si="8"/>
        <v>41795</v>
      </c>
      <c r="C161" s="214">
        <f t="shared" si="9"/>
        <v>23</v>
      </c>
      <c r="D161" s="213">
        <f t="shared" si="10"/>
        <v>41790</v>
      </c>
      <c r="E161" s="670">
        <f>Arbeitszeit!U162*24</f>
        <v>0</v>
      </c>
      <c r="F161" s="397">
        <f t="shared" si="11"/>
        <v>0</v>
      </c>
      <c r="G161" s="178">
        <f>IF(Arbeitszeit!F162=Urlaub,B_WorkTime*24,)</f>
        <v>0</v>
      </c>
      <c r="H161" s="174"/>
      <c r="I161" s="178">
        <f>IF(Arbeitszeit!F162=Krank,B_WorkTime*24,)</f>
        <v>0</v>
      </c>
      <c r="J161" s="174"/>
      <c r="K161" s="179"/>
      <c r="L161" s="180"/>
      <c r="M161" s="656"/>
      <c r="N161" s="657"/>
      <c r="O161" s="656"/>
      <c r="P161" s="657"/>
      <c r="Q161" s="656"/>
      <c r="R161" s="657"/>
      <c r="S161" s="656"/>
      <c r="T161" s="657"/>
      <c r="U161" s="656"/>
      <c r="V161" s="657"/>
      <c r="W161" s="656"/>
      <c r="X161" s="657"/>
      <c r="Y161" s="656"/>
      <c r="Z161" s="657"/>
      <c r="AA161" s="656"/>
      <c r="AB161" s="657"/>
      <c r="AC161" s="656"/>
      <c r="AD161" s="657"/>
      <c r="AE161" s="656"/>
      <c r="AF161" s="658"/>
      <c r="AG161" s="656"/>
      <c r="AH161" s="658"/>
      <c r="AI161" s="656"/>
      <c r="AJ161" s="658"/>
      <c r="AK161" s="656"/>
      <c r="AL161" s="658"/>
      <c r="AM161" s="659"/>
      <c r="AN161" s="658"/>
      <c r="AO161" s="656"/>
      <c r="AP161" s="658"/>
      <c r="AQ161" s="659"/>
      <c r="AR161" s="658"/>
      <c r="AS161" s="658"/>
      <c r="AT161" s="658"/>
      <c r="AU161" s="659"/>
      <c r="AV161" s="658"/>
      <c r="AW161" s="658"/>
      <c r="AX161" s="181"/>
      <c r="AY161" s="177"/>
      <c r="AZ161">
        <f ca="1">INDIRECT(ADDRESS(ROW()+1,COLUMN(Arbeitszeit!xDay),,,"Arbeitszeit"))</f>
        <v>3</v>
      </c>
    </row>
    <row r="162" spans="1:52">
      <c r="A162" s="582">
        <f>Arbeitszeit!A163</f>
        <v>41796</v>
      </c>
      <c r="B162" s="583">
        <f t="shared" si="8"/>
        <v>41796</v>
      </c>
      <c r="C162" s="214">
        <f t="shared" si="9"/>
        <v>23</v>
      </c>
      <c r="D162" s="213">
        <f t="shared" si="10"/>
        <v>41790</v>
      </c>
      <c r="E162" s="670">
        <f>Arbeitszeit!U163*24</f>
        <v>0</v>
      </c>
      <c r="F162" s="397">
        <f t="shared" si="11"/>
        <v>0</v>
      </c>
      <c r="G162" s="178">
        <f>IF(Arbeitszeit!F163=Urlaub,B_WorkTime*24,)</f>
        <v>0</v>
      </c>
      <c r="H162" s="174"/>
      <c r="I162" s="178">
        <f>IF(Arbeitszeit!F163=Krank,B_WorkTime*24,)</f>
        <v>0</v>
      </c>
      <c r="J162" s="174"/>
      <c r="K162" s="179"/>
      <c r="L162" s="180"/>
      <c r="M162" s="656"/>
      <c r="N162" s="657"/>
      <c r="O162" s="656"/>
      <c r="P162" s="657"/>
      <c r="Q162" s="656"/>
      <c r="R162" s="657"/>
      <c r="S162" s="656"/>
      <c r="T162" s="657"/>
      <c r="U162" s="656"/>
      <c r="V162" s="657"/>
      <c r="W162" s="656"/>
      <c r="X162" s="657"/>
      <c r="Y162" s="656"/>
      <c r="Z162" s="657"/>
      <c r="AA162" s="656"/>
      <c r="AB162" s="657"/>
      <c r="AC162" s="656"/>
      <c r="AD162" s="657"/>
      <c r="AE162" s="656"/>
      <c r="AF162" s="658"/>
      <c r="AG162" s="656"/>
      <c r="AH162" s="658"/>
      <c r="AI162" s="656"/>
      <c r="AJ162" s="658"/>
      <c r="AK162" s="656"/>
      <c r="AL162" s="658"/>
      <c r="AM162" s="659"/>
      <c r="AN162" s="658"/>
      <c r="AO162" s="656"/>
      <c r="AP162" s="658"/>
      <c r="AQ162" s="659"/>
      <c r="AR162" s="658"/>
      <c r="AS162" s="658"/>
      <c r="AT162" s="658"/>
      <c r="AU162" s="659"/>
      <c r="AV162" s="658"/>
      <c r="AW162" s="658"/>
      <c r="AX162" s="181"/>
      <c r="AY162" s="177"/>
      <c r="AZ162">
        <f ca="1">INDIRECT(ADDRESS(ROW()+1,COLUMN(Arbeitszeit!xDay),,,"Arbeitszeit"))</f>
        <v>4</v>
      </c>
    </row>
    <row r="163" spans="1:52">
      <c r="A163" s="582">
        <f>Arbeitszeit!A164</f>
        <v>41797</v>
      </c>
      <c r="B163" s="583">
        <f t="shared" si="8"/>
        <v>41797</v>
      </c>
      <c r="C163" s="214">
        <f t="shared" si="9"/>
        <v>23</v>
      </c>
      <c r="D163" s="213">
        <f t="shared" si="10"/>
        <v>41790</v>
      </c>
      <c r="E163" s="670">
        <f>Arbeitszeit!U164*24</f>
        <v>0</v>
      </c>
      <c r="F163" s="397">
        <f t="shared" si="11"/>
        <v>0</v>
      </c>
      <c r="G163" s="178">
        <f>IF(Arbeitszeit!F164=Urlaub,B_WorkTime*24,)</f>
        <v>0</v>
      </c>
      <c r="H163" s="174"/>
      <c r="I163" s="178">
        <f>IF(Arbeitszeit!F164=Krank,B_WorkTime*24,)</f>
        <v>0</v>
      </c>
      <c r="J163" s="174"/>
      <c r="K163" s="179"/>
      <c r="L163" s="180"/>
      <c r="M163" s="656"/>
      <c r="N163" s="657"/>
      <c r="O163" s="656"/>
      <c r="P163" s="657"/>
      <c r="Q163" s="656"/>
      <c r="R163" s="657"/>
      <c r="S163" s="656"/>
      <c r="T163" s="657"/>
      <c r="U163" s="656"/>
      <c r="V163" s="657"/>
      <c r="W163" s="656"/>
      <c r="X163" s="657"/>
      <c r="Y163" s="656"/>
      <c r="Z163" s="657"/>
      <c r="AA163" s="656"/>
      <c r="AB163" s="657"/>
      <c r="AC163" s="656"/>
      <c r="AD163" s="657"/>
      <c r="AE163" s="656"/>
      <c r="AF163" s="658"/>
      <c r="AG163" s="656"/>
      <c r="AH163" s="658"/>
      <c r="AI163" s="656"/>
      <c r="AJ163" s="658"/>
      <c r="AK163" s="656"/>
      <c r="AL163" s="658"/>
      <c r="AM163" s="659"/>
      <c r="AN163" s="658"/>
      <c r="AO163" s="656"/>
      <c r="AP163" s="658"/>
      <c r="AQ163" s="659"/>
      <c r="AR163" s="658"/>
      <c r="AS163" s="658"/>
      <c r="AT163" s="658"/>
      <c r="AU163" s="659"/>
      <c r="AV163" s="658"/>
      <c r="AW163" s="658"/>
      <c r="AX163" s="181"/>
      <c r="AY163" s="177"/>
      <c r="AZ163">
        <f ca="1">INDIRECT(ADDRESS(ROW()+1,COLUMN(Arbeitszeit!xDay),,,"Arbeitszeit"))</f>
        <v>5</v>
      </c>
    </row>
    <row r="164" spans="1:52">
      <c r="A164" s="582">
        <f>Arbeitszeit!A165</f>
        <v>41798</v>
      </c>
      <c r="B164" s="583">
        <f t="shared" si="8"/>
        <v>41798</v>
      </c>
      <c r="C164" s="214">
        <f t="shared" si="9"/>
        <v>23</v>
      </c>
      <c r="D164" s="213">
        <f t="shared" si="10"/>
        <v>41790</v>
      </c>
      <c r="E164" s="670">
        <f>Arbeitszeit!U165*24</f>
        <v>0</v>
      </c>
      <c r="F164" s="397">
        <f t="shared" si="11"/>
        <v>0</v>
      </c>
      <c r="G164" s="178">
        <f>IF(Arbeitszeit!F165=Urlaub,B_WorkTime*24,)</f>
        <v>0</v>
      </c>
      <c r="H164" s="174"/>
      <c r="I164" s="178">
        <f>IF(Arbeitszeit!F165=Krank,B_WorkTime*24,)</f>
        <v>0</v>
      </c>
      <c r="J164" s="174"/>
      <c r="K164" s="179"/>
      <c r="L164" s="180"/>
      <c r="M164" s="656"/>
      <c r="N164" s="657"/>
      <c r="O164" s="656"/>
      <c r="P164" s="657"/>
      <c r="Q164" s="656"/>
      <c r="R164" s="657"/>
      <c r="S164" s="656"/>
      <c r="T164" s="657"/>
      <c r="U164" s="656"/>
      <c r="V164" s="657"/>
      <c r="W164" s="656"/>
      <c r="X164" s="657"/>
      <c r="Y164" s="656"/>
      <c r="Z164" s="657"/>
      <c r="AA164" s="656"/>
      <c r="AB164" s="657"/>
      <c r="AC164" s="656"/>
      <c r="AD164" s="657"/>
      <c r="AE164" s="656"/>
      <c r="AF164" s="658"/>
      <c r="AG164" s="656"/>
      <c r="AH164" s="658"/>
      <c r="AI164" s="656"/>
      <c r="AJ164" s="658"/>
      <c r="AK164" s="656"/>
      <c r="AL164" s="658"/>
      <c r="AM164" s="659"/>
      <c r="AN164" s="658"/>
      <c r="AO164" s="656"/>
      <c r="AP164" s="658"/>
      <c r="AQ164" s="659"/>
      <c r="AR164" s="658"/>
      <c r="AS164" s="658"/>
      <c r="AT164" s="658"/>
      <c r="AU164" s="659"/>
      <c r="AV164" s="658"/>
      <c r="AW164" s="658"/>
      <c r="AX164" s="181"/>
      <c r="AY164" s="177"/>
      <c r="AZ164">
        <f ca="1">INDIRECT(ADDRESS(ROW()+1,COLUMN(Arbeitszeit!xDay),,,"Arbeitszeit"))</f>
        <v>6</v>
      </c>
    </row>
    <row r="165" spans="1:52">
      <c r="A165" s="582">
        <f>Arbeitszeit!A166</f>
        <v>41799</v>
      </c>
      <c r="B165" s="583">
        <f t="shared" si="8"/>
        <v>41799</v>
      </c>
      <c r="C165" s="214">
        <f t="shared" si="9"/>
        <v>23</v>
      </c>
      <c r="D165" s="213">
        <f t="shared" si="10"/>
        <v>41790</v>
      </c>
      <c r="E165" s="670">
        <f>Arbeitszeit!U166*24</f>
        <v>0</v>
      </c>
      <c r="F165" s="397">
        <f t="shared" si="11"/>
        <v>0</v>
      </c>
      <c r="G165" s="178">
        <f>IF(Arbeitszeit!F166=Urlaub,B_WorkTime*24,)</f>
        <v>0</v>
      </c>
      <c r="H165" s="174"/>
      <c r="I165" s="178">
        <f>IF(Arbeitszeit!F166=Krank,B_WorkTime*24,)</f>
        <v>0</v>
      </c>
      <c r="J165" s="174"/>
      <c r="K165" s="179"/>
      <c r="L165" s="180"/>
      <c r="M165" s="656"/>
      <c r="N165" s="657"/>
      <c r="O165" s="656"/>
      <c r="P165" s="657"/>
      <c r="Q165" s="656"/>
      <c r="R165" s="657"/>
      <c r="S165" s="656"/>
      <c r="T165" s="657"/>
      <c r="U165" s="656"/>
      <c r="V165" s="657"/>
      <c r="W165" s="656"/>
      <c r="X165" s="657"/>
      <c r="Y165" s="656"/>
      <c r="Z165" s="657"/>
      <c r="AA165" s="656"/>
      <c r="AB165" s="657"/>
      <c r="AC165" s="656"/>
      <c r="AD165" s="657"/>
      <c r="AE165" s="656"/>
      <c r="AF165" s="658"/>
      <c r="AG165" s="656"/>
      <c r="AH165" s="658"/>
      <c r="AI165" s="656"/>
      <c r="AJ165" s="658"/>
      <c r="AK165" s="656"/>
      <c r="AL165" s="658"/>
      <c r="AM165" s="659"/>
      <c r="AN165" s="658"/>
      <c r="AO165" s="656"/>
      <c r="AP165" s="658"/>
      <c r="AQ165" s="659"/>
      <c r="AR165" s="658"/>
      <c r="AS165" s="658"/>
      <c r="AT165" s="658"/>
      <c r="AU165" s="659"/>
      <c r="AV165" s="658"/>
      <c r="AW165" s="658"/>
      <c r="AX165" s="181"/>
      <c r="AY165" s="177"/>
      <c r="AZ165">
        <f ca="1">INDIRECT(ADDRESS(ROW()+1,COLUMN(Arbeitszeit!xDay),,,"Arbeitszeit"))</f>
        <v>7</v>
      </c>
    </row>
    <row r="166" spans="1:52">
      <c r="A166" s="582">
        <f>Arbeitszeit!A167</f>
        <v>41800</v>
      </c>
      <c r="B166" s="583">
        <f t="shared" si="8"/>
        <v>41800</v>
      </c>
      <c r="C166" s="214">
        <f t="shared" si="9"/>
        <v>24</v>
      </c>
      <c r="D166" s="213">
        <f t="shared" si="10"/>
        <v>41790</v>
      </c>
      <c r="E166" s="670">
        <f>Arbeitszeit!U167*24</f>
        <v>0</v>
      </c>
      <c r="F166" s="397">
        <f t="shared" si="11"/>
        <v>0</v>
      </c>
      <c r="G166" s="178">
        <f>IF(Arbeitszeit!F167=Urlaub,B_WorkTime*24,)</f>
        <v>0</v>
      </c>
      <c r="H166" s="174"/>
      <c r="I166" s="178">
        <f>IF(Arbeitszeit!F167=Krank,B_WorkTime*24,)</f>
        <v>0</v>
      </c>
      <c r="J166" s="174"/>
      <c r="K166" s="179"/>
      <c r="L166" s="180"/>
      <c r="M166" s="656"/>
      <c r="N166" s="657"/>
      <c r="O166" s="656"/>
      <c r="P166" s="657"/>
      <c r="Q166" s="656"/>
      <c r="R166" s="657"/>
      <c r="S166" s="656"/>
      <c r="T166" s="657"/>
      <c r="U166" s="656"/>
      <c r="V166" s="657"/>
      <c r="W166" s="656"/>
      <c r="X166" s="657"/>
      <c r="Y166" s="656"/>
      <c r="Z166" s="657"/>
      <c r="AA166" s="656"/>
      <c r="AB166" s="657"/>
      <c r="AC166" s="656"/>
      <c r="AD166" s="657"/>
      <c r="AE166" s="656"/>
      <c r="AF166" s="658"/>
      <c r="AG166" s="656"/>
      <c r="AH166" s="658"/>
      <c r="AI166" s="656"/>
      <c r="AJ166" s="658"/>
      <c r="AK166" s="656"/>
      <c r="AL166" s="658"/>
      <c r="AM166" s="659"/>
      <c r="AN166" s="658"/>
      <c r="AO166" s="656"/>
      <c r="AP166" s="658"/>
      <c r="AQ166" s="659"/>
      <c r="AR166" s="658"/>
      <c r="AS166" s="658"/>
      <c r="AT166" s="658"/>
      <c r="AU166" s="659"/>
      <c r="AV166" s="658"/>
      <c r="AW166" s="658"/>
      <c r="AX166" s="181"/>
      <c r="AY166" s="177"/>
      <c r="AZ166">
        <f ca="1">INDIRECT(ADDRESS(ROW()+1,COLUMN(Arbeitszeit!xDay),,,"Arbeitszeit"))</f>
        <v>1</v>
      </c>
    </row>
    <row r="167" spans="1:52">
      <c r="A167" s="582">
        <f>Arbeitszeit!A168</f>
        <v>41801</v>
      </c>
      <c r="B167" s="583">
        <f t="shared" si="8"/>
        <v>41801</v>
      </c>
      <c r="C167" s="214">
        <f t="shared" si="9"/>
        <v>24</v>
      </c>
      <c r="D167" s="213">
        <f t="shared" si="10"/>
        <v>41790</v>
      </c>
      <c r="E167" s="670">
        <f>Arbeitszeit!U168*24</f>
        <v>0</v>
      </c>
      <c r="F167" s="397">
        <f t="shared" si="11"/>
        <v>0</v>
      </c>
      <c r="G167" s="178">
        <f>IF(Arbeitszeit!F168=Urlaub,B_WorkTime*24,)</f>
        <v>0</v>
      </c>
      <c r="H167" s="174"/>
      <c r="I167" s="178">
        <f>IF(Arbeitszeit!F168=Krank,B_WorkTime*24,)</f>
        <v>0</v>
      </c>
      <c r="J167" s="174"/>
      <c r="K167" s="179"/>
      <c r="L167" s="180"/>
      <c r="M167" s="656"/>
      <c r="N167" s="657"/>
      <c r="O167" s="656"/>
      <c r="P167" s="657"/>
      <c r="Q167" s="656"/>
      <c r="R167" s="657"/>
      <c r="S167" s="656"/>
      <c r="T167" s="657"/>
      <c r="U167" s="656"/>
      <c r="V167" s="657"/>
      <c r="W167" s="656"/>
      <c r="X167" s="657"/>
      <c r="Y167" s="656"/>
      <c r="Z167" s="657"/>
      <c r="AA167" s="656"/>
      <c r="AB167" s="657"/>
      <c r="AC167" s="656"/>
      <c r="AD167" s="657"/>
      <c r="AE167" s="656"/>
      <c r="AF167" s="658"/>
      <c r="AG167" s="656"/>
      <c r="AH167" s="658"/>
      <c r="AI167" s="656"/>
      <c r="AJ167" s="658"/>
      <c r="AK167" s="656"/>
      <c r="AL167" s="658"/>
      <c r="AM167" s="659"/>
      <c r="AN167" s="658"/>
      <c r="AO167" s="656"/>
      <c r="AP167" s="658"/>
      <c r="AQ167" s="659"/>
      <c r="AR167" s="658"/>
      <c r="AS167" s="658"/>
      <c r="AT167" s="658"/>
      <c r="AU167" s="659"/>
      <c r="AV167" s="658"/>
      <c r="AW167" s="658"/>
      <c r="AX167" s="181"/>
      <c r="AY167" s="177"/>
      <c r="AZ167">
        <f ca="1">INDIRECT(ADDRESS(ROW()+1,COLUMN(Arbeitszeit!xDay),,,"Arbeitszeit"))</f>
        <v>2</v>
      </c>
    </row>
    <row r="168" spans="1:52">
      <c r="A168" s="582">
        <f>Arbeitszeit!A169</f>
        <v>41802</v>
      </c>
      <c r="B168" s="583">
        <f t="shared" si="8"/>
        <v>41802</v>
      </c>
      <c r="C168" s="214">
        <f t="shared" si="9"/>
        <v>24</v>
      </c>
      <c r="D168" s="213">
        <f t="shared" si="10"/>
        <v>41790</v>
      </c>
      <c r="E168" s="670">
        <f>Arbeitszeit!U169*24</f>
        <v>0</v>
      </c>
      <c r="F168" s="397">
        <f t="shared" si="11"/>
        <v>0</v>
      </c>
      <c r="G168" s="178">
        <f>IF(Arbeitszeit!F169=Urlaub,B_WorkTime*24,)</f>
        <v>0</v>
      </c>
      <c r="H168" s="174"/>
      <c r="I168" s="178">
        <f>IF(Arbeitszeit!F169=Krank,B_WorkTime*24,)</f>
        <v>0</v>
      </c>
      <c r="J168" s="174"/>
      <c r="K168" s="179"/>
      <c r="L168" s="180"/>
      <c r="M168" s="656"/>
      <c r="N168" s="657"/>
      <c r="O168" s="656"/>
      <c r="P168" s="657"/>
      <c r="Q168" s="656"/>
      <c r="R168" s="657"/>
      <c r="S168" s="656"/>
      <c r="T168" s="657"/>
      <c r="U168" s="656"/>
      <c r="V168" s="657"/>
      <c r="W168" s="656"/>
      <c r="X168" s="657"/>
      <c r="Y168" s="656"/>
      <c r="Z168" s="657"/>
      <c r="AA168" s="656"/>
      <c r="AB168" s="657"/>
      <c r="AC168" s="656"/>
      <c r="AD168" s="657"/>
      <c r="AE168" s="656"/>
      <c r="AF168" s="658"/>
      <c r="AG168" s="656"/>
      <c r="AH168" s="658"/>
      <c r="AI168" s="656"/>
      <c r="AJ168" s="658"/>
      <c r="AK168" s="656"/>
      <c r="AL168" s="658"/>
      <c r="AM168" s="659"/>
      <c r="AN168" s="658"/>
      <c r="AO168" s="656"/>
      <c r="AP168" s="658"/>
      <c r="AQ168" s="659"/>
      <c r="AR168" s="658"/>
      <c r="AS168" s="658"/>
      <c r="AT168" s="658"/>
      <c r="AU168" s="659"/>
      <c r="AV168" s="658"/>
      <c r="AW168" s="658"/>
      <c r="AX168" s="181"/>
      <c r="AY168" s="177"/>
      <c r="AZ168">
        <f ca="1">INDIRECT(ADDRESS(ROW()+1,COLUMN(Arbeitszeit!xDay),,,"Arbeitszeit"))</f>
        <v>3</v>
      </c>
    </row>
    <row r="169" spans="1:52">
      <c r="A169" s="582">
        <f>Arbeitszeit!A170</f>
        <v>41803</v>
      </c>
      <c r="B169" s="583">
        <f t="shared" si="8"/>
        <v>41803</v>
      </c>
      <c r="C169" s="214">
        <f t="shared" si="9"/>
        <v>24</v>
      </c>
      <c r="D169" s="213">
        <f t="shared" si="10"/>
        <v>41790</v>
      </c>
      <c r="E169" s="670">
        <f>Arbeitszeit!U170*24</f>
        <v>0</v>
      </c>
      <c r="F169" s="397">
        <f t="shared" si="11"/>
        <v>0</v>
      </c>
      <c r="G169" s="178">
        <f>IF(Arbeitszeit!F170=Urlaub,B_WorkTime*24,)</f>
        <v>0</v>
      </c>
      <c r="H169" s="174"/>
      <c r="I169" s="178">
        <f>IF(Arbeitszeit!F170=Krank,B_WorkTime*24,)</f>
        <v>0</v>
      </c>
      <c r="J169" s="174"/>
      <c r="K169" s="179"/>
      <c r="L169" s="180"/>
      <c r="M169" s="656"/>
      <c r="N169" s="657"/>
      <c r="O169" s="656"/>
      <c r="P169" s="657"/>
      <c r="Q169" s="656"/>
      <c r="R169" s="657"/>
      <c r="S169" s="656"/>
      <c r="T169" s="657"/>
      <c r="U169" s="656"/>
      <c r="V169" s="657"/>
      <c r="W169" s="656"/>
      <c r="X169" s="657"/>
      <c r="Y169" s="656"/>
      <c r="Z169" s="657"/>
      <c r="AA169" s="656"/>
      <c r="AB169" s="657"/>
      <c r="AC169" s="656"/>
      <c r="AD169" s="657"/>
      <c r="AE169" s="656"/>
      <c r="AF169" s="658"/>
      <c r="AG169" s="656"/>
      <c r="AH169" s="658"/>
      <c r="AI169" s="656"/>
      <c r="AJ169" s="658"/>
      <c r="AK169" s="656"/>
      <c r="AL169" s="658"/>
      <c r="AM169" s="659"/>
      <c r="AN169" s="658"/>
      <c r="AO169" s="656"/>
      <c r="AP169" s="658"/>
      <c r="AQ169" s="659"/>
      <c r="AR169" s="658"/>
      <c r="AS169" s="658"/>
      <c r="AT169" s="658"/>
      <c r="AU169" s="659"/>
      <c r="AV169" s="658"/>
      <c r="AW169" s="658"/>
      <c r="AX169" s="181"/>
      <c r="AY169" s="177"/>
      <c r="AZ169">
        <f ca="1">INDIRECT(ADDRESS(ROW()+1,COLUMN(Arbeitszeit!xDay),,,"Arbeitszeit"))</f>
        <v>4</v>
      </c>
    </row>
    <row r="170" spans="1:52" s="5" customFormat="1">
      <c r="A170" s="582">
        <f>Arbeitszeit!A171</f>
        <v>41804</v>
      </c>
      <c r="B170" s="583">
        <f t="shared" si="8"/>
        <v>41804</v>
      </c>
      <c r="C170" s="214">
        <f t="shared" si="9"/>
        <v>24</v>
      </c>
      <c r="D170" s="213">
        <f t="shared" si="10"/>
        <v>41790</v>
      </c>
      <c r="E170" s="670">
        <f>Arbeitszeit!U171*24</f>
        <v>0</v>
      </c>
      <c r="F170" s="397">
        <f t="shared" si="11"/>
        <v>0</v>
      </c>
      <c r="G170" s="178">
        <f>IF(Arbeitszeit!F171=Urlaub,B_WorkTime*24,)</f>
        <v>0</v>
      </c>
      <c r="H170" s="174"/>
      <c r="I170" s="178">
        <f>IF(Arbeitszeit!F171=Krank,B_WorkTime*24,)</f>
        <v>0</v>
      </c>
      <c r="J170" s="174"/>
      <c r="K170" s="179"/>
      <c r="L170" s="180"/>
      <c r="M170" s="656"/>
      <c r="N170" s="657"/>
      <c r="O170" s="656"/>
      <c r="P170" s="657"/>
      <c r="Q170" s="656"/>
      <c r="R170" s="657"/>
      <c r="S170" s="656"/>
      <c r="T170" s="657"/>
      <c r="U170" s="656"/>
      <c r="V170" s="657"/>
      <c r="W170" s="656"/>
      <c r="X170" s="657"/>
      <c r="Y170" s="656"/>
      <c r="Z170" s="657"/>
      <c r="AA170" s="656"/>
      <c r="AB170" s="657"/>
      <c r="AC170" s="656"/>
      <c r="AD170" s="657"/>
      <c r="AE170" s="656"/>
      <c r="AF170" s="658"/>
      <c r="AG170" s="656"/>
      <c r="AH170" s="658"/>
      <c r="AI170" s="656"/>
      <c r="AJ170" s="658"/>
      <c r="AK170" s="656"/>
      <c r="AL170" s="658"/>
      <c r="AM170" s="659"/>
      <c r="AN170" s="658"/>
      <c r="AO170" s="656"/>
      <c r="AP170" s="658"/>
      <c r="AQ170" s="659"/>
      <c r="AR170" s="658"/>
      <c r="AS170" s="658"/>
      <c r="AT170" s="658"/>
      <c r="AU170" s="659"/>
      <c r="AV170" s="658"/>
      <c r="AW170" s="658"/>
      <c r="AX170" s="181"/>
      <c r="AY170" s="177"/>
      <c r="AZ170">
        <f ca="1">INDIRECT(ADDRESS(ROW()+1,COLUMN(Arbeitszeit!xDay),,,"Arbeitszeit"))</f>
        <v>5</v>
      </c>
    </row>
    <row r="171" spans="1:52">
      <c r="A171" s="582">
        <f>Arbeitszeit!A172</f>
        <v>41805</v>
      </c>
      <c r="B171" s="583">
        <f t="shared" si="8"/>
        <v>41805</v>
      </c>
      <c r="C171" s="214">
        <f t="shared" si="9"/>
        <v>24</v>
      </c>
      <c r="D171" s="213">
        <f t="shared" si="10"/>
        <v>41790</v>
      </c>
      <c r="E171" s="670">
        <f>Arbeitszeit!U172*24</f>
        <v>0</v>
      </c>
      <c r="F171" s="397">
        <f t="shared" si="11"/>
        <v>0</v>
      </c>
      <c r="G171" s="178">
        <f>IF(Arbeitszeit!F172=Urlaub,B_WorkTime*24,)</f>
        <v>0</v>
      </c>
      <c r="H171" s="174"/>
      <c r="I171" s="178">
        <f>IF(Arbeitszeit!F172=Krank,B_WorkTime*24,)</f>
        <v>0</v>
      </c>
      <c r="J171" s="174"/>
      <c r="K171" s="179"/>
      <c r="L171" s="180"/>
      <c r="M171" s="656"/>
      <c r="N171" s="657"/>
      <c r="O171" s="656"/>
      <c r="P171" s="657"/>
      <c r="Q171" s="656"/>
      <c r="R171" s="657"/>
      <c r="S171" s="656"/>
      <c r="T171" s="657"/>
      <c r="U171" s="656"/>
      <c r="V171" s="657"/>
      <c r="W171" s="656"/>
      <c r="X171" s="657"/>
      <c r="Y171" s="656"/>
      <c r="Z171" s="657"/>
      <c r="AA171" s="656"/>
      <c r="AB171" s="657"/>
      <c r="AC171" s="656"/>
      <c r="AD171" s="657"/>
      <c r="AE171" s="656"/>
      <c r="AF171" s="658"/>
      <c r="AG171" s="656"/>
      <c r="AH171" s="658"/>
      <c r="AI171" s="656"/>
      <c r="AJ171" s="658"/>
      <c r="AK171" s="656"/>
      <c r="AL171" s="658"/>
      <c r="AM171" s="659"/>
      <c r="AN171" s="658"/>
      <c r="AO171" s="656"/>
      <c r="AP171" s="658"/>
      <c r="AQ171" s="659"/>
      <c r="AR171" s="658"/>
      <c r="AS171" s="658"/>
      <c r="AT171" s="658"/>
      <c r="AU171" s="659"/>
      <c r="AV171" s="658"/>
      <c r="AW171" s="658"/>
      <c r="AX171" s="181"/>
      <c r="AY171" s="177"/>
      <c r="AZ171">
        <f ca="1">INDIRECT(ADDRESS(ROW()+1,COLUMN(Arbeitszeit!xDay),,,"Arbeitszeit"))</f>
        <v>6</v>
      </c>
    </row>
    <row r="172" spans="1:52">
      <c r="A172" s="582">
        <f>Arbeitszeit!A173</f>
        <v>41806</v>
      </c>
      <c r="B172" s="583">
        <f t="shared" si="8"/>
        <v>41806</v>
      </c>
      <c r="C172" s="214">
        <f t="shared" si="9"/>
        <v>24</v>
      </c>
      <c r="D172" s="213">
        <f t="shared" si="10"/>
        <v>41790</v>
      </c>
      <c r="E172" s="670">
        <f>Arbeitszeit!U173*24</f>
        <v>0</v>
      </c>
      <c r="F172" s="397">
        <f t="shared" si="11"/>
        <v>0</v>
      </c>
      <c r="G172" s="178">
        <f>IF(Arbeitszeit!F173=Urlaub,B_WorkTime*24,)</f>
        <v>0</v>
      </c>
      <c r="H172" s="174"/>
      <c r="I172" s="178">
        <f>IF(Arbeitszeit!F173=Krank,B_WorkTime*24,)</f>
        <v>0</v>
      </c>
      <c r="J172" s="174"/>
      <c r="K172" s="179"/>
      <c r="L172" s="180"/>
      <c r="M172" s="656"/>
      <c r="N172" s="657"/>
      <c r="O172" s="656"/>
      <c r="P172" s="657"/>
      <c r="Q172" s="656"/>
      <c r="R172" s="657"/>
      <c r="S172" s="656"/>
      <c r="T172" s="657"/>
      <c r="U172" s="656"/>
      <c r="V172" s="657"/>
      <c r="W172" s="656"/>
      <c r="X172" s="657"/>
      <c r="Y172" s="656"/>
      <c r="Z172" s="657"/>
      <c r="AA172" s="656"/>
      <c r="AB172" s="657"/>
      <c r="AC172" s="656"/>
      <c r="AD172" s="657"/>
      <c r="AE172" s="656"/>
      <c r="AF172" s="658"/>
      <c r="AG172" s="656"/>
      <c r="AH172" s="658"/>
      <c r="AI172" s="656"/>
      <c r="AJ172" s="658"/>
      <c r="AK172" s="656"/>
      <c r="AL172" s="658"/>
      <c r="AM172" s="659"/>
      <c r="AN172" s="658"/>
      <c r="AO172" s="656"/>
      <c r="AP172" s="658"/>
      <c r="AQ172" s="659"/>
      <c r="AR172" s="658"/>
      <c r="AS172" s="658"/>
      <c r="AT172" s="658"/>
      <c r="AU172" s="659"/>
      <c r="AV172" s="658"/>
      <c r="AW172" s="658"/>
      <c r="AX172" s="181"/>
      <c r="AY172" s="177"/>
      <c r="AZ172">
        <f ca="1">INDIRECT(ADDRESS(ROW()+1,COLUMN(Arbeitszeit!xDay),,,"Arbeitszeit"))</f>
        <v>7</v>
      </c>
    </row>
    <row r="173" spans="1:52">
      <c r="A173" s="582">
        <f>Arbeitszeit!A174</f>
        <v>41807</v>
      </c>
      <c r="B173" s="583">
        <f t="shared" si="8"/>
        <v>41807</v>
      </c>
      <c r="C173" s="214">
        <f t="shared" si="9"/>
        <v>25</v>
      </c>
      <c r="D173" s="213">
        <f t="shared" si="10"/>
        <v>41790</v>
      </c>
      <c r="E173" s="670">
        <f>Arbeitszeit!U174*24</f>
        <v>0</v>
      </c>
      <c r="F173" s="397">
        <f t="shared" si="11"/>
        <v>0</v>
      </c>
      <c r="G173" s="178">
        <f>IF(Arbeitszeit!F174=Urlaub,B_WorkTime*24,)</f>
        <v>0</v>
      </c>
      <c r="H173" s="174"/>
      <c r="I173" s="178">
        <f>IF(Arbeitszeit!F174=Krank,B_WorkTime*24,)</f>
        <v>0</v>
      </c>
      <c r="J173" s="174"/>
      <c r="K173" s="179"/>
      <c r="L173" s="180"/>
      <c r="M173" s="656"/>
      <c r="N173" s="657"/>
      <c r="O173" s="656"/>
      <c r="P173" s="657"/>
      <c r="Q173" s="656"/>
      <c r="R173" s="657"/>
      <c r="S173" s="656"/>
      <c r="T173" s="657"/>
      <c r="U173" s="656"/>
      <c r="V173" s="657"/>
      <c r="W173" s="656"/>
      <c r="X173" s="657"/>
      <c r="Y173" s="656"/>
      <c r="Z173" s="657"/>
      <c r="AA173" s="656"/>
      <c r="AB173" s="657"/>
      <c r="AC173" s="656"/>
      <c r="AD173" s="657"/>
      <c r="AE173" s="656"/>
      <c r="AF173" s="658"/>
      <c r="AG173" s="656"/>
      <c r="AH173" s="658"/>
      <c r="AI173" s="656"/>
      <c r="AJ173" s="658"/>
      <c r="AK173" s="656"/>
      <c r="AL173" s="658"/>
      <c r="AM173" s="659"/>
      <c r="AN173" s="658"/>
      <c r="AO173" s="656"/>
      <c r="AP173" s="658"/>
      <c r="AQ173" s="659"/>
      <c r="AR173" s="658"/>
      <c r="AS173" s="658"/>
      <c r="AT173" s="658"/>
      <c r="AU173" s="659"/>
      <c r="AV173" s="658"/>
      <c r="AW173" s="658"/>
      <c r="AX173" s="181"/>
      <c r="AY173" s="177"/>
      <c r="AZ173">
        <f ca="1">INDIRECT(ADDRESS(ROW()+1,COLUMN(Arbeitszeit!xDay),,,"Arbeitszeit"))</f>
        <v>1</v>
      </c>
    </row>
    <row r="174" spans="1:52">
      <c r="A174" s="582">
        <f>Arbeitszeit!A175</f>
        <v>41808</v>
      </c>
      <c r="B174" s="583">
        <f t="shared" si="8"/>
        <v>41808</v>
      </c>
      <c r="C174" s="214">
        <f t="shared" si="9"/>
        <v>25</v>
      </c>
      <c r="D174" s="213">
        <f t="shared" si="10"/>
        <v>41790</v>
      </c>
      <c r="E174" s="670">
        <f>Arbeitszeit!U175*24</f>
        <v>0</v>
      </c>
      <c r="F174" s="397">
        <f t="shared" si="11"/>
        <v>0</v>
      </c>
      <c r="G174" s="178">
        <f>IF(Arbeitszeit!F175=Urlaub,B_WorkTime*24,)</f>
        <v>0</v>
      </c>
      <c r="H174" s="174"/>
      <c r="I174" s="178">
        <f>IF(Arbeitszeit!F175=Krank,B_WorkTime*24,)</f>
        <v>0</v>
      </c>
      <c r="J174" s="174"/>
      <c r="K174" s="179"/>
      <c r="L174" s="180"/>
      <c r="M174" s="656"/>
      <c r="N174" s="657"/>
      <c r="O174" s="656"/>
      <c r="P174" s="657"/>
      <c r="Q174" s="656"/>
      <c r="R174" s="657"/>
      <c r="S174" s="656"/>
      <c r="T174" s="657"/>
      <c r="U174" s="656"/>
      <c r="V174" s="657"/>
      <c r="W174" s="656"/>
      <c r="X174" s="657"/>
      <c r="Y174" s="656"/>
      <c r="Z174" s="657"/>
      <c r="AA174" s="656"/>
      <c r="AB174" s="657"/>
      <c r="AC174" s="656"/>
      <c r="AD174" s="657"/>
      <c r="AE174" s="656"/>
      <c r="AF174" s="658"/>
      <c r="AG174" s="656"/>
      <c r="AH174" s="658"/>
      <c r="AI174" s="656"/>
      <c r="AJ174" s="658"/>
      <c r="AK174" s="656"/>
      <c r="AL174" s="658"/>
      <c r="AM174" s="659"/>
      <c r="AN174" s="658"/>
      <c r="AO174" s="656"/>
      <c r="AP174" s="658"/>
      <c r="AQ174" s="659"/>
      <c r="AR174" s="658"/>
      <c r="AS174" s="658"/>
      <c r="AT174" s="658"/>
      <c r="AU174" s="659"/>
      <c r="AV174" s="658"/>
      <c r="AW174" s="658"/>
      <c r="AX174" s="181"/>
      <c r="AY174" s="177"/>
      <c r="AZ174">
        <f ca="1">INDIRECT(ADDRESS(ROW()+1,COLUMN(Arbeitszeit!xDay),,,"Arbeitszeit"))</f>
        <v>2</v>
      </c>
    </row>
    <row r="175" spans="1:52">
      <c r="A175" s="582">
        <f>Arbeitszeit!A176</f>
        <v>41809</v>
      </c>
      <c r="B175" s="583">
        <f t="shared" si="8"/>
        <v>41809</v>
      </c>
      <c r="C175" s="214">
        <f t="shared" si="9"/>
        <v>25</v>
      </c>
      <c r="D175" s="213">
        <f t="shared" si="10"/>
        <v>41790</v>
      </c>
      <c r="E175" s="670">
        <f>Arbeitszeit!U176*24</f>
        <v>0</v>
      </c>
      <c r="F175" s="397">
        <f t="shared" si="11"/>
        <v>0</v>
      </c>
      <c r="G175" s="178">
        <f>IF(Arbeitszeit!F176=Urlaub,B_WorkTime*24,)</f>
        <v>0</v>
      </c>
      <c r="H175" s="174"/>
      <c r="I175" s="178">
        <f>IF(Arbeitszeit!F176=Krank,B_WorkTime*24,)</f>
        <v>0</v>
      </c>
      <c r="J175" s="174"/>
      <c r="K175" s="179"/>
      <c r="L175" s="180"/>
      <c r="M175" s="656"/>
      <c r="N175" s="657"/>
      <c r="O175" s="656"/>
      <c r="P175" s="657"/>
      <c r="Q175" s="656"/>
      <c r="R175" s="657"/>
      <c r="S175" s="656"/>
      <c r="T175" s="657"/>
      <c r="U175" s="656"/>
      <c r="V175" s="657"/>
      <c r="W175" s="656"/>
      <c r="X175" s="657"/>
      <c r="Y175" s="656"/>
      <c r="Z175" s="657"/>
      <c r="AA175" s="656"/>
      <c r="AB175" s="657"/>
      <c r="AC175" s="656"/>
      <c r="AD175" s="657"/>
      <c r="AE175" s="656"/>
      <c r="AF175" s="658"/>
      <c r="AG175" s="656"/>
      <c r="AH175" s="658"/>
      <c r="AI175" s="656"/>
      <c r="AJ175" s="658"/>
      <c r="AK175" s="656"/>
      <c r="AL175" s="658"/>
      <c r="AM175" s="659"/>
      <c r="AN175" s="658"/>
      <c r="AO175" s="656"/>
      <c r="AP175" s="658"/>
      <c r="AQ175" s="659"/>
      <c r="AR175" s="658"/>
      <c r="AS175" s="658"/>
      <c r="AT175" s="658"/>
      <c r="AU175" s="659"/>
      <c r="AV175" s="658"/>
      <c r="AW175" s="658"/>
      <c r="AX175" s="181"/>
      <c r="AY175" s="177"/>
      <c r="AZ175">
        <f ca="1">INDIRECT(ADDRESS(ROW()+1,COLUMN(Arbeitszeit!xDay),,,"Arbeitszeit"))</f>
        <v>3</v>
      </c>
    </row>
    <row r="176" spans="1:52">
      <c r="A176" s="582">
        <f>Arbeitszeit!A177</f>
        <v>41810</v>
      </c>
      <c r="B176" s="583">
        <f t="shared" si="8"/>
        <v>41810</v>
      </c>
      <c r="C176" s="214">
        <f t="shared" si="9"/>
        <v>25</v>
      </c>
      <c r="D176" s="213">
        <f t="shared" si="10"/>
        <v>41790</v>
      </c>
      <c r="E176" s="670">
        <f>Arbeitszeit!U177*24</f>
        <v>0</v>
      </c>
      <c r="F176" s="397">
        <f t="shared" si="11"/>
        <v>0</v>
      </c>
      <c r="G176" s="178">
        <f>IF(Arbeitszeit!F177=Urlaub,B_WorkTime*24,)</f>
        <v>0</v>
      </c>
      <c r="H176" s="174"/>
      <c r="I176" s="178">
        <f>IF(Arbeitszeit!F177=Krank,B_WorkTime*24,)</f>
        <v>0</v>
      </c>
      <c r="J176" s="174"/>
      <c r="K176" s="179"/>
      <c r="L176" s="180"/>
      <c r="M176" s="656"/>
      <c r="N176" s="657"/>
      <c r="O176" s="656"/>
      <c r="P176" s="657"/>
      <c r="Q176" s="656"/>
      <c r="R176" s="657"/>
      <c r="S176" s="656"/>
      <c r="T176" s="657"/>
      <c r="U176" s="656"/>
      <c r="V176" s="657"/>
      <c r="W176" s="656"/>
      <c r="X176" s="657"/>
      <c r="Y176" s="656"/>
      <c r="Z176" s="657"/>
      <c r="AA176" s="656"/>
      <c r="AB176" s="657"/>
      <c r="AC176" s="656"/>
      <c r="AD176" s="657"/>
      <c r="AE176" s="656"/>
      <c r="AF176" s="658"/>
      <c r="AG176" s="656"/>
      <c r="AH176" s="658"/>
      <c r="AI176" s="656"/>
      <c r="AJ176" s="658"/>
      <c r="AK176" s="656"/>
      <c r="AL176" s="658"/>
      <c r="AM176" s="659"/>
      <c r="AN176" s="658"/>
      <c r="AO176" s="656"/>
      <c r="AP176" s="658"/>
      <c r="AQ176" s="659"/>
      <c r="AR176" s="658"/>
      <c r="AS176" s="658"/>
      <c r="AT176" s="658"/>
      <c r="AU176" s="659"/>
      <c r="AV176" s="658"/>
      <c r="AW176" s="658"/>
      <c r="AX176" s="181"/>
      <c r="AY176" s="177"/>
      <c r="AZ176">
        <f ca="1">INDIRECT(ADDRESS(ROW()+1,COLUMN(Arbeitszeit!xDay),,,"Arbeitszeit"))</f>
        <v>4</v>
      </c>
    </row>
    <row r="177" spans="1:52">
      <c r="A177" s="582">
        <f>Arbeitszeit!A178</f>
        <v>41811</v>
      </c>
      <c r="B177" s="583">
        <f t="shared" si="8"/>
        <v>41811</v>
      </c>
      <c r="C177" s="214">
        <f t="shared" si="9"/>
        <v>25</v>
      </c>
      <c r="D177" s="213">
        <f t="shared" si="10"/>
        <v>41790</v>
      </c>
      <c r="E177" s="670">
        <f>Arbeitszeit!U178*24</f>
        <v>0</v>
      </c>
      <c r="F177" s="397">
        <f t="shared" si="11"/>
        <v>0</v>
      </c>
      <c r="G177" s="178">
        <f>IF(Arbeitszeit!F178=Urlaub,B_WorkTime*24,)</f>
        <v>0</v>
      </c>
      <c r="H177" s="174"/>
      <c r="I177" s="178">
        <f>IF(Arbeitszeit!F178=Krank,B_WorkTime*24,)</f>
        <v>0</v>
      </c>
      <c r="J177" s="174"/>
      <c r="K177" s="179"/>
      <c r="L177" s="180"/>
      <c r="M177" s="656"/>
      <c r="N177" s="657"/>
      <c r="O177" s="656"/>
      <c r="P177" s="657"/>
      <c r="Q177" s="656"/>
      <c r="R177" s="657"/>
      <c r="S177" s="656"/>
      <c r="T177" s="657"/>
      <c r="U177" s="656"/>
      <c r="V177" s="657"/>
      <c r="W177" s="656"/>
      <c r="X177" s="657"/>
      <c r="Y177" s="656"/>
      <c r="Z177" s="657"/>
      <c r="AA177" s="656"/>
      <c r="AB177" s="657"/>
      <c r="AC177" s="656"/>
      <c r="AD177" s="657"/>
      <c r="AE177" s="656"/>
      <c r="AF177" s="658"/>
      <c r="AG177" s="656"/>
      <c r="AH177" s="658"/>
      <c r="AI177" s="656"/>
      <c r="AJ177" s="658"/>
      <c r="AK177" s="656"/>
      <c r="AL177" s="658"/>
      <c r="AM177" s="659"/>
      <c r="AN177" s="658"/>
      <c r="AO177" s="656"/>
      <c r="AP177" s="658"/>
      <c r="AQ177" s="659"/>
      <c r="AR177" s="658"/>
      <c r="AS177" s="658"/>
      <c r="AT177" s="658"/>
      <c r="AU177" s="659"/>
      <c r="AV177" s="658"/>
      <c r="AW177" s="658"/>
      <c r="AX177" s="181"/>
      <c r="AY177" s="177"/>
      <c r="AZ177">
        <f ca="1">INDIRECT(ADDRESS(ROW()+1,COLUMN(Arbeitszeit!xDay),,,"Arbeitszeit"))</f>
        <v>5</v>
      </c>
    </row>
    <row r="178" spans="1:52">
      <c r="A178" s="582">
        <f>Arbeitszeit!A179</f>
        <v>41812</v>
      </c>
      <c r="B178" s="583">
        <f t="shared" si="8"/>
        <v>41812</v>
      </c>
      <c r="C178" s="214">
        <f t="shared" si="9"/>
        <v>25</v>
      </c>
      <c r="D178" s="213">
        <f t="shared" si="10"/>
        <v>41790</v>
      </c>
      <c r="E178" s="670">
        <f>Arbeitszeit!U179*24</f>
        <v>0</v>
      </c>
      <c r="F178" s="397">
        <f t="shared" si="11"/>
        <v>0</v>
      </c>
      <c r="G178" s="178">
        <f>IF(Arbeitszeit!F179=Urlaub,B_WorkTime*24,)</f>
        <v>0</v>
      </c>
      <c r="H178" s="174"/>
      <c r="I178" s="178">
        <f>IF(Arbeitszeit!F179=Krank,B_WorkTime*24,)</f>
        <v>0</v>
      </c>
      <c r="J178" s="174"/>
      <c r="K178" s="179"/>
      <c r="L178" s="180"/>
      <c r="M178" s="656"/>
      <c r="N178" s="657"/>
      <c r="O178" s="656"/>
      <c r="P178" s="657"/>
      <c r="Q178" s="656"/>
      <c r="R178" s="657"/>
      <c r="S178" s="656"/>
      <c r="T178" s="657"/>
      <c r="U178" s="656"/>
      <c r="V178" s="657"/>
      <c r="W178" s="656"/>
      <c r="X178" s="657"/>
      <c r="Y178" s="656"/>
      <c r="Z178" s="657"/>
      <c r="AA178" s="656"/>
      <c r="AB178" s="657"/>
      <c r="AC178" s="656"/>
      <c r="AD178" s="657"/>
      <c r="AE178" s="656"/>
      <c r="AF178" s="658"/>
      <c r="AG178" s="656"/>
      <c r="AH178" s="658"/>
      <c r="AI178" s="656"/>
      <c r="AJ178" s="658"/>
      <c r="AK178" s="656"/>
      <c r="AL178" s="658"/>
      <c r="AM178" s="659"/>
      <c r="AN178" s="658"/>
      <c r="AO178" s="656"/>
      <c r="AP178" s="658"/>
      <c r="AQ178" s="659"/>
      <c r="AR178" s="658"/>
      <c r="AS178" s="658"/>
      <c r="AT178" s="658"/>
      <c r="AU178" s="659"/>
      <c r="AV178" s="658"/>
      <c r="AW178" s="658"/>
      <c r="AX178" s="181"/>
      <c r="AY178" s="177"/>
      <c r="AZ178">
        <f ca="1">INDIRECT(ADDRESS(ROW()+1,COLUMN(Arbeitszeit!xDay),,,"Arbeitszeit"))</f>
        <v>6</v>
      </c>
    </row>
    <row r="179" spans="1:52">
      <c r="A179" s="582">
        <f>Arbeitszeit!A180</f>
        <v>41813</v>
      </c>
      <c r="B179" s="583">
        <f t="shared" si="8"/>
        <v>41813</v>
      </c>
      <c r="C179" s="214">
        <f t="shared" si="9"/>
        <v>25</v>
      </c>
      <c r="D179" s="213">
        <f t="shared" si="10"/>
        <v>41790</v>
      </c>
      <c r="E179" s="670">
        <f>Arbeitszeit!U180*24</f>
        <v>0</v>
      </c>
      <c r="F179" s="397">
        <f t="shared" si="11"/>
        <v>0</v>
      </c>
      <c r="G179" s="178">
        <f>IF(Arbeitszeit!F180=Urlaub,B_WorkTime*24,)</f>
        <v>0</v>
      </c>
      <c r="H179" s="174"/>
      <c r="I179" s="178">
        <f>IF(Arbeitszeit!F180=Krank,B_WorkTime*24,)</f>
        <v>0</v>
      </c>
      <c r="J179" s="174"/>
      <c r="K179" s="179"/>
      <c r="L179" s="180"/>
      <c r="M179" s="656"/>
      <c r="N179" s="657"/>
      <c r="O179" s="656"/>
      <c r="P179" s="657"/>
      <c r="Q179" s="656"/>
      <c r="R179" s="657"/>
      <c r="S179" s="656"/>
      <c r="T179" s="657"/>
      <c r="U179" s="656"/>
      <c r="V179" s="657"/>
      <c r="W179" s="656"/>
      <c r="X179" s="657"/>
      <c r="Y179" s="656"/>
      <c r="Z179" s="657"/>
      <c r="AA179" s="656"/>
      <c r="AB179" s="657"/>
      <c r="AC179" s="656"/>
      <c r="AD179" s="657"/>
      <c r="AE179" s="656"/>
      <c r="AF179" s="658"/>
      <c r="AG179" s="656"/>
      <c r="AH179" s="658"/>
      <c r="AI179" s="656"/>
      <c r="AJ179" s="658"/>
      <c r="AK179" s="656"/>
      <c r="AL179" s="658"/>
      <c r="AM179" s="659"/>
      <c r="AN179" s="658"/>
      <c r="AO179" s="656"/>
      <c r="AP179" s="658"/>
      <c r="AQ179" s="659"/>
      <c r="AR179" s="658"/>
      <c r="AS179" s="658"/>
      <c r="AT179" s="658"/>
      <c r="AU179" s="659"/>
      <c r="AV179" s="658"/>
      <c r="AW179" s="658"/>
      <c r="AX179" s="181"/>
      <c r="AY179" s="177"/>
      <c r="AZ179">
        <f ca="1">INDIRECT(ADDRESS(ROW()+1,COLUMN(Arbeitszeit!xDay),,,"Arbeitszeit"))</f>
        <v>7</v>
      </c>
    </row>
    <row r="180" spans="1:52">
      <c r="A180" s="582">
        <f>Arbeitszeit!A181</f>
        <v>41814</v>
      </c>
      <c r="B180" s="583">
        <f t="shared" si="8"/>
        <v>41814</v>
      </c>
      <c r="C180" s="214">
        <f t="shared" si="9"/>
        <v>26</v>
      </c>
      <c r="D180" s="213">
        <f t="shared" si="10"/>
        <v>41790</v>
      </c>
      <c r="E180" s="670">
        <f>Arbeitszeit!U181*24</f>
        <v>0</v>
      </c>
      <c r="F180" s="397">
        <f t="shared" si="11"/>
        <v>0</v>
      </c>
      <c r="G180" s="178">
        <f>IF(Arbeitszeit!F181=Urlaub,B_WorkTime*24,)</f>
        <v>0</v>
      </c>
      <c r="H180" s="174"/>
      <c r="I180" s="178">
        <f>IF(Arbeitszeit!F181=Krank,B_WorkTime*24,)</f>
        <v>0</v>
      </c>
      <c r="J180" s="174"/>
      <c r="K180" s="179"/>
      <c r="L180" s="180"/>
      <c r="M180" s="656"/>
      <c r="N180" s="657"/>
      <c r="O180" s="656"/>
      <c r="P180" s="657"/>
      <c r="Q180" s="656"/>
      <c r="R180" s="657"/>
      <c r="S180" s="656"/>
      <c r="T180" s="657"/>
      <c r="U180" s="656"/>
      <c r="V180" s="657"/>
      <c r="W180" s="656"/>
      <c r="X180" s="657"/>
      <c r="Y180" s="656"/>
      <c r="Z180" s="657"/>
      <c r="AA180" s="656"/>
      <c r="AB180" s="657"/>
      <c r="AC180" s="656"/>
      <c r="AD180" s="657"/>
      <c r="AE180" s="656"/>
      <c r="AF180" s="658"/>
      <c r="AG180" s="656"/>
      <c r="AH180" s="658"/>
      <c r="AI180" s="656"/>
      <c r="AJ180" s="658"/>
      <c r="AK180" s="656"/>
      <c r="AL180" s="658"/>
      <c r="AM180" s="659"/>
      <c r="AN180" s="658"/>
      <c r="AO180" s="656"/>
      <c r="AP180" s="658"/>
      <c r="AQ180" s="659"/>
      <c r="AR180" s="658"/>
      <c r="AS180" s="658"/>
      <c r="AT180" s="658"/>
      <c r="AU180" s="659"/>
      <c r="AV180" s="658"/>
      <c r="AW180" s="658"/>
      <c r="AX180" s="181"/>
      <c r="AY180" s="177"/>
      <c r="AZ180">
        <f ca="1">INDIRECT(ADDRESS(ROW()+1,COLUMN(Arbeitszeit!xDay),,,"Arbeitszeit"))</f>
        <v>1</v>
      </c>
    </row>
    <row r="181" spans="1:52">
      <c r="A181" s="582">
        <f>Arbeitszeit!A182</f>
        <v>41815</v>
      </c>
      <c r="B181" s="583">
        <f t="shared" si="8"/>
        <v>41815</v>
      </c>
      <c r="C181" s="214">
        <f t="shared" si="9"/>
        <v>26</v>
      </c>
      <c r="D181" s="213">
        <f t="shared" si="10"/>
        <v>41790</v>
      </c>
      <c r="E181" s="670">
        <f>Arbeitszeit!U182*24</f>
        <v>0</v>
      </c>
      <c r="F181" s="397">
        <f t="shared" si="11"/>
        <v>0</v>
      </c>
      <c r="G181" s="178">
        <f>IF(Arbeitszeit!F182=Urlaub,B_WorkTime*24,)</f>
        <v>0</v>
      </c>
      <c r="H181" s="174"/>
      <c r="I181" s="178">
        <f>IF(Arbeitszeit!F182=Krank,B_WorkTime*24,)</f>
        <v>0</v>
      </c>
      <c r="J181" s="174"/>
      <c r="K181" s="179"/>
      <c r="L181" s="180"/>
      <c r="M181" s="656"/>
      <c r="N181" s="657"/>
      <c r="O181" s="656"/>
      <c r="P181" s="657"/>
      <c r="Q181" s="656"/>
      <c r="R181" s="657"/>
      <c r="S181" s="656"/>
      <c r="T181" s="657"/>
      <c r="U181" s="656"/>
      <c r="V181" s="657"/>
      <c r="W181" s="656"/>
      <c r="X181" s="657"/>
      <c r="Y181" s="656"/>
      <c r="Z181" s="657"/>
      <c r="AA181" s="656"/>
      <c r="AB181" s="657"/>
      <c r="AC181" s="656"/>
      <c r="AD181" s="657"/>
      <c r="AE181" s="656"/>
      <c r="AF181" s="658"/>
      <c r="AG181" s="656"/>
      <c r="AH181" s="658"/>
      <c r="AI181" s="656"/>
      <c r="AJ181" s="658"/>
      <c r="AK181" s="656"/>
      <c r="AL181" s="658"/>
      <c r="AM181" s="659"/>
      <c r="AN181" s="658"/>
      <c r="AO181" s="656"/>
      <c r="AP181" s="658"/>
      <c r="AQ181" s="659"/>
      <c r="AR181" s="658"/>
      <c r="AS181" s="658"/>
      <c r="AT181" s="658"/>
      <c r="AU181" s="659"/>
      <c r="AV181" s="658"/>
      <c r="AW181" s="658"/>
      <c r="AX181" s="181"/>
      <c r="AY181" s="177"/>
      <c r="AZ181">
        <f ca="1">INDIRECT(ADDRESS(ROW()+1,COLUMN(Arbeitszeit!xDay),,,"Arbeitszeit"))</f>
        <v>2</v>
      </c>
    </row>
    <row r="182" spans="1:52">
      <c r="A182" s="582">
        <f>Arbeitszeit!A183</f>
        <v>41816</v>
      </c>
      <c r="B182" s="583">
        <f t="shared" si="8"/>
        <v>41816</v>
      </c>
      <c r="C182" s="214">
        <f t="shared" si="9"/>
        <v>26</v>
      </c>
      <c r="D182" s="213">
        <f t="shared" si="10"/>
        <v>41790</v>
      </c>
      <c r="E182" s="670">
        <f>Arbeitszeit!U183*24</f>
        <v>0</v>
      </c>
      <c r="F182" s="397">
        <f t="shared" si="11"/>
        <v>0</v>
      </c>
      <c r="G182" s="178">
        <f>IF(Arbeitszeit!F183=Urlaub,B_WorkTime*24,)</f>
        <v>0</v>
      </c>
      <c r="H182" s="174"/>
      <c r="I182" s="178">
        <f>IF(Arbeitszeit!F183=Krank,B_WorkTime*24,)</f>
        <v>0</v>
      </c>
      <c r="J182" s="174"/>
      <c r="K182" s="179"/>
      <c r="L182" s="180"/>
      <c r="M182" s="656"/>
      <c r="N182" s="657"/>
      <c r="O182" s="656"/>
      <c r="P182" s="657"/>
      <c r="Q182" s="656"/>
      <c r="R182" s="657"/>
      <c r="S182" s="656"/>
      <c r="T182" s="657"/>
      <c r="U182" s="656"/>
      <c r="V182" s="657"/>
      <c r="W182" s="656"/>
      <c r="X182" s="657"/>
      <c r="Y182" s="656"/>
      <c r="Z182" s="657"/>
      <c r="AA182" s="656"/>
      <c r="AB182" s="657"/>
      <c r="AC182" s="656"/>
      <c r="AD182" s="657"/>
      <c r="AE182" s="656"/>
      <c r="AF182" s="658"/>
      <c r="AG182" s="656"/>
      <c r="AH182" s="658"/>
      <c r="AI182" s="656"/>
      <c r="AJ182" s="658"/>
      <c r="AK182" s="656"/>
      <c r="AL182" s="658"/>
      <c r="AM182" s="659"/>
      <c r="AN182" s="658"/>
      <c r="AO182" s="656"/>
      <c r="AP182" s="658"/>
      <c r="AQ182" s="659"/>
      <c r="AR182" s="658"/>
      <c r="AS182" s="658"/>
      <c r="AT182" s="658"/>
      <c r="AU182" s="659"/>
      <c r="AV182" s="658"/>
      <c r="AW182" s="658"/>
      <c r="AX182" s="181"/>
      <c r="AY182" s="177"/>
      <c r="AZ182">
        <f ca="1">INDIRECT(ADDRESS(ROW()+1,COLUMN(Arbeitszeit!xDay),,,"Arbeitszeit"))</f>
        <v>3</v>
      </c>
    </row>
    <row r="183" spans="1:52">
      <c r="A183" s="582">
        <f>Arbeitszeit!A184</f>
        <v>41817</v>
      </c>
      <c r="B183" s="583">
        <f t="shared" si="8"/>
        <v>41817</v>
      </c>
      <c r="C183" s="214">
        <f t="shared" si="9"/>
        <v>26</v>
      </c>
      <c r="D183" s="213">
        <f t="shared" si="10"/>
        <v>41790</v>
      </c>
      <c r="E183" s="670">
        <f>Arbeitszeit!U184*24</f>
        <v>0</v>
      </c>
      <c r="F183" s="397">
        <f t="shared" si="11"/>
        <v>0</v>
      </c>
      <c r="G183" s="178">
        <f>IF(Arbeitszeit!F184=Urlaub,B_WorkTime*24,)</f>
        <v>0</v>
      </c>
      <c r="H183" s="174"/>
      <c r="I183" s="178">
        <f>IF(Arbeitszeit!F184=Krank,B_WorkTime*24,)</f>
        <v>0</v>
      </c>
      <c r="J183" s="174"/>
      <c r="K183" s="179"/>
      <c r="L183" s="180"/>
      <c r="M183" s="656"/>
      <c r="N183" s="657"/>
      <c r="O183" s="656"/>
      <c r="P183" s="657"/>
      <c r="Q183" s="656"/>
      <c r="R183" s="657"/>
      <c r="S183" s="656"/>
      <c r="T183" s="657"/>
      <c r="U183" s="656"/>
      <c r="V183" s="657"/>
      <c r="W183" s="656"/>
      <c r="X183" s="657"/>
      <c r="Y183" s="656"/>
      <c r="Z183" s="657"/>
      <c r="AA183" s="656"/>
      <c r="AB183" s="657"/>
      <c r="AC183" s="656"/>
      <c r="AD183" s="657"/>
      <c r="AE183" s="656"/>
      <c r="AF183" s="658"/>
      <c r="AG183" s="656"/>
      <c r="AH183" s="658"/>
      <c r="AI183" s="656"/>
      <c r="AJ183" s="658"/>
      <c r="AK183" s="656"/>
      <c r="AL183" s="658"/>
      <c r="AM183" s="659"/>
      <c r="AN183" s="658"/>
      <c r="AO183" s="656"/>
      <c r="AP183" s="658"/>
      <c r="AQ183" s="659"/>
      <c r="AR183" s="658"/>
      <c r="AS183" s="658"/>
      <c r="AT183" s="658"/>
      <c r="AU183" s="659"/>
      <c r="AV183" s="658"/>
      <c r="AW183" s="658"/>
      <c r="AX183" s="181"/>
      <c r="AY183" s="177"/>
      <c r="AZ183">
        <f ca="1">INDIRECT(ADDRESS(ROW()+1,COLUMN(Arbeitszeit!xDay),,,"Arbeitszeit"))</f>
        <v>4</v>
      </c>
    </row>
    <row r="184" spans="1:52">
      <c r="A184" s="582">
        <f>Arbeitszeit!A185</f>
        <v>41818</v>
      </c>
      <c r="B184" s="583">
        <f t="shared" si="8"/>
        <v>41818</v>
      </c>
      <c r="C184" s="214">
        <f t="shared" si="9"/>
        <v>26</v>
      </c>
      <c r="D184" s="213">
        <f t="shared" si="10"/>
        <v>41790</v>
      </c>
      <c r="E184" s="670">
        <f>Arbeitszeit!U185*24</f>
        <v>0</v>
      </c>
      <c r="F184" s="397">
        <f t="shared" si="11"/>
        <v>0</v>
      </c>
      <c r="G184" s="178">
        <f>IF(Arbeitszeit!F185=Urlaub,B_WorkTime*24,)</f>
        <v>0</v>
      </c>
      <c r="H184" s="174"/>
      <c r="I184" s="178">
        <f>IF(Arbeitszeit!F185=Krank,B_WorkTime*24,)</f>
        <v>0</v>
      </c>
      <c r="J184" s="174"/>
      <c r="K184" s="179"/>
      <c r="L184" s="180"/>
      <c r="M184" s="656"/>
      <c r="N184" s="657"/>
      <c r="O184" s="656"/>
      <c r="P184" s="657"/>
      <c r="Q184" s="656"/>
      <c r="R184" s="657"/>
      <c r="S184" s="656"/>
      <c r="T184" s="657"/>
      <c r="U184" s="656"/>
      <c r="V184" s="657"/>
      <c r="W184" s="656"/>
      <c r="X184" s="657"/>
      <c r="Y184" s="656"/>
      <c r="Z184" s="657"/>
      <c r="AA184" s="656"/>
      <c r="AB184" s="657"/>
      <c r="AC184" s="656"/>
      <c r="AD184" s="657"/>
      <c r="AE184" s="656"/>
      <c r="AF184" s="658"/>
      <c r="AG184" s="656"/>
      <c r="AH184" s="658"/>
      <c r="AI184" s="656"/>
      <c r="AJ184" s="658"/>
      <c r="AK184" s="656"/>
      <c r="AL184" s="658"/>
      <c r="AM184" s="659"/>
      <c r="AN184" s="658"/>
      <c r="AO184" s="656"/>
      <c r="AP184" s="658"/>
      <c r="AQ184" s="659"/>
      <c r="AR184" s="658"/>
      <c r="AS184" s="658"/>
      <c r="AT184" s="658"/>
      <c r="AU184" s="659"/>
      <c r="AV184" s="658"/>
      <c r="AW184" s="658"/>
      <c r="AX184" s="181"/>
      <c r="AY184" s="177"/>
      <c r="AZ184">
        <f ca="1">INDIRECT(ADDRESS(ROW()+1,COLUMN(Arbeitszeit!xDay),,,"Arbeitszeit"))</f>
        <v>5</v>
      </c>
    </row>
    <row r="185" spans="1:52">
      <c r="A185" s="582">
        <f>Arbeitszeit!A186</f>
        <v>41819</v>
      </c>
      <c r="B185" s="583">
        <f t="shared" si="8"/>
        <v>41819</v>
      </c>
      <c r="C185" s="214">
        <f t="shared" si="9"/>
        <v>26</v>
      </c>
      <c r="D185" s="213">
        <f t="shared" si="10"/>
        <v>41790</v>
      </c>
      <c r="E185" s="670">
        <f>Arbeitszeit!U186*24</f>
        <v>0</v>
      </c>
      <c r="F185" s="397">
        <f t="shared" si="11"/>
        <v>0</v>
      </c>
      <c r="G185" s="178">
        <f>IF(Arbeitszeit!F186=Urlaub,B_WorkTime*24,)</f>
        <v>0</v>
      </c>
      <c r="H185" s="174"/>
      <c r="I185" s="178">
        <f>IF(Arbeitszeit!F186=Krank,B_WorkTime*24,)</f>
        <v>0</v>
      </c>
      <c r="J185" s="174"/>
      <c r="K185" s="179"/>
      <c r="L185" s="180"/>
      <c r="M185" s="656"/>
      <c r="N185" s="657"/>
      <c r="O185" s="656"/>
      <c r="P185" s="657"/>
      <c r="Q185" s="656"/>
      <c r="R185" s="657"/>
      <c r="S185" s="656"/>
      <c r="T185" s="657"/>
      <c r="U185" s="656"/>
      <c r="V185" s="657"/>
      <c r="W185" s="656"/>
      <c r="X185" s="657"/>
      <c r="Y185" s="656"/>
      <c r="Z185" s="657"/>
      <c r="AA185" s="656"/>
      <c r="AB185" s="657"/>
      <c r="AC185" s="656"/>
      <c r="AD185" s="657"/>
      <c r="AE185" s="656"/>
      <c r="AF185" s="658"/>
      <c r="AG185" s="656"/>
      <c r="AH185" s="658"/>
      <c r="AI185" s="656"/>
      <c r="AJ185" s="658"/>
      <c r="AK185" s="656"/>
      <c r="AL185" s="658"/>
      <c r="AM185" s="659"/>
      <c r="AN185" s="658"/>
      <c r="AO185" s="656"/>
      <c r="AP185" s="658"/>
      <c r="AQ185" s="659"/>
      <c r="AR185" s="658"/>
      <c r="AS185" s="658"/>
      <c r="AT185" s="658"/>
      <c r="AU185" s="659"/>
      <c r="AV185" s="658"/>
      <c r="AW185" s="658"/>
      <c r="AX185" s="181"/>
      <c r="AY185" s="177"/>
      <c r="AZ185">
        <f ca="1">INDIRECT(ADDRESS(ROW()+1,COLUMN(Arbeitszeit!xDay),,,"Arbeitszeit"))</f>
        <v>6</v>
      </c>
    </row>
    <row r="186" spans="1:52">
      <c r="A186" s="582">
        <f>Arbeitszeit!A187</f>
        <v>41820</v>
      </c>
      <c r="B186" s="583">
        <f t="shared" si="8"/>
        <v>41820</v>
      </c>
      <c r="C186" s="214">
        <f t="shared" si="9"/>
        <v>26</v>
      </c>
      <c r="D186" s="213">
        <f t="shared" si="10"/>
        <v>41820</v>
      </c>
      <c r="E186" s="670">
        <f>Arbeitszeit!U187*24</f>
        <v>0</v>
      </c>
      <c r="F186" s="397">
        <f t="shared" si="11"/>
        <v>0</v>
      </c>
      <c r="G186" s="178">
        <f>IF(Arbeitszeit!F187=Urlaub,B_WorkTime*24,)</f>
        <v>0</v>
      </c>
      <c r="H186" s="174"/>
      <c r="I186" s="178">
        <f>IF(Arbeitszeit!F187=Krank,B_WorkTime*24,)</f>
        <v>0</v>
      </c>
      <c r="J186" s="174"/>
      <c r="K186" s="179"/>
      <c r="L186" s="180"/>
      <c r="M186" s="656"/>
      <c r="N186" s="657"/>
      <c r="O186" s="656"/>
      <c r="P186" s="657"/>
      <c r="Q186" s="656"/>
      <c r="R186" s="657"/>
      <c r="S186" s="656"/>
      <c r="T186" s="657"/>
      <c r="U186" s="656"/>
      <c r="V186" s="657"/>
      <c r="W186" s="656"/>
      <c r="X186" s="657"/>
      <c r="Y186" s="656"/>
      <c r="Z186" s="657"/>
      <c r="AA186" s="656"/>
      <c r="AB186" s="657"/>
      <c r="AC186" s="656"/>
      <c r="AD186" s="657"/>
      <c r="AE186" s="656"/>
      <c r="AF186" s="658"/>
      <c r="AG186" s="656"/>
      <c r="AH186" s="658"/>
      <c r="AI186" s="656"/>
      <c r="AJ186" s="658"/>
      <c r="AK186" s="656"/>
      <c r="AL186" s="658"/>
      <c r="AM186" s="659"/>
      <c r="AN186" s="658"/>
      <c r="AO186" s="656"/>
      <c r="AP186" s="658"/>
      <c r="AQ186" s="659"/>
      <c r="AR186" s="658"/>
      <c r="AS186" s="658"/>
      <c r="AT186" s="658"/>
      <c r="AU186" s="659"/>
      <c r="AV186" s="658"/>
      <c r="AW186" s="658"/>
      <c r="AX186" s="181"/>
      <c r="AY186" s="177"/>
      <c r="AZ186">
        <f ca="1">INDIRECT(ADDRESS(ROW()+1,COLUMN(Arbeitszeit!xDay),,,"Arbeitszeit"))</f>
        <v>7</v>
      </c>
    </row>
    <row r="187" spans="1:52">
      <c r="A187" s="582">
        <f>Arbeitszeit!A188</f>
        <v>41821</v>
      </c>
      <c r="B187" s="583">
        <f t="shared" si="8"/>
        <v>41821</v>
      </c>
      <c r="C187" s="214">
        <f t="shared" si="9"/>
        <v>27</v>
      </c>
      <c r="D187" s="213">
        <f t="shared" si="10"/>
        <v>41820</v>
      </c>
      <c r="E187" s="670">
        <f>Arbeitszeit!U188*24</f>
        <v>0</v>
      </c>
      <c r="F187" s="397">
        <f t="shared" si="11"/>
        <v>0</v>
      </c>
      <c r="G187" s="178">
        <f>IF(Arbeitszeit!F188=Urlaub,B_WorkTime*24,)</f>
        <v>0</v>
      </c>
      <c r="H187" s="174"/>
      <c r="I187" s="178">
        <f>IF(Arbeitszeit!F188=Krank,B_WorkTime*24,)</f>
        <v>0</v>
      </c>
      <c r="J187" s="174"/>
      <c r="K187" s="179"/>
      <c r="L187" s="180"/>
      <c r="M187" s="656"/>
      <c r="N187" s="657"/>
      <c r="O187" s="656"/>
      <c r="P187" s="657"/>
      <c r="Q187" s="656"/>
      <c r="R187" s="657"/>
      <c r="S187" s="656"/>
      <c r="T187" s="657"/>
      <c r="U187" s="656"/>
      <c r="V187" s="657"/>
      <c r="W187" s="656"/>
      <c r="X187" s="657"/>
      <c r="Y187" s="656"/>
      <c r="Z187" s="657"/>
      <c r="AA187" s="656"/>
      <c r="AB187" s="657"/>
      <c r="AC187" s="656"/>
      <c r="AD187" s="657"/>
      <c r="AE187" s="656"/>
      <c r="AF187" s="658"/>
      <c r="AG187" s="656"/>
      <c r="AH187" s="658"/>
      <c r="AI187" s="656"/>
      <c r="AJ187" s="658"/>
      <c r="AK187" s="656"/>
      <c r="AL187" s="658"/>
      <c r="AM187" s="659"/>
      <c r="AN187" s="658"/>
      <c r="AO187" s="656"/>
      <c r="AP187" s="658"/>
      <c r="AQ187" s="659"/>
      <c r="AR187" s="658"/>
      <c r="AS187" s="658"/>
      <c r="AT187" s="658"/>
      <c r="AU187" s="659"/>
      <c r="AV187" s="658"/>
      <c r="AW187" s="658"/>
      <c r="AX187" s="181"/>
      <c r="AY187" s="177"/>
      <c r="AZ187">
        <f ca="1">INDIRECT(ADDRESS(ROW()+1,COLUMN(Arbeitszeit!xDay),,,"Arbeitszeit"))</f>
        <v>1</v>
      </c>
    </row>
    <row r="188" spans="1:52">
      <c r="A188" s="582">
        <f>Arbeitszeit!A189</f>
        <v>41822</v>
      </c>
      <c r="B188" s="583">
        <f t="shared" si="8"/>
        <v>41822</v>
      </c>
      <c r="C188" s="214">
        <f t="shared" si="9"/>
        <v>27</v>
      </c>
      <c r="D188" s="213">
        <f t="shared" si="10"/>
        <v>41820</v>
      </c>
      <c r="E188" s="670">
        <f>Arbeitszeit!U189*24</f>
        <v>0</v>
      </c>
      <c r="F188" s="397">
        <f t="shared" si="11"/>
        <v>0</v>
      </c>
      <c r="G188" s="178">
        <f>IF(Arbeitszeit!F189=Urlaub,B_WorkTime*24,)</f>
        <v>0</v>
      </c>
      <c r="H188" s="174"/>
      <c r="I188" s="178">
        <f>IF(Arbeitszeit!F189=Krank,B_WorkTime*24,)</f>
        <v>0</v>
      </c>
      <c r="J188" s="174"/>
      <c r="K188" s="179"/>
      <c r="L188" s="180"/>
      <c r="M188" s="656"/>
      <c r="N188" s="657"/>
      <c r="O188" s="656"/>
      <c r="P188" s="657"/>
      <c r="Q188" s="656"/>
      <c r="R188" s="657"/>
      <c r="S188" s="656"/>
      <c r="T188" s="657"/>
      <c r="U188" s="656"/>
      <c r="V188" s="657"/>
      <c r="W188" s="656"/>
      <c r="X188" s="657"/>
      <c r="Y188" s="656"/>
      <c r="Z188" s="657"/>
      <c r="AA188" s="656"/>
      <c r="AB188" s="657"/>
      <c r="AC188" s="656"/>
      <c r="AD188" s="657"/>
      <c r="AE188" s="656"/>
      <c r="AF188" s="658"/>
      <c r="AG188" s="656"/>
      <c r="AH188" s="658"/>
      <c r="AI188" s="656"/>
      <c r="AJ188" s="658"/>
      <c r="AK188" s="656"/>
      <c r="AL188" s="658"/>
      <c r="AM188" s="659"/>
      <c r="AN188" s="658"/>
      <c r="AO188" s="656"/>
      <c r="AP188" s="658"/>
      <c r="AQ188" s="659"/>
      <c r="AR188" s="658"/>
      <c r="AS188" s="658"/>
      <c r="AT188" s="658"/>
      <c r="AU188" s="659"/>
      <c r="AV188" s="658"/>
      <c r="AW188" s="658"/>
      <c r="AX188" s="181"/>
      <c r="AY188" s="177"/>
      <c r="AZ188">
        <f ca="1">INDIRECT(ADDRESS(ROW()+1,COLUMN(Arbeitszeit!xDay),,,"Arbeitszeit"))</f>
        <v>2</v>
      </c>
    </row>
    <row r="189" spans="1:52">
      <c r="A189" s="582">
        <f>Arbeitszeit!A190</f>
        <v>41823</v>
      </c>
      <c r="B189" s="583">
        <f t="shared" si="8"/>
        <v>41823</v>
      </c>
      <c r="C189" s="214">
        <f t="shared" si="9"/>
        <v>27</v>
      </c>
      <c r="D189" s="213">
        <f t="shared" si="10"/>
        <v>41820</v>
      </c>
      <c r="E189" s="670">
        <f>Arbeitszeit!U190*24</f>
        <v>0</v>
      </c>
      <c r="F189" s="397">
        <f t="shared" si="11"/>
        <v>0</v>
      </c>
      <c r="G189" s="178">
        <f>IF(Arbeitszeit!F190=Urlaub,B_WorkTime*24,)</f>
        <v>0</v>
      </c>
      <c r="H189" s="174"/>
      <c r="I189" s="178">
        <f>IF(Arbeitszeit!F190=Krank,B_WorkTime*24,)</f>
        <v>0</v>
      </c>
      <c r="J189" s="174"/>
      <c r="K189" s="179"/>
      <c r="L189" s="180"/>
      <c r="M189" s="656"/>
      <c r="N189" s="657"/>
      <c r="O189" s="656"/>
      <c r="P189" s="657"/>
      <c r="Q189" s="656"/>
      <c r="R189" s="657"/>
      <c r="S189" s="656"/>
      <c r="T189" s="657"/>
      <c r="U189" s="656"/>
      <c r="V189" s="657"/>
      <c r="W189" s="656"/>
      <c r="X189" s="657"/>
      <c r="Y189" s="656"/>
      <c r="Z189" s="657"/>
      <c r="AA189" s="656"/>
      <c r="AB189" s="657"/>
      <c r="AC189" s="656"/>
      <c r="AD189" s="657"/>
      <c r="AE189" s="656"/>
      <c r="AF189" s="658"/>
      <c r="AG189" s="656"/>
      <c r="AH189" s="658"/>
      <c r="AI189" s="656"/>
      <c r="AJ189" s="658"/>
      <c r="AK189" s="656"/>
      <c r="AL189" s="658"/>
      <c r="AM189" s="659"/>
      <c r="AN189" s="658"/>
      <c r="AO189" s="656"/>
      <c r="AP189" s="658"/>
      <c r="AQ189" s="659"/>
      <c r="AR189" s="658"/>
      <c r="AS189" s="658"/>
      <c r="AT189" s="658"/>
      <c r="AU189" s="659"/>
      <c r="AV189" s="658"/>
      <c r="AW189" s="658"/>
      <c r="AX189" s="181"/>
      <c r="AY189" s="177"/>
      <c r="AZ189">
        <f ca="1">INDIRECT(ADDRESS(ROW()+1,COLUMN(Arbeitszeit!xDay),,,"Arbeitszeit"))</f>
        <v>3</v>
      </c>
    </row>
    <row r="190" spans="1:52">
      <c r="A190" s="582">
        <f>Arbeitszeit!A191</f>
        <v>41824</v>
      </c>
      <c r="B190" s="583">
        <f t="shared" si="8"/>
        <v>41824</v>
      </c>
      <c r="C190" s="214">
        <f t="shared" si="9"/>
        <v>27</v>
      </c>
      <c r="D190" s="213">
        <f t="shared" si="10"/>
        <v>41820</v>
      </c>
      <c r="E190" s="670">
        <f>Arbeitszeit!U191*24</f>
        <v>0</v>
      </c>
      <c r="F190" s="397">
        <f t="shared" si="11"/>
        <v>0</v>
      </c>
      <c r="G190" s="178">
        <f>IF(Arbeitszeit!F191=Urlaub,B_WorkTime*24,)</f>
        <v>0</v>
      </c>
      <c r="H190" s="174"/>
      <c r="I190" s="178">
        <f>IF(Arbeitszeit!F191=Krank,B_WorkTime*24,)</f>
        <v>0</v>
      </c>
      <c r="J190" s="174"/>
      <c r="K190" s="179"/>
      <c r="L190" s="180"/>
      <c r="M190" s="656"/>
      <c r="N190" s="657"/>
      <c r="O190" s="656"/>
      <c r="P190" s="657"/>
      <c r="Q190" s="656"/>
      <c r="R190" s="657"/>
      <c r="S190" s="656"/>
      <c r="T190" s="657"/>
      <c r="U190" s="656"/>
      <c r="V190" s="657"/>
      <c r="W190" s="656"/>
      <c r="X190" s="657"/>
      <c r="Y190" s="656"/>
      <c r="Z190" s="657"/>
      <c r="AA190" s="656"/>
      <c r="AB190" s="657"/>
      <c r="AC190" s="656"/>
      <c r="AD190" s="657"/>
      <c r="AE190" s="656"/>
      <c r="AF190" s="658"/>
      <c r="AG190" s="656"/>
      <c r="AH190" s="658"/>
      <c r="AI190" s="656"/>
      <c r="AJ190" s="658"/>
      <c r="AK190" s="656"/>
      <c r="AL190" s="658"/>
      <c r="AM190" s="659"/>
      <c r="AN190" s="658"/>
      <c r="AO190" s="656"/>
      <c r="AP190" s="658"/>
      <c r="AQ190" s="659"/>
      <c r="AR190" s="658"/>
      <c r="AS190" s="658"/>
      <c r="AT190" s="658"/>
      <c r="AU190" s="659"/>
      <c r="AV190" s="658"/>
      <c r="AW190" s="658"/>
      <c r="AX190" s="181"/>
      <c r="AY190" s="177"/>
      <c r="AZ190">
        <f ca="1">INDIRECT(ADDRESS(ROW()+1,COLUMN(Arbeitszeit!xDay),,,"Arbeitszeit"))</f>
        <v>4</v>
      </c>
    </row>
    <row r="191" spans="1:52">
      <c r="A191" s="582">
        <f>Arbeitszeit!A192</f>
        <v>41825</v>
      </c>
      <c r="B191" s="583">
        <f t="shared" si="8"/>
        <v>41825</v>
      </c>
      <c r="C191" s="214">
        <f t="shared" si="9"/>
        <v>27</v>
      </c>
      <c r="D191" s="213">
        <f t="shared" si="10"/>
        <v>41820</v>
      </c>
      <c r="E191" s="670">
        <f>Arbeitszeit!U192*24</f>
        <v>0</v>
      </c>
      <c r="F191" s="397">
        <f t="shared" si="11"/>
        <v>0</v>
      </c>
      <c r="G191" s="178">
        <f>IF(Arbeitszeit!F192=Urlaub,B_WorkTime*24,)</f>
        <v>0</v>
      </c>
      <c r="H191" s="174"/>
      <c r="I191" s="178">
        <f>IF(Arbeitszeit!F192=Krank,B_WorkTime*24,)</f>
        <v>0</v>
      </c>
      <c r="J191" s="174"/>
      <c r="K191" s="179"/>
      <c r="L191" s="180"/>
      <c r="M191" s="656"/>
      <c r="N191" s="657"/>
      <c r="O191" s="656"/>
      <c r="P191" s="657"/>
      <c r="Q191" s="656"/>
      <c r="R191" s="657"/>
      <c r="S191" s="656"/>
      <c r="T191" s="657"/>
      <c r="U191" s="656"/>
      <c r="V191" s="657"/>
      <c r="W191" s="656"/>
      <c r="X191" s="657"/>
      <c r="Y191" s="656"/>
      <c r="Z191" s="657"/>
      <c r="AA191" s="656"/>
      <c r="AB191" s="657"/>
      <c r="AC191" s="656"/>
      <c r="AD191" s="657"/>
      <c r="AE191" s="656"/>
      <c r="AF191" s="658"/>
      <c r="AG191" s="656"/>
      <c r="AH191" s="658"/>
      <c r="AI191" s="656"/>
      <c r="AJ191" s="658"/>
      <c r="AK191" s="656"/>
      <c r="AL191" s="658"/>
      <c r="AM191" s="659"/>
      <c r="AN191" s="658"/>
      <c r="AO191" s="656"/>
      <c r="AP191" s="658"/>
      <c r="AQ191" s="659"/>
      <c r="AR191" s="658"/>
      <c r="AS191" s="658"/>
      <c r="AT191" s="658"/>
      <c r="AU191" s="659"/>
      <c r="AV191" s="658"/>
      <c r="AW191" s="658"/>
      <c r="AX191" s="181"/>
      <c r="AY191" s="177"/>
      <c r="AZ191">
        <f ca="1">INDIRECT(ADDRESS(ROW()+1,COLUMN(Arbeitszeit!xDay),,,"Arbeitszeit"))</f>
        <v>5</v>
      </c>
    </row>
    <row r="192" spans="1:52">
      <c r="A192" s="582">
        <f>Arbeitszeit!A193</f>
        <v>41826</v>
      </c>
      <c r="B192" s="583">
        <f t="shared" si="8"/>
        <v>41826</v>
      </c>
      <c r="C192" s="214">
        <f t="shared" si="9"/>
        <v>27</v>
      </c>
      <c r="D192" s="213">
        <f t="shared" si="10"/>
        <v>41820</v>
      </c>
      <c r="E192" s="670">
        <f>Arbeitszeit!U193*24</f>
        <v>0</v>
      </c>
      <c r="F192" s="397">
        <f t="shared" si="11"/>
        <v>0</v>
      </c>
      <c r="G192" s="178">
        <f>IF(Arbeitszeit!F193=Urlaub,B_WorkTime*24,)</f>
        <v>0</v>
      </c>
      <c r="H192" s="174"/>
      <c r="I192" s="178">
        <f>IF(Arbeitszeit!F193=Krank,B_WorkTime*24,)</f>
        <v>0</v>
      </c>
      <c r="J192" s="174"/>
      <c r="K192" s="179"/>
      <c r="L192" s="180"/>
      <c r="M192" s="656"/>
      <c r="N192" s="657"/>
      <c r="O192" s="656"/>
      <c r="P192" s="657"/>
      <c r="Q192" s="656"/>
      <c r="R192" s="657"/>
      <c r="S192" s="656"/>
      <c r="T192" s="657"/>
      <c r="U192" s="656"/>
      <c r="V192" s="657"/>
      <c r="W192" s="656"/>
      <c r="X192" s="657"/>
      <c r="Y192" s="656"/>
      <c r="Z192" s="657"/>
      <c r="AA192" s="656"/>
      <c r="AB192" s="657"/>
      <c r="AC192" s="656"/>
      <c r="AD192" s="657"/>
      <c r="AE192" s="656"/>
      <c r="AF192" s="658"/>
      <c r="AG192" s="656"/>
      <c r="AH192" s="658"/>
      <c r="AI192" s="656"/>
      <c r="AJ192" s="658"/>
      <c r="AK192" s="656"/>
      <c r="AL192" s="658"/>
      <c r="AM192" s="659"/>
      <c r="AN192" s="658"/>
      <c r="AO192" s="656"/>
      <c r="AP192" s="658"/>
      <c r="AQ192" s="659"/>
      <c r="AR192" s="658"/>
      <c r="AS192" s="658"/>
      <c r="AT192" s="658"/>
      <c r="AU192" s="659"/>
      <c r="AV192" s="658"/>
      <c r="AW192" s="658"/>
      <c r="AX192" s="181"/>
      <c r="AY192" s="177"/>
      <c r="AZ192">
        <f ca="1">INDIRECT(ADDRESS(ROW()+1,COLUMN(Arbeitszeit!xDay),,,"Arbeitszeit"))</f>
        <v>6</v>
      </c>
    </row>
    <row r="193" spans="1:52">
      <c r="A193" s="582">
        <f>Arbeitszeit!A194</f>
        <v>41827</v>
      </c>
      <c r="B193" s="583">
        <f t="shared" si="8"/>
        <v>41827</v>
      </c>
      <c r="C193" s="214">
        <f t="shared" si="9"/>
        <v>27</v>
      </c>
      <c r="D193" s="213">
        <f t="shared" si="10"/>
        <v>41820</v>
      </c>
      <c r="E193" s="670">
        <f>Arbeitszeit!U194*24</f>
        <v>0</v>
      </c>
      <c r="F193" s="397">
        <f t="shared" si="11"/>
        <v>0</v>
      </c>
      <c r="G193" s="178">
        <f>IF(Arbeitszeit!F194=Urlaub,B_WorkTime*24,)</f>
        <v>0</v>
      </c>
      <c r="H193" s="174"/>
      <c r="I193" s="178">
        <f>IF(Arbeitszeit!F194=Krank,B_WorkTime*24,)</f>
        <v>0</v>
      </c>
      <c r="J193" s="174"/>
      <c r="K193" s="179"/>
      <c r="L193" s="180"/>
      <c r="M193" s="656"/>
      <c r="N193" s="657"/>
      <c r="O193" s="656"/>
      <c r="P193" s="657"/>
      <c r="Q193" s="656"/>
      <c r="R193" s="657"/>
      <c r="S193" s="656"/>
      <c r="T193" s="657"/>
      <c r="U193" s="656"/>
      <c r="V193" s="657"/>
      <c r="W193" s="656"/>
      <c r="X193" s="657"/>
      <c r="Y193" s="656"/>
      <c r="Z193" s="657"/>
      <c r="AA193" s="656"/>
      <c r="AB193" s="657"/>
      <c r="AC193" s="656"/>
      <c r="AD193" s="657"/>
      <c r="AE193" s="656"/>
      <c r="AF193" s="658"/>
      <c r="AG193" s="656"/>
      <c r="AH193" s="658"/>
      <c r="AI193" s="656"/>
      <c r="AJ193" s="658"/>
      <c r="AK193" s="656"/>
      <c r="AL193" s="658"/>
      <c r="AM193" s="659"/>
      <c r="AN193" s="658"/>
      <c r="AO193" s="656"/>
      <c r="AP193" s="658"/>
      <c r="AQ193" s="659"/>
      <c r="AR193" s="658"/>
      <c r="AS193" s="658"/>
      <c r="AT193" s="658"/>
      <c r="AU193" s="659"/>
      <c r="AV193" s="658"/>
      <c r="AW193" s="658"/>
      <c r="AX193" s="181"/>
      <c r="AY193" s="177"/>
      <c r="AZ193">
        <f ca="1">INDIRECT(ADDRESS(ROW()+1,COLUMN(Arbeitszeit!xDay),,,"Arbeitszeit"))</f>
        <v>7</v>
      </c>
    </row>
    <row r="194" spans="1:52">
      <c r="A194" s="582">
        <f>Arbeitszeit!A195</f>
        <v>41828</v>
      </c>
      <c r="B194" s="583">
        <f t="shared" si="8"/>
        <v>41828</v>
      </c>
      <c r="C194" s="214">
        <f t="shared" si="9"/>
        <v>28</v>
      </c>
      <c r="D194" s="213">
        <f t="shared" si="10"/>
        <v>41820</v>
      </c>
      <c r="E194" s="670">
        <f>Arbeitszeit!U195*24</f>
        <v>0</v>
      </c>
      <c r="F194" s="397">
        <f t="shared" si="11"/>
        <v>0</v>
      </c>
      <c r="G194" s="178">
        <f>IF(Arbeitszeit!F195=Urlaub,B_WorkTime*24,)</f>
        <v>0</v>
      </c>
      <c r="H194" s="174"/>
      <c r="I194" s="178">
        <f>IF(Arbeitszeit!F195=Krank,B_WorkTime*24,)</f>
        <v>0</v>
      </c>
      <c r="J194" s="174"/>
      <c r="K194" s="179"/>
      <c r="L194" s="180"/>
      <c r="M194" s="656"/>
      <c r="N194" s="657"/>
      <c r="O194" s="656"/>
      <c r="P194" s="657"/>
      <c r="Q194" s="656"/>
      <c r="R194" s="657"/>
      <c r="S194" s="656"/>
      <c r="T194" s="657"/>
      <c r="U194" s="656"/>
      <c r="V194" s="657"/>
      <c r="W194" s="656"/>
      <c r="X194" s="657"/>
      <c r="Y194" s="656"/>
      <c r="Z194" s="657"/>
      <c r="AA194" s="656"/>
      <c r="AB194" s="657"/>
      <c r="AC194" s="656"/>
      <c r="AD194" s="657"/>
      <c r="AE194" s="656"/>
      <c r="AF194" s="658"/>
      <c r="AG194" s="656"/>
      <c r="AH194" s="658"/>
      <c r="AI194" s="656"/>
      <c r="AJ194" s="658"/>
      <c r="AK194" s="656"/>
      <c r="AL194" s="658"/>
      <c r="AM194" s="659"/>
      <c r="AN194" s="658"/>
      <c r="AO194" s="656"/>
      <c r="AP194" s="658"/>
      <c r="AQ194" s="659"/>
      <c r="AR194" s="658"/>
      <c r="AS194" s="658"/>
      <c r="AT194" s="658"/>
      <c r="AU194" s="659"/>
      <c r="AV194" s="658"/>
      <c r="AW194" s="658"/>
      <c r="AX194" s="181"/>
      <c r="AY194" s="177"/>
      <c r="AZ194">
        <f ca="1">INDIRECT(ADDRESS(ROW()+1,COLUMN(Arbeitszeit!xDay),,,"Arbeitszeit"))</f>
        <v>1</v>
      </c>
    </row>
    <row r="195" spans="1:52">
      <c r="A195" s="582">
        <f>Arbeitszeit!A196</f>
        <v>41829</v>
      </c>
      <c r="B195" s="583">
        <f t="shared" si="8"/>
        <v>41829</v>
      </c>
      <c r="C195" s="214">
        <f t="shared" si="9"/>
        <v>28</v>
      </c>
      <c r="D195" s="213">
        <f t="shared" si="10"/>
        <v>41820</v>
      </c>
      <c r="E195" s="670">
        <f>Arbeitszeit!U196*24</f>
        <v>0</v>
      </c>
      <c r="F195" s="397">
        <f t="shared" si="11"/>
        <v>0</v>
      </c>
      <c r="G195" s="178">
        <f>IF(Arbeitszeit!F196=Urlaub,B_WorkTime*24,)</f>
        <v>0</v>
      </c>
      <c r="H195" s="174"/>
      <c r="I195" s="178">
        <f>IF(Arbeitszeit!F196=Krank,B_WorkTime*24,)</f>
        <v>0</v>
      </c>
      <c r="J195" s="174"/>
      <c r="K195" s="179"/>
      <c r="L195" s="180"/>
      <c r="M195" s="656"/>
      <c r="N195" s="657"/>
      <c r="O195" s="656"/>
      <c r="P195" s="657"/>
      <c r="Q195" s="656"/>
      <c r="R195" s="657"/>
      <c r="S195" s="656"/>
      <c r="T195" s="657"/>
      <c r="U195" s="656"/>
      <c r="V195" s="657"/>
      <c r="W195" s="656"/>
      <c r="X195" s="657"/>
      <c r="Y195" s="656"/>
      <c r="Z195" s="657"/>
      <c r="AA195" s="656"/>
      <c r="AB195" s="657"/>
      <c r="AC195" s="656"/>
      <c r="AD195" s="657"/>
      <c r="AE195" s="656"/>
      <c r="AF195" s="658"/>
      <c r="AG195" s="656"/>
      <c r="AH195" s="658"/>
      <c r="AI195" s="656"/>
      <c r="AJ195" s="658"/>
      <c r="AK195" s="656"/>
      <c r="AL195" s="658"/>
      <c r="AM195" s="659"/>
      <c r="AN195" s="658"/>
      <c r="AO195" s="656"/>
      <c r="AP195" s="658"/>
      <c r="AQ195" s="659"/>
      <c r="AR195" s="658"/>
      <c r="AS195" s="658"/>
      <c r="AT195" s="658"/>
      <c r="AU195" s="659"/>
      <c r="AV195" s="658"/>
      <c r="AW195" s="658"/>
      <c r="AX195" s="181"/>
      <c r="AY195" s="177"/>
      <c r="AZ195">
        <f ca="1">INDIRECT(ADDRESS(ROW()+1,COLUMN(Arbeitszeit!xDay),,,"Arbeitszeit"))</f>
        <v>2</v>
      </c>
    </row>
    <row r="196" spans="1:52">
      <c r="A196" s="582">
        <f>Arbeitszeit!A197</f>
        <v>41830</v>
      </c>
      <c r="B196" s="583">
        <f t="shared" si="8"/>
        <v>41830</v>
      </c>
      <c r="C196" s="214">
        <f t="shared" si="9"/>
        <v>28</v>
      </c>
      <c r="D196" s="213">
        <f t="shared" si="10"/>
        <v>41820</v>
      </c>
      <c r="E196" s="670">
        <f>Arbeitszeit!U197*24</f>
        <v>0</v>
      </c>
      <c r="F196" s="397">
        <f t="shared" si="11"/>
        <v>0</v>
      </c>
      <c r="G196" s="178">
        <f>IF(Arbeitszeit!F197=Urlaub,B_WorkTime*24,)</f>
        <v>0</v>
      </c>
      <c r="H196" s="174"/>
      <c r="I196" s="178">
        <f>IF(Arbeitszeit!F197=Krank,B_WorkTime*24,)</f>
        <v>0</v>
      </c>
      <c r="J196" s="174"/>
      <c r="K196" s="179"/>
      <c r="L196" s="180"/>
      <c r="M196" s="656"/>
      <c r="N196" s="657"/>
      <c r="O196" s="656"/>
      <c r="P196" s="657"/>
      <c r="Q196" s="656"/>
      <c r="R196" s="657"/>
      <c r="S196" s="656"/>
      <c r="T196" s="657"/>
      <c r="U196" s="656"/>
      <c r="V196" s="657"/>
      <c r="W196" s="656"/>
      <c r="X196" s="657"/>
      <c r="Y196" s="656"/>
      <c r="Z196" s="657"/>
      <c r="AA196" s="656"/>
      <c r="AB196" s="657"/>
      <c r="AC196" s="656"/>
      <c r="AD196" s="657"/>
      <c r="AE196" s="656"/>
      <c r="AF196" s="658"/>
      <c r="AG196" s="656"/>
      <c r="AH196" s="658"/>
      <c r="AI196" s="656"/>
      <c r="AJ196" s="658"/>
      <c r="AK196" s="656"/>
      <c r="AL196" s="658"/>
      <c r="AM196" s="659"/>
      <c r="AN196" s="658"/>
      <c r="AO196" s="656"/>
      <c r="AP196" s="658"/>
      <c r="AQ196" s="659"/>
      <c r="AR196" s="658"/>
      <c r="AS196" s="658"/>
      <c r="AT196" s="658"/>
      <c r="AU196" s="659"/>
      <c r="AV196" s="658"/>
      <c r="AW196" s="658"/>
      <c r="AX196" s="181"/>
      <c r="AY196" s="177"/>
      <c r="AZ196">
        <f ca="1">INDIRECT(ADDRESS(ROW()+1,COLUMN(Arbeitszeit!xDay),,,"Arbeitszeit"))</f>
        <v>3</v>
      </c>
    </row>
    <row r="197" spans="1:52">
      <c r="A197" s="582">
        <f>Arbeitszeit!A198</f>
        <v>41831</v>
      </c>
      <c r="B197" s="583">
        <f t="shared" si="8"/>
        <v>41831</v>
      </c>
      <c r="C197" s="214">
        <f t="shared" si="9"/>
        <v>28</v>
      </c>
      <c r="D197" s="213">
        <f t="shared" si="10"/>
        <v>41820</v>
      </c>
      <c r="E197" s="670">
        <f>Arbeitszeit!U198*24</f>
        <v>0</v>
      </c>
      <c r="F197" s="397">
        <f t="shared" si="11"/>
        <v>0</v>
      </c>
      <c r="G197" s="178">
        <f>IF(Arbeitszeit!F198=Urlaub,B_WorkTime*24,)</f>
        <v>0</v>
      </c>
      <c r="H197" s="174"/>
      <c r="I197" s="178">
        <f>IF(Arbeitszeit!F198=Krank,B_WorkTime*24,)</f>
        <v>0</v>
      </c>
      <c r="J197" s="174"/>
      <c r="K197" s="179"/>
      <c r="L197" s="180"/>
      <c r="M197" s="656"/>
      <c r="N197" s="657"/>
      <c r="O197" s="656"/>
      <c r="P197" s="657"/>
      <c r="Q197" s="656"/>
      <c r="R197" s="657"/>
      <c r="S197" s="656"/>
      <c r="T197" s="657"/>
      <c r="U197" s="656"/>
      <c r="V197" s="657"/>
      <c r="W197" s="656"/>
      <c r="X197" s="657"/>
      <c r="Y197" s="656"/>
      <c r="Z197" s="657"/>
      <c r="AA197" s="656"/>
      <c r="AB197" s="657"/>
      <c r="AC197" s="656"/>
      <c r="AD197" s="657"/>
      <c r="AE197" s="656"/>
      <c r="AF197" s="658"/>
      <c r="AG197" s="656"/>
      <c r="AH197" s="658"/>
      <c r="AI197" s="656"/>
      <c r="AJ197" s="658"/>
      <c r="AK197" s="656"/>
      <c r="AL197" s="658"/>
      <c r="AM197" s="659"/>
      <c r="AN197" s="658"/>
      <c r="AO197" s="656"/>
      <c r="AP197" s="658"/>
      <c r="AQ197" s="659"/>
      <c r="AR197" s="658"/>
      <c r="AS197" s="658"/>
      <c r="AT197" s="658"/>
      <c r="AU197" s="659"/>
      <c r="AV197" s="658"/>
      <c r="AW197" s="658"/>
      <c r="AX197" s="181"/>
      <c r="AY197" s="177"/>
      <c r="AZ197">
        <f ca="1">INDIRECT(ADDRESS(ROW()+1,COLUMN(Arbeitszeit!xDay),,,"Arbeitszeit"))</f>
        <v>4</v>
      </c>
    </row>
    <row r="198" spans="1:52">
      <c r="A198" s="582">
        <f>Arbeitszeit!A199</f>
        <v>41832</v>
      </c>
      <c r="B198" s="583">
        <f t="shared" ref="B198:B261" si="12">IF(A198="","",A198)</f>
        <v>41832</v>
      </c>
      <c r="C198" s="214">
        <f t="shared" si="9"/>
        <v>28</v>
      </c>
      <c r="D198" s="213">
        <f t="shared" si="10"/>
        <v>41820</v>
      </c>
      <c r="E198" s="670">
        <f>Arbeitszeit!U199*24</f>
        <v>0</v>
      </c>
      <c r="F198" s="397">
        <f t="shared" si="11"/>
        <v>0</v>
      </c>
      <c r="G198" s="178">
        <f>IF(Arbeitszeit!F199=Urlaub,B_WorkTime*24,)</f>
        <v>0</v>
      </c>
      <c r="H198" s="174"/>
      <c r="I198" s="178">
        <f>IF(Arbeitszeit!F199=Krank,B_WorkTime*24,)</f>
        <v>0</v>
      </c>
      <c r="J198" s="174"/>
      <c r="K198" s="179"/>
      <c r="L198" s="180"/>
      <c r="M198" s="656"/>
      <c r="N198" s="657"/>
      <c r="O198" s="656"/>
      <c r="P198" s="657"/>
      <c r="Q198" s="656"/>
      <c r="R198" s="657"/>
      <c r="S198" s="656"/>
      <c r="T198" s="657"/>
      <c r="U198" s="656"/>
      <c r="V198" s="657"/>
      <c r="W198" s="656"/>
      <c r="X198" s="657"/>
      <c r="Y198" s="656"/>
      <c r="Z198" s="657"/>
      <c r="AA198" s="656"/>
      <c r="AB198" s="657"/>
      <c r="AC198" s="656"/>
      <c r="AD198" s="657"/>
      <c r="AE198" s="656"/>
      <c r="AF198" s="658"/>
      <c r="AG198" s="656"/>
      <c r="AH198" s="658"/>
      <c r="AI198" s="656"/>
      <c r="AJ198" s="658"/>
      <c r="AK198" s="656"/>
      <c r="AL198" s="658"/>
      <c r="AM198" s="659"/>
      <c r="AN198" s="658"/>
      <c r="AO198" s="656"/>
      <c r="AP198" s="658"/>
      <c r="AQ198" s="659"/>
      <c r="AR198" s="658"/>
      <c r="AS198" s="658"/>
      <c r="AT198" s="658"/>
      <c r="AU198" s="659"/>
      <c r="AV198" s="658"/>
      <c r="AW198" s="658"/>
      <c r="AX198" s="181"/>
      <c r="AY198" s="177"/>
      <c r="AZ198">
        <f ca="1">INDIRECT(ADDRESS(ROW()+1,COLUMN(Arbeitszeit!xDay),,,"Arbeitszeit"))</f>
        <v>5</v>
      </c>
    </row>
    <row r="199" spans="1:52">
      <c r="A199" s="582">
        <f>Arbeitszeit!A200</f>
        <v>41833</v>
      </c>
      <c r="B199" s="583">
        <f t="shared" si="12"/>
        <v>41833</v>
      </c>
      <c r="C199" s="214">
        <f t="shared" ref="C199:C262" si="13">IF(A199="","",NumberOfWeek(A199))</f>
        <v>28</v>
      </c>
      <c r="D199" s="213">
        <f t="shared" ref="D199:D262" si="14">IF(A199="","",DATE(YEAR(A199),MONTH(A199),1))</f>
        <v>41820</v>
      </c>
      <c r="E199" s="670">
        <f>Arbeitszeit!U200*24</f>
        <v>0</v>
      </c>
      <c r="F199" s="397">
        <f t="shared" si="11"/>
        <v>0</v>
      </c>
      <c r="G199" s="178">
        <f>IF(Arbeitszeit!F200=Urlaub,B_WorkTime*24,)</f>
        <v>0</v>
      </c>
      <c r="H199" s="174"/>
      <c r="I199" s="178">
        <f>IF(Arbeitszeit!F200=Krank,B_WorkTime*24,)</f>
        <v>0</v>
      </c>
      <c r="J199" s="174"/>
      <c r="K199" s="179"/>
      <c r="L199" s="180"/>
      <c r="M199" s="656"/>
      <c r="N199" s="657"/>
      <c r="O199" s="656"/>
      <c r="P199" s="657"/>
      <c r="Q199" s="656"/>
      <c r="R199" s="657"/>
      <c r="S199" s="656"/>
      <c r="T199" s="657"/>
      <c r="U199" s="656"/>
      <c r="V199" s="657"/>
      <c r="W199" s="656"/>
      <c r="X199" s="657"/>
      <c r="Y199" s="656"/>
      <c r="Z199" s="657"/>
      <c r="AA199" s="656"/>
      <c r="AB199" s="657"/>
      <c r="AC199" s="656"/>
      <c r="AD199" s="657"/>
      <c r="AE199" s="656"/>
      <c r="AF199" s="658"/>
      <c r="AG199" s="656"/>
      <c r="AH199" s="658"/>
      <c r="AI199" s="656"/>
      <c r="AJ199" s="658"/>
      <c r="AK199" s="656"/>
      <c r="AL199" s="658"/>
      <c r="AM199" s="659"/>
      <c r="AN199" s="658"/>
      <c r="AO199" s="656"/>
      <c r="AP199" s="658"/>
      <c r="AQ199" s="659"/>
      <c r="AR199" s="658"/>
      <c r="AS199" s="658"/>
      <c r="AT199" s="658"/>
      <c r="AU199" s="659"/>
      <c r="AV199" s="658"/>
      <c r="AW199" s="658"/>
      <c r="AX199" s="181"/>
      <c r="AY199" s="177"/>
      <c r="AZ199">
        <f ca="1">INDIRECT(ADDRESS(ROW()+1,COLUMN(Arbeitszeit!xDay),,,"Arbeitszeit"))</f>
        <v>6</v>
      </c>
    </row>
    <row r="200" spans="1:52" s="5" customFormat="1">
      <c r="A200" s="582">
        <f>Arbeitszeit!A201</f>
        <v>41834</v>
      </c>
      <c r="B200" s="583">
        <f t="shared" si="12"/>
        <v>41834</v>
      </c>
      <c r="C200" s="214">
        <f t="shared" si="13"/>
        <v>28</v>
      </c>
      <c r="D200" s="213">
        <f t="shared" si="14"/>
        <v>41820</v>
      </c>
      <c r="E200" s="670">
        <f>Arbeitszeit!U201*24</f>
        <v>0</v>
      </c>
      <c r="F200" s="397">
        <f t="shared" ref="F200:F263" si="15">ROUND(E200-SUM(K200:AW200),1)</f>
        <v>0</v>
      </c>
      <c r="G200" s="178">
        <f>IF(Arbeitszeit!F201=Urlaub,B_WorkTime*24,)</f>
        <v>0</v>
      </c>
      <c r="H200" s="174"/>
      <c r="I200" s="178">
        <f>IF(Arbeitszeit!F201=Krank,B_WorkTime*24,)</f>
        <v>0</v>
      </c>
      <c r="J200" s="174"/>
      <c r="K200" s="179"/>
      <c r="L200" s="180"/>
      <c r="M200" s="656"/>
      <c r="N200" s="657"/>
      <c r="O200" s="656"/>
      <c r="P200" s="657"/>
      <c r="Q200" s="656"/>
      <c r="R200" s="657"/>
      <c r="S200" s="656"/>
      <c r="T200" s="657"/>
      <c r="U200" s="656"/>
      <c r="V200" s="657"/>
      <c r="W200" s="656"/>
      <c r="X200" s="657"/>
      <c r="Y200" s="656"/>
      <c r="Z200" s="657"/>
      <c r="AA200" s="656"/>
      <c r="AB200" s="657"/>
      <c r="AC200" s="656"/>
      <c r="AD200" s="657"/>
      <c r="AE200" s="656"/>
      <c r="AF200" s="658"/>
      <c r="AG200" s="656"/>
      <c r="AH200" s="658"/>
      <c r="AI200" s="656"/>
      <c r="AJ200" s="658"/>
      <c r="AK200" s="656"/>
      <c r="AL200" s="658"/>
      <c r="AM200" s="659"/>
      <c r="AN200" s="658"/>
      <c r="AO200" s="656"/>
      <c r="AP200" s="658"/>
      <c r="AQ200" s="659"/>
      <c r="AR200" s="658"/>
      <c r="AS200" s="658"/>
      <c r="AT200" s="658"/>
      <c r="AU200" s="659"/>
      <c r="AV200" s="658"/>
      <c r="AW200" s="658"/>
      <c r="AX200" s="181"/>
      <c r="AY200" s="177"/>
      <c r="AZ200">
        <f ca="1">INDIRECT(ADDRESS(ROW()+1,COLUMN(Arbeitszeit!xDay),,,"Arbeitszeit"))</f>
        <v>7</v>
      </c>
    </row>
    <row r="201" spans="1:52">
      <c r="A201" s="582">
        <f>Arbeitszeit!A202</f>
        <v>41835</v>
      </c>
      <c r="B201" s="583">
        <f t="shared" si="12"/>
        <v>41835</v>
      </c>
      <c r="C201" s="214">
        <f t="shared" si="13"/>
        <v>29</v>
      </c>
      <c r="D201" s="213">
        <f t="shared" si="14"/>
        <v>41820</v>
      </c>
      <c r="E201" s="670">
        <f>Arbeitszeit!U202*24</f>
        <v>0</v>
      </c>
      <c r="F201" s="397">
        <f t="shared" si="15"/>
        <v>0</v>
      </c>
      <c r="G201" s="178">
        <f>IF(Arbeitszeit!F202=Urlaub,B_WorkTime*24,)</f>
        <v>0</v>
      </c>
      <c r="H201" s="174"/>
      <c r="I201" s="178">
        <f>IF(Arbeitszeit!F202=Krank,B_WorkTime*24,)</f>
        <v>0</v>
      </c>
      <c r="J201" s="174"/>
      <c r="K201" s="179"/>
      <c r="L201" s="180"/>
      <c r="M201" s="656"/>
      <c r="N201" s="657"/>
      <c r="O201" s="656"/>
      <c r="P201" s="657"/>
      <c r="Q201" s="656"/>
      <c r="R201" s="657"/>
      <c r="S201" s="656"/>
      <c r="T201" s="657"/>
      <c r="U201" s="656"/>
      <c r="V201" s="657"/>
      <c r="W201" s="656"/>
      <c r="X201" s="657"/>
      <c r="Y201" s="656"/>
      <c r="Z201" s="657"/>
      <c r="AA201" s="656"/>
      <c r="AB201" s="657"/>
      <c r="AC201" s="656"/>
      <c r="AD201" s="657"/>
      <c r="AE201" s="656"/>
      <c r="AF201" s="658"/>
      <c r="AG201" s="656"/>
      <c r="AH201" s="658"/>
      <c r="AI201" s="656"/>
      <c r="AJ201" s="658"/>
      <c r="AK201" s="656"/>
      <c r="AL201" s="658"/>
      <c r="AM201" s="659"/>
      <c r="AN201" s="658"/>
      <c r="AO201" s="656"/>
      <c r="AP201" s="658"/>
      <c r="AQ201" s="659"/>
      <c r="AR201" s="658"/>
      <c r="AS201" s="658"/>
      <c r="AT201" s="658"/>
      <c r="AU201" s="659"/>
      <c r="AV201" s="658"/>
      <c r="AW201" s="658"/>
      <c r="AX201" s="181"/>
      <c r="AY201" s="177"/>
      <c r="AZ201">
        <f ca="1">INDIRECT(ADDRESS(ROW()+1,COLUMN(Arbeitszeit!xDay),,,"Arbeitszeit"))</f>
        <v>1</v>
      </c>
    </row>
    <row r="202" spans="1:52">
      <c r="A202" s="582">
        <f>Arbeitszeit!A203</f>
        <v>41836</v>
      </c>
      <c r="B202" s="583">
        <f t="shared" si="12"/>
        <v>41836</v>
      </c>
      <c r="C202" s="214">
        <f t="shared" si="13"/>
        <v>29</v>
      </c>
      <c r="D202" s="213">
        <f t="shared" si="14"/>
        <v>41820</v>
      </c>
      <c r="E202" s="670">
        <f>Arbeitszeit!U203*24</f>
        <v>0</v>
      </c>
      <c r="F202" s="397">
        <f t="shared" si="15"/>
        <v>0</v>
      </c>
      <c r="G202" s="178">
        <f>IF(Arbeitszeit!F203=Urlaub,B_WorkTime*24,)</f>
        <v>0</v>
      </c>
      <c r="H202" s="174"/>
      <c r="I202" s="178">
        <f>IF(Arbeitszeit!F203=Krank,B_WorkTime*24,)</f>
        <v>0</v>
      </c>
      <c r="J202" s="174"/>
      <c r="K202" s="179"/>
      <c r="L202" s="180"/>
      <c r="M202" s="656"/>
      <c r="N202" s="657"/>
      <c r="O202" s="656"/>
      <c r="P202" s="657"/>
      <c r="Q202" s="656"/>
      <c r="R202" s="657"/>
      <c r="S202" s="656"/>
      <c r="T202" s="657"/>
      <c r="U202" s="656"/>
      <c r="V202" s="657"/>
      <c r="W202" s="656"/>
      <c r="X202" s="657"/>
      <c r="Y202" s="656"/>
      <c r="Z202" s="657"/>
      <c r="AA202" s="656"/>
      <c r="AB202" s="657"/>
      <c r="AC202" s="656"/>
      <c r="AD202" s="657"/>
      <c r="AE202" s="656"/>
      <c r="AF202" s="658"/>
      <c r="AG202" s="656"/>
      <c r="AH202" s="658"/>
      <c r="AI202" s="656"/>
      <c r="AJ202" s="658"/>
      <c r="AK202" s="656"/>
      <c r="AL202" s="658"/>
      <c r="AM202" s="659"/>
      <c r="AN202" s="658"/>
      <c r="AO202" s="656"/>
      <c r="AP202" s="658"/>
      <c r="AQ202" s="659"/>
      <c r="AR202" s="658"/>
      <c r="AS202" s="658"/>
      <c r="AT202" s="658"/>
      <c r="AU202" s="659"/>
      <c r="AV202" s="658"/>
      <c r="AW202" s="658"/>
      <c r="AX202" s="181"/>
      <c r="AY202" s="177"/>
      <c r="AZ202">
        <f ca="1">INDIRECT(ADDRESS(ROW()+1,COLUMN(Arbeitszeit!xDay),,,"Arbeitszeit"))</f>
        <v>2</v>
      </c>
    </row>
    <row r="203" spans="1:52">
      <c r="A203" s="582">
        <f>Arbeitszeit!A204</f>
        <v>41837</v>
      </c>
      <c r="B203" s="583">
        <f t="shared" si="12"/>
        <v>41837</v>
      </c>
      <c r="C203" s="214">
        <f t="shared" si="13"/>
        <v>29</v>
      </c>
      <c r="D203" s="213">
        <f t="shared" si="14"/>
        <v>41820</v>
      </c>
      <c r="E203" s="670">
        <f>Arbeitszeit!U204*24</f>
        <v>0</v>
      </c>
      <c r="F203" s="397">
        <f t="shared" si="15"/>
        <v>0</v>
      </c>
      <c r="G203" s="178">
        <f>IF(Arbeitszeit!F204=Urlaub,B_WorkTime*24,)</f>
        <v>0</v>
      </c>
      <c r="H203" s="174"/>
      <c r="I203" s="178">
        <f>IF(Arbeitszeit!F204=Krank,B_WorkTime*24,)</f>
        <v>0</v>
      </c>
      <c r="J203" s="174"/>
      <c r="K203" s="179"/>
      <c r="L203" s="180"/>
      <c r="M203" s="656"/>
      <c r="N203" s="657"/>
      <c r="O203" s="656"/>
      <c r="P203" s="657"/>
      <c r="Q203" s="656"/>
      <c r="R203" s="657"/>
      <c r="S203" s="656"/>
      <c r="T203" s="657"/>
      <c r="U203" s="656"/>
      <c r="V203" s="657"/>
      <c r="W203" s="656"/>
      <c r="X203" s="657"/>
      <c r="Y203" s="656"/>
      <c r="Z203" s="657"/>
      <c r="AA203" s="656"/>
      <c r="AB203" s="657"/>
      <c r="AC203" s="656"/>
      <c r="AD203" s="657"/>
      <c r="AE203" s="656"/>
      <c r="AF203" s="658"/>
      <c r="AG203" s="656"/>
      <c r="AH203" s="658"/>
      <c r="AI203" s="656"/>
      <c r="AJ203" s="658"/>
      <c r="AK203" s="656"/>
      <c r="AL203" s="658"/>
      <c r="AM203" s="659"/>
      <c r="AN203" s="658"/>
      <c r="AO203" s="656"/>
      <c r="AP203" s="658"/>
      <c r="AQ203" s="659"/>
      <c r="AR203" s="658"/>
      <c r="AS203" s="658"/>
      <c r="AT203" s="658"/>
      <c r="AU203" s="659"/>
      <c r="AV203" s="658"/>
      <c r="AW203" s="658"/>
      <c r="AX203" s="181"/>
      <c r="AY203" s="177"/>
      <c r="AZ203">
        <f ca="1">INDIRECT(ADDRESS(ROW()+1,COLUMN(Arbeitszeit!xDay),,,"Arbeitszeit"))</f>
        <v>3</v>
      </c>
    </row>
    <row r="204" spans="1:52">
      <c r="A204" s="582">
        <f>Arbeitszeit!A205</f>
        <v>41838</v>
      </c>
      <c r="B204" s="583">
        <f t="shared" si="12"/>
        <v>41838</v>
      </c>
      <c r="C204" s="214">
        <f t="shared" si="13"/>
        <v>29</v>
      </c>
      <c r="D204" s="213">
        <f t="shared" si="14"/>
        <v>41820</v>
      </c>
      <c r="E204" s="670">
        <f>Arbeitszeit!U205*24</f>
        <v>0</v>
      </c>
      <c r="F204" s="397">
        <f t="shared" si="15"/>
        <v>0</v>
      </c>
      <c r="G204" s="178">
        <f>IF(Arbeitszeit!F205=Urlaub,B_WorkTime*24,)</f>
        <v>0</v>
      </c>
      <c r="H204" s="174"/>
      <c r="I204" s="178">
        <f>IF(Arbeitszeit!F205=Krank,B_WorkTime*24,)</f>
        <v>0</v>
      </c>
      <c r="J204" s="174"/>
      <c r="K204" s="179"/>
      <c r="L204" s="180"/>
      <c r="M204" s="656"/>
      <c r="N204" s="657"/>
      <c r="O204" s="656"/>
      <c r="P204" s="657"/>
      <c r="Q204" s="656"/>
      <c r="R204" s="657"/>
      <c r="S204" s="656"/>
      <c r="T204" s="657"/>
      <c r="U204" s="656"/>
      <c r="V204" s="657"/>
      <c r="W204" s="656"/>
      <c r="X204" s="657"/>
      <c r="Y204" s="656"/>
      <c r="Z204" s="657"/>
      <c r="AA204" s="656"/>
      <c r="AB204" s="657"/>
      <c r="AC204" s="656"/>
      <c r="AD204" s="657"/>
      <c r="AE204" s="656"/>
      <c r="AF204" s="658"/>
      <c r="AG204" s="656"/>
      <c r="AH204" s="658"/>
      <c r="AI204" s="656"/>
      <c r="AJ204" s="658"/>
      <c r="AK204" s="656"/>
      <c r="AL204" s="658"/>
      <c r="AM204" s="659"/>
      <c r="AN204" s="658"/>
      <c r="AO204" s="656"/>
      <c r="AP204" s="658"/>
      <c r="AQ204" s="659"/>
      <c r="AR204" s="658"/>
      <c r="AS204" s="658"/>
      <c r="AT204" s="658"/>
      <c r="AU204" s="659"/>
      <c r="AV204" s="658"/>
      <c r="AW204" s="658"/>
      <c r="AX204" s="181"/>
      <c r="AY204" s="177"/>
      <c r="AZ204">
        <f ca="1">INDIRECT(ADDRESS(ROW()+1,COLUMN(Arbeitszeit!xDay),,,"Arbeitszeit"))</f>
        <v>4</v>
      </c>
    </row>
    <row r="205" spans="1:52">
      <c r="A205" s="582">
        <f>Arbeitszeit!A206</f>
        <v>41839</v>
      </c>
      <c r="B205" s="583">
        <f t="shared" si="12"/>
        <v>41839</v>
      </c>
      <c r="C205" s="214">
        <f t="shared" si="13"/>
        <v>29</v>
      </c>
      <c r="D205" s="213">
        <f t="shared" si="14"/>
        <v>41820</v>
      </c>
      <c r="E205" s="670">
        <f>Arbeitszeit!U206*24</f>
        <v>0</v>
      </c>
      <c r="F205" s="397">
        <f t="shared" si="15"/>
        <v>0</v>
      </c>
      <c r="G205" s="178">
        <f>IF(Arbeitszeit!F206=Urlaub,B_WorkTime*24,)</f>
        <v>0</v>
      </c>
      <c r="H205" s="174"/>
      <c r="I205" s="178">
        <f>IF(Arbeitszeit!F206=Krank,B_WorkTime*24,)</f>
        <v>0</v>
      </c>
      <c r="J205" s="174"/>
      <c r="K205" s="179"/>
      <c r="L205" s="180"/>
      <c r="M205" s="656"/>
      <c r="N205" s="657"/>
      <c r="O205" s="656"/>
      <c r="P205" s="657"/>
      <c r="Q205" s="656"/>
      <c r="R205" s="657"/>
      <c r="S205" s="656"/>
      <c r="T205" s="657"/>
      <c r="U205" s="656"/>
      <c r="V205" s="657"/>
      <c r="W205" s="656"/>
      <c r="X205" s="657"/>
      <c r="Y205" s="656"/>
      <c r="Z205" s="657"/>
      <c r="AA205" s="656"/>
      <c r="AB205" s="657"/>
      <c r="AC205" s="656"/>
      <c r="AD205" s="657"/>
      <c r="AE205" s="656"/>
      <c r="AF205" s="658"/>
      <c r="AG205" s="656"/>
      <c r="AH205" s="658"/>
      <c r="AI205" s="656"/>
      <c r="AJ205" s="658"/>
      <c r="AK205" s="656"/>
      <c r="AL205" s="658"/>
      <c r="AM205" s="659"/>
      <c r="AN205" s="658"/>
      <c r="AO205" s="656"/>
      <c r="AP205" s="658"/>
      <c r="AQ205" s="659"/>
      <c r="AR205" s="658"/>
      <c r="AS205" s="658"/>
      <c r="AT205" s="658"/>
      <c r="AU205" s="659"/>
      <c r="AV205" s="658"/>
      <c r="AW205" s="658"/>
      <c r="AX205" s="181"/>
      <c r="AY205" s="177"/>
      <c r="AZ205">
        <f ca="1">INDIRECT(ADDRESS(ROW()+1,COLUMN(Arbeitszeit!xDay),,,"Arbeitszeit"))</f>
        <v>5</v>
      </c>
    </row>
    <row r="206" spans="1:52">
      <c r="A206" s="582">
        <f>Arbeitszeit!A207</f>
        <v>41840</v>
      </c>
      <c r="B206" s="583">
        <f t="shared" si="12"/>
        <v>41840</v>
      </c>
      <c r="C206" s="214">
        <f t="shared" si="13"/>
        <v>29</v>
      </c>
      <c r="D206" s="213">
        <f t="shared" si="14"/>
        <v>41820</v>
      </c>
      <c r="E206" s="670">
        <f>Arbeitszeit!U207*24</f>
        <v>0</v>
      </c>
      <c r="F206" s="397">
        <f t="shared" si="15"/>
        <v>0</v>
      </c>
      <c r="G206" s="178">
        <f>IF(Arbeitszeit!F207=Urlaub,B_WorkTime*24,)</f>
        <v>0</v>
      </c>
      <c r="H206" s="174"/>
      <c r="I206" s="178">
        <f>IF(Arbeitszeit!F207=Krank,B_WorkTime*24,)</f>
        <v>0</v>
      </c>
      <c r="J206" s="174"/>
      <c r="K206" s="179"/>
      <c r="L206" s="180"/>
      <c r="M206" s="656"/>
      <c r="N206" s="657"/>
      <c r="O206" s="656"/>
      <c r="P206" s="657"/>
      <c r="Q206" s="656"/>
      <c r="R206" s="657"/>
      <c r="S206" s="656"/>
      <c r="T206" s="657"/>
      <c r="U206" s="656"/>
      <c r="V206" s="657"/>
      <c r="W206" s="656"/>
      <c r="X206" s="657"/>
      <c r="Y206" s="656"/>
      <c r="Z206" s="657"/>
      <c r="AA206" s="656"/>
      <c r="AB206" s="657"/>
      <c r="AC206" s="656"/>
      <c r="AD206" s="657"/>
      <c r="AE206" s="656"/>
      <c r="AF206" s="658"/>
      <c r="AG206" s="656"/>
      <c r="AH206" s="658"/>
      <c r="AI206" s="656"/>
      <c r="AJ206" s="658"/>
      <c r="AK206" s="656"/>
      <c r="AL206" s="658"/>
      <c r="AM206" s="659"/>
      <c r="AN206" s="658"/>
      <c r="AO206" s="656"/>
      <c r="AP206" s="658"/>
      <c r="AQ206" s="659"/>
      <c r="AR206" s="658"/>
      <c r="AS206" s="658"/>
      <c r="AT206" s="658"/>
      <c r="AU206" s="659"/>
      <c r="AV206" s="658"/>
      <c r="AW206" s="658"/>
      <c r="AX206" s="181"/>
      <c r="AY206" s="177"/>
      <c r="AZ206">
        <f ca="1">INDIRECT(ADDRESS(ROW()+1,COLUMN(Arbeitszeit!xDay),,,"Arbeitszeit"))</f>
        <v>6</v>
      </c>
    </row>
    <row r="207" spans="1:52">
      <c r="A207" s="582">
        <f>Arbeitszeit!A208</f>
        <v>41841</v>
      </c>
      <c r="B207" s="583">
        <f t="shared" si="12"/>
        <v>41841</v>
      </c>
      <c r="C207" s="214">
        <f t="shared" si="13"/>
        <v>29</v>
      </c>
      <c r="D207" s="213">
        <f t="shared" si="14"/>
        <v>41820</v>
      </c>
      <c r="E207" s="670">
        <f>Arbeitszeit!U208*24</f>
        <v>0</v>
      </c>
      <c r="F207" s="397">
        <f t="shared" si="15"/>
        <v>0</v>
      </c>
      <c r="G207" s="178">
        <f>IF(Arbeitszeit!F208=Urlaub,B_WorkTime*24,)</f>
        <v>0</v>
      </c>
      <c r="H207" s="174"/>
      <c r="I207" s="178">
        <f>IF(Arbeitszeit!F208=Krank,B_WorkTime*24,)</f>
        <v>0</v>
      </c>
      <c r="J207" s="174"/>
      <c r="K207" s="179"/>
      <c r="L207" s="180"/>
      <c r="M207" s="656"/>
      <c r="N207" s="657"/>
      <c r="O207" s="656"/>
      <c r="P207" s="657"/>
      <c r="Q207" s="656"/>
      <c r="R207" s="657"/>
      <c r="S207" s="656"/>
      <c r="T207" s="657"/>
      <c r="U207" s="656"/>
      <c r="V207" s="657"/>
      <c r="W207" s="656"/>
      <c r="X207" s="657"/>
      <c r="Y207" s="656"/>
      <c r="Z207" s="657"/>
      <c r="AA207" s="656"/>
      <c r="AB207" s="657"/>
      <c r="AC207" s="656"/>
      <c r="AD207" s="657"/>
      <c r="AE207" s="656"/>
      <c r="AF207" s="658"/>
      <c r="AG207" s="656"/>
      <c r="AH207" s="658"/>
      <c r="AI207" s="656"/>
      <c r="AJ207" s="658"/>
      <c r="AK207" s="656"/>
      <c r="AL207" s="658"/>
      <c r="AM207" s="659"/>
      <c r="AN207" s="658"/>
      <c r="AO207" s="656"/>
      <c r="AP207" s="658"/>
      <c r="AQ207" s="659"/>
      <c r="AR207" s="658"/>
      <c r="AS207" s="658"/>
      <c r="AT207" s="658"/>
      <c r="AU207" s="659"/>
      <c r="AV207" s="658"/>
      <c r="AW207" s="658"/>
      <c r="AX207" s="181"/>
      <c r="AY207" s="177"/>
      <c r="AZ207">
        <f ca="1">INDIRECT(ADDRESS(ROW()+1,COLUMN(Arbeitszeit!xDay),,,"Arbeitszeit"))</f>
        <v>7</v>
      </c>
    </row>
    <row r="208" spans="1:52">
      <c r="A208" s="582">
        <f>Arbeitszeit!A209</f>
        <v>41842</v>
      </c>
      <c r="B208" s="583">
        <f t="shared" si="12"/>
        <v>41842</v>
      </c>
      <c r="C208" s="214">
        <f t="shared" si="13"/>
        <v>30</v>
      </c>
      <c r="D208" s="213">
        <f t="shared" si="14"/>
        <v>41820</v>
      </c>
      <c r="E208" s="670">
        <f>Arbeitszeit!U209*24</f>
        <v>0</v>
      </c>
      <c r="F208" s="397">
        <f t="shared" si="15"/>
        <v>0</v>
      </c>
      <c r="G208" s="178">
        <f>IF(Arbeitszeit!F209=Urlaub,B_WorkTime*24,)</f>
        <v>0</v>
      </c>
      <c r="H208" s="174"/>
      <c r="I208" s="178">
        <f>IF(Arbeitszeit!F209=Krank,B_WorkTime*24,)</f>
        <v>0</v>
      </c>
      <c r="J208" s="174"/>
      <c r="K208" s="179"/>
      <c r="L208" s="180"/>
      <c r="M208" s="656"/>
      <c r="N208" s="657"/>
      <c r="O208" s="656"/>
      <c r="P208" s="657"/>
      <c r="Q208" s="656"/>
      <c r="R208" s="657"/>
      <c r="S208" s="656"/>
      <c r="T208" s="657"/>
      <c r="U208" s="656"/>
      <c r="V208" s="657"/>
      <c r="W208" s="656"/>
      <c r="X208" s="657"/>
      <c r="Y208" s="656"/>
      <c r="Z208" s="657"/>
      <c r="AA208" s="656"/>
      <c r="AB208" s="657"/>
      <c r="AC208" s="656"/>
      <c r="AD208" s="657"/>
      <c r="AE208" s="656"/>
      <c r="AF208" s="658"/>
      <c r="AG208" s="656"/>
      <c r="AH208" s="658"/>
      <c r="AI208" s="656"/>
      <c r="AJ208" s="658"/>
      <c r="AK208" s="656"/>
      <c r="AL208" s="658"/>
      <c r="AM208" s="659"/>
      <c r="AN208" s="658"/>
      <c r="AO208" s="656"/>
      <c r="AP208" s="658"/>
      <c r="AQ208" s="659"/>
      <c r="AR208" s="658"/>
      <c r="AS208" s="658"/>
      <c r="AT208" s="658"/>
      <c r="AU208" s="659"/>
      <c r="AV208" s="658"/>
      <c r="AW208" s="658"/>
      <c r="AX208" s="181"/>
      <c r="AY208" s="177"/>
      <c r="AZ208">
        <f ca="1">INDIRECT(ADDRESS(ROW()+1,COLUMN(Arbeitszeit!xDay),,,"Arbeitszeit"))</f>
        <v>1</v>
      </c>
    </row>
    <row r="209" spans="1:52">
      <c r="A209" s="582">
        <f>Arbeitszeit!A210</f>
        <v>41843</v>
      </c>
      <c r="B209" s="583">
        <f t="shared" si="12"/>
        <v>41843</v>
      </c>
      <c r="C209" s="214">
        <f t="shared" si="13"/>
        <v>30</v>
      </c>
      <c r="D209" s="213">
        <f t="shared" si="14"/>
        <v>41820</v>
      </c>
      <c r="E209" s="670">
        <f>Arbeitszeit!U210*24</f>
        <v>0</v>
      </c>
      <c r="F209" s="397">
        <f t="shared" si="15"/>
        <v>0</v>
      </c>
      <c r="G209" s="178">
        <f>IF(Arbeitszeit!F210=Urlaub,B_WorkTime*24,)</f>
        <v>0</v>
      </c>
      <c r="H209" s="174"/>
      <c r="I209" s="178">
        <f>IF(Arbeitszeit!F210=Krank,B_WorkTime*24,)</f>
        <v>0</v>
      </c>
      <c r="J209" s="174"/>
      <c r="K209" s="179"/>
      <c r="L209" s="180"/>
      <c r="M209" s="656"/>
      <c r="N209" s="657"/>
      <c r="O209" s="656"/>
      <c r="P209" s="657"/>
      <c r="Q209" s="656"/>
      <c r="R209" s="657"/>
      <c r="S209" s="656"/>
      <c r="T209" s="657"/>
      <c r="U209" s="656"/>
      <c r="V209" s="657"/>
      <c r="W209" s="656"/>
      <c r="X209" s="657"/>
      <c r="Y209" s="656"/>
      <c r="Z209" s="657"/>
      <c r="AA209" s="656"/>
      <c r="AB209" s="657"/>
      <c r="AC209" s="656"/>
      <c r="AD209" s="657"/>
      <c r="AE209" s="656"/>
      <c r="AF209" s="658"/>
      <c r="AG209" s="656"/>
      <c r="AH209" s="658"/>
      <c r="AI209" s="656"/>
      <c r="AJ209" s="658"/>
      <c r="AK209" s="656"/>
      <c r="AL209" s="658"/>
      <c r="AM209" s="659"/>
      <c r="AN209" s="658"/>
      <c r="AO209" s="656"/>
      <c r="AP209" s="658"/>
      <c r="AQ209" s="659"/>
      <c r="AR209" s="658"/>
      <c r="AS209" s="658"/>
      <c r="AT209" s="658"/>
      <c r="AU209" s="659"/>
      <c r="AV209" s="658"/>
      <c r="AW209" s="658"/>
      <c r="AX209" s="181"/>
      <c r="AY209" s="177"/>
      <c r="AZ209">
        <f ca="1">INDIRECT(ADDRESS(ROW()+1,COLUMN(Arbeitszeit!xDay),,,"Arbeitszeit"))</f>
        <v>2</v>
      </c>
    </row>
    <row r="210" spans="1:52">
      <c r="A210" s="582">
        <f>Arbeitszeit!A211</f>
        <v>41844</v>
      </c>
      <c r="B210" s="583">
        <f t="shared" si="12"/>
        <v>41844</v>
      </c>
      <c r="C210" s="214">
        <f t="shared" si="13"/>
        <v>30</v>
      </c>
      <c r="D210" s="213">
        <f t="shared" si="14"/>
        <v>41820</v>
      </c>
      <c r="E210" s="670">
        <f>Arbeitszeit!U211*24</f>
        <v>0</v>
      </c>
      <c r="F210" s="397">
        <f t="shared" si="15"/>
        <v>0</v>
      </c>
      <c r="G210" s="178">
        <f>IF(Arbeitszeit!F211=Urlaub,B_WorkTime*24,)</f>
        <v>0</v>
      </c>
      <c r="H210" s="174"/>
      <c r="I210" s="178">
        <f>IF(Arbeitszeit!F211=Krank,B_WorkTime*24,)</f>
        <v>0</v>
      </c>
      <c r="J210" s="174"/>
      <c r="K210" s="179"/>
      <c r="L210" s="180"/>
      <c r="M210" s="656"/>
      <c r="N210" s="657"/>
      <c r="O210" s="656"/>
      <c r="P210" s="657"/>
      <c r="Q210" s="656"/>
      <c r="R210" s="657"/>
      <c r="S210" s="656"/>
      <c r="T210" s="657"/>
      <c r="U210" s="656"/>
      <c r="V210" s="657"/>
      <c r="W210" s="656"/>
      <c r="X210" s="657"/>
      <c r="Y210" s="656"/>
      <c r="Z210" s="657"/>
      <c r="AA210" s="656"/>
      <c r="AB210" s="657"/>
      <c r="AC210" s="656"/>
      <c r="AD210" s="657"/>
      <c r="AE210" s="656"/>
      <c r="AF210" s="658"/>
      <c r="AG210" s="656"/>
      <c r="AH210" s="658"/>
      <c r="AI210" s="656"/>
      <c r="AJ210" s="658"/>
      <c r="AK210" s="656"/>
      <c r="AL210" s="658"/>
      <c r="AM210" s="659"/>
      <c r="AN210" s="658"/>
      <c r="AO210" s="656"/>
      <c r="AP210" s="658"/>
      <c r="AQ210" s="659"/>
      <c r="AR210" s="658"/>
      <c r="AS210" s="658"/>
      <c r="AT210" s="658"/>
      <c r="AU210" s="659"/>
      <c r="AV210" s="658"/>
      <c r="AW210" s="658"/>
      <c r="AX210" s="181"/>
      <c r="AY210" s="177"/>
      <c r="AZ210">
        <f ca="1">INDIRECT(ADDRESS(ROW()+1,COLUMN(Arbeitszeit!xDay),,,"Arbeitszeit"))</f>
        <v>3</v>
      </c>
    </row>
    <row r="211" spans="1:52">
      <c r="A211" s="582">
        <f>Arbeitszeit!A212</f>
        <v>41845</v>
      </c>
      <c r="B211" s="583">
        <f t="shared" si="12"/>
        <v>41845</v>
      </c>
      <c r="C211" s="214">
        <f t="shared" si="13"/>
        <v>30</v>
      </c>
      <c r="D211" s="213">
        <f t="shared" si="14"/>
        <v>41820</v>
      </c>
      <c r="E211" s="670">
        <f>Arbeitszeit!U212*24</f>
        <v>0</v>
      </c>
      <c r="F211" s="397">
        <f t="shared" si="15"/>
        <v>0</v>
      </c>
      <c r="G211" s="178">
        <f>IF(Arbeitszeit!F212=Urlaub,B_WorkTime*24,)</f>
        <v>0</v>
      </c>
      <c r="H211" s="174"/>
      <c r="I211" s="178">
        <f>IF(Arbeitszeit!F212=Krank,B_WorkTime*24,)</f>
        <v>0</v>
      </c>
      <c r="J211" s="174"/>
      <c r="K211" s="179"/>
      <c r="L211" s="180"/>
      <c r="M211" s="656"/>
      <c r="N211" s="657"/>
      <c r="O211" s="656"/>
      <c r="P211" s="657"/>
      <c r="Q211" s="656"/>
      <c r="R211" s="657"/>
      <c r="S211" s="656"/>
      <c r="T211" s="657"/>
      <c r="U211" s="656"/>
      <c r="V211" s="657"/>
      <c r="W211" s="656"/>
      <c r="X211" s="657"/>
      <c r="Y211" s="656"/>
      <c r="Z211" s="657"/>
      <c r="AA211" s="656"/>
      <c r="AB211" s="657"/>
      <c r="AC211" s="656"/>
      <c r="AD211" s="657"/>
      <c r="AE211" s="656"/>
      <c r="AF211" s="658"/>
      <c r="AG211" s="656"/>
      <c r="AH211" s="658"/>
      <c r="AI211" s="656"/>
      <c r="AJ211" s="658"/>
      <c r="AK211" s="656"/>
      <c r="AL211" s="658"/>
      <c r="AM211" s="659"/>
      <c r="AN211" s="658"/>
      <c r="AO211" s="656"/>
      <c r="AP211" s="658"/>
      <c r="AQ211" s="659"/>
      <c r="AR211" s="658"/>
      <c r="AS211" s="658"/>
      <c r="AT211" s="658"/>
      <c r="AU211" s="659"/>
      <c r="AV211" s="658"/>
      <c r="AW211" s="658"/>
      <c r="AX211" s="181"/>
      <c r="AY211" s="177"/>
      <c r="AZ211">
        <f ca="1">INDIRECT(ADDRESS(ROW()+1,COLUMN(Arbeitszeit!xDay),,,"Arbeitszeit"))</f>
        <v>4</v>
      </c>
    </row>
    <row r="212" spans="1:52">
      <c r="A212" s="582">
        <f>Arbeitszeit!A213</f>
        <v>41846</v>
      </c>
      <c r="B212" s="583">
        <f t="shared" si="12"/>
        <v>41846</v>
      </c>
      <c r="C212" s="214">
        <f t="shared" si="13"/>
        <v>30</v>
      </c>
      <c r="D212" s="213">
        <f t="shared" si="14"/>
        <v>41820</v>
      </c>
      <c r="E212" s="670">
        <f>Arbeitszeit!U213*24</f>
        <v>0</v>
      </c>
      <c r="F212" s="397">
        <f t="shared" si="15"/>
        <v>0</v>
      </c>
      <c r="G212" s="178">
        <f>IF(Arbeitszeit!F213=Urlaub,B_WorkTime*24,)</f>
        <v>0</v>
      </c>
      <c r="H212" s="174"/>
      <c r="I212" s="178">
        <f>IF(Arbeitszeit!F213=Krank,B_WorkTime*24,)</f>
        <v>0</v>
      </c>
      <c r="J212" s="174"/>
      <c r="K212" s="179"/>
      <c r="L212" s="180"/>
      <c r="M212" s="656"/>
      <c r="N212" s="657"/>
      <c r="O212" s="656"/>
      <c r="P212" s="657"/>
      <c r="Q212" s="656"/>
      <c r="R212" s="657"/>
      <c r="S212" s="656"/>
      <c r="T212" s="657"/>
      <c r="U212" s="656"/>
      <c r="V212" s="657"/>
      <c r="W212" s="656"/>
      <c r="X212" s="657"/>
      <c r="Y212" s="656"/>
      <c r="Z212" s="657"/>
      <c r="AA212" s="656"/>
      <c r="AB212" s="657"/>
      <c r="AC212" s="656"/>
      <c r="AD212" s="657"/>
      <c r="AE212" s="656"/>
      <c r="AF212" s="658"/>
      <c r="AG212" s="656"/>
      <c r="AH212" s="658"/>
      <c r="AI212" s="656"/>
      <c r="AJ212" s="658"/>
      <c r="AK212" s="656"/>
      <c r="AL212" s="658"/>
      <c r="AM212" s="659"/>
      <c r="AN212" s="658"/>
      <c r="AO212" s="656"/>
      <c r="AP212" s="658"/>
      <c r="AQ212" s="659"/>
      <c r="AR212" s="658"/>
      <c r="AS212" s="658"/>
      <c r="AT212" s="658"/>
      <c r="AU212" s="659"/>
      <c r="AV212" s="658"/>
      <c r="AW212" s="658"/>
      <c r="AX212" s="181"/>
      <c r="AY212" s="177"/>
      <c r="AZ212">
        <f ca="1">INDIRECT(ADDRESS(ROW()+1,COLUMN(Arbeitszeit!xDay),,,"Arbeitszeit"))</f>
        <v>5</v>
      </c>
    </row>
    <row r="213" spans="1:52">
      <c r="A213" s="582">
        <f>Arbeitszeit!A214</f>
        <v>41847</v>
      </c>
      <c r="B213" s="583">
        <f t="shared" si="12"/>
        <v>41847</v>
      </c>
      <c r="C213" s="214">
        <f t="shared" si="13"/>
        <v>30</v>
      </c>
      <c r="D213" s="213">
        <f t="shared" si="14"/>
        <v>41820</v>
      </c>
      <c r="E213" s="670">
        <f>Arbeitszeit!U214*24</f>
        <v>0</v>
      </c>
      <c r="F213" s="397">
        <f t="shared" si="15"/>
        <v>0</v>
      </c>
      <c r="G213" s="178">
        <f>IF(Arbeitszeit!F214=Urlaub,B_WorkTime*24,)</f>
        <v>0</v>
      </c>
      <c r="H213" s="174"/>
      <c r="I213" s="178">
        <f>IF(Arbeitszeit!F214=Krank,B_WorkTime*24,)</f>
        <v>0</v>
      </c>
      <c r="J213" s="174"/>
      <c r="K213" s="179"/>
      <c r="L213" s="180"/>
      <c r="M213" s="656"/>
      <c r="N213" s="657"/>
      <c r="O213" s="656"/>
      <c r="P213" s="657"/>
      <c r="Q213" s="656"/>
      <c r="R213" s="657"/>
      <c r="S213" s="656"/>
      <c r="T213" s="657"/>
      <c r="U213" s="656"/>
      <c r="V213" s="657"/>
      <c r="W213" s="656"/>
      <c r="X213" s="657"/>
      <c r="Y213" s="656"/>
      <c r="Z213" s="657"/>
      <c r="AA213" s="656"/>
      <c r="AB213" s="657"/>
      <c r="AC213" s="656"/>
      <c r="AD213" s="657"/>
      <c r="AE213" s="656"/>
      <c r="AF213" s="658"/>
      <c r="AG213" s="656"/>
      <c r="AH213" s="658"/>
      <c r="AI213" s="656"/>
      <c r="AJ213" s="658"/>
      <c r="AK213" s="656"/>
      <c r="AL213" s="658"/>
      <c r="AM213" s="659"/>
      <c r="AN213" s="658"/>
      <c r="AO213" s="656"/>
      <c r="AP213" s="658"/>
      <c r="AQ213" s="659"/>
      <c r="AR213" s="658"/>
      <c r="AS213" s="658"/>
      <c r="AT213" s="658"/>
      <c r="AU213" s="659"/>
      <c r="AV213" s="658"/>
      <c r="AW213" s="658"/>
      <c r="AX213" s="181"/>
      <c r="AY213" s="177"/>
      <c r="AZ213">
        <f ca="1">INDIRECT(ADDRESS(ROW()+1,COLUMN(Arbeitszeit!xDay),,,"Arbeitszeit"))</f>
        <v>6</v>
      </c>
    </row>
    <row r="214" spans="1:52">
      <c r="A214" s="582">
        <f>Arbeitszeit!A215</f>
        <v>41848</v>
      </c>
      <c r="B214" s="583">
        <f t="shared" si="12"/>
        <v>41848</v>
      </c>
      <c r="C214" s="214">
        <f t="shared" si="13"/>
        <v>30</v>
      </c>
      <c r="D214" s="213">
        <f t="shared" si="14"/>
        <v>41820</v>
      </c>
      <c r="E214" s="670">
        <f>Arbeitszeit!U215*24</f>
        <v>0</v>
      </c>
      <c r="F214" s="397">
        <f t="shared" si="15"/>
        <v>0</v>
      </c>
      <c r="G214" s="178">
        <f>IF(Arbeitszeit!F215=Urlaub,B_WorkTime*24,)</f>
        <v>0</v>
      </c>
      <c r="H214" s="174"/>
      <c r="I214" s="178">
        <f>IF(Arbeitszeit!F215=Krank,B_WorkTime*24,)</f>
        <v>0</v>
      </c>
      <c r="J214" s="174"/>
      <c r="K214" s="179"/>
      <c r="L214" s="180"/>
      <c r="M214" s="656"/>
      <c r="N214" s="657"/>
      <c r="O214" s="656"/>
      <c r="P214" s="657"/>
      <c r="Q214" s="656"/>
      <c r="R214" s="657"/>
      <c r="S214" s="656"/>
      <c r="T214" s="657"/>
      <c r="U214" s="656"/>
      <c r="V214" s="657"/>
      <c r="W214" s="656"/>
      <c r="X214" s="657"/>
      <c r="Y214" s="656"/>
      <c r="Z214" s="657"/>
      <c r="AA214" s="656"/>
      <c r="AB214" s="657"/>
      <c r="AC214" s="656"/>
      <c r="AD214" s="657"/>
      <c r="AE214" s="656"/>
      <c r="AF214" s="658"/>
      <c r="AG214" s="656"/>
      <c r="AH214" s="658"/>
      <c r="AI214" s="656"/>
      <c r="AJ214" s="658"/>
      <c r="AK214" s="656"/>
      <c r="AL214" s="658"/>
      <c r="AM214" s="659"/>
      <c r="AN214" s="658"/>
      <c r="AO214" s="656"/>
      <c r="AP214" s="658"/>
      <c r="AQ214" s="659"/>
      <c r="AR214" s="658"/>
      <c r="AS214" s="658"/>
      <c r="AT214" s="658"/>
      <c r="AU214" s="659"/>
      <c r="AV214" s="658"/>
      <c r="AW214" s="658"/>
      <c r="AX214" s="181"/>
      <c r="AY214" s="177"/>
      <c r="AZ214">
        <f ca="1">INDIRECT(ADDRESS(ROW()+1,COLUMN(Arbeitszeit!xDay),,,"Arbeitszeit"))</f>
        <v>7</v>
      </c>
    </row>
    <row r="215" spans="1:52">
      <c r="A215" s="582">
        <f>Arbeitszeit!A216</f>
        <v>41849</v>
      </c>
      <c r="B215" s="583">
        <f t="shared" si="12"/>
        <v>41849</v>
      </c>
      <c r="C215" s="214">
        <f t="shared" si="13"/>
        <v>31</v>
      </c>
      <c r="D215" s="213">
        <f t="shared" si="14"/>
        <v>41820</v>
      </c>
      <c r="E215" s="670">
        <f>Arbeitszeit!U216*24</f>
        <v>0</v>
      </c>
      <c r="F215" s="397">
        <f t="shared" si="15"/>
        <v>0</v>
      </c>
      <c r="G215" s="178">
        <f>IF(Arbeitszeit!F216=Urlaub,B_WorkTime*24,)</f>
        <v>0</v>
      </c>
      <c r="H215" s="174"/>
      <c r="I215" s="178">
        <f>IF(Arbeitszeit!F216=Krank,B_WorkTime*24,)</f>
        <v>0</v>
      </c>
      <c r="J215" s="174"/>
      <c r="K215" s="179"/>
      <c r="L215" s="180"/>
      <c r="M215" s="656"/>
      <c r="N215" s="657"/>
      <c r="O215" s="656"/>
      <c r="P215" s="657"/>
      <c r="Q215" s="656"/>
      <c r="R215" s="657"/>
      <c r="S215" s="656"/>
      <c r="T215" s="657"/>
      <c r="U215" s="656"/>
      <c r="V215" s="657"/>
      <c r="W215" s="656"/>
      <c r="X215" s="657"/>
      <c r="Y215" s="656"/>
      <c r="Z215" s="657"/>
      <c r="AA215" s="656"/>
      <c r="AB215" s="657"/>
      <c r="AC215" s="656"/>
      <c r="AD215" s="657"/>
      <c r="AE215" s="656"/>
      <c r="AF215" s="658"/>
      <c r="AG215" s="656"/>
      <c r="AH215" s="658"/>
      <c r="AI215" s="656"/>
      <c r="AJ215" s="658"/>
      <c r="AK215" s="656"/>
      <c r="AL215" s="658"/>
      <c r="AM215" s="659"/>
      <c r="AN215" s="658"/>
      <c r="AO215" s="656"/>
      <c r="AP215" s="658"/>
      <c r="AQ215" s="659"/>
      <c r="AR215" s="658"/>
      <c r="AS215" s="658"/>
      <c r="AT215" s="658"/>
      <c r="AU215" s="659"/>
      <c r="AV215" s="658"/>
      <c r="AW215" s="658"/>
      <c r="AX215" s="181"/>
      <c r="AY215" s="177"/>
      <c r="AZ215">
        <f ca="1">INDIRECT(ADDRESS(ROW()+1,COLUMN(Arbeitszeit!xDay),,,"Arbeitszeit"))</f>
        <v>1</v>
      </c>
    </row>
    <row r="216" spans="1:52">
      <c r="A216" s="582">
        <f>Arbeitszeit!A217</f>
        <v>41850</v>
      </c>
      <c r="B216" s="583">
        <f t="shared" si="12"/>
        <v>41850</v>
      </c>
      <c r="C216" s="214">
        <f t="shared" si="13"/>
        <v>31</v>
      </c>
      <c r="D216" s="213">
        <f t="shared" si="14"/>
        <v>41820</v>
      </c>
      <c r="E216" s="670">
        <f>Arbeitszeit!U217*24</f>
        <v>0</v>
      </c>
      <c r="F216" s="397">
        <f t="shared" si="15"/>
        <v>0</v>
      </c>
      <c r="G216" s="178">
        <f>IF(Arbeitszeit!F217=Urlaub,B_WorkTime*24,)</f>
        <v>0</v>
      </c>
      <c r="H216" s="174"/>
      <c r="I216" s="178">
        <f>IF(Arbeitszeit!F217=Krank,B_WorkTime*24,)</f>
        <v>0</v>
      </c>
      <c r="J216" s="174"/>
      <c r="K216" s="179"/>
      <c r="L216" s="180"/>
      <c r="M216" s="656"/>
      <c r="N216" s="657"/>
      <c r="O216" s="656"/>
      <c r="P216" s="657"/>
      <c r="Q216" s="656"/>
      <c r="R216" s="657"/>
      <c r="S216" s="656"/>
      <c r="T216" s="657"/>
      <c r="U216" s="656"/>
      <c r="V216" s="657"/>
      <c r="W216" s="656"/>
      <c r="X216" s="657"/>
      <c r="Y216" s="656"/>
      <c r="Z216" s="657"/>
      <c r="AA216" s="656"/>
      <c r="AB216" s="657"/>
      <c r="AC216" s="656"/>
      <c r="AD216" s="657"/>
      <c r="AE216" s="656"/>
      <c r="AF216" s="658"/>
      <c r="AG216" s="656"/>
      <c r="AH216" s="658"/>
      <c r="AI216" s="656"/>
      <c r="AJ216" s="658"/>
      <c r="AK216" s="656"/>
      <c r="AL216" s="658"/>
      <c r="AM216" s="659"/>
      <c r="AN216" s="658"/>
      <c r="AO216" s="656"/>
      <c r="AP216" s="658"/>
      <c r="AQ216" s="659"/>
      <c r="AR216" s="658"/>
      <c r="AS216" s="658"/>
      <c r="AT216" s="658"/>
      <c r="AU216" s="659"/>
      <c r="AV216" s="658"/>
      <c r="AW216" s="658"/>
      <c r="AX216" s="181"/>
      <c r="AY216" s="177"/>
      <c r="AZ216">
        <f ca="1">INDIRECT(ADDRESS(ROW()+1,COLUMN(Arbeitszeit!xDay),,,"Arbeitszeit"))</f>
        <v>2</v>
      </c>
    </row>
    <row r="217" spans="1:52">
      <c r="A217" s="582">
        <f>Arbeitszeit!A218</f>
        <v>41851</v>
      </c>
      <c r="B217" s="583">
        <f t="shared" si="12"/>
        <v>41851</v>
      </c>
      <c r="C217" s="214">
        <f t="shared" si="13"/>
        <v>31</v>
      </c>
      <c r="D217" s="213">
        <f t="shared" si="14"/>
        <v>41851</v>
      </c>
      <c r="E217" s="670">
        <f>Arbeitszeit!U218*24</f>
        <v>0</v>
      </c>
      <c r="F217" s="397">
        <f t="shared" si="15"/>
        <v>0</v>
      </c>
      <c r="G217" s="178">
        <f>IF(Arbeitszeit!F218=Urlaub,B_WorkTime*24,)</f>
        <v>0</v>
      </c>
      <c r="H217" s="174"/>
      <c r="I217" s="178">
        <f>IF(Arbeitszeit!F218=Krank,B_WorkTime*24,)</f>
        <v>0</v>
      </c>
      <c r="J217" s="174"/>
      <c r="K217" s="179"/>
      <c r="L217" s="180"/>
      <c r="M217" s="656"/>
      <c r="N217" s="657"/>
      <c r="O217" s="656"/>
      <c r="P217" s="657"/>
      <c r="Q217" s="656"/>
      <c r="R217" s="657"/>
      <c r="S217" s="656"/>
      <c r="T217" s="657"/>
      <c r="U217" s="656"/>
      <c r="V217" s="657"/>
      <c r="W217" s="656"/>
      <c r="X217" s="657"/>
      <c r="Y217" s="656"/>
      <c r="Z217" s="657"/>
      <c r="AA217" s="656"/>
      <c r="AB217" s="657"/>
      <c r="AC217" s="656"/>
      <c r="AD217" s="657"/>
      <c r="AE217" s="656"/>
      <c r="AF217" s="658"/>
      <c r="AG217" s="656"/>
      <c r="AH217" s="658"/>
      <c r="AI217" s="656"/>
      <c r="AJ217" s="658"/>
      <c r="AK217" s="656"/>
      <c r="AL217" s="658"/>
      <c r="AM217" s="659"/>
      <c r="AN217" s="658"/>
      <c r="AO217" s="656"/>
      <c r="AP217" s="658"/>
      <c r="AQ217" s="659"/>
      <c r="AR217" s="658"/>
      <c r="AS217" s="658"/>
      <c r="AT217" s="658"/>
      <c r="AU217" s="659"/>
      <c r="AV217" s="658"/>
      <c r="AW217" s="658"/>
      <c r="AX217" s="181"/>
      <c r="AY217" s="177"/>
      <c r="AZ217">
        <f ca="1">INDIRECT(ADDRESS(ROW()+1,COLUMN(Arbeitszeit!xDay),,,"Arbeitszeit"))</f>
        <v>3</v>
      </c>
    </row>
    <row r="218" spans="1:52">
      <c r="A218" s="582">
        <f>Arbeitszeit!A219</f>
        <v>41852</v>
      </c>
      <c r="B218" s="583">
        <f t="shared" si="12"/>
        <v>41852</v>
      </c>
      <c r="C218" s="214">
        <f t="shared" si="13"/>
        <v>31</v>
      </c>
      <c r="D218" s="213">
        <f t="shared" si="14"/>
        <v>41851</v>
      </c>
      <c r="E218" s="670">
        <f>Arbeitszeit!U219*24</f>
        <v>0</v>
      </c>
      <c r="F218" s="397">
        <f t="shared" si="15"/>
        <v>0</v>
      </c>
      <c r="G218" s="178">
        <f>IF(Arbeitszeit!F219=Urlaub,B_WorkTime*24,)</f>
        <v>0</v>
      </c>
      <c r="H218" s="174"/>
      <c r="I218" s="178">
        <f>IF(Arbeitszeit!F219=Krank,B_WorkTime*24,)</f>
        <v>0</v>
      </c>
      <c r="J218" s="174"/>
      <c r="K218" s="179"/>
      <c r="L218" s="180"/>
      <c r="M218" s="656"/>
      <c r="N218" s="657"/>
      <c r="O218" s="656"/>
      <c r="P218" s="657"/>
      <c r="Q218" s="656"/>
      <c r="R218" s="657"/>
      <c r="S218" s="656"/>
      <c r="T218" s="657"/>
      <c r="U218" s="656"/>
      <c r="V218" s="657"/>
      <c r="W218" s="656"/>
      <c r="X218" s="657"/>
      <c r="Y218" s="656"/>
      <c r="Z218" s="657"/>
      <c r="AA218" s="656"/>
      <c r="AB218" s="657"/>
      <c r="AC218" s="656"/>
      <c r="AD218" s="657"/>
      <c r="AE218" s="656"/>
      <c r="AF218" s="658"/>
      <c r="AG218" s="656"/>
      <c r="AH218" s="658"/>
      <c r="AI218" s="656"/>
      <c r="AJ218" s="658"/>
      <c r="AK218" s="656"/>
      <c r="AL218" s="658"/>
      <c r="AM218" s="659"/>
      <c r="AN218" s="658"/>
      <c r="AO218" s="656"/>
      <c r="AP218" s="658"/>
      <c r="AQ218" s="659"/>
      <c r="AR218" s="658"/>
      <c r="AS218" s="658"/>
      <c r="AT218" s="658"/>
      <c r="AU218" s="659"/>
      <c r="AV218" s="658"/>
      <c r="AW218" s="658"/>
      <c r="AX218" s="181"/>
      <c r="AY218" s="177"/>
      <c r="AZ218">
        <f ca="1">INDIRECT(ADDRESS(ROW()+1,COLUMN(Arbeitszeit!xDay),,,"Arbeitszeit"))</f>
        <v>4</v>
      </c>
    </row>
    <row r="219" spans="1:52">
      <c r="A219" s="582">
        <f>Arbeitszeit!A220</f>
        <v>41853</v>
      </c>
      <c r="B219" s="583">
        <f t="shared" si="12"/>
        <v>41853</v>
      </c>
      <c r="C219" s="214">
        <f t="shared" si="13"/>
        <v>31</v>
      </c>
      <c r="D219" s="213">
        <f t="shared" si="14"/>
        <v>41851</v>
      </c>
      <c r="E219" s="670">
        <f>Arbeitszeit!U220*24</f>
        <v>0</v>
      </c>
      <c r="F219" s="397">
        <f t="shared" si="15"/>
        <v>0</v>
      </c>
      <c r="G219" s="178">
        <f>IF(Arbeitszeit!F220=Urlaub,B_WorkTime*24,)</f>
        <v>0</v>
      </c>
      <c r="H219" s="174"/>
      <c r="I219" s="178">
        <f>IF(Arbeitszeit!F220=Krank,B_WorkTime*24,)</f>
        <v>0</v>
      </c>
      <c r="J219" s="174"/>
      <c r="K219" s="179"/>
      <c r="L219" s="180"/>
      <c r="M219" s="656"/>
      <c r="N219" s="657"/>
      <c r="O219" s="656"/>
      <c r="P219" s="657"/>
      <c r="Q219" s="656"/>
      <c r="R219" s="657"/>
      <c r="S219" s="656"/>
      <c r="T219" s="657"/>
      <c r="U219" s="656"/>
      <c r="V219" s="657"/>
      <c r="W219" s="656"/>
      <c r="X219" s="657"/>
      <c r="Y219" s="656"/>
      <c r="Z219" s="657"/>
      <c r="AA219" s="656"/>
      <c r="AB219" s="657"/>
      <c r="AC219" s="656"/>
      <c r="AD219" s="657"/>
      <c r="AE219" s="656"/>
      <c r="AF219" s="658"/>
      <c r="AG219" s="656"/>
      <c r="AH219" s="658"/>
      <c r="AI219" s="656"/>
      <c r="AJ219" s="658"/>
      <c r="AK219" s="656"/>
      <c r="AL219" s="658"/>
      <c r="AM219" s="659"/>
      <c r="AN219" s="658"/>
      <c r="AO219" s="656"/>
      <c r="AP219" s="658"/>
      <c r="AQ219" s="659"/>
      <c r="AR219" s="658"/>
      <c r="AS219" s="658"/>
      <c r="AT219" s="658"/>
      <c r="AU219" s="659"/>
      <c r="AV219" s="658"/>
      <c r="AW219" s="658"/>
      <c r="AX219" s="181"/>
      <c r="AY219" s="177"/>
      <c r="AZ219">
        <f ca="1">INDIRECT(ADDRESS(ROW()+1,COLUMN(Arbeitszeit!xDay),,,"Arbeitszeit"))</f>
        <v>5</v>
      </c>
    </row>
    <row r="220" spans="1:52">
      <c r="A220" s="582">
        <f>Arbeitszeit!A221</f>
        <v>41854</v>
      </c>
      <c r="B220" s="583">
        <f t="shared" si="12"/>
        <v>41854</v>
      </c>
      <c r="C220" s="214">
        <f t="shared" si="13"/>
        <v>31</v>
      </c>
      <c r="D220" s="213">
        <f t="shared" si="14"/>
        <v>41851</v>
      </c>
      <c r="E220" s="670">
        <f>Arbeitszeit!U221*24</f>
        <v>0</v>
      </c>
      <c r="F220" s="397">
        <f t="shared" si="15"/>
        <v>0</v>
      </c>
      <c r="G220" s="178">
        <f>IF(Arbeitszeit!F221=Urlaub,B_WorkTime*24,)</f>
        <v>0</v>
      </c>
      <c r="H220" s="174"/>
      <c r="I220" s="178">
        <f>IF(Arbeitszeit!F221=Krank,B_WorkTime*24,)</f>
        <v>0</v>
      </c>
      <c r="J220" s="174"/>
      <c r="K220" s="179"/>
      <c r="L220" s="180"/>
      <c r="M220" s="656"/>
      <c r="N220" s="657"/>
      <c r="O220" s="656"/>
      <c r="P220" s="657"/>
      <c r="Q220" s="656"/>
      <c r="R220" s="657"/>
      <c r="S220" s="656"/>
      <c r="T220" s="657"/>
      <c r="U220" s="656"/>
      <c r="V220" s="657"/>
      <c r="W220" s="656"/>
      <c r="X220" s="657"/>
      <c r="Y220" s="656"/>
      <c r="Z220" s="657"/>
      <c r="AA220" s="656"/>
      <c r="AB220" s="657"/>
      <c r="AC220" s="656"/>
      <c r="AD220" s="657"/>
      <c r="AE220" s="656"/>
      <c r="AF220" s="658"/>
      <c r="AG220" s="656"/>
      <c r="AH220" s="658"/>
      <c r="AI220" s="656"/>
      <c r="AJ220" s="658"/>
      <c r="AK220" s="656"/>
      <c r="AL220" s="658"/>
      <c r="AM220" s="659"/>
      <c r="AN220" s="658"/>
      <c r="AO220" s="656"/>
      <c r="AP220" s="658"/>
      <c r="AQ220" s="659"/>
      <c r="AR220" s="658"/>
      <c r="AS220" s="658"/>
      <c r="AT220" s="658"/>
      <c r="AU220" s="659"/>
      <c r="AV220" s="658"/>
      <c r="AW220" s="658"/>
      <c r="AX220" s="181"/>
      <c r="AY220" s="177"/>
      <c r="AZ220">
        <f ca="1">INDIRECT(ADDRESS(ROW()+1,COLUMN(Arbeitszeit!xDay),,,"Arbeitszeit"))</f>
        <v>6</v>
      </c>
    </row>
    <row r="221" spans="1:52">
      <c r="A221" s="582">
        <f>Arbeitszeit!A222</f>
        <v>41855</v>
      </c>
      <c r="B221" s="583">
        <f t="shared" si="12"/>
        <v>41855</v>
      </c>
      <c r="C221" s="214">
        <f t="shared" si="13"/>
        <v>31</v>
      </c>
      <c r="D221" s="213">
        <f t="shared" si="14"/>
        <v>41851</v>
      </c>
      <c r="E221" s="670">
        <f>Arbeitszeit!U222*24</f>
        <v>0</v>
      </c>
      <c r="F221" s="397">
        <f t="shared" si="15"/>
        <v>0</v>
      </c>
      <c r="G221" s="178">
        <f>IF(Arbeitszeit!F222=Urlaub,B_WorkTime*24,)</f>
        <v>0</v>
      </c>
      <c r="H221" s="174"/>
      <c r="I221" s="178">
        <f>IF(Arbeitszeit!F222=Krank,B_WorkTime*24,)</f>
        <v>0</v>
      </c>
      <c r="J221" s="174"/>
      <c r="K221" s="179"/>
      <c r="L221" s="180"/>
      <c r="M221" s="656"/>
      <c r="N221" s="657"/>
      <c r="O221" s="656"/>
      <c r="P221" s="657"/>
      <c r="Q221" s="656"/>
      <c r="R221" s="657"/>
      <c r="S221" s="656"/>
      <c r="T221" s="657"/>
      <c r="U221" s="656"/>
      <c r="V221" s="657"/>
      <c r="W221" s="656"/>
      <c r="X221" s="657"/>
      <c r="Y221" s="656"/>
      <c r="Z221" s="657"/>
      <c r="AA221" s="656"/>
      <c r="AB221" s="657"/>
      <c r="AC221" s="656"/>
      <c r="AD221" s="657"/>
      <c r="AE221" s="656"/>
      <c r="AF221" s="658"/>
      <c r="AG221" s="656"/>
      <c r="AH221" s="658"/>
      <c r="AI221" s="656"/>
      <c r="AJ221" s="658"/>
      <c r="AK221" s="656"/>
      <c r="AL221" s="658"/>
      <c r="AM221" s="659"/>
      <c r="AN221" s="658"/>
      <c r="AO221" s="656"/>
      <c r="AP221" s="658"/>
      <c r="AQ221" s="659"/>
      <c r="AR221" s="658"/>
      <c r="AS221" s="658"/>
      <c r="AT221" s="658"/>
      <c r="AU221" s="659"/>
      <c r="AV221" s="658"/>
      <c r="AW221" s="658"/>
      <c r="AX221" s="181"/>
      <c r="AY221" s="177"/>
      <c r="AZ221">
        <f ca="1">INDIRECT(ADDRESS(ROW()+1,COLUMN(Arbeitszeit!xDay),,,"Arbeitszeit"))</f>
        <v>7</v>
      </c>
    </row>
    <row r="222" spans="1:52">
      <c r="A222" s="582">
        <f>Arbeitszeit!A223</f>
        <v>41856</v>
      </c>
      <c r="B222" s="583">
        <f t="shared" si="12"/>
        <v>41856</v>
      </c>
      <c r="C222" s="214">
        <f t="shared" si="13"/>
        <v>32</v>
      </c>
      <c r="D222" s="213">
        <f t="shared" si="14"/>
        <v>41851</v>
      </c>
      <c r="E222" s="670">
        <f>Arbeitszeit!U223*24</f>
        <v>0</v>
      </c>
      <c r="F222" s="397">
        <f t="shared" si="15"/>
        <v>0</v>
      </c>
      <c r="G222" s="178">
        <f>IF(Arbeitszeit!F223=Urlaub,B_WorkTime*24,)</f>
        <v>0</v>
      </c>
      <c r="H222" s="174"/>
      <c r="I222" s="178">
        <f>IF(Arbeitszeit!F223=Krank,B_WorkTime*24,)</f>
        <v>0</v>
      </c>
      <c r="J222" s="174"/>
      <c r="K222" s="179"/>
      <c r="L222" s="180"/>
      <c r="M222" s="656"/>
      <c r="N222" s="657"/>
      <c r="O222" s="656"/>
      <c r="P222" s="657"/>
      <c r="Q222" s="656"/>
      <c r="R222" s="657"/>
      <c r="S222" s="656"/>
      <c r="T222" s="657"/>
      <c r="U222" s="656"/>
      <c r="V222" s="657"/>
      <c r="W222" s="656"/>
      <c r="X222" s="657"/>
      <c r="Y222" s="656"/>
      <c r="Z222" s="657"/>
      <c r="AA222" s="656"/>
      <c r="AB222" s="657"/>
      <c r="AC222" s="656"/>
      <c r="AD222" s="657"/>
      <c r="AE222" s="656"/>
      <c r="AF222" s="658"/>
      <c r="AG222" s="656"/>
      <c r="AH222" s="658"/>
      <c r="AI222" s="656"/>
      <c r="AJ222" s="658"/>
      <c r="AK222" s="656"/>
      <c r="AL222" s="658"/>
      <c r="AM222" s="659"/>
      <c r="AN222" s="658"/>
      <c r="AO222" s="656"/>
      <c r="AP222" s="658"/>
      <c r="AQ222" s="659"/>
      <c r="AR222" s="658"/>
      <c r="AS222" s="658"/>
      <c r="AT222" s="658"/>
      <c r="AU222" s="659"/>
      <c r="AV222" s="658"/>
      <c r="AW222" s="658"/>
      <c r="AX222" s="181"/>
      <c r="AY222" s="177"/>
      <c r="AZ222">
        <f ca="1">INDIRECT(ADDRESS(ROW()+1,COLUMN(Arbeitszeit!xDay),,,"Arbeitszeit"))</f>
        <v>1</v>
      </c>
    </row>
    <row r="223" spans="1:52">
      <c r="A223" s="582">
        <f>Arbeitszeit!A224</f>
        <v>41857</v>
      </c>
      <c r="B223" s="583">
        <f t="shared" si="12"/>
        <v>41857</v>
      </c>
      <c r="C223" s="214">
        <f t="shared" si="13"/>
        <v>32</v>
      </c>
      <c r="D223" s="213">
        <f t="shared" si="14"/>
        <v>41851</v>
      </c>
      <c r="E223" s="670">
        <f>Arbeitszeit!U224*24</f>
        <v>0</v>
      </c>
      <c r="F223" s="397">
        <f t="shared" si="15"/>
        <v>0</v>
      </c>
      <c r="G223" s="178">
        <f>IF(Arbeitszeit!F224=Urlaub,B_WorkTime*24,)</f>
        <v>0</v>
      </c>
      <c r="H223" s="174"/>
      <c r="I223" s="178">
        <f>IF(Arbeitszeit!F224=Krank,B_WorkTime*24,)</f>
        <v>0</v>
      </c>
      <c r="J223" s="174"/>
      <c r="K223" s="179"/>
      <c r="L223" s="180"/>
      <c r="M223" s="656"/>
      <c r="N223" s="657"/>
      <c r="O223" s="656"/>
      <c r="P223" s="657"/>
      <c r="Q223" s="656"/>
      <c r="R223" s="657"/>
      <c r="S223" s="656"/>
      <c r="T223" s="657"/>
      <c r="U223" s="656"/>
      <c r="V223" s="657"/>
      <c r="W223" s="656"/>
      <c r="X223" s="657"/>
      <c r="Y223" s="656"/>
      <c r="Z223" s="657"/>
      <c r="AA223" s="656"/>
      <c r="AB223" s="657"/>
      <c r="AC223" s="656"/>
      <c r="AD223" s="657"/>
      <c r="AE223" s="656"/>
      <c r="AF223" s="658"/>
      <c r="AG223" s="656"/>
      <c r="AH223" s="658"/>
      <c r="AI223" s="656"/>
      <c r="AJ223" s="658"/>
      <c r="AK223" s="656"/>
      <c r="AL223" s="658"/>
      <c r="AM223" s="659"/>
      <c r="AN223" s="658"/>
      <c r="AO223" s="656"/>
      <c r="AP223" s="658"/>
      <c r="AQ223" s="659"/>
      <c r="AR223" s="658"/>
      <c r="AS223" s="658"/>
      <c r="AT223" s="658"/>
      <c r="AU223" s="659"/>
      <c r="AV223" s="658"/>
      <c r="AW223" s="658"/>
      <c r="AX223" s="181"/>
      <c r="AY223" s="177"/>
      <c r="AZ223">
        <f ca="1">INDIRECT(ADDRESS(ROW()+1,COLUMN(Arbeitszeit!xDay),,,"Arbeitszeit"))</f>
        <v>2</v>
      </c>
    </row>
    <row r="224" spans="1:52">
      <c r="A224" s="582">
        <f>Arbeitszeit!A225</f>
        <v>41858</v>
      </c>
      <c r="B224" s="583">
        <f t="shared" si="12"/>
        <v>41858</v>
      </c>
      <c r="C224" s="214">
        <f t="shared" si="13"/>
        <v>32</v>
      </c>
      <c r="D224" s="213">
        <f t="shared" si="14"/>
        <v>41851</v>
      </c>
      <c r="E224" s="670">
        <f>Arbeitszeit!U225*24</f>
        <v>0</v>
      </c>
      <c r="F224" s="397">
        <f t="shared" si="15"/>
        <v>0</v>
      </c>
      <c r="G224" s="178">
        <f>IF(Arbeitszeit!F225=Urlaub,B_WorkTime*24,)</f>
        <v>0</v>
      </c>
      <c r="H224" s="174"/>
      <c r="I224" s="178">
        <f>IF(Arbeitszeit!F225=Krank,B_WorkTime*24,)</f>
        <v>0</v>
      </c>
      <c r="J224" s="174"/>
      <c r="K224" s="179"/>
      <c r="L224" s="180"/>
      <c r="M224" s="656"/>
      <c r="N224" s="657"/>
      <c r="O224" s="656"/>
      <c r="P224" s="657"/>
      <c r="Q224" s="656"/>
      <c r="R224" s="657"/>
      <c r="S224" s="656"/>
      <c r="T224" s="657"/>
      <c r="U224" s="656"/>
      <c r="V224" s="657"/>
      <c r="W224" s="656"/>
      <c r="X224" s="657"/>
      <c r="Y224" s="656"/>
      <c r="Z224" s="657"/>
      <c r="AA224" s="656"/>
      <c r="AB224" s="657"/>
      <c r="AC224" s="656"/>
      <c r="AD224" s="657"/>
      <c r="AE224" s="656"/>
      <c r="AF224" s="658"/>
      <c r="AG224" s="656"/>
      <c r="AH224" s="658"/>
      <c r="AI224" s="656"/>
      <c r="AJ224" s="658"/>
      <c r="AK224" s="656"/>
      <c r="AL224" s="658"/>
      <c r="AM224" s="659"/>
      <c r="AN224" s="658"/>
      <c r="AO224" s="656"/>
      <c r="AP224" s="658"/>
      <c r="AQ224" s="659"/>
      <c r="AR224" s="658"/>
      <c r="AS224" s="658"/>
      <c r="AT224" s="658"/>
      <c r="AU224" s="659"/>
      <c r="AV224" s="658"/>
      <c r="AW224" s="658"/>
      <c r="AX224" s="181"/>
      <c r="AY224" s="177"/>
      <c r="AZ224">
        <f ca="1">INDIRECT(ADDRESS(ROW()+1,COLUMN(Arbeitszeit!xDay),,,"Arbeitszeit"))</f>
        <v>3</v>
      </c>
    </row>
    <row r="225" spans="1:52">
      <c r="A225" s="582">
        <f>Arbeitszeit!A226</f>
        <v>41859</v>
      </c>
      <c r="B225" s="583">
        <f t="shared" si="12"/>
        <v>41859</v>
      </c>
      <c r="C225" s="214">
        <f t="shared" si="13"/>
        <v>32</v>
      </c>
      <c r="D225" s="213">
        <f t="shared" si="14"/>
        <v>41851</v>
      </c>
      <c r="E225" s="670">
        <f>Arbeitszeit!U226*24</f>
        <v>0</v>
      </c>
      <c r="F225" s="397">
        <f t="shared" si="15"/>
        <v>0</v>
      </c>
      <c r="G225" s="178">
        <f>IF(Arbeitszeit!F226=Urlaub,B_WorkTime*24,)</f>
        <v>0</v>
      </c>
      <c r="H225" s="174"/>
      <c r="I225" s="178">
        <f>IF(Arbeitszeit!F226=Krank,B_WorkTime*24,)</f>
        <v>0</v>
      </c>
      <c r="J225" s="174"/>
      <c r="K225" s="179"/>
      <c r="L225" s="180"/>
      <c r="M225" s="656"/>
      <c r="N225" s="657"/>
      <c r="O225" s="656"/>
      <c r="P225" s="657"/>
      <c r="Q225" s="656"/>
      <c r="R225" s="657"/>
      <c r="S225" s="656"/>
      <c r="T225" s="657"/>
      <c r="U225" s="656"/>
      <c r="V225" s="657"/>
      <c r="W225" s="656"/>
      <c r="X225" s="657"/>
      <c r="Y225" s="656"/>
      <c r="Z225" s="657"/>
      <c r="AA225" s="656"/>
      <c r="AB225" s="657"/>
      <c r="AC225" s="656"/>
      <c r="AD225" s="657"/>
      <c r="AE225" s="656"/>
      <c r="AF225" s="658"/>
      <c r="AG225" s="656"/>
      <c r="AH225" s="658"/>
      <c r="AI225" s="656"/>
      <c r="AJ225" s="658"/>
      <c r="AK225" s="656"/>
      <c r="AL225" s="658"/>
      <c r="AM225" s="659"/>
      <c r="AN225" s="658"/>
      <c r="AO225" s="656"/>
      <c r="AP225" s="658"/>
      <c r="AQ225" s="659"/>
      <c r="AR225" s="658"/>
      <c r="AS225" s="658"/>
      <c r="AT225" s="658"/>
      <c r="AU225" s="659"/>
      <c r="AV225" s="658"/>
      <c r="AW225" s="658"/>
      <c r="AX225" s="181"/>
      <c r="AY225" s="177"/>
      <c r="AZ225">
        <f ca="1">INDIRECT(ADDRESS(ROW()+1,COLUMN(Arbeitszeit!xDay),,,"Arbeitszeit"))</f>
        <v>4</v>
      </c>
    </row>
    <row r="226" spans="1:52">
      <c r="A226" s="582">
        <f>Arbeitszeit!A227</f>
        <v>41860</v>
      </c>
      <c r="B226" s="583">
        <f t="shared" si="12"/>
        <v>41860</v>
      </c>
      <c r="C226" s="214">
        <f t="shared" si="13"/>
        <v>32</v>
      </c>
      <c r="D226" s="213">
        <f t="shared" si="14"/>
        <v>41851</v>
      </c>
      <c r="E226" s="670">
        <f>Arbeitszeit!U227*24</f>
        <v>0</v>
      </c>
      <c r="F226" s="397">
        <f t="shared" si="15"/>
        <v>0</v>
      </c>
      <c r="G226" s="178">
        <f>IF(Arbeitszeit!F227=Urlaub,B_WorkTime*24,)</f>
        <v>0</v>
      </c>
      <c r="H226" s="174"/>
      <c r="I226" s="178">
        <f>IF(Arbeitszeit!F227=Krank,B_WorkTime*24,)</f>
        <v>0</v>
      </c>
      <c r="J226" s="174"/>
      <c r="K226" s="179"/>
      <c r="L226" s="180"/>
      <c r="M226" s="656"/>
      <c r="N226" s="657"/>
      <c r="O226" s="656"/>
      <c r="P226" s="657"/>
      <c r="Q226" s="656"/>
      <c r="R226" s="657"/>
      <c r="S226" s="656"/>
      <c r="T226" s="657"/>
      <c r="U226" s="656"/>
      <c r="V226" s="657"/>
      <c r="W226" s="656"/>
      <c r="X226" s="657"/>
      <c r="Y226" s="656"/>
      <c r="Z226" s="657"/>
      <c r="AA226" s="656"/>
      <c r="AB226" s="657"/>
      <c r="AC226" s="656"/>
      <c r="AD226" s="657"/>
      <c r="AE226" s="656"/>
      <c r="AF226" s="658"/>
      <c r="AG226" s="656"/>
      <c r="AH226" s="658"/>
      <c r="AI226" s="656"/>
      <c r="AJ226" s="658"/>
      <c r="AK226" s="656"/>
      <c r="AL226" s="658"/>
      <c r="AM226" s="659"/>
      <c r="AN226" s="658"/>
      <c r="AO226" s="656"/>
      <c r="AP226" s="658"/>
      <c r="AQ226" s="659"/>
      <c r="AR226" s="658"/>
      <c r="AS226" s="658"/>
      <c r="AT226" s="658"/>
      <c r="AU226" s="659"/>
      <c r="AV226" s="658"/>
      <c r="AW226" s="658"/>
      <c r="AX226" s="181"/>
      <c r="AY226" s="177"/>
      <c r="AZ226">
        <f ca="1">INDIRECT(ADDRESS(ROW()+1,COLUMN(Arbeitszeit!xDay),,,"Arbeitszeit"))</f>
        <v>5</v>
      </c>
    </row>
    <row r="227" spans="1:52">
      <c r="A227" s="582">
        <f>Arbeitszeit!A228</f>
        <v>41861</v>
      </c>
      <c r="B227" s="583">
        <f t="shared" si="12"/>
        <v>41861</v>
      </c>
      <c r="C227" s="214">
        <f t="shared" si="13"/>
        <v>32</v>
      </c>
      <c r="D227" s="213">
        <f t="shared" si="14"/>
        <v>41851</v>
      </c>
      <c r="E227" s="670">
        <f>Arbeitszeit!U228*24</f>
        <v>0</v>
      </c>
      <c r="F227" s="397">
        <f t="shared" si="15"/>
        <v>0</v>
      </c>
      <c r="G227" s="178">
        <f>IF(Arbeitszeit!F228=Urlaub,B_WorkTime*24,)</f>
        <v>0</v>
      </c>
      <c r="H227" s="174"/>
      <c r="I227" s="178">
        <f>IF(Arbeitszeit!F228=Krank,B_WorkTime*24,)</f>
        <v>0</v>
      </c>
      <c r="J227" s="174"/>
      <c r="K227" s="179"/>
      <c r="L227" s="180"/>
      <c r="M227" s="656"/>
      <c r="N227" s="657"/>
      <c r="O227" s="656"/>
      <c r="P227" s="657"/>
      <c r="Q227" s="656"/>
      <c r="R227" s="657"/>
      <c r="S227" s="656"/>
      <c r="T227" s="657"/>
      <c r="U227" s="656"/>
      <c r="V227" s="657"/>
      <c r="W227" s="656"/>
      <c r="X227" s="657"/>
      <c r="Y227" s="656"/>
      <c r="Z227" s="657"/>
      <c r="AA227" s="656"/>
      <c r="AB227" s="657"/>
      <c r="AC227" s="656"/>
      <c r="AD227" s="657"/>
      <c r="AE227" s="656"/>
      <c r="AF227" s="658"/>
      <c r="AG227" s="656"/>
      <c r="AH227" s="658"/>
      <c r="AI227" s="656"/>
      <c r="AJ227" s="658"/>
      <c r="AK227" s="656"/>
      <c r="AL227" s="658"/>
      <c r="AM227" s="659"/>
      <c r="AN227" s="658"/>
      <c r="AO227" s="656"/>
      <c r="AP227" s="658"/>
      <c r="AQ227" s="659"/>
      <c r="AR227" s="658"/>
      <c r="AS227" s="658"/>
      <c r="AT227" s="658"/>
      <c r="AU227" s="659"/>
      <c r="AV227" s="658"/>
      <c r="AW227" s="658"/>
      <c r="AX227" s="181"/>
      <c r="AY227" s="177"/>
      <c r="AZ227">
        <f ca="1">INDIRECT(ADDRESS(ROW()+1,COLUMN(Arbeitszeit!xDay),,,"Arbeitszeit"))</f>
        <v>6</v>
      </c>
    </row>
    <row r="228" spans="1:52">
      <c r="A228" s="582">
        <f>Arbeitszeit!A229</f>
        <v>41862</v>
      </c>
      <c r="B228" s="583">
        <f t="shared" si="12"/>
        <v>41862</v>
      </c>
      <c r="C228" s="214">
        <f t="shared" si="13"/>
        <v>32</v>
      </c>
      <c r="D228" s="213">
        <f t="shared" si="14"/>
        <v>41851</v>
      </c>
      <c r="E228" s="670">
        <f>Arbeitszeit!U229*24</f>
        <v>0</v>
      </c>
      <c r="F228" s="397">
        <f t="shared" si="15"/>
        <v>0</v>
      </c>
      <c r="G228" s="178">
        <f>IF(Arbeitszeit!F229=Urlaub,B_WorkTime*24,)</f>
        <v>0</v>
      </c>
      <c r="H228" s="174"/>
      <c r="I228" s="178">
        <f>IF(Arbeitszeit!F229=Krank,B_WorkTime*24,)</f>
        <v>0</v>
      </c>
      <c r="J228" s="174"/>
      <c r="K228" s="179"/>
      <c r="L228" s="180"/>
      <c r="M228" s="656"/>
      <c r="N228" s="657"/>
      <c r="O228" s="656"/>
      <c r="P228" s="657"/>
      <c r="Q228" s="656"/>
      <c r="R228" s="657"/>
      <c r="S228" s="656"/>
      <c r="T228" s="657"/>
      <c r="U228" s="656"/>
      <c r="V228" s="657"/>
      <c r="W228" s="656"/>
      <c r="X228" s="657"/>
      <c r="Y228" s="656"/>
      <c r="Z228" s="657"/>
      <c r="AA228" s="656"/>
      <c r="AB228" s="657"/>
      <c r="AC228" s="656"/>
      <c r="AD228" s="657"/>
      <c r="AE228" s="656"/>
      <c r="AF228" s="658"/>
      <c r="AG228" s="656"/>
      <c r="AH228" s="658"/>
      <c r="AI228" s="656"/>
      <c r="AJ228" s="658"/>
      <c r="AK228" s="656"/>
      <c r="AL228" s="658"/>
      <c r="AM228" s="659"/>
      <c r="AN228" s="658"/>
      <c r="AO228" s="656"/>
      <c r="AP228" s="658"/>
      <c r="AQ228" s="659"/>
      <c r="AR228" s="658"/>
      <c r="AS228" s="658"/>
      <c r="AT228" s="658"/>
      <c r="AU228" s="659"/>
      <c r="AV228" s="658"/>
      <c r="AW228" s="658"/>
      <c r="AX228" s="181"/>
      <c r="AY228" s="177"/>
      <c r="AZ228">
        <f ca="1">INDIRECT(ADDRESS(ROW()+1,COLUMN(Arbeitszeit!xDay),,,"Arbeitszeit"))</f>
        <v>7</v>
      </c>
    </row>
    <row r="229" spans="1:52">
      <c r="A229" s="582">
        <f>Arbeitszeit!A230</f>
        <v>41863</v>
      </c>
      <c r="B229" s="583">
        <f t="shared" si="12"/>
        <v>41863</v>
      </c>
      <c r="C229" s="214">
        <f t="shared" si="13"/>
        <v>33</v>
      </c>
      <c r="D229" s="213">
        <f t="shared" si="14"/>
        <v>41851</v>
      </c>
      <c r="E229" s="670">
        <f>Arbeitszeit!U230*24</f>
        <v>0</v>
      </c>
      <c r="F229" s="397">
        <f t="shared" si="15"/>
        <v>0</v>
      </c>
      <c r="G229" s="178">
        <f>IF(Arbeitszeit!F230=Urlaub,B_WorkTime*24,)</f>
        <v>0</v>
      </c>
      <c r="H229" s="174"/>
      <c r="I229" s="178">
        <f>IF(Arbeitszeit!F230=Krank,B_WorkTime*24,)</f>
        <v>0</v>
      </c>
      <c r="J229" s="174"/>
      <c r="K229" s="179"/>
      <c r="L229" s="180"/>
      <c r="M229" s="656"/>
      <c r="N229" s="657"/>
      <c r="O229" s="656"/>
      <c r="P229" s="657"/>
      <c r="Q229" s="656"/>
      <c r="R229" s="657"/>
      <c r="S229" s="656"/>
      <c r="T229" s="657"/>
      <c r="U229" s="656"/>
      <c r="V229" s="657"/>
      <c r="W229" s="656"/>
      <c r="X229" s="657"/>
      <c r="Y229" s="656"/>
      <c r="Z229" s="657"/>
      <c r="AA229" s="656"/>
      <c r="AB229" s="657"/>
      <c r="AC229" s="656"/>
      <c r="AD229" s="657"/>
      <c r="AE229" s="656"/>
      <c r="AF229" s="658"/>
      <c r="AG229" s="656"/>
      <c r="AH229" s="658"/>
      <c r="AI229" s="656"/>
      <c r="AJ229" s="658"/>
      <c r="AK229" s="656"/>
      <c r="AL229" s="658"/>
      <c r="AM229" s="659"/>
      <c r="AN229" s="658"/>
      <c r="AO229" s="656"/>
      <c r="AP229" s="658"/>
      <c r="AQ229" s="659"/>
      <c r="AR229" s="658"/>
      <c r="AS229" s="658"/>
      <c r="AT229" s="658"/>
      <c r="AU229" s="659"/>
      <c r="AV229" s="658"/>
      <c r="AW229" s="658"/>
      <c r="AX229" s="181"/>
      <c r="AY229" s="177"/>
      <c r="AZ229">
        <f ca="1">INDIRECT(ADDRESS(ROW()+1,COLUMN(Arbeitszeit!xDay),,,"Arbeitszeit"))</f>
        <v>1</v>
      </c>
    </row>
    <row r="230" spans="1:52">
      <c r="A230" s="582">
        <f>Arbeitszeit!A231</f>
        <v>41864</v>
      </c>
      <c r="B230" s="583">
        <f t="shared" si="12"/>
        <v>41864</v>
      </c>
      <c r="C230" s="214">
        <f t="shared" si="13"/>
        <v>33</v>
      </c>
      <c r="D230" s="213">
        <f t="shared" si="14"/>
        <v>41851</v>
      </c>
      <c r="E230" s="670">
        <f>Arbeitszeit!U231*24</f>
        <v>0</v>
      </c>
      <c r="F230" s="397">
        <f t="shared" si="15"/>
        <v>0</v>
      </c>
      <c r="G230" s="178">
        <f>IF(Arbeitszeit!F231=Urlaub,B_WorkTime*24,)</f>
        <v>0</v>
      </c>
      <c r="H230" s="174"/>
      <c r="I230" s="178">
        <f>IF(Arbeitszeit!F231=Krank,B_WorkTime*24,)</f>
        <v>0</v>
      </c>
      <c r="J230" s="174"/>
      <c r="K230" s="179"/>
      <c r="L230" s="180"/>
      <c r="M230" s="656"/>
      <c r="N230" s="657"/>
      <c r="O230" s="656"/>
      <c r="P230" s="657"/>
      <c r="Q230" s="656"/>
      <c r="R230" s="657"/>
      <c r="S230" s="656"/>
      <c r="T230" s="657"/>
      <c r="U230" s="656"/>
      <c r="V230" s="657"/>
      <c r="W230" s="656"/>
      <c r="X230" s="657"/>
      <c r="Y230" s="656"/>
      <c r="Z230" s="657"/>
      <c r="AA230" s="656"/>
      <c r="AB230" s="657"/>
      <c r="AC230" s="656"/>
      <c r="AD230" s="657"/>
      <c r="AE230" s="656"/>
      <c r="AF230" s="658"/>
      <c r="AG230" s="656"/>
      <c r="AH230" s="658"/>
      <c r="AI230" s="656"/>
      <c r="AJ230" s="658"/>
      <c r="AK230" s="656"/>
      <c r="AL230" s="658"/>
      <c r="AM230" s="659"/>
      <c r="AN230" s="658"/>
      <c r="AO230" s="656"/>
      <c r="AP230" s="658"/>
      <c r="AQ230" s="659"/>
      <c r="AR230" s="658"/>
      <c r="AS230" s="658"/>
      <c r="AT230" s="658"/>
      <c r="AU230" s="659"/>
      <c r="AV230" s="658"/>
      <c r="AW230" s="658"/>
      <c r="AX230" s="181"/>
      <c r="AY230" s="177"/>
      <c r="AZ230">
        <f ca="1">INDIRECT(ADDRESS(ROW()+1,COLUMN(Arbeitszeit!xDay),,,"Arbeitszeit"))</f>
        <v>2</v>
      </c>
    </row>
    <row r="231" spans="1:52" s="5" customFormat="1">
      <c r="A231" s="582">
        <f>Arbeitszeit!A232</f>
        <v>41865</v>
      </c>
      <c r="B231" s="583">
        <f t="shared" si="12"/>
        <v>41865</v>
      </c>
      <c r="C231" s="214">
        <f t="shared" si="13"/>
        <v>33</v>
      </c>
      <c r="D231" s="213">
        <f t="shared" si="14"/>
        <v>41851</v>
      </c>
      <c r="E231" s="670">
        <f>Arbeitszeit!U232*24</f>
        <v>0</v>
      </c>
      <c r="F231" s="397">
        <f t="shared" si="15"/>
        <v>0</v>
      </c>
      <c r="G231" s="178">
        <f>IF(Arbeitszeit!F232=Urlaub,B_WorkTime*24,)</f>
        <v>0</v>
      </c>
      <c r="H231" s="174"/>
      <c r="I231" s="178">
        <f>IF(Arbeitszeit!F232=Krank,B_WorkTime*24,)</f>
        <v>0</v>
      </c>
      <c r="J231" s="174"/>
      <c r="K231" s="179"/>
      <c r="L231" s="180"/>
      <c r="M231" s="656"/>
      <c r="N231" s="657"/>
      <c r="O231" s="656"/>
      <c r="P231" s="657"/>
      <c r="Q231" s="656"/>
      <c r="R231" s="657"/>
      <c r="S231" s="656"/>
      <c r="T231" s="657"/>
      <c r="U231" s="656"/>
      <c r="V231" s="657"/>
      <c r="W231" s="656"/>
      <c r="X231" s="657"/>
      <c r="Y231" s="656"/>
      <c r="Z231" s="657"/>
      <c r="AA231" s="656"/>
      <c r="AB231" s="657"/>
      <c r="AC231" s="656"/>
      <c r="AD231" s="657"/>
      <c r="AE231" s="656"/>
      <c r="AF231" s="658"/>
      <c r="AG231" s="656"/>
      <c r="AH231" s="658"/>
      <c r="AI231" s="656"/>
      <c r="AJ231" s="658"/>
      <c r="AK231" s="656"/>
      <c r="AL231" s="658"/>
      <c r="AM231" s="659"/>
      <c r="AN231" s="658"/>
      <c r="AO231" s="656"/>
      <c r="AP231" s="658"/>
      <c r="AQ231" s="659"/>
      <c r="AR231" s="658"/>
      <c r="AS231" s="658"/>
      <c r="AT231" s="658"/>
      <c r="AU231" s="659"/>
      <c r="AV231" s="658"/>
      <c r="AW231" s="658"/>
      <c r="AX231" s="181"/>
      <c r="AY231" s="177"/>
      <c r="AZ231">
        <f ca="1">INDIRECT(ADDRESS(ROW()+1,COLUMN(Arbeitszeit!xDay),,,"Arbeitszeit"))</f>
        <v>3</v>
      </c>
    </row>
    <row r="232" spans="1:52">
      <c r="A232" s="582">
        <f>Arbeitszeit!A233</f>
        <v>41866</v>
      </c>
      <c r="B232" s="583">
        <f t="shared" si="12"/>
        <v>41866</v>
      </c>
      <c r="C232" s="214">
        <f t="shared" si="13"/>
        <v>33</v>
      </c>
      <c r="D232" s="213">
        <f t="shared" si="14"/>
        <v>41851</v>
      </c>
      <c r="E232" s="670">
        <f>Arbeitszeit!U233*24</f>
        <v>0</v>
      </c>
      <c r="F232" s="397">
        <f t="shared" si="15"/>
        <v>0</v>
      </c>
      <c r="G232" s="178">
        <f>IF(Arbeitszeit!F233=Urlaub,B_WorkTime*24,)</f>
        <v>0</v>
      </c>
      <c r="H232" s="174"/>
      <c r="I232" s="178">
        <f>IF(Arbeitszeit!F233=Krank,B_WorkTime*24,)</f>
        <v>0</v>
      </c>
      <c r="J232" s="174"/>
      <c r="K232" s="179"/>
      <c r="L232" s="180"/>
      <c r="M232" s="656"/>
      <c r="N232" s="657"/>
      <c r="O232" s="656"/>
      <c r="P232" s="657"/>
      <c r="Q232" s="656"/>
      <c r="R232" s="657"/>
      <c r="S232" s="656"/>
      <c r="T232" s="657"/>
      <c r="U232" s="656"/>
      <c r="V232" s="657"/>
      <c r="W232" s="656"/>
      <c r="X232" s="657"/>
      <c r="Y232" s="656"/>
      <c r="Z232" s="657"/>
      <c r="AA232" s="656"/>
      <c r="AB232" s="657"/>
      <c r="AC232" s="656"/>
      <c r="AD232" s="657"/>
      <c r="AE232" s="656"/>
      <c r="AF232" s="658"/>
      <c r="AG232" s="656"/>
      <c r="AH232" s="658"/>
      <c r="AI232" s="656"/>
      <c r="AJ232" s="658"/>
      <c r="AK232" s="656"/>
      <c r="AL232" s="658"/>
      <c r="AM232" s="659"/>
      <c r="AN232" s="658"/>
      <c r="AO232" s="656"/>
      <c r="AP232" s="658"/>
      <c r="AQ232" s="659"/>
      <c r="AR232" s="658"/>
      <c r="AS232" s="658"/>
      <c r="AT232" s="658"/>
      <c r="AU232" s="659"/>
      <c r="AV232" s="658"/>
      <c r="AW232" s="658"/>
      <c r="AX232" s="181"/>
      <c r="AY232" s="177"/>
      <c r="AZ232">
        <f ca="1">INDIRECT(ADDRESS(ROW()+1,COLUMN(Arbeitszeit!xDay),,,"Arbeitszeit"))</f>
        <v>4</v>
      </c>
    </row>
    <row r="233" spans="1:52">
      <c r="A233" s="582">
        <f>Arbeitszeit!A234</f>
        <v>41867</v>
      </c>
      <c r="B233" s="583">
        <f t="shared" si="12"/>
        <v>41867</v>
      </c>
      <c r="C233" s="214">
        <f t="shared" si="13"/>
        <v>33</v>
      </c>
      <c r="D233" s="213">
        <f t="shared" si="14"/>
        <v>41851</v>
      </c>
      <c r="E233" s="670">
        <f>Arbeitszeit!U234*24</f>
        <v>0</v>
      </c>
      <c r="F233" s="397">
        <f t="shared" si="15"/>
        <v>0</v>
      </c>
      <c r="G233" s="178">
        <f>IF(Arbeitszeit!F234=Urlaub,B_WorkTime*24,)</f>
        <v>0</v>
      </c>
      <c r="H233" s="174"/>
      <c r="I233" s="178">
        <f>IF(Arbeitszeit!F234=Krank,B_WorkTime*24,)</f>
        <v>0</v>
      </c>
      <c r="J233" s="174"/>
      <c r="K233" s="179"/>
      <c r="L233" s="180"/>
      <c r="M233" s="656"/>
      <c r="N233" s="657"/>
      <c r="O233" s="656"/>
      <c r="P233" s="657"/>
      <c r="Q233" s="656"/>
      <c r="R233" s="657"/>
      <c r="S233" s="656"/>
      <c r="T233" s="657"/>
      <c r="U233" s="656"/>
      <c r="V233" s="657"/>
      <c r="W233" s="656"/>
      <c r="X233" s="657"/>
      <c r="Y233" s="656"/>
      <c r="Z233" s="657"/>
      <c r="AA233" s="656"/>
      <c r="AB233" s="657"/>
      <c r="AC233" s="656"/>
      <c r="AD233" s="657"/>
      <c r="AE233" s="656"/>
      <c r="AF233" s="658"/>
      <c r="AG233" s="656"/>
      <c r="AH233" s="658"/>
      <c r="AI233" s="656"/>
      <c r="AJ233" s="658"/>
      <c r="AK233" s="656"/>
      <c r="AL233" s="658"/>
      <c r="AM233" s="659"/>
      <c r="AN233" s="658"/>
      <c r="AO233" s="656"/>
      <c r="AP233" s="658"/>
      <c r="AQ233" s="659"/>
      <c r="AR233" s="658"/>
      <c r="AS233" s="658"/>
      <c r="AT233" s="658"/>
      <c r="AU233" s="659"/>
      <c r="AV233" s="658"/>
      <c r="AW233" s="658"/>
      <c r="AX233" s="181"/>
      <c r="AY233" s="177"/>
      <c r="AZ233">
        <f ca="1">INDIRECT(ADDRESS(ROW()+1,COLUMN(Arbeitszeit!xDay),,,"Arbeitszeit"))</f>
        <v>5</v>
      </c>
    </row>
    <row r="234" spans="1:52">
      <c r="A234" s="582">
        <f>Arbeitszeit!A235</f>
        <v>41868</v>
      </c>
      <c r="B234" s="583">
        <f t="shared" si="12"/>
        <v>41868</v>
      </c>
      <c r="C234" s="214">
        <f t="shared" si="13"/>
        <v>33</v>
      </c>
      <c r="D234" s="213">
        <f t="shared" si="14"/>
        <v>41851</v>
      </c>
      <c r="E234" s="670">
        <f>Arbeitszeit!U235*24</f>
        <v>0</v>
      </c>
      <c r="F234" s="397">
        <f t="shared" si="15"/>
        <v>0</v>
      </c>
      <c r="G234" s="178">
        <f>IF(Arbeitszeit!F235=Urlaub,B_WorkTime*24,)</f>
        <v>0</v>
      </c>
      <c r="H234" s="174"/>
      <c r="I234" s="178">
        <f>IF(Arbeitszeit!F235=Krank,B_WorkTime*24,)</f>
        <v>0</v>
      </c>
      <c r="J234" s="174"/>
      <c r="K234" s="179"/>
      <c r="L234" s="180"/>
      <c r="M234" s="656"/>
      <c r="N234" s="657"/>
      <c r="O234" s="656"/>
      <c r="P234" s="657"/>
      <c r="Q234" s="656"/>
      <c r="R234" s="657"/>
      <c r="S234" s="656"/>
      <c r="T234" s="657"/>
      <c r="U234" s="656"/>
      <c r="V234" s="657"/>
      <c r="W234" s="656"/>
      <c r="X234" s="657"/>
      <c r="Y234" s="656"/>
      <c r="Z234" s="657"/>
      <c r="AA234" s="656"/>
      <c r="AB234" s="657"/>
      <c r="AC234" s="656"/>
      <c r="AD234" s="657"/>
      <c r="AE234" s="656"/>
      <c r="AF234" s="658"/>
      <c r="AG234" s="656"/>
      <c r="AH234" s="658"/>
      <c r="AI234" s="656"/>
      <c r="AJ234" s="658"/>
      <c r="AK234" s="656"/>
      <c r="AL234" s="658"/>
      <c r="AM234" s="659"/>
      <c r="AN234" s="658"/>
      <c r="AO234" s="656"/>
      <c r="AP234" s="658"/>
      <c r="AQ234" s="659"/>
      <c r="AR234" s="658"/>
      <c r="AS234" s="658"/>
      <c r="AT234" s="658"/>
      <c r="AU234" s="659"/>
      <c r="AV234" s="658"/>
      <c r="AW234" s="658"/>
      <c r="AX234" s="181"/>
      <c r="AY234" s="177"/>
      <c r="AZ234">
        <f ca="1">INDIRECT(ADDRESS(ROW()+1,COLUMN(Arbeitszeit!xDay),,,"Arbeitszeit"))</f>
        <v>6</v>
      </c>
    </row>
    <row r="235" spans="1:52">
      <c r="A235" s="582">
        <f>Arbeitszeit!A236</f>
        <v>41869</v>
      </c>
      <c r="B235" s="583">
        <f t="shared" si="12"/>
        <v>41869</v>
      </c>
      <c r="C235" s="214">
        <f t="shared" si="13"/>
        <v>33</v>
      </c>
      <c r="D235" s="213">
        <f t="shared" si="14"/>
        <v>41851</v>
      </c>
      <c r="E235" s="670">
        <f>Arbeitszeit!U236*24</f>
        <v>0</v>
      </c>
      <c r="F235" s="397">
        <f t="shared" si="15"/>
        <v>0</v>
      </c>
      <c r="G235" s="178">
        <f>IF(Arbeitszeit!F236=Urlaub,B_WorkTime*24,)</f>
        <v>0</v>
      </c>
      <c r="H235" s="174"/>
      <c r="I235" s="178">
        <f>IF(Arbeitszeit!F236=Krank,B_WorkTime*24,)</f>
        <v>0</v>
      </c>
      <c r="J235" s="174"/>
      <c r="K235" s="179"/>
      <c r="L235" s="180"/>
      <c r="M235" s="656"/>
      <c r="N235" s="657"/>
      <c r="O235" s="656"/>
      <c r="P235" s="657"/>
      <c r="Q235" s="656"/>
      <c r="R235" s="657"/>
      <c r="S235" s="656"/>
      <c r="T235" s="657"/>
      <c r="U235" s="656"/>
      <c r="V235" s="657"/>
      <c r="W235" s="656"/>
      <c r="X235" s="657"/>
      <c r="Y235" s="656"/>
      <c r="Z235" s="657"/>
      <c r="AA235" s="656"/>
      <c r="AB235" s="657"/>
      <c r="AC235" s="656"/>
      <c r="AD235" s="657"/>
      <c r="AE235" s="656"/>
      <c r="AF235" s="658"/>
      <c r="AG235" s="656"/>
      <c r="AH235" s="658"/>
      <c r="AI235" s="656"/>
      <c r="AJ235" s="658"/>
      <c r="AK235" s="656"/>
      <c r="AL235" s="658"/>
      <c r="AM235" s="659"/>
      <c r="AN235" s="658"/>
      <c r="AO235" s="656"/>
      <c r="AP235" s="658"/>
      <c r="AQ235" s="659"/>
      <c r="AR235" s="658"/>
      <c r="AS235" s="658"/>
      <c r="AT235" s="658"/>
      <c r="AU235" s="659"/>
      <c r="AV235" s="658"/>
      <c r="AW235" s="658"/>
      <c r="AX235" s="181"/>
      <c r="AY235" s="177"/>
      <c r="AZ235">
        <f ca="1">INDIRECT(ADDRESS(ROW()+1,COLUMN(Arbeitszeit!xDay),,,"Arbeitszeit"))</f>
        <v>7</v>
      </c>
    </row>
    <row r="236" spans="1:52">
      <c r="A236" s="582">
        <f>Arbeitszeit!A237</f>
        <v>41870</v>
      </c>
      <c r="B236" s="583">
        <f t="shared" si="12"/>
        <v>41870</v>
      </c>
      <c r="C236" s="214">
        <f t="shared" si="13"/>
        <v>34</v>
      </c>
      <c r="D236" s="213">
        <f t="shared" si="14"/>
        <v>41851</v>
      </c>
      <c r="E236" s="670">
        <f>Arbeitszeit!U237*24</f>
        <v>0</v>
      </c>
      <c r="F236" s="397">
        <f t="shared" si="15"/>
        <v>0</v>
      </c>
      <c r="G236" s="178">
        <f>IF(Arbeitszeit!F237=Urlaub,B_WorkTime*24,)</f>
        <v>0</v>
      </c>
      <c r="H236" s="174"/>
      <c r="I236" s="178">
        <f>IF(Arbeitszeit!F237=Krank,B_WorkTime*24,)</f>
        <v>0</v>
      </c>
      <c r="J236" s="174"/>
      <c r="K236" s="179"/>
      <c r="L236" s="180"/>
      <c r="M236" s="656"/>
      <c r="N236" s="657"/>
      <c r="O236" s="656"/>
      <c r="P236" s="657"/>
      <c r="Q236" s="656"/>
      <c r="R236" s="657"/>
      <c r="S236" s="656"/>
      <c r="T236" s="657"/>
      <c r="U236" s="656"/>
      <c r="V236" s="657"/>
      <c r="W236" s="656"/>
      <c r="X236" s="657"/>
      <c r="Y236" s="656"/>
      <c r="Z236" s="657"/>
      <c r="AA236" s="656"/>
      <c r="AB236" s="657"/>
      <c r="AC236" s="656"/>
      <c r="AD236" s="657"/>
      <c r="AE236" s="656"/>
      <c r="AF236" s="658"/>
      <c r="AG236" s="656"/>
      <c r="AH236" s="658"/>
      <c r="AI236" s="656"/>
      <c r="AJ236" s="658"/>
      <c r="AK236" s="656"/>
      <c r="AL236" s="658"/>
      <c r="AM236" s="659"/>
      <c r="AN236" s="658"/>
      <c r="AO236" s="656"/>
      <c r="AP236" s="658"/>
      <c r="AQ236" s="659"/>
      <c r="AR236" s="658"/>
      <c r="AS236" s="658"/>
      <c r="AT236" s="658"/>
      <c r="AU236" s="659"/>
      <c r="AV236" s="658"/>
      <c r="AW236" s="658"/>
      <c r="AX236" s="181"/>
      <c r="AY236" s="177"/>
      <c r="AZ236">
        <f ca="1">INDIRECT(ADDRESS(ROW()+1,COLUMN(Arbeitszeit!xDay),,,"Arbeitszeit"))</f>
        <v>1</v>
      </c>
    </row>
    <row r="237" spans="1:52">
      <c r="A237" s="582">
        <f>Arbeitszeit!A238</f>
        <v>41871</v>
      </c>
      <c r="B237" s="583">
        <f t="shared" si="12"/>
        <v>41871</v>
      </c>
      <c r="C237" s="214">
        <f t="shared" si="13"/>
        <v>34</v>
      </c>
      <c r="D237" s="213">
        <f t="shared" si="14"/>
        <v>41851</v>
      </c>
      <c r="E237" s="670">
        <f>Arbeitszeit!U238*24</f>
        <v>0</v>
      </c>
      <c r="F237" s="397">
        <f t="shared" si="15"/>
        <v>0</v>
      </c>
      <c r="G237" s="178">
        <f>IF(Arbeitszeit!F238=Urlaub,B_WorkTime*24,)</f>
        <v>0</v>
      </c>
      <c r="H237" s="174"/>
      <c r="I237" s="178">
        <f>IF(Arbeitszeit!F238=Krank,B_WorkTime*24,)</f>
        <v>0</v>
      </c>
      <c r="J237" s="174"/>
      <c r="K237" s="179"/>
      <c r="L237" s="180"/>
      <c r="M237" s="656"/>
      <c r="N237" s="657"/>
      <c r="O237" s="656"/>
      <c r="P237" s="657"/>
      <c r="Q237" s="656"/>
      <c r="R237" s="657"/>
      <c r="S237" s="656"/>
      <c r="T237" s="657"/>
      <c r="U237" s="656"/>
      <c r="V237" s="657"/>
      <c r="W237" s="656"/>
      <c r="X237" s="657"/>
      <c r="Y237" s="656"/>
      <c r="Z237" s="657"/>
      <c r="AA237" s="656"/>
      <c r="AB237" s="657"/>
      <c r="AC237" s="656"/>
      <c r="AD237" s="657"/>
      <c r="AE237" s="656"/>
      <c r="AF237" s="658"/>
      <c r="AG237" s="656"/>
      <c r="AH237" s="658"/>
      <c r="AI237" s="656"/>
      <c r="AJ237" s="658"/>
      <c r="AK237" s="656"/>
      <c r="AL237" s="658"/>
      <c r="AM237" s="659"/>
      <c r="AN237" s="658"/>
      <c r="AO237" s="656"/>
      <c r="AP237" s="658"/>
      <c r="AQ237" s="659"/>
      <c r="AR237" s="658"/>
      <c r="AS237" s="658"/>
      <c r="AT237" s="658"/>
      <c r="AU237" s="659"/>
      <c r="AV237" s="658"/>
      <c r="AW237" s="658"/>
      <c r="AX237" s="181"/>
      <c r="AY237" s="177"/>
      <c r="AZ237">
        <f ca="1">INDIRECT(ADDRESS(ROW()+1,COLUMN(Arbeitszeit!xDay),,,"Arbeitszeit"))</f>
        <v>2</v>
      </c>
    </row>
    <row r="238" spans="1:52">
      <c r="A238" s="582">
        <f>Arbeitszeit!A239</f>
        <v>41872</v>
      </c>
      <c r="B238" s="583">
        <f t="shared" si="12"/>
        <v>41872</v>
      </c>
      <c r="C238" s="214">
        <f t="shared" si="13"/>
        <v>34</v>
      </c>
      <c r="D238" s="213">
        <f t="shared" si="14"/>
        <v>41851</v>
      </c>
      <c r="E238" s="670">
        <f>Arbeitszeit!U239*24</f>
        <v>0</v>
      </c>
      <c r="F238" s="397">
        <f t="shared" si="15"/>
        <v>0</v>
      </c>
      <c r="G238" s="178">
        <f>IF(Arbeitszeit!F239=Urlaub,B_WorkTime*24,)</f>
        <v>0</v>
      </c>
      <c r="H238" s="174"/>
      <c r="I238" s="178">
        <f>IF(Arbeitszeit!F239=Krank,B_WorkTime*24,)</f>
        <v>0</v>
      </c>
      <c r="J238" s="174"/>
      <c r="K238" s="179"/>
      <c r="L238" s="180"/>
      <c r="M238" s="656"/>
      <c r="N238" s="657"/>
      <c r="O238" s="656"/>
      <c r="P238" s="657"/>
      <c r="Q238" s="656"/>
      <c r="R238" s="657"/>
      <c r="S238" s="656"/>
      <c r="T238" s="657"/>
      <c r="U238" s="656"/>
      <c r="V238" s="657"/>
      <c r="W238" s="656"/>
      <c r="X238" s="657"/>
      <c r="Y238" s="656"/>
      <c r="Z238" s="657"/>
      <c r="AA238" s="656"/>
      <c r="AB238" s="657"/>
      <c r="AC238" s="656"/>
      <c r="AD238" s="657"/>
      <c r="AE238" s="656"/>
      <c r="AF238" s="658"/>
      <c r="AG238" s="656"/>
      <c r="AH238" s="658"/>
      <c r="AI238" s="656"/>
      <c r="AJ238" s="658"/>
      <c r="AK238" s="656"/>
      <c r="AL238" s="658"/>
      <c r="AM238" s="659"/>
      <c r="AN238" s="658"/>
      <c r="AO238" s="656"/>
      <c r="AP238" s="658"/>
      <c r="AQ238" s="659"/>
      <c r="AR238" s="658"/>
      <c r="AS238" s="658"/>
      <c r="AT238" s="658"/>
      <c r="AU238" s="659"/>
      <c r="AV238" s="658"/>
      <c r="AW238" s="658"/>
      <c r="AX238" s="181"/>
      <c r="AY238" s="177"/>
      <c r="AZ238">
        <f ca="1">INDIRECT(ADDRESS(ROW()+1,COLUMN(Arbeitszeit!xDay),,,"Arbeitszeit"))</f>
        <v>3</v>
      </c>
    </row>
    <row r="239" spans="1:52">
      <c r="A239" s="582">
        <f>Arbeitszeit!A240</f>
        <v>41873</v>
      </c>
      <c r="B239" s="583">
        <f t="shared" si="12"/>
        <v>41873</v>
      </c>
      <c r="C239" s="214">
        <f t="shared" si="13"/>
        <v>34</v>
      </c>
      <c r="D239" s="213">
        <f t="shared" si="14"/>
        <v>41851</v>
      </c>
      <c r="E239" s="670">
        <f>Arbeitszeit!U240*24</f>
        <v>0</v>
      </c>
      <c r="F239" s="397">
        <f t="shared" si="15"/>
        <v>0</v>
      </c>
      <c r="G239" s="178">
        <f>IF(Arbeitszeit!F240=Urlaub,B_WorkTime*24,)</f>
        <v>0</v>
      </c>
      <c r="H239" s="174"/>
      <c r="I239" s="178">
        <f>IF(Arbeitszeit!F240=Krank,B_WorkTime*24,)</f>
        <v>0</v>
      </c>
      <c r="J239" s="174"/>
      <c r="K239" s="179"/>
      <c r="L239" s="180"/>
      <c r="M239" s="656"/>
      <c r="N239" s="657"/>
      <c r="O239" s="656"/>
      <c r="P239" s="657"/>
      <c r="Q239" s="656"/>
      <c r="R239" s="657"/>
      <c r="S239" s="656"/>
      <c r="T239" s="657"/>
      <c r="U239" s="656"/>
      <c r="V239" s="657"/>
      <c r="W239" s="656"/>
      <c r="X239" s="657"/>
      <c r="Y239" s="656"/>
      <c r="Z239" s="657"/>
      <c r="AA239" s="656"/>
      <c r="AB239" s="657"/>
      <c r="AC239" s="656"/>
      <c r="AD239" s="657"/>
      <c r="AE239" s="656"/>
      <c r="AF239" s="658"/>
      <c r="AG239" s="656"/>
      <c r="AH239" s="658"/>
      <c r="AI239" s="656"/>
      <c r="AJ239" s="658"/>
      <c r="AK239" s="656"/>
      <c r="AL239" s="658"/>
      <c r="AM239" s="659"/>
      <c r="AN239" s="658"/>
      <c r="AO239" s="656"/>
      <c r="AP239" s="658"/>
      <c r="AQ239" s="659"/>
      <c r="AR239" s="658"/>
      <c r="AS239" s="658"/>
      <c r="AT239" s="658"/>
      <c r="AU239" s="659"/>
      <c r="AV239" s="658"/>
      <c r="AW239" s="658"/>
      <c r="AX239" s="181"/>
      <c r="AY239" s="177"/>
      <c r="AZ239">
        <f ca="1">INDIRECT(ADDRESS(ROW()+1,COLUMN(Arbeitszeit!xDay),,,"Arbeitszeit"))</f>
        <v>4</v>
      </c>
    </row>
    <row r="240" spans="1:52">
      <c r="A240" s="582">
        <f>Arbeitszeit!A241</f>
        <v>41874</v>
      </c>
      <c r="B240" s="583">
        <f t="shared" si="12"/>
        <v>41874</v>
      </c>
      <c r="C240" s="214">
        <f t="shared" si="13"/>
        <v>34</v>
      </c>
      <c r="D240" s="213">
        <f t="shared" si="14"/>
        <v>41851</v>
      </c>
      <c r="E240" s="670">
        <f>Arbeitszeit!U241*24</f>
        <v>0</v>
      </c>
      <c r="F240" s="397">
        <f t="shared" si="15"/>
        <v>0</v>
      </c>
      <c r="G240" s="178">
        <f>IF(Arbeitszeit!F241=Urlaub,B_WorkTime*24,)</f>
        <v>0</v>
      </c>
      <c r="H240" s="174"/>
      <c r="I240" s="178">
        <f>IF(Arbeitszeit!F241=Krank,B_WorkTime*24,)</f>
        <v>0</v>
      </c>
      <c r="J240" s="174"/>
      <c r="K240" s="179"/>
      <c r="L240" s="180"/>
      <c r="M240" s="656"/>
      <c r="N240" s="657"/>
      <c r="O240" s="656"/>
      <c r="P240" s="657"/>
      <c r="Q240" s="656"/>
      <c r="R240" s="657"/>
      <c r="S240" s="656"/>
      <c r="T240" s="657"/>
      <c r="U240" s="656"/>
      <c r="V240" s="657"/>
      <c r="W240" s="656"/>
      <c r="X240" s="657"/>
      <c r="Y240" s="656"/>
      <c r="Z240" s="657"/>
      <c r="AA240" s="656"/>
      <c r="AB240" s="657"/>
      <c r="AC240" s="656"/>
      <c r="AD240" s="657"/>
      <c r="AE240" s="656"/>
      <c r="AF240" s="658"/>
      <c r="AG240" s="656"/>
      <c r="AH240" s="658"/>
      <c r="AI240" s="656"/>
      <c r="AJ240" s="658"/>
      <c r="AK240" s="656"/>
      <c r="AL240" s="658"/>
      <c r="AM240" s="659"/>
      <c r="AN240" s="658"/>
      <c r="AO240" s="656"/>
      <c r="AP240" s="658"/>
      <c r="AQ240" s="659"/>
      <c r="AR240" s="658"/>
      <c r="AS240" s="658"/>
      <c r="AT240" s="658"/>
      <c r="AU240" s="659"/>
      <c r="AV240" s="658"/>
      <c r="AW240" s="658"/>
      <c r="AX240" s="181"/>
      <c r="AY240" s="177"/>
      <c r="AZ240">
        <f ca="1">INDIRECT(ADDRESS(ROW()+1,COLUMN(Arbeitszeit!xDay),,,"Arbeitszeit"))</f>
        <v>5</v>
      </c>
    </row>
    <row r="241" spans="1:52">
      <c r="A241" s="582">
        <f>Arbeitszeit!A242</f>
        <v>41875</v>
      </c>
      <c r="B241" s="583">
        <f t="shared" si="12"/>
        <v>41875</v>
      </c>
      <c r="C241" s="214">
        <f t="shared" si="13"/>
        <v>34</v>
      </c>
      <c r="D241" s="213">
        <f t="shared" si="14"/>
        <v>41851</v>
      </c>
      <c r="E241" s="670">
        <f>Arbeitszeit!U242*24</f>
        <v>0</v>
      </c>
      <c r="F241" s="397">
        <f t="shared" si="15"/>
        <v>0</v>
      </c>
      <c r="G241" s="178">
        <f>IF(Arbeitszeit!F242=Urlaub,B_WorkTime*24,)</f>
        <v>0</v>
      </c>
      <c r="H241" s="174"/>
      <c r="I241" s="178">
        <f>IF(Arbeitszeit!F242=Krank,B_WorkTime*24,)</f>
        <v>0</v>
      </c>
      <c r="J241" s="174"/>
      <c r="K241" s="179"/>
      <c r="L241" s="180"/>
      <c r="M241" s="656"/>
      <c r="N241" s="657"/>
      <c r="O241" s="656"/>
      <c r="P241" s="657"/>
      <c r="Q241" s="656"/>
      <c r="R241" s="657"/>
      <c r="S241" s="656"/>
      <c r="T241" s="657"/>
      <c r="U241" s="656"/>
      <c r="V241" s="657"/>
      <c r="W241" s="656"/>
      <c r="X241" s="657"/>
      <c r="Y241" s="656"/>
      <c r="Z241" s="657"/>
      <c r="AA241" s="656"/>
      <c r="AB241" s="657"/>
      <c r="AC241" s="656"/>
      <c r="AD241" s="657"/>
      <c r="AE241" s="656"/>
      <c r="AF241" s="658"/>
      <c r="AG241" s="656"/>
      <c r="AH241" s="658"/>
      <c r="AI241" s="656"/>
      <c r="AJ241" s="658"/>
      <c r="AK241" s="656"/>
      <c r="AL241" s="658"/>
      <c r="AM241" s="659"/>
      <c r="AN241" s="658"/>
      <c r="AO241" s="656"/>
      <c r="AP241" s="658"/>
      <c r="AQ241" s="659"/>
      <c r="AR241" s="658"/>
      <c r="AS241" s="658"/>
      <c r="AT241" s="658"/>
      <c r="AU241" s="659"/>
      <c r="AV241" s="658"/>
      <c r="AW241" s="658"/>
      <c r="AX241" s="181"/>
      <c r="AY241" s="177"/>
      <c r="AZ241">
        <f ca="1">INDIRECT(ADDRESS(ROW()+1,COLUMN(Arbeitszeit!xDay),,,"Arbeitszeit"))</f>
        <v>6</v>
      </c>
    </row>
    <row r="242" spans="1:52">
      <c r="A242" s="582">
        <f>Arbeitszeit!A243</f>
        <v>41876</v>
      </c>
      <c r="B242" s="583">
        <f t="shared" si="12"/>
        <v>41876</v>
      </c>
      <c r="C242" s="214">
        <f t="shared" si="13"/>
        <v>34</v>
      </c>
      <c r="D242" s="213">
        <f t="shared" si="14"/>
        <v>41851</v>
      </c>
      <c r="E242" s="670">
        <f>Arbeitszeit!U243*24</f>
        <v>0</v>
      </c>
      <c r="F242" s="397">
        <f t="shared" si="15"/>
        <v>0</v>
      </c>
      <c r="G242" s="178">
        <f>IF(Arbeitszeit!F243=Urlaub,B_WorkTime*24,)</f>
        <v>0</v>
      </c>
      <c r="H242" s="174"/>
      <c r="I242" s="178">
        <f>IF(Arbeitszeit!F243=Krank,B_WorkTime*24,)</f>
        <v>0</v>
      </c>
      <c r="J242" s="174"/>
      <c r="K242" s="179"/>
      <c r="L242" s="180"/>
      <c r="M242" s="656"/>
      <c r="N242" s="657"/>
      <c r="O242" s="656"/>
      <c r="P242" s="657"/>
      <c r="Q242" s="656"/>
      <c r="R242" s="657"/>
      <c r="S242" s="656"/>
      <c r="T242" s="657"/>
      <c r="U242" s="656"/>
      <c r="V242" s="657"/>
      <c r="W242" s="656"/>
      <c r="X242" s="657"/>
      <c r="Y242" s="656"/>
      <c r="Z242" s="657"/>
      <c r="AA242" s="656"/>
      <c r="AB242" s="657"/>
      <c r="AC242" s="656"/>
      <c r="AD242" s="657"/>
      <c r="AE242" s="656"/>
      <c r="AF242" s="658"/>
      <c r="AG242" s="656"/>
      <c r="AH242" s="658"/>
      <c r="AI242" s="656"/>
      <c r="AJ242" s="658"/>
      <c r="AK242" s="656"/>
      <c r="AL242" s="658"/>
      <c r="AM242" s="659"/>
      <c r="AN242" s="658"/>
      <c r="AO242" s="656"/>
      <c r="AP242" s="658"/>
      <c r="AQ242" s="659"/>
      <c r="AR242" s="658"/>
      <c r="AS242" s="658"/>
      <c r="AT242" s="658"/>
      <c r="AU242" s="659"/>
      <c r="AV242" s="658"/>
      <c r="AW242" s="658"/>
      <c r="AX242" s="181"/>
      <c r="AY242" s="177"/>
      <c r="AZ242">
        <f ca="1">INDIRECT(ADDRESS(ROW()+1,COLUMN(Arbeitszeit!xDay),,,"Arbeitszeit"))</f>
        <v>7</v>
      </c>
    </row>
    <row r="243" spans="1:52">
      <c r="A243" s="582">
        <f>Arbeitszeit!A244</f>
        <v>41877</v>
      </c>
      <c r="B243" s="583">
        <f t="shared" si="12"/>
        <v>41877</v>
      </c>
      <c r="C243" s="214">
        <f t="shared" si="13"/>
        <v>35</v>
      </c>
      <c r="D243" s="213">
        <f t="shared" si="14"/>
        <v>41851</v>
      </c>
      <c r="E243" s="670">
        <f>Arbeitszeit!U244*24</f>
        <v>0</v>
      </c>
      <c r="F243" s="397">
        <f t="shared" si="15"/>
        <v>0</v>
      </c>
      <c r="G243" s="178">
        <f>IF(Arbeitszeit!F244=Urlaub,B_WorkTime*24,)</f>
        <v>0</v>
      </c>
      <c r="H243" s="174"/>
      <c r="I243" s="178">
        <f>IF(Arbeitszeit!F244=Krank,B_WorkTime*24,)</f>
        <v>0</v>
      </c>
      <c r="J243" s="174"/>
      <c r="K243" s="179"/>
      <c r="L243" s="180"/>
      <c r="M243" s="656"/>
      <c r="N243" s="657"/>
      <c r="O243" s="656"/>
      <c r="P243" s="657"/>
      <c r="Q243" s="656"/>
      <c r="R243" s="657"/>
      <c r="S243" s="656"/>
      <c r="T243" s="657"/>
      <c r="U243" s="656"/>
      <c r="V243" s="657"/>
      <c r="W243" s="656"/>
      <c r="X243" s="657"/>
      <c r="Y243" s="656"/>
      <c r="Z243" s="657"/>
      <c r="AA243" s="656"/>
      <c r="AB243" s="657"/>
      <c r="AC243" s="656"/>
      <c r="AD243" s="657"/>
      <c r="AE243" s="656"/>
      <c r="AF243" s="658"/>
      <c r="AG243" s="656"/>
      <c r="AH243" s="658"/>
      <c r="AI243" s="656"/>
      <c r="AJ243" s="658"/>
      <c r="AK243" s="656"/>
      <c r="AL243" s="658"/>
      <c r="AM243" s="659"/>
      <c r="AN243" s="658"/>
      <c r="AO243" s="656"/>
      <c r="AP243" s="658"/>
      <c r="AQ243" s="659"/>
      <c r="AR243" s="658"/>
      <c r="AS243" s="658"/>
      <c r="AT243" s="658"/>
      <c r="AU243" s="659"/>
      <c r="AV243" s="658"/>
      <c r="AW243" s="658"/>
      <c r="AX243" s="181"/>
      <c r="AY243" s="177"/>
      <c r="AZ243">
        <f ca="1">INDIRECT(ADDRESS(ROW()+1,COLUMN(Arbeitszeit!xDay),,,"Arbeitszeit"))</f>
        <v>1</v>
      </c>
    </row>
    <row r="244" spans="1:52">
      <c r="A244" s="582">
        <f>Arbeitszeit!A245</f>
        <v>41878</v>
      </c>
      <c r="B244" s="583">
        <f t="shared" si="12"/>
        <v>41878</v>
      </c>
      <c r="C244" s="214">
        <f t="shared" si="13"/>
        <v>35</v>
      </c>
      <c r="D244" s="213">
        <f t="shared" si="14"/>
        <v>41851</v>
      </c>
      <c r="E244" s="670">
        <f>Arbeitszeit!U245*24</f>
        <v>0</v>
      </c>
      <c r="F244" s="397">
        <f t="shared" si="15"/>
        <v>0</v>
      </c>
      <c r="G244" s="178">
        <f>IF(Arbeitszeit!F245=Urlaub,B_WorkTime*24,)</f>
        <v>0</v>
      </c>
      <c r="H244" s="174"/>
      <c r="I244" s="178">
        <f>IF(Arbeitszeit!F245=Krank,B_WorkTime*24,)</f>
        <v>0</v>
      </c>
      <c r="J244" s="174"/>
      <c r="K244" s="179"/>
      <c r="L244" s="180"/>
      <c r="M244" s="656"/>
      <c r="N244" s="657"/>
      <c r="O244" s="656"/>
      <c r="P244" s="657"/>
      <c r="Q244" s="656"/>
      <c r="R244" s="657"/>
      <c r="S244" s="656"/>
      <c r="T244" s="657"/>
      <c r="U244" s="656"/>
      <c r="V244" s="657"/>
      <c r="W244" s="656"/>
      <c r="X244" s="657"/>
      <c r="Y244" s="656"/>
      <c r="Z244" s="657"/>
      <c r="AA244" s="656"/>
      <c r="AB244" s="657"/>
      <c r="AC244" s="656"/>
      <c r="AD244" s="657"/>
      <c r="AE244" s="656"/>
      <c r="AF244" s="658"/>
      <c r="AG244" s="656"/>
      <c r="AH244" s="658"/>
      <c r="AI244" s="656"/>
      <c r="AJ244" s="658"/>
      <c r="AK244" s="656"/>
      <c r="AL244" s="658"/>
      <c r="AM244" s="659"/>
      <c r="AN244" s="658"/>
      <c r="AO244" s="656"/>
      <c r="AP244" s="658"/>
      <c r="AQ244" s="659"/>
      <c r="AR244" s="658"/>
      <c r="AS244" s="658"/>
      <c r="AT244" s="658"/>
      <c r="AU244" s="659"/>
      <c r="AV244" s="658"/>
      <c r="AW244" s="658"/>
      <c r="AX244" s="181"/>
      <c r="AY244" s="177"/>
      <c r="AZ244">
        <f ca="1">INDIRECT(ADDRESS(ROW()+1,COLUMN(Arbeitszeit!xDay),,,"Arbeitszeit"))</f>
        <v>2</v>
      </c>
    </row>
    <row r="245" spans="1:52">
      <c r="A245" s="582">
        <f>Arbeitszeit!A246</f>
        <v>41879</v>
      </c>
      <c r="B245" s="583">
        <f t="shared" si="12"/>
        <v>41879</v>
      </c>
      <c r="C245" s="214">
        <f t="shared" si="13"/>
        <v>35</v>
      </c>
      <c r="D245" s="213">
        <f t="shared" si="14"/>
        <v>41851</v>
      </c>
      <c r="E245" s="670">
        <f>Arbeitszeit!U246*24</f>
        <v>0</v>
      </c>
      <c r="F245" s="397">
        <f t="shared" si="15"/>
        <v>0</v>
      </c>
      <c r="G245" s="178">
        <f>IF(Arbeitszeit!F246=Urlaub,B_WorkTime*24,)</f>
        <v>0</v>
      </c>
      <c r="H245" s="174"/>
      <c r="I245" s="178">
        <f>IF(Arbeitszeit!F246=Krank,B_WorkTime*24,)</f>
        <v>0</v>
      </c>
      <c r="J245" s="174"/>
      <c r="K245" s="179"/>
      <c r="L245" s="180"/>
      <c r="M245" s="656"/>
      <c r="N245" s="657"/>
      <c r="O245" s="656"/>
      <c r="P245" s="657"/>
      <c r="Q245" s="656"/>
      <c r="R245" s="657"/>
      <c r="S245" s="656"/>
      <c r="T245" s="657"/>
      <c r="U245" s="656"/>
      <c r="V245" s="657"/>
      <c r="W245" s="656"/>
      <c r="X245" s="657"/>
      <c r="Y245" s="656"/>
      <c r="Z245" s="657"/>
      <c r="AA245" s="656"/>
      <c r="AB245" s="657"/>
      <c r="AC245" s="656"/>
      <c r="AD245" s="657"/>
      <c r="AE245" s="656"/>
      <c r="AF245" s="658"/>
      <c r="AG245" s="656"/>
      <c r="AH245" s="658"/>
      <c r="AI245" s="656"/>
      <c r="AJ245" s="658"/>
      <c r="AK245" s="656"/>
      <c r="AL245" s="658"/>
      <c r="AM245" s="659"/>
      <c r="AN245" s="658"/>
      <c r="AO245" s="656"/>
      <c r="AP245" s="658"/>
      <c r="AQ245" s="659"/>
      <c r="AR245" s="658"/>
      <c r="AS245" s="658"/>
      <c r="AT245" s="658"/>
      <c r="AU245" s="659"/>
      <c r="AV245" s="658"/>
      <c r="AW245" s="658"/>
      <c r="AX245" s="181"/>
      <c r="AY245" s="177"/>
      <c r="AZ245">
        <f ca="1">INDIRECT(ADDRESS(ROW()+1,COLUMN(Arbeitszeit!xDay),,,"Arbeitszeit"))</f>
        <v>3</v>
      </c>
    </row>
    <row r="246" spans="1:52">
      <c r="A246" s="582">
        <f>Arbeitszeit!A247</f>
        <v>41880</v>
      </c>
      <c r="B246" s="583">
        <f t="shared" si="12"/>
        <v>41880</v>
      </c>
      <c r="C246" s="214">
        <f t="shared" si="13"/>
        <v>35</v>
      </c>
      <c r="D246" s="213">
        <f t="shared" si="14"/>
        <v>41851</v>
      </c>
      <c r="E246" s="670">
        <f>Arbeitszeit!U247*24</f>
        <v>0</v>
      </c>
      <c r="F246" s="397">
        <f t="shared" si="15"/>
        <v>0</v>
      </c>
      <c r="G246" s="178">
        <f>IF(Arbeitszeit!F247=Urlaub,B_WorkTime*24,)</f>
        <v>0</v>
      </c>
      <c r="H246" s="174"/>
      <c r="I246" s="178">
        <f>IF(Arbeitszeit!F247=Krank,B_WorkTime*24,)</f>
        <v>0</v>
      </c>
      <c r="J246" s="174"/>
      <c r="K246" s="179"/>
      <c r="L246" s="180"/>
      <c r="M246" s="656"/>
      <c r="N246" s="657"/>
      <c r="O246" s="656"/>
      <c r="P246" s="657"/>
      <c r="Q246" s="656"/>
      <c r="R246" s="657"/>
      <c r="S246" s="656"/>
      <c r="T246" s="657"/>
      <c r="U246" s="656"/>
      <c r="V246" s="657"/>
      <c r="W246" s="656"/>
      <c r="X246" s="657"/>
      <c r="Y246" s="656"/>
      <c r="Z246" s="657"/>
      <c r="AA246" s="656"/>
      <c r="AB246" s="657"/>
      <c r="AC246" s="656"/>
      <c r="AD246" s="657"/>
      <c r="AE246" s="656"/>
      <c r="AF246" s="658"/>
      <c r="AG246" s="656"/>
      <c r="AH246" s="658"/>
      <c r="AI246" s="656"/>
      <c r="AJ246" s="658"/>
      <c r="AK246" s="656"/>
      <c r="AL246" s="658"/>
      <c r="AM246" s="659"/>
      <c r="AN246" s="658"/>
      <c r="AO246" s="656"/>
      <c r="AP246" s="658"/>
      <c r="AQ246" s="659"/>
      <c r="AR246" s="658"/>
      <c r="AS246" s="658"/>
      <c r="AT246" s="658"/>
      <c r="AU246" s="659"/>
      <c r="AV246" s="658"/>
      <c r="AW246" s="658"/>
      <c r="AX246" s="181"/>
      <c r="AY246" s="177"/>
      <c r="AZ246">
        <f ca="1">INDIRECT(ADDRESS(ROW()+1,COLUMN(Arbeitszeit!xDay),,,"Arbeitszeit"))</f>
        <v>4</v>
      </c>
    </row>
    <row r="247" spans="1:52">
      <c r="A247" s="582">
        <f>Arbeitszeit!A248</f>
        <v>41881</v>
      </c>
      <c r="B247" s="583">
        <f t="shared" si="12"/>
        <v>41881</v>
      </c>
      <c r="C247" s="214">
        <f t="shared" si="13"/>
        <v>35</v>
      </c>
      <c r="D247" s="213">
        <f t="shared" si="14"/>
        <v>41851</v>
      </c>
      <c r="E247" s="670">
        <f>Arbeitszeit!U248*24</f>
        <v>0</v>
      </c>
      <c r="F247" s="397">
        <f t="shared" si="15"/>
        <v>0</v>
      </c>
      <c r="G247" s="178">
        <f>IF(Arbeitszeit!F248=Urlaub,B_WorkTime*24,)</f>
        <v>0</v>
      </c>
      <c r="H247" s="174"/>
      <c r="I247" s="178">
        <f>IF(Arbeitszeit!F248=Krank,B_WorkTime*24,)</f>
        <v>0</v>
      </c>
      <c r="J247" s="174"/>
      <c r="K247" s="179"/>
      <c r="L247" s="180"/>
      <c r="M247" s="656"/>
      <c r="N247" s="657"/>
      <c r="O247" s="656"/>
      <c r="P247" s="657"/>
      <c r="Q247" s="656"/>
      <c r="R247" s="657"/>
      <c r="S247" s="656"/>
      <c r="T247" s="657"/>
      <c r="U247" s="656"/>
      <c r="V247" s="657"/>
      <c r="W247" s="656"/>
      <c r="X247" s="657"/>
      <c r="Y247" s="656"/>
      <c r="Z247" s="657"/>
      <c r="AA247" s="656"/>
      <c r="AB247" s="657"/>
      <c r="AC247" s="656"/>
      <c r="AD247" s="657"/>
      <c r="AE247" s="656"/>
      <c r="AF247" s="658"/>
      <c r="AG247" s="656"/>
      <c r="AH247" s="658"/>
      <c r="AI247" s="656"/>
      <c r="AJ247" s="658"/>
      <c r="AK247" s="656"/>
      <c r="AL247" s="658"/>
      <c r="AM247" s="659"/>
      <c r="AN247" s="658"/>
      <c r="AO247" s="656"/>
      <c r="AP247" s="658"/>
      <c r="AQ247" s="659"/>
      <c r="AR247" s="658"/>
      <c r="AS247" s="658"/>
      <c r="AT247" s="658"/>
      <c r="AU247" s="659"/>
      <c r="AV247" s="658"/>
      <c r="AW247" s="658"/>
      <c r="AX247" s="181"/>
      <c r="AY247" s="177"/>
      <c r="AZ247">
        <f ca="1">INDIRECT(ADDRESS(ROW()+1,COLUMN(Arbeitszeit!xDay),,,"Arbeitszeit"))</f>
        <v>5</v>
      </c>
    </row>
    <row r="248" spans="1:52">
      <c r="A248" s="582">
        <f>Arbeitszeit!A249</f>
        <v>41882</v>
      </c>
      <c r="B248" s="583">
        <f t="shared" si="12"/>
        <v>41882</v>
      </c>
      <c r="C248" s="214">
        <f t="shared" si="13"/>
        <v>35</v>
      </c>
      <c r="D248" s="213">
        <f t="shared" si="14"/>
        <v>41882</v>
      </c>
      <c r="E248" s="670">
        <f>Arbeitszeit!U249*24</f>
        <v>0</v>
      </c>
      <c r="F248" s="397">
        <f t="shared" si="15"/>
        <v>0</v>
      </c>
      <c r="G248" s="178">
        <f>IF(Arbeitszeit!F249=Urlaub,B_WorkTime*24,)</f>
        <v>0</v>
      </c>
      <c r="H248" s="174"/>
      <c r="I248" s="178">
        <f>IF(Arbeitszeit!F249=Krank,B_WorkTime*24,)</f>
        <v>0</v>
      </c>
      <c r="J248" s="174"/>
      <c r="K248" s="179"/>
      <c r="L248" s="180"/>
      <c r="M248" s="656"/>
      <c r="N248" s="657"/>
      <c r="O248" s="656"/>
      <c r="P248" s="657"/>
      <c r="Q248" s="656"/>
      <c r="R248" s="657"/>
      <c r="S248" s="656"/>
      <c r="T248" s="657"/>
      <c r="U248" s="656"/>
      <c r="V248" s="657"/>
      <c r="W248" s="656"/>
      <c r="X248" s="657"/>
      <c r="Y248" s="656"/>
      <c r="Z248" s="657"/>
      <c r="AA248" s="656"/>
      <c r="AB248" s="657"/>
      <c r="AC248" s="656"/>
      <c r="AD248" s="657"/>
      <c r="AE248" s="656"/>
      <c r="AF248" s="658"/>
      <c r="AG248" s="656"/>
      <c r="AH248" s="658"/>
      <c r="AI248" s="656"/>
      <c r="AJ248" s="658"/>
      <c r="AK248" s="656"/>
      <c r="AL248" s="658"/>
      <c r="AM248" s="659"/>
      <c r="AN248" s="658"/>
      <c r="AO248" s="656"/>
      <c r="AP248" s="658"/>
      <c r="AQ248" s="659"/>
      <c r="AR248" s="658"/>
      <c r="AS248" s="658"/>
      <c r="AT248" s="658"/>
      <c r="AU248" s="659"/>
      <c r="AV248" s="658"/>
      <c r="AW248" s="658"/>
      <c r="AX248" s="181"/>
      <c r="AY248" s="177"/>
      <c r="AZ248">
        <f ca="1">INDIRECT(ADDRESS(ROW()+1,COLUMN(Arbeitszeit!xDay),,,"Arbeitszeit"))</f>
        <v>6</v>
      </c>
    </row>
    <row r="249" spans="1:52">
      <c r="A249" s="582">
        <f>Arbeitszeit!A250</f>
        <v>41883</v>
      </c>
      <c r="B249" s="583">
        <f t="shared" si="12"/>
        <v>41883</v>
      </c>
      <c r="C249" s="214">
        <f t="shared" si="13"/>
        <v>35</v>
      </c>
      <c r="D249" s="213">
        <f t="shared" si="14"/>
        <v>41882</v>
      </c>
      <c r="E249" s="670">
        <f>Arbeitszeit!U250*24</f>
        <v>0</v>
      </c>
      <c r="F249" s="397">
        <f t="shared" si="15"/>
        <v>0</v>
      </c>
      <c r="G249" s="178">
        <f>IF(Arbeitszeit!F250=Urlaub,B_WorkTime*24,)</f>
        <v>0</v>
      </c>
      <c r="H249" s="174"/>
      <c r="I249" s="178">
        <f>IF(Arbeitszeit!F250=Krank,B_WorkTime*24,)</f>
        <v>0</v>
      </c>
      <c r="J249" s="174"/>
      <c r="K249" s="179"/>
      <c r="L249" s="180"/>
      <c r="M249" s="656"/>
      <c r="N249" s="657"/>
      <c r="O249" s="656"/>
      <c r="P249" s="657"/>
      <c r="Q249" s="656"/>
      <c r="R249" s="657"/>
      <c r="S249" s="656"/>
      <c r="T249" s="657"/>
      <c r="U249" s="656"/>
      <c r="V249" s="657"/>
      <c r="W249" s="656"/>
      <c r="X249" s="657"/>
      <c r="Y249" s="656"/>
      <c r="Z249" s="657"/>
      <c r="AA249" s="656"/>
      <c r="AB249" s="657"/>
      <c r="AC249" s="656"/>
      <c r="AD249" s="657"/>
      <c r="AE249" s="656"/>
      <c r="AF249" s="658"/>
      <c r="AG249" s="656"/>
      <c r="AH249" s="658"/>
      <c r="AI249" s="656"/>
      <c r="AJ249" s="658"/>
      <c r="AK249" s="656"/>
      <c r="AL249" s="658"/>
      <c r="AM249" s="659"/>
      <c r="AN249" s="658"/>
      <c r="AO249" s="656"/>
      <c r="AP249" s="658"/>
      <c r="AQ249" s="659"/>
      <c r="AR249" s="658"/>
      <c r="AS249" s="658"/>
      <c r="AT249" s="658"/>
      <c r="AU249" s="659"/>
      <c r="AV249" s="658"/>
      <c r="AW249" s="658"/>
      <c r="AX249" s="181"/>
      <c r="AY249" s="177"/>
      <c r="AZ249">
        <f ca="1">INDIRECT(ADDRESS(ROW()+1,COLUMN(Arbeitszeit!xDay),,,"Arbeitszeit"))</f>
        <v>7</v>
      </c>
    </row>
    <row r="250" spans="1:52">
      <c r="A250" s="582">
        <f>Arbeitszeit!A251</f>
        <v>41884</v>
      </c>
      <c r="B250" s="583">
        <f t="shared" si="12"/>
        <v>41884</v>
      </c>
      <c r="C250" s="214">
        <f t="shared" si="13"/>
        <v>36</v>
      </c>
      <c r="D250" s="213">
        <f t="shared" si="14"/>
        <v>41882</v>
      </c>
      <c r="E250" s="670">
        <f>Arbeitszeit!U251*24</f>
        <v>0</v>
      </c>
      <c r="F250" s="397">
        <f t="shared" si="15"/>
        <v>0</v>
      </c>
      <c r="G250" s="178">
        <f>IF(Arbeitszeit!F251=Urlaub,B_WorkTime*24,)</f>
        <v>0</v>
      </c>
      <c r="H250" s="174"/>
      <c r="I250" s="178">
        <f>IF(Arbeitszeit!F251=Krank,B_WorkTime*24,)</f>
        <v>0</v>
      </c>
      <c r="J250" s="174"/>
      <c r="K250" s="179"/>
      <c r="L250" s="180"/>
      <c r="M250" s="656"/>
      <c r="N250" s="657"/>
      <c r="O250" s="656"/>
      <c r="P250" s="657"/>
      <c r="Q250" s="656"/>
      <c r="R250" s="657"/>
      <c r="S250" s="656"/>
      <c r="T250" s="660"/>
      <c r="U250" s="656"/>
      <c r="V250" s="657"/>
      <c r="W250" s="656"/>
      <c r="X250" s="657"/>
      <c r="Y250" s="656"/>
      <c r="Z250" s="657"/>
      <c r="AA250" s="656"/>
      <c r="AB250" s="657"/>
      <c r="AC250" s="656"/>
      <c r="AD250" s="657"/>
      <c r="AE250" s="656"/>
      <c r="AF250" s="658"/>
      <c r="AG250" s="656"/>
      <c r="AH250" s="658"/>
      <c r="AI250" s="656"/>
      <c r="AJ250" s="658"/>
      <c r="AK250" s="656"/>
      <c r="AL250" s="658"/>
      <c r="AM250" s="659"/>
      <c r="AN250" s="658"/>
      <c r="AO250" s="656"/>
      <c r="AP250" s="658"/>
      <c r="AQ250" s="659"/>
      <c r="AR250" s="658"/>
      <c r="AS250" s="658"/>
      <c r="AT250" s="658"/>
      <c r="AU250" s="659"/>
      <c r="AV250" s="658"/>
      <c r="AW250" s="658"/>
      <c r="AX250" s="181"/>
      <c r="AY250" s="177"/>
      <c r="AZ250">
        <f ca="1">INDIRECT(ADDRESS(ROW()+1,COLUMN(Arbeitszeit!xDay),,,"Arbeitszeit"))</f>
        <v>1</v>
      </c>
    </row>
    <row r="251" spans="1:52">
      <c r="A251" s="582">
        <f>Arbeitszeit!A252</f>
        <v>41885</v>
      </c>
      <c r="B251" s="583">
        <f t="shared" si="12"/>
        <v>41885</v>
      </c>
      <c r="C251" s="214">
        <f t="shared" si="13"/>
        <v>36</v>
      </c>
      <c r="D251" s="213">
        <f t="shared" si="14"/>
        <v>41882</v>
      </c>
      <c r="E251" s="670">
        <f>Arbeitszeit!U252*24</f>
        <v>0</v>
      </c>
      <c r="F251" s="397">
        <f t="shared" si="15"/>
        <v>0</v>
      </c>
      <c r="G251" s="178">
        <f>IF(Arbeitszeit!F252=Urlaub,B_WorkTime*24,)</f>
        <v>0</v>
      </c>
      <c r="H251" s="174"/>
      <c r="I251" s="178">
        <f>IF(Arbeitszeit!F252=Krank,B_WorkTime*24,)</f>
        <v>0</v>
      </c>
      <c r="J251" s="174"/>
      <c r="K251" s="179"/>
      <c r="L251" s="180"/>
      <c r="M251" s="656"/>
      <c r="N251" s="657"/>
      <c r="O251" s="656"/>
      <c r="P251" s="657"/>
      <c r="Q251" s="656"/>
      <c r="R251" s="657"/>
      <c r="S251" s="656"/>
      <c r="T251" s="657"/>
      <c r="U251" s="656"/>
      <c r="V251" s="657"/>
      <c r="W251" s="656"/>
      <c r="X251" s="657"/>
      <c r="Y251" s="656"/>
      <c r="Z251" s="657"/>
      <c r="AA251" s="656"/>
      <c r="AB251" s="657"/>
      <c r="AC251" s="656"/>
      <c r="AD251" s="657"/>
      <c r="AE251" s="656"/>
      <c r="AF251" s="658"/>
      <c r="AG251" s="656"/>
      <c r="AH251" s="658"/>
      <c r="AI251" s="656"/>
      <c r="AJ251" s="658"/>
      <c r="AK251" s="656"/>
      <c r="AL251" s="658"/>
      <c r="AM251" s="659"/>
      <c r="AN251" s="658"/>
      <c r="AO251" s="656"/>
      <c r="AP251" s="658"/>
      <c r="AQ251" s="659"/>
      <c r="AR251" s="658"/>
      <c r="AS251" s="658"/>
      <c r="AT251" s="658"/>
      <c r="AU251" s="659"/>
      <c r="AV251" s="658"/>
      <c r="AW251" s="658"/>
      <c r="AX251" s="181"/>
      <c r="AY251" s="177"/>
      <c r="AZ251">
        <f ca="1">INDIRECT(ADDRESS(ROW()+1,COLUMN(Arbeitszeit!xDay),,,"Arbeitszeit"))</f>
        <v>2</v>
      </c>
    </row>
    <row r="252" spans="1:52">
      <c r="A252" s="582">
        <f>Arbeitszeit!A253</f>
        <v>41886</v>
      </c>
      <c r="B252" s="583">
        <f t="shared" si="12"/>
        <v>41886</v>
      </c>
      <c r="C252" s="214">
        <f t="shared" si="13"/>
        <v>36</v>
      </c>
      <c r="D252" s="213">
        <f t="shared" si="14"/>
        <v>41882</v>
      </c>
      <c r="E252" s="670">
        <f>Arbeitszeit!U253*24</f>
        <v>0</v>
      </c>
      <c r="F252" s="397">
        <f t="shared" si="15"/>
        <v>0</v>
      </c>
      <c r="G252" s="178">
        <f>IF(Arbeitszeit!F253=Urlaub,B_WorkTime*24,)</f>
        <v>0</v>
      </c>
      <c r="H252" s="174"/>
      <c r="I252" s="178">
        <f>IF(Arbeitszeit!F253=Krank,B_WorkTime*24,)</f>
        <v>0</v>
      </c>
      <c r="J252" s="174"/>
      <c r="K252" s="179"/>
      <c r="L252" s="180"/>
      <c r="M252" s="656"/>
      <c r="N252" s="657"/>
      <c r="O252" s="656"/>
      <c r="P252" s="657"/>
      <c r="Q252" s="656"/>
      <c r="R252" s="657"/>
      <c r="S252" s="656"/>
      <c r="T252" s="657"/>
      <c r="U252" s="656"/>
      <c r="V252" s="657"/>
      <c r="W252" s="656"/>
      <c r="X252" s="657"/>
      <c r="Y252" s="656"/>
      <c r="Z252" s="657"/>
      <c r="AA252" s="656"/>
      <c r="AB252" s="657"/>
      <c r="AC252" s="656"/>
      <c r="AD252" s="657"/>
      <c r="AE252" s="656"/>
      <c r="AF252" s="658"/>
      <c r="AG252" s="656"/>
      <c r="AH252" s="658"/>
      <c r="AI252" s="656"/>
      <c r="AJ252" s="658"/>
      <c r="AK252" s="656"/>
      <c r="AL252" s="658"/>
      <c r="AM252" s="659"/>
      <c r="AN252" s="658"/>
      <c r="AO252" s="656"/>
      <c r="AP252" s="658"/>
      <c r="AQ252" s="659"/>
      <c r="AR252" s="658"/>
      <c r="AS252" s="658"/>
      <c r="AT252" s="658"/>
      <c r="AU252" s="659"/>
      <c r="AV252" s="658"/>
      <c r="AW252" s="658"/>
      <c r="AX252" s="181"/>
      <c r="AY252" s="177"/>
      <c r="AZ252">
        <f ca="1">INDIRECT(ADDRESS(ROW()+1,COLUMN(Arbeitszeit!xDay),,,"Arbeitszeit"))</f>
        <v>3</v>
      </c>
    </row>
    <row r="253" spans="1:52">
      <c r="A253" s="582">
        <f>Arbeitszeit!A254</f>
        <v>41887</v>
      </c>
      <c r="B253" s="583">
        <f t="shared" si="12"/>
        <v>41887</v>
      </c>
      <c r="C253" s="214">
        <f t="shared" si="13"/>
        <v>36</v>
      </c>
      <c r="D253" s="213">
        <f t="shared" si="14"/>
        <v>41882</v>
      </c>
      <c r="E253" s="670">
        <f>Arbeitszeit!U254*24</f>
        <v>0</v>
      </c>
      <c r="F253" s="397">
        <f t="shared" si="15"/>
        <v>0</v>
      </c>
      <c r="G253" s="178">
        <f>IF(Arbeitszeit!F254=Urlaub,B_WorkTime*24,)</f>
        <v>0</v>
      </c>
      <c r="H253" s="174"/>
      <c r="I253" s="178">
        <f>IF(Arbeitszeit!F254=Krank,B_WorkTime*24,)</f>
        <v>0</v>
      </c>
      <c r="J253" s="174"/>
      <c r="K253" s="179"/>
      <c r="L253" s="180"/>
      <c r="M253" s="656"/>
      <c r="N253" s="657"/>
      <c r="O253" s="656"/>
      <c r="P253" s="657"/>
      <c r="Q253" s="656"/>
      <c r="R253" s="657"/>
      <c r="S253" s="656"/>
      <c r="T253" s="657"/>
      <c r="U253" s="656"/>
      <c r="V253" s="657"/>
      <c r="W253" s="656"/>
      <c r="X253" s="657"/>
      <c r="Y253" s="656"/>
      <c r="Z253" s="657"/>
      <c r="AA253" s="656"/>
      <c r="AB253" s="657"/>
      <c r="AC253" s="656"/>
      <c r="AD253" s="657"/>
      <c r="AE253" s="656"/>
      <c r="AF253" s="658"/>
      <c r="AG253" s="656"/>
      <c r="AH253" s="658"/>
      <c r="AI253" s="656"/>
      <c r="AJ253" s="658"/>
      <c r="AK253" s="656"/>
      <c r="AL253" s="658"/>
      <c r="AM253" s="659"/>
      <c r="AN253" s="658"/>
      <c r="AO253" s="656"/>
      <c r="AP253" s="658"/>
      <c r="AQ253" s="659"/>
      <c r="AR253" s="658"/>
      <c r="AS253" s="658"/>
      <c r="AT253" s="658"/>
      <c r="AU253" s="659"/>
      <c r="AV253" s="658"/>
      <c r="AW253" s="658"/>
      <c r="AX253" s="181"/>
      <c r="AY253" s="177"/>
      <c r="AZ253">
        <f ca="1">INDIRECT(ADDRESS(ROW()+1,COLUMN(Arbeitszeit!xDay),,,"Arbeitszeit"))</f>
        <v>4</v>
      </c>
    </row>
    <row r="254" spans="1:52">
      <c r="A254" s="582">
        <f>Arbeitszeit!A255</f>
        <v>41888</v>
      </c>
      <c r="B254" s="583">
        <f t="shared" si="12"/>
        <v>41888</v>
      </c>
      <c r="C254" s="214">
        <f t="shared" si="13"/>
        <v>36</v>
      </c>
      <c r="D254" s="213">
        <f t="shared" si="14"/>
        <v>41882</v>
      </c>
      <c r="E254" s="670">
        <f>Arbeitszeit!U255*24</f>
        <v>0</v>
      </c>
      <c r="F254" s="397">
        <f t="shared" si="15"/>
        <v>0</v>
      </c>
      <c r="G254" s="178">
        <f>IF(Arbeitszeit!F255=Urlaub,B_WorkTime*24,)</f>
        <v>0</v>
      </c>
      <c r="H254" s="174"/>
      <c r="I254" s="178">
        <f>IF(Arbeitszeit!F255=Krank,B_WorkTime*24,)</f>
        <v>0</v>
      </c>
      <c r="J254" s="174"/>
      <c r="K254" s="179"/>
      <c r="L254" s="180"/>
      <c r="M254" s="656"/>
      <c r="N254" s="657"/>
      <c r="O254" s="656"/>
      <c r="P254" s="657"/>
      <c r="Q254" s="656"/>
      <c r="R254" s="657"/>
      <c r="S254" s="656"/>
      <c r="T254" s="657"/>
      <c r="U254" s="656"/>
      <c r="V254" s="657"/>
      <c r="W254" s="656"/>
      <c r="X254" s="657"/>
      <c r="Y254" s="656"/>
      <c r="Z254" s="657"/>
      <c r="AA254" s="656"/>
      <c r="AB254" s="657"/>
      <c r="AC254" s="656"/>
      <c r="AD254" s="657"/>
      <c r="AE254" s="656"/>
      <c r="AF254" s="658"/>
      <c r="AG254" s="656"/>
      <c r="AH254" s="658"/>
      <c r="AI254" s="656"/>
      <c r="AJ254" s="658"/>
      <c r="AK254" s="656"/>
      <c r="AL254" s="658"/>
      <c r="AM254" s="659"/>
      <c r="AN254" s="658"/>
      <c r="AO254" s="656"/>
      <c r="AP254" s="658"/>
      <c r="AQ254" s="659"/>
      <c r="AR254" s="658"/>
      <c r="AS254" s="658"/>
      <c r="AT254" s="658"/>
      <c r="AU254" s="659"/>
      <c r="AV254" s="658"/>
      <c r="AW254" s="658"/>
      <c r="AX254" s="181"/>
      <c r="AY254" s="177"/>
      <c r="AZ254">
        <f ca="1">INDIRECT(ADDRESS(ROW()+1,COLUMN(Arbeitszeit!xDay),,,"Arbeitszeit"))</f>
        <v>5</v>
      </c>
    </row>
    <row r="255" spans="1:52">
      <c r="A255" s="582">
        <f>Arbeitszeit!A256</f>
        <v>41889</v>
      </c>
      <c r="B255" s="583">
        <f t="shared" si="12"/>
        <v>41889</v>
      </c>
      <c r="C255" s="214">
        <f t="shared" si="13"/>
        <v>36</v>
      </c>
      <c r="D255" s="213">
        <f t="shared" si="14"/>
        <v>41882</v>
      </c>
      <c r="E255" s="670">
        <f>Arbeitszeit!U256*24</f>
        <v>0</v>
      </c>
      <c r="F255" s="397">
        <f t="shared" si="15"/>
        <v>0</v>
      </c>
      <c r="G255" s="178">
        <f>IF(Arbeitszeit!F256=Urlaub,B_WorkTime*24,)</f>
        <v>0</v>
      </c>
      <c r="H255" s="174"/>
      <c r="I255" s="178">
        <f>IF(Arbeitszeit!F256=Krank,B_WorkTime*24,)</f>
        <v>0</v>
      </c>
      <c r="J255" s="174"/>
      <c r="K255" s="179"/>
      <c r="L255" s="180"/>
      <c r="M255" s="656"/>
      <c r="N255" s="657"/>
      <c r="O255" s="656"/>
      <c r="P255" s="657"/>
      <c r="Q255" s="656"/>
      <c r="R255" s="657"/>
      <c r="S255" s="656"/>
      <c r="T255" s="657"/>
      <c r="U255" s="656"/>
      <c r="V255" s="657"/>
      <c r="W255" s="656"/>
      <c r="X255" s="657"/>
      <c r="Y255" s="656"/>
      <c r="Z255" s="657"/>
      <c r="AA255" s="656"/>
      <c r="AB255" s="657"/>
      <c r="AC255" s="656"/>
      <c r="AD255" s="657"/>
      <c r="AE255" s="656"/>
      <c r="AF255" s="658"/>
      <c r="AG255" s="656"/>
      <c r="AH255" s="658"/>
      <c r="AI255" s="656"/>
      <c r="AJ255" s="658"/>
      <c r="AK255" s="656"/>
      <c r="AL255" s="658"/>
      <c r="AM255" s="659"/>
      <c r="AN255" s="658"/>
      <c r="AO255" s="656"/>
      <c r="AP255" s="658"/>
      <c r="AQ255" s="659"/>
      <c r="AR255" s="658"/>
      <c r="AS255" s="658"/>
      <c r="AT255" s="658"/>
      <c r="AU255" s="659"/>
      <c r="AV255" s="658"/>
      <c r="AW255" s="658"/>
      <c r="AX255" s="181"/>
      <c r="AY255" s="177"/>
      <c r="AZ255">
        <f ca="1">INDIRECT(ADDRESS(ROW()+1,COLUMN(Arbeitszeit!xDay),,,"Arbeitszeit"))</f>
        <v>6</v>
      </c>
    </row>
    <row r="256" spans="1:52">
      <c r="A256" s="582">
        <f>Arbeitszeit!A257</f>
        <v>41890</v>
      </c>
      <c r="B256" s="583">
        <f t="shared" si="12"/>
        <v>41890</v>
      </c>
      <c r="C256" s="214">
        <f t="shared" si="13"/>
        <v>36</v>
      </c>
      <c r="D256" s="213">
        <f t="shared" si="14"/>
        <v>41882</v>
      </c>
      <c r="E256" s="670">
        <f>Arbeitszeit!U257*24</f>
        <v>0</v>
      </c>
      <c r="F256" s="397">
        <f t="shared" si="15"/>
        <v>0</v>
      </c>
      <c r="G256" s="178">
        <f>IF(Arbeitszeit!F257=Urlaub,B_WorkTime*24,)</f>
        <v>0</v>
      </c>
      <c r="H256" s="174"/>
      <c r="I256" s="178">
        <f>IF(Arbeitszeit!F257=Krank,B_WorkTime*24,)</f>
        <v>0</v>
      </c>
      <c r="J256" s="174"/>
      <c r="K256" s="179"/>
      <c r="L256" s="180"/>
      <c r="M256" s="656"/>
      <c r="N256" s="657"/>
      <c r="O256" s="656"/>
      <c r="P256" s="657"/>
      <c r="Q256" s="656"/>
      <c r="R256" s="657"/>
      <c r="S256" s="656"/>
      <c r="T256" s="657"/>
      <c r="U256" s="656"/>
      <c r="V256" s="657"/>
      <c r="W256" s="656"/>
      <c r="X256" s="657"/>
      <c r="Y256" s="656"/>
      <c r="Z256" s="657"/>
      <c r="AA256" s="656"/>
      <c r="AB256" s="657"/>
      <c r="AC256" s="656"/>
      <c r="AD256" s="657"/>
      <c r="AE256" s="656"/>
      <c r="AF256" s="658"/>
      <c r="AG256" s="656"/>
      <c r="AH256" s="658"/>
      <c r="AI256" s="656"/>
      <c r="AJ256" s="658"/>
      <c r="AK256" s="656"/>
      <c r="AL256" s="658"/>
      <c r="AM256" s="659"/>
      <c r="AN256" s="658"/>
      <c r="AO256" s="656"/>
      <c r="AP256" s="658"/>
      <c r="AQ256" s="659"/>
      <c r="AR256" s="658"/>
      <c r="AS256" s="658"/>
      <c r="AT256" s="658"/>
      <c r="AU256" s="659"/>
      <c r="AV256" s="658"/>
      <c r="AW256" s="658"/>
      <c r="AX256" s="181"/>
      <c r="AY256" s="177"/>
      <c r="AZ256">
        <f ca="1">INDIRECT(ADDRESS(ROW()+1,COLUMN(Arbeitszeit!xDay),,,"Arbeitszeit"))</f>
        <v>7</v>
      </c>
    </row>
    <row r="257" spans="1:52">
      <c r="A257" s="582">
        <f>Arbeitszeit!A258</f>
        <v>41891</v>
      </c>
      <c r="B257" s="583">
        <f t="shared" si="12"/>
        <v>41891</v>
      </c>
      <c r="C257" s="214">
        <f t="shared" si="13"/>
        <v>37</v>
      </c>
      <c r="D257" s="213">
        <f t="shared" si="14"/>
        <v>41882</v>
      </c>
      <c r="E257" s="670">
        <f>Arbeitszeit!U258*24</f>
        <v>0</v>
      </c>
      <c r="F257" s="397">
        <f t="shared" si="15"/>
        <v>0</v>
      </c>
      <c r="G257" s="178">
        <f>IF(Arbeitszeit!F258=Urlaub,B_WorkTime*24,)</f>
        <v>0</v>
      </c>
      <c r="H257" s="174"/>
      <c r="I257" s="178">
        <f>IF(Arbeitszeit!F258=Krank,B_WorkTime*24,)</f>
        <v>0</v>
      </c>
      <c r="J257" s="174"/>
      <c r="K257" s="179"/>
      <c r="L257" s="180"/>
      <c r="M257" s="656"/>
      <c r="N257" s="657"/>
      <c r="O257" s="656"/>
      <c r="P257" s="657"/>
      <c r="Q257" s="656"/>
      <c r="R257" s="657"/>
      <c r="S257" s="656"/>
      <c r="T257" s="657"/>
      <c r="U257" s="656"/>
      <c r="V257" s="657"/>
      <c r="W257" s="656"/>
      <c r="X257" s="657"/>
      <c r="Y257" s="656"/>
      <c r="Z257" s="657"/>
      <c r="AA257" s="656"/>
      <c r="AB257" s="657"/>
      <c r="AC257" s="656"/>
      <c r="AD257" s="657"/>
      <c r="AE257" s="656"/>
      <c r="AF257" s="658"/>
      <c r="AG257" s="656"/>
      <c r="AH257" s="658"/>
      <c r="AI257" s="656"/>
      <c r="AJ257" s="658"/>
      <c r="AK257" s="656"/>
      <c r="AL257" s="658"/>
      <c r="AM257" s="659"/>
      <c r="AN257" s="658"/>
      <c r="AO257" s="656"/>
      <c r="AP257" s="658"/>
      <c r="AQ257" s="659"/>
      <c r="AR257" s="658"/>
      <c r="AS257" s="658"/>
      <c r="AT257" s="658"/>
      <c r="AU257" s="659"/>
      <c r="AV257" s="658"/>
      <c r="AW257" s="658"/>
      <c r="AX257" s="181"/>
      <c r="AY257" s="177"/>
      <c r="AZ257">
        <f ca="1">INDIRECT(ADDRESS(ROW()+1,COLUMN(Arbeitszeit!xDay),,,"Arbeitszeit"))</f>
        <v>1</v>
      </c>
    </row>
    <row r="258" spans="1:52">
      <c r="A258" s="582">
        <f>Arbeitszeit!A259</f>
        <v>41892</v>
      </c>
      <c r="B258" s="583">
        <f t="shared" si="12"/>
        <v>41892</v>
      </c>
      <c r="C258" s="214">
        <f t="shared" si="13"/>
        <v>37</v>
      </c>
      <c r="D258" s="213">
        <f t="shared" si="14"/>
        <v>41882</v>
      </c>
      <c r="E258" s="670">
        <f>Arbeitszeit!U259*24</f>
        <v>0</v>
      </c>
      <c r="F258" s="397">
        <f t="shared" si="15"/>
        <v>0</v>
      </c>
      <c r="G258" s="178">
        <f>IF(Arbeitszeit!F259=Urlaub,B_WorkTime*24,)</f>
        <v>0</v>
      </c>
      <c r="H258" s="174"/>
      <c r="I258" s="178">
        <f>IF(Arbeitszeit!F259=Krank,B_WorkTime*24,)</f>
        <v>0</v>
      </c>
      <c r="J258" s="174"/>
      <c r="K258" s="179"/>
      <c r="L258" s="180"/>
      <c r="M258" s="656"/>
      <c r="N258" s="657"/>
      <c r="O258" s="656"/>
      <c r="P258" s="657"/>
      <c r="Q258" s="656"/>
      <c r="R258" s="657"/>
      <c r="S258" s="656"/>
      <c r="T258" s="657"/>
      <c r="U258" s="656"/>
      <c r="V258" s="657"/>
      <c r="W258" s="656"/>
      <c r="X258" s="657"/>
      <c r="Y258" s="656"/>
      <c r="Z258" s="657"/>
      <c r="AA258" s="656"/>
      <c r="AB258" s="657"/>
      <c r="AC258" s="656"/>
      <c r="AD258" s="657"/>
      <c r="AE258" s="656"/>
      <c r="AF258" s="658"/>
      <c r="AG258" s="656"/>
      <c r="AH258" s="658"/>
      <c r="AI258" s="656"/>
      <c r="AJ258" s="658"/>
      <c r="AK258" s="656"/>
      <c r="AL258" s="658"/>
      <c r="AM258" s="659"/>
      <c r="AN258" s="658"/>
      <c r="AO258" s="656"/>
      <c r="AP258" s="658"/>
      <c r="AQ258" s="659"/>
      <c r="AR258" s="658"/>
      <c r="AS258" s="658"/>
      <c r="AT258" s="658"/>
      <c r="AU258" s="659"/>
      <c r="AV258" s="658"/>
      <c r="AW258" s="658"/>
      <c r="AX258" s="181"/>
      <c r="AY258" s="177"/>
      <c r="AZ258">
        <f ca="1">INDIRECT(ADDRESS(ROW()+1,COLUMN(Arbeitszeit!xDay),,,"Arbeitszeit"))</f>
        <v>2</v>
      </c>
    </row>
    <row r="259" spans="1:52">
      <c r="A259" s="582">
        <f>Arbeitszeit!A260</f>
        <v>41893</v>
      </c>
      <c r="B259" s="583">
        <f t="shared" si="12"/>
        <v>41893</v>
      </c>
      <c r="C259" s="214">
        <f t="shared" si="13"/>
        <v>37</v>
      </c>
      <c r="D259" s="213">
        <f t="shared" si="14"/>
        <v>41882</v>
      </c>
      <c r="E259" s="670">
        <f>Arbeitszeit!U260*24</f>
        <v>0</v>
      </c>
      <c r="F259" s="397">
        <f t="shared" si="15"/>
        <v>0</v>
      </c>
      <c r="G259" s="178">
        <f>IF(Arbeitszeit!F260=Urlaub,B_WorkTime*24,)</f>
        <v>0</v>
      </c>
      <c r="H259" s="174"/>
      <c r="I259" s="178">
        <f>IF(Arbeitszeit!F260=Krank,B_WorkTime*24,)</f>
        <v>0</v>
      </c>
      <c r="J259" s="174"/>
      <c r="K259" s="179"/>
      <c r="L259" s="180"/>
      <c r="M259" s="656"/>
      <c r="N259" s="657"/>
      <c r="O259" s="656"/>
      <c r="P259" s="657"/>
      <c r="Q259" s="656"/>
      <c r="R259" s="657"/>
      <c r="S259" s="656"/>
      <c r="T259" s="657"/>
      <c r="U259" s="656"/>
      <c r="V259" s="657"/>
      <c r="W259" s="656"/>
      <c r="X259" s="657"/>
      <c r="Y259" s="656"/>
      <c r="Z259" s="657"/>
      <c r="AA259" s="656"/>
      <c r="AB259" s="657"/>
      <c r="AC259" s="656"/>
      <c r="AD259" s="657"/>
      <c r="AE259" s="656"/>
      <c r="AF259" s="658"/>
      <c r="AG259" s="656"/>
      <c r="AH259" s="658"/>
      <c r="AI259" s="656"/>
      <c r="AJ259" s="658"/>
      <c r="AK259" s="656"/>
      <c r="AL259" s="658"/>
      <c r="AM259" s="659"/>
      <c r="AN259" s="658"/>
      <c r="AO259" s="656"/>
      <c r="AP259" s="658"/>
      <c r="AQ259" s="659"/>
      <c r="AR259" s="658"/>
      <c r="AS259" s="658"/>
      <c r="AT259" s="658"/>
      <c r="AU259" s="659"/>
      <c r="AV259" s="658"/>
      <c r="AW259" s="658"/>
      <c r="AX259" s="181"/>
      <c r="AY259" s="177"/>
      <c r="AZ259">
        <f ca="1">INDIRECT(ADDRESS(ROW()+1,COLUMN(Arbeitszeit!xDay),,,"Arbeitszeit"))</f>
        <v>3</v>
      </c>
    </row>
    <row r="260" spans="1:52">
      <c r="A260" s="582">
        <f>Arbeitszeit!A261</f>
        <v>41894</v>
      </c>
      <c r="B260" s="583">
        <f t="shared" si="12"/>
        <v>41894</v>
      </c>
      <c r="C260" s="214">
        <f t="shared" si="13"/>
        <v>37</v>
      </c>
      <c r="D260" s="213">
        <f t="shared" si="14"/>
        <v>41882</v>
      </c>
      <c r="E260" s="670">
        <f>Arbeitszeit!U261*24</f>
        <v>0</v>
      </c>
      <c r="F260" s="397">
        <f t="shared" si="15"/>
        <v>0</v>
      </c>
      <c r="G260" s="178">
        <f>IF(Arbeitszeit!F261=Urlaub,B_WorkTime*24,)</f>
        <v>0</v>
      </c>
      <c r="H260" s="174"/>
      <c r="I260" s="178">
        <f>IF(Arbeitszeit!F261=Krank,B_WorkTime*24,)</f>
        <v>0</v>
      </c>
      <c r="J260" s="174"/>
      <c r="K260" s="179"/>
      <c r="L260" s="180"/>
      <c r="M260" s="656"/>
      <c r="N260" s="657"/>
      <c r="O260" s="656"/>
      <c r="P260" s="657"/>
      <c r="Q260" s="656"/>
      <c r="R260" s="657"/>
      <c r="S260" s="656"/>
      <c r="T260" s="657"/>
      <c r="U260" s="656"/>
      <c r="V260" s="657"/>
      <c r="W260" s="656"/>
      <c r="X260" s="657"/>
      <c r="Y260" s="656"/>
      <c r="Z260" s="657"/>
      <c r="AA260" s="656"/>
      <c r="AB260" s="657"/>
      <c r="AC260" s="656"/>
      <c r="AD260" s="657"/>
      <c r="AE260" s="656"/>
      <c r="AF260" s="658"/>
      <c r="AG260" s="656"/>
      <c r="AH260" s="658"/>
      <c r="AI260" s="656"/>
      <c r="AJ260" s="658"/>
      <c r="AK260" s="656"/>
      <c r="AL260" s="658"/>
      <c r="AM260" s="659"/>
      <c r="AN260" s="658"/>
      <c r="AO260" s="656"/>
      <c r="AP260" s="658"/>
      <c r="AQ260" s="659"/>
      <c r="AR260" s="658"/>
      <c r="AS260" s="658"/>
      <c r="AT260" s="658"/>
      <c r="AU260" s="659"/>
      <c r="AV260" s="658"/>
      <c r="AW260" s="658"/>
      <c r="AX260" s="181"/>
      <c r="AY260" s="177"/>
      <c r="AZ260">
        <f ca="1">INDIRECT(ADDRESS(ROW()+1,COLUMN(Arbeitszeit!xDay),,,"Arbeitszeit"))</f>
        <v>4</v>
      </c>
    </row>
    <row r="261" spans="1:52">
      <c r="A261" s="582">
        <f>Arbeitszeit!A262</f>
        <v>41895</v>
      </c>
      <c r="B261" s="583">
        <f t="shared" si="12"/>
        <v>41895</v>
      </c>
      <c r="C261" s="214">
        <f t="shared" si="13"/>
        <v>37</v>
      </c>
      <c r="D261" s="213">
        <f t="shared" si="14"/>
        <v>41882</v>
      </c>
      <c r="E261" s="670">
        <f>Arbeitszeit!U262*24</f>
        <v>0</v>
      </c>
      <c r="F261" s="397">
        <f t="shared" si="15"/>
        <v>0</v>
      </c>
      <c r="G261" s="178">
        <f>IF(Arbeitszeit!F262=Urlaub,B_WorkTime*24,)</f>
        <v>0</v>
      </c>
      <c r="H261" s="174"/>
      <c r="I261" s="178">
        <f>IF(Arbeitszeit!F262=Krank,B_WorkTime*24,)</f>
        <v>0</v>
      </c>
      <c r="J261" s="174"/>
      <c r="K261" s="179"/>
      <c r="L261" s="180"/>
      <c r="M261" s="656"/>
      <c r="N261" s="657"/>
      <c r="O261" s="656"/>
      <c r="P261" s="657"/>
      <c r="Q261" s="656"/>
      <c r="R261" s="657"/>
      <c r="S261" s="656"/>
      <c r="T261" s="657"/>
      <c r="U261" s="656"/>
      <c r="V261" s="657"/>
      <c r="W261" s="656"/>
      <c r="X261" s="657"/>
      <c r="Y261" s="656"/>
      <c r="Z261" s="657"/>
      <c r="AA261" s="656"/>
      <c r="AB261" s="657"/>
      <c r="AC261" s="656"/>
      <c r="AD261" s="657"/>
      <c r="AE261" s="656"/>
      <c r="AF261" s="658"/>
      <c r="AG261" s="656"/>
      <c r="AH261" s="658"/>
      <c r="AI261" s="656"/>
      <c r="AJ261" s="658"/>
      <c r="AK261" s="656"/>
      <c r="AL261" s="658"/>
      <c r="AM261" s="659"/>
      <c r="AN261" s="658"/>
      <c r="AO261" s="656"/>
      <c r="AP261" s="658"/>
      <c r="AQ261" s="659"/>
      <c r="AR261" s="658"/>
      <c r="AS261" s="658"/>
      <c r="AT261" s="658"/>
      <c r="AU261" s="659"/>
      <c r="AV261" s="658"/>
      <c r="AW261" s="658"/>
      <c r="AX261" s="181"/>
      <c r="AY261" s="177"/>
      <c r="AZ261">
        <f ca="1">INDIRECT(ADDRESS(ROW()+1,COLUMN(Arbeitszeit!xDay),,,"Arbeitszeit"))</f>
        <v>5</v>
      </c>
    </row>
    <row r="262" spans="1:52" s="5" customFormat="1">
      <c r="A262" s="582">
        <f>Arbeitszeit!A263</f>
        <v>41896</v>
      </c>
      <c r="B262" s="583">
        <f t="shared" ref="B262:B325" si="16">IF(A262="","",A262)</f>
        <v>41896</v>
      </c>
      <c r="C262" s="214">
        <f t="shared" si="13"/>
        <v>37</v>
      </c>
      <c r="D262" s="213">
        <f t="shared" si="14"/>
        <v>41882</v>
      </c>
      <c r="E262" s="670">
        <f>Arbeitszeit!U263*24</f>
        <v>0</v>
      </c>
      <c r="F262" s="397">
        <f t="shared" si="15"/>
        <v>0</v>
      </c>
      <c r="G262" s="178">
        <f>IF(Arbeitszeit!F263=Urlaub,B_WorkTime*24,)</f>
        <v>0</v>
      </c>
      <c r="H262" s="174"/>
      <c r="I262" s="178">
        <f>IF(Arbeitszeit!F263=Krank,B_WorkTime*24,)</f>
        <v>0</v>
      </c>
      <c r="J262" s="174"/>
      <c r="K262" s="179"/>
      <c r="L262" s="180"/>
      <c r="M262" s="656"/>
      <c r="N262" s="657"/>
      <c r="O262" s="656"/>
      <c r="P262" s="657"/>
      <c r="Q262" s="656"/>
      <c r="R262" s="657"/>
      <c r="S262" s="656"/>
      <c r="T262" s="657"/>
      <c r="U262" s="656"/>
      <c r="V262" s="657"/>
      <c r="W262" s="656"/>
      <c r="X262" s="657"/>
      <c r="Y262" s="656"/>
      <c r="Z262" s="657"/>
      <c r="AA262" s="656"/>
      <c r="AB262" s="657"/>
      <c r="AC262" s="656"/>
      <c r="AD262" s="657"/>
      <c r="AE262" s="656"/>
      <c r="AF262" s="658"/>
      <c r="AG262" s="656"/>
      <c r="AH262" s="658"/>
      <c r="AI262" s="656"/>
      <c r="AJ262" s="658"/>
      <c r="AK262" s="656"/>
      <c r="AL262" s="658"/>
      <c r="AM262" s="659"/>
      <c r="AN262" s="658"/>
      <c r="AO262" s="656"/>
      <c r="AP262" s="658"/>
      <c r="AQ262" s="659"/>
      <c r="AR262" s="658"/>
      <c r="AS262" s="658"/>
      <c r="AT262" s="658"/>
      <c r="AU262" s="659"/>
      <c r="AV262" s="658"/>
      <c r="AW262" s="658"/>
      <c r="AX262" s="181"/>
      <c r="AY262" s="177"/>
      <c r="AZ262">
        <f ca="1">INDIRECT(ADDRESS(ROW()+1,COLUMN(Arbeitszeit!xDay),,,"Arbeitszeit"))</f>
        <v>6</v>
      </c>
    </row>
    <row r="263" spans="1:52">
      <c r="A263" s="582">
        <f>Arbeitszeit!A264</f>
        <v>41897</v>
      </c>
      <c r="B263" s="583">
        <f t="shared" si="16"/>
        <v>41897</v>
      </c>
      <c r="C263" s="214">
        <f t="shared" ref="C263:C326" si="17">IF(A263="","",NumberOfWeek(A263))</f>
        <v>37</v>
      </c>
      <c r="D263" s="213">
        <f t="shared" ref="D263:D326" si="18">IF(A263="","",DATE(YEAR(A263),MONTH(A263),1))</f>
        <v>41882</v>
      </c>
      <c r="E263" s="670">
        <f>Arbeitszeit!U264*24</f>
        <v>0</v>
      </c>
      <c r="F263" s="397">
        <f t="shared" si="15"/>
        <v>0</v>
      </c>
      <c r="G263" s="178">
        <f>IF(Arbeitszeit!F264=Urlaub,B_WorkTime*24,)</f>
        <v>0</v>
      </c>
      <c r="H263" s="174"/>
      <c r="I263" s="178">
        <f>IF(Arbeitszeit!F264=Krank,B_WorkTime*24,)</f>
        <v>0</v>
      </c>
      <c r="J263" s="174"/>
      <c r="K263" s="179"/>
      <c r="L263" s="180"/>
      <c r="M263" s="656"/>
      <c r="N263" s="657"/>
      <c r="O263" s="656"/>
      <c r="P263" s="657"/>
      <c r="Q263" s="656"/>
      <c r="R263" s="657"/>
      <c r="S263" s="656"/>
      <c r="T263" s="657"/>
      <c r="U263" s="656"/>
      <c r="V263" s="657"/>
      <c r="W263" s="656"/>
      <c r="X263" s="657"/>
      <c r="Y263" s="656"/>
      <c r="Z263" s="657"/>
      <c r="AA263" s="656"/>
      <c r="AB263" s="657"/>
      <c r="AC263" s="656"/>
      <c r="AD263" s="657"/>
      <c r="AE263" s="656"/>
      <c r="AF263" s="658"/>
      <c r="AG263" s="656"/>
      <c r="AH263" s="658"/>
      <c r="AI263" s="656"/>
      <c r="AJ263" s="658"/>
      <c r="AK263" s="656"/>
      <c r="AL263" s="658"/>
      <c r="AM263" s="659"/>
      <c r="AN263" s="658"/>
      <c r="AO263" s="656"/>
      <c r="AP263" s="658"/>
      <c r="AQ263" s="659"/>
      <c r="AR263" s="658"/>
      <c r="AS263" s="658"/>
      <c r="AT263" s="658"/>
      <c r="AU263" s="659"/>
      <c r="AV263" s="658"/>
      <c r="AW263" s="658"/>
      <c r="AX263" s="181"/>
      <c r="AY263" s="177"/>
      <c r="AZ263">
        <f ca="1">INDIRECT(ADDRESS(ROW()+1,COLUMN(Arbeitszeit!xDay),,,"Arbeitszeit"))</f>
        <v>7</v>
      </c>
    </row>
    <row r="264" spans="1:52">
      <c r="A264" s="582">
        <f>Arbeitszeit!A265</f>
        <v>41898</v>
      </c>
      <c r="B264" s="583">
        <f t="shared" si="16"/>
        <v>41898</v>
      </c>
      <c r="C264" s="214">
        <f t="shared" si="17"/>
        <v>38</v>
      </c>
      <c r="D264" s="213">
        <f t="shared" si="18"/>
        <v>41882</v>
      </c>
      <c r="E264" s="670">
        <f>Arbeitszeit!U265*24</f>
        <v>0</v>
      </c>
      <c r="F264" s="397">
        <f t="shared" ref="F264:F327" si="19">ROUND(E264-SUM(K264:AW264),1)</f>
        <v>0</v>
      </c>
      <c r="G264" s="178">
        <f>IF(Arbeitszeit!F265=Urlaub,B_WorkTime*24,)</f>
        <v>0</v>
      </c>
      <c r="H264" s="174"/>
      <c r="I264" s="178">
        <f>IF(Arbeitszeit!F265=Krank,B_WorkTime*24,)</f>
        <v>0</v>
      </c>
      <c r="J264" s="174"/>
      <c r="K264" s="179"/>
      <c r="L264" s="180"/>
      <c r="M264" s="656"/>
      <c r="N264" s="657"/>
      <c r="O264" s="656"/>
      <c r="P264" s="657"/>
      <c r="Q264" s="656"/>
      <c r="R264" s="657"/>
      <c r="S264" s="656"/>
      <c r="T264" s="657"/>
      <c r="U264" s="656"/>
      <c r="V264" s="657"/>
      <c r="W264" s="656"/>
      <c r="X264" s="657"/>
      <c r="Y264" s="656"/>
      <c r="Z264" s="657"/>
      <c r="AA264" s="656"/>
      <c r="AB264" s="657"/>
      <c r="AC264" s="656"/>
      <c r="AD264" s="657"/>
      <c r="AE264" s="656"/>
      <c r="AF264" s="658"/>
      <c r="AG264" s="656"/>
      <c r="AH264" s="658"/>
      <c r="AI264" s="656"/>
      <c r="AJ264" s="658"/>
      <c r="AK264" s="656"/>
      <c r="AL264" s="658"/>
      <c r="AM264" s="659"/>
      <c r="AN264" s="658"/>
      <c r="AO264" s="656"/>
      <c r="AP264" s="658"/>
      <c r="AQ264" s="659"/>
      <c r="AR264" s="658"/>
      <c r="AS264" s="658"/>
      <c r="AT264" s="658"/>
      <c r="AU264" s="659"/>
      <c r="AV264" s="658"/>
      <c r="AW264" s="658"/>
      <c r="AX264" s="181"/>
      <c r="AY264" s="177"/>
      <c r="AZ264">
        <f ca="1">INDIRECT(ADDRESS(ROW()+1,COLUMN(Arbeitszeit!xDay),,,"Arbeitszeit"))</f>
        <v>1</v>
      </c>
    </row>
    <row r="265" spans="1:52">
      <c r="A265" s="582">
        <f>Arbeitszeit!A266</f>
        <v>41899</v>
      </c>
      <c r="B265" s="583">
        <f t="shared" si="16"/>
        <v>41899</v>
      </c>
      <c r="C265" s="214">
        <f t="shared" si="17"/>
        <v>38</v>
      </c>
      <c r="D265" s="213">
        <f t="shared" si="18"/>
        <v>41882</v>
      </c>
      <c r="E265" s="670">
        <f>Arbeitszeit!U266*24</f>
        <v>0</v>
      </c>
      <c r="F265" s="397">
        <f t="shared" si="19"/>
        <v>0</v>
      </c>
      <c r="G265" s="178">
        <f>IF(Arbeitszeit!F266=Urlaub,B_WorkTime*24,)</f>
        <v>0</v>
      </c>
      <c r="H265" s="174"/>
      <c r="I265" s="178">
        <f>IF(Arbeitszeit!F266=Krank,B_WorkTime*24,)</f>
        <v>0</v>
      </c>
      <c r="J265" s="174"/>
      <c r="K265" s="179"/>
      <c r="L265" s="180"/>
      <c r="M265" s="677"/>
      <c r="N265" s="657"/>
      <c r="O265" s="677"/>
      <c r="P265" s="657"/>
      <c r="Q265" s="656"/>
      <c r="R265" s="657"/>
      <c r="S265" s="656"/>
      <c r="T265" s="657"/>
      <c r="U265" s="656"/>
      <c r="V265" s="657"/>
      <c r="W265" s="656"/>
      <c r="X265" s="657"/>
      <c r="Y265" s="656"/>
      <c r="Z265" s="657"/>
      <c r="AA265" s="656"/>
      <c r="AB265" s="657"/>
      <c r="AC265" s="656"/>
      <c r="AD265" s="657"/>
      <c r="AE265" s="656"/>
      <c r="AF265" s="658"/>
      <c r="AG265" s="656"/>
      <c r="AH265" s="658"/>
      <c r="AI265" s="656"/>
      <c r="AJ265" s="658"/>
      <c r="AK265" s="656"/>
      <c r="AL265" s="658"/>
      <c r="AM265" s="659"/>
      <c r="AN265" s="658"/>
      <c r="AO265" s="656"/>
      <c r="AP265" s="658"/>
      <c r="AQ265" s="659"/>
      <c r="AR265" s="658"/>
      <c r="AS265" s="658"/>
      <c r="AT265" s="658"/>
      <c r="AU265" s="659"/>
      <c r="AV265" s="658"/>
      <c r="AW265" s="658"/>
      <c r="AX265" s="181"/>
      <c r="AY265" s="177"/>
      <c r="AZ265">
        <f ca="1">INDIRECT(ADDRESS(ROW()+1,COLUMN(Arbeitszeit!xDay),,,"Arbeitszeit"))</f>
        <v>2</v>
      </c>
    </row>
    <row r="266" spans="1:52">
      <c r="A266" s="582">
        <f>Arbeitszeit!A267</f>
        <v>41900</v>
      </c>
      <c r="B266" s="583">
        <f t="shared" si="16"/>
        <v>41900</v>
      </c>
      <c r="C266" s="214">
        <f t="shared" si="17"/>
        <v>38</v>
      </c>
      <c r="D266" s="213">
        <f t="shared" si="18"/>
        <v>41882</v>
      </c>
      <c r="E266" s="670">
        <f>Arbeitszeit!U267*24</f>
        <v>0</v>
      </c>
      <c r="F266" s="397">
        <f t="shared" si="19"/>
        <v>0</v>
      </c>
      <c r="G266" s="178">
        <f>IF(Arbeitszeit!F267=Urlaub,B_WorkTime*24,)</f>
        <v>0</v>
      </c>
      <c r="H266" s="174"/>
      <c r="I266" s="178">
        <f>IF(Arbeitszeit!F267=Krank,B_WorkTime*24,)</f>
        <v>0</v>
      </c>
      <c r="J266" s="174"/>
      <c r="K266" s="179"/>
      <c r="L266" s="180"/>
      <c r="M266" s="656"/>
      <c r="N266" s="657"/>
      <c r="O266" s="656"/>
      <c r="P266" s="657"/>
      <c r="Q266" s="656"/>
      <c r="R266" s="657"/>
      <c r="S266" s="656"/>
      <c r="T266" s="657"/>
      <c r="U266" s="656"/>
      <c r="V266" s="657"/>
      <c r="W266" s="656"/>
      <c r="X266" s="657"/>
      <c r="Y266" s="656"/>
      <c r="Z266" s="657"/>
      <c r="AA266" s="656"/>
      <c r="AB266" s="657"/>
      <c r="AC266" s="656"/>
      <c r="AD266" s="657"/>
      <c r="AE266" s="656"/>
      <c r="AF266" s="658"/>
      <c r="AG266" s="656"/>
      <c r="AH266" s="658"/>
      <c r="AI266" s="656"/>
      <c r="AJ266" s="658"/>
      <c r="AK266" s="656"/>
      <c r="AL266" s="658"/>
      <c r="AM266" s="659"/>
      <c r="AN266" s="658"/>
      <c r="AO266" s="656"/>
      <c r="AP266" s="658"/>
      <c r="AQ266" s="659"/>
      <c r="AR266" s="658"/>
      <c r="AS266" s="658"/>
      <c r="AT266" s="658"/>
      <c r="AU266" s="659"/>
      <c r="AV266" s="658"/>
      <c r="AW266" s="658"/>
      <c r="AX266" s="181"/>
      <c r="AY266" s="177"/>
      <c r="AZ266">
        <f ca="1">INDIRECT(ADDRESS(ROW()+1,COLUMN(Arbeitszeit!xDay),,,"Arbeitszeit"))</f>
        <v>3</v>
      </c>
    </row>
    <row r="267" spans="1:52">
      <c r="A267" s="582">
        <f>Arbeitszeit!A268</f>
        <v>41901</v>
      </c>
      <c r="B267" s="583">
        <f t="shared" si="16"/>
        <v>41901</v>
      </c>
      <c r="C267" s="214">
        <f t="shared" si="17"/>
        <v>38</v>
      </c>
      <c r="D267" s="213">
        <f t="shared" si="18"/>
        <v>41882</v>
      </c>
      <c r="E267" s="670">
        <f>Arbeitszeit!U268*24</f>
        <v>0</v>
      </c>
      <c r="F267" s="397">
        <f t="shared" si="19"/>
        <v>0</v>
      </c>
      <c r="G267" s="178">
        <f>IF(Arbeitszeit!F268=Urlaub,B_WorkTime*24,)</f>
        <v>0</v>
      </c>
      <c r="H267" s="174"/>
      <c r="I267" s="178">
        <f>IF(Arbeitszeit!F268=Krank,B_WorkTime*24,)</f>
        <v>0</v>
      </c>
      <c r="J267" s="174"/>
      <c r="K267" s="179"/>
      <c r="L267" s="180"/>
      <c r="M267" s="656"/>
      <c r="N267" s="657"/>
      <c r="O267" s="656"/>
      <c r="P267" s="657"/>
      <c r="Q267" s="656"/>
      <c r="R267" s="657"/>
      <c r="S267" s="656"/>
      <c r="T267" s="657"/>
      <c r="U267" s="656"/>
      <c r="V267" s="657"/>
      <c r="W267" s="656"/>
      <c r="X267" s="657"/>
      <c r="Y267" s="656"/>
      <c r="Z267" s="657"/>
      <c r="AA267" s="656"/>
      <c r="AB267" s="657"/>
      <c r="AC267" s="656"/>
      <c r="AD267" s="657"/>
      <c r="AE267" s="656"/>
      <c r="AF267" s="658"/>
      <c r="AG267" s="656"/>
      <c r="AH267" s="658"/>
      <c r="AI267" s="656"/>
      <c r="AJ267" s="658"/>
      <c r="AK267" s="656"/>
      <c r="AL267" s="658"/>
      <c r="AM267" s="659"/>
      <c r="AN267" s="658"/>
      <c r="AO267" s="656"/>
      <c r="AP267" s="658"/>
      <c r="AQ267" s="659"/>
      <c r="AR267" s="658"/>
      <c r="AS267" s="658"/>
      <c r="AT267" s="658"/>
      <c r="AU267" s="659"/>
      <c r="AV267" s="658"/>
      <c r="AW267" s="658"/>
      <c r="AX267" s="181"/>
      <c r="AY267" s="177"/>
      <c r="AZ267">
        <f ca="1">INDIRECT(ADDRESS(ROW()+1,COLUMN(Arbeitszeit!xDay),,,"Arbeitszeit"))</f>
        <v>4</v>
      </c>
    </row>
    <row r="268" spans="1:52">
      <c r="A268" s="582">
        <f>Arbeitszeit!A269</f>
        <v>41902</v>
      </c>
      <c r="B268" s="583">
        <f t="shared" si="16"/>
        <v>41902</v>
      </c>
      <c r="C268" s="214">
        <f t="shared" si="17"/>
        <v>38</v>
      </c>
      <c r="D268" s="213">
        <f t="shared" si="18"/>
        <v>41882</v>
      </c>
      <c r="E268" s="670">
        <f>Arbeitszeit!U269*24</f>
        <v>0</v>
      </c>
      <c r="F268" s="397">
        <f t="shared" si="19"/>
        <v>0</v>
      </c>
      <c r="G268" s="178">
        <f>IF(Arbeitszeit!F269=Urlaub,B_WorkTime*24,)</f>
        <v>0</v>
      </c>
      <c r="H268" s="174"/>
      <c r="I268" s="178">
        <f>IF(Arbeitszeit!F269=Krank,B_WorkTime*24,)</f>
        <v>0</v>
      </c>
      <c r="J268" s="174"/>
      <c r="K268" s="179"/>
      <c r="L268" s="180"/>
      <c r="M268" s="656"/>
      <c r="N268" s="657"/>
      <c r="O268" s="656"/>
      <c r="P268" s="657"/>
      <c r="Q268" s="656"/>
      <c r="R268" s="657"/>
      <c r="S268" s="656"/>
      <c r="T268" s="657"/>
      <c r="U268" s="656"/>
      <c r="V268" s="657"/>
      <c r="W268" s="656"/>
      <c r="X268" s="657"/>
      <c r="Y268" s="656"/>
      <c r="Z268" s="657"/>
      <c r="AA268" s="656"/>
      <c r="AB268" s="657"/>
      <c r="AC268" s="656"/>
      <c r="AD268" s="657"/>
      <c r="AE268" s="656"/>
      <c r="AF268" s="658"/>
      <c r="AG268" s="656"/>
      <c r="AH268" s="658"/>
      <c r="AI268" s="656"/>
      <c r="AJ268" s="658"/>
      <c r="AK268" s="656"/>
      <c r="AL268" s="658"/>
      <c r="AM268" s="659"/>
      <c r="AN268" s="658"/>
      <c r="AO268" s="656"/>
      <c r="AP268" s="658"/>
      <c r="AQ268" s="659"/>
      <c r="AR268" s="658"/>
      <c r="AS268" s="658"/>
      <c r="AT268" s="658"/>
      <c r="AU268" s="659"/>
      <c r="AV268" s="658"/>
      <c r="AW268" s="658"/>
      <c r="AX268" s="181"/>
      <c r="AY268" s="177"/>
      <c r="AZ268">
        <f ca="1">INDIRECT(ADDRESS(ROW()+1,COLUMN(Arbeitszeit!xDay),,,"Arbeitszeit"))</f>
        <v>5</v>
      </c>
    </row>
    <row r="269" spans="1:52">
      <c r="A269" s="582">
        <f>Arbeitszeit!A270</f>
        <v>41903</v>
      </c>
      <c r="B269" s="583">
        <f t="shared" si="16"/>
        <v>41903</v>
      </c>
      <c r="C269" s="214">
        <f t="shared" si="17"/>
        <v>38</v>
      </c>
      <c r="D269" s="213">
        <f t="shared" si="18"/>
        <v>41882</v>
      </c>
      <c r="E269" s="670">
        <f>Arbeitszeit!U270*24</f>
        <v>0</v>
      </c>
      <c r="F269" s="397">
        <f t="shared" si="19"/>
        <v>0</v>
      </c>
      <c r="G269" s="178">
        <f>IF(Arbeitszeit!F270=Urlaub,B_WorkTime*24,)</f>
        <v>0</v>
      </c>
      <c r="H269" s="174"/>
      <c r="I269" s="178">
        <f>IF(Arbeitszeit!F270=Krank,B_WorkTime*24,)</f>
        <v>0</v>
      </c>
      <c r="J269" s="174"/>
      <c r="K269" s="179"/>
      <c r="L269" s="180"/>
      <c r="M269" s="656"/>
      <c r="N269" s="657"/>
      <c r="O269" s="656"/>
      <c r="P269" s="657"/>
      <c r="Q269" s="656"/>
      <c r="R269" s="657"/>
      <c r="S269" s="656"/>
      <c r="T269" s="657"/>
      <c r="U269" s="656"/>
      <c r="V269" s="657"/>
      <c r="W269" s="656"/>
      <c r="X269" s="657"/>
      <c r="Y269" s="656"/>
      <c r="Z269" s="657"/>
      <c r="AA269" s="656"/>
      <c r="AB269" s="657"/>
      <c r="AC269" s="656"/>
      <c r="AD269" s="657"/>
      <c r="AE269" s="656"/>
      <c r="AF269" s="658"/>
      <c r="AG269" s="656"/>
      <c r="AH269" s="658"/>
      <c r="AI269" s="656"/>
      <c r="AJ269" s="658"/>
      <c r="AK269" s="656"/>
      <c r="AL269" s="658"/>
      <c r="AM269" s="659"/>
      <c r="AN269" s="658"/>
      <c r="AO269" s="656"/>
      <c r="AP269" s="658"/>
      <c r="AQ269" s="659"/>
      <c r="AR269" s="658"/>
      <c r="AS269" s="658"/>
      <c r="AT269" s="658"/>
      <c r="AU269" s="659"/>
      <c r="AV269" s="658"/>
      <c r="AW269" s="658"/>
      <c r="AX269" s="181"/>
      <c r="AY269" s="177"/>
      <c r="AZ269">
        <f ca="1">INDIRECT(ADDRESS(ROW()+1,COLUMN(Arbeitszeit!xDay),,,"Arbeitszeit"))</f>
        <v>6</v>
      </c>
    </row>
    <row r="270" spans="1:52">
      <c r="A270" s="582">
        <f>Arbeitszeit!A271</f>
        <v>41904</v>
      </c>
      <c r="B270" s="583">
        <f t="shared" si="16"/>
        <v>41904</v>
      </c>
      <c r="C270" s="214">
        <f t="shared" si="17"/>
        <v>38</v>
      </c>
      <c r="D270" s="213">
        <f t="shared" si="18"/>
        <v>41882</v>
      </c>
      <c r="E270" s="670">
        <f>Arbeitszeit!U271*24</f>
        <v>0</v>
      </c>
      <c r="F270" s="397">
        <f t="shared" si="19"/>
        <v>0</v>
      </c>
      <c r="G270" s="178">
        <f>IF(Arbeitszeit!F271=Urlaub,B_WorkTime*24,)</f>
        <v>0</v>
      </c>
      <c r="H270" s="174"/>
      <c r="I270" s="178">
        <f>IF(Arbeitszeit!F271=Krank,B_WorkTime*24,)</f>
        <v>0</v>
      </c>
      <c r="J270" s="174"/>
      <c r="K270" s="179"/>
      <c r="L270" s="180"/>
      <c r="M270" s="656"/>
      <c r="N270" s="657"/>
      <c r="O270" s="656"/>
      <c r="P270" s="657"/>
      <c r="Q270" s="656"/>
      <c r="R270" s="657"/>
      <c r="S270" s="656"/>
      <c r="T270" s="657"/>
      <c r="U270" s="656"/>
      <c r="V270" s="657"/>
      <c r="W270" s="656"/>
      <c r="X270" s="657"/>
      <c r="Y270" s="656"/>
      <c r="Z270" s="657"/>
      <c r="AA270" s="656"/>
      <c r="AB270" s="657"/>
      <c r="AC270" s="656"/>
      <c r="AD270" s="657"/>
      <c r="AE270" s="656"/>
      <c r="AF270" s="658"/>
      <c r="AG270" s="656"/>
      <c r="AH270" s="658"/>
      <c r="AI270" s="656"/>
      <c r="AJ270" s="658"/>
      <c r="AK270" s="656"/>
      <c r="AL270" s="658"/>
      <c r="AM270" s="659"/>
      <c r="AN270" s="658"/>
      <c r="AO270" s="656"/>
      <c r="AP270" s="658"/>
      <c r="AQ270" s="659"/>
      <c r="AR270" s="658"/>
      <c r="AS270" s="658"/>
      <c r="AT270" s="658"/>
      <c r="AU270" s="659"/>
      <c r="AV270" s="658"/>
      <c r="AW270" s="658"/>
      <c r="AX270" s="181"/>
      <c r="AY270" s="177"/>
      <c r="AZ270">
        <f ca="1">INDIRECT(ADDRESS(ROW()+1,COLUMN(Arbeitszeit!xDay),,,"Arbeitszeit"))</f>
        <v>7</v>
      </c>
    </row>
    <row r="271" spans="1:52">
      <c r="A271" s="582">
        <f>Arbeitszeit!A272</f>
        <v>41905</v>
      </c>
      <c r="B271" s="583">
        <f t="shared" si="16"/>
        <v>41905</v>
      </c>
      <c r="C271" s="214">
        <f t="shared" si="17"/>
        <v>39</v>
      </c>
      <c r="D271" s="213">
        <f t="shared" si="18"/>
        <v>41882</v>
      </c>
      <c r="E271" s="670">
        <f>Arbeitszeit!U272*24</f>
        <v>0</v>
      </c>
      <c r="F271" s="397">
        <f t="shared" si="19"/>
        <v>0</v>
      </c>
      <c r="G271" s="178">
        <f>IF(Arbeitszeit!F272=Urlaub,B_WorkTime*24,)</f>
        <v>0</v>
      </c>
      <c r="H271" s="174"/>
      <c r="I271" s="178">
        <f>IF(Arbeitszeit!F272=Krank,B_WorkTime*24,)</f>
        <v>0</v>
      </c>
      <c r="J271" s="174"/>
      <c r="K271" s="179"/>
      <c r="L271" s="180"/>
      <c r="M271" s="656"/>
      <c r="N271" s="657"/>
      <c r="O271" s="656"/>
      <c r="P271" s="657"/>
      <c r="Q271" s="656"/>
      <c r="R271" s="657"/>
      <c r="S271" s="656"/>
      <c r="T271" s="657"/>
      <c r="U271" s="656"/>
      <c r="V271" s="657"/>
      <c r="W271" s="656"/>
      <c r="X271" s="657"/>
      <c r="Y271" s="656"/>
      <c r="Z271" s="657"/>
      <c r="AA271" s="656"/>
      <c r="AB271" s="657"/>
      <c r="AC271" s="656"/>
      <c r="AD271" s="657"/>
      <c r="AE271" s="656"/>
      <c r="AF271" s="658"/>
      <c r="AG271" s="656"/>
      <c r="AH271" s="658"/>
      <c r="AI271" s="656"/>
      <c r="AJ271" s="658"/>
      <c r="AK271" s="656"/>
      <c r="AL271" s="658"/>
      <c r="AM271" s="659"/>
      <c r="AN271" s="658"/>
      <c r="AO271" s="656"/>
      <c r="AP271" s="658"/>
      <c r="AQ271" s="659"/>
      <c r="AR271" s="658"/>
      <c r="AS271" s="658"/>
      <c r="AT271" s="658"/>
      <c r="AU271" s="659"/>
      <c r="AV271" s="658"/>
      <c r="AW271" s="658"/>
      <c r="AX271" s="181"/>
      <c r="AY271" s="177"/>
      <c r="AZ271">
        <f ca="1">INDIRECT(ADDRESS(ROW()+1,COLUMN(Arbeitszeit!xDay),,,"Arbeitszeit"))</f>
        <v>1</v>
      </c>
    </row>
    <row r="272" spans="1:52">
      <c r="A272" s="582">
        <f>Arbeitszeit!A273</f>
        <v>41906</v>
      </c>
      <c r="B272" s="583">
        <f t="shared" si="16"/>
        <v>41906</v>
      </c>
      <c r="C272" s="214">
        <f t="shared" si="17"/>
        <v>39</v>
      </c>
      <c r="D272" s="213">
        <f t="shared" si="18"/>
        <v>41882</v>
      </c>
      <c r="E272" s="670">
        <f>Arbeitszeit!U273*24</f>
        <v>0</v>
      </c>
      <c r="F272" s="397">
        <f t="shared" si="19"/>
        <v>0</v>
      </c>
      <c r="G272" s="178">
        <f>IF(Arbeitszeit!F273=Urlaub,B_WorkTime*24,)</f>
        <v>0</v>
      </c>
      <c r="H272" s="174"/>
      <c r="I272" s="178">
        <f>IF(Arbeitszeit!F273=Krank,B_WorkTime*24,)</f>
        <v>0</v>
      </c>
      <c r="J272" s="174"/>
      <c r="K272" s="179"/>
      <c r="L272" s="180"/>
      <c r="M272" s="656"/>
      <c r="N272" s="657"/>
      <c r="O272" s="656"/>
      <c r="P272" s="657"/>
      <c r="Q272" s="656"/>
      <c r="R272" s="657"/>
      <c r="S272" s="656"/>
      <c r="T272" s="657"/>
      <c r="U272" s="656"/>
      <c r="V272" s="657"/>
      <c r="W272" s="656"/>
      <c r="X272" s="657"/>
      <c r="Y272" s="656"/>
      <c r="Z272" s="657"/>
      <c r="AA272" s="656"/>
      <c r="AB272" s="657"/>
      <c r="AC272" s="656"/>
      <c r="AD272" s="657"/>
      <c r="AE272" s="656"/>
      <c r="AF272" s="658"/>
      <c r="AG272" s="656"/>
      <c r="AH272" s="658"/>
      <c r="AI272" s="656"/>
      <c r="AJ272" s="658"/>
      <c r="AK272" s="656"/>
      <c r="AL272" s="658"/>
      <c r="AM272" s="659"/>
      <c r="AN272" s="658"/>
      <c r="AO272" s="656"/>
      <c r="AP272" s="658"/>
      <c r="AQ272" s="659"/>
      <c r="AR272" s="658"/>
      <c r="AS272" s="658"/>
      <c r="AT272" s="658"/>
      <c r="AU272" s="659"/>
      <c r="AV272" s="658"/>
      <c r="AW272" s="658"/>
      <c r="AX272" s="181"/>
      <c r="AY272" s="177"/>
      <c r="AZ272">
        <f ca="1">INDIRECT(ADDRESS(ROW()+1,COLUMN(Arbeitszeit!xDay),,,"Arbeitszeit"))</f>
        <v>2</v>
      </c>
    </row>
    <row r="273" spans="1:52">
      <c r="A273" s="582">
        <f>Arbeitszeit!A274</f>
        <v>41907</v>
      </c>
      <c r="B273" s="583">
        <f t="shared" si="16"/>
        <v>41907</v>
      </c>
      <c r="C273" s="214">
        <f t="shared" si="17"/>
        <v>39</v>
      </c>
      <c r="D273" s="213">
        <f t="shared" si="18"/>
        <v>41882</v>
      </c>
      <c r="E273" s="670">
        <f>Arbeitszeit!U274*24</f>
        <v>0</v>
      </c>
      <c r="F273" s="397">
        <f t="shared" si="19"/>
        <v>0</v>
      </c>
      <c r="G273" s="178">
        <f>IF(Arbeitszeit!F274=Urlaub,B_WorkTime*24,)</f>
        <v>0</v>
      </c>
      <c r="H273" s="174"/>
      <c r="I273" s="178">
        <f>IF(Arbeitszeit!F274=Krank,B_WorkTime*24,)</f>
        <v>0</v>
      </c>
      <c r="J273" s="174"/>
      <c r="K273" s="179"/>
      <c r="L273" s="180"/>
      <c r="M273" s="656"/>
      <c r="N273" s="657"/>
      <c r="O273" s="656"/>
      <c r="P273" s="657"/>
      <c r="Q273" s="656"/>
      <c r="R273" s="657"/>
      <c r="S273" s="656"/>
      <c r="T273" s="657"/>
      <c r="U273" s="656"/>
      <c r="V273" s="657"/>
      <c r="W273" s="656"/>
      <c r="X273" s="657"/>
      <c r="Y273" s="656"/>
      <c r="Z273" s="657"/>
      <c r="AA273" s="656"/>
      <c r="AB273" s="657"/>
      <c r="AC273" s="656"/>
      <c r="AD273" s="657"/>
      <c r="AE273" s="656"/>
      <c r="AF273" s="658"/>
      <c r="AG273" s="656"/>
      <c r="AH273" s="658"/>
      <c r="AI273" s="656"/>
      <c r="AJ273" s="658"/>
      <c r="AK273" s="656"/>
      <c r="AL273" s="658"/>
      <c r="AM273" s="659"/>
      <c r="AN273" s="658"/>
      <c r="AO273" s="656"/>
      <c r="AP273" s="658"/>
      <c r="AQ273" s="659"/>
      <c r="AR273" s="658"/>
      <c r="AS273" s="658"/>
      <c r="AT273" s="658"/>
      <c r="AU273" s="659"/>
      <c r="AV273" s="658"/>
      <c r="AW273" s="658"/>
      <c r="AX273" s="181"/>
      <c r="AY273" s="177"/>
      <c r="AZ273">
        <f ca="1">INDIRECT(ADDRESS(ROW()+1,COLUMN(Arbeitszeit!xDay),,,"Arbeitszeit"))</f>
        <v>3</v>
      </c>
    </row>
    <row r="274" spans="1:52">
      <c r="A274" s="582">
        <f>Arbeitszeit!A275</f>
        <v>41908</v>
      </c>
      <c r="B274" s="583">
        <f t="shared" si="16"/>
        <v>41908</v>
      </c>
      <c r="C274" s="214">
        <f t="shared" si="17"/>
        <v>39</v>
      </c>
      <c r="D274" s="213">
        <f t="shared" si="18"/>
        <v>41882</v>
      </c>
      <c r="E274" s="670">
        <f>Arbeitszeit!U275*24</f>
        <v>0</v>
      </c>
      <c r="F274" s="397">
        <f t="shared" si="19"/>
        <v>0</v>
      </c>
      <c r="G274" s="178">
        <f>IF(Arbeitszeit!F275=Urlaub,B_WorkTime*24,)</f>
        <v>0</v>
      </c>
      <c r="H274" s="174"/>
      <c r="I274" s="178">
        <f>IF(Arbeitszeit!F275=Krank,B_WorkTime*24,)</f>
        <v>0</v>
      </c>
      <c r="J274" s="174"/>
      <c r="K274" s="179"/>
      <c r="L274" s="180"/>
      <c r="M274" s="656"/>
      <c r="N274" s="657"/>
      <c r="O274" s="656"/>
      <c r="P274" s="657"/>
      <c r="Q274" s="656"/>
      <c r="R274" s="657"/>
      <c r="S274" s="656"/>
      <c r="T274" s="657"/>
      <c r="U274" s="656"/>
      <c r="V274" s="657"/>
      <c r="W274" s="656"/>
      <c r="X274" s="657"/>
      <c r="Y274" s="656"/>
      <c r="Z274" s="657"/>
      <c r="AA274" s="656"/>
      <c r="AB274" s="657"/>
      <c r="AC274" s="656"/>
      <c r="AD274" s="657"/>
      <c r="AE274" s="656"/>
      <c r="AF274" s="658"/>
      <c r="AG274" s="656"/>
      <c r="AH274" s="658"/>
      <c r="AI274" s="656"/>
      <c r="AJ274" s="658"/>
      <c r="AK274" s="656"/>
      <c r="AL274" s="658"/>
      <c r="AM274" s="659"/>
      <c r="AN274" s="658"/>
      <c r="AO274" s="656"/>
      <c r="AP274" s="658"/>
      <c r="AQ274" s="659"/>
      <c r="AR274" s="658"/>
      <c r="AS274" s="658"/>
      <c r="AT274" s="658"/>
      <c r="AU274" s="659"/>
      <c r="AV274" s="658"/>
      <c r="AW274" s="658"/>
      <c r="AX274" s="181"/>
      <c r="AY274" s="177"/>
      <c r="AZ274">
        <f ca="1">INDIRECT(ADDRESS(ROW()+1,COLUMN(Arbeitszeit!xDay),,,"Arbeitszeit"))</f>
        <v>4</v>
      </c>
    </row>
    <row r="275" spans="1:52">
      <c r="A275" s="582">
        <f>Arbeitszeit!A276</f>
        <v>41909</v>
      </c>
      <c r="B275" s="583">
        <f t="shared" si="16"/>
        <v>41909</v>
      </c>
      <c r="C275" s="214">
        <f t="shared" si="17"/>
        <v>39</v>
      </c>
      <c r="D275" s="213">
        <f t="shared" si="18"/>
        <v>41882</v>
      </c>
      <c r="E275" s="670">
        <f>Arbeitszeit!U276*24</f>
        <v>0</v>
      </c>
      <c r="F275" s="397">
        <f t="shared" si="19"/>
        <v>0</v>
      </c>
      <c r="G275" s="178">
        <f>IF(Arbeitszeit!F276=Urlaub,B_WorkTime*24,)</f>
        <v>0</v>
      </c>
      <c r="H275" s="174"/>
      <c r="I275" s="178">
        <f>IF(Arbeitszeit!F276=Krank,B_WorkTime*24,)</f>
        <v>0</v>
      </c>
      <c r="J275" s="174"/>
      <c r="K275" s="179"/>
      <c r="L275" s="180"/>
      <c r="M275" s="656"/>
      <c r="N275" s="657"/>
      <c r="O275" s="656"/>
      <c r="P275" s="657"/>
      <c r="Q275" s="656"/>
      <c r="R275" s="657"/>
      <c r="S275" s="656"/>
      <c r="T275" s="657"/>
      <c r="U275" s="656"/>
      <c r="V275" s="657"/>
      <c r="W275" s="656"/>
      <c r="X275" s="657"/>
      <c r="Y275" s="656"/>
      <c r="Z275" s="657"/>
      <c r="AA275" s="656"/>
      <c r="AB275" s="657"/>
      <c r="AC275" s="656"/>
      <c r="AD275" s="657"/>
      <c r="AE275" s="656"/>
      <c r="AF275" s="658"/>
      <c r="AG275" s="656"/>
      <c r="AH275" s="658"/>
      <c r="AI275" s="656"/>
      <c r="AJ275" s="658"/>
      <c r="AK275" s="656"/>
      <c r="AL275" s="658"/>
      <c r="AM275" s="659"/>
      <c r="AN275" s="658"/>
      <c r="AO275" s="656"/>
      <c r="AP275" s="658"/>
      <c r="AQ275" s="659"/>
      <c r="AR275" s="658"/>
      <c r="AS275" s="658"/>
      <c r="AT275" s="658"/>
      <c r="AU275" s="659"/>
      <c r="AV275" s="658"/>
      <c r="AW275" s="658"/>
      <c r="AX275" s="181"/>
      <c r="AY275" s="177"/>
      <c r="AZ275">
        <f ca="1">INDIRECT(ADDRESS(ROW()+1,COLUMN(Arbeitszeit!xDay),,,"Arbeitszeit"))</f>
        <v>5</v>
      </c>
    </row>
    <row r="276" spans="1:52">
      <c r="A276" s="582">
        <f>Arbeitszeit!A277</f>
        <v>41910</v>
      </c>
      <c r="B276" s="583">
        <f t="shared" si="16"/>
        <v>41910</v>
      </c>
      <c r="C276" s="214">
        <f t="shared" si="17"/>
        <v>39</v>
      </c>
      <c r="D276" s="213">
        <f t="shared" si="18"/>
        <v>41882</v>
      </c>
      <c r="E276" s="670">
        <f>Arbeitszeit!U277*24</f>
        <v>0</v>
      </c>
      <c r="F276" s="397">
        <f t="shared" si="19"/>
        <v>0</v>
      </c>
      <c r="G276" s="178">
        <f>IF(Arbeitszeit!F277=Urlaub,B_WorkTime*24,)</f>
        <v>0</v>
      </c>
      <c r="H276" s="174"/>
      <c r="I276" s="178">
        <f>IF(Arbeitszeit!F277=Krank,B_WorkTime*24,)</f>
        <v>0</v>
      </c>
      <c r="J276" s="174"/>
      <c r="K276" s="179"/>
      <c r="L276" s="180"/>
      <c r="M276" s="656"/>
      <c r="N276" s="657"/>
      <c r="O276" s="656"/>
      <c r="P276" s="657"/>
      <c r="Q276" s="656"/>
      <c r="R276" s="657"/>
      <c r="S276" s="656"/>
      <c r="T276" s="657"/>
      <c r="U276" s="656"/>
      <c r="V276" s="657"/>
      <c r="W276" s="656"/>
      <c r="X276" s="657"/>
      <c r="Y276" s="656"/>
      <c r="Z276" s="657"/>
      <c r="AA276" s="656"/>
      <c r="AB276" s="657"/>
      <c r="AC276" s="656"/>
      <c r="AD276" s="657"/>
      <c r="AE276" s="656"/>
      <c r="AF276" s="658"/>
      <c r="AG276" s="656"/>
      <c r="AH276" s="658"/>
      <c r="AI276" s="656"/>
      <c r="AJ276" s="658"/>
      <c r="AK276" s="656"/>
      <c r="AL276" s="658"/>
      <c r="AM276" s="659"/>
      <c r="AN276" s="658"/>
      <c r="AO276" s="656"/>
      <c r="AP276" s="658"/>
      <c r="AQ276" s="659"/>
      <c r="AR276" s="658"/>
      <c r="AS276" s="658"/>
      <c r="AT276" s="658"/>
      <c r="AU276" s="659"/>
      <c r="AV276" s="658"/>
      <c r="AW276" s="658"/>
      <c r="AX276" s="181"/>
      <c r="AY276" s="177"/>
      <c r="AZ276">
        <f ca="1">INDIRECT(ADDRESS(ROW()+1,COLUMN(Arbeitszeit!xDay),,,"Arbeitszeit"))</f>
        <v>6</v>
      </c>
    </row>
    <row r="277" spans="1:52">
      <c r="A277" s="582">
        <f>Arbeitszeit!A278</f>
        <v>41911</v>
      </c>
      <c r="B277" s="583">
        <f t="shared" si="16"/>
        <v>41911</v>
      </c>
      <c r="C277" s="214">
        <f t="shared" si="17"/>
        <v>39</v>
      </c>
      <c r="D277" s="213">
        <f t="shared" si="18"/>
        <v>41882</v>
      </c>
      <c r="E277" s="670">
        <f>Arbeitszeit!U278*24</f>
        <v>0</v>
      </c>
      <c r="F277" s="397">
        <f t="shared" si="19"/>
        <v>0</v>
      </c>
      <c r="G277" s="178">
        <f>IF(Arbeitszeit!F278=Urlaub,B_WorkTime*24,)</f>
        <v>0</v>
      </c>
      <c r="H277" s="174"/>
      <c r="I277" s="178">
        <f>IF(Arbeitszeit!F278=Krank,B_WorkTime*24,)</f>
        <v>0</v>
      </c>
      <c r="J277" s="174"/>
      <c r="K277" s="179"/>
      <c r="L277" s="180"/>
      <c r="M277" s="656"/>
      <c r="N277" s="657"/>
      <c r="O277" s="656"/>
      <c r="P277" s="657"/>
      <c r="Q277" s="656"/>
      <c r="R277" s="657"/>
      <c r="S277" s="656"/>
      <c r="T277" s="657"/>
      <c r="U277" s="656"/>
      <c r="V277" s="657"/>
      <c r="W277" s="656"/>
      <c r="X277" s="657"/>
      <c r="Y277" s="656"/>
      <c r="Z277" s="657"/>
      <c r="AA277" s="656"/>
      <c r="AB277" s="657"/>
      <c r="AC277" s="656"/>
      <c r="AD277" s="657"/>
      <c r="AE277" s="656"/>
      <c r="AF277" s="658"/>
      <c r="AG277" s="656"/>
      <c r="AH277" s="658"/>
      <c r="AI277" s="656"/>
      <c r="AJ277" s="658"/>
      <c r="AK277" s="656"/>
      <c r="AL277" s="658"/>
      <c r="AM277" s="659"/>
      <c r="AN277" s="658"/>
      <c r="AO277" s="656"/>
      <c r="AP277" s="658"/>
      <c r="AQ277" s="659"/>
      <c r="AR277" s="658"/>
      <c r="AS277" s="658"/>
      <c r="AT277" s="658"/>
      <c r="AU277" s="659"/>
      <c r="AV277" s="658"/>
      <c r="AW277" s="658"/>
      <c r="AX277" s="181"/>
      <c r="AY277" s="177"/>
      <c r="AZ277">
        <f ca="1">INDIRECT(ADDRESS(ROW()+1,COLUMN(Arbeitszeit!xDay),,,"Arbeitszeit"))</f>
        <v>7</v>
      </c>
    </row>
    <row r="278" spans="1:52">
      <c r="A278" s="582">
        <f>Arbeitszeit!A279</f>
        <v>41912</v>
      </c>
      <c r="B278" s="583">
        <f t="shared" si="16"/>
        <v>41912</v>
      </c>
      <c r="C278" s="214">
        <f t="shared" si="17"/>
        <v>40</v>
      </c>
      <c r="D278" s="213">
        <f t="shared" si="18"/>
        <v>41912</v>
      </c>
      <c r="E278" s="670">
        <f>Arbeitszeit!U279*24</f>
        <v>0</v>
      </c>
      <c r="F278" s="397">
        <f t="shared" si="19"/>
        <v>0</v>
      </c>
      <c r="G278" s="178">
        <f>IF(Arbeitszeit!F279=Urlaub,B_WorkTime*24,)</f>
        <v>0</v>
      </c>
      <c r="H278" s="174"/>
      <c r="I278" s="178">
        <f>IF(Arbeitszeit!F279=Krank,B_WorkTime*24,)</f>
        <v>0</v>
      </c>
      <c r="J278" s="174"/>
      <c r="K278" s="179"/>
      <c r="L278" s="180"/>
      <c r="M278" s="656"/>
      <c r="N278" s="657"/>
      <c r="O278" s="656"/>
      <c r="P278" s="657"/>
      <c r="Q278" s="656"/>
      <c r="R278" s="657"/>
      <c r="S278" s="656"/>
      <c r="T278" s="657"/>
      <c r="U278" s="656"/>
      <c r="V278" s="657"/>
      <c r="W278" s="656"/>
      <c r="X278" s="657"/>
      <c r="Y278" s="656"/>
      <c r="Z278" s="657"/>
      <c r="AA278" s="656"/>
      <c r="AB278" s="657"/>
      <c r="AC278" s="656"/>
      <c r="AD278" s="657"/>
      <c r="AE278" s="656"/>
      <c r="AF278" s="658"/>
      <c r="AG278" s="656"/>
      <c r="AH278" s="658"/>
      <c r="AI278" s="656"/>
      <c r="AJ278" s="658"/>
      <c r="AK278" s="656"/>
      <c r="AL278" s="658"/>
      <c r="AM278" s="659"/>
      <c r="AN278" s="658"/>
      <c r="AO278" s="656"/>
      <c r="AP278" s="658"/>
      <c r="AQ278" s="659"/>
      <c r="AR278" s="658"/>
      <c r="AS278" s="658"/>
      <c r="AT278" s="658"/>
      <c r="AU278" s="659"/>
      <c r="AV278" s="658"/>
      <c r="AW278" s="658"/>
      <c r="AX278" s="181"/>
      <c r="AY278" s="177"/>
      <c r="AZ278">
        <f ca="1">INDIRECT(ADDRESS(ROW()+1,COLUMN(Arbeitszeit!xDay),,,"Arbeitszeit"))</f>
        <v>1</v>
      </c>
    </row>
    <row r="279" spans="1:52">
      <c r="A279" s="582">
        <f>Arbeitszeit!A280</f>
        <v>41913</v>
      </c>
      <c r="B279" s="583">
        <f t="shared" si="16"/>
        <v>41913</v>
      </c>
      <c r="C279" s="214">
        <f t="shared" si="17"/>
        <v>40</v>
      </c>
      <c r="D279" s="213">
        <f t="shared" si="18"/>
        <v>41912</v>
      </c>
      <c r="E279" s="670">
        <f>Arbeitszeit!U280*24</f>
        <v>0</v>
      </c>
      <c r="F279" s="397">
        <f t="shared" si="19"/>
        <v>0</v>
      </c>
      <c r="G279" s="178">
        <f>IF(Arbeitszeit!F280=Urlaub,B_WorkTime*24,)</f>
        <v>0</v>
      </c>
      <c r="H279" s="174"/>
      <c r="I279" s="178">
        <f>IF(Arbeitszeit!F280=Krank,B_WorkTime*24,)</f>
        <v>0</v>
      </c>
      <c r="J279" s="174"/>
      <c r="K279" s="179"/>
      <c r="L279" s="180"/>
      <c r="M279" s="656"/>
      <c r="N279" s="657"/>
      <c r="O279" s="656"/>
      <c r="P279" s="657"/>
      <c r="Q279" s="656"/>
      <c r="R279" s="657"/>
      <c r="S279" s="656"/>
      <c r="T279" s="657"/>
      <c r="U279" s="656"/>
      <c r="V279" s="657"/>
      <c r="W279" s="656"/>
      <c r="X279" s="657"/>
      <c r="Y279" s="656"/>
      <c r="Z279" s="657"/>
      <c r="AA279" s="656"/>
      <c r="AB279" s="657"/>
      <c r="AC279" s="656"/>
      <c r="AD279" s="657"/>
      <c r="AE279" s="656"/>
      <c r="AF279" s="658"/>
      <c r="AG279" s="656"/>
      <c r="AH279" s="658"/>
      <c r="AI279" s="656"/>
      <c r="AJ279" s="658"/>
      <c r="AK279" s="656"/>
      <c r="AL279" s="658"/>
      <c r="AM279" s="659"/>
      <c r="AN279" s="658"/>
      <c r="AO279" s="656"/>
      <c r="AP279" s="658"/>
      <c r="AQ279" s="659"/>
      <c r="AR279" s="658"/>
      <c r="AS279" s="658"/>
      <c r="AT279" s="658"/>
      <c r="AU279" s="659"/>
      <c r="AV279" s="658"/>
      <c r="AW279" s="658"/>
      <c r="AX279" s="181"/>
      <c r="AY279" s="177"/>
      <c r="AZ279">
        <f ca="1">INDIRECT(ADDRESS(ROW()+1,COLUMN(Arbeitszeit!xDay),,,"Arbeitszeit"))</f>
        <v>2</v>
      </c>
    </row>
    <row r="280" spans="1:52">
      <c r="A280" s="582">
        <f>Arbeitszeit!A281</f>
        <v>41914</v>
      </c>
      <c r="B280" s="583">
        <f t="shared" si="16"/>
        <v>41914</v>
      </c>
      <c r="C280" s="214">
        <f t="shared" si="17"/>
        <v>40</v>
      </c>
      <c r="D280" s="213">
        <f t="shared" si="18"/>
        <v>41912</v>
      </c>
      <c r="E280" s="670">
        <f>Arbeitszeit!U281*24</f>
        <v>0</v>
      </c>
      <c r="F280" s="397">
        <f t="shared" si="19"/>
        <v>0</v>
      </c>
      <c r="G280" s="178">
        <f>IF(Arbeitszeit!F281=Urlaub,B_WorkTime*24,)</f>
        <v>0</v>
      </c>
      <c r="H280" s="174"/>
      <c r="I280" s="178">
        <f>IF(Arbeitszeit!F281=Krank,B_WorkTime*24,)</f>
        <v>0</v>
      </c>
      <c r="J280" s="174"/>
      <c r="K280" s="179"/>
      <c r="L280" s="180"/>
      <c r="M280" s="656"/>
      <c r="N280" s="657"/>
      <c r="O280" s="656"/>
      <c r="P280" s="657"/>
      <c r="Q280" s="656"/>
      <c r="R280" s="657"/>
      <c r="S280" s="656"/>
      <c r="T280" s="657"/>
      <c r="U280" s="656"/>
      <c r="V280" s="657"/>
      <c r="W280" s="656"/>
      <c r="X280" s="657"/>
      <c r="Y280" s="656"/>
      <c r="Z280" s="657"/>
      <c r="AA280" s="656"/>
      <c r="AB280" s="657"/>
      <c r="AC280" s="656"/>
      <c r="AD280" s="657"/>
      <c r="AE280" s="656"/>
      <c r="AF280" s="658"/>
      <c r="AG280" s="656"/>
      <c r="AH280" s="658"/>
      <c r="AI280" s="656"/>
      <c r="AJ280" s="658"/>
      <c r="AK280" s="656"/>
      <c r="AL280" s="658"/>
      <c r="AM280" s="659"/>
      <c r="AN280" s="658"/>
      <c r="AO280" s="656"/>
      <c r="AP280" s="658"/>
      <c r="AQ280" s="659"/>
      <c r="AR280" s="658"/>
      <c r="AS280" s="658"/>
      <c r="AT280" s="658"/>
      <c r="AU280" s="659"/>
      <c r="AV280" s="658"/>
      <c r="AW280" s="658"/>
      <c r="AX280" s="181"/>
      <c r="AY280" s="177"/>
      <c r="AZ280">
        <f ca="1">INDIRECT(ADDRESS(ROW()+1,COLUMN(Arbeitszeit!xDay),,,"Arbeitszeit"))</f>
        <v>8</v>
      </c>
    </row>
    <row r="281" spans="1:52">
      <c r="A281" s="582">
        <f>Arbeitszeit!A282</f>
        <v>41915</v>
      </c>
      <c r="B281" s="583">
        <f t="shared" si="16"/>
        <v>41915</v>
      </c>
      <c r="C281" s="214">
        <f t="shared" si="17"/>
        <v>40</v>
      </c>
      <c r="D281" s="213">
        <f t="shared" si="18"/>
        <v>41912</v>
      </c>
      <c r="E281" s="670">
        <f>Arbeitszeit!U282*24</f>
        <v>0</v>
      </c>
      <c r="F281" s="397">
        <f t="shared" si="19"/>
        <v>0</v>
      </c>
      <c r="G281" s="178">
        <f>IF(Arbeitszeit!F282=Urlaub,B_WorkTime*24,)</f>
        <v>0</v>
      </c>
      <c r="H281" s="174"/>
      <c r="I281" s="178">
        <f>IF(Arbeitszeit!F282=Krank,B_WorkTime*24,)</f>
        <v>0</v>
      </c>
      <c r="J281" s="174"/>
      <c r="K281" s="179"/>
      <c r="L281" s="180"/>
      <c r="M281" s="656"/>
      <c r="N281" s="657"/>
      <c r="O281" s="656"/>
      <c r="P281" s="657"/>
      <c r="Q281" s="656"/>
      <c r="R281" s="657"/>
      <c r="S281" s="656"/>
      <c r="T281" s="657"/>
      <c r="U281" s="656"/>
      <c r="V281" s="657"/>
      <c r="W281" s="656"/>
      <c r="X281" s="657"/>
      <c r="Y281" s="656"/>
      <c r="Z281" s="657"/>
      <c r="AA281" s="656"/>
      <c r="AB281" s="657"/>
      <c r="AC281" s="656"/>
      <c r="AD281" s="657"/>
      <c r="AE281" s="656"/>
      <c r="AF281" s="658"/>
      <c r="AG281" s="656"/>
      <c r="AH281" s="658"/>
      <c r="AI281" s="656"/>
      <c r="AJ281" s="658"/>
      <c r="AK281" s="656"/>
      <c r="AL281" s="658"/>
      <c r="AM281" s="659"/>
      <c r="AN281" s="658"/>
      <c r="AO281" s="656"/>
      <c r="AP281" s="658"/>
      <c r="AQ281" s="659"/>
      <c r="AR281" s="658"/>
      <c r="AS281" s="658"/>
      <c r="AT281" s="658"/>
      <c r="AU281" s="659"/>
      <c r="AV281" s="658"/>
      <c r="AW281" s="658"/>
      <c r="AX281" s="181"/>
      <c r="AY281" s="177"/>
      <c r="AZ281">
        <f ca="1">INDIRECT(ADDRESS(ROW()+1,COLUMN(Arbeitszeit!xDay),,,"Arbeitszeit"))</f>
        <v>4</v>
      </c>
    </row>
    <row r="282" spans="1:52">
      <c r="A282" s="582">
        <f>Arbeitszeit!A283</f>
        <v>41916</v>
      </c>
      <c r="B282" s="583">
        <f t="shared" si="16"/>
        <v>41916</v>
      </c>
      <c r="C282" s="214">
        <f t="shared" si="17"/>
        <v>40</v>
      </c>
      <c r="D282" s="213">
        <f t="shared" si="18"/>
        <v>41912</v>
      </c>
      <c r="E282" s="670">
        <f>Arbeitszeit!U283*24</f>
        <v>0</v>
      </c>
      <c r="F282" s="397">
        <f t="shared" si="19"/>
        <v>0</v>
      </c>
      <c r="G282" s="178">
        <f>IF(Arbeitszeit!F283=Urlaub,B_WorkTime*24,)</f>
        <v>0</v>
      </c>
      <c r="H282" s="174"/>
      <c r="I282" s="178">
        <f>IF(Arbeitszeit!F283=Krank,B_WorkTime*24,)</f>
        <v>0</v>
      </c>
      <c r="J282" s="174"/>
      <c r="K282" s="179"/>
      <c r="L282" s="180"/>
      <c r="M282" s="656"/>
      <c r="N282" s="657"/>
      <c r="O282" s="656"/>
      <c r="P282" s="657"/>
      <c r="Q282" s="656"/>
      <c r="R282" s="657"/>
      <c r="S282" s="656"/>
      <c r="T282" s="657"/>
      <c r="U282" s="656"/>
      <c r="V282" s="657"/>
      <c r="W282" s="656"/>
      <c r="X282" s="657"/>
      <c r="Y282" s="656"/>
      <c r="Z282" s="657"/>
      <c r="AA282" s="656"/>
      <c r="AB282" s="657"/>
      <c r="AC282" s="656"/>
      <c r="AD282" s="657"/>
      <c r="AE282" s="656"/>
      <c r="AF282" s="658"/>
      <c r="AG282" s="656"/>
      <c r="AH282" s="658"/>
      <c r="AI282" s="656"/>
      <c r="AJ282" s="658"/>
      <c r="AK282" s="656"/>
      <c r="AL282" s="658"/>
      <c r="AM282" s="659"/>
      <c r="AN282" s="658"/>
      <c r="AO282" s="656"/>
      <c r="AP282" s="658"/>
      <c r="AQ282" s="659"/>
      <c r="AR282" s="658"/>
      <c r="AS282" s="658"/>
      <c r="AT282" s="658"/>
      <c r="AU282" s="659"/>
      <c r="AV282" s="658"/>
      <c r="AW282" s="658"/>
      <c r="AX282" s="181"/>
      <c r="AY282" s="177"/>
      <c r="AZ282">
        <f ca="1">INDIRECT(ADDRESS(ROW()+1,COLUMN(Arbeitszeit!xDay),,,"Arbeitszeit"))</f>
        <v>5</v>
      </c>
    </row>
    <row r="283" spans="1:52">
      <c r="A283" s="582">
        <f>Arbeitszeit!A284</f>
        <v>41917</v>
      </c>
      <c r="B283" s="583">
        <f t="shared" si="16"/>
        <v>41917</v>
      </c>
      <c r="C283" s="214">
        <f t="shared" si="17"/>
        <v>40</v>
      </c>
      <c r="D283" s="213">
        <f t="shared" si="18"/>
        <v>41912</v>
      </c>
      <c r="E283" s="670">
        <f>Arbeitszeit!U284*24</f>
        <v>0</v>
      </c>
      <c r="F283" s="397">
        <f t="shared" si="19"/>
        <v>0</v>
      </c>
      <c r="G283" s="178">
        <f>IF(Arbeitszeit!F284=Urlaub,B_WorkTime*24,)</f>
        <v>0</v>
      </c>
      <c r="H283" s="174"/>
      <c r="I283" s="178">
        <f>IF(Arbeitszeit!F284=Krank,B_WorkTime*24,)</f>
        <v>0</v>
      </c>
      <c r="J283" s="174"/>
      <c r="K283" s="179"/>
      <c r="L283" s="180"/>
      <c r="M283" s="656"/>
      <c r="N283" s="657"/>
      <c r="O283" s="656"/>
      <c r="P283" s="657"/>
      <c r="Q283" s="656"/>
      <c r="R283" s="657"/>
      <c r="S283" s="656"/>
      <c r="T283" s="657"/>
      <c r="U283" s="656"/>
      <c r="V283" s="657"/>
      <c r="W283" s="656"/>
      <c r="X283" s="657"/>
      <c r="Y283" s="656"/>
      <c r="Z283" s="657"/>
      <c r="AA283" s="656"/>
      <c r="AB283" s="657"/>
      <c r="AC283" s="656"/>
      <c r="AD283" s="657"/>
      <c r="AE283" s="656"/>
      <c r="AF283" s="658"/>
      <c r="AG283" s="656"/>
      <c r="AH283" s="658"/>
      <c r="AI283" s="656"/>
      <c r="AJ283" s="658"/>
      <c r="AK283" s="656"/>
      <c r="AL283" s="658"/>
      <c r="AM283" s="659"/>
      <c r="AN283" s="658"/>
      <c r="AO283" s="656"/>
      <c r="AP283" s="658"/>
      <c r="AQ283" s="659"/>
      <c r="AR283" s="658"/>
      <c r="AS283" s="658"/>
      <c r="AT283" s="658"/>
      <c r="AU283" s="659"/>
      <c r="AV283" s="658"/>
      <c r="AW283" s="658"/>
      <c r="AX283" s="181"/>
      <c r="AY283" s="177"/>
      <c r="AZ283">
        <f ca="1">INDIRECT(ADDRESS(ROW()+1,COLUMN(Arbeitszeit!xDay),,,"Arbeitszeit"))</f>
        <v>6</v>
      </c>
    </row>
    <row r="284" spans="1:52">
      <c r="A284" s="582">
        <f>Arbeitszeit!A285</f>
        <v>41918</v>
      </c>
      <c r="B284" s="583">
        <f t="shared" si="16"/>
        <v>41918</v>
      </c>
      <c r="C284" s="214">
        <f t="shared" si="17"/>
        <v>40</v>
      </c>
      <c r="D284" s="213">
        <f t="shared" si="18"/>
        <v>41912</v>
      </c>
      <c r="E284" s="670">
        <f>Arbeitszeit!U285*24</f>
        <v>0</v>
      </c>
      <c r="F284" s="397">
        <f t="shared" si="19"/>
        <v>0</v>
      </c>
      <c r="G284" s="178">
        <f>IF(Arbeitszeit!F285=Urlaub,B_WorkTime*24,)</f>
        <v>0</v>
      </c>
      <c r="H284" s="174"/>
      <c r="I284" s="178">
        <f>IF(Arbeitszeit!F285=Krank,B_WorkTime*24,)</f>
        <v>0</v>
      </c>
      <c r="J284" s="174"/>
      <c r="K284" s="179"/>
      <c r="L284" s="180"/>
      <c r="M284" s="656"/>
      <c r="N284" s="657"/>
      <c r="O284" s="656"/>
      <c r="P284" s="657"/>
      <c r="Q284" s="656"/>
      <c r="R284" s="657"/>
      <c r="S284" s="656"/>
      <c r="T284" s="657"/>
      <c r="U284" s="656"/>
      <c r="V284" s="657"/>
      <c r="W284" s="656"/>
      <c r="X284" s="657"/>
      <c r="Y284" s="656"/>
      <c r="Z284" s="657"/>
      <c r="AA284" s="656"/>
      <c r="AB284" s="657"/>
      <c r="AC284" s="656"/>
      <c r="AD284" s="657"/>
      <c r="AE284" s="656"/>
      <c r="AF284" s="658"/>
      <c r="AG284" s="656"/>
      <c r="AH284" s="658"/>
      <c r="AI284" s="656"/>
      <c r="AJ284" s="658"/>
      <c r="AK284" s="656"/>
      <c r="AL284" s="658"/>
      <c r="AM284" s="659"/>
      <c r="AN284" s="658"/>
      <c r="AO284" s="656"/>
      <c r="AP284" s="658"/>
      <c r="AQ284" s="659"/>
      <c r="AR284" s="658"/>
      <c r="AS284" s="658"/>
      <c r="AT284" s="658"/>
      <c r="AU284" s="659"/>
      <c r="AV284" s="658"/>
      <c r="AW284" s="658"/>
      <c r="AX284" s="181"/>
      <c r="AY284" s="177"/>
      <c r="AZ284">
        <f ca="1">INDIRECT(ADDRESS(ROW()+1,COLUMN(Arbeitszeit!xDay),,,"Arbeitszeit"))</f>
        <v>7</v>
      </c>
    </row>
    <row r="285" spans="1:52">
      <c r="A285" s="582">
        <f>Arbeitszeit!A286</f>
        <v>41919</v>
      </c>
      <c r="B285" s="583">
        <f t="shared" si="16"/>
        <v>41919</v>
      </c>
      <c r="C285" s="214">
        <f t="shared" si="17"/>
        <v>41</v>
      </c>
      <c r="D285" s="213">
        <f t="shared" si="18"/>
        <v>41912</v>
      </c>
      <c r="E285" s="670">
        <f>Arbeitszeit!U286*24</f>
        <v>0</v>
      </c>
      <c r="F285" s="397">
        <f t="shared" si="19"/>
        <v>0</v>
      </c>
      <c r="G285" s="178">
        <f>IF(Arbeitszeit!F286=Urlaub,B_WorkTime*24,)</f>
        <v>0</v>
      </c>
      <c r="H285" s="174"/>
      <c r="I285" s="178">
        <f>IF(Arbeitszeit!F286=Krank,B_WorkTime*24,)</f>
        <v>0</v>
      </c>
      <c r="J285" s="174"/>
      <c r="K285" s="179"/>
      <c r="L285" s="180"/>
      <c r="M285" s="656"/>
      <c r="N285" s="657"/>
      <c r="O285" s="656"/>
      <c r="P285" s="657"/>
      <c r="Q285" s="656"/>
      <c r="R285" s="657"/>
      <c r="S285" s="656"/>
      <c r="T285" s="657"/>
      <c r="U285" s="656"/>
      <c r="V285" s="657"/>
      <c r="W285" s="656"/>
      <c r="X285" s="657"/>
      <c r="Y285" s="656"/>
      <c r="Z285" s="657"/>
      <c r="AA285" s="656"/>
      <c r="AB285" s="657"/>
      <c r="AC285" s="656"/>
      <c r="AD285" s="657"/>
      <c r="AE285" s="656"/>
      <c r="AF285" s="658"/>
      <c r="AG285" s="656"/>
      <c r="AH285" s="658"/>
      <c r="AI285" s="656"/>
      <c r="AJ285" s="658"/>
      <c r="AK285" s="656"/>
      <c r="AL285" s="658"/>
      <c r="AM285" s="659"/>
      <c r="AN285" s="658"/>
      <c r="AO285" s="656"/>
      <c r="AP285" s="658"/>
      <c r="AQ285" s="659"/>
      <c r="AR285" s="658"/>
      <c r="AS285" s="658"/>
      <c r="AT285" s="658"/>
      <c r="AU285" s="659"/>
      <c r="AV285" s="658"/>
      <c r="AW285" s="658"/>
      <c r="AX285" s="181"/>
      <c r="AY285" s="177"/>
      <c r="AZ285">
        <f ca="1">INDIRECT(ADDRESS(ROW()+1,COLUMN(Arbeitszeit!xDay),,,"Arbeitszeit"))</f>
        <v>1</v>
      </c>
    </row>
    <row r="286" spans="1:52">
      <c r="A286" s="582">
        <f>Arbeitszeit!A287</f>
        <v>41920</v>
      </c>
      <c r="B286" s="583">
        <f t="shared" si="16"/>
        <v>41920</v>
      </c>
      <c r="C286" s="214">
        <f t="shared" si="17"/>
        <v>41</v>
      </c>
      <c r="D286" s="213">
        <f t="shared" si="18"/>
        <v>41912</v>
      </c>
      <c r="E286" s="670">
        <f>Arbeitszeit!U287*24</f>
        <v>0</v>
      </c>
      <c r="F286" s="397">
        <f t="shared" si="19"/>
        <v>0</v>
      </c>
      <c r="G286" s="178">
        <f>IF(Arbeitszeit!F287=Urlaub,B_WorkTime*24,)</f>
        <v>0</v>
      </c>
      <c r="H286" s="174"/>
      <c r="I286" s="178">
        <f>IF(Arbeitszeit!F287=Krank,B_WorkTime*24,)</f>
        <v>0</v>
      </c>
      <c r="J286" s="174"/>
      <c r="K286" s="179"/>
      <c r="L286" s="180"/>
      <c r="M286" s="656"/>
      <c r="N286" s="657"/>
      <c r="O286" s="656"/>
      <c r="P286" s="657"/>
      <c r="Q286" s="656"/>
      <c r="R286" s="657"/>
      <c r="S286" s="656"/>
      <c r="T286" s="657"/>
      <c r="U286" s="656"/>
      <c r="V286" s="657"/>
      <c r="W286" s="656"/>
      <c r="X286" s="657"/>
      <c r="Y286" s="656"/>
      <c r="Z286" s="657"/>
      <c r="AA286" s="656"/>
      <c r="AB286" s="657"/>
      <c r="AC286" s="656"/>
      <c r="AD286" s="657"/>
      <c r="AE286" s="656"/>
      <c r="AF286" s="658"/>
      <c r="AG286" s="656"/>
      <c r="AH286" s="658"/>
      <c r="AI286" s="656"/>
      <c r="AJ286" s="658"/>
      <c r="AK286" s="656"/>
      <c r="AL286" s="658"/>
      <c r="AM286" s="659"/>
      <c r="AN286" s="658"/>
      <c r="AO286" s="656"/>
      <c r="AP286" s="658"/>
      <c r="AQ286" s="659"/>
      <c r="AR286" s="658"/>
      <c r="AS286" s="658"/>
      <c r="AT286" s="658"/>
      <c r="AU286" s="659"/>
      <c r="AV286" s="658"/>
      <c r="AW286" s="658"/>
      <c r="AX286" s="181"/>
      <c r="AY286" s="177"/>
      <c r="AZ286">
        <f ca="1">INDIRECT(ADDRESS(ROW()+1,COLUMN(Arbeitszeit!xDay),,,"Arbeitszeit"))</f>
        <v>2</v>
      </c>
    </row>
    <row r="287" spans="1:52">
      <c r="A287" s="582">
        <f>Arbeitszeit!A288</f>
        <v>41921</v>
      </c>
      <c r="B287" s="583">
        <f t="shared" si="16"/>
        <v>41921</v>
      </c>
      <c r="C287" s="214">
        <f t="shared" si="17"/>
        <v>41</v>
      </c>
      <c r="D287" s="213">
        <f t="shared" si="18"/>
        <v>41912</v>
      </c>
      <c r="E287" s="670">
        <f>Arbeitszeit!U288*24</f>
        <v>0</v>
      </c>
      <c r="F287" s="397">
        <f t="shared" si="19"/>
        <v>0</v>
      </c>
      <c r="G287" s="178">
        <f>IF(Arbeitszeit!F288=Urlaub,B_WorkTime*24,)</f>
        <v>0</v>
      </c>
      <c r="H287" s="174"/>
      <c r="I287" s="178">
        <f>IF(Arbeitszeit!F288=Krank,B_WorkTime*24,)</f>
        <v>0</v>
      </c>
      <c r="J287" s="174"/>
      <c r="K287" s="179"/>
      <c r="L287" s="180"/>
      <c r="M287" s="656"/>
      <c r="N287" s="657"/>
      <c r="O287" s="656"/>
      <c r="P287" s="657"/>
      <c r="Q287" s="656"/>
      <c r="R287" s="657"/>
      <c r="S287" s="656"/>
      <c r="T287" s="657"/>
      <c r="U287" s="656"/>
      <c r="V287" s="657"/>
      <c r="W287" s="656"/>
      <c r="X287" s="657"/>
      <c r="Y287" s="656"/>
      <c r="Z287" s="657"/>
      <c r="AA287" s="656"/>
      <c r="AB287" s="657"/>
      <c r="AC287" s="656"/>
      <c r="AD287" s="657"/>
      <c r="AE287" s="656"/>
      <c r="AF287" s="658"/>
      <c r="AG287" s="656"/>
      <c r="AH287" s="658"/>
      <c r="AI287" s="656"/>
      <c r="AJ287" s="658"/>
      <c r="AK287" s="656"/>
      <c r="AL287" s="658"/>
      <c r="AM287" s="659"/>
      <c r="AN287" s="658"/>
      <c r="AO287" s="656"/>
      <c r="AP287" s="658"/>
      <c r="AQ287" s="659"/>
      <c r="AR287" s="658"/>
      <c r="AS287" s="658"/>
      <c r="AT287" s="658"/>
      <c r="AU287" s="659"/>
      <c r="AV287" s="658"/>
      <c r="AW287" s="658"/>
      <c r="AX287" s="181"/>
      <c r="AY287" s="177"/>
      <c r="AZ287">
        <f ca="1">INDIRECT(ADDRESS(ROW()+1,COLUMN(Arbeitszeit!xDay),,,"Arbeitszeit"))</f>
        <v>3</v>
      </c>
    </row>
    <row r="288" spans="1:52">
      <c r="A288" s="582">
        <f>Arbeitszeit!A289</f>
        <v>41922</v>
      </c>
      <c r="B288" s="583">
        <f t="shared" si="16"/>
        <v>41922</v>
      </c>
      <c r="C288" s="214">
        <f t="shared" si="17"/>
        <v>41</v>
      </c>
      <c r="D288" s="213">
        <f t="shared" si="18"/>
        <v>41912</v>
      </c>
      <c r="E288" s="670">
        <f>Arbeitszeit!U289*24</f>
        <v>0</v>
      </c>
      <c r="F288" s="397">
        <f t="shared" si="19"/>
        <v>0</v>
      </c>
      <c r="G288" s="178">
        <f>IF(Arbeitszeit!F289=Urlaub,B_WorkTime*24,)</f>
        <v>0</v>
      </c>
      <c r="H288" s="174"/>
      <c r="I288" s="178">
        <f>IF(Arbeitszeit!F289=Krank,B_WorkTime*24,)</f>
        <v>0</v>
      </c>
      <c r="J288" s="174"/>
      <c r="K288" s="179"/>
      <c r="L288" s="180"/>
      <c r="M288" s="656"/>
      <c r="N288" s="657"/>
      <c r="O288" s="656"/>
      <c r="P288" s="657"/>
      <c r="Q288" s="656"/>
      <c r="R288" s="657"/>
      <c r="S288" s="656"/>
      <c r="T288" s="657"/>
      <c r="U288" s="656"/>
      <c r="V288" s="657"/>
      <c r="W288" s="656"/>
      <c r="X288" s="657"/>
      <c r="Y288" s="656"/>
      <c r="Z288" s="657"/>
      <c r="AA288" s="656"/>
      <c r="AB288" s="657"/>
      <c r="AC288" s="656"/>
      <c r="AD288" s="657"/>
      <c r="AE288" s="656"/>
      <c r="AF288" s="658"/>
      <c r="AG288" s="656"/>
      <c r="AH288" s="658"/>
      <c r="AI288" s="656"/>
      <c r="AJ288" s="658"/>
      <c r="AK288" s="656"/>
      <c r="AL288" s="658"/>
      <c r="AM288" s="659"/>
      <c r="AN288" s="658"/>
      <c r="AO288" s="656"/>
      <c r="AP288" s="658"/>
      <c r="AQ288" s="659"/>
      <c r="AR288" s="658"/>
      <c r="AS288" s="658"/>
      <c r="AT288" s="658"/>
      <c r="AU288" s="659"/>
      <c r="AV288" s="658"/>
      <c r="AW288" s="658"/>
      <c r="AX288" s="181"/>
      <c r="AY288" s="177"/>
      <c r="AZ288">
        <f ca="1">INDIRECT(ADDRESS(ROW()+1,COLUMN(Arbeitszeit!xDay),,,"Arbeitszeit"))</f>
        <v>4</v>
      </c>
    </row>
    <row r="289" spans="1:52">
      <c r="A289" s="582">
        <f>Arbeitszeit!A290</f>
        <v>41923</v>
      </c>
      <c r="B289" s="583">
        <f t="shared" si="16"/>
        <v>41923</v>
      </c>
      <c r="C289" s="214">
        <f t="shared" si="17"/>
        <v>41</v>
      </c>
      <c r="D289" s="213">
        <f t="shared" si="18"/>
        <v>41912</v>
      </c>
      <c r="E289" s="670">
        <f>Arbeitszeit!U290*24</f>
        <v>0</v>
      </c>
      <c r="F289" s="397">
        <f t="shared" si="19"/>
        <v>0</v>
      </c>
      <c r="G289" s="178">
        <f>IF(Arbeitszeit!F290=Urlaub,B_WorkTime*24,)</f>
        <v>0</v>
      </c>
      <c r="H289" s="174"/>
      <c r="I289" s="178">
        <f>IF(Arbeitszeit!F290=Krank,B_WorkTime*24,)</f>
        <v>0</v>
      </c>
      <c r="J289" s="174"/>
      <c r="K289" s="179"/>
      <c r="L289" s="180"/>
      <c r="M289" s="656"/>
      <c r="N289" s="657"/>
      <c r="O289" s="656"/>
      <c r="P289" s="657"/>
      <c r="Q289" s="656"/>
      <c r="R289" s="657"/>
      <c r="S289" s="656"/>
      <c r="T289" s="657"/>
      <c r="U289" s="656"/>
      <c r="V289" s="657"/>
      <c r="W289" s="656"/>
      <c r="X289" s="657"/>
      <c r="Y289" s="656"/>
      <c r="Z289" s="657"/>
      <c r="AA289" s="656"/>
      <c r="AB289" s="657"/>
      <c r="AC289" s="656"/>
      <c r="AD289" s="657"/>
      <c r="AE289" s="656"/>
      <c r="AF289" s="658"/>
      <c r="AG289" s="656"/>
      <c r="AH289" s="658"/>
      <c r="AI289" s="656"/>
      <c r="AJ289" s="658"/>
      <c r="AK289" s="656"/>
      <c r="AL289" s="658"/>
      <c r="AM289" s="659"/>
      <c r="AN289" s="658"/>
      <c r="AO289" s="656"/>
      <c r="AP289" s="658"/>
      <c r="AQ289" s="659"/>
      <c r="AR289" s="658"/>
      <c r="AS289" s="658"/>
      <c r="AT289" s="658"/>
      <c r="AU289" s="659"/>
      <c r="AV289" s="658"/>
      <c r="AW289" s="658"/>
      <c r="AX289" s="181"/>
      <c r="AY289" s="177"/>
      <c r="AZ289">
        <f ca="1">INDIRECT(ADDRESS(ROW()+1,COLUMN(Arbeitszeit!xDay),,,"Arbeitszeit"))</f>
        <v>5</v>
      </c>
    </row>
    <row r="290" spans="1:52">
      <c r="A290" s="582">
        <f>Arbeitszeit!A291</f>
        <v>41924</v>
      </c>
      <c r="B290" s="583">
        <f t="shared" si="16"/>
        <v>41924</v>
      </c>
      <c r="C290" s="214">
        <f t="shared" si="17"/>
        <v>41</v>
      </c>
      <c r="D290" s="213">
        <f t="shared" si="18"/>
        <v>41912</v>
      </c>
      <c r="E290" s="670">
        <f>Arbeitszeit!U291*24</f>
        <v>0</v>
      </c>
      <c r="F290" s="397">
        <f t="shared" si="19"/>
        <v>0</v>
      </c>
      <c r="G290" s="178">
        <f>IF(Arbeitszeit!F291=Urlaub,B_WorkTime*24,)</f>
        <v>0</v>
      </c>
      <c r="H290" s="174"/>
      <c r="I290" s="178">
        <f>IF(Arbeitszeit!F291=Krank,B_WorkTime*24,)</f>
        <v>0</v>
      </c>
      <c r="J290" s="174"/>
      <c r="K290" s="179"/>
      <c r="L290" s="180"/>
      <c r="M290" s="656"/>
      <c r="N290" s="657"/>
      <c r="O290" s="656"/>
      <c r="P290" s="657"/>
      <c r="Q290" s="656"/>
      <c r="R290" s="657"/>
      <c r="S290" s="656"/>
      <c r="T290" s="657"/>
      <c r="U290" s="656"/>
      <c r="V290" s="657"/>
      <c r="W290" s="656"/>
      <c r="X290" s="657"/>
      <c r="Y290" s="656"/>
      <c r="Z290" s="657"/>
      <c r="AA290" s="656"/>
      <c r="AB290" s="657"/>
      <c r="AC290" s="656"/>
      <c r="AD290" s="657"/>
      <c r="AE290" s="656"/>
      <c r="AF290" s="658"/>
      <c r="AG290" s="656"/>
      <c r="AH290" s="658"/>
      <c r="AI290" s="656"/>
      <c r="AJ290" s="658"/>
      <c r="AK290" s="656"/>
      <c r="AL290" s="658"/>
      <c r="AM290" s="659"/>
      <c r="AN290" s="658"/>
      <c r="AO290" s="656"/>
      <c r="AP290" s="658"/>
      <c r="AQ290" s="659"/>
      <c r="AR290" s="658"/>
      <c r="AS290" s="658"/>
      <c r="AT290" s="658"/>
      <c r="AU290" s="659"/>
      <c r="AV290" s="658"/>
      <c r="AW290" s="658"/>
      <c r="AX290" s="181"/>
      <c r="AY290" s="177"/>
      <c r="AZ290">
        <f ca="1">INDIRECT(ADDRESS(ROW()+1,COLUMN(Arbeitszeit!xDay),,,"Arbeitszeit"))</f>
        <v>6</v>
      </c>
    </row>
    <row r="291" spans="1:52">
      <c r="A291" s="582">
        <f>Arbeitszeit!A292</f>
        <v>41925</v>
      </c>
      <c r="B291" s="583">
        <f t="shared" si="16"/>
        <v>41925</v>
      </c>
      <c r="C291" s="214">
        <f t="shared" si="17"/>
        <v>41</v>
      </c>
      <c r="D291" s="213">
        <f t="shared" si="18"/>
        <v>41912</v>
      </c>
      <c r="E291" s="670">
        <f>Arbeitszeit!U292*24</f>
        <v>0</v>
      </c>
      <c r="F291" s="397">
        <f t="shared" si="19"/>
        <v>0</v>
      </c>
      <c r="G291" s="178">
        <f>IF(Arbeitszeit!F292=Urlaub,B_WorkTime*24,)</f>
        <v>0</v>
      </c>
      <c r="H291" s="174"/>
      <c r="I291" s="178">
        <f>IF(Arbeitszeit!F292=Krank,B_WorkTime*24,)</f>
        <v>0</v>
      </c>
      <c r="J291" s="174"/>
      <c r="K291" s="179"/>
      <c r="L291" s="180"/>
      <c r="M291" s="656"/>
      <c r="N291" s="657"/>
      <c r="O291" s="656"/>
      <c r="P291" s="657"/>
      <c r="Q291" s="656"/>
      <c r="R291" s="657"/>
      <c r="S291" s="656"/>
      <c r="T291" s="657"/>
      <c r="U291" s="656"/>
      <c r="V291" s="657"/>
      <c r="W291" s="656"/>
      <c r="X291" s="657"/>
      <c r="Y291" s="656"/>
      <c r="Z291" s="657"/>
      <c r="AA291" s="656"/>
      <c r="AB291" s="657"/>
      <c r="AC291" s="656"/>
      <c r="AD291" s="657"/>
      <c r="AE291" s="656"/>
      <c r="AF291" s="658"/>
      <c r="AG291" s="656"/>
      <c r="AH291" s="658"/>
      <c r="AI291" s="656"/>
      <c r="AJ291" s="658"/>
      <c r="AK291" s="656"/>
      <c r="AL291" s="658"/>
      <c r="AM291" s="659"/>
      <c r="AN291" s="658"/>
      <c r="AO291" s="656"/>
      <c r="AP291" s="658"/>
      <c r="AQ291" s="659"/>
      <c r="AR291" s="658"/>
      <c r="AS291" s="658"/>
      <c r="AT291" s="658"/>
      <c r="AU291" s="659"/>
      <c r="AV291" s="658"/>
      <c r="AW291" s="658"/>
      <c r="AX291" s="181"/>
      <c r="AY291" s="177"/>
      <c r="AZ291">
        <f ca="1">INDIRECT(ADDRESS(ROW()+1,COLUMN(Arbeitszeit!xDay),,,"Arbeitszeit"))</f>
        <v>7</v>
      </c>
    </row>
    <row r="292" spans="1:52" s="5" customFormat="1">
      <c r="A292" s="582">
        <f>Arbeitszeit!A293</f>
        <v>41926</v>
      </c>
      <c r="B292" s="583">
        <f t="shared" si="16"/>
        <v>41926</v>
      </c>
      <c r="C292" s="214">
        <f t="shared" si="17"/>
        <v>42</v>
      </c>
      <c r="D292" s="213">
        <f t="shared" si="18"/>
        <v>41912</v>
      </c>
      <c r="E292" s="670">
        <f>Arbeitszeit!U293*24</f>
        <v>0</v>
      </c>
      <c r="F292" s="397">
        <f t="shared" si="19"/>
        <v>0</v>
      </c>
      <c r="G292" s="178">
        <f>IF(Arbeitszeit!F293=Urlaub,B_WorkTime*24,)</f>
        <v>0</v>
      </c>
      <c r="H292" s="174"/>
      <c r="I292" s="178">
        <f>IF(Arbeitszeit!F293=Krank,B_WorkTime*24,)</f>
        <v>0</v>
      </c>
      <c r="J292" s="174"/>
      <c r="K292" s="179"/>
      <c r="L292" s="180"/>
      <c r="M292" s="656"/>
      <c r="N292" s="657"/>
      <c r="O292" s="656"/>
      <c r="P292" s="657"/>
      <c r="Q292" s="656"/>
      <c r="R292" s="657"/>
      <c r="S292" s="656"/>
      <c r="T292" s="657"/>
      <c r="U292" s="656"/>
      <c r="V292" s="657"/>
      <c r="W292" s="656"/>
      <c r="X292" s="657"/>
      <c r="Y292" s="656"/>
      <c r="Z292" s="657"/>
      <c r="AA292" s="656"/>
      <c r="AB292" s="657"/>
      <c r="AC292" s="656"/>
      <c r="AD292" s="657"/>
      <c r="AE292" s="656"/>
      <c r="AF292" s="658"/>
      <c r="AG292" s="656"/>
      <c r="AH292" s="658"/>
      <c r="AI292" s="656"/>
      <c r="AJ292" s="658"/>
      <c r="AK292" s="656"/>
      <c r="AL292" s="658"/>
      <c r="AM292" s="659"/>
      <c r="AN292" s="658"/>
      <c r="AO292" s="656"/>
      <c r="AP292" s="658"/>
      <c r="AQ292" s="659"/>
      <c r="AR292" s="658"/>
      <c r="AS292" s="658"/>
      <c r="AT292" s="658"/>
      <c r="AU292" s="659"/>
      <c r="AV292" s="658"/>
      <c r="AW292" s="658"/>
      <c r="AX292" s="181"/>
      <c r="AY292" s="177"/>
      <c r="AZ292">
        <f ca="1">INDIRECT(ADDRESS(ROW()+1,COLUMN(Arbeitszeit!xDay),,,"Arbeitszeit"))</f>
        <v>1</v>
      </c>
    </row>
    <row r="293" spans="1:52">
      <c r="A293" s="582">
        <f>Arbeitszeit!A294</f>
        <v>41927</v>
      </c>
      <c r="B293" s="583">
        <f t="shared" si="16"/>
        <v>41927</v>
      </c>
      <c r="C293" s="214">
        <f t="shared" si="17"/>
        <v>42</v>
      </c>
      <c r="D293" s="213">
        <f t="shared" si="18"/>
        <v>41912</v>
      </c>
      <c r="E293" s="670">
        <f>Arbeitszeit!U294*24</f>
        <v>0</v>
      </c>
      <c r="F293" s="397">
        <f t="shared" si="19"/>
        <v>0</v>
      </c>
      <c r="G293" s="178">
        <f>IF(Arbeitszeit!F294=Urlaub,B_WorkTime*24,)</f>
        <v>0</v>
      </c>
      <c r="H293" s="174"/>
      <c r="I293" s="178">
        <f>IF(Arbeitszeit!F294=Krank,B_WorkTime*24,)</f>
        <v>0</v>
      </c>
      <c r="J293" s="174"/>
      <c r="K293" s="179"/>
      <c r="L293" s="180"/>
      <c r="M293" s="656"/>
      <c r="N293" s="657"/>
      <c r="O293" s="656"/>
      <c r="P293" s="657"/>
      <c r="Q293" s="656"/>
      <c r="R293" s="657"/>
      <c r="S293" s="656"/>
      <c r="T293" s="657"/>
      <c r="U293" s="656"/>
      <c r="V293" s="657"/>
      <c r="W293" s="656"/>
      <c r="X293" s="657"/>
      <c r="Y293" s="656"/>
      <c r="Z293" s="657"/>
      <c r="AA293" s="656"/>
      <c r="AB293" s="657"/>
      <c r="AC293" s="656"/>
      <c r="AD293" s="657"/>
      <c r="AE293" s="656"/>
      <c r="AF293" s="658"/>
      <c r="AG293" s="656"/>
      <c r="AH293" s="658"/>
      <c r="AI293" s="656"/>
      <c r="AJ293" s="658"/>
      <c r="AK293" s="656"/>
      <c r="AL293" s="658"/>
      <c r="AM293" s="659"/>
      <c r="AN293" s="658"/>
      <c r="AO293" s="656"/>
      <c r="AP293" s="658"/>
      <c r="AQ293" s="659"/>
      <c r="AR293" s="658"/>
      <c r="AS293" s="658"/>
      <c r="AT293" s="658"/>
      <c r="AU293" s="659"/>
      <c r="AV293" s="658"/>
      <c r="AW293" s="658"/>
      <c r="AX293" s="181"/>
      <c r="AY293" s="177"/>
      <c r="AZ293">
        <f ca="1">INDIRECT(ADDRESS(ROW()+1,COLUMN(Arbeitszeit!xDay),,,"Arbeitszeit"))</f>
        <v>2</v>
      </c>
    </row>
    <row r="294" spans="1:52">
      <c r="A294" s="582">
        <f>Arbeitszeit!A295</f>
        <v>41928</v>
      </c>
      <c r="B294" s="583">
        <f t="shared" si="16"/>
        <v>41928</v>
      </c>
      <c r="C294" s="214">
        <f t="shared" si="17"/>
        <v>42</v>
      </c>
      <c r="D294" s="213">
        <f t="shared" si="18"/>
        <v>41912</v>
      </c>
      <c r="E294" s="670">
        <f>Arbeitszeit!U295*24</f>
        <v>0</v>
      </c>
      <c r="F294" s="397">
        <f t="shared" si="19"/>
        <v>0</v>
      </c>
      <c r="G294" s="178">
        <f>IF(Arbeitszeit!F295=Urlaub,B_WorkTime*24,)</f>
        <v>0</v>
      </c>
      <c r="H294" s="174"/>
      <c r="I294" s="178">
        <f>IF(Arbeitszeit!F295=Krank,B_WorkTime*24,)</f>
        <v>0</v>
      </c>
      <c r="J294" s="174"/>
      <c r="K294" s="179"/>
      <c r="L294" s="180"/>
      <c r="M294" s="656"/>
      <c r="N294" s="657"/>
      <c r="O294" s="656"/>
      <c r="P294" s="657"/>
      <c r="Q294" s="656"/>
      <c r="R294" s="657"/>
      <c r="S294" s="656"/>
      <c r="T294" s="657"/>
      <c r="U294" s="656"/>
      <c r="V294" s="657"/>
      <c r="W294" s="656"/>
      <c r="X294" s="657"/>
      <c r="Y294" s="656"/>
      <c r="Z294" s="657"/>
      <c r="AA294" s="656"/>
      <c r="AB294" s="657"/>
      <c r="AC294" s="656"/>
      <c r="AD294" s="657"/>
      <c r="AE294" s="656"/>
      <c r="AF294" s="658"/>
      <c r="AG294" s="656"/>
      <c r="AH294" s="658"/>
      <c r="AI294" s="656"/>
      <c r="AJ294" s="658"/>
      <c r="AK294" s="656"/>
      <c r="AL294" s="658"/>
      <c r="AM294" s="659"/>
      <c r="AN294" s="658"/>
      <c r="AO294" s="656"/>
      <c r="AP294" s="658"/>
      <c r="AQ294" s="659"/>
      <c r="AR294" s="658"/>
      <c r="AS294" s="658"/>
      <c r="AT294" s="658"/>
      <c r="AU294" s="659"/>
      <c r="AV294" s="658"/>
      <c r="AW294" s="658"/>
      <c r="AX294" s="181"/>
      <c r="AY294" s="177"/>
      <c r="AZ294">
        <f ca="1">INDIRECT(ADDRESS(ROW()+1,COLUMN(Arbeitszeit!xDay),,,"Arbeitszeit"))</f>
        <v>3</v>
      </c>
    </row>
    <row r="295" spans="1:52">
      <c r="A295" s="582">
        <f>Arbeitszeit!A296</f>
        <v>41929</v>
      </c>
      <c r="B295" s="583">
        <f t="shared" si="16"/>
        <v>41929</v>
      </c>
      <c r="C295" s="214">
        <f t="shared" si="17"/>
        <v>42</v>
      </c>
      <c r="D295" s="213">
        <f t="shared" si="18"/>
        <v>41912</v>
      </c>
      <c r="E295" s="670">
        <f>Arbeitszeit!U296*24</f>
        <v>0</v>
      </c>
      <c r="F295" s="397">
        <f t="shared" si="19"/>
        <v>0</v>
      </c>
      <c r="G295" s="178">
        <f>IF(Arbeitszeit!F296=Urlaub,B_WorkTime*24,)</f>
        <v>0</v>
      </c>
      <c r="H295" s="174"/>
      <c r="I295" s="178">
        <f>IF(Arbeitszeit!F296=Krank,B_WorkTime*24,)</f>
        <v>0</v>
      </c>
      <c r="J295" s="174"/>
      <c r="K295" s="179"/>
      <c r="L295" s="180"/>
      <c r="M295" s="656"/>
      <c r="N295" s="657"/>
      <c r="O295" s="656"/>
      <c r="P295" s="657"/>
      <c r="Q295" s="656"/>
      <c r="R295" s="657"/>
      <c r="S295" s="656"/>
      <c r="T295" s="657"/>
      <c r="U295" s="656"/>
      <c r="V295" s="657"/>
      <c r="W295" s="656"/>
      <c r="X295" s="657"/>
      <c r="Y295" s="656"/>
      <c r="Z295" s="657"/>
      <c r="AA295" s="656"/>
      <c r="AB295" s="657"/>
      <c r="AC295" s="656"/>
      <c r="AD295" s="657"/>
      <c r="AE295" s="656"/>
      <c r="AF295" s="658"/>
      <c r="AG295" s="656"/>
      <c r="AH295" s="658"/>
      <c r="AI295" s="656"/>
      <c r="AJ295" s="658"/>
      <c r="AK295" s="656"/>
      <c r="AL295" s="658"/>
      <c r="AM295" s="659"/>
      <c r="AN295" s="658"/>
      <c r="AO295" s="656"/>
      <c r="AP295" s="658"/>
      <c r="AQ295" s="659"/>
      <c r="AR295" s="658"/>
      <c r="AS295" s="658"/>
      <c r="AT295" s="658"/>
      <c r="AU295" s="659"/>
      <c r="AV295" s="658"/>
      <c r="AW295" s="658"/>
      <c r="AX295" s="181"/>
      <c r="AY295" s="177"/>
      <c r="AZ295">
        <f ca="1">INDIRECT(ADDRESS(ROW()+1,COLUMN(Arbeitszeit!xDay),,,"Arbeitszeit"))</f>
        <v>4</v>
      </c>
    </row>
    <row r="296" spans="1:52">
      <c r="A296" s="582">
        <f>Arbeitszeit!A297</f>
        <v>41930</v>
      </c>
      <c r="B296" s="583">
        <f t="shared" si="16"/>
        <v>41930</v>
      </c>
      <c r="C296" s="214">
        <f t="shared" si="17"/>
        <v>42</v>
      </c>
      <c r="D296" s="213">
        <f t="shared" si="18"/>
        <v>41912</v>
      </c>
      <c r="E296" s="670">
        <f>Arbeitszeit!U297*24</f>
        <v>0</v>
      </c>
      <c r="F296" s="397">
        <f t="shared" si="19"/>
        <v>0</v>
      </c>
      <c r="G296" s="178">
        <f>IF(Arbeitszeit!F297=Urlaub,B_WorkTime*24,)</f>
        <v>0</v>
      </c>
      <c r="H296" s="174"/>
      <c r="I296" s="178">
        <f>IF(Arbeitszeit!F297=Krank,B_WorkTime*24,)</f>
        <v>0</v>
      </c>
      <c r="J296" s="174"/>
      <c r="K296" s="179"/>
      <c r="L296" s="180"/>
      <c r="M296" s="656"/>
      <c r="N296" s="657"/>
      <c r="O296" s="656"/>
      <c r="P296" s="657"/>
      <c r="Q296" s="656"/>
      <c r="R296" s="657"/>
      <c r="S296" s="656"/>
      <c r="T296" s="657"/>
      <c r="U296" s="656"/>
      <c r="V296" s="657"/>
      <c r="W296" s="656"/>
      <c r="X296" s="657"/>
      <c r="Y296" s="656"/>
      <c r="Z296" s="657"/>
      <c r="AA296" s="656"/>
      <c r="AB296" s="657"/>
      <c r="AC296" s="656"/>
      <c r="AD296" s="657"/>
      <c r="AE296" s="656"/>
      <c r="AF296" s="658"/>
      <c r="AG296" s="656"/>
      <c r="AH296" s="658"/>
      <c r="AI296" s="656"/>
      <c r="AJ296" s="658"/>
      <c r="AK296" s="656"/>
      <c r="AL296" s="658"/>
      <c r="AM296" s="659"/>
      <c r="AN296" s="658"/>
      <c r="AO296" s="656"/>
      <c r="AP296" s="658"/>
      <c r="AQ296" s="659"/>
      <c r="AR296" s="658"/>
      <c r="AS296" s="658"/>
      <c r="AT296" s="658"/>
      <c r="AU296" s="659"/>
      <c r="AV296" s="658"/>
      <c r="AW296" s="658"/>
      <c r="AX296" s="181"/>
      <c r="AY296" s="177"/>
      <c r="AZ296">
        <f ca="1">INDIRECT(ADDRESS(ROW()+1,COLUMN(Arbeitszeit!xDay),,,"Arbeitszeit"))</f>
        <v>5</v>
      </c>
    </row>
    <row r="297" spans="1:52">
      <c r="A297" s="582">
        <f>Arbeitszeit!A298</f>
        <v>41931</v>
      </c>
      <c r="B297" s="583">
        <f t="shared" si="16"/>
        <v>41931</v>
      </c>
      <c r="C297" s="214">
        <f t="shared" si="17"/>
        <v>42</v>
      </c>
      <c r="D297" s="213">
        <f t="shared" si="18"/>
        <v>41912</v>
      </c>
      <c r="E297" s="670">
        <f>Arbeitszeit!U298*24</f>
        <v>0</v>
      </c>
      <c r="F297" s="397">
        <f t="shared" si="19"/>
        <v>0</v>
      </c>
      <c r="G297" s="178">
        <f>IF(Arbeitszeit!F298=Urlaub,B_WorkTime*24,)</f>
        <v>0</v>
      </c>
      <c r="H297" s="174"/>
      <c r="I297" s="178">
        <f>IF(Arbeitszeit!F298=Krank,B_WorkTime*24,)</f>
        <v>0</v>
      </c>
      <c r="J297" s="174"/>
      <c r="K297" s="179"/>
      <c r="L297" s="180"/>
      <c r="M297" s="656"/>
      <c r="N297" s="657"/>
      <c r="O297" s="656"/>
      <c r="P297" s="657"/>
      <c r="Q297" s="656"/>
      <c r="R297" s="657"/>
      <c r="S297" s="656"/>
      <c r="T297" s="657"/>
      <c r="U297" s="656"/>
      <c r="V297" s="657"/>
      <c r="W297" s="656"/>
      <c r="X297" s="657"/>
      <c r="Y297" s="656"/>
      <c r="Z297" s="657"/>
      <c r="AA297" s="656"/>
      <c r="AB297" s="657"/>
      <c r="AC297" s="656"/>
      <c r="AD297" s="657"/>
      <c r="AE297" s="656"/>
      <c r="AF297" s="658"/>
      <c r="AG297" s="656"/>
      <c r="AH297" s="658"/>
      <c r="AI297" s="656"/>
      <c r="AJ297" s="658"/>
      <c r="AK297" s="656"/>
      <c r="AL297" s="658"/>
      <c r="AM297" s="659"/>
      <c r="AN297" s="658"/>
      <c r="AO297" s="656"/>
      <c r="AP297" s="658"/>
      <c r="AQ297" s="659"/>
      <c r="AR297" s="658"/>
      <c r="AS297" s="658"/>
      <c r="AT297" s="658"/>
      <c r="AU297" s="659"/>
      <c r="AV297" s="658"/>
      <c r="AW297" s="658"/>
      <c r="AX297" s="181"/>
      <c r="AY297" s="177"/>
      <c r="AZ297">
        <f ca="1">INDIRECT(ADDRESS(ROW()+1,COLUMN(Arbeitszeit!xDay),,,"Arbeitszeit"))</f>
        <v>6</v>
      </c>
    </row>
    <row r="298" spans="1:52">
      <c r="A298" s="582">
        <f>Arbeitszeit!A299</f>
        <v>41932</v>
      </c>
      <c r="B298" s="583">
        <f t="shared" si="16"/>
        <v>41932</v>
      </c>
      <c r="C298" s="214">
        <f t="shared" si="17"/>
        <v>42</v>
      </c>
      <c r="D298" s="213">
        <f t="shared" si="18"/>
        <v>41912</v>
      </c>
      <c r="E298" s="670">
        <f>Arbeitszeit!U299*24</f>
        <v>0</v>
      </c>
      <c r="F298" s="397">
        <f t="shared" si="19"/>
        <v>0</v>
      </c>
      <c r="G298" s="178">
        <f>IF(Arbeitszeit!F299=Urlaub,B_WorkTime*24,)</f>
        <v>0</v>
      </c>
      <c r="H298" s="174"/>
      <c r="I298" s="178">
        <f>IF(Arbeitszeit!F299=Krank,B_WorkTime*24,)</f>
        <v>0</v>
      </c>
      <c r="J298" s="174"/>
      <c r="K298" s="179"/>
      <c r="L298" s="180"/>
      <c r="M298" s="656"/>
      <c r="N298" s="657"/>
      <c r="O298" s="656"/>
      <c r="P298" s="657"/>
      <c r="Q298" s="656"/>
      <c r="R298" s="657"/>
      <c r="S298" s="656"/>
      <c r="T298" s="657"/>
      <c r="U298" s="656"/>
      <c r="V298" s="657"/>
      <c r="W298" s="656"/>
      <c r="X298" s="657"/>
      <c r="Y298" s="656"/>
      <c r="Z298" s="657"/>
      <c r="AA298" s="656"/>
      <c r="AB298" s="657"/>
      <c r="AC298" s="656"/>
      <c r="AD298" s="657"/>
      <c r="AE298" s="656"/>
      <c r="AF298" s="658"/>
      <c r="AG298" s="656"/>
      <c r="AH298" s="658"/>
      <c r="AI298" s="656"/>
      <c r="AJ298" s="658"/>
      <c r="AK298" s="656"/>
      <c r="AL298" s="658"/>
      <c r="AM298" s="659"/>
      <c r="AN298" s="658"/>
      <c r="AO298" s="656"/>
      <c r="AP298" s="658"/>
      <c r="AQ298" s="659"/>
      <c r="AR298" s="658"/>
      <c r="AS298" s="658"/>
      <c r="AT298" s="658"/>
      <c r="AU298" s="659"/>
      <c r="AV298" s="658"/>
      <c r="AW298" s="658"/>
      <c r="AX298" s="181"/>
      <c r="AY298" s="177"/>
      <c r="AZ298">
        <f ca="1">INDIRECT(ADDRESS(ROW()+1,COLUMN(Arbeitszeit!xDay),,,"Arbeitszeit"))</f>
        <v>7</v>
      </c>
    </row>
    <row r="299" spans="1:52">
      <c r="A299" s="582">
        <f>Arbeitszeit!A300</f>
        <v>41933</v>
      </c>
      <c r="B299" s="583">
        <f t="shared" si="16"/>
        <v>41933</v>
      </c>
      <c r="C299" s="214">
        <f t="shared" si="17"/>
        <v>43</v>
      </c>
      <c r="D299" s="213">
        <f t="shared" si="18"/>
        <v>41912</v>
      </c>
      <c r="E299" s="670">
        <f>Arbeitszeit!U300*24</f>
        <v>0</v>
      </c>
      <c r="F299" s="397">
        <f t="shared" si="19"/>
        <v>0</v>
      </c>
      <c r="G299" s="178">
        <f>IF(Arbeitszeit!F300=Urlaub,B_WorkTime*24,)</f>
        <v>0</v>
      </c>
      <c r="H299" s="174"/>
      <c r="I299" s="178">
        <f>IF(Arbeitszeit!F300=Krank,B_WorkTime*24,)</f>
        <v>0</v>
      </c>
      <c r="J299" s="174"/>
      <c r="K299" s="179"/>
      <c r="L299" s="180"/>
      <c r="M299" s="656"/>
      <c r="N299" s="657"/>
      <c r="O299" s="656"/>
      <c r="P299" s="657"/>
      <c r="Q299" s="656"/>
      <c r="R299" s="657"/>
      <c r="S299" s="656"/>
      <c r="T299" s="657"/>
      <c r="U299" s="656"/>
      <c r="V299" s="657"/>
      <c r="W299" s="656"/>
      <c r="X299" s="657"/>
      <c r="Y299" s="656"/>
      <c r="Z299" s="657"/>
      <c r="AA299" s="656"/>
      <c r="AB299" s="657"/>
      <c r="AC299" s="656"/>
      <c r="AD299" s="657"/>
      <c r="AE299" s="656"/>
      <c r="AF299" s="658"/>
      <c r="AG299" s="656"/>
      <c r="AH299" s="658"/>
      <c r="AI299" s="656"/>
      <c r="AJ299" s="658"/>
      <c r="AK299" s="656"/>
      <c r="AL299" s="658"/>
      <c r="AM299" s="659"/>
      <c r="AN299" s="658"/>
      <c r="AO299" s="656"/>
      <c r="AP299" s="658"/>
      <c r="AQ299" s="659"/>
      <c r="AR299" s="658"/>
      <c r="AS299" s="658"/>
      <c r="AT299" s="658"/>
      <c r="AU299" s="659"/>
      <c r="AV299" s="658"/>
      <c r="AW299" s="658"/>
      <c r="AX299" s="181"/>
      <c r="AY299" s="177"/>
      <c r="AZ299">
        <f ca="1">INDIRECT(ADDRESS(ROW()+1,COLUMN(Arbeitszeit!xDay),,,"Arbeitszeit"))</f>
        <v>1</v>
      </c>
    </row>
    <row r="300" spans="1:52">
      <c r="A300" s="582">
        <f>Arbeitszeit!A301</f>
        <v>41934</v>
      </c>
      <c r="B300" s="583">
        <f t="shared" si="16"/>
        <v>41934</v>
      </c>
      <c r="C300" s="214">
        <f t="shared" si="17"/>
        <v>43</v>
      </c>
      <c r="D300" s="213">
        <f t="shared" si="18"/>
        <v>41912</v>
      </c>
      <c r="E300" s="670">
        <f>Arbeitszeit!U301*24</f>
        <v>0</v>
      </c>
      <c r="F300" s="397">
        <f t="shared" si="19"/>
        <v>0</v>
      </c>
      <c r="G300" s="178">
        <f>IF(Arbeitszeit!F301=Urlaub,B_WorkTime*24,)</f>
        <v>0</v>
      </c>
      <c r="H300" s="174"/>
      <c r="I300" s="178">
        <f>IF(Arbeitszeit!F301=Krank,B_WorkTime*24,)</f>
        <v>0</v>
      </c>
      <c r="J300" s="174"/>
      <c r="K300" s="179"/>
      <c r="L300" s="180"/>
      <c r="M300" s="656"/>
      <c r="N300" s="657"/>
      <c r="O300" s="656"/>
      <c r="P300" s="657"/>
      <c r="Q300" s="656"/>
      <c r="R300" s="657"/>
      <c r="S300" s="656"/>
      <c r="T300" s="657"/>
      <c r="U300" s="656"/>
      <c r="V300" s="657"/>
      <c r="W300" s="656"/>
      <c r="X300" s="657"/>
      <c r="Y300" s="656"/>
      <c r="Z300" s="657"/>
      <c r="AA300" s="656"/>
      <c r="AB300" s="657"/>
      <c r="AC300" s="656"/>
      <c r="AD300" s="657"/>
      <c r="AE300" s="656"/>
      <c r="AF300" s="658"/>
      <c r="AG300" s="656"/>
      <c r="AH300" s="658"/>
      <c r="AI300" s="656"/>
      <c r="AJ300" s="658"/>
      <c r="AK300" s="656"/>
      <c r="AL300" s="658"/>
      <c r="AM300" s="659"/>
      <c r="AN300" s="658"/>
      <c r="AO300" s="656"/>
      <c r="AP300" s="658"/>
      <c r="AQ300" s="659"/>
      <c r="AR300" s="658"/>
      <c r="AS300" s="658"/>
      <c r="AT300" s="658"/>
      <c r="AU300" s="659"/>
      <c r="AV300" s="658"/>
      <c r="AW300" s="658"/>
      <c r="AX300" s="181"/>
      <c r="AY300" s="177"/>
      <c r="AZ300">
        <f ca="1">INDIRECT(ADDRESS(ROW()+1,COLUMN(Arbeitszeit!xDay),,,"Arbeitszeit"))</f>
        <v>2</v>
      </c>
    </row>
    <row r="301" spans="1:52">
      <c r="A301" s="582">
        <f>Arbeitszeit!A302</f>
        <v>41935</v>
      </c>
      <c r="B301" s="583">
        <f t="shared" si="16"/>
        <v>41935</v>
      </c>
      <c r="C301" s="214">
        <f t="shared" si="17"/>
        <v>43</v>
      </c>
      <c r="D301" s="213">
        <f t="shared" si="18"/>
        <v>41912</v>
      </c>
      <c r="E301" s="670">
        <f>Arbeitszeit!U302*24</f>
        <v>0</v>
      </c>
      <c r="F301" s="397">
        <f t="shared" si="19"/>
        <v>0</v>
      </c>
      <c r="G301" s="178">
        <f>IF(Arbeitszeit!F302=Urlaub,B_WorkTime*24,)</f>
        <v>0</v>
      </c>
      <c r="H301" s="174"/>
      <c r="I301" s="178">
        <f>IF(Arbeitszeit!F302=Krank,B_WorkTime*24,)</f>
        <v>0</v>
      </c>
      <c r="J301" s="174"/>
      <c r="K301" s="179"/>
      <c r="L301" s="180"/>
      <c r="M301" s="656"/>
      <c r="N301" s="657"/>
      <c r="O301" s="656"/>
      <c r="P301" s="657"/>
      <c r="Q301" s="656"/>
      <c r="R301" s="657"/>
      <c r="S301" s="656"/>
      <c r="T301" s="657"/>
      <c r="U301" s="656"/>
      <c r="V301" s="657"/>
      <c r="W301" s="656"/>
      <c r="X301" s="657"/>
      <c r="Y301" s="656"/>
      <c r="Z301" s="657"/>
      <c r="AA301" s="656"/>
      <c r="AB301" s="657"/>
      <c r="AC301" s="656"/>
      <c r="AD301" s="657"/>
      <c r="AE301" s="656"/>
      <c r="AF301" s="658"/>
      <c r="AG301" s="656"/>
      <c r="AH301" s="658"/>
      <c r="AI301" s="656"/>
      <c r="AJ301" s="658"/>
      <c r="AK301" s="656"/>
      <c r="AL301" s="658"/>
      <c r="AM301" s="659"/>
      <c r="AN301" s="658"/>
      <c r="AO301" s="656"/>
      <c r="AP301" s="658"/>
      <c r="AQ301" s="659"/>
      <c r="AR301" s="658"/>
      <c r="AS301" s="658"/>
      <c r="AT301" s="658"/>
      <c r="AU301" s="659"/>
      <c r="AV301" s="658"/>
      <c r="AW301" s="658"/>
      <c r="AX301" s="181"/>
      <c r="AY301" s="177"/>
      <c r="AZ301">
        <f ca="1">INDIRECT(ADDRESS(ROW()+1,COLUMN(Arbeitszeit!xDay),,,"Arbeitszeit"))</f>
        <v>3</v>
      </c>
    </row>
    <row r="302" spans="1:52">
      <c r="A302" s="582">
        <f>Arbeitszeit!A303</f>
        <v>41936</v>
      </c>
      <c r="B302" s="583">
        <f t="shared" si="16"/>
        <v>41936</v>
      </c>
      <c r="C302" s="214">
        <f t="shared" si="17"/>
        <v>43</v>
      </c>
      <c r="D302" s="213">
        <f t="shared" si="18"/>
        <v>41912</v>
      </c>
      <c r="E302" s="670">
        <f>Arbeitszeit!U303*24</f>
        <v>0</v>
      </c>
      <c r="F302" s="397">
        <f t="shared" si="19"/>
        <v>0</v>
      </c>
      <c r="G302" s="178">
        <f>IF(Arbeitszeit!F303=Urlaub,B_WorkTime*24,)</f>
        <v>0</v>
      </c>
      <c r="H302" s="174"/>
      <c r="I302" s="178">
        <f>IF(Arbeitszeit!F303=Krank,B_WorkTime*24,)</f>
        <v>0</v>
      </c>
      <c r="J302" s="174"/>
      <c r="K302" s="179"/>
      <c r="L302" s="180"/>
      <c r="M302" s="656"/>
      <c r="N302" s="657"/>
      <c r="O302" s="656"/>
      <c r="P302" s="657"/>
      <c r="Q302" s="656"/>
      <c r="R302" s="657"/>
      <c r="S302" s="656"/>
      <c r="T302" s="657"/>
      <c r="U302" s="656"/>
      <c r="V302" s="657"/>
      <c r="W302" s="656"/>
      <c r="X302" s="657"/>
      <c r="Y302" s="656"/>
      <c r="Z302" s="657"/>
      <c r="AA302" s="656"/>
      <c r="AB302" s="657"/>
      <c r="AC302" s="656"/>
      <c r="AD302" s="657"/>
      <c r="AE302" s="656"/>
      <c r="AF302" s="658"/>
      <c r="AG302" s="656"/>
      <c r="AH302" s="658"/>
      <c r="AI302" s="656"/>
      <c r="AJ302" s="658"/>
      <c r="AK302" s="656"/>
      <c r="AL302" s="658"/>
      <c r="AM302" s="659"/>
      <c r="AN302" s="658"/>
      <c r="AO302" s="656"/>
      <c r="AP302" s="658"/>
      <c r="AQ302" s="659"/>
      <c r="AR302" s="658"/>
      <c r="AS302" s="658"/>
      <c r="AT302" s="658"/>
      <c r="AU302" s="659"/>
      <c r="AV302" s="658"/>
      <c r="AW302" s="658"/>
      <c r="AX302" s="181"/>
      <c r="AY302" s="177"/>
      <c r="AZ302">
        <f ca="1">INDIRECT(ADDRESS(ROW()+1,COLUMN(Arbeitszeit!xDay),,,"Arbeitszeit"))</f>
        <v>4</v>
      </c>
    </row>
    <row r="303" spans="1:52">
      <c r="A303" s="582">
        <f>Arbeitszeit!A304</f>
        <v>41937</v>
      </c>
      <c r="B303" s="583">
        <f t="shared" si="16"/>
        <v>41937</v>
      </c>
      <c r="C303" s="214">
        <f t="shared" si="17"/>
        <v>43</v>
      </c>
      <c r="D303" s="213">
        <f t="shared" si="18"/>
        <v>41912</v>
      </c>
      <c r="E303" s="670">
        <f>Arbeitszeit!U304*24</f>
        <v>0</v>
      </c>
      <c r="F303" s="397">
        <f t="shared" si="19"/>
        <v>0</v>
      </c>
      <c r="G303" s="178">
        <f>IF(Arbeitszeit!F304=Urlaub,B_WorkTime*24,)</f>
        <v>0</v>
      </c>
      <c r="H303" s="174"/>
      <c r="I303" s="178">
        <f>IF(Arbeitszeit!F304=Krank,B_WorkTime*24,)</f>
        <v>0</v>
      </c>
      <c r="J303" s="174"/>
      <c r="K303" s="179"/>
      <c r="L303" s="180"/>
      <c r="M303" s="656"/>
      <c r="N303" s="657"/>
      <c r="O303" s="656"/>
      <c r="P303" s="657"/>
      <c r="Q303" s="656"/>
      <c r="R303" s="657"/>
      <c r="S303" s="656"/>
      <c r="T303" s="657"/>
      <c r="U303" s="656"/>
      <c r="V303" s="657"/>
      <c r="W303" s="656"/>
      <c r="X303" s="657"/>
      <c r="Y303" s="656"/>
      <c r="Z303" s="657"/>
      <c r="AA303" s="656"/>
      <c r="AB303" s="657"/>
      <c r="AC303" s="656"/>
      <c r="AD303" s="657"/>
      <c r="AE303" s="656"/>
      <c r="AF303" s="658"/>
      <c r="AG303" s="656"/>
      <c r="AH303" s="658"/>
      <c r="AI303" s="656"/>
      <c r="AJ303" s="658"/>
      <c r="AK303" s="656"/>
      <c r="AL303" s="658"/>
      <c r="AM303" s="659"/>
      <c r="AN303" s="658"/>
      <c r="AO303" s="656"/>
      <c r="AP303" s="658"/>
      <c r="AQ303" s="659"/>
      <c r="AR303" s="658"/>
      <c r="AS303" s="658"/>
      <c r="AT303" s="658"/>
      <c r="AU303" s="659"/>
      <c r="AV303" s="658"/>
      <c r="AW303" s="658"/>
      <c r="AX303" s="181"/>
      <c r="AY303" s="177"/>
      <c r="AZ303">
        <f ca="1">INDIRECT(ADDRESS(ROW()+1,COLUMN(Arbeitszeit!xDay),,,"Arbeitszeit"))</f>
        <v>5</v>
      </c>
    </row>
    <row r="304" spans="1:52">
      <c r="A304" s="582">
        <f>Arbeitszeit!A305</f>
        <v>41938</v>
      </c>
      <c r="B304" s="583">
        <f t="shared" si="16"/>
        <v>41938</v>
      </c>
      <c r="C304" s="214">
        <f t="shared" si="17"/>
        <v>43</v>
      </c>
      <c r="D304" s="213">
        <f t="shared" si="18"/>
        <v>41912</v>
      </c>
      <c r="E304" s="670">
        <f>Arbeitszeit!U305*24</f>
        <v>0</v>
      </c>
      <c r="F304" s="397">
        <f t="shared" si="19"/>
        <v>0</v>
      </c>
      <c r="G304" s="178">
        <f>IF(Arbeitszeit!F305=Urlaub,B_WorkTime*24,)</f>
        <v>0</v>
      </c>
      <c r="H304" s="174"/>
      <c r="I304" s="178">
        <f>IF(Arbeitszeit!F305=Krank,B_WorkTime*24,)</f>
        <v>0</v>
      </c>
      <c r="J304" s="174"/>
      <c r="K304" s="179"/>
      <c r="L304" s="180"/>
      <c r="M304" s="656"/>
      <c r="N304" s="657"/>
      <c r="O304" s="656"/>
      <c r="P304" s="657"/>
      <c r="Q304" s="656"/>
      <c r="R304" s="657"/>
      <c r="S304" s="656"/>
      <c r="T304" s="657"/>
      <c r="U304" s="656"/>
      <c r="V304" s="657"/>
      <c r="W304" s="656"/>
      <c r="X304" s="657"/>
      <c r="Y304" s="656"/>
      <c r="Z304" s="657"/>
      <c r="AA304" s="656"/>
      <c r="AB304" s="657"/>
      <c r="AC304" s="656"/>
      <c r="AD304" s="657"/>
      <c r="AE304" s="656"/>
      <c r="AF304" s="658"/>
      <c r="AG304" s="656"/>
      <c r="AH304" s="658"/>
      <c r="AI304" s="656"/>
      <c r="AJ304" s="658"/>
      <c r="AK304" s="656"/>
      <c r="AL304" s="658"/>
      <c r="AM304" s="659"/>
      <c r="AN304" s="658"/>
      <c r="AO304" s="656"/>
      <c r="AP304" s="658"/>
      <c r="AQ304" s="659"/>
      <c r="AR304" s="658"/>
      <c r="AS304" s="658"/>
      <c r="AT304" s="658"/>
      <c r="AU304" s="659"/>
      <c r="AV304" s="658"/>
      <c r="AW304" s="658"/>
      <c r="AX304" s="181"/>
      <c r="AY304" s="177"/>
      <c r="AZ304">
        <f ca="1">INDIRECT(ADDRESS(ROW()+1,COLUMN(Arbeitszeit!xDay),,,"Arbeitszeit"))</f>
        <v>6</v>
      </c>
    </row>
    <row r="305" spans="1:52">
      <c r="A305" s="582">
        <f>Arbeitszeit!A306</f>
        <v>41939</v>
      </c>
      <c r="B305" s="583">
        <f t="shared" si="16"/>
        <v>41939</v>
      </c>
      <c r="C305" s="214">
        <f t="shared" si="17"/>
        <v>43</v>
      </c>
      <c r="D305" s="213">
        <f t="shared" si="18"/>
        <v>41912</v>
      </c>
      <c r="E305" s="670">
        <f>Arbeitszeit!U306*24</f>
        <v>0</v>
      </c>
      <c r="F305" s="397">
        <f t="shared" si="19"/>
        <v>0</v>
      </c>
      <c r="G305" s="178">
        <f>IF(Arbeitszeit!F306=Urlaub,B_WorkTime*24,)</f>
        <v>0</v>
      </c>
      <c r="H305" s="174"/>
      <c r="I305" s="178">
        <f>IF(Arbeitszeit!F306=Krank,B_WorkTime*24,)</f>
        <v>0</v>
      </c>
      <c r="J305" s="174"/>
      <c r="K305" s="179"/>
      <c r="L305" s="180"/>
      <c r="M305" s="656"/>
      <c r="N305" s="661"/>
      <c r="O305" s="656"/>
      <c r="P305" s="657"/>
      <c r="Q305" s="656"/>
      <c r="R305" s="657"/>
      <c r="S305" s="656"/>
      <c r="T305" s="657"/>
      <c r="U305" s="656"/>
      <c r="V305" s="657"/>
      <c r="W305" s="656"/>
      <c r="X305" s="657"/>
      <c r="Y305" s="656"/>
      <c r="Z305" s="657"/>
      <c r="AA305" s="656"/>
      <c r="AB305" s="657"/>
      <c r="AC305" s="656"/>
      <c r="AD305" s="657"/>
      <c r="AE305" s="656"/>
      <c r="AF305" s="658"/>
      <c r="AG305" s="656"/>
      <c r="AH305" s="658"/>
      <c r="AI305" s="656"/>
      <c r="AJ305" s="658"/>
      <c r="AK305" s="656"/>
      <c r="AL305" s="658"/>
      <c r="AM305" s="659"/>
      <c r="AN305" s="658"/>
      <c r="AO305" s="656"/>
      <c r="AP305" s="658"/>
      <c r="AQ305" s="659"/>
      <c r="AR305" s="658"/>
      <c r="AS305" s="658"/>
      <c r="AT305" s="658"/>
      <c r="AU305" s="659"/>
      <c r="AV305" s="658"/>
      <c r="AW305" s="658"/>
      <c r="AX305" s="181"/>
      <c r="AY305" s="177"/>
      <c r="AZ305">
        <f ca="1">INDIRECT(ADDRESS(ROW()+1,COLUMN(Arbeitszeit!xDay),,,"Arbeitszeit"))</f>
        <v>7</v>
      </c>
    </row>
    <row r="306" spans="1:52">
      <c r="A306" s="582">
        <f>Arbeitszeit!A307</f>
        <v>41940</v>
      </c>
      <c r="B306" s="583">
        <f t="shared" si="16"/>
        <v>41940</v>
      </c>
      <c r="C306" s="214">
        <f t="shared" si="17"/>
        <v>44</v>
      </c>
      <c r="D306" s="213">
        <f t="shared" si="18"/>
        <v>41912</v>
      </c>
      <c r="E306" s="670">
        <f>Arbeitszeit!U307*24</f>
        <v>0</v>
      </c>
      <c r="F306" s="397">
        <f t="shared" si="19"/>
        <v>0</v>
      </c>
      <c r="G306" s="178">
        <f>IF(Arbeitszeit!F307=Urlaub,B_WorkTime*24,)</f>
        <v>0</v>
      </c>
      <c r="H306" s="174"/>
      <c r="I306" s="178">
        <f>IF(Arbeitszeit!F307=Krank,B_WorkTime*24,)</f>
        <v>0</v>
      </c>
      <c r="J306" s="174"/>
      <c r="K306" s="179"/>
      <c r="L306" s="180"/>
      <c r="M306" s="656"/>
      <c r="N306" s="657"/>
      <c r="O306" s="656"/>
      <c r="P306" s="657"/>
      <c r="Q306" s="656"/>
      <c r="R306" s="657"/>
      <c r="S306" s="656"/>
      <c r="T306" s="657"/>
      <c r="U306" s="656"/>
      <c r="V306" s="657"/>
      <c r="W306" s="656"/>
      <c r="X306" s="657"/>
      <c r="Y306" s="656"/>
      <c r="Z306" s="657"/>
      <c r="AA306" s="656"/>
      <c r="AB306" s="657"/>
      <c r="AC306" s="656"/>
      <c r="AD306" s="657"/>
      <c r="AE306" s="656"/>
      <c r="AF306" s="658"/>
      <c r="AG306" s="656"/>
      <c r="AH306" s="658"/>
      <c r="AI306" s="656"/>
      <c r="AJ306" s="658"/>
      <c r="AK306" s="656"/>
      <c r="AL306" s="658"/>
      <c r="AM306" s="659"/>
      <c r="AN306" s="658"/>
      <c r="AO306" s="656"/>
      <c r="AP306" s="658"/>
      <c r="AQ306" s="659"/>
      <c r="AR306" s="658"/>
      <c r="AS306" s="658"/>
      <c r="AT306" s="658"/>
      <c r="AU306" s="659"/>
      <c r="AV306" s="658"/>
      <c r="AW306" s="658"/>
      <c r="AX306" s="181"/>
      <c r="AY306" s="177"/>
      <c r="AZ306">
        <f ca="1">INDIRECT(ADDRESS(ROW()+1,COLUMN(Arbeitszeit!xDay),,,"Arbeitszeit"))</f>
        <v>1</v>
      </c>
    </row>
    <row r="307" spans="1:52">
      <c r="A307" s="582">
        <f>Arbeitszeit!A308</f>
        <v>41941</v>
      </c>
      <c r="B307" s="583">
        <f t="shared" si="16"/>
        <v>41941</v>
      </c>
      <c r="C307" s="214">
        <f t="shared" si="17"/>
        <v>44</v>
      </c>
      <c r="D307" s="213">
        <f t="shared" si="18"/>
        <v>41912</v>
      </c>
      <c r="E307" s="670">
        <f>Arbeitszeit!U308*24</f>
        <v>0</v>
      </c>
      <c r="F307" s="397">
        <f t="shared" si="19"/>
        <v>0</v>
      </c>
      <c r="G307" s="178">
        <f>IF(Arbeitszeit!F308=Urlaub,B_WorkTime*24,)</f>
        <v>0</v>
      </c>
      <c r="H307" s="174"/>
      <c r="I307" s="178">
        <f>IF(Arbeitszeit!F308=Krank,B_WorkTime*24,)</f>
        <v>0</v>
      </c>
      <c r="J307" s="174"/>
      <c r="K307" s="179"/>
      <c r="L307" s="180"/>
      <c r="M307" s="656"/>
      <c r="N307" s="657"/>
      <c r="O307" s="656"/>
      <c r="P307" s="657"/>
      <c r="Q307" s="656"/>
      <c r="R307" s="657"/>
      <c r="S307" s="656"/>
      <c r="T307" s="657"/>
      <c r="U307" s="656"/>
      <c r="V307" s="657"/>
      <c r="W307" s="656"/>
      <c r="X307" s="657"/>
      <c r="Y307" s="656"/>
      <c r="Z307" s="657"/>
      <c r="AA307" s="656"/>
      <c r="AB307" s="657"/>
      <c r="AC307" s="656"/>
      <c r="AD307" s="657"/>
      <c r="AE307" s="656"/>
      <c r="AF307" s="658"/>
      <c r="AG307" s="656"/>
      <c r="AH307" s="658"/>
      <c r="AI307" s="656"/>
      <c r="AJ307" s="658"/>
      <c r="AK307" s="656"/>
      <c r="AL307" s="658"/>
      <c r="AM307" s="659"/>
      <c r="AN307" s="658"/>
      <c r="AO307" s="656"/>
      <c r="AP307" s="658"/>
      <c r="AQ307" s="659"/>
      <c r="AR307" s="658"/>
      <c r="AS307" s="658"/>
      <c r="AT307" s="658"/>
      <c r="AU307" s="659"/>
      <c r="AV307" s="658"/>
      <c r="AW307" s="658"/>
      <c r="AX307" s="181"/>
      <c r="AY307" s="177"/>
      <c r="AZ307">
        <f ca="1">INDIRECT(ADDRESS(ROW()+1,COLUMN(Arbeitszeit!xDay),,,"Arbeitszeit"))</f>
        <v>2</v>
      </c>
    </row>
    <row r="308" spans="1:52">
      <c r="A308" s="582">
        <f>Arbeitszeit!A309</f>
        <v>41942</v>
      </c>
      <c r="B308" s="583">
        <f t="shared" si="16"/>
        <v>41942</v>
      </c>
      <c r="C308" s="214">
        <f t="shared" si="17"/>
        <v>44</v>
      </c>
      <c r="D308" s="213">
        <f t="shared" si="18"/>
        <v>41912</v>
      </c>
      <c r="E308" s="670">
        <f>Arbeitszeit!U309*24</f>
        <v>0</v>
      </c>
      <c r="F308" s="397">
        <f t="shared" si="19"/>
        <v>0</v>
      </c>
      <c r="G308" s="178">
        <f>IF(Arbeitszeit!F309=Urlaub,B_WorkTime*24,)</f>
        <v>0</v>
      </c>
      <c r="H308" s="174"/>
      <c r="I308" s="178">
        <f>IF(Arbeitszeit!F309=Krank,B_WorkTime*24,)</f>
        <v>0</v>
      </c>
      <c r="J308" s="174"/>
      <c r="K308" s="179"/>
      <c r="L308" s="180"/>
      <c r="M308" s="656"/>
      <c r="N308" s="657"/>
      <c r="O308" s="656"/>
      <c r="P308" s="657"/>
      <c r="Q308" s="656"/>
      <c r="R308" s="657"/>
      <c r="S308" s="656"/>
      <c r="T308" s="657"/>
      <c r="U308" s="656"/>
      <c r="V308" s="657"/>
      <c r="W308" s="656"/>
      <c r="X308" s="657"/>
      <c r="Y308" s="656"/>
      <c r="Z308" s="657"/>
      <c r="AA308" s="656"/>
      <c r="AB308" s="657"/>
      <c r="AC308" s="656"/>
      <c r="AD308" s="657"/>
      <c r="AE308" s="656"/>
      <c r="AF308" s="658"/>
      <c r="AG308" s="656"/>
      <c r="AH308" s="658"/>
      <c r="AI308" s="656"/>
      <c r="AJ308" s="658"/>
      <c r="AK308" s="656"/>
      <c r="AL308" s="658"/>
      <c r="AM308" s="659"/>
      <c r="AN308" s="658"/>
      <c r="AO308" s="656"/>
      <c r="AP308" s="658"/>
      <c r="AQ308" s="659"/>
      <c r="AR308" s="658"/>
      <c r="AS308" s="658"/>
      <c r="AT308" s="658"/>
      <c r="AU308" s="659"/>
      <c r="AV308" s="658"/>
      <c r="AW308" s="658"/>
      <c r="AX308" s="181"/>
      <c r="AY308" s="177"/>
      <c r="AZ308">
        <f ca="1">INDIRECT(ADDRESS(ROW()+1,COLUMN(Arbeitszeit!xDay),,,"Arbeitszeit"))</f>
        <v>3</v>
      </c>
    </row>
    <row r="309" spans="1:52">
      <c r="A309" s="582">
        <f>Arbeitszeit!A310</f>
        <v>41943</v>
      </c>
      <c r="B309" s="583">
        <f t="shared" si="16"/>
        <v>41943</v>
      </c>
      <c r="C309" s="214">
        <f t="shared" si="17"/>
        <v>44</v>
      </c>
      <c r="D309" s="213">
        <f t="shared" si="18"/>
        <v>41943</v>
      </c>
      <c r="E309" s="670">
        <f>Arbeitszeit!U310*24</f>
        <v>0</v>
      </c>
      <c r="F309" s="397">
        <f t="shared" si="19"/>
        <v>0</v>
      </c>
      <c r="G309" s="178">
        <f>IF(Arbeitszeit!F310=Urlaub,B_WorkTime*24,)</f>
        <v>0</v>
      </c>
      <c r="H309" s="174"/>
      <c r="I309" s="178">
        <f>IF(Arbeitszeit!F310=Krank,B_WorkTime*24,)</f>
        <v>0</v>
      </c>
      <c r="J309" s="174"/>
      <c r="K309" s="179"/>
      <c r="L309" s="180"/>
      <c r="M309" s="656"/>
      <c r="N309" s="657"/>
      <c r="O309" s="656"/>
      <c r="P309" s="657"/>
      <c r="Q309" s="656"/>
      <c r="R309" s="657"/>
      <c r="S309" s="656"/>
      <c r="T309" s="657"/>
      <c r="U309" s="656"/>
      <c r="V309" s="657"/>
      <c r="W309" s="656"/>
      <c r="X309" s="657"/>
      <c r="Y309" s="656"/>
      <c r="Z309" s="657"/>
      <c r="AA309" s="656"/>
      <c r="AB309" s="657"/>
      <c r="AC309" s="656"/>
      <c r="AD309" s="657"/>
      <c r="AE309" s="656"/>
      <c r="AF309" s="658"/>
      <c r="AG309" s="656"/>
      <c r="AH309" s="658"/>
      <c r="AI309" s="656"/>
      <c r="AJ309" s="658"/>
      <c r="AK309" s="656"/>
      <c r="AL309" s="658"/>
      <c r="AM309" s="659"/>
      <c r="AN309" s="658"/>
      <c r="AO309" s="656"/>
      <c r="AP309" s="658"/>
      <c r="AQ309" s="659"/>
      <c r="AR309" s="658"/>
      <c r="AS309" s="658"/>
      <c r="AT309" s="658"/>
      <c r="AU309" s="659"/>
      <c r="AV309" s="658"/>
      <c r="AW309" s="658"/>
      <c r="AX309" s="181"/>
      <c r="AY309" s="177"/>
      <c r="AZ309">
        <f ca="1">INDIRECT(ADDRESS(ROW()+1,COLUMN(Arbeitszeit!xDay),,,"Arbeitszeit"))</f>
        <v>8</v>
      </c>
    </row>
    <row r="310" spans="1:52">
      <c r="A310" s="582">
        <f>Arbeitszeit!A311</f>
        <v>41944</v>
      </c>
      <c r="B310" s="583">
        <f t="shared" si="16"/>
        <v>41944</v>
      </c>
      <c r="C310" s="214">
        <f t="shared" si="17"/>
        <v>44</v>
      </c>
      <c r="D310" s="213">
        <f t="shared" si="18"/>
        <v>41943</v>
      </c>
      <c r="E310" s="670">
        <f>Arbeitszeit!U311*24</f>
        <v>0</v>
      </c>
      <c r="F310" s="397">
        <f t="shared" si="19"/>
        <v>0</v>
      </c>
      <c r="G310" s="178">
        <f>IF(Arbeitszeit!F311=Urlaub,B_WorkTime*24,)</f>
        <v>0</v>
      </c>
      <c r="H310" s="174"/>
      <c r="I310" s="178">
        <f>IF(Arbeitszeit!F311=Krank,B_WorkTime*24,)</f>
        <v>0</v>
      </c>
      <c r="J310" s="174"/>
      <c r="K310" s="179"/>
      <c r="L310" s="180"/>
      <c r="M310" s="656"/>
      <c r="N310" s="657"/>
      <c r="O310" s="656"/>
      <c r="P310" s="657"/>
      <c r="Q310" s="656"/>
      <c r="R310" s="657"/>
      <c r="S310" s="656"/>
      <c r="T310" s="657"/>
      <c r="U310" s="656"/>
      <c r="V310" s="657"/>
      <c r="W310" s="656"/>
      <c r="X310" s="657"/>
      <c r="Y310" s="656"/>
      <c r="Z310" s="657"/>
      <c r="AA310" s="656"/>
      <c r="AB310" s="657"/>
      <c r="AC310" s="656"/>
      <c r="AD310" s="657"/>
      <c r="AE310" s="656"/>
      <c r="AF310" s="658"/>
      <c r="AG310" s="656"/>
      <c r="AH310" s="658"/>
      <c r="AI310" s="656"/>
      <c r="AJ310" s="658"/>
      <c r="AK310" s="656"/>
      <c r="AL310" s="658"/>
      <c r="AM310" s="659"/>
      <c r="AN310" s="658"/>
      <c r="AO310" s="656"/>
      <c r="AP310" s="658"/>
      <c r="AQ310" s="659"/>
      <c r="AR310" s="658"/>
      <c r="AS310" s="658"/>
      <c r="AT310" s="658"/>
      <c r="AU310" s="659"/>
      <c r="AV310" s="658"/>
      <c r="AW310" s="658"/>
      <c r="AX310" s="181"/>
      <c r="AY310" s="177"/>
      <c r="AZ310">
        <f ca="1">INDIRECT(ADDRESS(ROW()+1,COLUMN(Arbeitszeit!xDay),,,"Arbeitszeit"))</f>
        <v>5</v>
      </c>
    </row>
    <row r="311" spans="1:52">
      <c r="A311" s="582">
        <f>Arbeitszeit!A312</f>
        <v>41945</v>
      </c>
      <c r="B311" s="583">
        <f t="shared" si="16"/>
        <v>41945</v>
      </c>
      <c r="C311" s="214">
        <f t="shared" si="17"/>
        <v>44</v>
      </c>
      <c r="D311" s="213">
        <f t="shared" si="18"/>
        <v>41943</v>
      </c>
      <c r="E311" s="670">
        <f>Arbeitszeit!U312*24</f>
        <v>0</v>
      </c>
      <c r="F311" s="397">
        <f t="shared" si="19"/>
        <v>0</v>
      </c>
      <c r="G311" s="178">
        <f>IF(Arbeitszeit!F312=Urlaub,B_WorkTime*24,)</f>
        <v>0</v>
      </c>
      <c r="H311" s="174"/>
      <c r="I311" s="178">
        <f>IF(Arbeitszeit!F312=Krank,B_WorkTime*24,)</f>
        <v>0</v>
      </c>
      <c r="J311" s="174"/>
      <c r="K311" s="179"/>
      <c r="L311" s="180"/>
      <c r="M311" s="656"/>
      <c r="N311" s="657"/>
      <c r="O311" s="656"/>
      <c r="P311" s="657"/>
      <c r="Q311" s="656"/>
      <c r="R311" s="657"/>
      <c r="S311" s="656"/>
      <c r="T311" s="657"/>
      <c r="U311" s="656"/>
      <c r="V311" s="657"/>
      <c r="W311" s="656"/>
      <c r="X311" s="657"/>
      <c r="Y311" s="656"/>
      <c r="Z311" s="657"/>
      <c r="AA311" s="656"/>
      <c r="AB311" s="657"/>
      <c r="AC311" s="656"/>
      <c r="AD311" s="657"/>
      <c r="AE311" s="656"/>
      <c r="AF311" s="658"/>
      <c r="AG311" s="656"/>
      <c r="AH311" s="658"/>
      <c r="AI311" s="656"/>
      <c r="AJ311" s="658"/>
      <c r="AK311" s="656"/>
      <c r="AL311" s="658"/>
      <c r="AM311" s="659"/>
      <c r="AN311" s="658"/>
      <c r="AO311" s="656"/>
      <c r="AP311" s="658"/>
      <c r="AQ311" s="659"/>
      <c r="AR311" s="658"/>
      <c r="AS311" s="658"/>
      <c r="AT311" s="658"/>
      <c r="AU311" s="659"/>
      <c r="AV311" s="658"/>
      <c r="AW311" s="658"/>
      <c r="AX311" s="181"/>
      <c r="AY311" s="177"/>
      <c r="AZ311">
        <f ca="1">INDIRECT(ADDRESS(ROW()+1,COLUMN(Arbeitszeit!xDay),,,"Arbeitszeit"))</f>
        <v>6</v>
      </c>
    </row>
    <row r="312" spans="1:52">
      <c r="A312" s="582">
        <f>Arbeitszeit!A313</f>
        <v>41946</v>
      </c>
      <c r="B312" s="583">
        <f t="shared" si="16"/>
        <v>41946</v>
      </c>
      <c r="C312" s="214">
        <f t="shared" si="17"/>
        <v>44</v>
      </c>
      <c r="D312" s="213">
        <f t="shared" si="18"/>
        <v>41943</v>
      </c>
      <c r="E312" s="670">
        <f>Arbeitszeit!U313*24</f>
        <v>0</v>
      </c>
      <c r="F312" s="397">
        <f t="shared" si="19"/>
        <v>0</v>
      </c>
      <c r="G312" s="178">
        <f>IF(Arbeitszeit!F313=Urlaub,B_WorkTime*24,)</f>
        <v>0</v>
      </c>
      <c r="H312" s="174"/>
      <c r="I312" s="178">
        <f>IF(Arbeitszeit!F313=Krank,B_WorkTime*24,)</f>
        <v>0</v>
      </c>
      <c r="J312" s="174"/>
      <c r="K312" s="179"/>
      <c r="L312" s="180"/>
      <c r="M312" s="656"/>
      <c r="N312" s="657"/>
      <c r="O312" s="656"/>
      <c r="P312" s="657"/>
      <c r="Q312" s="656"/>
      <c r="R312" s="657"/>
      <c r="S312" s="656"/>
      <c r="T312" s="657"/>
      <c r="U312" s="656"/>
      <c r="V312" s="657"/>
      <c r="W312" s="656"/>
      <c r="X312" s="657"/>
      <c r="Y312" s="656"/>
      <c r="Z312" s="657"/>
      <c r="AA312" s="656"/>
      <c r="AB312" s="657"/>
      <c r="AC312" s="656"/>
      <c r="AD312" s="657"/>
      <c r="AE312" s="656"/>
      <c r="AF312" s="658"/>
      <c r="AG312" s="656"/>
      <c r="AH312" s="658"/>
      <c r="AI312" s="656"/>
      <c r="AJ312" s="658"/>
      <c r="AK312" s="656"/>
      <c r="AL312" s="658"/>
      <c r="AM312" s="659"/>
      <c r="AN312" s="658"/>
      <c r="AO312" s="656"/>
      <c r="AP312" s="658"/>
      <c r="AQ312" s="659"/>
      <c r="AR312" s="658"/>
      <c r="AS312" s="658"/>
      <c r="AT312" s="658"/>
      <c r="AU312" s="659"/>
      <c r="AV312" s="658"/>
      <c r="AW312" s="658"/>
      <c r="AX312" s="181"/>
      <c r="AY312" s="177"/>
      <c r="AZ312">
        <f ca="1">INDIRECT(ADDRESS(ROW()+1,COLUMN(Arbeitszeit!xDay),,,"Arbeitszeit"))</f>
        <v>7</v>
      </c>
    </row>
    <row r="313" spans="1:52">
      <c r="A313" s="582">
        <f>Arbeitszeit!A314</f>
        <v>41947</v>
      </c>
      <c r="B313" s="583">
        <f t="shared" si="16"/>
        <v>41947</v>
      </c>
      <c r="C313" s="214">
        <f t="shared" si="17"/>
        <v>45</v>
      </c>
      <c r="D313" s="213">
        <f t="shared" si="18"/>
        <v>41943</v>
      </c>
      <c r="E313" s="670">
        <f>Arbeitszeit!U314*24</f>
        <v>0</v>
      </c>
      <c r="F313" s="397">
        <f t="shared" si="19"/>
        <v>0</v>
      </c>
      <c r="G313" s="178">
        <f>IF(Arbeitszeit!F314=Urlaub,B_WorkTime*24,)</f>
        <v>0</v>
      </c>
      <c r="H313" s="174"/>
      <c r="I313" s="178">
        <f>IF(Arbeitszeit!F314=Krank,B_WorkTime*24,)</f>
        <v>0</v>
      </c>
      <c r="J313" s="174"/>
      <c r="K313" s="179"/>
      <c r="L313" s="180"/>
      <c r="M313" s="656"/>
      <c r="N313" s="657"/>
      <c r="O313" s="656"/>
      <c r="P313" s="657"/>
      <c r="Q313" s="656"/>
      <c r="R313" s="657"/>
      <c r="S313" s="656"/>
      <c r="T313" s="657"/>
      <c r="U313" s="656"/>
      <c r="V313" s="657"/>
      <c r="W313" s="656"/>
      <c r="X313" s="657"/>
      <c r="Y313" s="656"/>
      <c r="Z313" s="657"/>
      <c r="AA313" s="656"/>
      <c r="AB313" s="657"/>
      <c r="AC313" s="656"/>
      <c r="AD313" s="657"/>
      <c r="AE313" s="656"/>
      <c r="AF313" s="658"/>
      <c r="AG313" s="656"/>
      <c r="AH313" s="658"/>
      <c r="AI313" s="656"/>
      <c r="AJ313" s="658"/>
      <c r="AK313" s="656"/>
      <c r="AL313" s="658"/>
      <c r="AM313" s="659"/>
      <c r="AN313" s="658"/>
      <c r="AO313" s="656"/>
      <c r="AP313" s="658"/>
      <c r="AQ313" s="659"/>
      <c r="AR313" s="658"/>
      <c r="AS313" s="658"/>
      <c r="AT313" s="658"/>
      <c r="AU313" s="659"/>
      <c r="AV313" s="658"/>
      <c r="AW313" s="658"/>
      <c r="AX313" s="181"/>
      <c r="AY313" s="177"/>
      <c r="AZ313">
        <f ca="1">INDIRECT(ADDRESS(ROW()+1,COLUMN(Arbeitszeit!xDay),,,"Arbeitszeit"))</f>
        <v>1</v>
      </c>
    </row>
    <row r="314" spans="1:52">
      <c r="A314" s="582">
        <f>Arbeitszeit!A315</f>
        <v>41948</v>
      </c>
      <c r="B314" s="583">
        <f t="shared" si="16"/>
        <v>41948</v>
      </c>
      <c r="C314" s="214">
        <f t="shared" si="17"/>
        <v>45</v>
      </c>
      <c r="D314" s="213">
        <f t="shared" si="18"/>
        <v>41943</v>
      </c>
      <c r="E314" s="670">
        <f>Arbeitszeit!U315*24</f>
        <v>0</v>
      </c>
      <c r="F314" s="397">
        <f t="shared" si="19"/>
        <v>0</v>
      </c>
      <c r="G314" s="178">
        <f>IF(Arbeitszeit!F315=Urlaub,B_WorkTime*24,)</f>
        <v>0</v>
      </c>
      <c r="H314" s="174"/>
      <c r="I314" s="178">
        <f>IF(Arbeitszeit!F315=Krank,B_WorkTime*24,)</f>
        <v>0</v>
      </c>
      <c r="J314" s="174"/>
      <c r="K314" s="179"/>
      <c r="L314" s="180"/>
      <c r="M314" s="656"/>
      <c r="N314" s="657"/>
      <c r="O314" s="656"/>
      <c r="P314" s="657"/>
      <c r="Q314" s="656"/>
      <c r="R314" s="657"/>
      <c r="S314" s="656"/>
      <c r="T314" s="657"/>
      <c r="U314" s="656"/>
      <c r="V314" s="657"/>
      <c r="W314" s="656"/>
      <c r="X314" s="657"/>
      <c r="Y314" s="656"/>
      <c r="Z314" s="657"/>
      <c r="AA314" s="656"/>
      <c r="AB314" s="657"/>
      <c r="AC314" s="656"/>
      <c r="AD314" s="657"/>
      <c r="AE314" s="656"/>
      <c r="AF314" s="658"/>
      <c r="AG314" s="656"/>
      <c r="AH314" s="658"/>
      <c r="AI314" s="656"/>
      <c r="AJ314" s="658"/>
      <c r="AK314" s="656"/>
      <c r="AL314" s="658"/>
      <c r="AM314" s="659"/>
      <c r="AN314" s="658"/>
      <c r="AO314" s="656"/>
      <c r="AP314" s="658"/>
      <c r="AQ314" s="659"/>
      <c r="AR314" s="658"/>
      <c r="AS314" s="658"/>
      <c r="AT314" s="658"/>
      <c r="AU314" s="659"/>
      <c r="AV314" s="658"/>
      <c r="AW314" s="658"/>
      <c r="AX314" s="181"/>
      <c r="AY314" s="177"/>
      <c r="AZ314">
        <f ca="1">INDIRECT(ADDRESS(ROW()+1,COLUMN(Arbeitszeit!xDay),,,"Arbeitszeit"))</f>
        <v>2</v>
      </c>
    </row>
    <row r="315" spans="1:52">
      <c r="A315" s="582">
        <f>Arbeitszeit!A316</f>
        <v>41949</v>
      </c>
      <c r="B315" s="583">
        <f t="shared" si="16"/>
        <v>41949</v>
      </c>
      <c r="C315" s="214">
        <f t="shared" si="17"/>
        <v>45</v>
      </c>
      <c r="D315" s="213">
        <f t="shared" si="18"/>
        <v>41943</v>
      </c>
      <c r="E315" s="670">
        <f>Arbeitszeit!U316*24</f>
        <v>0</v>
      </c>
      <c r="F315" s="397">
        <f t="shared" si="19"/>
        <v>0</v>
      </c>
      <c r="G315" s="178">
        <f>IF(Arbeitszeit!F316=Urlaub,B_WorkTime*24,)</f>
        <v>0</v>
      </c>
      <c r="H315" s="174"/>
      <c r="I315" s="178">
        <f>IF(Arbeitszeit!F316=Krank,B_WorkTime*24,)</f>
        <v>0</v>
      </c>
      <c r="J315" s="174"/>
      <c r="K315" s="179"/>
      <c r="L315" s="180"/>
      <c r="M315" s="656"/>
      <c r="N315" s="657"/>
      <c r="O315" s="656"/>
      <c r="P315" s="657"/>
      <c r="Q315" s="656"/>
      <c r="R315" s="657"/>
      <c r="S315" s="656"/>
      <c r="T315" s="657"/>
      <c r="U315" s="656"/>
      <c r="V315" s="657"/>
      <c r="W315" s="656"/>
      <c r="X315" s="657"/>
      <c r="Y315" s="656"/>
      <c r="Z315" s="657"/>
      <c r="AA315" s="656"/>
      <c r="AB315" s="657"/>
      <c r="AC315" s="656"/>
      <c r="AD315" s="657"/>
      <c r="AE315" s="656"/>
      <c r="AF315" s="658"/>
      <c r="AG315" s="656"/>
      <c r="AH315" s="658"/>
      <c r="AI315" s="656"/>
      <c r="AJ315" s="658"/>
      <c r="AK315" s="656"/>
      <c r="AL315" s="658"/>
      <c r="AM315" s="659"/>
      <c r="AN315" s="658"/>
      <c r="AO315" s="656"/>
      <c r="AP315" s="658"/>
      <c r="AQ315" s="659"/>
      <c r="AR315" s="658"/>
      <c r="AS315" s="658"/>
      <c r="AT315" s="658"/>
      <c r="AU315" s="659"/>
      <c r="AV315" s="658"/>
      <c r="AW315" s="658"/>
      <c r="AX315" s="181"/>
      <c r="AY315" s="177"/>
      <c r="AZ315">
        <f ca="1">INDIRECT(ADDRESS(ROW()+1,COLUMN(Arbeitszeit!xDay),,,"Arbeitszeit"))</f>
        <v>3</v>
      </c>
    </row>
    <row r="316" spans="1:52">
      <c r="A316" s="582">
        <f>Arbeitszeit!A317</f>
        <v>41950</v>
      </c>
      <c r="B316" s="583">
        <f t="shared" si="16"/>
        <v>41950</v>
      </c>
      <c r="C316" s="214">
        <f t="shared" si="17"/>
        <v>45</v>
      </c>
      <c r="D316" s="213">
        <f t="shared" si="18"/>
        <v>41943</v>
      </c>
      <c r="E316" s="670">
        <f>Arbeitszeit!U317*24</f>
        <v>0</v>
      </c>
      <c r="F316" s="397">
        <f t="shared" si="19"/>
        <v>0</v>
      </c>
      <c r="G316" s="178">
        <f>IF(Arbeitszeit!F317=Urlaub,B_WorkTime*24,)</f>
        <v>0</v>
      </c>
      <c r="H316" s="174"/>
      <c r="I316" s="178">
        <f>IF(Arbeitszeit!F317=Krank,B_WorkTime*24,)</f>
        <v>0</v>
      </c>
      <c r="J316" s="174"/>
      <c r="K316" s="179"/>
      <c r="L316" s="180"/>
      <c r="M316" s="656"/>
      <c r="N316" s="657"/>
      <c r="O316" s="656"/>
      <c r="P316" s="657"/>
      <c r="Q316" s="656"/>
      <c r="R316" s="657"/>
      <c r="S316" s="656"/>
      <c r="T316" s="657"/>
      <c r="U316" s="656"/>
      <c r="V316" s="657"/>
      <c r="W316" s="656"/>
      <c r="X316" s="657"/>
      <c r="Y316" s="656"/>
      <c r="Z316" s="657"/>
      <c r="AA316" s="656"/>
      <c r="AB316" s="657"/>
      <c r="AC316" s="656"/>
      <c r="AD316" s="657"/>
      <c r="AE316" s="656"/>
      <c r="AF316" s="658"/>
      <c r="AG316" s="656"/>
      <c r="AH316" s="658"/>
      <c r="AI316" s="656"/>
      <c r="AJ316" s="658"/>
      <c r="AK316" s="656"/>
      <c r="AL316" s="658"/>
      <c r="AM316" s="659"/>
      <c r="AN316" s="658"/>
      <c r="AO316" s="656"/>
      <c r="AP316" s="658"/>
      <c r="AQ316" s="659"/>
      <c r="AR316" s="658"/>
      <c r="AS316" s="658"/>
      <c r="AT316" s="658"/>
      <c r="AU316" s="659"/>
      <c r="AV316" s="658"/>
      <c r="AW316" s="658"/>
      <c r="AX316" s="181"/>
      <c r="AY316" s="177"/>
      <c r="AZ316">
        <f ca="1">INDIRECT(ADDRESS(ROW()+1,COLUMN(Arbeitszeit!xDay),,,"Arbeitszeit"))</f>
        <v>4</v>
      </c>
    </row>
    <row r="317" spans="1:52">
      <c r="A317" s="582">
        <f>Arbeitszeit!A318</f>
        <v>41951</v>
      </c>
      <c r="B317" s="583">
        <f t="shared" si="16"/>
        <v>41951</v>
      </c>
      <c r="C317" s="214">
        <f t="shared" si="17"/>
        <v>45</v>
      </c>
      <c r="D317" s="213">
        <f t="shared" si="18"/>
        <v>41943</v>
      </c>
      <c r="E317" s="670">
        <f>Arbeitszeit!U318*24</f>
        <v>0</v>
      </c>
      <c r="F317" s="397">
        <f t="shared" si="19"/>
        <v>0</v>
      </c>
      <c r="G317" s="178">
        <f>IF(Arbeitszeit!F318=Urlaub,B_WorkTime*24,)</f>
        <v>0</v>
      </c>
      <c r="H317" s="174"/>
      <c r="I317" s="178">
        <f>IF(Arbeitszeit!F318=Krank,B_WorkTime*24,)</f>
        <v>0</v>
      </c>
      <c r="J317" s="174"/>
      <c r="K317" s="179"/>
      <c r="L317" s="180"/>
      <c r="M317" s="656"/>
      <c r="N317" s="657"/>
      <c r="O317" s="656"/>
      <c r="P317" s="657"/>
      <c r="Q317" s="656"/>
      <c r="R317" s="657"/>
      <c r="S317" s="656"/>
      <c r="T317" s="657"/>
      <c r="U317" s="656"/>
      <c r="V317" s="657"/>
      <c r="W317" s="656"/>
      <c r="X317" s="657"/>
      <c r="Y317" s="656"/>
      <c r="Z317" s="657"/>
      <c r="AA317" s="656"/>
      <c r="AB317" s="657"/>
      <c r="AC317" s="656"/>
      <c r="AD317" s="657"/>
      <c r="AE317" s="656"/>
      <c r="AF317" s="658"/>
      <c r="AG317" s="656"/>
      <c r="AH317" s="658"/>
      <c r="AI317" s="656"/>
      <c r="AJ317" s="658"/>
      <c r="AK317" s="656"/>
      <c r="AL317" s="658"/>
      <c r="AM317" s="659"/>
      <c r="AN317" s="658"/>
      <c r="AO317" s="656"/>
      <c r="AP317" s="658"/>
      <c r="AQ317" s="659"/>
      <c r="AR317" s="658"/>
      <c r="AS317" s="658"/>
      <c r="AT317" s="658"/>
      <c r="AU317" s="659"/>
      <c r="AV317" s="658"/>
      <c r="AW317" s="658"/>
      <c r="AX317" s="181"/>
      <c r="AY317" s="177"/>
      <c r="AZ317">
        <f ca="1">INDIRECT(ADDRESS(ROW()+1,COLUMN(Arbeitszeit!xDay),,,"Arbeitszeit"))</f>
        <v>5</v>
      </c>
    </row>
    <row r="318" spans="1:52">
      <c r="A318" s="582">
        <f>Arbeitszeit!A319</f>
        <v>41952</v>
      </c>
      <c r="B318" s="583">
        <f t="shared" si="16"/>
        <v>41952</v>
      </c>
      <c r="C318" s="214">
        <f t="shared" si="17"/>
        <v>45</v>
      </c>
      <c r="D318" s="213">
        <f t="shared" si="18"/>
        <v>41943</v>
      </c>
      <c r="E318" s="670">
        <f>Arbeitszeit!U319*24</f>
        <v>0</v>
      </c>
      <c r="F318" s="397">
        <f t="shared" si="19"/>
        <v>0</v>
      </c>
      <c r="G318" s="178">
        <f>IF(Arbeitszeit!F319=Urlaub,B_WorkTime*24,)</f>
        <v>0</v>
      </c>
      <c r="H318" s="174"/>
      <c r="I318" s="178">
        <f>IF(Arbeitszeit!F319=Krank,B_WorkTime*24,)</f>
        <v>0</v>
      </c>
      <c r="J318" s="174"/>
      <c r="K318" s="179"/>
      <c r="L318" s="180"/>
      <c r="M318" s="656"/>
      <c r="N318" s="657"/>
      <c r="O318" s="656"/>
      <c r="P318" s="657"/>
      <c r="Q318" s="656"/>
      <c r="R318" s="657"/>
      <c r="S318" s="656"/>
      <c r="T318" s="662"/>
      <c r="U318" s="656"/>
      <c r="V318" s="657"/>
      <c r="W318" s="656"/>
      <c r="X318" s="657"/>
      <c r="Y318" s="656"/>
      <c r="Z318" s="657"/>
      <c r="AA318" s="656"/>
      <c r="AB318" s="657"/>
      <c r="AC318" s="656"/>
      <c r="AD318" s="657"/>
      <c r="AE318" s="656"/>
      <c r="AF318" s="658"/>
      <c r="AG318" s="656"/>
      <c r="AH318" s="658"/>
      <c r="AI318" s="656"/>
      <c r="AJ318" s="658"/>
      <c r="AK318" s="656"/>
      <c r="AL318" s="658"/>
      <c r="AM318" s="659"/>
      <c r="AN318" s="658"/>
      <c r="AO318" s="656"/>
      <c r="AP318" s="658"/>
      <c r="AQ318" s="659"/>
      <c r="AR318" s="658"/>
      <c r="AS318" s="658"/>
      <c r="AT318" s="658"/>
      <c r="AU318" s="659"/>
      <c r="AV318" s="658"/>
      <c r="AW318" s="658"/>
      <c r="AX318" s="181"/>
      <c r="AY318" s="177"/>
      <c r="AZ318">
        <f ca="1">INDIRECT(ADDRESS(ROW()+1,COLUMN(Arbeitszeit!xDay),,,"Arbeitszeit"))</f>
        <v>6</v>
      </c>
    </row>
    <row r="319" spans="1:52">
      <c r="A319" s="582">
        <f>Arbeitszeit!A320</f>
        <v>41953</v>
      </c>
      <c r="B319" s="583">
        <f t="shared" si="16"/>
        <v>41953</v>
      </c>
      <c r="C319" s="214">
        <f t="shared" si="17"/>
        <v>45</v>
      </c>
      <c r="D319" s="213">
        <f t="shared" si="18"/>
        <v>41943</v>
      </c>
      <c r="E319" s="670">
        <f>Arbeitszeit!U320*24</f>
        <v>0</v>
      </c>
      <c r="F319" s="397">
        <f t="shared" si="19"/>
        <v>0</v>
      </c>
      <c r="G319" s="178">
        <f>IF(Arbeitszeit!F320=Urlaub,B_WorkTime*24,)</f>
        <v>0</v>
      </c>
      <c r="H319" s="174"/>
      <c r="I319" s="178">
        <f>IF(Arbeitszeit!F320=Krank,B_WorkTime*24,)</f>
        <v>0</v>
      </c>
      <c r="J319" s="174"/>
      <c r="K319" s="179"/>
      <c r="L319" s="180"/>
      <c r="M319" s="656"/>
      <c r="N319" s="657"/>
      <c r="O319" s="656"/>
      <c r="P319" s="657"/>
      <c r="Q319" s="656"/>
      <c r="R319" s="657"/>
      <c r="S319" s="656"/>
      <c r="T319" s="657"/>
      <c r="U319" s="656"/>
      <c r="V319" s="657"/>
      <c r="W319" s="656"/>
      <c r="X319" s="657"/>
      <c r="Y319" s="656"/>
      <c r="Z319" s="657"/>
      <c r="AA319" s="656"/>
      <c r="AB319" s="657"/>
      <c r="AC319" s="656"/>
      <c r="AD319" s="657"/>
      <c r="AE319" s="656"/>
      <c r="AF319" s="658"/>
      <c r="AG319" s="656"/>
      <c r="AH319" s="658"/>
      <c r="AI319" s="656"/>
      <c r="AJ319" s="658"/>
      <c r="AK319" s="656"/>
      <c r="AL319" s="658"/>
      <c r="AM319" s="659"/>
      <c r="AN319" s="658"/>
      <c r="AO319" s="656"/>
      <c r="AP319" s="658"/>
      <c r="AQ319" s="659"/>
      <c r="AR319" s="658"/>
      <c r="AS319" s="658"/>
      <c r="AT319" s="658"/>
      <c r="AU319" s="659"/>
      <c r="AV319" s="658"/>
      <c r="AW319" s="658"/>
      <c r="AX319" s="181"/>
      <c r="AY319" s="177"/>
      <c r="AZ319">
        <f ca="1">INDIRECT(ADDRESS(ROW()+1,COLUMN(Arbeitszeit!xDay),,,"Arbeitszeit"))</f>
        <v>7</v>
      </c>
    </row>
    <row r="320" spans="1:52">
      <c r="A320" s="582">
        <f>Arbeitszeit!A321</f>
        <v>41954</v>
      </c>
      <c r="B320" s="583">
        <f t="shared" si="16"/>
        <v>41954</v>
      </c>
      <c r="C320" s="214">
        <f t="shared" si="17"/>
        <v>46</v>
      </c>
      <c r="D320" s="213">
        <f t="shared" si="18"/>
        <v>41943</v>
      </c>
      <c r="E320" s="670">
        <f>Arbeitszeit!U321*24</f>
        <v>0</v>
      </c>
      <c r="F320" s="397">
        <f t="shared" si="19"/>
        <v>0</v>
      </c>
      <c r="G320" s="178">
        <f>IF(Arbeitszeit!F321=Urlaub,B_WorkTime*24,)</f>
        <v>0</v>
      </c>
      <c r="H320" s="174"/>
      <c r="I320" s="178">
        <f>IF(Arbeitszeit!F321=Krank,B_WorkTime*24,)</f>
        <v>0</v>
      </c>
      <c r="J320" s="174"/>
      <c r="K320" s="179"/>
      <c r="L320" s="180"/>
      <c r="M320" s="656"/>
      <c r="N320" s="657"/>
      <c r="O320" s="656"/>
      <c r="P320" s="657"/>
      <c r="Q320" s="656"/>
      <c r="R320" s="657"/>
      <c r="S320" s="656"/>
      <c r="T320" s="657"/>
      <c r="U320" s="656"/>
      <c r="V320" s="657"/>
      <c r="W320" s="656"/>
      <c r="X320" s="657"/>
      <c r="Y320" s="656"/>
      <c r="Z320" s="657"/>
      <c r="AA320" s="656"/>
      <c r="AB320" s="657"/>
      <c r="AC320" s="656"/>
      <c r="AD320" s="657"/>
      <c r="AE320" s="656"/>
      <c r="AF320" s="658"/>
      <c r="AG320" s="656"/>
      <c r="AH320" s="658"/>
      <c r="AI320" s="656"/>
      <c r="AJ320" s="658"/>
      <c r="AK320" s="656"/>
      <c r="AL320" s="658"/>
      <c r="AM320" s="659"/>
      <c r="AN320" s="658"/>
      <c r="AO320" s="656"/>
      <c r="AP320" s="658"/>
      <c r="AQ320" s="659"/>
      <c r="AR320" s="658"/>
      <c r="AS320" s="658"/>
      <c r="AT320" s="658"/>
      <c r="AU320" s="659"/>
      <c r="AV320" s="658"/>
      <c r="AW320" s="658"/>
      <c r="AX320" s="181"/>
      <c r="AY320" s="177"/>
      <c r="AZ320">
        <f ca="1">INDIRECT(ADDRESS(ROW()+1,COLUMN(Arbeitszeit!xDay),,,"Arbeitszeit"))</f>
        <v>1</v>
      </c>
    </row>
    <row r="321" spans="1:52">
      <c r="A321" s="582">
        <f>Arbeitszeit!A322</f>
        <v>41955</v>
      </c>
      <c r="B321" s="583">
        <f t="shared" si="16"/>
        <v>41955</v>
      </c>
      <c r="C321" s="214">
        <f t="shared" si="17"/>
        <v>46</v>
      </c>
      <c r="D321" s="213">
        <f t="shared" si="18"/>
        <v>41943</v>
      </c>
      <c r="E321" s="670">
        <f>Arbeitszeit!U322*24</f>
        <v>0</v>
      </c>
      <c r="F321" s="397">
        <f t="shared" si="19"/>
        <v>0</v>
      </c>
      <c r="G321" s="178">
        <f>IF(Arbeitszeit!F322=Urlaub,B_WorkTime*24,)</f>
        <v>0</v>
      </c>
      <c r="H321" s="174"/>
      <c r="I321" s="178">
        <f>IF(Arbeitszeit!F322=Krank,B_WorkTime*24,)</f>
        <v>0</v>
      </c>
      <c r="J321" s="174"/>
      <c r="K321" s="179"/>
      <c r="L321" s="180"/>
      <c r="M321" s="656"/>
      <c r="N321" s="657"/>
      <c r="O321" s="656"/>
      <c r="P321" s="657"/>
      <c r="Q321" s="656"/>
      <c r="R321" s="657"/>
      <c r="S321" s="656"/>
      <c r="T321" s="657"/>
      <c r="U321" s="656"/>
      <c r="V321" s="657"/>
      <c r="W321" s="656"/>
      <c r="X321" s="657"/>
      <c r="Y321" s="656"/>
      <c r="Z321" s="657"/>
      <c r="AA321" s="656"/>
      <c r="AB321" s="657"/>
      <c r="AC321" s="656"/>
      <c r="AD321" s="657"/>
      <c r="AE321" s="656"/>
      <c r="AF321" s="658"/>
      <c r="AG321" s="656"/>
      <c r="AH321" s="658"/>
      <c r="AI321" s="656"/>
      <c r="AJ321" s="658"/>
      <c r="AK321" s="656"/>
      <c r="AL321" s="658"/>
      <c r="AM321" s="659"/>
      <c r="AN321" s="658"/>
      <c r="AO321" s="656"/>
      <c r="AP321" s="658"/>
      <c r="AQ321" s="659"/>
      <c r="AR321" s="658"/>
      <c r="AS321" s="658"/>
      <c r="AT321" s="658"/>
      <c r="AU321" s="659"/>
      <c r="AV321" s="658"/>
      <c r="AW321" s="658"/>
      <c r="AX321" s="181"/>
      <c r="AY321" s="177"/>
      <c r="AZ321">
        <f ca="1">INDIRECT(ADDRESS(ROW()+1,COLUMN(Arbeitszeit!xDay),,,"Arbeitszeit"))</f>
        <v>2</v>
      </c>
    </row>
    <row r="322" spans="1:52">
      <c r="A322" s="582">
        <f>Arbeitszeit!A323</f>
        <v>41956</v>
      </c>
      <c r="B322" s="583">
        <f t="shared" si="16"/>
        <v>41956</v>
      </c>
      <c r="C322" s="214">
        <f t="shared" si="17"/>
        <v>46</v>
      </c>
      <c r="D322" s="213">
        <f t="shared" si="18"/>
        <v>41943</v>
      </c>
      <c r="E322" s="670">
        <f>Arbeitszeit!U323*24</f>
        <v>0</v>
      </c>
      <c r="F322" s="397">
        <f t="shared" si="19"/>
        <v>0</v>
      </c>
      <c r="G322" s="178">
        <f>IF(Arbeitszeit!F323=Urlaub,B_WorkTime*24,)</f>
        <v>0</v>
      </c>
      <c r="H322" s="174"/>
      <c r="I322" s="178">
        <f>IF(Arbeitszeit!F323=Krank,B_WorkTime*24,)</f>
        <v>0</v>
      </c>
      <c r="J322" s="174"/>
      <c r="K322" s="179"/>
      <c r="L322" s="180"/>
      <c r="M322" s="656"/>
      <c r="N322" s="657"/>
      <c r="O322" s="656"/>
      <c r="P322" s="657"/>
      <c r="Q322" s="656"/>
      <c r="R322" s="657"/>
      <c r="S322" s="656"/>
      <c r="T322" s="657"/>
      <c r="U322" s="656"/>
      <c r="V322" s="657"/>
      <c r="W322" s="656"/>
      <c r="X322" s="657"/>
      <c r="Y322" s="656"/>
      <c r="Z322" s="657"/>
      <c r="AA322" s="656"/>
      <c r="AB322" s="657"/>
      <c r="AC322" s="656"/>
      <c r="AD322" s="657"/>
      <c r="AE322" s="656"/>
      <c r="AF322" s="658"/>
      <c r="AG322" s="656"/>
      <c r="AH322" s="658"/>
      <c r="AI322" s="656"/>
      <c r="AJ322" s="658"/>
      <c r="AK322" s="656"/>
      <c r="AL322" s="658"/>
      <c r="AM322" s="659"/>
      <c r="AN322" s="658"/>
      <c r="AO322" s="656"/>
      <c r="AP322" s="658"/>
      <c r="AQ322" s="659"/>
      <c r="AR322" s="658"/>
      <c r="AS322" s="658"/>
      <c r="AT322" s="658"/>
      <c r="AU322" s="659"/>
      <c r="AV322" s="658"/>
      <c r="AW322" s="658"/>
      <c r="AX322" s="181"/>
      <c r="AY322" s="177"/>
      <c r="AZ322">
        <f ca="1">INDIRECT(ADDRESS(ROW()+1,COLUMN(Arbeitszeit!xDay),,,"Arbeitszeit"))</f>
        <v>3</v>
      </c>
    </row>
    <row r="323" spans="1:52" s="5" customFormat="1">
      <c r="A323" s="582">
        <f>Arbeitszeit!A324</f>
        <v>41957</v>
      </c>
      <c r="B323" s="583">
        <f t="shared" si="16"/>
        <v>41957</v>
      </c>
      <c r="C323" s="214">
        <f t="shared" si="17"/>
        <v>46</v>
      </c>
      <c r="D323" s="213">
        <f t="shared" si="18"/>
        <v>41943</v>
      </c>
      <c r="E323" s="670">
        <f>Arbeitszeit!U324*24</f>
        <v>0</v>
      </c>
      <c r="F323" s="397">
        <f t="shared" si="19"/>
        <v>0</v>
      </c>
      <c r="G323" s="178">
        <f>IF(Arbeitszeit!F324=Urlaub,B_WorkTime*24,)</f>
        <v>0</v>
      </c>
      <c r="H323" s="174"/>
      <c r="I323" s="178">
        <f>IF(Arbeitszeit!F324=Krank,B_WorkTime*24,)</f>
        <v>0</v>
      </c>
      <c r="J323" s="174"/>
      <c r="K323" s="179"/>
      <c r="L323" s="180"/>
      <c r="M323" s="656"/>
      <c r="N323" s="657"/>
      <c r="O323" s="656"/>
      <c r="P323" s="657"/>
      <c r="Q323" s="656"/>
      <c r="R323" s="657"/>
      <c r="S323" s="656"/>
      <c r="T323" s="657"/>
      <c r="U323" s="656"/>
      <c r="V323" s="657"/>
      <c r="W323" s="656"/>
      <c r="X323" s="657"/>
      <c r="Y323" s="656"/>
      <c r="Z323" s="657"/>
      <c r="AA323" s="656"/>
      <c r="AB323" s="657"/>
      <c r="AC323" s="656"/>
      <c r="AD323" s="657"/>
      <c r="AE323" s="656"/>
      <c r="AF323" s="658"/>
      <c r="AG323" s="656"/>
      <c r="AH323" s="658"/>
      <c r="AI323" s="656"/>
      <c r="AJ323" s="658"/>
      <c r="AK323" s="656"/>
      <c r="AL323" s="658"/>
      <c r="AM323" s="659"/>
      <c r="AN323" s="658"/>
      <c r="AO323" s="656"/>
      <c r="AP323" s="658"/>
      <c r="AQ323" s="659"/>
      <c r="AR323" s="658"/>
      <c r="AS323" s="658"/>
      <c r="AT323" s="658"/>
      <c r="AU323" s="659"/>
      <c r="AV323" s="658"/>
      <c r="AW323" s="658"/>
      <c r="AX323" s="181"/>
      <c r="AY323" s="177"/>
      <c r="AZ323">
        <f ca="1">INDIRECT(ADDRESS(ROW()+1,COLUMN(Arbeitszeit!xDay),,,"Arbeitszeit"))</f>
        <v>4</v>
      </c>
    </row>
    <row r="324" spans="1:52">
      <c r="A324" s="582">
        <f>Arbeitszeit!A325</f>
        <v>41958</v>
      </c>
      <c r="B324" s="583">
        <f t="shared" si="16"/>
        <v>41958</v>
      </c>
      <c r="C324" s="214">
        <f t="shared" si="17"/>
        <v>46</v>
      </c>
      <c r="D324" s="213">
        <f t="shared" si="18"/>
        <v>41943</v>
      </c>
      <c r="E324" s="670">
        <f>Arbeitszeit!U325*24</f>
        <v>0</v>
      </c>
      <c r="F324" s="397">
        <f t="shared" si="19"/>
        <v>0</v>
      </c>
      <c r="G324" s="178">
        <f>IF(Arbeitszeit!F325=Urlaub,B_WorkTime*24,)</f>
        <v>0</v>
      </c>
      <c r="H324" s="174"/>
      <c r="I324" s="178">
        <f>IF(Arbeitszeit!F325=Krank,B_WorkTime*24,)</f>
        <v>0</v>
      </c>
      <c r="J324" s="174"/>
      <c r="K324" s="179"/>
      <c r="L324" s="180"/>
      <c r="M324" s="656"/>
      <c r="N324" s="657"/>
      <c r="O324" s="656"/>
      <c r="P324" s="657"/>
      <c r="Q324" s="656"/>
      <c r="R324" s="657"/>
      <c r="S324" s="656"/>
      <c r="T324" s="657"/>
      <c r="U324" s="656"/>
      <c r="V324" s="657"/>
      <c r="W324" s="656"/>
      <c r="X324" s="657"/>
      <c r="Y324" s="656"/>
      <c r="Z324" s="657"/>
      <c r="AA324" s="656"/>
      <c r="AB324" s="657"/>
      <c r="AC324" s="656"/>
      <c r="AD324" s="657"/>
      <c r="AE324" s="656"/>
      <c r="AF324" s="658"/>
      <c r="AG324" s="656"/>
      <c r="AH324" s="658"/>
      <c r="AI324" s="656"/>
      <c r="AJ324" s="658"/>
      <c r="AK324" s="656"/>
      <c r="AL324" s="658"/>
      <c r="AM324" s="659"/>
      <c r="AN324" s="658"/>
      <c r="AO324" s="656"/>
      <c r="AP324" s="658"/>
      <c r="AQ324" s="659"/>
      <c r="AR324" s="658"/>
      <c r="AS324" s="658"/>
      <c r="AT324" s="658"/>
      <c r="AU324" s="659"/>
      <c r="AV324" s="658"/>
      <c r="AW324" s="658"/>
      <c r="AX324" s="181"/>
      <c r="AY324" s="177"/>
      <c r="AZ324">
        <f ca="1">INDIRECT(ADDRESS(ROW()+1,COLUMN(Arbeitszeit!xDay),,,"Arbeitszeit"))</f>
        <v>5</v>
      </c>
    </row>
    <row r="325" spans="1:52">
      <c r="A325" s="582">
        <f>Arbeitszeit!A326</f>
        <v>41959</v>
      </c>
      <c r="B325" s="583">
        <f t="shared" si="16"/>
        <v>41959</v>
      </c>
      <c r="C325" s="214">
        <f t="shared" si="17"/>
        <v>46</v>
      </c>
      <c r="D325" s="213">
        <f t="shared" si="18"/>
        <v>41943</v>
      </c>
      <c r="E325" s="670">
        <f>Arbeitszeit!U326*24</f>
        <v>0</v>
      </c>
      <c r="F325" s="397">
        <f t="shared" si="19"/>
        <v>0</v>
      </c>
      <c r="G325" s="178">
        <f>IF(Arbeitszeit!F326=Urlaub,B_WorkTime*24,)</f>
        <v>0</v>
      </c>
      <c r="H325" s="174"/>
      <c r="I325" s="178">
        <f>IF(Arbeitszeit!F326=Krank,B_WorkTime*24,)</f>
        <v>0</v>
      </c>
      <c r="J325" s="174"/>
      <c r="K325" s="179"/>
      <c r="L325" s="180"/>
      <c r="M325" s="656"/>
      <c r="N325" s="657"/>
      <c r="O325" s="656"/>
      <c r="P325" s="657"/>
      <c r="Q325" s="656"/>
      <c r="R325" s="657"/>
      <c r="S325" s="656"/>
      <c r="T325" s="657"/>
      <c r="U325" s="656"/>
      <c r="V325" s="657"/>
      <c r="W325" s="656"/>
      <c r="X325" s="657"/>
      <c r="Y325" s="656"/>
      <c r="Z325" s="657"/>
      <c r="AA325" s="656"/>
      <c r="AB325" s="657"/>
      <c r="AC325" s="656"/>
      <c r="AD325" s="657"/>
      <c r="AE325" s="656"/>
      <c r="AF325" s="658"/>
      <c r="AG325" s="656"/>
      <c r="AH325" s="658"/>
      <c r="AI325" s="656"/>
      <c r="AJ325" s="658"/>
      <c r="AK325" s="656"/>
      <c r="AL325" s="658"/>
      <c r="AM325" s="659"/>
      <c r="AN325" s="658"/>
      <c r="AO325" s="656"/>
      <c r="AP325" s="658"/>
      <c r="AQ325" s="659"/>
      <c r="AR325" s="658"/>
      <c r="AS325" s="658"/>
      <c r="AT325" s="658"/>
      <c r="AU325" s="659"/>
      <c r="AV325" s="658"/>
      <c r="AW325" s="658"/>
      <c r="AX325" s="181"/>
      <c r="AY325" s="177"/>
      <c r="AZ325">
        <f ca="1">INDIRECT(ADDRESS(ROW()+1,COLUMN(Arbeitszeit!xDay),,,"Arbeitszeit"))</f>
        <v>6</v>
      </c>
    </row>
    <row r="326" spans="1:52">
      <c r="A326" s="582">
        <f>Arbeitszeit!A327</f>
        <v>41960</v>
      </c>
      <c r="B326" s="583">
        <f t="shared" ref="B326:B372" si="20">IF(A326="","",A326)</f>
        <v>41960</v>
      </c>
      <c r="C326" s="214">
        <f t="shared" si="17"/>
        <v>46</v>
      </c>
      <c r="D326" s="213">
        <f t="shared" si="18"/>
        <v>41943</v>
      </c>
      <c r="E326" s="670">
        <f>Arbeitszeit!U327*24</f>
        <v>0</v>
      </c>
      <c r="F326" s="397">
        <f t="shared" si="19"/>
        <v>0</v>
      </c>
      <c r="G326" s="178">
        <f>IF(Arbeitszeit!F327=Urlaub,B_WorkTime*24,)</f>
        <v>0</v>
      </c>
      <c r="H326" s="174"/>
      <c r="I326" s="178">
        <f>IF(Arbeitszeit!F327=Krank,B_WorkTime*24,)</f>
        <v>0</v>
      </c>
      <c r="J326" s="174"/>
      <c r="K326" s="179"/>
      <c r="L326" s="180"/>
      <c r="M326" s="656"/>
      <c r="N326" s="657"/>
      <c r="O326" s="656"/>
      <c r="P326" s="657"/>
      <c r="Q326" s="656"/>
      <c r="R326" s="657"/>
      <c r="S326" s="656"/>
      <c r="T326" s="657"/>
      <c r="U326" s="656"/>
      <c r="V326" s="657"/>
      <c r="W326" s="656"/>
      <c r="X326" s="657"/>
      <c r="Y326" s="656"/>
      <c r="Z326" s="657"/>
      <c r="AA326" s="656"/>
      <c r="AB326" s="657"/>
      <c r="AC326" s="656"/>
      <c r="AD326" s="657"/>
      <c r="AE326" s="656"/>
      <c r="AF326" s="658"/>
      <c r="AG326" s="656"/>
      <c r="AH326" s="658"/>
      <c r="AI326" s="656"/>
      <c r="AJ326" s="658"/>
      <c r="AK326" s="656"/>
      <c r="AL326" s="658"/>
      <c r="AM326" s="659"/>
      <c r="AN326" s="658"/>
      <c r="AO326" s="656"/>
      <c r="AP326" s="658"/>
      <c r="AQ326" s="659"/>
      <c r="AR326" s="658"/>
      <c r="AS326" s="658"/>
      <c r="AT326" s="658"/>
      <c r="AU326" s="659"/>
      <c r="AV326" s="658"/>
      <c r="AW326" s="658"/>
      <c r="AX326" s="181"/>
      <c r="AY326" s="177"/>
      <c r="AZ326">
        <f ca="1">INDIRECT(ADDRESS(ROW()+1,COLUMN(Arbeitszeit!xDay),,,"Arbeitszeit"))</f>
        <v>7</v>
      </c>
    </row>
    <row r="327" spans="1:52">
      <c r="A327" s="582">
        <f>Arbeitszeit!A328</f>
        <v>41961</v>
      </c>
      <c r="B327" s="583">
        <f t="shared" si="20"/>
        <v>41961</v>
      </c>
      <c r="C327" s="214">
        <f t="shared" ref="C327:C372" si="21">IF(A327="","",NumberOfWeek(A327))</f>
        <v>47</v>
      </c>
      <c r="D327" s="213">
        <f t="shared" ref="D327:D372" si="22">IF(A327="","",DATE(YEAR(A327),MONTH(A327),1))</f>
        <v>41943</v>
      </c>
      <c r="E327" s="670">
        <f>Arbeitszeit!U328*24</f>
        <v>0</v>
      </c>
      <c r="F327" s="397">
        <f t="shared" si="19"/>
        <v>0</v>
      </c>
      <c r="G327" s="178">
        <f>IF(Arbeitszeit!F328=Urlaub,B_WorkTime*24,)</f>
        <v>0</v>
      </c>
      <c r="H327" s="174"/>
      <c r="I327" s="178">
        <f>IF(Arbeitszeit!F328=Krank,B_WorkTime*24,)</f>
        <v>0</v>
      </c>
      <c r="J327" s="174"/>
      <c r="K327" s="179"/>
      <c r="L327" s="180"/>
      <c r="M327" s="656"/>
      <c r="N327" s="657"/>
      <c r="O327" s="656"/>
      <c r="P327" s="657"/>
      <c r="Q327" s="656"/>
      <c r="R327" s="657"/>
      <c r="S327" s="656"/>
      <c r="T327" s="657"/>
      <c r="U327" s="656"/>
      <c r="V327" s="657"/>
      <c r="W327" s="656"/>
      <c r="X327" s="657"/>
      <c r="Y327" s="656"/>
      <c r="Z327" s="657"/>
      <c r="AA327" s="656"/>
      <c r="AB327" s="657"/>
      <c r="AC327" s="656"/>
      <c r="AD327" s="657"/>
      <c r="AE327" s="656"/>
      <c r="AF327" s="658"/>
      <c r="AG327" s="656"/>
      <c r="AH327" s="658"/>
      <c r="AI327" s="656"/>
      <c r="AJ327" s="658"/>
      <c r="AK327" s="656"/>
      <c r="AL327" s="658"/>
      <c r="AM327" s="659"/>
      <c r="AN327" s="658"/>
      <c r="AO327" s="656"/>
      <c r="AP327" s="658"/>
      <c r="AQ327" s="659"/>
      <c r="AR327" s="658"/>
      <c r="AS327" s="658"/>
      <c r="AT327" s="658"/>
      <c r="AU327" s="659"/>
      <c r="AV327" s="658"/>
      <c r="AW327" s="658"/>
      <c r="AX327" s="181"/>
      <c r="AY327" s="177"/>
      <c r="AZ327">
        <f ca="1">INDIRECT(ADDRESS(ROW()+1,COLUMN(Arbeitszeit!xDay),,,"Arbeitszeit"))</f>
        <v>1</v>
      </c>
    </row>
    <row r="328" spans="1:52">
      <c r="A328" s="582">
        <f>Arbeitszeit!A329</f>
        <v>41962</v>
      </c>
      <c r="B328" s="583">
        <f t="shared" si="20"/>
        <v>41962</v>
      </c>
      <c r="C328" s="214">
        <f t="shared" si="21"/>
        <v>47</v>
      </c>
      <c r="D328" s="213">
        <f t="shared" si="22"/>
        <v>41943</v>
      </c>
      <c r="E328" s="670">
        <f>Arbeitszeit!U329*24</f>
        <v>0</v>
      </c>
      <c r="F328" s="397">
        <f t="shared" ref="F328:F372" si="23">ROUND(E328-SUM(K328:AW328),1)</f>
        <v>0</v>
      </c>
      <c r="G328" s="178">
        <f>IF(Arbeitszeit!F329=Urlaub,B_WorkTime*24,)</f>
        <v>0</v>
      </c>
      <c r="H328" s="174"/>
      <c r="I328" s="178">
        <f>IF(Arbeitszeit!F329=Krank,B_WorkTime*24,)</f>
        <v>0</v>
      </c>
      <c r="J328" s="174"/>
      <c r="K328" s="179"/>
      <c r="L328" s="180"/>
      <c r="M328" s="656"/>
      <c r="N328" s="657"/>
      <c r="O328" s="656"/>
      <c r="P328" s="657"/>
      <c r="Q328" s="656"/>
      <c r="R328" s="657"/>
      <c r="S328" s="656"/>
      <c r="T328" s="657"/>
      <c r="U328" s="656"/>
      <c r="V328" s="657"/>
      <c r="W328" s="656"/>
      <c r="X328" s="657"/>
      <c r="Y328" s="656"/>
      <c r="Z328" s="657"/>
      <c r="AA328" s="656"/>
      <c r="AB328" s="657"/>
      <c r="AC328" s="656"/>
      <c r="AD328" s="657"/>
      <c r="AE328" s="656"/>
      <c r="AF328" s="658"/>
      <c r="AG328" s="656"/>
      <c r="AH328" s="658"/>
      <c r="AI328" s="656"/>
      <c r="AJ328" s="658"/>
      <c r="AK328" s="656"/>
      <c r="AL328" s="658"/>
      <c r="AM328" s="659"/>
      <c r="AN328" s="658"/>
      <c r="AO328" s="656"/>
      <c r="AP328" s="658"/>
      <c r="AQ328" s="659"/>
      <c r="AR328" s="658"/>
      <c r="AS328" s="658"/>
      <c r="AT328" s="658"/>
      <c r="AU328" s="659"/>
      <c r="AV328" s="658"/>
      <c r="AW328" s="658"/>
      <c r="AX328" s="181"/>
      <c r="AY328" s="177"/>
      <c r="AZ328">
        <f ca="1">INDIRECT(ADDRESS(ROW()+1,COLUMN(Arbeitszeit!xDay),,,"Arbeitszeit"))</f>
        <v>2</v>
      </c>
    </row>
    <row r="329" spans="1:52">
      <c r="A329" s="582">
        <f>Arbeitszeit!A330</f>
        <v>41963</v>
      </c>
      <c r="B329" s="583">
        <f t="shared" si="20"/>
        <v>41963</v>
      </c>
      <c r="C329" s="214">
        <f t="shared" si="21"/>
        <v>47</v>
      </c>
      <c r="D329" s="213">
        <f t="shared" si="22"/>
        <v>41943</v>
      </c>
      <c r="E329" s="670">
        <f>Arbeitszeit!U330*24</f>
        <v>0</v>
      </c>
      <c r="F329" s="397">
        <f t="shared" si="23"/>
        <v>0</v>
      </c>
      <c r="G329" s="178">
        <f>IF(Arbeitszeit!F330=Urlaub,B_WorkTime*24,)</f>
        <v>0</v>
      </c>
      <c r="H329" s="174"/>
      <c r="I329" s="178">
        <f>IF(Arbeitszeit!F330=Krank,B_WorkTime*24,)</f>
        <v>0</v>
      </c>
      <c r="J329" s="174"/>
      <c r="K329" s="179"/>
      <c r="L329" s="180"/>
      <c r="M329" s="656"/>
      <c r="N329" s="657"/>
      <c r="O329" s="656"/>
      <c r="P329" s="657"/>
      <c r="Q329" s="656"/>
      <c r="R329" s="657"/>
      <c r="S329" s="656"/>
      <c r="T329" s="657"/>
      <c r="U329" s="656"/>
      <c r="V329" s="657"/>
      <c r="W329" s="656"/>
      <c r="X329" s="657"/>
      <c r="Y329" s="656"/>
      <c r="Z329" s="657"/>
      <c r="AA329" s="656"/>
      <c r="AB329" s="657"/>
      <c r="AC329" s="656"/>
      <c r="AD329" s="657"/>
      <c r="AE329" s="656"/>
      <c r="AF329" s="658"/>
      <c r="AG329" s="656"/>
      <c r="AH329" s="658"/>
      <c r="AI329" s="656"/>
      <c r="AJ329" s="658"/>
      <c r="AK329" s="656"/>
      <c r="AL329" s="658"/>
      <c r="AM329" s="659"/>
      <c r="AN329" s="658"/>
      <c r="AO329" s="656"/>
      <c r="AP329" s="658"/>
      <c r="AQ329" s="659"/>
      <c r="AR329" s="658"/>
      <c r="AS329" s="658"/>
      <c r="AT329" s="658"/>
      <c r="AU329" s="659"/>
      <c r="AV329" s="658"/>
      <c r="AW329" s="658"/>
      <c r="AX329" s="181"/>
      <c r="AY329" s="177"/>
      <c r="AZ329">
        <f ca="1">INDIRECT(ADDRESS(ROW()+1,COLUMN(Arbeitszeit!xDay),,,"Arbeitszeit"))</f>
        <v>3</v>
      </c>
    </row>
    <row r="330" spans="1:52">
      <c r="A330" s="582">
        <f>Arbeitszeit!A331</f>
        <v>41964</v>
      </c>
      <c r="B330" s="583">
        <f t="shared" si="20"/>
        <v>41964</v>
      </c>
      <c r="C330" s="214">
        <f t="shared" si="21"/>
        <v>47</v>
      </c>
      <c r="D330" s="213">
        <f t="shared" si="22"/>
        <v>41943</v>
      </c>
      <c r="E330" s="670">
        <f>Arbeitszeit!U331*24</f>
        <v>0</v>
      </c>
      <c r="F330" s="397">
        <f t="shared" si="23"/>
        <v>0</v>
      </c>
      <c r="G330" s="178">
        <f>IF(Arbeitszeit!F331=Urlaub,B_WorkTime*24,)</f>
        <v>0</v>
      </c>
      <c r="H330" s="174"/>
      <c r="I330" s="178">
        <f>IF(Arbeitszeit!F331=Krank,B_WorkTime*24,)</f>
        <v>0</v>
      </c>
      <c r="J330" s="174"/>
      <c r="K330" s="179"/>
      <c r="L330" s="180"/>
      <c r="M330" s="656"/>
      <c r="N330" s="657"/>
      <c r="O330" s="656"/>
      <c r="P330" s="657"/>
      <c r="Q330" s="656"/>
      <c r="R330" s="657"/>
      <c r="S330" s="656"/>
      <c r="T330" s="657"/>
      <c r="U330" s="656"/>
      <c r="V330" s="657"/>
      <c r="W330" s="656"/>
      <c r="X330" s="657"/>
      <c r="Y330" s="656"/>
      <c r="Z330" s="657"/>
      <c r="AA330" s="656"/>
      <c r="AB330" s="657"/>
      <c r="AC330" s="656"/>
      <c r="AD330" s="657"/>
      <c r="AE330" s="656"/>
      <c r="AF330" s="658"/>
      <c r="AG330" s="656"/>
      <c r="AH330" s="658"/>
      <c r="AI330" s="656"/>
      <c r="AJ330" s="658"/>
      <c r="AK330" s="656"/>
      <c r="AL330" s="658"/>
      <c r="AM330" s="659"/>
      <c r="AN330" s="658"/>
      <c r="AO330" s="656"/>
      <c r="AP330" s="658"/>
      <c r="AQ330" s="659"/>
      <c r="AR330" s="658"/>
      <c r="AS330" s="658"/>
      <c r="AT330" s="658"/>
      <c r="AU330" s="659"/>
      <c r="AV330" s="658"/>
      <c r="AW330" s="658"/>
      <c r="AX330" s="181"/>
      <c r="AY330" s="177"/>
      <c r="AZ330">
        <f ca="1">INDIRECT(ADDRESS(ROW()+1,COLUMN(Arbeitszeit!xDay),,,"Arbeitszeit"))</f>
        <v>4</v>
      </c>
    </row>
    <row r="331" spans="1:52">
      <c r="A331" s="582">
        <f>Arbeitszeit!A332</f>
        <v>41965</v>
      </c>
      <c r="B331" s="583">
        <f t="shared" si="20"/>
        <v>41965</v>
      </c>
      <c r="C331" s="214">
        <f t="shared" si="21"/>
        <v>47</v>
      </c>
      <c r="D331" s="213">
        <f t="shared" si="22"/>
        <v>41943</v>
      </c>
      <c r="E331" s="670">
        <f>Arbeitszeit!U332*24</f>
        <v>0</v>
      </c>
      <c r="F331" s="397">
        <f t="shared" si="23"/>
        <v>0</v>
      </c>
      <c r="G331" s="178">
        <f>IF(Arbeitszeit!F332=Urlaub,B_WorkTime*24,)</f>
        <v>0</v>
      </c>
      <c r="H331" s="174"/>
      <c r="I331" s="178">
        <f>IF(Arbeitszeit!F332=Krank,B_WorkTime*24,)</f>
        <v>0</v>
      </c>
      <c r="J331" s="174"/>
      <c r="K331" s="179"/>
      <c r="L331" s="180"/>
      <c r="M331" s="656"/>
      <c r="N331" s="657"/>
      <c r="O331" s="656"/>
      <c r="P331" s="657"/>
      <c r="Q331" s="656"/>
      <c r="R331" s="657"/>
      <c r="S331" s="656"/>
      <c r="T331" s="657"/>
      <c r="U331" s="656"/>
      <c r="V331" s="657"/>
      <c r="W331" s="656"/>
      <c r="X331" s="657"/>
      <c r="Y331" s="656"/>
      <c r="Z331" s="657"/>
      <c r="AA331" s="656"/>
      <c r="AB331" s="657"/>
      <c r="AC331" s="656"/>
      <c r="AD331" s="657"/>
      <c r="AE331" s="656"/>
      <c r="AF331" s="658"/>
      <c r="AG331" s="656"/>
      <c r="AH331" s="658"/>
      <c r="AI331" s="656"/>
      <c r="AJ331" s="658"/>
      <c r="AK331" s="656"/>
      <c r="AL331" s="658"/>
      <c r="AM331" s="659"/>
      <c r="AN331" s="658"/>
      <c r="AO331" s="656"/>
      <c r="AP331" s="658"/>
      <c r="AQ331" s="659"/>
      <c r="AR331" s="658"/>
      <c r="AS331" s="658"/>
      <c r="AT331" s="658"/>
      <c r="AU331" s="659"/>
      <c r="AV331" s="658"/>
      <c r="AW331" s="658"/>
      <c r="AX331" s="181"/>
      <c r="AY331" s="177"/>
      <c r="AZ331">
        <f ca="1">INDIRECT(ADDRESS(ROW()+1,COLUMN(Arbeitszeit!xDay),,,"Arbeitszeit"))</f>
        <v>5</v>
      </c>
    </row>
    <row r="332" spans="1:52">
      <c r="A332" s="582">
        <f>Arbeitszeit!A333</f>
        <v>41966</v>
      </c>
      <c r="B332" s="583">
        <f t="shared" si="20"/>
        <v>41966</v>
      </c>
      <c r="C332" s="214">
        <f t="shared" si="21"/>
        <v>47</v>
      </c>
      <c r="D332" s="213">
        <f t="shared" si="22"/>
        <v>41943</v>
      </c>
      <c r="E332" s="670">
        <f>Arbeitszeit!U333*24</f>
        <v>0</v>
      </c>
      <c r="F332" s="397">
        <f t="shared" si="23"/>
        <v>0</v>
      </c>
      <c r="G332" s="178">
        <f>IF(Arbeitszeit!F333=Urlaub,B_WorkTime*24,)</f>
        <v>0</v>
      </c>
      <c r="H332" s="174"/>
      <c r="I332" s="178">
        <f>IF(Arbeitszeit!F333=Krank,B_WorkTime*24,)</f>
        <v>0</v>
      </c>
      <c r="J332" s="174"/>
      <c r="K332" s="179"/>
      <c r="L332" s="180"/>
      <c r="M332" s="656"/>
      <c r="N332" s="657"/>
      <c r="O332" s="656"/>
      <c r="P332" s="657"/>
      <c r="Q332" s="656"/>
      <c r="R332" s="657"/>
      <c r="S332" s="656"/>
      <c r="T332" s="657"/>
      <c r="U332" s="656"/>
      <c r="V332" s="657"/>
      <c r="W332" s="656"/>
      <c r="X332" s="657"/>
      <c r="Y332" s="656"/>
      <c r="Z332" s="657"/>
      <c r="AA332" s="656"/>
      <c r="AB332" s="657"/>
      <c r="AC332" s="656"/>
      <c r="AD332" s="657"/>
      <c r="AE332" s="656"/>
      <c r="AF332" s="658"/>
      <c r="AG332" s="656"/>
      <c r="AH332" s="658"/>
      <c r="AI332" s="656"/>
      <c r="AJ332" s="658"/>
      <c r="AK332" s="656"/>
      <c r="AL332" s="658"/>
      <c r="AM332" s="659"/>
      <c r="AN332" s="658"/>
      <c r="AO332" s="656"/>
      <c r="AP332" s="658"/>
      <c r="AQ332" s="659"/>
      <c r="AR332" s="658"/>
      <c r="AS332" s="658"/>
      <c r="AT332" s="658"/>
      <c r="AU332" s="659"/>
      <c r="AV332" s="658"/>
      <c r="AW332" s="658"/>
      <c r="AX332" s="181"/>
      <c r="AY332" s="177"/>
      <c r="AZ332">
        <f ca="1">INDIRECT(ADDRESS(ROW()+1,COLUMN(Arbeitszeit!xDay),,,"Arbeitszeit"))</f>
        <v>6</v>
      </c>
    </row>
    <row r="333" spans="1:52">
      <c r="A333" s="582">
        <f>Arbeitszeit!A334</f>
        <v>41967</v>
      </c>
      <c r="B333" s="583">
        <f t="shared" si="20"/>
        <v>41967</v>
      </c>
      <c r="C333" s="214">
        <f t="shared" si="21"/>
        <v>47</v>
      </c>
      <c r="D333" s="213">
        <f t="shared" si="22"/>
        <v>41943</v>
      </c>
      <c r="E333" s="670">
        <f>Arbeitszeit!U334*24</f>
        <v>0</v>
      </c>
      <c r="F333" s="397">
        <f t="shared" si="23"/>
        <v>0</v>
      </c>
      <c r="G333" s="178">
        <f>IF(Arbeitszeit!F334=Urlaub,B_WorkTime*24,)</f>
        <v>0</v>
      </c>
      <c r="H333" s="174"/>
      <c r="I333" s="178">
        <f>IF(Arbeitszeit!F334=Krank,B_WorkTime*24,)</f>
        <v>0</v>
      </c>
      <c r="J333" s="174"/>
      <c r="K333" s="179"/>
      <c r="L333" s="180"/>
      <c r="M333" s="656"/>
      <c r="N333" s="657"/>
      <c r="O333" s="656"/>
      <c r="P333" s="657"/>
      <c r="Q333" s="656"/>
      <c r="R333" s="657"/>
      <c r="S333" s="656"/>
      <c r="T333" s="657"/>
      <c r="U333" s="656"/>
      <c r="V333" s="657"/>
      <c r="W333" s="656"/>
      <c r="X333" s="657"/>
      <c r="Y333" s="656"/>
      <c r="Z333" s="657"/>
      <c r="AA333" s="656"/>
      <c r="AB333" s="657"/>
      <c r="AC333" s="656"/>
      <c r="AD333" s="657"/>
      <c r="AE333" s="656"/>
      <c r="AF333" s="658"/>
      <c r="AG333" s="656"/>
      <c r="AH333" s="658"/>
      <c r="AI333" s="656"/>
      <c r="AJ333" s="658"/>
      <c r="AK333" s="656"/>
      <c r="AL333" s="658"/>
      <c r="AM333" s="659"/>
      <c r="AN333" s="658"/>
      <c r="AO333" s="656"/>
      <c r="AP333" s="658"/>
      <c r="AQ333" s="659"/>
      <c r="AR333" s="658"/>
      <c r="AS333" s="658"/>
      <c r="AT333" s="658"/>
      <c r="AU333" s="659"/>
      <c r="AV333" s="658"/>
      <c r="AW333" s="658"/>
      <c r="AX333" s="181"/>
      <c r="AY333" s="177"/>
      <c r="AZ333">
        <f ca="1">INDIRECT(ADDRESS(ROW()+1,COLUMN(Arbeitszeit!xDay),,,"Arbeitszeit"))</f>
        <v>7</v>
      </c>
    </row>
    <row r="334" spans="1:52">
      <c r="A334" s="582">
        <f>Arbeitszeit!A335</f>
        <v>41968</v>
      </c>
      <c r="B334" s="583">
        <f t="shared" si="20"/>
        <v>41968</v>
      </c>
      <c r="C334" s="214">
        <f t="shared" si="21"/>
        <v>48</v>
      </c>
      <c r="D334" s="213">
        <f t="shared" si="22"/>
        <v>41943</v>
      </c>
      <c r="E334" s="670">
        <f>Arbeitszeit!U335*24</f>
        <v>0</v>
      </c>
      <c r="F334" s="397">
        <f t="shared" si="23"/>
        <v>0</v>
      </c>
      <c r="G334" s="178">
        <f>IF(Arbeitszeit!F335=Urlaub,B_WorkTime*24,)</f>
        <v>0</v>
      </c>
      <c r="H334" s="174"/>
      <c r="I334" s="178">
        <f>IF(Arbeitszeit!F335=Krank,B_WorkTime*24,)</f>
        <v>0</v>
      </c>
      <c r="J334" s="174"/>
      <c r="K334" s="179"/>
      <c r="L334" s="180"/>
      <c r="M334" s="656"/>
      <c r="N334" s="657"/>
      <c r="O334" s="656"/>
      <c r="P334" s="657"/>
      <c r="Q334" s="656"/>
      <c r="R334" s="657"/>
      <c r="S334" s="656"/>
      <c r="T334" s="657"/>
      <c r="U334" s="656"/>
      <c r="V334" s="657"/>
      <c r="W334" s="656"/>
      <c r="X334" s="657"/>
      <c r="Y334" s="656"/>
      <c r="Z334" s="657"/>
      <c r="AA334" s="656"/>
      <c r="AB334" s="657"/>
      <c r="AC334" s="656"/>
      <c r="AD334" s="657"/>
      <c r="AE334" s="656"/>
      <c r="AF334" s="658"/>
      <c r="AG334" s="656"/>
      <c r="AH334" s="658"/>
      <c r="AI334" s="656"/>
      <c r="AJ334" s="658"/>
      <c r="AK334" s="656"/>
      <c r="AL334" s="658"/>
      <c r="AM334" s="659"/>
      <c r="AN334" s="658"/>
      <c r="AO334" s="656"/>
      <c r="AP334" s="658"/>
      <c r="AQ334" s="659"/>
      <c r="AR334" s="658"/>
      <c r="AS334" s="658"/>
      <c r="AT334" s="658"/>
      <c r="AU334" s="659"/>
      <c r="AV334" s="658"/>
      <c r="AW334" s="658"/>
      <c r="AX334" s="181"/>
      <c r="AY334" s="177"/>
      <c r="AZ334">
        <f ca="1">INDIRECT(ADDRESS(ROW()+1,COLUMN(Arbeitszeit!xDay),,,"Arbeitszeit"))</f>
        <v>1</v>
      </c>
    </row>
    <row r="335" spans="1:52">
      <c r="A335" s="582">
        <f>Arbeitszeit!A336</f>
        <v>41969</v>
      </c>
      <c r="B335" s="583">
        <f t="shared" si="20"/>
        <v>41969</v>
      </c>
      <c r="C335" s="214">
        <f t="shared" si="21"/>
        <v>48</v>
      </c>
      <c r="D335" s="213">
        <f t="shared" si="22"/>
        <v>41943</v>
      </c>
      <c r="E335" s="670">
        <f>Arbeitszeit!U336*24</f>
        <v>0</v>
      </c>
      <c r="F335" s="397">
        <f t="shared" si="23"/>
        <v>0</v>
      </c>
      <c r="G335" s="178">
        <f>IF(Arbeitszeit!F336=Urlaub,B_WorkTime*24,)</f>
        <v>0</v>
      </c>
      <c r="H335" s="174"/>
      <c r="I335" s="178">
        <f>IF(Arbeitszeit!F336=Krank,B_WorkTime*24,)</f>
        <v>0</v>
      </c>
      <c r="J335" s="174"/>
      <c r="K335" s="179"/>
      <c r="L335" s="180"/>
      <c r="M335" s="656"/>
      <c r="N335" s="657"/>
      <c r="O335" s="656"/>
      <c r="P335" s="657"/>
      <c r="Q335" s="656"/>
      <c r="R335" s="657"/>
      <c r="S335" s="656"/>
      <c r="T335" s="657"/>
      <c r="U335" s="656"/>
      <c r="V335" s="657"/>
      <c r="W335" s="656"/>
      <c r="X335" s="657"/>
      <c r="Y335" s="656"/>
      <c r="Z335" s="657"/>
      <c r="AA335" s="656"/>
      <c r="AB335" s="657"/>
      <c r="AC335" s="656"/>
      <c r="AD335" s="657"/>
      <c r="AE335" s="656"/>
      <c r="AF335" s="658"/>
      <c r="AG335" s="656"/>
      <c r="AH335" s="658"/>
      <c r="AI335" s="656"/>
      <c r="AJ335" s="658"/>
      <c r="AK335" s="656"/>
      <c r="AL335" s="658"/>
      <c r="AM335" s="659"/>
      <c r="AN335" s="658"/>
      <c r="AO335" s="656"/>
      <c r="AP335" s="658"/>
      <c r="AQ335" s="659"/>
      <c r="AR335" s="658"/>
      <c r="AS335" s="658"/>
      <c r="AT335" s="658"/>
      <c r="AU335" s="659"/>
      <c r="AV335" s="658"/>
      <c r="AW335" s="658"/>
      <c r="AX335" s="181"/>
      <c r="AY335" s="177"/>
      <c r="AZ335">
        <f ca="1">INDIRECT(ADDRESS(ROW()+1,COLUMN(Arbeitszeit!xDay),,,"Arbeitszeit"))</f>
        <v>2</v>
      </c>
    </row>
    <row r="336" spans="1:52">
      <c r="A336" s="582">
        <f>Arbeitszeit!A337</f>
        <v>41970</v>
      </c>
      <c r="B336" s="583">
        <f t="shared" si="20"/>
        <v>41970</v>
      </c>
      <c r="C336" s="214">
        <f t="shared" si="21"/>
        <v>48</v>
      </c>
      <c r="D336" s="213">
        <f t="shared" si="22"/>
        <v>41943</v>
      </c>
      <c r="E336" s="670">
        <f>Arbeitszeit!U337*24</f>
        <v>0</v>
      </c>
      <c r="F336" s="397">
        <f t="shared" si="23"/>
        <v>0</v>
      </c>
      <c r="G336" s="178">
        <f>IF(Arbeitszeit!F337=Urlaub,B_WorkTime*24,)</f>
        <v>0</v>
      </c>
      <c r="H336" s="174"/>
      <c r="I336" s="178">
        <f>IF(Arbeitszeit!F337=Krank,B_WorkTime*24,)</f>
        <v>0</v>
      </c>
      <c r="J336" s="174"/>
      <c r="K336" s="179"/>
      <c r="L336" s="180"/>
      <c r="M336" s="656"/>
      <c r="N336" s="657"/>
      <c r="O336" s="656"/>
      <c r="P336" s="657"/>
      <c r="Q336" s="656"/>
      <c r="R336" s="657"/>
      <c r="S336" s="656"/>
      <c r="T336" s="657"/>
      <c r="U336" s="656"/>
      <c r="V336" s="657"/>
      <c r="W336" s="656"/>
      <c r="X336" s="657"/>
      <c r="Y336" s="656"/>
      <c r="Z336" s="657"/>
      <c r="AA336" s="656"/>
      <c r="AB336" s="657"/>
      <c r="AC336" s="656"/>
      <c r="AD336" s="657"/>
      <c r="AE336" s="656"/>
      <c r="AF336" s="658"/>
      <c r="AG336" s="656"/>
      <c r="AH336" s="658"/>
      <c r="AI336" s="656"/>
      <c r="AJ336" s="658"/>
      <c r="AK336" s="656"/>
      <c r="AL336" s="658"/>
      <c r="AM336" s="659"/>
      <c r="AN336" s="658"/>
      <c r="AO336" s="656"/>
      <c r="AP336" s="658"/>
      <c r="AQ336" s="659"/>
      <c r="AR336" s="658"/>
      <c r="AS336" s="658"/>
      <c r="AT336" s="658"/>
      <c r="AU336" s="659"/>
      <c r="AV336" s="658"/>
      <c r="AW336" s="658"/>
      <c r="AX336" s="181"/>
      <c r="AY336" s="177"/>
      <c r="AZ336">
        <f ca="1">INDIRECT(ADDRESS(ROW()+1,COLUMN(Arbeitszeit!xDay),,,"Arbeitszeit"))</f>
        <v>3</v>
      </c>
    </row>
    <row r="337" spans="1:52">
      <c r="A337" s="582">
        <f>Arbeitszeit!A338</f>
        <v>41971</v>
      </c>
      <c r="B337" s="583">
        <f t="shared" si="20"/>
        <v>41971</v>
      </c>
      <c r="C337" s="214">
        <f t="shared" si="21"/>
        <v>48</v>
      </c>
      <c r="D337" s="213">
        <f t="shared" si="22"/>
        <v>41943</v>
      </c>
      <c r="E337" s="670">
        <f>Arbeitszeit!U338*24</f>
        <v>0</v>
      </c>
      <c r="F337" s="397">
        <f t="shared" si="23"/>
        <v>0</v>
      </c>
      <c r="G337" s="178">
        <f>IF(Arbeitszeit!F338=Urlaub,B_WorkTime*24,)</f>
        <v>0</v>
      </c>
      <c r="H337" s="174"/>
      <c r="I337" s="178">
        <f>IF(Arbeitszeit!F338=Krank,B_WorkTime*24,)</f>
        <v>0</v>
      </c>
      <c r="J337" s="174"/>
      <c r="K337" s="179"/>
      <c r="L337" s="180"/>
      <c r="M337" s="656"/>
      <c r="N337" s="657"/>
      <c r="O337" s="656"/>
      <c r="P337" s="657"/>
      <c r="Q337" s="656"/>
      <c r="R337" s="657"/>
      <c r="S337" s="656"/>
      <c r="T337" s="657"/>
      <c r="U337" s="656"/>
      <c r="V337" s="657"/>
      <c r="W337" s="656"/>
      <c r="X337" s="657"/>
      <c r="Y337" s="656"/>
      <c r="Z337" s="657"/>
      <c r="AA337" s="656"/>
      <c r="AB337" s="657"/>
      <c r="AC337" s="656"/>
      <c r="AD337" s="657"/>
      <c r="AE337" s="656"/>
      <c r="AF337" s="658"/>
      <c r="AG337" s="656"/>
      <c r="AH337" s="658"/>
      <c r="AI337" s="656"/>
      <c r="AJ337" s="658"/>
      <c r="AK337" s="656"/>
      <c r="AL337" s="658"/>
      <c r="AM337" s="659"/>
      <c r="AN337" s="658"/>
      <c r="AO337" s="656"/>
      <c r="AP337" s="658"/>
      <c r="AQ337" s="659"/>
      <c r="AR337" s="658"/>
      <c r="AS337" s="658"/>
      <c r="AT337" s="658"/>
      <c r="AU337" s="659"/>
      <c r="AV337" s="658"/>
      <c r="AW337" s="658"/>
      <c r="AX337" s="181"/>
      <c r="AY337" s="177"/>
      <c r="AZ337">
        <f ca="1">INDIRECT(ADDRESS(ROW()+1,COLUMN(Arbeitszeit!xDay),,,"Arbeitszeit"))</f>
        <v>4</v>
      </c>
    </row>
    <row r="338" spans="1:52">
      <c r="A338" s="582">
        <f>Arbeitszeit!A339</f>
        <v>41972</v>
      </c>
      <c r="B338" s="583">
        <f t="shared" si="20"/>
        <v>41972</v>
      </c>
      <c r="C338" s="214">
        <f t="shared" si="21"/>
        <v>48</v>
      </c>
      <c r="D338" s="213">
        <f t="shared" si="22"/>
        <v>41943</v>
      </c>
      <c r="E338" s="670">
        <f>Arbeitszeit!U339*24</f>
        <v>0</v>
      </c>
      <c r="F338" s="397">
        <f t="shared" si="23"/>
        <v>0</v>
      </c>
      <c r="G338" s="178">
        <f>IF(Arbeitszeit!F339=Urlaub,B_WorkTime*24,)</f>
        <v>0</v>
      </c>
      <c r="H338" s="174"/>
      <c r="I338" s="178">
        <f>IF(Arbeitszeit!F339=Krank,B_WorkTime*24,)</f>
        <v>0</v>
      </c>
      <c r="J338" s="174"/>
      <c r="K338" s="179"/>
      <c r="L338" s="180"/>
      <c r="M338" s="656"/>
      <c r="N338" s="657"/>
      <c r="O338" s="656"/>
      <c r="P338" s="657"/>
      <c r="Q338" s="656"/>
      <c r="R338" s="657"/>
      <c r="S338" s="656"/>
      <c r="T338" s="657"/>
      <c r="U338" s="656"/>
      <c r="V338" s="657"/>
      <c r="W338" s="656"/>
      <c r="X338" s="657"/>
      <c r="Y338" s="656"/>
      <c r="Z338" s="657"/>
      <c r="AA338" s="656"/>
      <c r="AB338" s="657"/>
      <c r="AC338" s="656"/>
      <c r="AD338" s="657"/>
      <c r="AE338" s="656"/>
      <c r="AF338" s="658"/>
      <c r="AG338" s="656"/>
      <c r="AH338" s="658"/>
      <c r="AI338" s="656"/>
      <c r="AJ338" s="658"/>
      <c r="AK338" s="656"/>
      <c r="AL338" s="658"/>
      <c r="AM338" s="659"/>
      <c r="AN338" s="658"/>
      <c r="AO338" s="656"/>
      <c r="AP338" s="658"/>
      <c r="AQ338" s="659"/>
      <c r="AR338" s="658"/>
      <c r="AS338" s="658"/>
      <c r="AT338" s="658"/>
      <c r="AU338" s="659"/>
      <c r="AV338" s="658"/>
      <c r="AW338" s="658"/>
      <c r="AX338" s="181"/>
      <c r="AY338" s="177"/>
      <c r="AZ338">
        <f ca="1">INDIRECT(ADDRESS(ROW()+1,COLUMN(Arbeitszeit!xDay),,,"Arbeitszeit"))</f>
        <v>5</v>
      </c>
    </row>
    <row r="339" spans="1:52">
      <c r="A339" s="582">
        <f>Arbeitszeit!A340</f>
        <v>41973</v>
      </c>
      <c r="B339" s="583">
        <f t="shared" si="20"/>
        <v>41973</v>
      </c>
      <c r="C339" s="214">
        <f t="shared" si="21"/>
        <v>48</v>
      </c>
      <c r="D339" s="213">
        <f t="shared" si="22"/>
        <v>41973</v>
      </c>
      <c r="E339" s="670">
        <f>Arbeitszeit!U340*24</f>
        <v>0</v>
      </c>
      <c r="F339" s="397">
        <f t="shared" si="23"/>
        <v>0</v>
      </c>
      <c r="G339" s="178">
        <f>IF(Arbeitszeit!F340=Urlaub,B_WorkTime*24,)</f>
        <v>0</v>
      </c>
      <c r="H339" s="174"/>
      <c r="I339" s="178">
        <f>IF(Arbeitszeit!F340=Krank,B_WorkTime*24,)</f>
        <v>0</v>
      </c>
      <c r="J339" s="174"/>
      <c r="K339" s="179"/>
      <c r="L339" s="180"/>
      <c r="M339" s="656"/>
      <c r="N339" s="657"/>
      <c r="O339" s="656"/>
      <c r="P339" s="657"/>
      <c r="Q339" s="656"/>
      <c r="R339" s="657"/>
      <c r="S339" s="656"/>
      <c r="T339" s="657"/>
      <c r="U339" s="656"/>
      <c r="V339" s="657"/>
      <c r="W339" s="656"/>
      <c r="X339" s="657"/>
      <c r="Y339" s="656"/>
      <c r="Z339" s="657"/>
      <c r="AA339" s="656"/>
      <c r="AB339" s="657"/>
      <c r="AC339" s="656"/>
      <c r="AD339" s="657"/>
      <c r="AE339" s="656"/>
      <c r="AF339" s="658"/>
      <c r="AG339" s="656"/>
      <c r="AH339" s="658"/>
      <c r="AI339" s="656"/>
      <c r="AJ339" s="658"/>
      <c r="AK339" s="656"/>
      <c r="AL339" s="658"/>
      <c r="AM339" s="659"/>
      <c r="AN339" s="658"/>
      <c r="AO339" s="656"/>
      <c r="AP339" s="658"/>
      <c r="AQ339" s="659"/>
      <c r="AR339" s="658"/>
      <c r="AS339" s="658"/>
      <c r="AT339" s="658"/>
      <c r="AU339" s="659"/>
      <c r="AV339" s="658"/>
      <c r="AW339" s="658"/>
      <c r="AX339" s="181"/>
      <c r="AY339" s="177"/>
      <c r="AZ339">
        <f ca="1">INDIRECT(ADDRESS(ROW()+1,COLUMN(Arbeitszeit!xDay),,,"Arbeitszeit"))</f>
        <v>6</v>
      </c>
    </row>
    <row r="340" spans="1:52">
      <c r="A340" s="582">
        <f>Arbeitszeit!A341</f>
        <v>41974</v>
      </c>
      <c r="B340" s="583">
        <f t="shared" si="20"/>
        <v>41974</v>
      </c>
      <c r="C340" s="214">
        <f t="shared" si="21"/>
        <v>48</v>
      </c>
      <c r="D340" s="213">
        <f t="shared" si="22"/>
        <v>41973</v>
      </c>
      <c r="E340" s="670">
        <f>Arbeitszeit!U341*24</f>
        <v>0</v>
      </c>
      <c r="F340" s="397">
        <f t="shared" si="23"/>
        <v>0</v>
      </c>
      <c r="G340" s="178">
        <f>IF(Arbeitszeit!F341=Urlaub,B_WorkTime*24,)</f>
        <v>0</v>
      </c>
      <c r="H340" s="174"/>
      <c r="I340" s="178">
        <f>IF(Arbeitszeit!F341=Krank,B_WorkTime*24,)</f>
        <v>0</v>
      </c>
      <c r="J340" s="174"/>
      <c r="K340" s="179"/>
      <c r="L340" s="180"/>
      <c r="M340" s="656"/>
      <c r="N340" s="657"/>
      <c r="O340" s="656"/>
      <c r="P340" s="657"/>
      <c r="Q340" s="656"/>
      <c r="R340" s="657"/>
      <c r="S340" s="656"/>
      <c r="T340" s="657"/>
      <c r="U340" s="656"/>
      <c r="V340" s="657"/>
      <c r="W340" s="656"/>
      <c r="X340" s="657"/>
      <c r="Y340" s="656"/>
      <c r="Z340" s="657"/>
      <c r="AA340" s="656"/>
      <c r="AB340" s="657"/>
      <c r="AC340" s="656"/>
      <c r="AD340" s="657"/>
      <c r="AE340" s="656"/>
      <c r="AF340" s="658"/>
      <c r="AG340" s="656"/>
      <c r="AH340" s="658"/>
      <c r="AI340" s="656"/>
      <c r="AJ340" s="658"/>
      <c r="AK340" s="656"/>
      <c r="AL340" s="658"/>
      <c r="AM340" s="659"/>
      <c r="AN340" s="658"/>
      <c r="AO340" s="656"/>
      <c r="AP340" s="658"/>
      <c r="AQ340" s="659"/>
      <c r="AR340" s="658"/>
      <c r="AS340" s="658"/>
      <c r="AT340" s="658"/>
      <c r="AU340" s="659"/>
      <c r="AV340" s="658"/>
      <c r="AW340" s="658"/>
      <c r="AX340" s="181"/>
      <c r="AY340" s="177"/>
      <c r="AZ340">
        <f ca="1">INDIRECT(ADDRESS(ROW()+1,COLUMN(Arbeitszeit!xDay),,,"Arbeitszeit"))</f>
        <v>7</v>
      </c>
    </row>
    <row r="341" spans="1:52">
      <c r="A341" s="582">
        <f>Arbeitszeit!A342</f>
        <v>41975</v>
      </c>
      <c r="B341" s="583">
        <f t="shared" si="20"/>
        <v>41975</v>
      </c>
      <c r="C341" s="214">
        <f t="shared" si="21"/>
        <v>49</v>
      </c>
      <c r="D341" s="213">
        <f t="shared" si="22"/>
        <v>41973</v>
      </c>
      <c r="E341" s="670">
        <f>Arbeitszeit!U342*24</f>
        <v>0</v>
      </c>
      <c r="F341" s="397">
        <f t="shared" si="23"/>
        <v>0</v>
      </c>
      <c r="G341" s="178">
        <f>IF(Arbeitszeit!F342=Urlaub,B_WorkTime*24,)</f>
        <v>0</v>
      </c>
      <c r="H341" s="174"/>
      <c r="I341" s="178">
        <f>IF(Arbeitszeit!F342=Krank,B_WorkTime*24,)</f>
        <v>0</v>
      </c>
      <c r="J341" s="174"/>
      <c r="K341" s="179"/>
      <c r="L341" s="180"/>
      <c r="M341" s="656"/>
      <c r="N341" s="657"/>
      <c r="O341" s="656"/>
      <c r="P341" s="657"/>
      <c r="Q341" s="656"/>
      <c r="R341" s="657"/>
      <c r="S341" s="656"/>
      <c r="T341" s="657"/>
      <c r="U341" s="656"/>
      <c r="V341" s="657"/>
      <c r="W341" s="656"/>
      <c r="X341" s="657"/>
      <c r="Y341" s="656"/>
      <c r="Z341" s="657"/>
      <c r="AA341" s="656"/>
      <c r="AB341" s="657"/>
      <c r="AC341" s="656"/>
      <c r="AD341" s="657"/>
      <c r="AE341" s="656"/>
      <c r="AF341" s="658"/>
      <c r="AG341" s="656"/>
      <c r="AH341" s="658"/>
      <c r="AI341" s="656"/>
      <c r="AJ341" s="658"/>
      <c r="AK341" s="656"/>
      <c r="AL341" s="658"/>
      <c r="AM341" s="659"/>
      <c r="AN341" s="658"/>
      <c r="AO341" s="656"/>
      <c r="AP341" s="658"/>
      <c r="AQ341" s="659"/>
      <c r="AR341" s="658"/>
      <c r="AS341" s="658"/>
      <c r="AT341" s="658"/>
      <c r="AU341" s="659"/>
      <c r="AV341" s="658"/>
      <c r="AW341" s="658"/>
      <c r="AX341" s="181"/>
      <c r="AY341" s="177"/>
      <c r="AZ341">
        <f ca="1">INDIRECT(ADDRESS(ROW()+1,COLUMN(Arbeitszeit!xDay),,,"Arbeitszeit"))</f>
        <v>1</v>
      </c>
    </row>
    <row r="342" spans="1:52">
      <c r="A342" s="582">
        <f>Arbeitszeit!A343</f>
        <v>41976</v>
      </c>
      <c r="B342" s="583">
        <f t="shared" si="20"/>
        <v>41976</v>
      </c>
      <c r="C342" s="214">
        <f t="shared" si="21"/>
        <v>49</v>
      </c>
      <c r="D342" s="213">
        <f t="shared" si="22"/>
        <v>41973</v>
      </c>
      <c r="E342" s="670">
        <f>Arbeitszeit!U343*24</f>
        <v>0</v>
      </c>
      <c r="F342" s="397">
        <f t="shared" si="23"/>
        <v>0</v>
      </c>
      <c r="G342" s="178">
        <f>IF(Arbeitszeit!F343=Urlaub,B_WorkTime*24,)</f>
        <v>0</v>
      </c>
      <c r="H342" s="174"/>
      <c r="I342" s="178">
        <f>IF(Arbeitszeit!F343=Krank,B_WorkTime*24,)</f>
        <v>0</v>
      </c>
      <c r="J342" s="174"/>
      <c r="K342" s="179"/>
      <c r="L342" s="180"/>
      <c r="M342" s="656"/>
      <c r="N342" s="657"/>
      <c r="O342" s="656"/>
      <c r="P342" s="657"/>
      <c r="Q342" s="656"/>
      <c r="R342" s="657"/>
      <c r="S342" s="656"/>
      <c r="T342" s="657"/>
      <c r="U342" s="656"/>
      <c r="V342" s="657"/>
      <c r="W342" s="656"/>
      <c r="X342" s="657"/>
      <c r="Y342" s="656"/>
      <c r="Z342" s="657"/>
      <c r="AA342" s="656"/>
      <c r="AB342" s="657"/>
      <c r="AC342" s="656"/>
      <c r="AD342" s="657"/>
      <c r="AE342" s="656"/>
      <c r="AF342" s="658"/>
      <c r="AG342" s="656"/>
      <c r="AH342" s="658"/>
      <c r="AI342" s="656"/>
      <c r="AJ342" s="658"/>
      <c r="AK342" s="656"/>
      <c r="AL342" s="658"/>
      <c r="AM342" s="659"/>
      <c r="AN342" s="658"/>
      <c r="AO342" s="656"/>
      <c r="AP342" s="658"/>
      <c r="AQ342" s="659"/>
      <c r="AR342" s="658"/>
      <c r="AS342" s="658"/>
      <c r="AT342" s="658"/>
      <c r="AU342" s="659"/>
      <c r="AV342" s="658"/>
      <c r="AW342" s="658"/>
      <c r="AX342" s="181"/>
      <c r="AY342" s="177"/>
      <c r="AZ342">
        <f ca="1">INDIRECT(ADDRESS(ROW()+1,COLUMN(Arbeitszeit!xDay),,,"Arbeitszeit"))</f>
        <v>2</v>
      </c>
    </row>
    <row r="343" spans="1:52">
      <c r="A343" s="582">
        <f>Arbeitszeit!A344</f>
        <v>41977</v>
      </c>
      <c r="B343" s="583">
        <f t="shared" si="20"/>
        <v>41977</v>
      </c>
      <c r="C343" s="214">
        <f t="shared" si="21"/>
        <v>49</v>
      </c>
      <c r="D343" s="213">
        <f t="shared" si="22"/>
        <v>41973</v>
      </c>
      <c r="E343" s="670">
        <f>Arbeitszeit!U344*24</f>
        <v>0</v>
      </c>
      <c r="F343" s="397">
        <f t="shared" si="23"/>
        <v>0</v>
      </c>
      <c r="G343" s="178">
        <f>IF(Arbeitszeit!F344=Urlaub,B_WorkTime*24,)</f>
        <v>0</v>
      </c>
      <c r="H343" s="174"/>
      <c r="I343" s="178">
        <f>IF(Arbeitszeit!F344=Krank,B_WorkTime*24,)</f>
        <v>0</v>
      </c>
      <c r="J343" s="174"/>
      <c r="K343" s="179"/>
      <c r="L343" s="180"/>
      <c r="M343" s="656"/>
      <c r="N343" s="657"/>
      <c r="O343" s="656"/>
      <c r="P343" s="657"/>
      <c r="Q343" s="656"/>
      <c r="R343" s="657"/>
      <c r="S343" s="656"/>
      <c r="T343" s="657"/>
      <c r="U343" s="656"/>
      <c r="V343" s="657"/>
      <c r="W343" s="656"/>
      <c r="X343" s="657"/>
      <c r="Y343" s="656"/>
      <c r="Z343" s="657"/>
      <c r="AA343" s="656"/>
      <c r="AB343" s="657"/>
      <c r="AC343" s="656"/>
      <c r="AD343" s="657"/>
      <c r="AE343" s="656"/>
      <c r="AF343" s="658"/>
      <c r="AG343" s="656"/>
      <c r="AH343" s="658"/>
      <c r="AI343" s="656"/>
      <c r="AJ343" s="658"/>
      <c r="AK343" s="656"/>
      <c r="AL343" s="658"/>
      <c r="AM343" s="659"/>
      <c r="AN343" s="658"/>
      <c r="AO343" s="656"/>
      <c r="AP343" s="658"/>
      <c r="AQ343" s="659"/>
      <c r="AR343" s="658"/>
      <c r="AS343" s="658"/>
      <c r="AT343" s="658"/>
      <c r="AU343" s="659"/>
      <c r="AV343" s="658"/>
      <c r="AW343" s="658"/>
      <c r="AX343" s="181"/>
      <c r="AY343" s="177"/>
      <c r="AZ343">
        <f ca="1">INDIRECT(ADDRESS(ROW()+1,COLUMN(Arbeitszeit!xDay),,,"Arbeitszeit"))</f>
        <v>3</v>
      </c>
    </row>
    <row r="344" spans="1:52">
      <c r="A344" s="582">
        <f>Arbeitszeit!A345</f>
        <v>41978</v>
      </c>
      <c r="B344" s="583">
        <f t="shared" si="20"/>
        <v>41978</v>
      </c>
      <c r="C344" s="214">
        <f t="shared" si="21"/>
        <v>49</v>
      </c>
      <c r="D344" s="213">
        <f t="shared" si="22"/>
        <v>41973</v>
      </c>
      <c r="E344" s="670">
        <f>Arbeitszeit!U345*24</f>
        <v>0</v>
      </c>
      <c r="F344" s="397">
        <f t="shared" si="23"/>
        <v>0</v>
      </c>
      <c r="G344" s="178">
        <f>IF(Arbeitszeit!F345=Urlaub,B_WorkTime*24,)</f>
        <v>0</v>
      </c>
      <c r="H344" s="174"/>
      <c r="I344" s="178">
        <f>IF(Arbeitszeit!F345=Krank,B_WorkTime*24,)</f>
        <v>0</v>
      </c>
      <c r="J344" s="174"/>
      <c r="K344" s="179"/>
      <c r="L344" s="180"/>
      <c r="M344" s="656"/>
      <c r="N344" s="657"/>
      <c r="O344" s="656"/>
      <c r="P344" s="657"/>
      <c r="Q344" s="656"/>
      <c r="R344" s="657"/>
      <c r="S344" s="656"/>
      <c r="T344" s="657"/>
      <c r="U344" s="656"/>
      <c r="V344" s="657"/>
      <c r="W344" s="656"/>
      <c r="X344" s="657"/>
      <c r="Y344" s="656"/>
      <c r="Z344" s="657"/>
      <c r="AA344" s="656"/>
      <c r="AB344" s="657"/>
      <c r="AC344" s="656"/>
      <c r="AD344" s="657"/>
      <c r="AE344" s="656"/>
      <c r="AF344" s="658"/>
      <c r="AG344" s="656"/>
      <c r="AH344" s="658"/>
      <c r="AI344" s="656"/>
      <c r="AJ344" s="658"/>
      <c r="AK344" s="656"/>
      <c r="AL344" s="658"/>
      <c r="AM344" s="659"/>
      <c r="AN344" s="658"/>
      <c r="AO344" s="656"/>
      <c r="AP344" s="658"/>
      <c r="AQ344" s="659"/>
      <c r="AR344" s="658"/>
      <c r="AS344" s="658"/>
      <c r="AT344" s="658"/>
      <c r="AU344" s="659"/>
      <c r="AV344" s="658"/>
      <c r="AW344" s="658"/>
      <c r="AX344" s="181"/>
      <c r="AY344" s="177"/>
      <c r="AZ344">
        <f ca="1">INDIRECT(ADDRESS(ROW()+1,COLUMN(Arbeitszeit!xDay),,,"Arbeitszeit"))</f>
        <v>4</v>
      </c>
    </row>
    <row r="345" spans="1:52">
      <c r="A345" s="582">
        <f>Arbeitszeit!A346</f>
        <v>41979</v>
      </c>
      <c r="B345" s="583">
        <f t="shared" si="20"/>
        <v>41979</v>
      </c>
      <c r="C345" s="214">
        <f t="shared" si="21"/>
        <v>49</v>
      </c>
      <c r="D345" s="213">
        <f t="shared" si="22"/>
        <v>41973</v>
      </c>
      <c r="E345" s="670">
        <f>Arbeitszeit!U346*24</f>
        <v>0</v>
      </c>
      <c r="F345" s="397">
        <f t="shared" si="23"/>
        <v>0</v>
      </c>
      <c r="G345" s="178">
        <f>IF(Arbeitszeit!F346=Urlaub,B_WorkTime*24,)</f>
        <v>0</v>
      </c>
      <c r="H345" s="174"/>
      <c r="I345" s="178">
        <f>IF(Arbeitszeit!F346=Krank,B_WorkTime*24,)</f>
        <v>0</v>
      </c>
      <c r="J345" s="174"/>
      <c r="K345" s="179"/>
      <c r="L345" s="180"/>
      <c r="M345" s="656"/>
      <c r="N345" s="657"/>
      <c r="O345" s="656"/>
      <c r="P345" s="657"/>
      <c r="Q345" s="656"/>
      <c r="R345" s="657"/>
      <c r="S345" s="656"/>
      <c r="T345" s="657"/>
      <c r="U345" s="656"/>
      <c r="V345" s="657"/>
      <c r="W345" s="656"/>
      <c r="X345" s="657"/>
      <c r="Y345" s="656"/>
      <c r="Z345" s="657"/>
      <c r="AA345" s="656"/>
      <c r="AB345" s="657"/>
      <c r="AC345" s="656"/>
      <c r="AD345" s="657"/>
      <c r="AE345" s="656"/>
      <c r="AF345" s="658"/>
      <c r="AG345" s="656"/>
      <c r="AH345" s="658"/>
      <c r="AI345" s="656"/>
      <c r="AJ345" s="658"/>
      <c r="AK345" s="656"/>
      <c r="AL345" s="658"/>
      <c r="AM345" s="659"/>
      <c r="AN345" s="658"/>
      <c r="AO345" s="656"/>
      <c r="AP345" s="658"/>
      <c r="AQ345" s="659"/>
      <c r="AR345" s="658"/>
      <c r="AS345" s="658"/>
      <c r="AT345" s="658"/>
      <c r="AU345" s="659"/>
      <c r="AV345" s="658"/>
      <c r="AW345" s="658"/>
      <c r="AX345" s="181"/>
      <c r="AY345" s="177"/>
      <c r="AZ345">
        <f ca="1">INDIRECT(ADDRESS(ROW()+1,COLUMN(Arbeitszeit!xDay),,,"Arbeitszeit"))</f>
        <v>5</v>
      </c>
    </row>
    <row r="346" spans="1:52">
      <c r="A346" s="582">
        <f>Arbeitszeit!A347</f>
        <v>41980</v>
      </c>
      <c r="B346" s="583">
        <f t="shared" si="20"/>
        <v>41980</v>
      </c>
      <c r="C346" s="214">
        <f t="shared" si="21"/>
        <v>49</v>
      </c>
      <c r="D346" s="213">
        <f t="shared" si="22"/>
        <v>41973</v>
      </c>
      <c r="E346" s="670">
        <f>Arbeitszeit!U347*24</f>
        <v>0</v>
      </c>
      <c r="F346" s="397">
        <f t="shared" si="23"/>
        <v>0</v>
      </c>
      <c r="G346" s="178">
        <f>IF(Arbeitszeit!F347=Urlaub,B_WorkTime*24,)</f>
        <v>0</v>
      </c>
      <c r="H346" s="174"/>
      <c r="I346" s="178">
        <f>IF(Arbeitszeit!F347=Krank,B_WorkTime*24,)</f>
        <v>0</v>
      </c>
      <c r="J346" s="174"/>
      <c r="K346" s="179"/>
      <c r="L346" s="180"/>
      <c r="M346" s="656"/>
      <c r="N346" s="657"/>
      <c r="O346" s="656"/>
      <c r="P346" s="657"/>
      <c r="Q346" s="656"/>
      <c r="R346" s="657"/>
      <c r="S346" s="656"/>
      <c r="T346" s="657"/>
      <c r="U346" s="656"/>
      <c r="V346" s="657"/>
      <c r="W346" s="656"/>
      <c r="X346" s="657"/>
      <c r="Y346" s="656"/>
      <c r="Z346" s="657"/>
      <c r="AA346" s="656"/>
      <c r="AB346" s="657"/>
      <c r="AC346" s="656"/>
      <c r="AD346" s="657"/>
      <c r="AE346" s="656"/>
      <c r="AF346" s="658"/>
      <c r="AG346" s="656"/>
      <c r="AH346" s="658"/>
      <c r="AI346" s="656"/>
      <c r="AJ346" s="658"/>
      <c r="AK346" s="656"/>
      <c r="AL346" s="658"/>
      <c r="AM346" s="659"/>
      <c r="AN346" s="658"/>
      <c r="AO346" s="656"/>
      <c r="AP346" s="658"/>
      <c r="AQ346" s="659"/>
      <c r="AR346" s="658"/>
      <c r="AS346" s="658"/>
      <c r="AT346" s="658"/>
      <c r="AU346" s="659"/>
      <c r="AV346" s="658"/>
      <c r="AW346" s="658"/>
      <c r="AX346" s="181"/>
      <c r="AY346" s="177"/>
      <c r="AZ346">
        <f ca="1">INDIRECT(ADDRESS(ROW()+1,COLUMN(Arbeitszeit!xDay),,,"Arbeitszeit"))</f>
        <v>6</v>
      </c>
    </row>
    <row r="347" spans="1:52">
      <c r="A347" s="582">
        <f>Arbeitszeit!A348</f>
        <v>41981</v>
      </c>
      <c r="B347" s="583">
        <f t="shared" si="20"/>
        <v>41981</v>
      </c>
      <c r="C347" s="214">
        <f t="shared" si="21"/>
        <v>49</v>
      </c>
      <c r="D347" s="213">
        <f t="shared" si="22"/>
        <v>41973</v>
      </c>
      <c r="E347" s="670">
        <f>Arbeitszeit!U348*24</f>
        <v>0</v>
      </c>
      <c r="F347" s="397">
        <f t="shared" si="23"/>
        <v>0</v>
      </c>
      <c r="G347" s="178">
        <f>IF(Arbeitszeit!F348=Urlaub,B_WorkTime*24,)</f>
        <v>0</v>
      </c>
      <c r="H347" s="174"/>
      <c r="I347" s="178">
        <f>IF(Arbeitszeit!F348=Krank,B_WorkTime*24,)</f>
        <v>0</v>
      </c>
      <c r="J347" s="174"/>
      <c r="K347" s="179"/>
      <c r="L347" s="180"/>
      <c r="M347" s="656"/>
      <c r="N347" s="657"/>
      <c r="O347" s="656"/>
      <c r="P347" s="657"/>
      <c r="Q347" s="656"/>
      <c r="R347" s="657"/>
      <c r="S347" s="656"/>
      <c r="T347" s="657"/>
      <c r="U347" s="656"/>
      <c r="V347" s="657"/>
      <c r="W347" s="656"/>
      <c r="X347" s="657"/>
      <c r="Y347" s="656"/>
      <c r="Z347" s="657"/>
      <c r="AA347" s="656"/>
      <c r="AB347" s="657"/>
      <c r="AC347" s="656"/>
      <c r="AD347" s="657"/>
      <c r="AE347" s="656"/>
      <c r="AF347" s="658"/>
      <c r="AG347" s="656"/>
      <c r="AH347" s="658"/>
      <c r="AI347" s="656"/>
      <c r="AJ347" s="658"/>
      <c r="AK347" s="656"/>
      <c r="AL347" s="658"/>
      <c r="AM347" s="659"/>
      <c r="AN347" s="658"/>
      <c r="AO347" s="656"/>
      <c r="AP347" s="658"/>
      <c r="AQ347" s="659"/>
      <c r="AR347" s="658"/>
      <c r="AS347" s="658"/>
      <c r="AT347" s="658"/>
      <c r="AU347" s="659"/>
      <c r="AV347" s="658"/>
      <c r="AW347" s="658"/>
      <c r="AX347" s="181"/>
      <c r="AY347" s="177"/>
      <c r="AZ347">
        <f ca="1">INDIRECT(ADDRESS(ROW()+1,COLUMN(Arbeitszeit!xDay),,,"Arbeitszeit"))</f>
        <v>7</v>
      </c>
    </row>
    <row r="348" spans="1:52">
      <c r="A348" s="582">
        <f>Arbeitszeit!A349</f>
        <v>41982</v>
      </c>
      <c r="B348" s="583">
        <f t="shared" si="20"/>
        <v>41982</v>
      </c>
      <c r="C348" s="214">
        <f t="shared" si="21"/>
        <v>50</v>
      </c>
      <c r="D348" s="213">
        <f t="shared" si="22"/>
        <v>41973</v>
      </c>
      <c r="E348" s="670">
        <f>Arbeitszeit!U349*24</f>
        <v>0</v>
      </c>
      <c r="F348" s="397">
        <f t="shared" si="23"/>
        <v>0</v>
      </c>
      <c r="G348" s="178">
        <f>IF(Arbeitszeit!F349=Urlaub,B_WorkTime*24,)</f>
        <v>0</v>
      </c>
      <c r="H348" s="174"/>
      <c r="I348" s="178">
        <f>IF(Arbeitszeit!F349=Krank,B_WorkTime*24,)</f>
        <v>0</v>
      </c>
      <c r="J348" s="174"/>
      <c r="K348" s="179"/>
      <c r="L348" s="180"/>
      <c r="M348" s="656"/>
      <c r="N348" s="657"/>
      <c r="O348" s="656"/>
      <c r="P348" s="657"/>
      <c r="Q348" s="656"/>
      <c r="R348" s="657"/>
      <c r="S348" s="656"/>
      <c r="T348" s="657"/>
      <c r="U348" s="656"/>
      <c r="V348" s="657"/>
      <c r="W348" s="656"/>
      <c r="X348" s="657"/>
      <c r="Y348" s="656"/>
      <c r="Z348" s="657"/>
      <c r="AA348" s="656"/>
      <c r="AB348" s="657"/>
      <c r="AC348" s="656"/>
      <c r="AD348" s="657"/>
      <c r="AE348" s="656"/>
      <c r="AF348" s="658"/>
      <c r="AG348" s="656"/>
      <c r="AH348" s="658"/>
      <c r="AI348" s="656"/>
      <c r="AJ348" s="658"/>
      <c r="AK348" s="656"/>
      <c r="AL348" s="658"/>
      <c r="AM348" s="659"/>
      <c r="AN348" s="658"/>
      <c r="AO348" s="656"/>
      <c r="AP348" s="658"/>
      <c r="AQ348" s="659"/>
      <c r="AR348" s="658"/>
      <c r="AS348" s="658"/>
      <c r="AT348" s="658"/>
      <c r="AU348" s="659"/>
      <c r="AV348" s="658"/>
      <c r="AW348" s="658"/>
      <c r="AX348" s="181"/>
      <c r="AY348" s="177"/>
      <c r="AZ348">
        <f ca="1">INDIRECT(ADDRESS(ROW()+1,COLUMN(Arbeitszeit!xDay),,,"Arbeitszeit"))</f>
        <v>1</v>
      </c>
    </row>
    <row r="349" spans="1:52">
      <c r="A349" s="582">
        <f>Arbeitszeit!A350</f>
        <v>41983</v>
      </c>
      <c r="B349" s="583">
        <f t="shared" si="20"/>
        <v>41983</v>
      </c>
      <c r="C349" s="214">
        <f t="shared" si="21"/>
        <v>50</v>
      </c>
      <c r="D349" s="213">
        <f t="shared" si="22"/>
        <v>41973</v>
      </c>
      <c r="E349" s="670">
        <f>Arbeitszeit!U350*24</f>
        <v>0</v>
      </c>
      <c r="F349" s="397">
        <f t="shared" si="23"/>
        <v>0</v>
      </c>
      <c r="G349" s="178">
        <f>IF(Arbeitszeit!F350=Urlaub,B_WorkTime*24,)</f>
        <v>0</v>
      </c>
      <c r="H349" s="174"/>
      <c r="I349" s="178">
        <f>IF(Arbeitszeit!F350=Krank,B_WorkTime*24,)</f>
        <v>0</v>
      </c>
      <c r="J349" s="174"/>
      <c r="K349" s="179"/>
      <c r="L349" s="180"/>
      <c r="M349" s="656"/>
      <c r="N349" s="657"/>
      <c r="O349" s="656"/>
      <c r="P349" s="657"/>
      <c r="Q349" s="656"/>
      <c r="R349" s="657"/>
      <c r="S349" s="656"/>
      <c r="T349" s="657"/>
      <c r="U349" s="656"/>
      <c r="V349" s="657"/>
      <c r="W349" s="656"/>
      <c r="X349" s="657"/>
      <c r="Y349" s="656"/>
      <c r="Z349" s="657"/>
      <c r="AA349" s="656"/>
      <c r="AB349" s="657"/>
      <c r="AC349" s="656"/>
      <c r="AD349" s="657"/>
      <c r="AE349" s="656"/>
      <c r="AF349" s="658"/>
      <c r="AG349" s="656"/>
      <c r="AH349" s="658"/>
      <c r="AI349" s="656"/>
      <c r="AJ349" s="658"/>
      <c r="AK349" s="656"/>
      <c r="AL349" s="658"/>
      <c r="AM349" s="659"/>
      <c r="AN349" s="658"/>
      <c r="AO349" s="656"/>
      <c r="AP349" s="658"/>
      <c r="AQ349" s="659"/>
      <c r="AR349" s="658"/>
      <c r="AS349" s="658"/>
      <c r="AT349" s="658"/>
      <c r="AU349" s="659"/>
      <c r="AV349" s="658"/>
      <c r="AW349" s="658"/>
      <c r="AX349" s="181"/>
      <c r="AY349" s="177"/>
      <c r="AZ349">
        <f ca="1">INDIRECT(ADDRESS(ROW()+1,COLUMN(Arbeitszeit!xDay),,,"Arbeitszeit"))</f>
        <v>2</v>
      </c>
    </row>
    <row r="350" spans="1:52">
      <c r="A350" s="582">
        <f>Arbeitszeit!A351</f>
        <v>41984</v>
      </c>
      <c r="B350" s="583">
        <f t="shared" si="20"/>
        <v>41984</v>
      </c>
      <c r="C350" s="214">
        <f t="shared" si="21"/>
        <v>50</v>
      </c>
      <c r="D350" s="213">
        <f t="shared" si="22"/>
        <v>41973</v>
      </c>
      <c r="E350" s="670">
        <f>Arbeitszeit!U351*24</f>
        <v>0</v>
      </c>
      <c r="F350" s="397">
        <f t="shared" si="23"/>
        <v>0</v>
      </c>
      <c r="G350" s="178">
        <f>IF(Arbeitszeit!F351=Urlaub,B_WorkTime*24,)</f>
        <v>0</v>
      </c>
      <c r="H350" s="174"/>
      <c r="I350" s="178">
        <f>IF(Arbeitszeit!F351=Krank,B_WorkTime*24,)</f>
        <v>0</v>
      </c>
      <c r="J350" s="174"/>
      <c r="K350" s="179"/>
      <c r="L350" s="180"/>
      <c r="M350" s="656"/>
      <c r="N350" s="657"/>
      <c r="O350" s="656"/>
      <c r="P350" s="657"/>
      <c r="Q350" s="656"/>
      <c r="R350" s="657"/>
      <c r="S350" s="656"/>
      <c r="T350" s="657"/>
      <c r="U350" s="656"/>
      <c r="V350" s="657"/>
      <c r="W350" s="656"/>
      <c r="X350" s="657"/>
      <c r="Y350" s="656"/>
      <c r="Z350" s="657"/>
      <c r="AA350" s="656"/>
      <c r="AB350" s="657"/>
      <c r="AC350" s="656"/>
      <c r="AD350" s="657"/>
      <c r="AE350" s="656"/>
      <c r="AF350" s="658"/>
      <c r="AG350" s="656"/>
      <c r="AH350" s="658"/>
      <c r="AI350" s="656"/>
      <c r="AJ350" s="658"/>
      <c r="AK350" s="656"/>
      <c r="AL350" s="658"/>
      <c r="AM350" s="659"/>
      <c r="AN350" s="658"/>
      <c r="AO350" s="656"/>
      <c r="AP350" s="658"/>
      <c r="AQ350" s="659"/>
      <c r="AR350" s="658"/>
      <c r="AS350" s="658"/>
      <c r="AT350" s="658"/>
      <c r="AU350" s="659"/>
      <c r="AV350" s="658"/>
      <c r="AW350" s="658"/>
      <c r="AX350" s="181"/>
      <c r="AY350" s="177"/>
      <c r="AZ350">
        <f ca="1">INDIRECT(ADDRESS(ROW()+1,COLUMN(Arbeitszeit!xDay),,,"Arbeitszeit"))</f>
        <v>3</v>
      </c>
    </row>
    <row r="351" spans="1:52">
      <c r="A351" s="582">
        <f>Arbeitszeit!A352</f>
        <v>41985</v>
      </c>
      <c r="B351" s="583">
        <f t="shared" si="20"/>
        <v>41985</v>
      </c>
      <c r="C351" s="214">
        <f t="shared" si="21"/>
        <v>50</v>
      </c>
      <c r="D351" s="213">
        <f t="shared" si="22"/>
        <v>41973</v>
      </c>
      <c r="E351" s="670">
        <f>Arbeitszeit!U352*24</f>
        <v>0</v>
      </c>
      <c r="F351" s="397">
        <f t="shared" si="23"/>
        <v>0</v>
      </c>
      <c r="G351" s="178">
        <f>IF(Arbeitszeit!F352=Urlaub,B_WorkTime*24,)</f>
        <v>0</v>
      </c>
      <c r="H351" s="174"/>
      <c r="I351" s="178">
        <f>IF(Arbeitszeit!F352=Krank,B_WorkTime*24,)</f>
        <v>0</v>
      </c>
      <c r="J351" s="174"/>
      <c r="K351" s="179"/>
      <c r="L351" s="180"/>
      <c r="M351" s="656"/>
      <c r="N351" s="657"/>
      <c r="O351" s="656"/>
      <c r="P351" s="657"/>
      <c r="Q351" s="656"/>
      <c r="R351" s="657"/>
      <c r="S351" s="656"/>
      <c r="T351" s="657"/>
      <c r="U351" s="656"/>
      <c r="V351" s="657"/>
      <c r="W351" s="656"/>
      <c r="X351" s="657"/>
      <c r="Y351" s="656"/>
      <c r="Z351" s="657"/>
      <c r="AA351" s="656"/>
      <c r="AB351" s="657"/>
      <c r="AC351" s="656"/>
      <c r="AD351" s="657"/>
      <c r="AE351" s="656"/>
      <c r="AF351" s="658"/>
      <c r="AG351" s="656"/>
      <c r="AH351" s="658"/>
      <c r="AI351" s="656"/>
      <c r="AJ351" s="658"/>
      <c r="AK351" s="656"/>
      <c r="AL351" s="658"/>
      <c r="AM351" s="659"/>
      <c r="AN351" s="658"/>
      <c r="AO351" s="656"/>
      <c r="AP351" s="658"/>
      <c r="AQ351" s="659"/>
      <c r="AR351" s="658"/>
      <c r="AS351" s="658"/>
      <c r="AT351" s="658"/>
      <c r="AU351" s="659"/>
      <c r="AV351" s="658"/>
      <c r="AW351" s="658"/>
      <c r="AX351" s="181"/>
      <c r="AY351" s="177"/>
      <c r="AZ351">
        <f ca="1">INDIRECT(ADDRESS(ROW()+1,COLUMN(Arbeitszeit!xDay),,,"Arbeitszeit"))</f>
        <v>4</v>
      </c>
    </row>
    <row r="352" spans="1:52">
      <c r="A352" s="582">
        <f>Arbeitszeit!A353</f>
        <v>41986</v>
      </c>
      <c r="B352" s="583">
        <f t="shared" si="20"/>
        <v>41986</v>
      </c>
      <c r="C352" s="214">
        <f t="shared" si="21"/>
        <v>50</v>
      </c>
      <c r="D352" s="213">
        <f t="shared" si="22"/>
        <v>41973</v>
      </c>
      <c r="E352" s="670">
        <f>Arbeitszeit!U353*24</f>
        <v>0</v>
      </c>
      <c r="F352" s="397">
        <f t="shared" si="23"/>
        <v>0</v>
      </c>
      <c r="G352" s="178">
        <f>IF(Arbeitszeit!F353=Urlaub,B_WorkTime*24,)</f>
        <v>0</v>
      </c>
      <c r="H352" s="174"/>
      <c r="I352" s="178">
        <f>IF(Arbeitszeit!F353=Krank,B_WorkTime*24,)</f>
        <v>0</v>
      </c>
      <c r="J352" s="174"/>
      <c r="K352" s="179"/>
      <c r="L352" s="180"/>
      <c r="M352" s="656"/>
      <c r="N352" s="657"/>
      <c r="O352" s="656"/>
      <c r="P352" s="657"/>
      <c r="Q352" s="656"/>
      <c r="R352" s="657"/>
      <c r="S352" s="656"/>
      <c r="T352" s="657"/>
      <c r="U352" s="656"/>
      <c r="V352" s="657"/>
      <c r="W352" s="656"/>
      <c r="X352" s="657"/>
      <c r="Y352" s="656"/>
      <c r="Z352" s="657"/>
      <c r="AA352" s="656"/>
      <c r="AB352" s="657"/>
      <c r="AC352" s="656"/>
      <c r="AD352" s="657"/>
      <c r="AE352" s="656"/>
      <c r="AF352" s="658"/>
      <c r="AG352" s="656"/>
      <c r="AH352" s="658"/>
      <c r="AI352" s="656"/>
      <c r="AJ352" s="658"/>
      <c r="AK352" s="656"/>
      <c r="AL352" s="658"/>
      <c r="AM352" s="659"/>
      <c r="AN352" s="658"/>
      <c r="AO352" s="656"/>
      <c r="AP352" s="658"/>
      <c r="AQ352" s="659"/>
      <c r="AR352" s="658"/>
      <c r="AS352" s="658"/>
      <c r="AT352" s="658"/>
      <c r="AU352" s="659"/>
      <c r="AV352" s="658"/>
      <c r="AW352" s="658"/>
      <c r="AX352" s="181"/>
      <c r="AY352" s="177"/>
      <c r="AZ352">
        <f ca="1">INDIRECT(ADDRESS(ROW()+1,COLUMN(Arbeitszeit!xDay),,,"Arbeitszeit"))</f>
        <v>5</v>
      </c>
    </row>
    <row r="353" spans="1:52" s="5" customFormat="1">
      <c r="A353" s="582">
        <f>Arbeitszeit!A354</f>
        <v>41987</v>
      </c>
      <c r="B353" s="583">
        <f t="shared" si="20"/>
        <v>41987</v>
      </c>
      <c r="C353" s="214">
        <f t="shared" si="21"/>
        <v>50</v>
      </c>
      <c r="D353" s="213">
        <f t="shared" si="22"/>
        <v>41973</v>
      </c>
      <c r="E353" s="670">
        <f>Arbeitszeit!U354*24</f>
        <v>0</v>
      </c>
      <c r="F353" s="397">
        <f t="shared" si="23"/>
        <v>0</v>
      </c>
      <c r="G353" s="178">
        <f>IF(Arbeitszeit!F354=Urlaub,B_WorkTime*24,)</f>
        <v>0</v>
      </c>
      <c r="H353" s="174"/>
      <c r="I353" s="178">
        <f>IF(Arbeitszeit!F354=Krank,B_WorkTime*24,)</f>
        <v>0</v>
      </c>
      <c r="J353" s="174"/>
      <c r="K353" s="179"/>
      <c r="L353" s="180"/>
      <c r="M353" s="656"/>
      <c r="N353" s="657"/>
      <c r="O353" s="656"/>
      <c r="P353" s="657"/>
      <c r="Q353" s="656"/>
      <c r="R353" s="657"/>
      <c r="S353" s="656"/>
      <c r="T353" s="657"/>
      <c r="U353" s="656"/>
      <c r="V353" s="657"/>
      <c r="W353" s="656"/>
      <c r="X353" s="657"/>
      <c r="Y353" s="656"/>
      <c r="Z353" s="657"/>
      <c r="AA353" s="656"/>
      <c r="AB353" s="657"/>
      <c r="AC353" s="656"/>
      <c r="AD353" s="657"/>
      <c r="AE353" s="656"/>
      <c r="AF353" s="658"/>
      <c r="AG353" s="656"/>
      <c r="AH353" s="658"/>
      <c r="AI353" s="656"/>
      <c r="AJ353" s="658"/>
      <c r="AK353" s="656"/>
      <c r="AL353" s="658"/>
      <c r="AM353" s="659"/>
      <c r="AN353" s="658"/>
      <c r="AO353" s="656"/>
      <c r="AP353" s="658"/>
      <c r="AQ353" s="659"/>
      <c r="AR353" s="658"/>
      <c r="AS353" s="658"/>
      <c r="AT353" s="658"/>
      <c r="AU353" s="659"/>
      <c r="AV353" s="658"/>
      <c r="AW353" s="658"/>
      <c r="AX353" s="181"/>
      <c r="AY353" s="177"/>
      <c r="AZ353">
        <f ca="1">INDIRECT(ADDRESS(ROW()+1,COLUMN(Arbeitszeit!xDay),,,"Arbeitszeit"))</f>
        <v>6</v>
      </c>
    </row>
    <row r="354" spans="1:52">
      <c r="A354" s="582">
        <f>Arbeitszeit!A355</f>
        <v>41988</v>
      </c>
      <c r="B354" s="583">
        <f t="shared" si="20"/>
        <v>41988</v>
      </c>
      <c r="C354" s="214">
        <f t="shared" si="21"/>
        <v>50</v>
      </c>
      <c r="D354" s="213">
        <f t="shared" si="22"/>
        <v>41973</v>
      </c>
      <c r="E354" s="670">
        <f>Arbeitszeit!U355*24</f>
        <v>0</v>
      </c>
      <c r="F354" s="397">
        <f t="shared" si="23"/>
        <v>0</v>
      </c>
      <c r="G354" s="178">
        <f>IF(Arbeitszeit!F355=Urlaub,B_WorkTime*24,)</f>
        <v>0</v>
      </c>
      <c r="H354" s="174"/>
      <c r="I354" s="178">
        <f>IF(Arbeitszeit!F355=Krank,B_WorkTime*24,)</f>
        <v>0</v>
      </c>
      <c r="J354" s="174"/>
      <c r="K354" s="179"/>
      <c r="L354" s="180"/>
      <c r="M354" s="656"/>
      <c r="N354" s="657"/>
      <c r="O354" s="656"/>
      <c r="P354" s="657"/>
      <c r="Q354" s="656"/>
      <c r="R354" s="657"/>
      <c r="S354" s="656"/>
      <c r="T354" s="657"/>
      <c r="U354" s="656"/>
      <c r="V354" s="657"/>
      <c r="W354" s="656"/>
      <c r="X354" s="657"/>
      <c r="Y354" s="656"/>
      <c r="Z354" s="657"/>
      <c r="AA354" s="656"/>
      <c r="AB354" s="657"/>
      <c r="AC354" s="656"/>
      <c r="AD354" s="657"/>
      <c r="AE354" s="656"/>
      <c r="AF354" s="658"/>
      <c r="AG354" s="656"/>
      <c r="AH354" s="658"/>
      <c r="AI354" s="656"/>
      <c r="AJ354" s="658"/>
      <c r="AK354" s="656"/>
      <c r="AL354" s="658"/>
      <c r="AM354" s="659"/>
      <c r="AN354" s="658"/>
      <c r="AO354" s="656"/>
      <c r="AP354" s="658"/>
      <c r="AQ354" s="659"/>
      <c r="AR354" s="658"/>
      <c r="AS354" s="658"/>
      <c r="AT354" s="658"/>
      <c r="AU354" s="659"/>
      <c r="AV354" s="658"/>
      <c r="AW354" s="658"/>
      <c r="AX354" s="181"/>
      <c r="AY354" s="177"/>
      <c r="AZ354">
        <f ca="1">INDIRECT(ADDRESS(ROW()+1,COLUMN(Arbeitszeit!xDay),,,"Arbeitszeit"))</f>
        <v>7</v>
      </c>
    </row>
    <row r="355" spans="1:52">
      <c r="A355" s="582">
        <f>Arbeitszeit!A356</f>
        <v>41989</v>
      </c>
      <c r="B355" s="583">
        <f t="shared" si="20"/>
        <v>41989</v>
      </c>
      <c r="C355" s="214">
        <f t="shared" si="21"/>
        <v>51</v>
      </c>
      <c r="D355" s="213">
        <f t="shared" si="22"/>
        <v>41973</v>
      </c>
      <c r="E355" s="670">
        <f>Arbeitszeit!U356*24</f>
        <v>0</v>
      </c>
      <c r="F355" s="397">
        <f t="shared" si="23"/>
        <v>0</v>
      </c>
      <c r="G355" s="178">
        <f>IF(Arbeitszeit!F356=Urlaub,B_WorkTime*24,)</f>
        <v>0</v>
      </c>
      <c r="H355" s="174"/>
      <c r="I355" s="178">
        <f>IF(Arbeitszeit!F356=Krank,B_WorkTime*24,)</f>
        <v>0</v>
      </c>
      <c r="J355" s="174"/>
      <c r="K355" s="179"/>
      <c r="L355" s="180"/>
      <c r="M355" s="656"/>
      <c r="N355" s="657"/>
      <c r="O355" s="656"/>
      <c r="P355" s="657"/>
      <c r="Q355" s="656"/>
      <c r="R355" s="657"/>
      <c r="S355" s="656"/>
      <c r="T355" s="657"/>
      <c r="U355" s="656"/>
      <c r="V355" s="657"/>
      <c r="W355" s="656"/>
      <c r="X355" s="657"/>
      <c r="Y355" s="656"/>
      <c r="Z355" s="657"/>
      <c r="AA355" s="656"/>
      <c r="AB355" s="657"/>
      <c r="AC355" s="656"/>
      <c r="AD355" s="657"/>
      <c r="AE355" s="656"/>
      <c r="AF355" s="658"/>
      <c r="AG355" s="656"/>
      <c r="AH355" s="658"/>
      <c r="AI355" s="656"/>
      <c r="AJ355" s="658"/>
      <c r="AK355" s="656"/>
      <c r="AL355" s="658"/>
      <c r="AM355" s="659"/>
      <c r="AN355" s="658"/>
      <c r="AO355" s="656"/>
      <c r="AP355" s="658"/>
      <c r="AQ355" s="659"/>
      <c r="AR355" s="658"/>
      <c r="AS355" s="658"/>
      <c r="AT355" s="658"/>
      <c r="AU355" s="659"/>
      <c r="AV355" s="658"/>
      <c r="AW355" s="658"/>
      <c r="AX355" s="181"/>
      <c r="AY355" s="177"/>
      <c r="AZ355">
        <f ca="1">INDIRECT(ADDRESS(ROW()+1,COLUMN(Arbeitszeit!xDay),,,"Arbeitszeit"))</f>
        <v>1</v>
      </c>
    </row>
    <row r="356" spans="1:52">
      <c r="A356" s="582">
        <f>Arbeitszeit!A357</f>
        <v>41990</v>
      </c>
      <c r="B356" s="583">
        <f t="shared" si="20"/>
        <v>41990</v>
      </c>
      <c r="C356" s="214">
        <f t="shared" si="21"/>
        <v>51</v>
      </c>
      <c r="D356" s="213">
        <f t="shared" si="22"/>
        <v>41973</v>
      </c>
      <c r="E356" s="670">
        <f>Arbeitszeit!U357*24</f>
        <v>0</v>
      </c>
      <c r="F356" s="397">
        <f t="shared" si="23"/>
        <v>0</v>
      </c>
      <c r="G356" s="178">
        <f>IF(Arbeitszeit!F357=Urlaub,B_WorkTime*24,)</f>
        <v>0</v>
      </c>
      <c r="H356" s="174"/>
      <c r="I356" s="178">
        <f>IF(Arbeitszeit!F357=Krank,B_WorkTime*24,)</f>
        <v>0</v>
      </c>
      <c r="J356" s="174"/>
      <c r="K356" s="179"/>
      <c r="L356" s="180"/>
      <c r="M356" s="656"/>
      <c r="N356" s="657"/>
      <c r="O356" s="656"/>
      <c r="P356" s="657"/>
      <c r="Q356" s="656"/>
      <c r="R356" s="657"/>
      <c r="S356" s="656"/>
      <c r="T356" s="657"/>
      <c r="U356" s="656"/>
      <c r="V356" s="657"/>
      <c r="W356" s="656"/>
      <c r="X356" s="657"/>
      <c r="Y356" s="656"/>
      <c r="Z356" s="657"/>
      <c r="AA356" s="656"/>
      <c r="AB356" s="657"/>
      <c r="AC356" s="656"/>
      <c r="AD356" s="657"/>
      <c r="AE356" s="656"/>
      <c r="AF356" s="658"/>
      <c r="AG356" s="656"/>
      <c r="AH356" s="658"/>
      <c r="AI356" s="656"/>
      <c r="AJ356" s="658"/>
      <c r="AK356" s="656"/>
      <c r="AL356" s="658"/>
      <c r="AM356" s="659"/>
      <c r="AN356" s="658"/>
      <c r="AO356" s="656"/>
      <c r="AP356" s="658"/>
      <c r="AQ356" s="659"/>
      <c r="AR356" s="658"/>
      <c r="AS356" s="658"/>
      <c r="AT356" s="658"/>
      <c r="AU356" s="659"/>
      <c r="AV356" s="658"/>
      <c r="AW356" s="658"/>
      <c r="AX356" s="181"/>
      <c r="AY356" s="177"/>
      <c r="AZ356">
        <f ca="1">INDIRECT(ADDRESS(ROW()+1,COLUMN(Arbeitszeit!xDay),,,"Arbeitszeit"))</f>
        <v>2</v>
      </c>
    </row>
    <row r="357" spans="1:52">
      <c r="A357" s="582">
        <f>Arbeitszeit!A358</f>
        <v>41991</v>
      </c>
      <c r="B357" s="583">
        <f t="shared" si="20"/>
        <v>41991</v>
      </c>
      <c r="C357" s="214">
        <f t="shared" si="21"/>
        <v>51</v>
      </c>
      <c r="D357" s="213">
        <f t="shared" si="22"/>
        <v>41973</v>
      </c>
      <c r="E357" s="670">
        <f>Arbeitszeit!U358*24</f>
        <v>0</v>
      </c>
      <c r="F357" s="397">
        <f t="shared" si="23"/>
        <v>0</v>
      </c>
      <c r="G357" s="178">
        <f>IF(Arbeitszeit!F358=Urlaub,B_WorkTime*24,)</f>
        <v>0</v>
      </c>
      <c r="H357" s="174"/>
      <c r="I357" s="178">
        <f>IF(Arbeitszeit!F358=Krank,B_WorkTime*24,)</f>
        <v>0</v>
      </c>
      <c r="J357" s="174"/>
      <c r="K357" s="179"/>
      <c r="L357" s="180"/>
      <c r="M357" s="656"/>
      <c r="N357" s="657"/>
      <c r="O357" s="656"/>
      <c r="P357" s="657"/>
      <c r="Q357" s="656"/>
      <c r="R357" s="657"/>
      <c r="S357" s="656"/>
      <c r="T357" s="657"/>
      <c r="U357" s="656"/>
      <c r="V357" s="657"/>
      <c r="W357" s="656"/>
      <c r="X357" s="657"/>
      <c r="Y357" s="656"/>
      <c r="Z357" s="657"/>
      <c r="AA357" s="656"/>
      <c r="AB357" s="657"/>
      <c r="AC357" s="656"/>
      <c r="AD357" s="657"/>
      <c r="AE357" s="656"/>
      <c r="AF357" s="658"/>
      <c r="AG357" s="656"/>
      <c r="AH357" s="658"/>
      <c r="AI357" s="656"/>
      <c r="AJ357" s="658"/>
      <c r="AK357" s="656"/>
      <c r="AL357" s="658"/>
      <c r="AM357" s="659"/>
      <c r="AN357" s="658"/>
      <c r="AO357" s="656"/>
      <c r="AP357" s="658"/>
      <c r="AQ357" s="659"/>
      <c r="AR357" s="658"/>
      <c r="AS357" s="658"/>
      <c r="AT357" s="658"/>
      <c r="AU357" s="659"/>
      <c r="AV357" s="658"/>
      <c r="AW357" s="658"/>
      <c r="AX357" s="181"/>
      <c r="AY357" s="177"/>
      <c r="AZ357">
        <f ca="1">INDIRECT(ADDRESS(ROW()+1,COLUMN(Arbeitszeit!xDay),,,"Arbeitszeit"))</f>
        <v>3</v>
      </c>
    </row>
    <row r="358" spans="1:52">
      <c r="A358" s="582">
        <f>Arbeitszeit!A359</f>
        <v>41992</v>
      </c>
      <c r="B358" s="583">
        <f t="shared" si="20"/>
        <v>41992</v>
      </c>
      <c r="C358" s="214">
        <f t="shared" si="21"/>
        <v>51</v>
      </c>
      <c r="D358" s="213">
        <f t="shared" si="22"/>
        <v>41973</v>
      </c>
      <c r="E358" s="670">
        <f>Arbeitszeit!U359*24</f>
        <v>0</v>
      </c>
      <c r="F358" s="397">
        <f t="shared" si="23"/>
        <v>0</v>
      </c>
      <c r="G358" s="178">
        <f>IF(Arbeitszeit!F359=Urlaub,B_WorkTime*24,)</f>
        <v>0</v>
      </c>
      <c r="H358" s="174"/>
      <c r="I358" s="178">
        <f>IF(Arbeitszeit!F359=Krank,B_WorkTime*24,)</f>
        <v>0</v>
      </c>
      <c r="J358" s="174"/>
      <c r="K358" s="179"/>
      <c r="L358" s="180"/>
      <c r="M358" s="656"/>
      <c r="N358" s="657"/>
      <c r="O358" s="656"/>
      <c r="P358" s="657"/>
      <c r="Q358" s="656"/>
      <c r="R358" s="657"/>
      <c r="S358" s="656"/>
      <c r="T358" s="657"/>
      <c r="U358" s="656"/>
      <c r="V358" s="657"/>
      <c r="W358" s="656"/>
      <c r="X358" s="657"/>
      <c r="Y358" s="656"/>
      <c r="Z358" s="657"/>
      <c r="AA358" s="656"/>
      <c r="AB358" s="657"/>
      <c r="AC358" s="656"/>
      <c r="AD358" s="657"/>
      <c r="AE358" s="656"/>
      <c r="AF358" s="658"/>
      <c r="AG358" s="656"/>
      <c r="AH358" s="658"/>
      <c r="AI358" s="656"/>
      <c r="AJ358" s="658"/>
      <c r="AK358" s="656"/>
      <c r="AL358" s="658"/>
      <c r="AM358" s="659"/>
      <c r="AN358" s="658"/>
      <c r="AO358" s="656"/>
      <c r="AP358" s="658"/>
      <c r="AQ358" s="659"/>
      <c r="AR358" s="658"/>
      <c r="AS358" s="658"/>
      <c r="AT358" s="658"/>
      <c r="AU358" s="659"/>
      <c r="AV358" s="658"/>
      <c r="AW358" s="658"/>
      <c r="AX358" s="181"/>
      <c r="AY358" s="177"/>
      <c r="AZ358">
        <f ca="1">INDIRECT(ADDRESS(ROW()+1,COLUMN(Arbeitszeit!xDay),,,"Arbeitszeit"))</f>
        <v>4</v>
      </c>
    </row>
    <row r="359" spans="1:52">
      <c r="A359" s="582">
        <f>Arbeitszeit!A360</f>
        <v>41993</v>
      </c>
      <c r="B359" s="583">
        <f t="shared" si="20"/>
        <v>41993</v>
      </c>
      <c r="C359" s="214">
        <f t="shared" si="21"/>
        <v>51</v>
      </c>
      <c r="D359" s="213">
        <f t="shared" si="22"/>
        <v>41973</v>
      </c>
      <c r="E359" s="670">
        <f>Arbeitszeit!U360*24</f>
        <v>0</v>
      </c>
      <c r="F359" s="397">
        <f t="shared" si="23"/>
        <v>0</v>
      </c>
      <c r="G359" s="178">
        <f>IF(Arbeitszeit!F360=Urlaub,B_WorkTime*24,)</f>
        <v>0</v>
      </c>
      <c r="H359" s="174"/>
      <c r="I359" s="178">
        <f>IF(Arbeitszeit!F360=Krank,B_WorkTime*24,)</f>
        <v>0</v>
      </c>
      <c r="J359" s="174"/>
      <c r="K359" s="179"/>
      <c r="L359" s="180"/>
      <c r="M359" s="656"/>
      <c r="N359" s="657"/>
      <c r="O359" s="656"/>
      <c r="P359" s="657"/>
      <c r="Q359" s="656"/>
      <c r="R359" s="657"/>
      <c r="S359" s="656"/>
      <c r="T359" s="657"/>
      <c r="U359" s="656"/>
      <c r="V359" s="657"/>
      <c r="W359" s="656"/>
      <c r="X359" s="657"/>
      <c r="Y359" s="656"/>
      <c r="Z359" s="657"/>
      <c r="AA359" s="656"/>
      <c r="AB359" s="657"/>
      <c r="AC359" s="656"/>
      <c r="AD359" s="657"/>
      <c r="AE359" s="656"/>
      <c r="AF359" s="658"/>
      <c r="AG359" s="656"/>
      <c r="AH359" s="658"/>
      <c r="AI359" s="656"/>
      <c r="AJ359" s="658"/>
      <c r="AK359" s="656"/>
      <c r="AL359" s="658"/>
      <c r="AM359" s="659"/>
      <c r="AN359" s="658"/>
      <c r="AO359" s="656"/>
      <c r="AP359" s="658"/>
      <c r="AQ359" s="659"/>
      <c r="AR359" s="658"/>
      <c r="AS359" s="658"/>
      <c r="AT359" s="658"/>
      <c r="AU359" s="659"/>
      <c r="AV359" s="658"/>
      <c r="AW359" s="658"/>
      <c r="AX359" s="181"/>
      <c r="AY359" s="177"/>
      <c r="AZ359">
        <f ca="1">INDIRECT(ADDRESS(ROW()+1,COLUMN(Arbeitszeit!xDay),,,"Arbeitszeit"))</f>
        <v>5</v>
      </c>
    </row>
    <row r="360" spans="1:52">
      <c r="A360" s="582">
        <f>Arbeitszeit!A361</f>
        <v>41994</v>
      </c>
      <c r="B360" s="583">
        <f t="shared" si="20"/>
        <v>41994</v>
      </c>
      <c r="C360" s="214">
        <f t="shared" si="21"/>
        <v>51</v>
      </c>
      <c r="D360" s="213">
        <f t="shared" si="22"/>
        <v>41973</v>
      </c>
      <c r="E360" s="670">
        <f>Arbeitszeit!U361*24</f>
        <v>0</v>
      </c>
      <c r="F360" s="397">
        <f t="shared" si="23"/>
        <v>0</v>
      </c>
      <c r="G360" s="178">
        <f>IF(Arbeitszeit!F361=Urlaub,B_WorkTime*24,)</f>
        <v>0</v>
      </c>
      <c r="H360" s="174"/>
      <c r="I360" s="178">
        <f>IF(Arbeitszeit!F361=Krank,B_WorkTime*24,)</f>
        <v>0</v>
      </c>
      <c r="J360" s="174"/>
      <c r="K360" s="179"/>
      <c r="L360" s="180"/>
      <c r="M360" s="656"/>
      <c r="N360" s="657"/>
      <c r="O360" s="656"/>
      <c r="P360" s="657"/>
      <c r="Q360" s="656"/>
      <c r="R360" s="657"/>
      <c r="S360" s="656"/>
      <c r="T360" s="657"/>
      <c r="U360" s="656"/>
      <c r="V360" s="657"/>
      <c r="W360" s="656"/>
      <c r="X360" s="657"/>
      <c r="Y360" s="656"/>
      <c r="Z360" s="657"/>
      <c r="AA360" s="656"/>
      <c r="AB360" s="657"/>
      <c r="AC360" s="656"/>
      <c r="AD360" s="657"/>
      <c r="AE360" s="656"/>
      <c r="AF360" s="658"/>
      <c r="AG360" s="656"/>
      <c r="AH360" s="658"/>
      <c r="AI360" s="656"/>
      <c r="AJ360" s="658"/>
      <c r="AK360" s="656"/>
      <c r="AL360" s="658"/>
      <c r="AM360" s="659"/>
      <c r="AN360" s="658"/>
      <c r="AO360" s="656"/>
      <c r="AP360" s="658"/>
      <c r="AQ360" s="659"/>
      <c r="AR360" s="658"/>
      <c r="AS360" s="658"/>
      <c r="AT360" s="658"/>
      <c r="AU360" s="659"/>
      <c r="AV360" s="658"/>
      <c r="AW360" s="658"/>
      <c r="AX360" s="181"/>
      <c r="AY360" s="177"/>
      <c r="AZ360">
        <f ca="1">INDIRECT(ADDRESS(ROW()+1,COLUMN(Arbeitszeit!xDay),,,"Arbeitszeit"))</f>
        <v>6</v>
      </c>
    </row>
    <row r="361" spans="1:52">
      <c r="A361" s="582">
        <f>Arbeitszeit!A362</f>
        <v>41995</v>
      </c>
      <c r="B361" s="583">
        <f t="shared" si="20"/>
        <v>41995</v>
      </c>
      <c r="C361" s="214">
        <f t="shared" si="21"/>
        <v>51</v>
      </c>
      <c r="D361" s="213">
        <f t="shared" si="22"/>
        <v>41973</v>
      </c>
      <c r="E361" s="670">
        <f>Arbeitszeit!U362*24</f>
        <v>0</v>
      </c>
      <c r="F361" s="397">
        <f t="shared" si="23"/>
        <v>0</v>
      </c>
      <c r="G361" s="178">
        <f>IF(Arbeitszeit!F362=Urlaub,B_WorkTime*24,)</f>
        <v>0</v>
      </c>
      <c r="H361" s="174"/>
      <c r="I361" s="178">
        <f>IF(Arbeitszeit!F362=Krank,B_WorkTime*24,)</f>
        <v>0</v>
      </c>
      <c r="J361" s="174"/>
      <c r="K361" s="179"/>
      <c r="L361" s="180"/>
      <c r="M361" s="656"/>
      <c r="N361" s="657"/>
      <c r="O361" s="656"/>
      <c r="P361" s="657"/>
      <c r="Q361" s="656"/>
      <c r="R361" s="657"/>
      <c r="S361" s="656"/>
      <c r="T361" s="657"/>
      <c r="U361" s="656"/>
      <c r="V361" s="657"/>
      <c r="W361" s="656"/>
      <c r="X361" s="657"/>
      <c r="Y361" s="656"/>
      <c r="Z361" s="657"/>
      <c r="AA361" s="656"/>
      <c r="AB361" s="657"/>
      <c r="AC361" s="656"/>
      <c r="AD361" s="657"/>
      <c r="AE361" s="656"/>
      <c r="AF361" s="658"/>
      <c r="AG361" s="656"/>
      <c r="AH361" s="658"/>
      <c r="AI361" s="656"/>
      <c r="AJ361" s="658"/>
      <c r="AK361" s="656"/>
      <c r="AL361" s="658"/>
      <c r="AM361" s="659"/>
      <c r="AN361" s="658"/>
      <c r="AO361" s="656"/>
      <c r="AP361" s="658"/>
      <c r="AQ361" s="659"/>
      <c r="AR361" s="658"/>
      <c r="AS361" s="658"/>
      <c r="AT361" s="658"/>
      <c r="AU361" s="659"/>
      <c r="AV361" s="658"/>
      <c r="AW361" s="658"/>
      <c r="AX361" s="181"/>
      <c r="AY361" s="177"/>
      <c r="AZ361">
        <f ca="1">INDIRECT(ADDRESS(ROW()+1,COLUMN(Arbeitszeit!xDay),,,"Arbeitszeit"))</f>
        <v>7</v>
      </c>
    </row>
    <row r="362" spans="1:52">
      <c r="A362" s="582">
        <f>Arbeitszeit!A363</f>
        <v>41996</v>
      </c>
      <c r="B362" s="583">
        <f t="shared" si="20"/>
        <v>41996</v>
      </c>
      <c r="C362" s="214">
        <f t="shared" si="21"/>
        <v>52</v>
      </c>
      <c r="D362" s="213">
        <f t="shared" si="22"/>
        <v>41973</v>
      </c>
      <c r="E362" s="670">
        <f>Arbeitszeit!U363*24</f>
        <v>0</v>
      </c>
      <c r="F362" s="397">
        <f t="shared" si="23"/>
        <v>0</v>
      </c>
      <c r="G362" s="178">
        <f>IF(Arbeitszeit!F363=Urlaub,B_WorkTime*24,)</f>
        <v>0</v>
      </c>
      <c r="H362" s="174"/>
      <c r="I362" s="178">
        <f>IF(Arbeitszeit!F363=Krank,B_WorkTime*24,)</f>
        <v>0</v>
      </c>
      <c r="J362" s="174"/>
      <c r="K362" s="179"/>
      <c r="L362" s="180"/>
      <c r="M362" s="656"/>
      <c r="N362" s="657"/>
      <c r="O362" s="656"/>
      <c r="P362" s="657"/>
      <c r="Q362" s="656"/>
      <c r="R362" s="657"/>
      <c r="S362" s="656"/>
      <c r="T362" s="657"/>
      <c r="U362" s="656"/>
      <c r="V362" s="657"/>
      <c r="W362" s="656"/>
      <c r="X362" s="657"/>
      <c r="Y362" s="656"/>
      <c r="Z362" s="657"/>
      <c r="AA362" s="656"/>
      <c r="AB362" s="657"/>
      <c r="AC362" s="656"/>
      <c r="AD362" s="657"/>
      <c r="AE362" s="656"/>
      <c r="AF362" s="658"/>
      <c r="AG362" s="656"/>
      <c r="AH362" s="658"/>
      <c r="AI362" s="656"/>
      <c r="AJ362" s="658"/>
      <c r="AK362" s="656"/>
      <c r="AL362" s="658"/>
      <c r="AM362" s="659"/>
      <c r="AN362" s="658"/>
      <c r="AO362" s="656"/>
      <c r="AP362" s="658"/>
      <c r="AQ362" s="659"/>
      <c r="AR362" s="658"/>
      <c r="AS362" s="658"/>
      <c r="AT362" s="658"/>
      <c r="AU362" s="659"/>
      <c r="AV362" s="658"/>
      <c r="AW362" s="658"/>
      <c r="AX362" s="181"/>
      <c r="AY362" s="177"/>
      <c r="AZ362">
        <f ca="1">INDIRECT(ADDRESS(ROW()+1,COLUMN(Arbeitszeit!xDay),,,"Arbeitszeit"))</f>
        <v>1</v>
      </c>
    </row>
    <row r="363" spans="1:52">
      <c r="A363" s="582">
        <f>Arbeitszeit!A364</f>
        <v>41997</v>
      </c>
      <c r="B363" s="583">
        <f t="shared" si="20"/>
        <v>41997</v>
      </c>
      <c r="C363" s="214">
        <f t="shared" si="21"/>
        <v>52</v>
      </c>
      <c r="D363" s="213">
        <f t="shared" si="22"/>
        <v>41973</v>
      </c>
      <c r="E363" s="670">
        <f>Arbeitszeit!U364*24</f>
        <v>0</v>
      </c>
      <c r="F363" s="397">
        <f t="shared" si="23"/>
        <v>0</v>
      </c>
      <c r="G363" s="178">
        <f>IF(Arbeitszeit!F364=Urlaub,B_WorkTime*24,)</f>
        <v>0</v>
      </c>
      <c r="H363" s="174"/>
      <c r="I363" s="178">
        <f>IF(Arbeitszeit!F364=Krank,B_WorkTime*24,)</f>
        <v>0</v>
      </c>
      <c r="J363" s="174"/>
      <c r="K363" s="179"/>
      <c r="L363" s="180"/>
      <c r="M363" s="656"/>
      <c r="N363" s="657"/>
      <c r="O363" s="656"/>
      <c r="P363" s="657"/>
      <c r="Q363" s="656"/>
      <c r="R363" s="657"/>
      <c r="S363" s="656"/>
      <c r="T363" s="657"/>
      <c r="U363" s="656"/>
      <c r="V363" s="657"/>
      <c r="W363" s="656"/>
      <c r="X363" s="657"/>
      <c r="Y363" s="656"/>
      <c r="Z363" s="657"/>
      <c r="AA363" s="656"/>
      <c r="AB363" s="657"/>
      <c r="AC363" s="656"/>
      <c r="AD363" s="657"/>
      <c r="AE363" s="656"/>
      <c r="AF363" s="658"/>
      <c r="AG363" s="656"/>
      <c r="AH363" s="658"/>
      <c r="AI363" s="656"/>
      <c r="AJ363" s="658"/>
      <c r="AK363" s="656"/>
      <c r="AL363" s="658"/>
      <c r="AM363" s="659"/>
      <c r="AN363" s="658"/>
      <c r="AO363" s="656"/>
      <c r="AP363" s="658"/>
      <c r="AQ363" s="659"/>
      <c r="AR363" s="658"/>
      <c r="AS363" s="658"/>
      <c r="AT363" s="658"/>
      <c r="AU363" s="659"/>
      <c r="AV363" s="658"/>
      <c r="AW363" s="658"/>
      <c r="AX363" s="181"/>
      <c r="AY363" s="177"/>
      <c r="AZ363">
        <f ca="1">INDIRECT(ADDRESS(ROW()+1,COLUMN(Arbeitszeit!xDay),,,"Arbeitszeit"))</f>
        <v>8</v>
      </c>
    </row>
    <row r="364" spans="1:52">
      <c r="A364" s="582">
        <f>Arbeitszeit!A365</f>
        <v>41998</v>
      </c>
      <c r="B364" s="583">
        <f t="shared" si="20"/>
        <v>41998</v>
      </c>
      <c r="C364" s="214">
        <f t="shared" si="21"/>
        <v>52</v>
      </c>
      <c r="D364" s="213">
        <f t="shared" si="22"/>
        <v>41973</v>
      </c>
      <c r="E364" s="670">
        <f>Arbeitszeit!U365*24</f>
        <v>0</v>
      </c>
      <c r="F364" s="397">
        <f t="shared" si="23"/>
        <v>0</v>
      </c>
      <c r="G364" s="178">
        <f>IF(Arbeitszeit!F365=Urlaub,B_WorkTime*24,)</f>
        <v>0</v>
      </c>
      <c r="H364" s="174"/>
      <c r="I364" s="178">
        <f>IF(Arbeitszeit!F365=Krank,B_WorkTime*24,)</f>
        <v>0</v>
      </c>
      <c r="J364" s="174"/>
      <c r="K364" s="179"/>
      <c r="L364" s="180"/>
      <c r="M364" s="656"/>
      <c r="N364" s="657"/>
      <c r="O364" s="656"/>
      <c r="P364" s="657"/>
      <c r="Q364" s="656"/>
      <c r="R364" s="657"/>
      <c r="S364" s="656"/>
      <c r="T364" s="657"/>
      <c r="U364" s="656"/>
      <c r="V364" s="657"/>
      <c r="W364" s="656"/>
      <c r="X364" s="657"/>
      <c r="Y364" s="656"/>
      <c r="Z364" s="657"/>
      <c r="AA364" s="656"/>
      <c r="AB364" s="657"/>
      <c r="AC364" s="656"/>
      <c r="AD364" s="657"/>
      <c r="AE364" s="656"/>
      <c r="AF364" s="658"/>
      <c r="AG364" s="656"/>
      <c r="AH364" s="658"/>
      <c r="AI364" s="656"/>
      <c r="AJ364" s="658"/>
      <c r="AK364" s="656"/>
      <c r="AL364" s="658"/>
      <c r="AM364" s="659"/>
      <c r="AN364" s="658"/>
      <c r="AO364" s="656"/>
      <c r="AP364" s="658"/>
      <c r="AQ364" s="659"/>
      <c r="AR364" s="658"/>
      <c r="AS364" s="658"/>
      <c r="AT364" s="658"/>
      <c r="AU364" s="659"/>
      <c r="AV364" s="658"/>
      <c r="AW364" s="658"/>
      <c r="AX364" s="181"/>
      <c r="AY364" s="177"/>
      <c r="AZ364">
        <f ca="1">INDIRECT(ADDRESS(ROW()+1,COLUMN(Arbeitszeit!xDay),,,"Arbeitszeit"))</f>
        <v>8</v>
      </c>
    </row>
    <row r="365" spans="1:52">
      <c r="A365" s="582">
        <f>Arbeitszeit!A366</f>
        <v>41999</v>
      </c>
      <c r="B365" s="583">
        <f t="shared" si="20"/>
        <v>41999</v>
      </c>
      <c r="C365" s="214">
        <f t="shared" si="21"/>
        <v>52</v>
      </c>
      <c r="D365" s="213">
        <f t="shared" si="22"/>
        <v>41973</v>
      </c>
      <c r="E365" s="670">
        <f>Arbeitszeit!U366*24</f>
        <v>0</v>
      </c>
      <c r="F365" s="397">
        <f t="shared" si="23"/>
        <v>0</v>
      </c>
      <c r="G365" s="178">
        <f>IF(Arbeitszeit!F366=Urlaub,B_WorkTime*24,)</f>
        <v>0</v>
      </c>
      <c r="H365" s="174"/>
      <c r="I365" s="178">
        <f>IF(Arbeitszeit!F366=Krank,B_WorkTime*24,)</f>
        <v>0</v>
      </c>
      <c r="J365" s="174"/>
      <c r="K365" s="179"/>
      <c r="L365" s="180"/>
      <c r="M365" s="656"/>
      <c r="N365" s="657"/>
      <c r="O365" s="656"/>
      <c r="P365" s="657"/>
      <c r="Q365" s="656"/>
      <c r="R365" s="657"/>
      <c r="S365" s="656"/>
      <c r="T365" s="657"/>
      <c r="U365" s="656"/>
      <c r="V365" s="657"/>
      <c r="W365" s="656"/>
      <c r="X365" s="657"/>
      <c r="Y365" s="656"/>
      <c r="Z365" s="657"/>
      <c r="AA365" s="656"/>
      <c r="AB365" s="657"/>
      <c r="AC365" s="656"/>
      <c r="AD365" s="657"/>
      <c r="AE365" s="656"/>
      <c r="AF365" s="658"/>
      <c r="AG365" s="656"/>
      <c r="AH365" s="658"/>
      <c r="AI365" s="656"/>
      <c r="AJ365" s="658"/>
      <c r="AK365" s="656"/>
      <c r="AL365" s="658"/>
      <c r="AM365" s="659"/>
      <c r="AN365" s="658"/>
      <c r="AO365" s="656"/>
      <c r="AP365" s="658"/>
      <c r="AQ365" s="659"/>
      <c r="AR365" s="658"/>
      <c r="AS365" s="658"/>
      <c r="AT365" s="658"/>
      <c r="AU365" s="659"/>
      <c r="AV365" s="658"/>
      <c r="AW365" s="658"/>
      <c r="AX365" s="181"/>
      <c r="AY365" s="177"/>
      <c r="AZ365">
        <f ca="1">INDIRECT(ADDRESS(ROW()+1,COLUMN(Arbeitszeit!xDay),,,"Arbeitszeit"))</f>
        <v>4</v>
      </c>
    </row>
    <row r="366" spans="1:52">
      <c r="A366" s="582">
        <f>Arbeitszeit!A367</f>
        <v>42000</v>
      </c>
      <c r="B366" s="583">
        <f t="shared" si="20"/>
        <v>42000</v>
      </c>
      <c r="C366" s="214">
        <f t="shared" si="21"/>
        <v>52</v>
      </c>
      <c r="D366" s="213">
        <f t="shared" si="22"/>
        <v>41973</v>
      </c>
      <c r="E366" s="670">
        <f>Arbeitszeit!U367*24</f>
        <v>0</v>
      </c>
      <c r="F366" s="397">
        <f t="shared" si="23"/>
        <v>0</v>
      </c>
      <c r="G366" s="178">
        <f>IF(Arbeitszeit!F367=Urlaub,B_WorkTime*24,)</f>
        <v>0</v>
      </c>
      <c r="H366" s="174"/>
      <c r="I366" s="178">
        <f>IF(Arbeitszeit!F367=Krank,B_WorkTime*24,)</f>
        <v>0</v>
      </c>
      <c r="J366" s="174"/>
      <c r="K366" s="179"/>
      <c r="L366" s="180"/>
      <c r="M366" s="656"/>
      <c r="N366" s="657"/>
      <c r="O366" s="656"/>
      <c r="P366" s="657"/>
      <c r="Q366" s="656"/>
      <c r="R366" s="657"/>
      <c r="S366" s="656"/>
      <c r="T366" s="657"/>
      <c r="U366" s="656"/>
      <c r="V366" s="657"/>
      <c r="W366" s="656"/>
      <c r="X366" s="657"/>
      <c r="Y366" s="656"/>
      <c r="Z366" s="657"/>
      <c r="AA366" s="656"/>
      <c r="AB366" s="657"/>
      <c r="AC366" s="656"/>
      <c r="AD366" s="657"/>
      <c r="AE366" s="656"/>
      <c r="AF366" s="658"/>
      <c r="AG366" s="656"/>
      <c r="AH366" s="658"/>
      <c r="AI366" s="656"/>
      <c r="AJ366" s="658"/>
      <c r="AK366" s="656"/>
      <c r="AL366" s="658"/>
      <c r="AM366" s="659"/>
      <c r="AN366" s="658"/>
      <c r="AO366" s="656"/>
      <c r="AP366" s="658"/>
      <c r="AQ366" s="659"/>
      <c r="AR366" s="658"/>
      <c r="AS366" s="658"/>
      <c r="AT366" s="658"/>
      <c r="AU366" s="659"/>
      <c r="AV366" s="658"/>
      <c r="AW366" s="658"/>
      <c r="AX366" s="181"/>
      <c r="AY366" s="177"/>
      <c r="AZ366">
        <f ca="1">INDIRECT(ADDRESS(ROW()+1,COLUMN(Arbeitszeit!xDay),,,"Arbeitszeit"))</f>
        <v>5</v>
      </c>
    </row>
    <row r="367" spans="1:52">
      <c r="A367" s="582">
        <f>Arbeitszeit!A368</f>
        <v>42001</v>
      </c>
      <c r="B367" s="583">
        <f t="shared" si="20"/>
        <v>42001</v>
      </c>
      <c r="C367" s="214">
        <f t="shared" si="21"/>
        <v>52</v>
      </c>
      <c r="D367" s="213">
        <f t="shared" si="22"/>
        <v>41973</v>
      </c>
      <c r="E367" s="670">
        <f>Arbeitszeit!U368*24</f>
        <v>0</v>
      </c>
      <c r="F367" s="397">
        <f t="shared" si="23"/>
        <v>0</v>
      </c>
      <c r="G367" s="178">
        <f>IF(Arbeitszeit!F368=Urlaub,B_WorkTime*24,)</f>
        <v>0</v>
      </c>
      <c r="H367" s="174"/>
      <c r="I367" s="178">
        <f>IF(Arbeitszeit!F368=Krank,B_WorkTime*24,)</f>
        <v>0</v>
      </c>
      <c r="J367" s="174"/>
      <c r="K367" s="179"/>
      <c r="L367" s="180"/>
      <c r="M367" s="656"/>
      <c r="N367" s="657"/>
      <c r="O367" s="656"/>
      <c r="P367" s="657"/>
      <c r="Q367" s="656"/>
      <c r="R367" s="657"/>
      <c r="S367" s="656"/>
      <c r="T367" s="657"/>
      <c r="U367" s="656"/>
      <c r="V367" s="657"/>
      <c r="W367" s="656"/>
      <c r="X367" s="657"/>
      <c r="Y367" s="656"/>
      <c r="Z367" s="657"/>
      <c r="AA367" s="656"/>
      <c r="AB367" s="657"/>
      <c r="AC367" s="656"/>
      <c r="AD367" s="657"/>
      <c r="AE367" s="656"/>
      <c r="AF367" s="658"/>
      <c r="AG367" s="656"/>
      <c r="AH367" s="658"/>
      <c r="AI367" s="656"/>
      <c r="AJ367" s="658"/>
      <c r="AK367" s="656"/>
      <c r="AL367" s="658"/>
      <c r="AM367" s="659"/>
      <c r="AN367" s="658"/>
      <c r="AO367" s="656"/>
      <c r="AP367" s="658"/>
      <c r="AQ367" s="659"/>
      <c r="AR367" s="658"/>
      <c r="AS367" s="658"/>
      <c r="AT367" s="658"/>
      <c r="AU367" s="659"/>
      <c r="AV367" s="658"/>
      <c r="AW367" s="658"/>
      <c r="AX367" s="181"/>
      <c r="AY367" s="177"/>
      <c r="AZ367">
        <f ca="1">INDIRECT(ADDRESS(ROW()+1,COLUMN(Arbeitszeit!xDay),,,"Arbeitszeit"))</f>
        <v>6</v>
      </c>
    </row>
    <row r="368" spans="1:52">
      <c r="A368" s="582">
        <f>Arbeitszeit!A369</f>
        <v>42002</v>
      </c>
      <c r="B368" s="583">
        <f t="shared" si="20"/>
        <v>42002</v>
      </c>
      <c r="C368" s="214">
        <f t="shared" si="21"/>
        <v>52</v>
      </c>
      <c r="D368" s="213">
        <f t="shared" si="22"/>
        <v>41973</v>
      </c>
      <c r="E368" s="670">
        <f>Arbeitszeit!U369*24</f>
        <v>0</v>
      </c>
      <c r="F368" s="397">
        <f t="shared" si="23"/>
        <v>0</v>
      </c>
      <c r="G368" s="178">
        <f>IF(Arbeitszeit!F369=Urlaub,B_WorkTime*24,)</f>
        <v>0</v>
      </c>
      <c r="H368" s="174"/>
      <c r="I368" s="178">
        <f>IF(Arbeitszeit!F369=Krank,B_WorkTime*24,)</f>
        <v>0</v>
      </c>
      <c r="J368" s="174"/>
      <c r="K368" s="179"/>
      <c r="L368" s="180"/>
      <c r="M368" s="656"/>
      <c r="N368" s="657"/>
      <c r="O368" s="656"/>
      <c r="P368" s="657"/>
      <c r="Q368" s="656"/>
      <c r="R368" s="657"/>
      <c r="S368" s="656"/>
      <c r="T368" s="657"/>
      <c r="U368" s="656"/>
      <c r="V368" s="657"/>
      <c r="W368" s="656"/>
      <c r="X368" s="657"/>
      <c r="Y368" s="656"/>
      <c r="Z368" s="657"/>
      <c r="AA368" s="656"/>
      <c r="AB368" s="657"/>
      <c r="AC368" s="656"/>
      <c r="AD368" s="657"/>
      <c r="AE368" s="656"/>
      <c r="AF368" s="658"/>
      <c r="AG368" s="656"/>
      <c r="AH368" s="658"/>
      <c r="AI368" s="656"/>
      <c r="AJ368" s="658"/>
      <c r="AK368" s="656"/>
      <c r="AL368" s="658"/>
      <c r="AM368" s="659"/>
      <c r="AN368" s="658"/>
      <c r="AO368" s="656"/>
      <c r="AP368" s="658"/>
      <c r="AQ368" s="659"/>
      <c r="AR368" s="658"/>
      <c r="AS368" s="658"/>
      <c r="AT368" s="658"/>
      <c r="AU368" s="659"/>
      <c r="AV368" s="658"/>
      <c r="AW368" s="658"/>
      <c r="AX368" s="181"/>
      <c r="AY368" s="177"/>
      <c r="AZ368">
        <f ca="1">INDIRECT(ADDRESS(ROW()+1,COLUMN(Arbeitszeit!xDay),,,"Arbeitszeit"))</f>
        <v>7</v>
      </c>
    </row>
    <row r="369" spans="1:52" s="5" customFormat="1">
      <c r="A369" s="582">
        <f>Arbeitszeit!A370</f>
        <v>42003</v>
      </c>
      <c r="B369" s="583">
        <f t="shared" si="20"/>
        <v>42003</v>
      </c>
      <c r="C369" s="214">
        <f t="shared" si="21"/>
        <v>1</v>
      </c>
      <c r="D369" s="213">
        <f t="shared" si="22"/>
        <v>41973</v>
      </c>
      <c r="E369" s="670">
        <f>Arbeitszeit!U370*24</f>
        <v>0</v>
      </c>
      <c r="F369" s="397">
        <f t="shared" si="23"/>
        <v>0</v>
      </c>
      <c r="G369" s="178">
        <f>IF(Arbeitszeit!F370=Urlaub,B_WorkTime*24,)</f>
        <v>0</v>
      </c>
      <c r="H369" s="174"/>
      <c r="I369" s="178">
        <f>IF(Arbeitszeit!F370=Krank,B_WorkTime*24,)</f>
        <v>0</v>
      </c>
      <c r="J369" s="174"/>
      <c r="K369" s="179"/>
      <c r="L369" s="180"/>
      <c r="M369" s="656"/>
      <c r="N369" s="657"/>
      <c r="O369" s="656"/>
      <c r="P369" s="657"/>
      <c r="Q369" s="656"/>
      <c r="R369" s="657"/>
      <c r="S369" s="656"/>
      <c r="T369" s="657"/>
      <c r="U369" s="656"/>
      <c r="V369" s="657"/>
      <c r="W369" s="656"/>
      <c r="X369" s="657"/>
      <c r="Y369" s="656"/>
      <c r="Z369" s="657"/>
      <c r="AA369" s="656"/>
      <c r="AB369" s="657"/>
      <c r="AC369" s="656"/>
      <c r="AD369" s="657"/>
      <c r="AE369" s="656"/>
      <c r="AF369" s="658"/>
      <c r="AG369" s="656"/>
      <c r="AH369" s="658"/>
      <c r="AI369" s="656"/>
      <c r="AJ369" s="658"/>
      <c r="AK369" s="656"/>
      <c r="AL369" s="658"/>
      <c r="AM369" s="659"/>
      <c r="AN369" s="658"/>
      <c r="AO369" s="656"/>
      <c r="AP369" s="658"/>
      <c r="AQ369" s="659"/>
      <c r="AR369" s="658"/>
      <c r="AS369" s="658"/>
      <c r="AT369" s="658"/>
      <c r="AU369" s="659"/>
      <c r="AV369" s="658"/>
      <c r="AW369" s="658"/>
      <c r="AX369" s="181"/>
      <c r="AY369" s="177"/>
      <c r="AZ369">
        <f ca="1">INDIRECT(ADDRESS(ROW()+1,COLUMN(Arbeitszeit!xDay),,,"Arbeitszeit"))</f>
        <v>1</v>
      </c>
    </row>
    <row r="370" spans="1:52" s="5" customFormat="1" ht="15" customHeight="1">
      <c r="A370" s="582" t="str">
        <f>Arbeitszeit!A371</f>
        <v/>
      </c>
      <c r="B370" s="583" t="str">
        <f t="shared" si="20"/>
        <v/>
      </c>
      <c r="C370" s="214" t="str">
        <f t="shared" si="21"/>
        <v/>
      </c>
      <c r="D370" s="213" t="str">
        <f t="shared" si="22"/>
        <v/>
      </c>
      <c r="E370" s="670">
        <f>Arbeitszeit!U371*24</f>
        <v>0</v>
      </c>
      <c r="F370" s="397">
        <f t="shared" si="23"/>
        <v>0</v>
      </c>
      <c r="G370" s="178">
        <f>IF(Arbeitszeit!F371=Urlaub,B_WorkTime*24,)</f>
        <v>0</v>
      </c>
      <c r="H370" s="174"/>
      <c r="I370" s="178">
        <f>IF(Arbeitszeit!F371=Krank,B_WorkTime*24,)</f>
        <v>0</v>
      </c>
      <c r="J370" s="174"/>
      <c r="K370" s="179"/>
      <c r="L370" s="180"/>
      <c r="M370" s="656"/>
      <c r="N370" s="657"/>
      <c r="O370" s="656"/>
      <c r="P370" s="657"/>
      <c r="Q370" s="656"/>
      <c r="R370" s="657"/>
      <c r="S370" s="656"/>
      <c r="T370" s="657"/>
      <c r="U370" s="656"/>
      <c r="V370" s="657"/>
      <c r="W370" s="656"/>
      <c r="X370" s="657"/>
      <c r="Y370" s="656"/>
      <c r="Z370" s="657"/>
      <c r="AA370" s="656"/>
      <c r="AB370" s="657"/>
      <c r="AC370" s="656"/>
      <c r="AD370" s="657"/>
      <c r="AE370" s="656"/>
      <c r="AF370" s="658"/>
      <c r="AG370" s="656"/>
      <c r="AH370" s="658"/>
      <c r="AI370" s="656"/>
      <c r="AJ370" s="658"/>
      <c r="AK370" s="656"/>
      <c r="AL370" s="658"/>
      <c r="AM370" s="659"/>
      <c r="AN370" s="658"/>
      <c r="AO370" s="656"/>
      <c r="AP370" s="658"/>
      <c r="AQ370" s="659"/>
      <c r="AR370" s="658"/>
      <c r="AS370" s="658"/>
      <c r="AT370" s="658"/>
      <c r="AU370" s="659"/>
      <c r="AV370" s="658"/>
      <c r="AW370" s="658"/>
      <c r="AX370" s="181"/>
      <c r="AY370" s="177"/>
      <c r="AZ370">
        <f ca="1">INDIRECT(ADDRESS(ROW()+1,COLUMN(Arbeitszeit!xDay),,,"Arbeitszeit"))</f>
        <v>0</v>
      </c>
    </row>
    <row r="371" spans="1:52" s="5" customFormat="1" ht="15" customHeight="1">
      <c r="A371" s="582" t="str">
        <f>Arbeitszeit!A372</f>
        <v/>
      </c>
      <c r="B371" s="583" t="str">
        <f t="shared" si="20"/>
        <v/>
      </c>
      <c r="C371" s="214" t="str">
        <f t="shared" si="21"/>
        <v/>
      </c>
      <c r="D371" s="213" t="str">
        <f t="shared" si="22"/>
        <v/>
      </c>
      <c r="E371" s="670">
        <f>Arbeitszeit!U372*24</f>
        <v>0</v>
      </c>
      <c r="F371" s="397">
        <f t="shared" si="23"/>
        <v>0</v>
      </c>
      <c r="G371" s="178">
        <f>IF(Arbeitszeit!F372=Urlaub,B_WorkTime*24,)</f>
        <v>0</v>
      </c>
      <c r="H371" s="174"/>
      <c r="I371" s="178">
        <f>IF(Arbeitszeit!F372=Krank,B_WorkTime*24,)</f>
        <v>0</v>
      </c>
      <c r="J371" s="174"/>
      <c r="K371" s="179"/>
      <c r="L371" s="180"/>
      <c r="M371" s="656"/>
      <c r="N371" s="657"/>
      <c r="O371" s="656"/>
      <c r="P371" s="657"/>
      <c r="Q371" s="656"/>
      <c r="R371" s="657"/>
      <c r="S371" s="656"/>
      <c r="T371" s="657"/>
      <c r="U371" s="656"/>
      <c r="V371" s="657"/>
      <c r="W371" s="656"/>
      <c r="X371" s="657"/>
      <c r="Y371" s="656"/>
      <c r="Z371" s="657"/>
      <c r="AA371" s="656"/>
      <c r="AB371" s="657"/>
      <c r="AC371" s="656"/>
      <c r="AD371" s="657"/>
      <c r="AE371" s="656"/>
      <c r="AF371" s="658"/>
      <c r="AG371" s="656"/>
      <c r="AH371" s="658"/>
      <c r="AI371" s="656"/>
      <c r="AJ371" s="658"/>
      <c r="AK371" s="656"/>
      <c r="AL371" s="658"/>
      <c r="AM371" s="659"/>
      <c r="AN371" s="658"/>
      <c r="AO371" s="656"/>
      <c r="AP371" s="658"/>
      <c r="AQ371" s="659"/>
      <c r="AR371" s="658"/>
      <c r="AS371" s="658"/>
      <c r="AT371" s="658"/>
      <c r="AU371" s="659"/>
      <c r="AV371" s="658"/>
      <c r="AW371" s="658"/>
      <c r="AX371" s="181"/>
      <c r="AY371" s="177"/>
      <c r="AZ371">
        <f ca="1">INDIRECT(ADDRESS(ROW()+1,COLUMN(Arbeitszeit!xDay),,,"Arbeitszeit"))</f>
        <v>0</v>
      </c>
    </row>
    <row r="372" spans="1:52">
      <c r="A372" s="582" t="str">
        <f>Arbeitszeit!A373</f>
        <v/>
      </c>
      <c r="B372" s="583" t="str">
        <f t="shared" si="20"/>
        <v/>
      </c>
      <c r="C372" s="214" t="str">
        <f t="shared" si="21"/>
        <v/>
      </c>
      <c r="D372" s="213" t="str">
        <f t="shared" si="22"/>
        <v/>
      </c>
      <c r="E372" s="670">
        <f>Arbeitszeit!U373*24</f>
        <v>0</v>
      </c>
      <c r="F372" s="397">
        <f t="shared" si="23"/>
        <v>0</v>
      </c>
      <c r="G372" s="178">
        <f>IF(Arbeitszeit!F373=Urlaub,B_WorkTime*24,)</f>
        <v>0</v>
      </c>
      <c r="H372" s="174"/>
      <c r="I372" s="178">
        <f>IF(Arbeitszeit!F373=Krank,B_WorkTime*24,)</f>
        <v>0</v>
      </c>
      <c r="J372" s="174"/>
      <c r="K372" s="179"/>
      <c r="L372" s="180"/>
      <c r="M372" s="656"/>
      <c r="N372" s="657"/>
      <c r="O372" s="656"/>
      <c r="P372" s="657"/>
      <c r="Q372" s="656"/>
      <c r="R372" s="657"/>
      <c r="S372" s="656"/>
      <c r="T372" s="657"/>
      <c r="U372" s="656"/>
      <c r="V372" s="657"/>
      <c r="W372" s="656"/>
      <c r="X372" s="657"/>
      <c r="Y372" s="656"/>
      <c r="Z372" s="657"/>
      <c r="AA372" s="656"/>
      <c r="AB372" s="657"/>
      <c r="AC372" s="656"/>
      <c r="AD372" s="657"/>
      <c r="AE372" s="656"/>
      <c r="AF372" s="658"/>
      <c r="AG372" s="656"/>
      <c r="AH372" s="658"/>
      <c r="AI372" s="656"/>
      <c r="AJ372" s="658"/>
      <c r="AK372" s="656"/>
      <c r="AL372" s="658"/>
      <c r="AM372" s="659"/>
      <c r="AN372" s="658"/>
      <c r="AO372" s="656"/>
      <c r="AP372" s="658"/>
      <c r="AQ372" s="659"/>
      <c r="AR372" s="658"/>
      <c r="AS372" s="658"/>
      <c r="AT372" s="658"/>
      <c r="AU372" s="659"/>
      <c r="AV372" s="658"/>
      <c r="AW372" s="658"/>
      <c r="AX372" s="181"/>
      <c r="AY372" s="177"/>
      <c r="AZ372">
        <f ca="1">INDIRECT(ADDRESS(ROW()+1,COLUMN(Arbeitszeit!xDay),,,"Arbeitszeit"))</f>
        <v>0</v>
      </c>
    </row>
    <row r="373" spans="1:52" ht="6" customHeight="1">
      <c r="E373" s="671"/>
      <c r="F373" s="183"/>
      <c r="G373" s="184"/>
      <c r="H373" s="184"/>
      <c r="I373" s="184"/>
      <c r="J373" s="184"/>
      <c r="K373" s="185"/>
      <c r="L373" s="406"/>
      <c r="M373" s="663"/>
      <c r="N373" s="664"/>
      <c r="O373" s="665"/>
      <c r="P373" s="664"/>
      <c r="Q373" s="665"/>
      <c r="R373" s="664"/>
      <c r="S373" s="665"/>
      <c r="T373" s="664"/>
      <c r="U373" s="665"/>
      <c r="V373" s="664"/>
      <c r="W373" s="665"/>
      <c r="X373" s="664"/>
      <c r="Y373" s="665"/>
      <c r="Z373" s="664"/>
      <c r="AA373" s="665"/>
      <c r="AB373" s="664"/>
      <c r="AC373" s="663"/>
      <c r="AD373" s="664"/>
      <c r="AE373" s="665"/>
      <c r="AF373" s="666"/>
      <c r="AG373" s="665"/>
      <c r="AH373" s="666"/>
      <c r="AI373" s="665"/>
      <c r="AJ373" s="666"/>
      <c r="AK373" s="665"/>
      <c r="AL373" s="666"/>
      <c r="AM373" s="667"/>
      <c r="AN373" s="666"/>
      <c r="AO373" s="665"/>
      <c r="AP373" s="666"/>
      <c r="AQ373" s="667"/>
      <c r="AR373" s="666"/>
      <c r="AS373" s="666"/>
      <c r="AT373" s="666"/>
      <c r="AU373" s="667"/>
      <c r="AV373" s="666"/>
      <c r="AW373" s="666"/>
      <c r="AX373" s="186"/>
      <c r="AY373" s="187"/>
    </row>
    <row r="374" spans="1:52" s="11" customFormat="1">
      <c r="A374" s="444" t="s">
        <v>53</v>
      </c>
      <c r="B374" s="445"/>
      <c r="C374" s="445"/>
      <c r="D374" s="445"/>
      <c r="E374" s="672">
        <f>SUBTOTAL(9,E4:E373)</f>
        <v>0</v>
      </c>
      <c r="F374" s="446">
        <f>SUBTOTAL(9,F4:F373)</f>
        <v>0</v>
      </c>
      <c r="G374" s="446">
        <f>SUBTOTAL(9,G4:G373)</f>
        <v>0</v>
      </c>
      <c r="H374" s="446"/>
      <c r="I374" s="446">
        <f>SUBTOTAL(9,I4:I373)</f>
        <v>0</v>
      </c>
      <c r="J374" s="446"/>
      <c r="K374" s="446">
        <f>SUBTOTAL(9,K4:K373)</f>
        <v>0</v>
      </c>
      <c r="L374" s="446">
        <f t="shared" ref="L374:AW374" si="24">SUBTOTAL(9,L4:L373)</f>
        <v>0</v>
      </c>
      <c r="M374" s="668">
        <f t="shared" si="24"/>
        <v>0</v>
      </c>
      <c r="N374" s="668"/>
      <c r="O374" s="668">
        <f t="shared" si="24"/>
        <v>0</v>
      </c>
      <c r="P374" s="668"/>
      <c r="Q374" s="668">
        <f t="shared" si="24"/>
        <v>0</v>
      </c>
      <c r="R374" s="668"/>
      <c r="S374" s="668">
        <f t="shared" si="24"/>
        <v>0</v>
      </c>
      <c r="T374" s="668"/>
      <c r="U374" s="668">
        <f t="shared" si="24"/>
        <v>0</v>
      </c>
      <c r="V374" s="668"/>
      <c r="W374" s="668">
        <f t="shared" si="24"/>
        <v>0</v>
      </c>
      <c r="X374" s="668"/>
      <c r="Y374" s="668">
        <f t="shared" si="24"/>
        <v>0</v>
      </c>
      <c r="Z374" s="668"/>
      <c r="AA374" s="668">
        <f t="shared" si="24"/>
        <v>0</v>
      </c>
      <c r="AB374" s="668"/>
      <c r="AC374" s="668">
        <f t="shared" si="24"/>
        <v>0</v>
      </c>
      <c r="AD374" s="668"/>
      <c r="AE374" s="668">
        <f t="shared" si="24"/>
        <v>0</v>
      </c>
      <c r="AF374" s="668"/>
      <c r="AG374" s="668">
        <f t="shared" si="24"/>
        <v>0</v>
      </c>
      <c r="AH374" s="668"/>
      <c r="AI374" s="668">
        <f t="shared" si="24"/>
        <v>0</v>
      </c>
      <c r="AJ374" s="668"/>
      <c r="AK374" s="668">
        <f t="shared" si="24"/>
        <v>0</v>
      </c>
      <c r="AL374" s="668"/>
      <c r="AM374" s="668">
        <f t="shared" si="24"/>
        <v>0</v>
      </c>
      <c r="AN374" s="668"/>
      <c r="AO374" s="668">
        <f t="shared" si="24"/>
        <v>0</v>
      </c>
      <c r="AP374" s="668"/>
      <c r="AQ374" s="668">
        <f t="shared" si="24"/>
        <v>0</v>
      </c>
      <c r="AR374" s="668"/>
      <c r="AS374" s="668">
        <f t="shared" si="24"/>
        <v>0</v>
      </c>
      <c r="AT374" s="668"/>
      <c r="AU374" s="668">
        <f t="shared" si="24"/>
        <v>0</v>
      </c>
      <c r="AV374" s="668"/>
      <c r="AW374" s="668">
        <f t="shared" si="24"/>
        <v>0</v>
      </c>
      <c r="AX374" s="447"/>
      <c r="AY374" s="448"/>
    </row>
    <row r="375" spans="1:52">
      <c r="A375" s="449" t="s">
        <v>54</v>
      </c>
      <c r="B375" s="450"/>
      <c r="C375" s="450"/>
      <c r="D375" s="451"/>
      <c r="E375" s="673"/>
    </row>
  </sheetData>
  <autoFilter ref="A3:AY372"/>
  <mergeCells count="3">
    <mergeCell ref="D1:E1"/>
    <mergeCell ref="A1:B1"/>
    <mergeCell ref="A2:F2"/>
  </mergeCells>
  <phoneticPr fontId="0" type="noConversion"/>
  <conditionalFormatting sqref="A5:D372 O5:AZ372 N5:N304 N306:N372 M5:M320 M322:M372">
    <cfRule type="expression" dxfId="26" priority="1" stopIfTrue="1">
      <formula>INDIRECT(ADDRESS(ROW(),COLUMN(xArbeitstag)))&gt;5</formula>
    </cfRule>
  </conditionalFormatting>
  <conditionalFormatting sqref="M321 K5:K372">
    <cfRule type="expression" dxfId="25"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Input">
    <pageSetUpPr fitToPage="1"/>
  </sheetPr>
  <dimension ref="A1:AW385"/>
  <sheetViews>
    <sheetView showGridLines="0" workbookViewId="0">
      <pane ySplit="4" topLeftCell="A5" activePane="bottomLeft" state="frozenSplit"/>
      <selection pane="bottomLeft" activeCell="H7" sqref="H7"/>
    </sheetView>
  </sheetViews>
  <sheetFormatPr baseColWidth="10" defaultRowHeight="12.75" outlineLevelCol="1"/>
  <cols>
    <col min="1" max="1" width="10.5703125" customWidth="1"/>
    <col min="2" max="3" width="4.85546875" customWidth="1"/>
    <col min="4" max="4" width="9" customWidth="1"/>
    <col min="5" max="5" width="19.5703125" style="358"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6" width="11.42578125" hidden="1" customWidth="1"/>
    <col min="47" max="47" width="0" hidden="1" customWidth="1"/>
  </cols>
  <sheetData>
    <row r="1" spans="1:47">
      <c r="D1" s="4" t="s">
        <v>99</v>
      </c>
      <c r="E1" s="372" t="str">
        <f>B_PersonName</f>
        <v>Name</v>
      </c>
      <c r="H1" s="4" t="s">
        <v>100</v>
      </c>
      <c r="I1" t="str">
        <f>B_Department</f>
        <v>Abteilung</v>
      </c>
      <c r="J1" s="78"/>
      <c r="T1" s="4" t="s">
        <v>205</v>
      </c>
      <c r="U1" s="79" t="str">
        <f>B_Pers</f>
        <v>Personalnummer</v>
      </c>
      <c r="AF1" s="78"/>
      <c r="AG1" s="78"/>
      <c r="AH1" s="78"/>
      <c r="AI1" s="78"/>
      <c r="AJ1" s="78"/>
      <c r="AK1" s="78"/>
      <c r="AL1" s="78"/>
      <c r="AM1" s="78"/>
      <c r="AN1" s="78"/>
      <c r="AO1" s="78"/>
      <c r="AP1" s="78"/>
      <c r="AQ1" s="78"/>
      <c r="AR1" s="78"/>
      <c r="AS1" s="78"/>
      <c r="AT1" s="78"/>
      <c r="AU1" s="78"/>
    </row>
    <row r="2" spans="1:47" ht="13.5" thickBot="1">
      <c r="A2" s="353" t="str">
        <f ca="1">CELL("filename",A2)</f>
        <v>D:\_pdata\GLAZ\andi\[vGlaz2018.xlsm]Arbeitszeit</v>
      </c>
      <c r="B2" s="160"/>
      <c r="C2" s="136"/>
      <c r="E2" s="373"/>
    </row>
    <row r="3" spans="1:47" ht="14.25" thickTop="1" thickBot="1">
      <c r="A3" s="355">
        <f>DATE(YEAR(B_Year),MONTH(B_Year),1)</f>
        <v>41639</v>
      </c>
      <c r="B3" s="355" t="s">
        <v>148</v>
      </c>
      <c r="C3" s="705">
        <f>MAX(db_jZeit)</f>
        <v>42003</v>
      </c>
      <c r="D3" s="706"/>
      <c r="E3" s="374"/>
      <c r="F3" s="354" t="s">
        <v>129</v>
      </c>
      <c r="S3" s="261">
        <f>B_PauseNach</f>
        <v>0.25</v>
      </c>
      <c r="U3" s="55"/>
      <c r="V3" s="5"/>
      <c r="W3" s="261">
        <f>B_LunchTime+B_WalkTime</f>
        <v>4.1666666666666664E-2</v>
      </c>
      <c r="Z3" s="5"/>
      <c r="AB3" s="262">
        <f>B_OverTime</f>
        <v>0</v>
      </c>
      <c r="AC3" s="370">
        <f>B_WorkTimeMax</f>
        <v>0.41666666666666669</v>
      </c>
      <c r="AE3" s="141"/>
      <c r="AF3" s="141"/>
    </row>
    <row r="4" spans="1:47" ht="24.75" customHeight="1" thickBot="1">
      <c r="A4" s="263" t="s">
        <v>180</v>
      </c>
      <c r="B4" s="264" t="s">
        <v>41</v>
      </c>
      <c r="C4" s="264" t="s">
        <v>22</v>
      </c>
      <c r="D4" s="265" t="s">
        <v>184</v>
      </c>
      <c r="E4" s="266" t="s">
        <v>101</v>
      </c>
      <c r="F4" s="267" t="s">
        <v>102</v>
      </c>
      <c r="G4" s="268" t="s">
        <v>181</v>
      </c>
      <c r="H4" s="276" t="s">
        <v>35</v>
      </c>
      <c r="I4" s="276" t="s">
        <v>203</v>
      </c>
      <c r="J4" s="689" t="s">
        <v>221</v>
      </c>
      <c r="K4" s="276" t="s">
        <v>36</v>
      </c>
      <c r="L4" s="276" t="s">
        <v>202</v>
      </c>
      <c r="M4" s="689" t="s">
        <v>222</v>
      </c>
      <c r="N4" s="626" t="s">
        <v>200</v>
      </c>
      <c r="O4" s="626" t="s">
        <v>201</v>
      </c>
      <c r="P4" s="276"/>
      <c r="Q4" s="689" t="s">
        <v>223</v>
      </c>
      <c r="R4" s="547" t="s">
        <v>80</v>
      </c>
      <c r="S4" s="547" t="s">
        <v>224</v>
      </c>
      <c r="T4" s="548" t="s">
        <v>79</v>
      </c>
      <c r="U4" s="269" t="s">
        <v>105</v>
      </c>
      <c r="V4" s="269" t="s">
        <v>138</v>
      </c>
      <c r="W4" s="270" t="s">
        <v>176</v>
      </c>
      <c r="X4" s="271" t="s">
        <v>106</v>
      </c>
      <c r="Y4" s="272" t="s">
        <v>189</v>
      </c>
      <c r="Z4" s="273" t="s">
        <v>107</v>
      </c>
      <c r="AA4" s="274" t="s">
        <v>183</v>
      </c>
      <c r="AB4" s="275" t="s">
        <v>182</v>
      </c>
      <c r="AC4" s="271" t="str">
        <f>"&gt; "&amp; HOUR(B_WorkTimeMax) &amp;" Std"</f>
        <v>&gt; 10 Std</v>
      </c>
      <c r="AD4" s="281" t="s">
        <v>131</v>
      </c>
      <c r="AE4" s="276" t="s">
        <v>25</v>
      </c>
      <c r="AF4" s="547" t="s">
        <v>199</v>
      </c>
      <c r="AG4" s="277" t="s">
        <v>108</v>
      </c>
      <c r="AH4" s="278" t="s">
        <v>109</v>
      </c>
      <c r="AI4" s="278" t="s">
        <v>110</v>
      </c>
      <c r="AJ4" s="279" t="s">
        <v>24</v>
      </c>
      <c r="AK4" s="280" t="str">
        <f>"sum "&amp;AC4</f>
        <v>sum &gt; 10 Std</v>
      </c>
      <c r="AL4" s="280" t="s">
        <v>187</v>
      </c>
      <c r="AM4" s="280" t="s">
        <v>192</v>
      </c>
      <c r="AN4" s="280" t="s">
        <v>119</v>
      </c>
      <c r="AO4" s="280" t="s">
        <v>118</v>
      </c>
      <c r="AP4" s="280" t="s">
        <v>186</v>
      </c>
      <c r="AQ4" s="280" t="s">
        <v>188</v>
      </c>
      <c r="AR4" s="280" t="s">
        <v>190</v>
      </c>
      <c r="AS4" s="280" t="s">
        <v>191</v>
      </c>
    </row>
    <row r="5" spans="1:47">
      <c r="A5" s="345">
        <f>A6-1</f>
        <v>41638</v>
      </c>
      <c r="B5" s="346"/>
      <c r="C5" s="347"/>
      <c r="D5" s="348" t="str">
        <f>IF(A5="","",IF(YEAR(xJahr)=YEAR(A5),DATE(YEAR(A5),MONTH(A5),1),""))</f>
        <v/>
      </c>
      <c r="E5" s="478" t="s">
        <v>133</v>
      </c>
      <c r="F5" s="479"/>
      <c r="G5" s="480" t="str">
        <f>IF(ISBLANK(F5),IF(ISBLANK(H5),"",0),CODE(UPPER(F5)))</f>
        <v/>
      </c>
      <c r="H5" s="481"/>
      <c r="I5" s="481"/>
      <c r="J5" s="481">
        <f t="shared" ref="J5:J6" si="0">IF(I5&lt;H5,I5+1,I5)</f>
        <v>0</v>
      </c>
      <c r="K5" s="481"/>
      <c r="L5" s="481"/>
      <c r="M5" s="481">
        <f>IF(L5&lt;K5,L5+1,L5)</f>
        <v>0</v>
      </c>
      <c r="N5" s="482"/>
      <c r="O5" s="482">
        <f t="shared" ref="O5:O68" si="1">IF(N5&gt;0,N5+IF((J5-H5+M5-K5)&lt;X5,X5-(J5-H5+M5-K5),TIME(0,10,0))+IF((K5-J5+N5-M5)&gt;xNoWorkTime,0,xNoWorkTime-(K5-J5+N5-M5)),0)</f>
        <v>0</v>
      </c>
      <c r="P5" s="482"/>
      <c r="Q5" s="481">
        <f>IF(O5&lt;N5,O5+1,O5)</f>
        <v>0</v>
      </c>
      <c r="R5" s="482"/>
      <c r="S5" s="482"/>
      <c r="T5" s="129"/>
      <c r="U5" s="483">
        <f>IF(AJ5&lt;Feiertag,IF(F5="S",Y5,(IF((R5-T5)&gt;XWorkTimeMax,XWorkTimeMax,IF((R5-T5)&gt;0,R5-T5,0)))),0)</f>
        <v>0</v>
      </c>
      <c r="V5" s="484"/>
      <c r="W5" s="485">
        <f t="shared" ref="W5:W68" si="2">xNoWorkTime</f>
        <v>4.1666666666666664E-2</v>
      </c>
      <c r="X5" s="486"/>
      <c r="Y5" s="487">
        <f>IF(AND(AJ5&gt;0,AJ5&lt;Feiertag),INDEX(Arbeitszeit,AJ5),"")</f>
        <v>0</v>
      </c>
      <c r="Z5" s="488"/>
      <c r="AA5" s="489" t="str">
        <f>IF(AJ5=Feiertag,"",IF((U5-X5)&lt;0,"*",""))</f>
        <v/>
      </c>
      <c r="AB5" s="490">
        <f t="shared" ref="AB5:AB68" si="3">xOverTime</f>
        <v>0</v>
      </c>
      <c r="AC5" s="491" t="str">
        <f>IF((R5-T5)&gt;XWorkTimeMax,(R5-T5-XWorkTimeMax),"")</f>
        <v/>
      </c>
      <c r="AD5" s="257">
        <f>xVorjahrSaldo+SUM(Z5)-AE5</f>
        <v>0</v>
      </c>
      <c r="AE5" s="258"/>
      <c r="AF5" s="258"/>
      <c r="AG5" s="77">
        <f>IF(ISNUMBER(U5 ), IF( U5 &gt;= X5, X5, U5 ),"")</f>
        <v>0</v>
      </c>
      <c r="AH5" s="77">
        <f>IF( ISNUMBER( U5 ), IF( U5 &gt;= X5, U5 - X5, "" ), "" )</f>
        <v>0</v>
      </c>
      <c r="AI5" s="77" t="str">
        <f>IF( AND(ISNUMBER( U5 ),ISNUMBER( X5 )), IF( U5 &gt;= X5, "", X5 - U5 ), "" )</f>
        <v/>
      </c>
      <c r="AJ5" s="78">
        <f t="shared" ref="AJ5:AJ68" si="4">IF(A5="",0,IF(ISERROR(VLOOKUP(A5,db_Feiertag,2,FALSE)),WEEKDAY(A5,2),Feiertag))</f>
        <v>7</v>
      </c>
      <c r="AK5" s="257"/>
      <c r="AL5" s="257">
        <f>xVorjahrSaldo</f>
        <v>0</v>
      </c>
      <c r="AM5" s="259">
        <f>IF(OR(G5=-1,G5=82),-1,IF(OR(G5=0,G5=83),1,0))</f>
        <v>0</v>
      </c>
      <c r="AN5" s="259"/>
      <c r="AO5" s="259"/>
      <c r="AP5" s="260">
        <f>$A$378</f>
        <v>0</v>
      </c>
      <c r="AQ5" s="260">
        <f>$A$378</f>
        <v>0</v>
      </c>
      <c r="AR5" s="257"/>
      <c r="AS5" s="260"/>
      <c r="AU5" t="b">
        <f t="shared" ref="AU5:AU68" ca="1" si="5">INDIRECT(ADDRESS(ROW(),COLUMN(xDay)))&gt;5</f>
        <v>1</v>
      </c>
    </row>
    <row r="6" spans="1:47">
      <c r="A6" s="349">
        <f>xJahr</f>
        <v>41639</v>
      </c>
      <c r="B6" s="350">
        <f>IF(A6="","",A6)</f>
        <v>41639</v>
      </c>
      <c r="C6" s="351">
        <f>IF(A6="","",NumberOfWeek(A6))</f>
        <v>1</v>
      </c>
      <c r="D6" s="352">
        <f>IF(A6="","",DATE(YEAR(A6),MONTH(A6),1))</f>
        <v>41639</v>
      </c>
      <c r="E6" s="364" t="str">
        <f t="shared" ref="E6:E69" si="6">IF((R6-T6)&gt;XWorkTimeMax,$Y$4,IF(AS6=Feiertag,VLOOKUP(B6,db_Feiertag,2,FALSE),""))</f>
        <v>Neujahr</v>
      </c>
      <c r="F6" s="6"/>
      <c r="G6" s="7" t="str">
        <f>IF(ISBLANK(F6),IF(ISBLANK(H6),"",0),CODE(UPPER(F6)))</f>
        <v/>
      </c>
      <c r="H6" s="8"/>
      <c r="I6" s="8">
        <f t="shared" ref="I6:I11" si="7">IF(H6&gt;0,H6+X6+W6+AB6,0)</f>
        <v>0</v>
      </c>
      <c r="J6" s="129">
        <f t="shared" si="0"/>
        <v>0</v>
      </c>
      <c r="K6" s="8"/>
      <c r="L6" s="8">
        <f t="shared" ref="L6:L69" si="8">IF(K6&gt;0,K6+IF((J6-H6)&lt;X6,X6-(J6-H6),TIME(0,10,0))+IF((K6-J6)&gt;xNoWorkTime,0,xNoWorkTime-(K6-J6)),0)</f>
        <v>0</v>
      </c>
      <c r="M6" s="129">
        <f t="shared" ref="M6:M69" si="9">IF(L6&lt;K6,L6+1,L6)</f>
        <v>0</v>
      </c>
      <c r="N6" s="129"/>
      <c r="O6" s="129">
        <f t="shared" si="1"/>
        <v>0</v>
      </c>
      <c r="P6" s="129"/>
      <c r="Q6" s="129">
        <f t="shared" ref="Q6:Q69" si="10">IF(O6&lt;N6,O6+1,O6)</f>
        <v>0</v>
      </c>
      <c r="R6" s="129">
        <f t="shared" ref="R6:R69" si="11">J6-H6+M6-K6+Q6-N6</f>
        <v>0</v>
      </c>
      <c r="S6" s="693">
        <f t="shared" ref="S6:S69" si="12">XPauseNach*24</f>
        <v>6</v>
      </c>
      <c r="T6" s="129">
        <f t="shared" ref="T6:T16" si="13">IF((J6-H6)&gt;=TIME(S6,0,1),W6,(IF(OR(R6&lt;TIME(S6,0,1),AND(K6&lt;&gt;0,(K6-J6)&gt;=W6)),0,IF(AND(K6&lt;&gt;0,(K6-J6)&lt;W6),W6-(K6-J6),W6))))</f>
        <v>0</v>
      </c>
      <c r="U6" s="165">
        <f t="shared" ref="U6:U69" si="14">IF(F6="S",Y6,(IF((R6-T6)&gt;XWorkTimeMax,XWorkTimeMax,IF((R6-T6)&gt;0,R6-T6,0))))</f>
        <v>0</v>
      </c>
      <c r="V6" s="75"/>
      <c r="W6" s="131">
        <f t="shared" si="2"/>
        <v>4.1666666666666664E-2</v>
      </c>
      <c r="X6" s="126">
        <f t="shared" ref="X6:X69" si="15">IF(AND((AJ6&lt;Feiertag),(G6&lt;&gt;85)),IF(OR(F6="B",F6="G",F6="S",H6&gt;0),H6-H6+Y6,0),0)</f>
        <v>0</v>
      </c>
      <c r="Y6" s="127" t="str">
        <f>IF(AND(AJ6&gt;0,AJ6&lt;Feiertag),INDEX(Arbeitszeit,AJ6),"")</f>
        <v/>
      </c>
      <c r="Z6" s="128">
        <f>U6-X6</f>
        <v>0</v>
      </c>
      <c r="AA6" s="76" t="str">
        <f>IF((U6-X6)&lt;0,"*","")</f>
        <v/>
      </c>
      <c r="AB6" s="216">
        <f t="shared" si="3"/>
        <v>0</v>
      </c>
      <c r="AC6" s="163" t="str">
        <f>IF((R6-T6)&gt;XWorkTimeMax,(R6-T6-XWorkTimeMax),"")</f>
        <v/>
      </c>
      <c r="AD6" s="257">
        <f>IF(AT6,(AD5+SUM(Z6)-AE6),)</f>
        <v>0</v>
      </c>
      <c r="AE6" s="138"/>
      <c r="AF6" s="138" t="str">
        <f>IF(AND(AE6&lt;&gt;"",AE6&lt;=U6),U6-AE6,"")</f>
        <v/>
      </c>
      <c r="AG6" s="77">
        <f t="shared" ref="AG6:AG36" si="16">IF(ISNUMBER(U6 ), IF( U6 &gt;= X6, X6, U6 ),"")</f>
        <v>0</v>
      </c>
      <c r="AH6" s="77">
        <f t="shared" ref="AH6:AH36" si="17">IF( ISNUMBER( U6 ), IF( U6 &gt;= X6, U6 - X6, "" ), "" )</f>
        <v>0</v>
      </c>
      <c r="AI6" s="77" t="str">
        <f>IF( AND(ISNUMBER( U6 ),ISNUMBER( X6 )), IF( U6 &gt;= X6, "", X6 - U6 ), "" )</f>
        <v/>
      </c>
      <c r="AJ6" s="78">
        <f t="shared" si="4"/>
        <v>8</v>
      </c>
      <c r="AK6" s="139">
        <f>SUM($AC$6:AC6)</f>
        <v>0</v>
      </c>
      <c r="AL6" s="139">
        <f t="shared" ref="AL6:AL69" ca="1" si="18">IF(D6=D5,AL5,OFFSET(AL6,-1,COLUMN(db_jSaldoGes)-COLUMN()))</f>
        <v>0</v>
      </c>
      <c r="AM6" s="143">
        <f>IF(OR($G6=-1,$G6=82),-1,IF(OR($G6=0,$G6=83),1,0))</f>
        <v>0</v>
      </c>
      <c r="AN6" s="143">
        <f>IF($F6=Krank,1,IF($F6="J",-1,0))</f>
        <v>0</v>
      </c>
      <c r="AO6" s="143">
        <f>IF($F6=Urlaub,1,IF($F6="T",-1,0))</f>
        <v>0</v>
      </c>
      <c r="AP6" s="142">
        <f t="shared" ref="AP6:AP69" si="19">IF(A6="","",AP5-IF(F6=Urlaub,1,0)+IF(AND(MONTH(A6)=1,DAY(A6)=1),B_UrlaubNeu,0))</f>
        <v>30</v>
      </c>
      <c r="AQ6" s="142">
        <f t="shared" ref="AQ6:AQ69" ca="1" si="20">IF(A6="","",IF(D6=D5,AQ5,OFFSET(AQ6,-1,COLUMN(db_jUrlRest)-COLUMN()))+IF(AND(MONTH(A6)=1,DAY(A6)=1),B_UrlaubNeu,0))</f>
        <v>30</v>
      </c>
      <c r="AR6" s="154">
        <f t="shared" ref="AR6:AR12" si="21">(IF(ISNUMBER(U6),U6,0)+IF(ISNUMBER(AC6),AC6,0))*24</f>
        <v>0</v>
      </c>
      <c r="AS6" s="142">
        <f t="shared" ref="AS6:AS69" si="22">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5"/>
        <v>1</v>
      </c>
    </row>
    <row r="7" spans="1:47">
      <c r="A7" s="349">
        <f t="shared" ref="A7:A70" si="23">IF(A6="","",IF((A6+1)&gt;=DATE(YEAR(xJahr)+1,MONTH(xJahr),DAY(xJahr)),"",A6+1))</f>
        <v>41640</v>
      </c>
      <c r="B7" s="350">
        <f t="shared" ref="B7:B70" si="24">IF(A7="","",A7)</f>
        <v>41640</v>
      </c>
      <c r="C7" s="351">
        <f>IF(A7="","",NumberOfWeek(A7))</f>
        <v>1</v>
      </c>
      <c r="D7" s="352">
        <f>IF(A7="","",DATE(YEAR(A7),MONTH(A7),1))</f>
        <v>41639</v>
      </c>
      <c r="E7" s="364" t="str">
        <f t="shared" si="6"/>
        <v/>
      </c>
      <c r="F7" s="6"/>
      <c r="G7" s="7" t="str">
        <f>IF(ISBLANK(F7),IF(ISBLANK(H7),"",0),CODE(UPPER(F7)))</f>
        <v/>
      </c>
      <c r="H7" s="8"/>
      <c r="I7" s="8">
        <f t="shared" si="7"/>
        <v>0</v>
      </c>
      <c r="J7" s="129">
        <f>IF(I7&lt;H7,I7+1,I7)</f>
        <v>0</v>
      </c>
      <c r="K7" s="8"/>
      <c r="L7" s="8">
        <f t="shared" si="8"/>
        <v>0</v>
      </c>
      <c r="M7" s="129">
        <f t="shared" si="9"/>
        <v>0</v>
      </c>
      <c r="N7" s="129"/>
      <c r="O7" s="129">
        <f t="shared" si="1"/>
        <v>0</v>
      </c>
      <c r="P7" s="129"/>
      <c r="Q7" s="129">
        <f t="shared" si="10"/>
        <v>0</v>
      </c>
      <c r="R7" s="129">
        <f t="shared" si="11"/>
        <v>0</v>
      </c>
      <c r="S7" s="693">
        <f t="shared" si="12"/>
        <v>6</v>
      </c>
      <c r="T7" s="129">
        <f t="shared" si="13"/>
        <v>0</v>
      </c>
      <c r="U7" s="165">
        <f t="shared" si="14"/>
        <v>0</v>
      </c>
      <c r="V7" s="75"/>
      <c r="W7" s="131">
        <f t="shared" si="2"/>
        <v>4.1666666666666664E-2</v>
      </c>
      <c r="X7" s="126">
        <f t="shared" si="15"/>
        <v>0</v>
      </c>
      <c r="Y7" s="127">
        <f>IF(AND(AJ7&gt;0,AJ7&lt;Feiertag),INDEX(Arbeitszeit,AJ7),"")</f>
        <v>0.33333333333333331</v>
      </c>
      <c r="Z7" s="128">
        <f>U7-X7</f>
        <v>0</v>
      </c>
      <c r="AA7" s="76" t="str">
        <f>IF((U7-X7)&lt;0,"*","")</f>
        <v/>
      </c>
      <c r="AB7" s="216">
        <f t="shared" si="3"/>
        <v>0</v>
      </c>
      <c r="AC7" s="163" t="str">
        <f>IF((R7-T7)&gt;XWorkTimeMax,(R7-T7-XWorkTimeMax),"")</f>
        <v/>
      </c>
      <c r="AD7" s="257">
        <f t="shared" ref="AD7:AD10" si="25">IF(AT7,(AD6+SUM(Z7)-AE7),)</f>
        <v>0</v>
      </c>
      <c r="AE7" s="138"/>
      <c r="AF7" s="138" t="str">
        <f t="shared" ref="AF7:AF70" si="26">IF(AND(AE7&lt;&gt;"",AE7&lt;=U7),U7-AE7,"")</f>
        <v/>
      </c>
      <c r="AG7" s="77">
        <f t="shared" si="16"/>
        <v>0</v>
      </c>
      <c r="AH7" s="77">
        <f t="shared" si="17"/>
        <v>0</v>
      </c>
      <c r="AI7" s="77" t="str">
        <f t="shared" ref="AI7:AI70" si="27">IF( AND(ISNUMBER( U7 ),ISNUMBER( X7 )), IF( U7 &gt;= X7, "", X7 - U7 ), "" )</f>
        <v/>
      </c>
      <c r="AJ7" s="78">
        <f t="shared" si="4"/>
        <v>2</v>
      </c>
      <c r="AK7" s="139">
        <f>SUM($AC$6:AC7)</f>
        <v>0</v>
      </c>
      <c r="AL7" s="139">
        <f t="shared" ca="1" si="18"/>
        <v>0</v>
      </c>
      <c r="AM7" s="143">
        <f t="shared" ref="AM7:AM70" si="28">IF(OR($G7=-1,$G7=82),-1,IF(OR($G7=0,$G7=83),1,0))</f>
        <v>0</v>
      </c>
      <c r="AN7" s="143">
        <f t="shared" ref="AN7:AN70" si="29">IF($F7=Krank,1,IF($F7="J",-1,0))</f>
        <v>0</v>
      </c>
      <c r="AO7" s="143">
        <f t="shared" ref="AO7:AO70" si="30">IF($F7=Urlaub,1,IF($F7="T",-1,0))</f>
        <v>0</v>
      </c>
      <c r="AP7" s="142">
        <f t="shared" si="19"/>
        <v>30</v>
      </c>
      <c r="AQ7" s="142">
        <f t="shared" ca="1" si="20"/>
        <v>30</v>
      </c>
      <c r="AR7" s="154">
        <f t="shared" si="21"/>
        <v>0</v>
      </c>
      <c r="AS7" s="142">
        <f t="shared" si="22"/>
        <v>0</v>
      </c>
      <c r="AT7" t="b">
        <f>OR((F7&gt;0),(NOT(ISBLANK(H7))),SUM(H7:H$373),SUM(G7:G$373))</f>
        <v>0</v>
      </c>
      <c r="AU7" t="b">
        <f t="shared" ca="1" si="5"/>
        <v>0</v>
      </c>
    </row>
    <row r="8" spans="1:47">
      <c r="A8" s="349">
        <f t="shared" si="23"/>
        <v>41641</v>
      </c>
      <c r="B8" s="350">
        <f t="shared" si="24"/>
        <v>41641</v>
      </c>
      <c r="C8" s="351">
        <f t="shared" ref="C8:C26" si="31">IF(A8="","",NumberOfWeek(A8))</f>
        <v>1</v>
      </c>
      <c r="D8" s="352">
        <f t="shared" ref="D8:D26" si="32">IF(A8="","",DATE(YEAR(A8),MONTH(A8),1))</f>
        <v>41639</v>
      </c>
      <c r="E8" s="364" t="str">
        <f t="shared" si="6"/>
        <v/>
      </c>
      <c r="F8" s="6"/>
      <c r="G8" s="7" t="str">
        <f t="shared" ref="G8:G26" si="33">IF(ISBLANK(F8),IF(ISBLANK(H8),"",0),CODE(UPPER(F8)))</f>
        <v/>
      </c>
      <c r="H8" s="8"/>
      <c r="I8" s="8">
        <f t="shared" si="7"/>
        <v>0</v>
      </c>
      <c r="J8" s="129">
        <f t="shared" ref="J8:J71" si="34">IF(I8&lt;H8,I8+1,I8)</f>
        <v>0</v>
      </c>
      <c r="K8" s="8"/>
      <c r="L8" s="8">
        <f t="shared" si="8"/>
        <v>0</v>
      </c>
      <c r="M8" s="129">
        <f t="shared" si="9"/>
        <v>0</v>
      </c>
      <c r="N8" s="129"/>
      <c r="O8" s="129">
        <f t="shared" si="1"/>
        <v>0</v>
      </c>
      <c r="P8" s="129"/>
      <c r="Q8" s="129">
        <f t="shared" si="10"/>
        <v>0</v>
      </c>
      <c r="R8" s="129">
        <f t="shared" si="11"/>
        <v>0</v>
      </c>
      <c r="S8" s="693">
        <f t="shared" si="12"/>
        <v>6</v>
      </c>
      <c r="T8" s="129">
        <f t="shared" si="13"/>
        <v>0</v>
      </c>
      <c r="U8" s="165">
        <f t="shared" si="14"/>
        <v>0</v>
      </c>
      <c r="V8" s="75"/>
      <c r="W8" s="131">
        <f t="shared" si="2"/>
        <v>4.1666666666666664E-2</v>
      </c>
      <c r="X8" s="126">
        <f t="shared" si="15"/>
        <v>0</v>
      </c>
      <c r="Y8" s="127">
        <f t="shared" ref="Y8:Y26" si="35">IF(AND(AJ8&gt;0,AJ8&lt;Feiertag),INDEX(Arbeitszeit,AJ8),"")</f>
        <v>0.33333333333333331</v>
      </c>
      <c r="Z8" s="128">
        <f t="shared" ref="Z8:Z26" si="36">U8-X8</f>
        <v>0</v>
      </c>
      <c r="AA8" s="76" t="str">
        <f t="shared" ref="AA8:AA26" si="37">IF((U8-X8)&lt;0,"*","")</f>
        <v/>
      </c>
      <c r="AB8" s="216">
        <f t="shared" si="3"/>
        <v>0</v>
      </c>
      <c r="AC8" s="163" t="str">
        <f t="shared" ref="AC8:AC26" si="38">IF((R8-T8)&gt;XWorkTimeMax,(R8-T8-XWorkTimeMax),"")</f>
        <v/>
      </c>
      <c r="AD8" s="257">
        <f t="shared" si="25"/>
        <v>0</v>
      </c>
      <c r="AE8" s="138"/>
      <c r="AF8" s="138" t="str">
        <f t="shared" si="26"/>
        <v/>
      </c>
      <c r="AG8" s="77">
        <f t="shared" si="16"/>
        <v>0</v>
      </c>
      <c r="AH8" s="77">
        <f t="shared" si="17"/>
        <v>0</v>
      </c>
      <c r="AI8" s="77" t="str">
        <f t="shared" si="27"/>
        <v/>
      </c>
      <c r="AJ8" s="78">
        <f t="shared" si="4"/>
        <v>3</v>
      </c>
      <c r="AK8" s="139">
        <f>SUM($AC$6:AC8)</f>
        <v>0</v>
      </c>
      <c r="AL8" s="139">
        <f t="shared" ca="1" si="18"/>
        <v>0</v>
      </c>
      <c r="AM8" s="143">
        <f t="shared" si="28"/>
        <v>0</v>
      </c>
      <c r="AN8" s="143">
        <f t="shared" si="29"/>
        <v>0</v>
      </c>
      <c r="AO8" s="143">
        <f t="shared" si="30"/>
        <v>0</v>
      </c>
      <c r="AP8" s="142">
        <f t="shared" si="19"/>
        <v>30</v>
      </c>
      <c r="AQ8" s="142">
        <f t="shared" ca="1" si="20"/>
        <v>30</v>
      </c>
      <c r="AR8" s="154">
        <f t="shared" si="21"/>
        <v>0</v>
      </c>
      <c r="AS8" s="142">
        <f t="shared" si="22"/>
        <v>0</v>
      </c>
      <c r="AT8" t="b">
        <f>OR((F8&gt;0),(NOT(ISBLANK(H8))),SUM(H8:H$373),SUM(G8:G$373))</f>
        <v>0</v>
      </c>
      <c r="AU8" t="b">
        <f t="shared" ca="1" si="5"/>
        <v>0</v>
      </c>
    </row>
    <row r="9" spans="1:47">
      <c r="A9" s="349">
        <f t="shared" si="23"/>
        <v>41642</v>
      </c>
      <c r="B9" s="350">
        <f t="shared" si="24"/>
        <v>41642</v>
      </c>
      <c r="C9" s="351">
        <f t="shared" si="31"/>
        <v>1</v>
      </c>
      <c r="D9" s="352">
        <f t="shared" si="32"/>
        <v>41639</v>
      </c>
      <c r="E9" s="364" t="str">
        <f t="shared" si="6"/>
        <v/>
      </c>
      <c r="F9" s="6"/>
      <c r="G9" s="7" t="str">
        <f t="shared" si="33"/>
        <v/>
      </c>
      <c r="H9" s="8"/>
      <c r="I9" s="8">
        <f t="shared" si="7"/>
        <v>0</v>
      </c>
      <c r="J9" s="129">
        <f t="shared" si="34"/>
        <v>0</v>
      </c>
      <c r="K9" s="8"/>
      <c r="L9" s="8">
        <f t="shared" si="8"/>
        <v>0</v>
      </c>
      <c r="M9" s="129">
        <f t="shared" si="9"/>
        <v>0</v>
      </c>
      <c r="N9" s="129"/>
      <c r="O9" s="129">
        <f t="shared" si="1"/>
        <v>0</v>
      </c>
      <c r="P9" s="129"/>
      <c r="Q9" s="129">
        <f t="shared" si="10"/>
        <v>0</v>
      </c>
      <c r="R9" s="129">
        <f t="shared" si="11"/>
        <v>0</v>
      </c>
      <c r="S9" s="693">
        <f t="shared" si="12"/>
        <v>6</v>
      </c>
      <c r="T9" s="129">
        <f t="shared" si="13"/>
        <v>0</v>
      </c>
      <c r="U9" s="165">
        <f t="shared" si="14"/>
        <v>0</v>
      </c>
      <c r="V9" s="75"/>
      <c r="W9" s="131">
        <f t="shared" si="2"/>
        <v>4.1666666666666664E-2</v>
      </c>
      <c r="X9" s="126">
        <f t="shared" si="15"/>
        <v>0</v>
      </c>
      <c r="Y9" s="127">
        <f t="shared" si="35"/>
        <v>0.33333333333333331</v>
      </c>
      <c r="Z9" s="128">
        <f t="shared" si="36"/>
        <v>0</v>
      </c>
      <c r="AA9" s="76" t="str">
        <f t="shared" si="37"/>
        <v/>
      </c>
      <c r="AB9" s="216">
        <f t="shared" si="3"/>
        <v>0</v>
      </c>
      <c r="AC9" s="163" t="str">
        <f t="shared" si="38"/>
        <v/>
      </c>
      <c r="AD9" s="257">
        <f t="shared" si="25"/>
        <v>0</v>
      </c>
      <c r="AE9" s="138"/>
      <c r="AF9" s="138" t="str">
        <f t="shared" si="26"/>
        <v/>
      </c>
      <c r="AG9" s="77">
        <f t="shared" si="16"/>
        <v>0</v>
      </c>
      <c r="AH9" s="77">
        <f t="shared" si="17"/>
        <v>0</v>
      </c>
      <c r="AI9" s="77" t="str">
        <f t="shared" si="27"/>
        <v/>
      </c>
      <c r="AJ9" s="78">
        <f t="shared" si="4"/>
        <v>4</v>
      </c>
      <c r="AK9" s="139">
        <f>SUM($AC$6:AC9)</f>
        <v>0</v>
      </c>
      <c r="AL9" s="139">
        <f t="shared" ca="1" si="18"/>
        <v>0</v>
      </c>
      <c r="AM9" s="143">
        <f t="shared" si="28"/>
        <v>0</v>
      </c>
      <c r="AN9" s="143">
        <f t="shared" si="29"/>
        <v>0</v>
      </c>
      <c r="AO9" s="143">
        <f t="shared" si="30"/>
        <v>0</v>
      </c>
      <c r="AP9" s="142">
        <f t="shared" si="19"/>
        <v>30</v>
      </c>
      <c r="AQ9" s="142">
        <f t="shared" ca="1" si="20"/>
        <v>30</v>
      </c>
      <c r="AR9" s="154">
        <f t="shared" si="21"/>
        <v>0</v>
      </c>
      <c r="AS9" s="142">
        <f t="shared" si="22"/>
        <v>0</v>
      </c>
      <c r="AT9" t="b">
        <f>OR((F9&gt;0),(NOT(ISBLANK(H9))),SUM(H9:H$373),SUM(G9:G$373))</f>
        <v>0</v>
      </c>
      <c r="AU9" t="b">
        <f t="shared" ca="1" si="5"/>
        <v>0</v>
      </c>
    </row>
    <row r="10" spans="1:47">
      <c r="A10" s="349">
        <f t="shared" si="23"/>
        <v>41643</v>
      </c>
      <c r="B10" s="350">
        <f t="shared" si="24"/>
        <v>41643</v>
      </c>
      <c r="C10" s="351">
        <f t="shared" si="31"/>
        <v>1</v>
      </c>
      <c r="D10" s="352">
        <f t="shared" si="32"/>
        <v>41639</v>
      </c>
      <c r="E10" s="364" t="str">
        <f t="shared" si="6"/>
        <v/>
      </c>
      <c r="F10" s="6"/>
      <c r="G10" s="7" t="str">
        <f t="shared" si="33"/>
        <v/>
      </c>
      <c r="H10" s="8"/>
      <c r="I10" s="8">
        <f t="shared" si="7"/>
        <v>0</v>
      </c>
      <c r="J10" s="129">
        <f t="shared" si="34"/>
        <v>0</v>
      </c>
      <c r="K10" s="8"/>
      <c r="L10" s="8">
        <f t="shared" si="8"/>
        <v>0</v>
      </c>
      <c r="M10" s="129">
        <f t="shared" si="9"/>
        <v>0</v>
      </c>
      <c r="N10" s="129"/>
      <c r="O10" s="129">
        <f t="shared" si="1"/>
        <v>0</v>
      </c>
      <c r="P10" s="129"/>
      <c r="Q10" s="129">
        <f t="shared" si="10"/>
        <v>0</v>
      </c>
      <c r="R10" s="129">
        <f t="shared" si="11"/>
        <v>0</v>
      </c>
      <c r="S10" s="693">
        <f t="shared" si="12"/>
        <v>6</v>
      </c>
      <c r="T10" s="129">
        <f t="shared" si="13"/>
        <v>0</v>
      </c>
      <c r="U10" s="165">
        <f t="shared" si="14"/>
        <v>0</v>
      </c>
      <c r="V10" s="75"/>
      <c r="W10" s="131">
        <f t="shared" si="2"/>
        <v>4.1666666666666664E-2</v>
      </c>
      <c r="X10" s="126">
        <f t="shared" si="15"/>
        <v>0</v>
      </c>
      <c r="Y10" s="127">
        <f t="shared" si="35"/>
        <v>0.33333333333333331</v>
      </c>
      <c r="Z10" s="128">
        <f t="shared" si="36"/>
        <v>0</v>
      </c>
      <c r="AA10" s="76" t="str">
        <f t="shared" si="37"/>
        <v/>
      </c>
      <c r="AB10" s="216">
        <f t="shared" si="3"/>
        <v>0</v>
      </c>
      <c r="AC10" s="163" t="str">
        <f t="shared" si="38"/>
        <v/>
      </c>
      <c r="AD10" s="257">
        <f t="shared" si="25"/>
        <v>0</v>
      </c>
      <c r="AE10" s="138"/>
      <c r="AF10" s="138" t="str">
        <f t="shared" si="26"/>
        <v/>
      </c>
      <c r="AG10" s="77">
        <f t="shared" si="16"/>
        <v>0</v>
      </c>
      <c r="AH10" s="77">
        <f t="shared" si="17"/>
        <v>0</v>
      </c>
      <c r="AI10" s="77" t="str">
        <f t="shared" si="27"/>
        <v/>
      </c>
      <c r="AJ10" s="78">
        <f t="shared" si="4"/>
        <v>5</v>
      </c>
      <c r="AK10" s="139">
        <f>SUM($AC$6:AC10)</f>
        <v>0</v>
      </c>
      <c r="AL10" s="139">
        <f t="shared" ca="1" si="18"/>
        <v>0</v>
      </c>
      <c r="AM10" s="143">
        <f t="shared" si="28"/>
        <v>0</v>
      </c>
      <c r="AN10" s="143">
        <f t="shared" si="29"/>
        <v>0</v>
      </c>
      <c r="AO10" s="143">
        <f t="shared" si="30"/>
        <v>0</v>
      </c>
      <c r="AP10" s="142">
        <f t="shared" si="19"/>
        <v>30</v>
      </c>
      <c r="AQ10" s="142">
        <f t="shared" ca="1" si="20"/>
        <v>30</v>
      </c>
      <c r="AR10" s="154">
        <f t="shared" si="21"/>
        <v>0</v>
      </c>
      <c r="AS10" s="142">
        <f t="shared" si="22"/>
        <v>0</v>
      </c>
      <c r="AT10" t="b">
        <f>OR((F10&gt;0),(NOT(ISBLANK(H10))),SUM(H10:H$373),SUM(G10:G$373))</f>
        <v>0</v>
      </c>
      <c r="AU10" t="b">
        <f t="shared" ca="1" si="5"/>
        <v>0</v>
      </c>
    </row>
    <row r="11" spans="1:47">
      <c r="A11" s="349">
        <f t="shared" si="23"/>
        <v>41644</v>
      </c>
      <c r="B11" s="350">
        <f t="shared" si="24"/>
        <v>41644</v>
      </c>
      <c r="C11" s="351">
        <f t="shared" si="31"/>
        <v>1</v>
      </c>
      <c r="D11" s="352">
        <f t="shared" si="32"/>
        <v>41639</v>
      </c>
      <c r="E11" s="364" t="str">
        <f t="shared" si="6"/>
        <v>hl. Dreikönig</v>
      </c>
      <c r="F11" s="6"/>
      <c r="G11" s="7" t="str">
        <f t="shared" si="33"/>
        <v/>
      </c>
      <c r="H11" s="8"/>
      <c r="I11" s="8">
        <f t="shared" si="7"/>
        <v>0</v>
      </c>
      <c r="J11" s="129">
        <f t="shared" si="34"/>
        <v>0</v>
      </c>
      <c r="K11" s="8"/>
      <c r="L11" s="8">
        <f t="shared" si="8"/>
        <v>0</v>
      </c>
      <c r="M11" s="129">
        <f t="shared" si="9"/>
        <v>0</v>
      </c>
      <c r="N11" s="129"/>
      <c r="O11" s="129">
        <f t="shared" si="1"/>
        <v>0</v>
      </c>
      <c r="P11" s="129"/>
      <c r="Q11" s="129">
        <f t="shared" si="10"/>
        <v>0</v>
      </c>
      <c r="R11" s="129">
        <f t="shared" si="11"/>
        <v>0</v>
      </c>
      <c r="S11" s="693">
        <f t="shared" si="12"/>
        <v>6</v>
      </c>
      <c r="T11" s="129">
        <f t="shared" si="13"/>
        <v>0</v>
      </c>
      <c r="U11" s="165">
        <f t="shared" si="14"/>
        <v>0</v>
      </c>
      <c r="V11" s="75"/>
      <c r="W11" s="131">
        <f t="shared" si="2"/>
        <v>4.1666666666666664E-2</v>
      </c>
      <c r="X11" s="126">
        <f t="shared" si="15"/>
        <v>0</v>
      </c>
      <c r="Y11" s="127" t="str">
        <f t="shared" si="35"/>
        <v/>
      </c>
      <c r="Z11" s="128">
        <f t="shared" si="36"/>
        <v>0</v>
      </c>
      <c r="AA11" s="76" t="str">
        <f t="shared" si="37"/>
        <v/>
      </c>
      <c r="AB11" s="216">
        <f t="shared" si="3"/>
        <v>0</v>
      </c>
      <c r="AC11" s="163" t="str">
        <f t="shared" si="38"/>
        <v/>
      </c>
      <c r="AD11" s="257">
        <f t="shared" ref="AD11:AD70" si="39">IF(AT11,(AD10+SUM(Z11)-AE11),)</f>
        <v>0</v>
      </c>
      <c r="AE11" s="138"/>
      <c r="AF11" s="138" t="str">
        <f t="shared" si="26"/>
        <v/>
      </c>
      <c r="AG11" s="77">
        <f t="shared" si="16"/>
        <v>0</v>
      </c>
      <c r="AH11" s="77">
        <f t="shared" si="17"/>
        <v>0</v>
      </c>
      <c r="AI11" s="77" t="str">
        <f t="shared" si="27"/>
        <v/>
      </c>
      <c r="AJ11" s="78">
        <f t="shared" si="4"/>
        <v>8</v>
      </c>
      <c r="AK11" s="139">
        <f>SUM($AC$6:AC11)</f>
        <v>0</v>
      </c>
      <c r="AL11" s="139">
        <f t="shared" ca="1" si="18"/>
        <v>0</v>
      </c>
      <c r="AM11" s="143">
        <f t="shared" si="28"/>
        <v>0</v>
      </c>
      <c r="AN11" s="143">
        <f t="shared" si="29"/>
        <v>0</v>
      </c>
      <c r="AO11" s="143">
        <f t="shared" si="30"/>
        <v>0</v>
      </c>
      <c r="AP11" s="142">
        <f t="shared" si="19"/>
        <v>30</v>
      </c>
      <c r="AQ11" s="142">
        <f t="shared" ca="1" si="20"/>
        <v>30</v>
      </c>
      <c r="AR11" s="154">
        <f t="shared" si="21"/>
        <v>0</v>
      </c>
      <c r="AS11" s="142">
        <f t="shared" si="22"/>
        <v>8</v>
      </c>
      <c r="AT11" t="b">
        <f>OR((F11&gt;0),(NOT(ISBLANK(H11))),SUM(H11:H$373),SUM(G11:G$373))</f>
        <v>0</v>
      </c>
      <c r="AU11" t="b">
        <f t="shared" ca="1" si="5"/>
        <v>1</v>
      </c>
    </row>
    <row r="12" spans="1:47">
      <c r="A12" s="349">
        <f t="shared" si="23"/>
        <v>41645</v>
      </c>
      <c r="B12" s="350">
        <f t="shared" si="24"/>
        <v>41645</v>
      </c>
      <c r="C12" s="351">
        <f>IF(A12="","",NumberOfWeek(A12))</f>
        <v>1</v>
      </c>
      <c r="D12" s="352">
        <f t="shared" si="32"/>
        <v>41639</v>
      </c>
      <c r="E12" s="364" t="str">
        <f t="shared" si="6"/>
        <v/>
      </c>
      <c r="F12" s="6"/>
      <c r="G12" s="7" t="str">
        <f t="shared" si="33"/>
        <v/>
      </c>
      <c r="H12" s="8"/>
      <c r="I12" s="8">
        <f t="shared" ref="I12:I19" si="40">IF(H12&gt;0,H12+X12+W12+AB12,0)</f>
        <v>0</v>
      </c>
      <c r="J12" s="129">
        <f t="shared" ref="J12:J17" si="41">IF(I12&lt;H12,I12+1,I12)</f>
        <v>0</v>
      </c>
      <c r="K12" s="8"/>
      <c r="L12" s="8">
        <f t="shared" si="8"/>
        <v>0</v>
      </c>
      <c r="M12" s="129">
        <f t="shared" ref="M12:M17" si="42">IF(L12&lt;K12,L12+1,L12)</f>
        <v>0</v>
      </c>
      <c r="N12" s="129"/>
      <c r="O12" s="129">
        <f t="shared" si="1"/>
        <v>0</v>
      </c>
      <c r="P12" s="129"/>
      <c r="Q12" s="129">
        <f t="shared" si="10"/>
        <v>0</v>
      </c>
      <c r="R12" s="129">
        <f t="shared" si="11"/>
        <v>0</v>
      </c>
      <c r="S12" s="693">
        <f t="shared" si="12"/>
        <v>6</v>
      </c>
      <c r="T12" s="129">
        <f t="shared" si="13"/>
        <v>0</v>
      </c>
      <c r="U12" s="165">
        <f t="shared" si="14"/>
        <v>0</v>
      </c>
      <c r="V12" s="75"/>
      <c r="W12" s="131">
        <f t="shared" si="2"/>
        <v>4.1666666666666664E-2</v>
      </c>
      <c r="X12" s="126">
        <f t="shared" si="15"/>
        <v>0</v>
      </c>
      <c r="Y12" s="127">
        <f t="shared" si="35"/>
        <v>0</v>
      </c>
      <c r="Z12" s="128">
        <f t="shared" si="36"/>
        <v>0</v>
      </c>
      <c r="AA12" s="76" t="str">
        <f t="shared" si="37"/>
        <v/>
      </c>
      <c r="AB12" s="216">
        <f t="shared" si="3"/>
        <v>0</v>
      </c>
      <c r="AC12" s="163" t="str">
        <f t="shared" si="38"/>
        <v/>
      </c>
      <c r="AD12" s="257">
        <f t="shared" si="39"/>
        <v>0</v>
      </c>
      <c r="AE12" s="138"/>
      <c r="AF12" s="138" t="str">
        <f t="shared" si="26"/>
        <v/>
      </c>
      <c r="AG12" s="77">
        <f t="shared" si="16"/>
        <v>0</v>
      </c>
      <c r="AH12" s="77">
        <f t="shared" si="17"/>
        <v>0</v>
      </c>
      <c r="AI12" s="77" t="str">
        <f t="shared" si="27"/>
        <v/>
      </c>
      <c r="AJ12" s="78">
        <f t="shared" si="4"/>
        <v>7</v>
      </c>
      <c r="AK12" s="139">
        <f>SUM($AC$6:AC12)</f>
        <v>0</v>
      </c>
      <c r="AL12" s="139">
        <f t="shared" ca="1" si="18"/>
        <v>0</v>
      </c>
      <c r="AM12" s="143">
        <f t="shared" si="28"/>
        <v>0</v>
      </c>
      <c r="AN12" s="143">
        <f t="shared" si="29"/>
        <v>0</v>
      </c>
      <c r="AO12" s="143">
        <f t="shared" si="30"/>
        <v>0</v>
      </c>
      <c r="AP12" s="142">
        <f t="shared" si="19"/>
        <v>30</v>
      </c>
      <c r="AQ12" s="142">
        <f t="shared" ca="1" si="20"/>
        <v>30</v>
      </c>
      <c r="AR12" s="154">
        <f t="shared" si="21"/>
        <v>0</v>
      </c>
      <c r="AS12" s="142">
        <f t="shared" si="22"/>
        <v>7</v>
      </c>
      <c r="AT12" t="b">
        <f>OR((F12&gt;0),(NOT(ISBLANK(H12))),SUM(H12:H$373),SUM(G12:G$373))</f>
        <v>0</v>
      </c>
      <c r="AU12" t="b">
        <f t="shared" ca="1" si="5"/>
        <v>1</v>
      </c>
    </row>
    <row r="13" spans="1:47">
      <c r="A13" s="349">
        <f t="shared" si="23"/>
        <v>41646</v>
      </c>
      <c r="B13" s="350">
        <f t="shared" si="24"/>
        <v>41646</v>
      </c>
      <c r="C13" s="351">
        <f t="shared" si="31"/>
        <v>2</v>
      </c>
      <c r="D13" s="352">
        <f t="shared" si="32"/>
        <v>41639</v>
      </c>
      <c r="E13" s="364" t="str">
        <f t="shared" si="6"/>
        <v/>
      </c>
      <c r="F13" s="6"/>
      <c r="G13" s="7" t="str">
        <f t="shared" si="33"/>
        <v/>
      </c>
      <c r="H13" s="8"/>
      <c r="I13" s="8">
        <f t="shared" si="40"/>
        <v>0</v>
      </c>
      <c r="J13" s="129">
        <f t="shared" si="41"/>
        <v>0</v>
      </c>
      <c r="K13" s="8"/>
      <c r="L13" s="8">
        <f t="shared" si="8"/>
        <v>0</v>
      </c>
      <c r="M13" s="129">
        <f t="shared" si="42"/>
        <v>0</v>
      </c>
      <c r="N13" s="129"/>
      <c r="O13" s="129">
        <f t="shared" si="1"/>
        <v>0</v>
      </c>
      <c r="P13" s="129"/>
      <c r="Q13" s="129">
        <f t="shared" si="10"/>
        <v>0</v>
      </c>
      <c r="R13" s="129">
        <f t="shared" si="11"/>
        <v>0</v>
      </c>
      <c r="S13" s="693">
        <f t="shared" si="12"/>
        <v>6</v>
      </c>
      <c r="T13" s="129">
        <f t="shared" si="13"/>
        <v>0</v>
      </c>
      <c r="U13" s="165">
        <f t="shared" si="14"/>
        <v>0</v>
      </c>
      <c r="V13" s="75"/>
      <c r="W13" s="131">
        <f t="shared" si="2"/>
        <v>4.1666666666666664E-2</v>
      </c>
      <c r="X13" s="126">
        <f t="shared" si="15"/>
        <v>0</v>
      </c>
      <c r="Y13" s="127">
        <f t="shared" si="35"/>
        <v>0.33333333333333331</v>
      </c>
      <c r="Z13" s="128">
        <f t="shared" si="36"/>
        <v>0</v>
      </c>
      <c r="AA13" s="76" t="str">
        <f t="shared" si="37"/>
        <v/>
      </c>
      <c r="AB13" s="216">
        <f t="shared" si="3"/>
        <v>0</v>
      </c>
      <c r="AC13" s="163" t="str">
        <f t="shared" si="38"/>
        <v/>
      </c>
      <c r="AD13" s="257">
        <f t="shared" si="39"/>
        <v>0</v>
      </c>
      <c r="AE13" s="138"/>
      <c r="AF13" s="138" t="str">
        <f t="shared" si="26"/>
        <v/>
      </c>
      <c r="AG13" s="77">
        <f t="shared" si="16"/>
        <v>0</v>
      </c>
      <c r="AH13" s="77">
        <f t="shared" si="17"/>
        <v>0</v>
      </c>
      <c r="AI13" s="77" t="str">
        <f t="shared" si="27"/>
        <v/>
      </c>
      <c r="AJ13" s="78">
        <f t="shared" si="4"/>
        <v>1</v>
      </c>
      <c r="AK13" s="139">
        <f>SUM($AC$6:AC13)</f>
        <v>0</v>
      </c>
      <c r="AL13" s="139">
        <f t="shared" ca="1" si="18"/>
        <v>0</v>
      </c>
      <c r="AM13" s="143">
        <f t="shared" si="28"/>
        <v>0</v>
      </c>
      <c r="AN13" s="143">
        <f t="shared" si="29"/>
        <v>0</v>
      </c>
      <c r="AO13" s="143">
        <f t="shared" si="30"/>
        <v>0</v>
      </c>
      <c r="AP13" s="142">
        <f t="shared" si="19"/>
        <v>30</v>
      </c>
      <c r="AQ13" s="142">
        <f t="shared" ca="1" si="20"/>
        <v>30</v>
      </c>
      <c r="AR13" s="154">
        <f>(IF(ISNUMBER(U13),U13,0)+IF(ISNUMBER(AC13),AC13,0))*24</f>
        <v>0</v>
      </c>
      <c r="AS13" s="142">
        <f t="shared" si="22"/>
        <v>0</v>
      </c>
      <c r="AT13" t="b">
        <f>OR((F13&gt;0),(NOT(ISBLANK(H13))),SUM(H13:H$373),SUM(G13:G$373))</f>
        <v>0</v>
      </c>
      <c r="AU13" t="b">
        <f t="shared" ca="1" si="5"/>
        <v>0</v>
      </c>
    </row>
    <row r="14" spans="1:47">
      <c r="A14" s="349">
        <f t="shared" si="23"/>
        <v>41647</v>
      </c>
      <c r="B14" s="350">
        <f t="shared" si="24"/>
        <v>41647</v>
      </c>
      <c r="C14" s="351">
        <f t="shared" si="31"/>
        <v>2</v>
      </c>
      <c r="D14" s="352">
        <f t="shared" si="32"/>
        <v>41639</v>
      </c>
      <c r="E14" s="364" t="str">
        <f t="shared" si="6"/>
        <v/>
      </c>
      <c r="F14" s="6"/>
      <c r="G14" s="7" t="str">
        <f t="shared" si="33"/>
        <v/>
      </c>
      <c r="H14" s="8"/>
      <c r="I14" s="8">
        <f t="shared" si="40"/>
        <v>0</v>
      </c>
      <c r="J14" s="129">
        <f t="shared" si="41"/>
        <v>0</v>
      </c>
      <c r="K14" s="8"/>
      <c r="L14" s="8">
        <f t="shared" si="8"/>
        <v>0</v>
      </c>
      <c r="M14" s="129">
        <f t="shared" si="42"/>
        <v>0</v>
      </c>
      <c r="N14" s="129"/>
      <c r="O14" s="129">
        <f t="shared" si="1"/>
        <v>0</v>
      </c>
      <c r="P14" s="129"/>
      <c r="Q14" s="129">
        <f t="shared" si="10"/>
        <v>0</v>
      </c>
      <c r="R14" s="129">
        <f t="shared" si="11"/>
        <v>0</v>
      </c>
      <c r="S14" s="693">
        <f t="shared" si="12"/>
        <v>6</v>
      </c>
      <c r="T14" s="129">
        <f t="shared" si="13"/>
        <v>0</v>
      </c>
      <c r="U14" s="165">
        <f t="shared" si="14"/>
        <v>0</v>
      </c>
      <c r="V14" s="75"/>
      <c r="W14" s="131">
        <f t="shared" si="2"/>
        <v>4.1666666666666664E-2</v>
      </c>
      <c r="X14" s="126">
        <f t="shared" si="15"/>
        <v>0</v>
      </c>
      <c r="Y14" s="127">
        <f t="shared" si="35"/>
        <v>0.33333333333333331</v>
      </c>
      <c r="Z14" s="128">
        <f t="shared" si="36"/>
        <v>0</v>
      </c>
      <c r="AA14" s="76" t="str">
        <f t="shared" si="37"/>
        <v/>
      </c>
      <c r="AB14" s="216">
        <f t="shared" si="3"/>
        <v>0</v>
      </c>
      <c r="AC14" s="163" t="str">
        <f t="shared" si="38"/>
        <v/>
      </c>
      <c r="AD14" s="257">
        <f t="shared" si="39"/>
        <v>0</v>
      </c>
      <c r="AE14" s="138"/>
      <c r="AF14" s="138" t="str">
        <f t="shared" si="26"/>
        <v/>
      </c>
      <c r="AG14" s="77">
        <f t="shared" si="16"/>
        <v>0</v>
      </c>
      <c r="AH14" s="77">
        <f t="shared" si="17"/>
        <v>0</v>
      </c>
      <c r="AI14" s="77" t="str">
        <f t="shared" si="27"/>
        <v/>
      </c>
      <c r="AJ14" s="78">
        <f t="shared" si="4"/>
        <v>2</v>
      </c>
      <c r="AK14" s="139">
        <f>SUM($AC$6:AC14)</f>
        <v>0</v>
      </c>
      <c r="AL14" s="139">
        <f t="shared" ca="1" si="18"/>
        <v>0</v>
      </c>
      <c r="AM14" s="143">
        <f t="shared" si="28"/>
        <v>0</v>
      </c>
      <c r="AN14" s="143">
        <f t="shared" si="29"/>
        <v>0</v>
      </c>
      <c r="AO14" s="143">
        <f t="shared" si="30"/>
        <v>0</v>
      </c>
      <c r="AP14" s="142">
        <f t="shared" si="19"/>
        <v>30</v>
      </c>
      <c r="AQ14" s="142">
        <f t="shared" ca="1" si="20"/>
        <v>30</v>
      </c>
      <c r="AR14" s="154">
        <f t="shared" ref="AR14:AR77" si="43">(IF(ISNUMBER(U14),U14,0)+IF(ISNUMBER(AC14),AC14,0))*24</f>
        <v>0</v>
      </c>
      <c r="AS14" s="142">
        <f t="shared" si="22"/>
        <v>0</v>
      </c>
      <c r="AT14" t="b">
        <f>OR((F14&gt;0),(NOT(ISBLANK(H14))),SUM(H14:H$373),SUM(G14:G$373))</f>
        <v>0</v>
      </c>
      <c r="AU14" t="b">
        <f t="shared" ca="1" si="5"/>
        <v>0</v>
      </c>
    </row>
    <row r="15" spans="1:47">
      <c r="A15" s="349">
        <f t="shared" si="23"/>
        <v>41648</v>
      </c>
      <c r="B15" s="350">
        <f t="shared" si="24"/>
        <v>41648</v>
      </c>
      <c r="C15" s="351">
        <f t="shared" si="31"/>
        <v>2</v>
      </c>
      <c r="D15" s="352">
        <f t="shared" si="32"/>
        <v>41639</v>
      </c>
      <c r="E15" s="364" t="str">
        <f t="shared" si="6"/>
        <v/>
      </c>
      <c r="F15" s="6"/>
      <c r="G15" s="7" t="str">
        <f t="shared" si="33"/>
        <v/>
      </c>
      <c r="H15" s="8"/>
      <c r="I15" s="8">
        <f t="shared" si="40"/>
        <v>0</v>
      </c>
      <c r="J15" s="129">
        <f t="shared" si="41"/>
        <v>0</v>
      </c>
      <c r="K15" s="8"/>
      <c r="L15" s="8">
        <f t="shared" si="8"/>
        <v>0</v>
      </c>
      <c r="M15" s="129">
        <f t="shared" si="42"/>
        <v>0</v>
      </c>
      <c r="N15" s="129"/>
      <c r="O15" s="129">
        <f t="shared" si="1"/>
        <v>0</v>
      </c>
      <c r="P15" s="129"/>
      <c r="Q15" s="129">
        <f t="shared" si="10"/>
        <v>0</v>
      </c>
      <c r="R15" s="129">
        <f t="shared" si="11"/>
        <v>0</v>
      </c>
      <c r="S15" s="693">
        <f t="shared" si="12"/>
        <v>6</v>
      </c>
      <c r="T15" s="129">
        <f t="shared" si="13"/>
        <v>0</v>
      </c>
      <c r="U15" s="165">
        <f t="shared" si="14"/>
        <v>0</v>
      </c>
      <c r="V15" s="75"/>
      <c r="W15" s="131">
        <f t="shared" si="2"/>
        <v>4.1666666666666664E-2</v>
      </c>
      <c r="X15" s="126">
        <f t="shared" si="15"/>
        <v>0</v>
      </c>
      <c r="Y15" s="127">
        <f t="shared" si="35"/>
        <v>0.33333333333333331</v>
      </c>
      <c r="Z15" s="128">
        <f t="shared" si="36"/>
        <v>0</v>
      </c>
      <c r="AA15" s="76" t="str">
        <f t="shared" si="37"/>
        <v/>
      </c>
      <c r="AB15" s="216">
        <f t="shared" si="3"/>
        <v>0</v>
      </c>
      <c r="AC15" s="163" t="str">
        <f t="shared" si="38"/>
        <v/>
      </c>
      <c r="AD15" s="257">
        <f t="shared" si="39"/>
        <v>0</v>
      </c>
      <c r="AE15" s="138"/>
      <c r="AF15" s="138" t="str">
        <f t="shared" si="26"/>
        <v/>
      </c>
      <c r="AG15" s="77">
        <f t="shared" si="16"/>
        <v>0</v>
      </c>
      <c r="AH15" s="77">
        <f t="shared" si="17"/>
        <v>0</v>
      </c>
      <c r="AI15" s="77" t="str">
        <f t="shared" si="27"/>
        <v/>
      </c>
      <c r="AJ15" s="78">
        <f t="shared" si="4"/>
        <v>3</v>
      </c>
      <c r="AK15" s="139">
        <f>SUM($AC$6:AC15)</f>
        <v>0</v>
      </c>
      <c r="AL15" s="139">
        <f t="shared" ca="1" si="18"/>
        <v>0</v>
      </c>
      <c r="AM15" s="143">
        <f t="shared" si="28"/>
        <v>0</v>
      </c>
      <c r="AN15" s="143">
        <f t="shared" si="29"/>
        <v>0</v>
      </c>
      <c r="AO15" s="143">
        <f t="shared" si="30"/>
        <v>0</v>
      </c>
      <c r="AP15" s="142">
        <f t="shared" si="19"/>
        <v>30</v>
      </c>
      <c r="AQ15" s="142">
        <f t="shared" ca="1" si="20"/>
        <v>30</v>
      </c>
      <c r="AR15" s="154">
        <f t="shared" si="43"/>
        <v>0</v>
      </c>
      <c r="AS15" s="142">
        <f t="shared" si="22"/>
        <v>0</v>
      </c>
      <c r="AT15" t="b">
        <f>OR((F15&gt;0),(NOT(ISBLANK(H15))),SUM(H15:H$373),SUM(G15:G$373))</f>
        <v>0</v>
      </c>
      <c r="AU15" t="b">
        <f t="shared" ca="1" si="5"/>
        <v>0</v>
      </c>
    </row>
    <row r="16" spans="1:47">
      <c r="A16" s="349">
        <f t="shared" si="23"/>
        <v>41649</v>
      </c>
      <c r="B16" s="350">
        <f t="shared" si="24"/>
        <v>41649</v>
      </c>
      <c r="C16" s="351">
        <f t="shared" si="31"/>
        <v>2</v>
      </c>
      <c r="D16" s="352">
        <f t="shared" si="32"/>
        <v>41639</v>
      </c>
      <c r="E16" s="364" t="str">
        <f t="shared" si="6"/>
        <v/>
      </c>
      <c r="F16" s="6"/>
      <c r="G16" s="7" t="str">
        <f t="shared" si="33"/>
        <v/>
      </c>
      <c r="H16" s="8"/>
      <c r="I16" s="8">
        <f t="shared" si="40"/>
        <v>0</v>
      </c>
      <c r="J16" s="129">
        <f t="shared" si="41"/>
        <v>0</v>
      </c>
      <c r="K16" s="8"/>
      <c r="L16" s="8">
        <f t="shared" si="8"/>
        <v>0</v>
      </c>
      <c r="M16" s="129">
        <f t="shared" si="42"/>
        <v>0</v>
      </c>
      <c r="N16" s="129"/>
      <c r="O16" s="129">
        <f t="shared" si="1"/>
        <v>0</v>
      </c>
      <c r="P16" s="129"/>
      <c r="Q16" s="129">
        <f t="shared" si="10"/>
        <v>0</v>
      </c>
      <c r="R16" s="129">
        <f t="shared" si="11"/>
        <v>0</v>
      </c>
      <c r="S16" s="693">
        <f t="shared" si="12"/>
        <v>6</v>
      </c>
      <c r="T16" s="129">
        <f t="shared" si="13"/>
        <v>0</v>
      </c>
      <c r="U16" s="165">
        <f t="shared" si="14"/>
        <v>0</v>
      </c>
      <c r="V16" s="75"/>
      <c r="W16" s="131">
        <f t="shared" si="2"/>
        <v>4.1666666666666664E-2</v>
      </c>
      <c r="X16" s="126">
        <f t="shared" si="15"/>
        <v>0</v>
      </c>
      <c r="Y16" s="127">
        <f t="shared" si="35"/>
        <v>0.33333333333333331</v>
      </c>
      <c r="Z16" s="128">
        <f t="shared" si="36"/>
        <v>0</v>
      </c>
      <c r="AA16" s="76" t="str">
        <f t="shared" si="37"/>
        <v/>
      </c>
      <c r="AB16" s="216">
        <f t="shared" si="3"/>
        <v>0</v>
      </c>
      <c r="AC16" s="163" t="str">
        <f t="shared" si="38"/>
        <v/>
      </c>
      <c r="AD16" s="257">
        <f t="shared" si="39"/>
        <v>0</v>
      </c>
      <c r="AE16" s="138"/>
      <c r="AF16" s="138" t="str">
        <f t="shared" si="26"/>
        <v/>
      </c>
      <c r="AG16" s="77">
        <f t="shared" si="16"/>
        <v>0</v>
      </c>
      <c r="AH16" s="77">
        <f t="shared" si="17"/>
        <v>0</v>
      </c>
      <c r="AI16" s="77" t="str">
        <f t="shared" si="27"/>
        <v/>
      </c>
      <c r="AJ16" s="78">
        <f t="shared" si="4"/>
        <v>4</v>
      </c>
      <c r="AK16" s="139">
        <f>SUM($AC$6:AC16)</f>
        <v>0</v>
      </c>
      <c r="AL16" s="139">
        <f t="shared" ca="1" si="18"/>
        <v>0</v>
      </c>
      <c r="AM16" s="143">
        <f t="shared" si="28"/>
        <v>0</v>
      </c>
      <c r="AN16" s="143">
        <f t="shared" si="29"/>
        <v>0</v>
      </c>
      <c r="AO16" s="143">
        <f t="shared" si="30"/>
        <v>0</v>
      </c>
      <c r="AP16" s="142">
        <f t="shared" si="19"/>
        <v>30</v>
      </c>
      <c r="AQ16" s="142">
        <f t="shared" ca="1" si="20"/>
        <v>30</v>
      </c>
      <c r="AR16" s="154">
        <f t="shared" si="43"/>
        <v>0</v>
      </c>
      <c r="AS16" s="142">
        <f t="shared" si="22"/>
        <v>0</v>
      </c>
      <c r="AT16" t="b">
        <f>OR((F16&gt;0),(NOT(ISBLANK(H16))),SUM(H16:H$373),SUM(G16:G$373))</f>
        <v>0</v>
      </c>
      <c r="AU16" t="b">
        <f t="shared" ca="1" si="5"/>
        <v>0</v>
      </c>
    </row>
    <row r="17" spans="1:49">
      <c r="A17" s="349">
        <f t="shared" si="23"/>
        <v>41650</v>
      </c>
      <c r="B17" s="350">
        <f t="shared" si="24"/>
        <v>41650</v>
      </c>
      <c r="C17" s="351">
        <f t="shared" si="31"/>
        <v>2</v>
      </c>
      <c r="D17" s="352">
        <f t="shared" si="32"/>
        <v>41639</v>
      </c>
      <c r="E17" s="364" t="str">
        <f t="shared" si="6"/>
        <v/>
      </c>
      <c r="F17" s="6"/>
      <c r="G17" s="7" t="str">
        <f t="shared" si="33"/>
        <v/>
      </c>
      <c r="H17" s="8"/>
      <c r="I17" s="8">
        <f t="shared" si="40"/>
        <v>0</v>
      </c>
      <c r="J17" s="129">
        <f t="shared" si="41"/>
        <v>0</v>
      </c>
      <c r="K17" s="8"/>
      <c r="L17" s="8">
        <f t="shared" si="8"/>
        <v>0</v>
      </c>
      <c r="M17" s="129">
        <f t="shared" si="42"/>
        <v>0</v>
      </c>
      <c r="N17" s="129"/>
      <c r="O17" s="129">
        <f t="shared" si="1"/>
        <v>0</v>
      </c>
      <c r="P17" s="129"/>
      <c r="Q17" s="129">
        <f t="shared" si="10"/>
        <v>0</v>
      </c>
      <c r="R17" s="129">
        <f t="shared" si="11"/>
        <v>0</v>
      </c>
      <c r="S17" s="693">
        <f t="shared" si="12"/>
        <v>6</v>
      </c>
      <c r="T17" s="129">
        <f>IF((J17-H17)&gt;=TIME(S17,0,1),W17,(IF(OR(R17&lt;TIME(S17,0,1),AND(K17&lt;&gt;0,(K17-J17)&gt;=W17)),0,IF(AND(K17&lt;&gt;0,(K17-J17)&lt;W17),W17-(K17-J17),W17))))</f>
        <v>0</v>
      </c>
      <c r="U17" s="165">
        <f t="shared" si="14"/>
        <v>0</v>
      </c>
      <c r="V17" s="75"/>
      <c r="W17" s="131">
        <f t="shared" si="2"/>
        <v>4.1666666666666664E-2</v>
      </c>
      <c r="X17" s="126">
        <f t="shared" si="15"/>
        <v>0</v>
      </c>
      <c r="Y17" s="127">
        <f t="shared" si="35"/>
        <v>0.33333333333333331</v>
      </c>
      <c r="Z17" s="128">
        <f t="shared" si="36"/>
        <v>0</v>
      </c>
      <c r="AA17" s="76" t="str">
        <f t="shared" si="37"/>
        <v/>
      </c>
      <c r="AB17" s="216">
        <f t="shared" si="3"/>
        <v>0</v>
      </c>
      <c r="AC17" s="163" t="str">
        <f t="shared" si="38"/>
        <v/>
      </c>
      <c r="AD17" s="257">
        <f t="shared" si="39"/>
        <v>0</v>
      </c>
      <c r="AE17" s="138"/>
      <c r="AF17" s="138" t="str">
        <f t="shared" si="26"/>
        <v/>
      </c>
      <c r="AG17" s="77">
        <f t="shared" si="16"/>
        <v>0</v>
      </c>
      <c r="AH17" s="77">
        <f t="shared" si="17"/>
        <v>0</v>
      </c>
      <c r="AI17" s="77" t="str">
        <f t="shared" si="27"/>
        <v/>
      </c>
      <c r="AJ17" s="78">
        <f t="shared" si="4"/>
        <v>5</v>
      </c>
      <c r="AK17" s="139">
        <f>SUM($AC$6:AC17)</f>
        <v>0</v>
      </c>
      <c r="AL17" s="139">
        <f t="shared" ca="1" si="18"/>
        <v>0</v>
      </c>
      <c r="AM17" s="143">
        <f t="shared" si="28"/>
        <v>0</v>
      </c>
      <c r="AN17" s="143">
        <f t="shared" si="29"/>
        <v>0</v>
      </c>
      <c r="AO17" s="143">
        <f t="shared" si="30"/>
        <v>0</v>
      </c>
      <c r="AP17" s="142">
        <f t="shared" si="19"/>
        <v>30</v>
      </c>
      <c r="AQ17" s="142">
        <f t="shared" ca="1" si="20"/>
        <v>30</v>
      </c>
      <c r="AR17" s="154">
        <f t="shared" si="43"/>
        <v>0</v>
      </c>
      <c r="AS17" s="142">
        <f t="shared" si="22"/>
        <v>0</v>
      </c>
      <c r="AT17" t="b">
        <f>OR((F17&gt;0),(NOT(ISBLANK(H17))),SUM(H17:H$373),SUM(G17:G$373))</f>
        <v>0</v>
      </c>
      <c r="AU17" t="b">
        <f t="shared" ca="1" si="5"/>
        <v>0</v>
      </c>
    </row>
    <row r="18" spans="1:49">
      <c r="A18" s="349">
        <f t="shared" si="23"/>
        <v>41651</v>
      </c>
      <c r="B18" s="350">
        <f t="shared" si="24"/>
        <v>41651</v>
      </c>
      <c r="C18" s="351">
        <f t="shared" si="31"/>
        <v>2</v>
      </c>
      <c r="D18" s="352">
        <f t="shared" si="32"/>
        <v>41639</v>
      </c>
      <c r="E18" s="364" t="str">
        <f t="shared" si="6"/>
        <v/>
      </c>
      <c r="F18" s="6"/>
      <c r="G18" s="7" t="str">
        <f t="shared" si="33"/>
        <v/>
      </c>
      <c r="H18" s="8"/>
      <c r="I18" s="8">
        <f t="shared" si="40"/>
        <v>0</v>
      </c>
      <c r="J18" s="129">
        <f t="shared" si="34"/>
        <v>0</v>
      </c>
      <c r="K18" s="8"/>
      <c r="L18" s="8">
        <f t="shared" si="8"/>
        <v>0</v>
      </c>
      <c r="M18" s="129">
        <f t="shared" si="9"/>
        <v>0</v>
      </c>
      <c r="N18" s="129"/>
      <c r="O18" s="129">
        <f t="shared" si="1"/>
        <v>0</v>
      </c>
      <c r="P18" s="129"/>
      <c r="Q18" s="129">
        <f t="shared" si="10"/>
        <v>0</v>
      </c>
      <c r="R18" s="129">
        <f t="shared" si="11"/>
        <v>0</v>
      </c>
      <c r="S18" s="693">
        <f t="shared" si="12"/>
        <v>6</v>
      </c>
      <c r="T18" s="129">
        <f t="shared" ref="T18:T81" si="44">IF((J18-H18)&gt;=TIME(S18,0,1),W18,(IF(OR(R18&lt;TIME(S18,0,1),AND(K18&lt;&gt;0,(K18-J18)&gt;=W18)),0,IF(AND(K18&lt;&gt;0,(K18-J18)&lt;W18),W18-(K18-J18),W18))))</f>
        <v>0</v>
      </c>
      <c r="U18" s="165">
        <f t="shared" si="14"/>
        <v>0</v>
      </c>
      <c r="V18" s="75"/>
      <c r="W18" s="131">
        <f t="shared" si="2"/>
        <v>4.1666666666666664E-2</v>
      </c>
      <c r="X18" s="126">
        <f t="shared" si="15"/>
        <v>0</v>
      </c>
      <c r="Y18" s="127">
        <f t="shared" si="35"/>
        <v>0</v>
      </c>
      <c r="Z18" s="128">
        <f t="shared" si="36"/>
        <v>0</v>
      </c>
      <c r="AA18" s="76" t="str">
        <f t="shared" si="37"/>
        <v/>
      </c>
      <c r="AB18" s="216">
        <f t="shared" si="3"/>
        <v>0</v>
      </c>
      <c r="AC18" s="163" t="str">
        <f t="shared" si="38"/>
        <v/>
      </c>
      <c r="AD18" s="257">
        <f t="shared" si="39"/>
        <v>0</v>
      </c>
      <c r="AE18" s="138"/>
      <c r="AF18" s="138" t="str">
        <f t="shared" si="26"/>
        <v/>
      </c>
      <c r="AG18" s="77">
        <f t="shared" si="16"/>
        <v>0</v>
      </c>
      <c r="AH18" s="77">
        <f t="shared" si="17"/>
        <v>0</v>
      </c>
      <c r="AI18" s="77" t="str">
        <f t="shared" si="27"/>
        <v/>
      </c>
      <c r="AJ18" s="78">
        <f t="shared" si="4"/>
        <v>6</v>
      </c>
      <c r="AK18" s="139">
        <f>SUM($AC$6:AC18)</f>
        <v>0</v>
      </c>
      <c r="AL18" s="139">
        <f t="shared" ca="1" si="18"/>
        <v>0</v>
      </c>
      <c r="AM18" s="143">
        <f t="shared" si="28"/>
        <v>0</v>
      </c>
      <c r="AN18" s="143">
        <f t="shared" si="29"/>
        <v>0</v>
      </c>
      <c r="AO18" s="143">
        <f t="shared" si="30"/>
        <v>0</v>
      </c>
      <c r="AP18" s="142">
        <f t="shared" si="19"/>
        <v>30</v>
      </c>
      <c r="AQ18" s="142">
        <f t="shared" ca="1" si="20"/>
        <v>30</v>
      </c>
      <c r="AR18" s="154">
        <f t="shared" si="43"/>
        <v>0</v>
      </c>
      <c r="AS18" s="142">
        <f t="shared" si="22"/>
        <v>7</v>
      </c>
      <c r="AT18" t="b">
        <f>OR((F18&gt;0),(NOT(ISBLANK(H18))),SUM(H18:H$373),SUM(G18:G$373))</f>
        <v>0</v>
      </c>
      <c r="AU18" t="b">
        <f t="shared" ca="1" si="5"/>
        <v>1</v>
      </c>
      <c r="AW18" s="691"/>
    </row>
    <row r="19" spans="1:49">
      <c r="A19" s="349">
        <f t="shared" si="23"/>
        <v>41652</v>
      </c>
      <c r="B19" s="350">
        <f t="shared" si="24"/>
        <v>41652</v>
      </c>
      <c r="C19" s="351">
        <f t="shared" si="31"/>
        <v>2</v>
      </c>
      <c r="D19" s="352">
        <f t="shared" si="32"/>
        <v>41639</v>
      </c>
      <c r="E19" s="364" t="str">
        <f t="shared" si="6"/>
        <v/>
      </c>
      <c r="F19" s="6"/>
      <c r="G19" s="7" t="str">
        <f t="shared" si="33"/>
        <v/>
      </c>
      <c r="H19" s="8"/>
      <c r="I19" s="8">
        <f t="shared" si="40"/>
        <v>0</v>
      </c>
      <c r="J19" s="129">
        <f t="shared" si="34"/>
        <v>0</v>
      </c>
      <c r="K19" s="8"/>
      <c r="L19" s="8">
        <f t="shared" si="8"/>
        <v>0</v>
      </c>
      <c r="M19" s="129">
        <f t="shared" si="9"/>
        <v>0</v>
      </c>
      <c r="N19" s="129"/>
      <c r="O19" s="129">
        <f t="shared" si="1"/>
        <v>0</v>
      </c>
      <c r="P19" s="129"/>
      <c r="Q19" s="129">
        <f t="shared" si="10"/>
        <v>0</v>
      </c>
      <c r="R19" s="129">
        <f t="shared" si="11"/>
        <v>0</v>
      </c>
      <c r="S19" s="693">
        <f t="shared" si="12"/>
        <v>6</v>
      </c>
      <c r="T19" s="129">
        <f t="shared" si="44"/>
        <v>0</v>
      </c>
      <c r="U19" s="165">
        <f t="shared" si="14"/>
        <v>0</v>
      </c>
      <c r="V19" s="75"/>
      <c r="W19" s="131">
        <f t="shared" si="2"/>
        <v>4.1666666666666664E-2</v>
      </c>
      <c r="X19" s="126">
        <f t="shared" si="15"/>
        <v>0</v>
      </c>
      <c r="Y19" s="127">
        <f t="shared" si="35"/>
        <v>0</v>
      </c>
      <c r="Z19" s="128">
        <f t="shared" si="36"/>
        <v>0</v>
      </c>
      <c r="AA19" s="76" t="str">
        <f t="shared" si="37"/>
        <v/>
      </c>
      <c r="AB19" s="216">
        <f t="shared" si="3"/>
        <v>0</v>
      </c>
      <c r="AC19" s="163" t="str">
        <f t="shared" si="38"/>
        <v/>
      </c>
      <c r="AD19" s="257">
        <f t="shared" si="39"/>
        <v>0</v>
      </c>
      <c r="AE19" s="138"/>
      <c r="AF19" s="138" t="str">
        <f t="shared" si="26"/>
        <v/>
      </c>
      <c r="AG19" s="77">
        <f t="shared" si="16"/>
        <v>0</v>
      </c>
      <c r="AH19" s="77">
        <f t="shared" si="17"/>
        <v>0</v>
      </c>
      <c r="AI19" s="77" t="str">
        <f t="shared" si="27"/>
        <v/>
      </c>
      <c r="AJ19" s="78">
        <f t="shared" si="4"/>
        <v>7</v>
      </c>
      <c r="AK19" s="139">
        <f>SUM($AC$6:AC19)</f>
        <v>0</v>
      </c>
      <c r="AL19" s="139">
        <f t="shared" ca="1" si="18"/>
        <v>0</v>
      </c>
      <c r="AM19" s="143">
        <f t="shared" si="28"/>
        <v>0</v>
      </c>
      <c r="AN19" s="143">
        <f t="shared" si="29"/>
        <v>0</v>
      </c>
      <c r="AO19" s="143">
        <f t="shared" si="30"/>
        <v>0</v>
      </c>
      <c r="AP19" s="142">
        <f t="shared" si="19"/>
        <v>30</v>
      </c>
      <c r="AQ19" s="142">
        <f t="shared" ca="1" si="20"/>
        <v>30</v>
      </c>
      <c r="AR19" s="154">
        <f t="shared" si="43"/>
        <v>0</v>
      </c>
      <c r="AS19" s="142">
        <f t="shared" si="22"/>
        <v>7</v>
      </c>
      <c r="AT19" t="b">
        <f>OR((F19&gt;0),(NOT(ISBLANK(H19))),SUM(H19:H$373),SUM(G19:G$373))</f>
        <v>0</v>
      </c>
      <c r="AU19" t="b">
        <f t="shared" ca="1" si="5"/>
        <v>1</v>
      </c>
    </row>
    <row r="20" spans="1:49">
      <c r="A20" s="349">
        <f t="shared" si="23"/>
        <v>41653</v>
      </c>
      <c r="B20" s="350">
        <f t="shared" si="24"/>
        <v>41653</v>
      </c>
      <c r="C20" s="351">
        <f t="shared" si="31"/>
        <v>3</v>
      </c>
      <c r="D20" s="352">
        <f t="shared" si="32"/>
        <v>41639</v>
      </c>
      <c r="E20" s="364" t="str">
        <f t="shared" si="6"/>
        <v/>
      </c>
      <c r="F20" s="6"/>
      <c r="G20" s="7" t="str">
        <f t="shared" si="33"/>
        <v/>
      </c>
      <c r="H20" s="8"/>
      <c r="I20" s="8">
        <f t="shared" ref="I20:I81" si="45">IF(H20&gt;0,H20+X20+W20+AB20,0)</f>
        <v>0</v>
      </c>
      <c r="J20" s="129">
        <f t="shared" si="34"/>
        <v>0</v>
      </c>
      <c r="K20" s="8"/>
      <c r="L20" s="8">
        <f t="shared" si="8"/>
        <v>0</v>
      </c>
      <c r="M20" s="129">
        <f t="shared" si="9"/>
        <v>0</v>
      </c>
      <c r="N20" s="129"/>
      <c r="O20" s="129">
        <f t="shared" si="1"/>
        <v>0</v>
      </c>
      <c r="P20" s="129"/>
      <c r="Q20" s="129">
        <f t="shared" si="10"/>
        <v>0</v>
      </c>
      <c r="R20" s="129">
        <f t="shared" si="11"/>
        <v>0</v>
      </c>
      <c r="S20" s="693">
        <f t="shared" si="12"/>
        <v>6</v>
      </c>
      <c r="T20" s="129">
        <f t="shared" si="44"/>
        <v>0</v>
      </c>
      <c r="U20" s="165">
        <f t="shared" si="14"/>
        <v>0</v>
      </c>
      <c r="V20" s="75"/>
      <c r="W20" s="131">
        <f t="shared" si="2"/>
        <v>4.1666666666666664E-2</v>
      </c>
      <c r="X20" s="126">
        <f t="shared" si="15"/>
        <v>0</v>
      </c>
      <c r="Y20" s="127">
        <f t="shared" si="35"/>
        <v>0.33333333333333331</v>
      </c>
      <c r="Z20" s="128">
        <f t="shared" si="36"/>
        <v>0</v>
      </c>
      <c r="AA20" s="76" t="str">
        <f t="shared" si="37"/>
        <v/>
      </c>
      <c r="AB20" s="216">
        <f t="shared" si="3"/>
        <v>0</v>
      </c>
      <c r="AC20" s="163" t="str">
        <f t="shared" si="38"/>
        <v/>
      </c>
      <c r="AD20" s="257">
        <f t="shared" si="39"/>
        <v>0</v>
      </c>
      <c r="AE20" s="138"/>
      <c r="AF20" s="138" t="str">
        <f t="shared" si="26"/>
        <v/>
      </c>
      <c r="AG20" s="77">
        <f t="shared" si="16"/>
        <v>0</v>
      </c>
      <c r="AH20" s="77">
        <f t="shared" si="17"/>
        <v>0</v>
      </c>
      <c r="AI20" s="77" t="str">
        <f t="shared" si="27"/>
        <v/>
      </c>
      <c r="AJ20" s="78">
        <f t="shared" si="4"/>
        <v>1</v>
      </c>
      <c r="AK20" s="139">
        <f>SUM($AC$6:AC20)</f>
        <v>0</v>
      </c>
      <c r="AL20" s="139">
        <f t="shared" ca="1" si="18"/>
        <v>0</v>
      </c>
      <c r="AM20" s="143">
        <f t="shared" si="28"/>
        <v>0</v>
      </c>
      <c r="AN20" s="143">
        <f t="shared" si="29"/>
        <v>0</v>
      </c>
      <c r="AO20" s="143">
        <f t="shared" si="30"/>
        <v>0</v>
      </c>
      <c r="AP20" s="142">
        <f t="shared" si="19"/>
        <v>30</v>
      </c>
      <c r="AQ20" s="142">
        <f t="shared" ca="1" si="20"/>
        <v>30</v>
      </c>
      <c r="AR20" s="154">
        <f t="shared" si="43"/>
        <v>0</v>
      </c>
      <c r="AS20" s="142">
        <f t="shared" si="22"/>
        <v>0</v>
      </c>
      <c r="AT20" t="b">
        <f>OR((F20&gt;0),(NOT(ISBLANK(H20))),SUM(H20:H$373),SUM(G20:G$373))</f>
        <v>0</v>
      </c>
      <c r="AU20" t="b">
        <f t="shared" ca="1" si="5"/>
        <v>0</v>
      </c>
    </row>
    <row r="21" spans="1:49">
      <c r="A21" s="349">
        <f t="shared" si="23"/>
        <v>41654</v>
      </c>
      <c r="B21" s="350">
        <f t="shared" si="24"/>
        <v>41654</v>
      </c>
      <c r="C21" s="351">
        <f t="shared" si="31"/>
        <v>3</v>
      </c>
      <c r="D21" s="352">
        <f t="shared" si="32"/>
        <v>41639</v>
      </c>
      <c r="E21" s="364" t="str">
        <f t="shared" si="6"/>
        <v/>
      </c>
      <c r="F21" s="6"/>
      <c r="G21" s="7" t="str">
        <f t="shared" si="33"/>
        <v/>
      </c>
      <c r="H21" s="8"/>
      <c r="I21" s="8">
        <f t="shared" si="45"/>
        <v>0</v>
      </c>
      <c r="J21" s="129">
        <f t="shared" si="34"/>
        <v>0</v>
      </c>
      <c r="K21" s="8"/>
      <c r="L21" s="8">
        <f t="shared" si="8"/>
        <v>0</v>
      </c>
      <c r="M21" s="129">
        <f t="shared" si="9"/>
        <v>0</v>
      </c>
      <c r="N21" s="129"/>
      <c r="O21" s="129">
        <f t="shared" si="1"/>
        <v>0</v>
      </c>
      <c r="P21" s="129"/>
      <c r="Q21" s="129">
        <f t="shared" si="10"/>
        <v>0</v>
      </c>
      <c r="R21" s="129">
        <f t="shared" si="11"/>
        <v>0</v>
      </c>
      <c r="S21" s="693">
        <f t="shared" si="12"/>
        <v>6</v>
      </c>
      <c r="T21" s="129">
        <f t="shared" si="44"/>
        <v>0</v>
      </c>
      <c r="U21" s="165">
        <f t="shared" si="14"/>
        <v>0</v>
      </c>
      <c r="V21" s="75"/>
      <c r="W21" s="131">
        <f t="shared" si="2"/>
        <v>4.1666666666666664E-2</v>
      </c>
      <c r="X21" s="126">
        <f t="shared" si="15"/>
        <v>0</v>
      </c>
      <c r="Y21" s="127">
        <f t="shared" si="35"/>
        <v>0.33333333333333331</v>
      </c>
      <c r="Z21" s="128">
        <f t="shared" si="36"/>
        <v>0</v>
      </c>
      <c r="AA21" s="76" t="str">
        <f t="shared" si="37"/>
        <v/>
      </c>
      <c r="AB21" s="216">
        <f t="shared" si="3"/>
        <v>0</v>
      </c>
      <c r="AC21" s="163" t="str">
        <f t="shared" si="38"/>
        <v/>
      </c>
      <c r="AD21" s="257">
        <f t="shared" si="39"/>
        <v>0</v>
      </c>
      <c r="AE21" s="138"/>
      <c r="AF21" s="138" t="str">
        <f t="shared" si="26"/>
        <v/>
      </c>
      <c r="AG21" s="77">
        <f t="shared" si="16"/>
        <v>0</v>
      </c>
      <c r="AH21" s="77">
        <f t="shared" si="17"/>
        <v>0</v>
      </c>
      <c r="AI21" s="77" t="str">
        <f t="shared" si="27"/>
        <v/>
      </c>
      <c r="AJ21" s="78">
        <f t="shared" si="4"/>
        <v>2</v>
      </c>
      <c r="AK21" s="139">
        <f>SUM($AC$6:AC21)</f>
        <v>0</v>
      </c>
      <c r="AL21" s="139">
        <f t="shared" ca="1" si="18"/>
        <v>0</v>
      </c>
      <c r="AM21" s="143">
        <f t="shared" si="28"/>
        <v>0</v>
      </c>
      <c r="AN21" s="143">
        <f t="shared" si="29"/>
        <v>0</v>
      </c>
      <c r="AO21" s="143">
        <f t="shared" si="30"/>
        <v>0</v>
      </c>
      <c r="AP21" s="142">
        <f t="shared" si="19"/>
        <v>30</v>
      </c>
      <c r="AQ21" s="142">
        <f t="shared" ca="1" si="20"/>
        <v>30</v>
      </c>
      <c r="AR21" s="154">
        <f t="shared" si="43"/>
        <v>0</v>
      </c>
      <c r="AS21" s="142">
        <f t="shared" si="22"/>
        <v>0</v>
      </c>
      <c r="AT21" t="b">
        <f>OR((F21&gt;0),(NOT(ISBLANK(H21))),SUM(H21:H$373),SUM(G21:G$373))</f>
        <v>0</v>
      </c>
      <c r="AU21" t="b">
        <f t="shared" ca="1" si="5"/>
        <v>0</v>
      </c>
    </row>
    <row r="22" spans="1:49">
      <c r="A22" s="349">
        <f t="shared" si="23"/>
        <v>41655</v>
      </c>
      <c r="B22" s="350">
        <f t="shared" si="24"/>
        <v>41655</v>
      </c>
      <c r="C22" s="351">
        <f t="shared" si="31"/>
        <v>3</v>
      </c>
      <c r="D22" s="352">
        <f t="shared" si="32"/>
        <v>41639</v>
      </c>
      <c r="E22" s="364" t="str">
        <f t="shared" si="6"/>
        <v/>
      </c>
      <c r="F22" s="6"/>
      <c r="G22" s="7" t="str">
        <f t="shared" si="33"/>
        <v/>
      </c>
      <c r="H22" s="8"/>
      <c r="I22" s="8">
        <f t="shared" si="45"/>
        <v>0</v>
      </c>
      <c r="J22" s="129">
        <f t="shared" si="34"/>
        <v>0</v>
      </c>
      <c r="K22" s="8"/>
      <c r="L22" s="8">
        <f t="shared" si="8"/>
        <v>0</v>
      </c>
      <c r="M22" s="129">
        <f t="shared" si="9"/>
        <v>0</v>
      </c>
      <c r="N22" s="129"/>
      <c r="O22" s="129">
        <f t="shared" si="1"/>
        <v>0</v>
      </c>
      <c r="P22" s="129"/>
      <c r="Q22" s="129">
        <f t="shared" si="10"/>
        <v>0</v>
      </c>
      <c r="R22" s="129">
        <f t="shared" si="11"/>
        <v>0</v>
      </c>
      <c r="S22" s="693">
        <f t="shared" si="12"/>
        <v>6</v>
      </c>
      <c r="T22" s="129">
        <f t="shared" si="44"/>
        <v>0</v>
      </c>
      <c r="U22" s="165">
        <f t="shared" si="14"/>
        <v>0</v>
      </c>
      <c r="V22" s="75"/>
      <c r="W22" s="131">
        <f t="shared" si="2"/>
        <v>4.1666666666666664E-2</v>
      </c>
      <c r="X22" s="126">
        <f t="shared" si="15"/>
        <v>0</v>
      </c>
      <c r="Y22" s="127">
        <f t="shared" si="35"/>
        <v>0.33333333333333331</v>
      </c>
      <c r="Z22" s="128">
        <f t="shared" si="36"/>
        <v>0</v>
      </c>
      <c r="AA22" s="76" t="str">
        <f t="shared" si="37"/>
        <v/>
      </c>
      <c r="AB22" s="216">
        <f t="shared" si="3"/>
        <v>0</v>
      </c>
      <c r="AC22" s="163" t="str">
        <f t="shared" si="38"/>
        <v/>
      </c>
      <c r="AD22" s="257">
        <f t="shared" si="39"/>
        <v>0</v>
      </c>
      <c r="AE22" s="138"/>
      <c r="AF22" s="138" t="str">
        <f t="shared" si="26"/>
        <v/>
      </c>
      <c r="AG22" s="77">
        <f t="shared" si="16"/>
        <v>0</v>
      </c>
      <c r="AH22" s="77">
        <f t="shared" si="17"/>
        <v>0</v>
      </c>
      <c r="AI22" s="77" t="str">
        <f t="shared" si="27"/>
        <v/>
      </c>
      <c r="AJ22" s="78">
        <f t="shared" si="4"/>
        <v>3</v>
      </c>
      <c r="AK22" s="139">
        <f>SUM($AC$6:AC22)</f>
        <v>0</v>
      </c>
      <c r="AL22" s="139">
        <f t="shared" ca="1" si="18"/>
        <v>0</v>
      </c>
      <c r="AM22" s="143">
        <f t="shared" si="28"/>
        <v>0</v>
      </c>
      <c r="AN22" s="143">
        <f t="shared" si="29"/>
        <v>0</v>
      </c>
      <c r="AO22" s="143">
        <f t="shared" si="30"/>
        <v>0</v>
      </c>
      <c r="AP22" s="142">
        <f t="shared" si="19"/>
        <v>30</v>
      </c>
      <c r="AQ22" s="142">
        <f t="shared" ca="1" si="20"/>
        <v>30</v>
      </c>
      <c r="AR22" s="154">
        <f t="shared" si="43"/>
        <v>0</v>
      </c>
      <c r="AS22" s="142">
        <f t="shared" si="22"/>
        <v>0</v>
      </c>
      <c r="AT22" t="b">
        <f>OR((F22&gt;0),(NOT(ISBLANK(H22))),SUM(H22:H$373),SUM(G22:G$373))</f>
        <v>0</v>
      </c>
      <c r="AU22" t="b">
        <f t="shared" ca="1" si="5"/>
        <v>0</v>
      </c>
    </row>
    <row r="23" spans="1:49">
      <c r="A23" s="349">
        <f t="shared" si="23"/>
        <v>41656</v>
      </c>
      <c r="B23" s="350">
        <f t="shared" si="24"/>
        <v>41656</v>
      </c>
      <c r="C23" s="351">
        <f t="shared" si="31"/>
        <v>3</v>
      </c>
      <c r="D23" s="352">
        <f t="shared" si="32"/>
        <v>41639</v>
      </c>
      <c r="E23" s="364" t="str">
        <f t="shared" si="6"/>
        <v/>
      </c>
      <c r="F23" s="6"/>
      <c r="G23" s="7" t="str">
        <f t="shared" si="33"/>
        <v/>
      </c>
      <c r="H23" s="8"/>
      <c r="I23" s="8">
        <f t="shared" si="45"/>
        <v>0</v>
      </c>
      <c r="J23" s="129">
        <f t="shared" si="34"/>
        <v>0</v>
      </c>
      <c r="K23" s="8"/>
      <c r="L23" s="8">
        <f t="shared" si="8"/>
        <v>0</v>
      </c>
      <c r="M23" s="129">
        <f t="shared" si="9"/>
        <v>0</v>
      </c>
      <c r="N23" s="129"/>
      <c r="O23" s="129">
        <f t="shared" si="1"/>
        <v>0</v>
      </c>
      <c r="P23" s="129"/>
      <c r="Q23" s="129">
        <f t="shared" si="10"/>
        <v>0</v>
      </c>
      <c r="R23" s="129">
        <f t="shared" si="11"/>
        <v>0</v>
      </c>
      <c r="S23" s="693">
        <f t="shared" si="12"/>
        <v>6</v>
      </c>
      <c r="T23" s="129">
        <f t="shared" si="44"/>
        <v>0</v>
      </c>
      <c r="U23" s="165">
        <f t="shared" si="14"/>
        <v>0</v>
      </c>
      <c r="V23" s="75"/>
      <c r="W23" s="131">
        <f t="shared" si="2"/>
        <v>4.1666666666666664E-2</v>
      </c>
      <c r="X23" s="126">
        <f t="shared" si="15"/>
        <v>0</v>
      </c>
      <c r="Y23" s="127">
        <f t="shared" si="35"/>
        <v>0.33333333333333331</v>
      </c>
      <c r="Z23" s="128">
        <f t="shared" si="36"/>
        <v>0</v>
      </c>
      <c r="AA23" s="76" t="str">
        <f t="shared" si="37"/>
        <v/>
      </c>
      <c r="AB23" s="216">
        <f t="shared" si="3"/>
        <v>0</v>
      </c>
      <c r="AC23" s="163" t="str">
        <f t="shared" si="38"/>
        <v/>
      </c>
      <c r="AD23" s="257">
        <f t="shared" si="39"/>
        <v>0</v>
      </c>
      <c r="AE23" s="138"/>
      <c r="AF23" s="138" t="str">
        <f t="shared" si="26"/>
        <v/>
      </c>
      <c r="AG23" s="77">
        <f t="shared" si="16"/>
        <v>0</v>
      </c>
      <c r="AH23" s="77">
        <f t="shared" si="17"/>
        <v>0</v>
      </c>
      <c r="AI23" s="77" t="str">
        <f t="shared" si="27"/>
        <v/>
      </c>
      <c r="AJ23" s="78">
        <f t="shared" si="4"/>
        <v>4</v>
      </c>
      <c r="AK23" s="139">
        <f>SUM($AC$6:AC23)</f>
        <v>0</v>
      </c>
      <c r="AL23" s="139">
        <f t="shared" ca="1" si="18"/>
        <v>0</v>
      </c>
      <c r="AM23" s="143">
        <f t="shared" si="28"/>
        <v>0</v>
      </c>
      <c r="AN23" s="143">
        <f t="shared" si="29"/>
        <v>0</v>
      </c>
      <c r="AO23" s="143">
        <f t="shared" si="30"/>
        <v>0</v>
      </c>
      <c r="AP23" s="142">
        <f t="shared" si="19"/>
        <v>30</v>
      </c>
      <c r="AQ23" s="142">
        <f t="shared" ca="1" si="20"/>
        <v>30</v>
      </c>
      <c r="AR23" s="154">
        <f t="shared" si="43"/>
        <v>0</v>
      </c>
      <c r="AS23" s="142">
        <f t="shared" si="22"/>
        <v>0</v>
      </c>
      <c r="AT23" t="b">
        <f>OR((F23&gt;0),(NOT(ISBLANK(H23))),SUM(H23:H$373),SUM(G23:G$373))</f>
        <v>0</v>
      </c>
      <c r="AU23" t="b">
        <f t="shared" ca="1" si="5"/>
        <v>0</v>
      </c>
    </row>
    <row r="24" spans="1:49">
      <c r="A24" s="349">
        <f t="shared" si="23"/>
        <v>41657</v>
      </c>
      <c r="B24" s="350">
        <f t="shared" si="24"/>
        <v>41657</v>
      </c>
      <c r="C24" s="351">
        <f t="shared" si="31"/>
        <v>3</v>
      </c>
      <c r="D24" s="352">
        <f t="shared" si="32"/>
        <v>41639</v>
      </c>
      <c r="E24" s="364" t="str">
        <f t="shared" si="6"/>
        <v/>
      </c>
      <c r="F24" s="6"/>
      <c r="G24" s="7" t="str">
        <f t="shared" si="33"/>
        <v/>
      </c>
      <c r="H24" s="8"/>
      <c r="I24" s="8">
        <f t="shared" ref="I24" si="46">IF(H24&gt;0,H24+X24+W24+AB24,0)</f>
        <v>0</v>
      </c>
      <c r="J24" s="129">
        <f t="shared" si="34"/>
        <v>0</v>
      </c>
      <c r="K24" s="8"/>
      <c r="L24" s="8">
        <f t="shared" si="8"/>
        <v>0</v>
      </c>
      <c r="M24" s="129">
        <f t="shared" si="9"/>
        <v>0</v>
      </c>
      <c r="N24" s="129"/>
      <c r="O24" s="129">
        <f t="shared" si="1"/>
        <v>0</v>
      </c>
      <c r="P24" s="129"/>
      <c r="Q24" s="129">
        <f t="shared" si="10"/>
        <v>0</v>
      </c>
      <c r="R24" s="129">
        <f t="shared" si="11"/>
        <v>0</v>
      </c>
      <c r="S24" s="693">
        <f t="shared" si="12"/>
        <v>6</v>
      </c>
      <c r="T24" s="129">
        <f t="shared" si="44"/>
        <v>0</v>
      </c>
      <c r="U24" s="165">
        <f t="shared" si="14"/>
        <v>0</v>
      </c>
      <c r="V24" s="75"/>
      <c r="W24" s="131">
        <f t="shared" si="2"/>
        <v>4.1666666666666664E-2</v>
      </c>
      <c r="X24" s="126">
        <f t="shared" si="15"/>
        <v>0</v>
      </c>
      <c r="Y24" s="127">
        <f t="shared" si="35"/>
        <v>0.33333333333333331</v>
      </c>
      <c r="Z24" s="128">
        <f t="shared" si="36"/>
        <v>0</v>
      </c>
      <c r="AA24" s="76" t="str">
        <f t="shared" si="37"/>
        <v/>
      </c>
      <c r="AB24" s="216">
        <f t="shared" si="3"/>
        <v>0</v>
      </c>
      <c r="AC24" s="163" t="str">
        <f t="shared" si="38"/>
        <v/>
      </c>
      <c r="AD24" s="257">
        <f t="shared" si="39"/>
        <v>0</v>
      </c>
      <c r="AE24" s="138"/>
      <c r="AF24" s="138" t="str">
        <f t="shared" si="26"/>
        <v/>
      </c>
      <c r="AG24" s="77">
        <f t="shared" si="16"/>
        <v>0</v>
      </c>
      <c r="AH24" s="77">
        <f t="shared" si="17"/>
        <v>0</v>
      </c>
      <c r="AI24" s="77" t="str">
        <f t="shared" si="27"/>
        <v/>
      </c>
      <c r="AJ24" s="78">
        <f t="shared" si="4"/>
        <v>5</v>
      </c>
      <c r="AK24" s="139">
        <f>SUM($AC$6:AC24)</f>
        <v>0</v>
      </c>
      <c r="AL24" s="139">
        <f t="shared" ca="1" si="18"/>
        <v>0</v>
      </c>
      <c r="AM24" s="143">
        <f t="shared" si="28"/>
        <v>0</v>
      </c>
      <c r="AN24" s="143">
        <f t="shared" si="29"/>
        <v>0</v>
      </c>
      <c r="AO24" s="143">
        <f t="shared" si="30"/>
        <v>0</v>
      </c>
      <c r="AP24" s="142">
        <f t="shared" si="19"/>
        <v>30</v>
      </c>
      <c r="AQ24" s="142">
        <f t="shared" ca="1" si="20"/>
        <v>30</v>
      </c>
      <c r="AR24" s="154">
        <f t="shared" si="43"/>
        <v>0</v>
      </c>
      <c r="AS24" s="142">
        <f t="shared" si="22"/>
        <v>0</v>
      </c>
      <c r="AT24" t="b">
        <f>OR((F24&gt;0),(NOT(ISBLANK(H24))),SUM(H24:H$373),SUM(G24:G$373))</f>
        <v>0</v>
      </c>
      <c r="AU24" t="b">
        <f t="shared" ca="1" si="5"/>
        <v>0</v>
      </c>
    </row>
    <row r="25" spans="1:49">
      <c r="A25" s="349">
        <f t="shared" si="23"/>
        <v>41658</v>
      </c>
      <c r="B25" s="350">
        <f t="shared" si="24"/>
        <v>41658</v>
      </c>
      <c r="C25" s="351">
        <f t="shared" si="31"/>
        <v>3</v>
      </c>
      <c r="D25" s="352">
        <f t="shared" si="32"/>
        <v>41639</v>
      </c>
      <c r="E25" s="364" t="str">
        <f t="shared" si="6"/>
        <v/>
      </c>
      <c r="F25" s="6"/>
      <c r="G25" s="7" t="str">
        <f t="shared" si="33"/>
        <v/>
      </c>
      <c r="H25" s="8"/>
      <c r="I25" s="8">
        <f t="shared" si="45"/>
        <v>0</v>
      </c>
      <c r="J25" s="129">
        <f t="shared" si="34"/>
        <v>0</v>
      </c>
      <c r="K25" s="8"/>
      <c r="L25" s="8">
        <f t="shared" si="8"/>
        <v>0</v>
      </c>
      <c r="M25" s="129">
        <f t="shared" si="9"/>
        <v>0</v>
      </c>
      <c r="N25" s="129"/>
      <c r="O25" s="129">
        <f t="shared" si="1"/>
        <v>0</v>
      </c>
      <c r="P25" s="129"/>
      <c r="Q25" s="129">
        <f t="shared" si="10"/>
        <v>0</v>
      </c>
      <c r="R25" s="129">
        <f t="shared" si="11"/>
        <v>0</v>
      </c>
      <c r="S25" s="693">
        <f t="shared" si="12"/>
        <v>6</v>
      </c>
      <c r="T25" s="129">
        <f t="shared" si="44"/>
        <v>0</v>
      </c>
      <c r="U25" s="165">
        <f t="shared" si="14"/>
        <v>0</v>
      </c>
      <c r="V25" s="75"/>
      <c r="W25" s="131">
        <f t="shared" si="2"/>
        <v>4.1666666666666664E-2</v>
      </c>
      <c r="X25" s="126">
        <f t="shared" si="15"/>
        <v>0</v>
      </c>
      <c r="Y25" s="127">
        <f t="shared" si="35"/>
        <v>0</v>
      </c>
      <c r="Z25" s="128">
        <f t="shared" si="36"/>
        <v>0</v>
      </c>
      <c r="AA25" s="76" t="str">
        <f t="shared" si="37"/>
        <v/>
      </c>
      <c r="AB25" s="216">
        <f t="shared" si="3"/>
        <v>0</v>
      </c>
      <c r="AC25" s="163" t="str">
        <f t="shared" si="38"/>
        <v/>
      </c>
      <c r="AD25" s="257">
        <f t="shared" si="39"/>
        <v>0</v>
      </c>
      <c r="AE25" s="138"/>
      <c r="AF25" s="138" t="str">
        <f t="shared" si="26"/>
        <v/>
      </c>
      <c r="AG25" s="77">
        <f t="shared" si="16"/>
        <v>0</v>
      </c>
      <c r="AH25" s="77">
        <f t="shared" si="17"/>
        <v>0</v>
      </c>
      <c r="AI25" s="77" t="str">
        <f t="shared" si="27"/>
        <v/>
      </c>
      <c r="AJ25" s="78">
        <f t="shared" si="4"/>
        <v>6</v>
      </c>
      <c r="AK25" s="139">
        <f>SUM($AC$6:AC25)</f>
        <v>0</v>
      </c>
      <c r="AL25" s="139">
        <f t="shared" ca="1" si="18"/>
        <v>0</v>
      </c>
      <c r="AM25" s="143">
        <f t="shared" si="28"/>
        <v>0</v>
      </c>
      <c r="AN25" s="143">
        <f t="shared" si="29"/>
        <v>0</v>
      </c>
      <c r="AO25" s="143">
        <f t="shared" si="30"/>
        <v>0</v>
      </c>
      <c r="AP25" s="142">
        <f t="shared" si="19"/>
        <v>30</v>
      </c>
      <c r="AQ25" s="142">
        <f t="shared" ca="1" si="20"/>
        <v>30</v>
      </c>
      <c r="AR25" s="154">
        <f t="shared" si="43"/>
        <v>0</v>
      </c>
      <c r="AS25" s="142">
        <f t="shared" si="22"/>
        <v>7</v>
      </c>
      <c r="AT25" t="b">
        <f>OR((F25&gt;0),(NOT(ISBLANK(H25))),SUM(H25:H$373),SUM(G25:G$373))</f>
        <v>0</v>
      </c>
      <c r="AU25" t="b">
        <f t="shared" ca="1" si="5"/>
        <v>1</v>
      </c>
    </row>
    <row r="26" spans="1:49">
      <c r="A26" s="349">
        <f t="shared" si="23"/>
        <v>41659</v>
      </c>
      <c r="B26" s="350">
        <f t="shared" si="24"/>
        <v>41659</v>
      </c>
      <c r="C26" s="351">
        <f t="shared" si="31"/>
        <v>3</v>
      </c>
      <c r="D26" s="352">
        <f t="shared" si="32"/>
        <v>41639</v>
      </c>
      <c r="E26" s="364" t="str">
        <f t="shared" si="6"/>
        <v/>
      </c>
      <c r="F26" s="6"/>
      <c r="G26" s="7" t="str">
        <f t="shared" si="33"/>
        <v/>
      </c>
      <c r="H26" s="8"/>
      <c r="I26" s="8">
        <f t="shared" si="45"/>
        <v>0</v>
      </c>
      <c r="J26" s="129">
        <f t="shared" si="34"/>
        <v>0</v>
      </c>
      <c r="K26" s="8"/>
      <c r="L26" s="8">
        <f t="shared" si="8"/>
        <v>0</v>
      </c>
      <c r="M26" s="129">
        <f t="shared" si="9"/>
        <v>0</v>
      </c>
      <c r="N26" s="129"/>
      <c r="O26" s="129">
        <f t="shared" si="1"/>
        <v>0</v>
      </c>
      <c r="P26" s="129"/>
      <c r="Q26" s="129">
        <f t="shared" si="10"/>
        <v>0</v>
      </c>
      <c r="R26" s="129">
        <f t="shared" si="11"/>
        <v>0</v>
      </c>
      <c r="S26" s="693">
        <f t="shared" si="12"/>
        <v>6</v>
      </c>
      <c r="T26" s="129">
        <f t="shared" si="44"/>
        <v>0</v>
      </c>
      <c r="U26" s="165">
        <f t="shared" si="14"/>
        <v>0</v>
      </c>
      <c r="V26" s="75"/>
      <c r="W26" s="131">
        <f t="shared" si="2"/>
        <v>4.1666666666666664E-2</v>
      </c>
      <c r="X26" s="126">
        <f t="shared" si="15"/>
        <v>0</v>
      </c>
      <c r="Y26" s="127">
        <f t="shared" si="35"/>
        <v>0</v>
      </c>
      <c r="Z26" s="128">
        <f t="shared" si="36"/>
        <v>0</v>
      </c>
      <c r="AA26" s="76" t="str">
        <f t="shared" si="37"/>
        <v/>
      </c>
      <c r="AB26" s="216">
        <f t="shared" si="3"/>
        <v>0</v>
      </c>
      <c r="AC26" s="163" t="str">
        <f t="shared" si="38"/>
        <v/>
      </c>
      <c r="AD26" s="257">
        <f t="shared" si="39"/>
        <v>0</v>
      </c>
      <c r="AE26" s="138"/>
      <c r="AF26" s="138" t="str">
        <f t="shared" si="26"/>
        <v/>
      </c>
      <c r="AG26" s="77">
        <f t="shared" si="16"/>
        <v>0</v>
      </c>
      <c r="AH26" s="77">
        <f t="shared" si="17"/>
        <v>0</v>
      </c>
      <c r="AI26" s="77" t="str">
        <f t="shared" si="27"/>
        <v/>
      </c>
      <c r="AJ26" s="78">
        <f t="shared" si="4"/>
        <v>7</v>
      </c>
      <c r="AK26" s="139">
        <f>SUM($AC$6:AC26)</f>
        <v>0</v>
      </c>
      <c r="AL26" s="139">
        <f t="shared" ca="1" si="18"/>
        <v>0</v>
      </c>
      <c r="AM26" s="143">
        <f t="shared" si="28"/>
        <v>0</v>
      </c>
      <c r="AN26" s="143">
        <f t="shared" si="29"/>
        <v>0</v>
      </c>
      <c r="AO26" s="143">
        <f t="shared" si="30"/>
        <v>0</v>
      </c>
      <c r="AP26" s="142">
        <f t="shared" si="19"/>
        <v>30</v>
      </c>
      <c r="AQ26" s="142">
        <f t="shared" ca="1" si="20"/>
        <v>30</v>
      </c>
      <c r="AR26" s="154">
        <f t="shared" si="43"/>
        <v>0</v>
      </c>
      <c r="AS26" s="142">
        <f t="shared" si="22"/>
        <v>7</v>
      </c>
      <c r="AT26" t="b">
        <f>OR((F26&gt;0),(NOT(ISBLANK(H26))),SUM(H26:H$373),SUM(G26:G$373))</f>
        <v>0</v>
      </c>
      <c r="AU26" t="b">
        <f t="shared" ca="1" si="5"/>
        <v>1</v>
      </c>
      <c r="AV26" s="24"/>
    </row>
    <row r="27" spans="1:49">
      <c r="A27" s="349">
        <f t="shared" si="23"/>
        <v>41660</v>
      </c>
      <c r="B27" s="350">
        <f t="shared" si="24"/>
        <v>41660</v>
      </c>
      <c r="C27" s="351">
        <f t="shared" ref="C27:C83" si="47">IF(A27="","",NumberOfWeek(A27))</f>
        <v>4</v>
      </c>
      <c r="D27" s="352">
        <f t="shared" ref="D27:D83" si="48">IF(A27="","",DATE(YEAR(A27),MONTH(A27),1))</f>
        <v>41639</v>
      </c>
      <c r="E27" s="364" t="str">
        <f t="shared" si="6"/>
        <v/>
      </c>
      <c r="F27" s="6"/>
      <c r="G27" s="7" t="str">
        <f t="shared" ref="G27:G83" si="49">IF(ISBLANK(F27),IF(ISBLANK(H27),"",0),CODE(UPPER(F27)))</f>
        <v/>
      </c>
      <c r="H27" s="8"/>
      <c r="I27" s="8">
        <f t="shared" si="45"/>
        <v>0</v>
      </c>
      <c r="J27" s="129">
        <f t="shared" si="34"/>
        <v>0</v>
      </c>
      <c r="K27" s="8"/>
      <c r="L27" s="8">
        <f t="shared" si="8"/>
        <v>0</v>
      </c>
      <c r="M27" s="129">
        <f t="shared" si="9"/>
        <v>0</v>
      </c>
      <c r="N27" s="129"/>
      <c r="O27" s="129">
        <f t="shared" si="1"/>
        <v>0</v>
      </c>
      <c r="P27" s="129"/>
      <c r="Q27" s="129">
        <f t="shared" si="10"/>
        <v>0</v>
      </c>
      <c r="R27" s="129">
        <f t="shared" si="11"/>
        <v>0</v>
      </c>
      <c r="S27" s="693">
        <f t="shared" si="12"/>
        <v>6</v>
      </c>
      <c r="T27" s="129">
        <f t="shared" si="44"/>
        <v>0</v>
      </c>
      <c r="U27" s="165">
        <f t="shared" si="14"/>
        <v>0</v>
      </c>
      <c r="V27" s="75"/>
      <c r="W27" s="131">
        <f t="shared" si="2"/>
        <v>4.1666666666666664E-2</v>
      </c>
      <c r="X27" s="126">
        <f t="shared" si="15"/>
        <v>0</v>
      </c>
      <c r="Y27" s="127">
        <f t="shared" ref="Y27:Y83" si="50">IF(AND(AJ27&gt;0,AJ27&lt;Feiertag),INDEX(Arbeitszeit,AJ27),"")</f>
        <v>0.33333333333333331</v>
      </c>
      <c r="Z27" s="128">
        <f t="shared" ref="Z27:Z83" si="51">U27-X27</f>
        <v>0</v>
      </c>
      <c r="AA27" s="76" t="str">
        <f t="shared" ref="AA27:AA83" si="52">IF((U27-X27)&lt;0,"*","")</f>
        <v/>
      </c>
      <c r="AB27" s="216">
        <f t="shared" si="3"/>
        <v>0</v>
      </c>
      <c r="AC27" s="163" t="str">
        <f t="shared" ref="AC27:AC83" si="53">IF((R27-T27)&gt;XWorkTimeMax,(R27-T27-XWorkTimeMax),"")</f>
        <v/>
      </c>
      <c r="AD27" s="257">
        <f t="shared" si="39"/>
        <v>0</v>
      </c>
      <c r="AE27" s="138"/>
      <c r="AF27" s="138" t="str">
        <f t="shared" si="26"/>
        <v/>
      </c>
      <c r="AG27" s="77">
        <f t="shared" si="16"/>
        <v>0</v>
      </c>
      <c r="AH27" s="77">
        <f t="shared" si="17"/>
        <v>0</v>
      </c>
      <c r="AI27" s="77" t="str">
        <f t="shared" si="27"/>
        <v/>
      </c>
      <c r="AJ27" s="78">
        <f t="shared" si="4"/>
        <v>1</v>
      </c>
      <c r="AK27" s="139">
        <f>SUM($AC$6:AC27)</f>
        <v>0</v>
      </c>
      <c r="AL27" s="139">
        <f t="shared" ca="1" si="18"/>
        <v>0</v>
      </c>
      <c r="AM27" s="143">
        <f t="shared" si="28"/>
        <v>0</v>
      </c>
      <c r="AN27" s="143">
        <f t="shared" si="29"/>
        <v>0</v>
      </c>
      <c r="AO27" s="143">
        <f t="shared" si="30"/>
        <v>0</v>
      </c>
      <c r="AP27" s="142">
        <f t="shared" si="19"/>
        <v>30</v>
      </c>
      <c r="AQ27" s="142">
        <f t="shared" ca="1" si="20"/>
        <v>30</v>
      </c>
      <c r="AR27" s="154">
        <f t="shared" si="43"/>
        <v>0</v>
      </c>
      <c r="AS27" s="142">
        <f t="shared" si="22"/>
        <v>0</v>
      </c>
      <c r="AT27" t="b">
        <f>OR((F27&gt;0),(NOT(ISBLANK(H27))),SUM(H27:H$373),SUM(G27:G$373))</f>
        <v>0</v>
      </c>
      <c r="AU27" t="b">
        <f t="shared" ca="1" si="5"/>
        <v>0</v>
      </c>
      <c r="AV27" s="24"/>
    </row>
    <row r="28" spans="1:49">
      <c r="A28" s="349">
        <f t="shared" si="23"/>
        <v>41661</v>
      </c>
      <c r="B28" s="350">
        <f t="shared" si="24"/>
        <v>41661</v>
      </c>
      <c r="C28" s="351">
        <f t="shared" si="47"/>
        <v>4</v>
      </c>
      <c r="D28" s="352">
        <f t="shared" si="48"/>
        <v>41639</v>
      </c>
      <c r="E28" s="364" t="str">
        <f t="shared" si="6"/>
        <v/>
      </c>
      <c r="F28" s="6"/>
      <c r="G28" s="7" t="str">
        <f t="shared" si="49"/>
        <v/>
      </c>
      <c r="H28" s="8"/>
      <c r="I28" s="8">
        <f t="shared" si="45"/>
        <v>0</v>
      </c>
      <c r="J28" s="129">
        <f t="shared" si="34"/>
        <v>0</v>
      </c>
      <c r="K28" s="8"/>
      <c r="L28" s="8">
        <f t="shared" si="8"/>
        <v>0</v>
      </c>
      <c r="M28" s="129">
        <f t="shared" si="9"/>
        <v>0</v>
      </c>
      <c r="N28" s="129"/>
      <c r="O28" s="129">
        <f t="shared" si="1"/>
        <v>0</v>
      </c>
      <c r="P28" s="129"/>
      <c r="Q28" s="129">
        <f t="shared" si="10"/>
        <v>0</v>
      </c>
      <c r="R28" s="129">
        <f t="shared" si="11"/>
        <v>0</v>
      </c>
      <c r="S28" s="693">
        <f t="shared" si="12"/>
        <v>6</v>
      </c>
      <c r="T28" s="129">
        <f t="shared" si="44"/>
        <v>0</v>
      </c>
      <c r="U28" s="165">
        <f t="shared" si="14"/>
        <v>0</v>
      </c>
      <c r="V28" s="75"/>
      <c r="W28" s="131">
        <f t="shared" si="2"/>
        <v>4.1666666666666664E-2</v>
      </c>
      <c r="X28" s="126">
        <f t="shared" si="15"/>
        <v>0</v>
      </c>
      <c r="Y28" s="127">
        <f t="shared" si="50"/>
        <v>0.33333333333333331</v>
      </c>
      <c r="Z28" s="128">
        <f t="shared" si="51"/>
        <v>0</v>
      </c>
      <c r="AA28" s="76" t="str">
        <f t="shared" si="52"/>
        <v/>
      </c>
      <c r="AB28" s="216">
        <f t="shared" si="3"/>
        <v>0</v>
      </c>
      <c r="AC28" s="163" t="str">
        <f t="shared" si="53"/>
        <v/>
      </c>
      <c r="AD28" s="257">
        <f t="shared" si="39"/>
        <v>0</v>
      </c>
      <c r="AE28" s="138"/>
      <c r="AF28" s="138" t="str">
        <f t="shared" si="26"/>
        <v/>
      </c>
      <c r="AG28" s="77">
        <f t="shared" si="16"/>
        <v>0</v>
      </c>
      <c r="AH28" s="77">
        <f t="shared" si="17"/>
        <v>0</v>
      </c>
      <c r="AI28" s="77" t="str">
        <f t="shared" si="27"/>
        <v/>
      </c>
      <c r="AJ28" s="78">
        <f t="shared" si="4"/>
        <v>2</v>
      </c>
      <c r="AK28" s="139">
        <f>SUM($AC$6:AC28)</f>
        <v>0</v>
      </c>
      <c r="AL28" s="139">
        <f t="shared" ca="1" si="18"/>
        <v>0</v>
      </c>
      <c r="AM28" s="143">
        <f t="shared" si="28"/>
        <v>0</v>
      </c>
      <c r="AN28" s="143">
        <f t="shared" si="29"/>
        <v>0</v>
      </c>
      <c r="AO28" s="143">
        <f t="shared" si="30"/>
        <v>0</v>
      </c>
      <c r="AP28" s="142">
        <f t="shared" si="19"/>
        <v>30</v>
      </c>
      <c r="AQ28" s="142">
        <f t="shared" ca="1" si="20"/>
        <v>30</v>
      </c>
      <c r="AR28" s="154">
        <f t="shared" si="43"/>
        <v>0</v>
      </c>
      <c r="AS28" s="142">
        <f t="shared" si="22"/>
        <v>0</v>
      </c>
      <c r="AT28" t="b">
        <f>OR((F28&gt;0),(NOT(ISBLANK(H28))),SUM(H28:H$373),SUM(G28:G$373))</f>
        <v>0</v>
      </c>
      <c r="AU28" t="b">
        <f t="shared" ca="1" si="5"/>
        <v>0</v>
      </c>
      <c r="AV28" s="24"/>
    </row>
    <row r="29" spans="1:49">
      <c r="A29" s="349">
        <f t="shared" si="23"/>
        <v>41662</v>
      </c>
      <c r="B29" s="350">
        <f t="shared" si="24"/>
        <v>41662</v>
      </c>
      <c r="C29" s="351">
        <f t="shared" si="47"/>
        <v>4</v>
      </c>
      <c r="D29" s="352">
        <f t="shared" si="48"/>
        <v>41639</v>
      </c>
      <c r="E29" s="364" t="str">
        <f t="shared" si="6"/>
        <v/>
      </c>
      <c r="F29" s="6"/>
      <c r="G29" s="7" t="str">
        <f t="shared" si="49"/>
        <v/>
      </c>
      <c r="H29" s="8"/>
      <c r="I29" s="8">
        <f t="shared" si="45"/>
        <v>0</v>
      </c>
      <c r="J29" s="129">
        <f t="shared" si="34"/>
        <v>0</v>
      </c>
      <c r="K29" s="8"/>
      <c r="L29" s="8">
        <f t="shared" si="8"/>
        <v>0</v>
      </c>
      <c r="M29" s="129">
        <f t="shared" si="9"/>
        <v>0</v>
      </c>
      <c r="N29" s="129"/>
      <c r="O29" s="129">
        <f t="shared" si="1"/>
        <v>0</v>
      </c>
      <c r="P29" s="129"/>
      <c r="Q29" s="129">
        <f t="shared" si="10"/>
        <v>0</v>
      </c>
      <c r="R29" s="129">
        <f t="shared" si="11"/>
        <v>0</v>
      </c>
      <c r="S29" s="693">
        <f t="shared" si="12"/>
        <v>6</v>
      </c>
      <c r="T29" s="129">
        <f t="shared" si="44"/>
        <v>0</v>
      </c>
      <c r="U29" s="165">
        <f t="shared" si="14"/>
        <v>0</v>
      </c>
      <c r="V29" s="75"/>
      <c r="W29" s="131">
        <f t="shared" si="2"/>
        <v>4.1666666666666664E-2</v>
      </c>
      <c r="X29" s="126">
        <f t="shared" si="15"/>
        <v>0</v>
      </c>
      <c r="Y29" s="127">
        <f t="shared" si="50"/>
        <v>0.33333333333333331</v>
      </c>
      <c r="Z29" s="128">
        <f t="shared" si="51"/>
        <v>0</v>
      </c>
      <c r="AA29" s="76" t="str">
        <f t="shared" si="52"/>
        <v/>
      </c>
      <c r="AB29" s="216">
        <f t="shared" si="3"/>
        <v>0</v>
      </c>
      <c r="AC29" s="163" t="str">
        <f t="shared" si="53"/>
        <v/>
      </c>
      <c r="AD29" s="257">
        <f t="shared" si="39"/>
        <v>0</v>
      </c>
      <c r="AE29" s="138"/>
      <c r="AF29" s="138" t="str">
        <f t="shared" si="26"/>
        <v/>
      </c>
      <c r="AG29" s="77">
        <f t="shared" si="16"/>
        <v>0</v>
      </c>
      <c r="AH29" s="77">
        <f t="shared" si="17"/>
        <v>0</v>
      </c>
      <c r="AI29" s="77" t="str">
        <f t="shared" si="27"/>
        <v/>
      </c>
      <c r="AJ29" s="78">
        <f t="shared" si="4"/>
        <v>3</v>
      </c>
      <c r="AK29" s="139">
        <f>SUM($AC$6:AC29)</f>
        <v>0</v>
      </c>
      <c r="AL29" s="139">
        <f t="shared" ca="1" si="18"/>
        <v>0</v>
      </c>
      <c r="AM29" s="143">
        <f t="shared" si="28"/>
        <v>0</v>
      </c>
      <c r="AN29" s="143">
        <f t="shared" si="29"/>
        <v>0</v>
      </c>
      <c r="AO29" s="143">
        <f t="shared" si="30"/>
        <v>0</v>
      </c>
      <c r="AP29" s="142">
        <f t="shared" si="19"/>
        <v>30</v>
      </c>
      <c r="AQ29" s="142">
        <f t="shared" ca="1" si="20"/>
        <v>30</v>
      </c>
      <c r="AR29" s="154">
        <f t="shared" si="43"/>
        <v>0</v>
      </c>
      <c r="AS29" s="142">
        <f t="shared" si="22"/>
        <v>0</v>
      </c>
      <c r="AT29" t="b">
        <f>OR((F29&gt;0),(NOT(ISBLANK(H29))),SUM(H29:H$373),SUM(G29:G$373))</f>
        <v>0</v>
      </c>
      <c r="AU29" t="b">
        <f t="shared" ca="1" si="5"/>
        <v>0</v>
      </c>
    </row>
    <row r="30" spans="1:49">
      <c r="A30" s="349">
        <f t="shared" si="23"/>
        <v>41663</v>
      </c>
      <c r="B30" s="350">
        <f t="shared" si="24"/>
        <v>41663</v>
      </c>
      <c r="C30" s="351">
        <f t="shared" si="47"/>
        <v>4</v>
      </c>
      <c r="D30" s="352">
        <f t="shared" si="48"/>
        <v>41639</v>
      </c>
      <c r="E30" s="364" t="str">
        <f t="shared" si="6"/>
        <v/>
      </c>
      <c r="F30" s="6"/>
      <c r="G30" s="7" t="str">
        <f t="shared" si="49"/>
        <v/>
      </c>
      <c r="H30" s="8"/>
      <c r="I30" s="8">
        <f t="shared" si="45"/>
        <v>0</v>
      </c>
      <c r="J30" s="129">
        <f t="shared" si="34"/>
        <v>0</v>
      </c>
      <c r="K30" s="8"/>
      <c r="L30" s="8">
        <f t="shared" si="8"/>
        <v>0</v>
      </c>
      <c r="M30" s="129">
        <f t="shared" si="9"/>
        <v>0</v>
      </c>
      <c r="N30" s="129"/>
      <c r="O30" s="129">
        <f t="shared" si="1"/>
        <v>0</v>
      </c>
      <c r="P30" s="129"/>
      <c r="Q30" s="129">
        <f t="shared" si="10"/>
        <v>0</v>
      </c>
      <c r="R30" s="129">
        <f t="shared" si="11"/>
        <v>0</v>
      </c>
      <c r="S30" s="693">
        <f t="shared" si="12"/>
        <v>6</v>
      </c>
      <c r="T30" s="129">
        <f t="shared" si="44"/>
        <v>0</v>
      </c>
      <c r="U30" s="165">
        <f t="shared" si="14"/>
        <v>0</v>
      </c>
      <c r="V30" s="75"/>
      <c r="W30" s="131">
        <f t="shared" si="2"/>
        <v>4.1666666666666664E-2</v>
      </c>
      <c r="X30" s="126">
        <f t="shared" si="15"/>
        <v>0</v>
      </c>
      <c r="Y30" s="127">
        <f t="shared" si="50"/>
        <v>0.33333333333333331</v>
      </c>
      <c r="Z30" s="128">
        <f t="shared" si="51"/>
        <v>0</v>
      </c>
      <c r="AA30" s="76" t="str">
        <f t="shared" si="52"/>
        <v/>
      </c>
      <c r="AB30" s="216">
        <f t="shared" si="3"/>
        <v>0</v>
      </c>
      <c r="AC30" s="163" t="str">
        <f t="shared" si="53"/>
        <v/>
      </c>
      <c r="AD30" s="257">
        <f t="shared" si="39"/>
        <v>0</v>
      </c>
      <c r="AE30" s="138"/>
      <c r="AF30" s="138" t="str">
        <f t="shared" si="26"/>
        <v/>
      </c>
      <c r="AG30" s="77">
        <f t="shared" si="16"/>
        <v>0</v>
      </c>
      <c r="AH30" s="77">
        <f t="shared" si="17"/>
        <v>0</v>
      </c>
      <c r="AI30" s="77" t="str">
        <f t="shared" si="27"/>
        <v/>
      </c>
      <c r="AJ30" s="78">
        <f t="shared" si="4"/>
        <v>4</v>
      </c>
      <c r="AK30" s="139">
        <f>SUM($AC$6:AC30)</f>
        <v>0</v>
      </c>
      <c r="AL30" s="139">
        <f t="shared" ca="1" si="18"/>
        <v>0</v>
      </c>
      <c r="AM30" s="143">
        <f t="shared" si="28"/>
        <v>0</v>
      </c>
      <c r="AN30" s="143">
        <f t="shared" si="29"/>
        <v>0</v>
      </c>
      <c r="AO30" s="143">
        <f t="shared" si="30"/>
        <v>0</v>
      </c>
      <c r="AP30" s="142">
        <f t="shared" si="19"/>
        <v>30</v>
      </c>
      <c r="AQ30" s="142">
        <f t="shared" ca="1" si="20"/>
        <v>30</v>
      </c>
      <c r="AR30" s="154">
        <f t="shared" si="43"/>
        <v>0</v>
      </c>
      <c r="AS30" s="142">
        <f t="shared" si="22"/>
        <v>0</v>
      </c>
      <c r="AT30" t="b">
        <f>OR((F30&gt;0),(NOT(ISBLANK(H30))),SUM(H30:H$373),SUM(G30:G$373))</f>
        <v>0</v>
      </c>
      <c r="AU30" t="b">
        <f t="shared" ca="1" si="5"/>
        <v>0</v>
      </c>
    </row>
    <row r="31" spans="1:49">
      <c r="A31" s="349">
        <f t="shared" si="23"/>
        <v>41664</v>
      </c>
      <c r="B31" s="350">
        <f t="shared" si="24"/>
        <v>41664</v>
      </c>
      <c r="C31" s="351">
        <f t="shared" si="47"/>
        <v>4</v>
      </c>
      <c r="D31" s="352">
        <f t="shared" si="48"/>
        <v>41639</v>
      </c>
      <c r="E31" s="364" t="str">
        <f t="shared" si="6"/>
        <v/>
      </c>
      <c r="F31" s="6"/>
      <c r="G31" s="7" t="str">
        <f t="shared" si="49"/>
        <v/>
      </c>
      <c r="H31" s="8"/>
      <c r="I31" s="8">
        <f t="shared" ref="I31" si="54">IF(H31&gt;0,H31+X31+W31+AB31,0)</f>
        <v>0</v>
      </c>
      <c r="J31" s="129">
        <f t="shared" ref="J31" si="55">IF(I31&lt;H31,I31+1,I31)</f>
        <v>0</v>
      </c>
      <c r="K31" s="8"/>
      <c r="L31" s="8">
        <f t="shared" ref="L31" si="56">IF(K31&gt;0,K31+IF((J31-H31)&lt;X31,X31-(J31-H31),TIME(0,10,0))+IF((K31-J31)&gt;xNoWorkTime,0,xNoWorkTime-(K31-J31)),0)</f>
        <v>0</v>
      </c>
      <c r="M31" s="129">
        <f t="shared" ref="M31" si="57">IF(L31&lt;K31,L31+1,L31)</f>
        <v>0</v>
      </c>
      <c r="N31" s="129"/>
      <c r="O31" s="129">
        <f t="shared" ref="O31" si="58">IF(N31&gt;0,N31+IF((J31-H31+M31-K31)&lt;X31,X31-(J31-H31+M31-K31),TIME(0,10,0))+IF((K31-J31+N31-M31)&gt;xNoWorkTime,0,xNoWorkTime-(K31-J31+N31-M31)),0)</f>
        <v>0</v>
      </c>
      <c r="P31" s="129"/>
      <c r="Q31" s="129">
        <f t="shared" si="10"/>
        <v>0</v>
      </c>
      <c r="R31" s="129">
        <f t="shared" si="11"/>
        <v>0</v>
      </c>
      <c r="S31" s="693">
        <f t="shared" si="12"/>
        <v>6</v>
      </c>
      <c r="T31" s="129">
        <f t="shared" si="44"/>
        <v>0</v>
      </c>
      <c r="U31" s="165">
        <f t="shared" si="14"/>
        <v>0</v>
      </c>
      <c r="V31" s="75"/>
      <c r="W31" s="131">
        <f t="shared" si="2"/>
        <v>4.1666666666666664E-2</v>
      </c>
      <c r="X31" s="126">
        <f t="shared" si="15"/>
        <v>0</v>
      </c>
      <c r="Y31" s="127">
        <f t="shared" si="50"/>
        <v>0.33333333333333331</v>
      </c>
      <c r="Z31" s="128">
        <f t="shared" si="51"/>
        <v>0</v>
      </c>
      <c r="AA31" s="76" t="str">
        <f t="shared" si="52"/>
        <v/>
      </c>
      <c r="AB31" s="216">
        <f t="shared" si="3"/>
        <v>0</v>
      </c>
      <c r="AC31" s="163" t="str">
        <f t="shared" si="53"/>
        <v/>
      </c>
      <c r="AD31" s="257">
        <f t="shared" si="39"/>
        <v>0</v>
      </c>
      <c r="AE31" s="138"/>
      <c r="AF31" s="138" t="str">
        <f t="shared" si="26"/>
        <v/>
      </c>
      <c r="AG31" s="77">
        <f t="shared" si="16"/>
        <v>0</v>
      </c>
      <c r="AH31" s="77">
        <f t="shared" si="17"/>
        <v>0</v>
      </c>
      <c r="AI31" s="77" t="str">
        <f t="shared" si="27"/>
        <v/>
      </c>
      <c r="AJ31" s="78">
        <f t="shared" si="4"/>
        <v>5</v>
      </c>
      <c r="AK31" s="139">
        <f>SUM($AC$6:AC31)</f>
        <v>0</v>
      </c>
      <c r="AL31" s="139">
        <f t="shared" ca="1" si="18"/>
        <v>0</v>
      </c>
      <c r="AM31" s="143">
        <f t="shared" si="28"/>
        <v>0</v>
      </c>
      <c r="AN31" s="143">
        <f t="shared" si="29"/>
        <v>0</v>
      </c>
      <c r="AO31" s="143">
        <f t="shared" si="30"/>
        <v>0</v>
      </c>
      <c r="AP31" s="142">
        <f t="shared" si="19"/>
        <v>30</v>
      </c>
      <c r="AQ31" s="142">
        <f t="shared" ca="1" si="20"/>
        <v>30</v>
      </c>
      <c r="AR31" s="154">
        <f t="shared" si="43"/>
        <v>0</v>
      </c>
      <c r="AS31" s="142">
        <f t="shared" si="22"/>
        <v>0</v>
      </c>
      <c r="AT31" t="b">
        <f>OR((F31&gt;0),(NOT(ISBLANK(H31))),SUM(H31:H$373),SUM(G31:G$373))</f>
        <v>0</v>
      </c>
      <c r="AU31" t="b">
        <f t="shared" ca="1" si="5"/>
        <v>0</v>
      </c>
    </row>
    <row r="32" spans="1:49">
      <c r="A32" s="349">
        <f t="shared" si="23"/>
        <v>41665</v>
      </c>
      <c r="B32" s="350">
        <f t="shared" si="24"/>
        <v>41665</v>
      </c>
      <c r="C32" s="351">
        <f t="shared" si="47"/>
        <v>4</v>
      </c>
      <c r="D32" s="352">
        <f t="shared" si="48"/>
        <v>41639</v>
      </c>
      <c r="E32" s="364" t="str">
        <f t="shared" si="6"/>
        <v/>
      </c>
      <c r="F32" s="6"/>
      <c r="G32" s="7" t="str">
        <f t="shared" si="49"/>
        <v/>
      </c>
      <c r="H32" s="8"/>
      <c r="I32" s="8">
        <f t="shared" si="45"/>
        <v>0</v>
      </c>
      <c r="J32" s="129">
        <f t="shared" si="34"/>
        <v>0</v>
      </c>
      <c r="K32" s="8"/>
      <c r="L32" s="8">
        <f t="shared" si="8"/>
        <v>0</v>
      </c>
      <c r="M32" s="129">
        <f t="shared" si="9"/>
        <v>0</v>
      </c>
      <c r="N32" s="129"/>
      <c r="O32" s="129">
        <f t="shared" si="1"/>
        <v>0</v>
      </c>
      <c r="P32" s="129"/>
      <c r="Q32" s="129">
        <f t="shared" si="10"/>
        <v>0</v>
      </c>
      <c r="R32" s="129">
        <f t="shared" si="11"/>
        <v>0</v>
      </c>
      <c r="S32" s="693">
        <f t="shared" si="12"/>
        <v>6</v>
      </c>
      <c r="T32" s="129">
        <f t="shared" si="44"/>
        <v>0</v>
      </c>
      <c r="U32" s="165">
        <f t="shared" si="14"/>
        <v>0</v>
      </c>
      <c r="V32" s="75"/>
      <c r="W32" s="131">
        <f t="shared" si="2"/>
        <v>4.1666666666666664E-2</v>
      </c>
      <c r="X32" s="126">
        <f t="shared" si="15"/>
        <v>0</v>
      </c>
      <c r="Y32" s="127">
        <f t="shared" si="50"/>
        <v>0</v>
      </c>
      <c r="Z32" s="128">
        <f t="shared" si="51"/>
        <v>0</v>
      </c>
      <c r="AA32" s="76" t="str">
        <f t="shared" si="52"/>
        <v/>
      </c>
      <c r="AB32" s="216">
        <f t="shared" si="3"/>
        <v>0</v>
      </c>
      <c r="AC32" s="163" t="str">
        <f t="shared" si="53"/>
        <v/>
      </c>
      <c r="AD32" s="257">
        <f t="shared" si="39"/>
        <v>0</v>
      </c>
      <c r="AE32" s="138"/>
      <c r="AF32" s="138" t="str">
        <f t="shared" si="26"/>
        <v/>
      </c>
      <c r="AG32" s="77">
        <f t="shared" si="16"/>
        <v>0</v>
      </c>
      <c r="AH32" s="77">
        <f t="shared" si="17"/>
        <v>0</v>
      </c>
      <c r="AI32" s="77" t="str">
        <f t="shared" si="27"/>
        <v/>
      </c>
      <c r="AJ32" s="78">
        <f t="shared" si="4"/>
        <v>6</v>
      </c>
      <c r="AK32" s="139">
        <f>SUM($AC$6:AC32)</f>
        <v>0</v>
      </c>
      <c r="AL32" s="139">
        <f t="shared" ca="1" si="18"/>
        <v>0</v>
      </c>
      <c r="AM32" s="143">
        <f t="shared" si="28"/>
        <v>0</v>
      </c>
      <c r="AN32" s="143">
        <f t="shared" si="29"/>
        <v>0</v>
      </c>
      <c r="AO32" s="143">
        <f t="shared" si="30"/>
        <v>0</v>
      </c>
      <c r="AP32" s="142">
        <f t="shared" si="19"/>
        <v>30</v>
      </c>
      <c r="AQ32" s="142">
        <f t="shared" ca="1" si="20"/>
        <v>30</v>
      </c>
      <c r="AR32" s="154">
        <f t="shared" si="43"/>
        <v>0</v>
      </c>
      <c r="AS32" s="142">
        <f t="shared" si="22"/>
        <v>7</v>
      </c>
      <c r="AT32" t="b">
        <f>OR((F32&gt;0),(NOT(ISBLANK(H32))),SUM(H32:H$373),SUM(G32:G$373))</f>
        <v>0</v>
      </c>
      <c r="AU32" t="b">
        <f t="shared" ca="1" si="5"/>
        <v>1</v>
      </c>
    </row>
    <row r="33" spans="1:47">
      <c r="A33" s="349">
        <f t="shared" si="23"/>
        <v>41666</v>
      </c>
      <c r="B33" s="350">
        <f t="shared" si="24"/>
        <v>41666</v>
      </c>
      <c r="C33" s="351">
        <f t="shared" si="47"/>
        <v>4</v>
      </c>
      <c r="D33" s="352">
        <f t="shared" si="48"/>
        <v>41639</v>
      </c>
      <c r="E33" s="364" t="str">
        <f t="shared" si="6"/>
        <v/>
      </c>
      <c r="F33" s="6"/>
      <c r="G33" s="7" t="str">
        <f t="shared" si="49"/>
        <v/>
      </c>
      <c r="H33" s="8"/>
      <c r="I33" s="8">
        <f t="shared" si="45"/>
        <v>0</v>
      </c>
      <c r="J33" s="129">
        <f t="shared" si="34"/>
        <v>0</v>
      </c>
      <c r="K33" s="8"/>
      <c r="L33" s="8">
        <f t="shared" si="8"/>
        <v>0</v>
      </c>
      <c r="M33" s="129">
        <f t="shared" si="9"/>
        <v>0</v>
      </c>
      <c r="N33" s="129"/>
      <c r="O33" s="129">
        <f t="shared" si="1"/>
        <v>0</v>
      </c>
      <c r="P33" s="129"/>
      <c r="Q33" s="129">
        <f t="shared" si="10"/>
        <v>0</v>
      </c>
      <c r="R33" s="129">
        <f t="shared" si="11"/>
        <v>0</v>
      </c>
      <c r="S33" s="693">
        <f t="shared" si="12"/>
        <v>6</v>
      </c>
      <c r="T33" s="129">
        <f t="shared" si="44"/>
        <v>0</v>
      </c>
      <c r="U33" s="165">
        <f t="shared" si="14"/>
        <v>0</v>
      </c>
      <c r="V33" s="75"/>
      <c r="W33" s="131">
        <f t="shared" si="2"/>
        <v>4.1666666666666664E-2</v>
      </c>
      <c r="X33" s="126">
        <f t="shared" si="15"/>
        <v>0</v>
      </c>
      <c r="Y33" s="127">
        <f t="shared" si="50"/>
        <v>0</v>
      </c>
      <c r="Z33" s="128">
        <f t="shared" si="51"/>
        <v>0</v>
      </c>
      <c r="AA33" s="76" t="str">
        <f t="shared" si="52"/>
        <v/>
      </c>
      <c r="AB33" s="216">
        <f t="shared" si="3"/>
        <v>0</v>
      </c>
      <c r="AC33" s="163" t="str">
        <f t="shared" si="53"/>
        <v/>
      </c>
      <c r="AD33" s="257">
        <f t="shared" si="39"/>
        <v>0</v>
      </c>
      <c r="AE33" s="138"/>
      <c r="AF33" s="138" t="str">
        <f t="shared" si="26"/>
        <v/>
      </c>
      <c r="AG33" s="77">
        <f t="shared" si="16"/>
        <v>0</v>
      </c>
      <c r="AH33" s="77">
        <f t="shared" si="17"/>
        <v>0</v>
      </c>
      <c r="AI33" s="77" t="str">
        <f t="shared" si="27"/>
        <v/>
      </c>
      <c r="AJ33" s="78">
        <f t="shared" si="4"/>
        <v>7</v>
      </c>
      <c r="AK33" s="139">
        <f>SUM($AC$6:AC33)</f>
        <v>0</v>
      </c>
      <c r="AL33" s="139">
        <f t="shared" ca="1" si="18"/>
        <v>0</v>
      </c>
      <c r="AM33" s="143">
        <f t="shared" si="28"/>
        <v>0</v>
      </c>
      <c r="AN33" s="143">
        <f t="shared" si="29"/>
        <v>0</v>
      </c>
      <c r="AO33" s="143">
        <f t="shared" si="30"/>
        <v>0</v>
      </c>
      <c r="AP33" s="142">
        <f t="shared" si="19"/>
        <v>30</v>
      </c>
      <c r="AQ33" s="142">
        <f t="shared" ca="1" si="20"/>
        <v>30</v>
      </c>
      <c r="AR33" s="154">
        <f t="shared" si="43"/>
        <v>0</v>
      </c>
      <c r="AS33" s="142">
        <f t="shared" si="22"/>
        <v>7</v>
      </c>
      <c r="AT33" t="b">
        <f>OR((F33&gt;0),(NOT(ISBLANK(H33))),SUM(H33:H$373),SUM(G33:G$373))</f>
        <v>0</v>
      </c>
      <c r="AU33" t="b">
        <f t="shared" ca="1" si="5"/>
        <v>1</v>
      </c>
    </row>
    <row r="34" spans="1:47">
      <c r="A34" s="349">
        <f t="shared" si="23"/>
        <v>41667</v>
      </c>
      <c r="B34" s="350">
        <f t="shared" si="24"/>
        <v>41667</v>
      </c>
      <c r="C34" s="351">
        <f t="shared" si="47"/>
        <v>5</v>
      </c>
      <c r="D34" s="352">
        <f t="shared" si="48"/>
        <v>41639</v>
      </c>
      <c r="E34" s="364" t="str">
        <f t="shared" si="6"/>
        <v/>
      </c>
      <c r="F34" s="6"/>
      <c r="G34" s="7" t="str">
        <f t="shared" si="49"/>
        <v/>
      </c>
      <c r="H34" s="8"/>
      <c r="I34" s="8">
        <f t="shared" si="45"/>
        <v>0</v>
      </c>
      <c r="J34" s="129">
        <f t="shared" si="34"/>
        <v>0</v>
      </c>
      <c r="K34" s="8"/>
      <c r="L34" s="8">
        <f t="shared" si="8"/>
        <v>0</v>
      </c>
      <c r="M34" s="129">
        <f t="shared" si="9"/>
        <v>0</v>
      </c>
      <c r="N34" s="129"/>
      <c r="O34" s="129">
        <f t="shared" si="1"/>
        <v>0</v>
      </c>
      <c r="P34" s="129"/>
      <c r="Q34" s="129">
        <f t="shared" si="10"/>
        <v>0</v>
      </c>
      <c r="R34" s="129">
        <f t="shared" si="11"/>
        <v>0</v>
      </c>
      <c r="S34" s="693">
        <f t="shared" si="12"/>
        <v>6</v>
      </c>
      <c r="T34" s="129">
        <f t="shared" si="44"/>
        <v>0</v>
      </c>
      <c r="U34" s="165">
        <f t="shared" si="14"/>
        <v>0</v>
      </c>
      <c r="V34" s="75"/>
      <c r="W34" s="131">
        <f t="shared" si="2"/>
        <v>4.1666666666666664E-2</v>
      </c>
      <c r="X34" s="126">
        <f t="shared" si="15"/>
        <v>0</v>
      </c>
      <c r="Y34" s="127">
        <f t="shared" si="50"/>
        <v>0.33333333333333331</v>
      </c>
      <c r="Z34" s="128">
        <f t="shared" si="51"/>
        <v>0</v>
      </c>
      <c r="AA34" s="76" t="str">
        <f t="shared" si="52"/>
        <v/>
      </c>
      <c r="AB34" s="216">
        <f t="shared" si="3"/>
        <v>0</v>
      </c>
      <c r="AC34" s="163" t="str">
        <f t="shared" si="53"/>
        <v/>
      </c>
      <c r="AD34" s="257">
        <f t="shared" si="39"/>
        <v>0</v>
      </c>
      <c r="AE34" s="138"/>
      <c r="AF34" s="138" t="str">
        <f t="shared" si="26"/>
        <v/>
      </c>
      <c r="AG34" s="77">
        <f t="shared" si="16"/>
        <v>0</v>
      </c>
      <c r="AH34" s="77">
        <f t="shared" si="17"/>
        <v>0</v>
      </c>
      <c r="AI34" s="77" t="str">
        <f t="shared" si="27"/>
        <v/>
      </c>
      <c r="AJ34" s="78">
        <f t="shared" si="4"/>
        <v>1</v>
      </c>
      <c r="AK34" s="139">
        <f>SUM($AC$6:AC34)</f>
        <v>0</v>
      </c>
      <c r="AL34" s="139">
        <f t="shared" ca="1" si="18"/>
        <v>0</v>
      </c>
      <c r="AM34" s="143">
        <f t="shared" si="28"/>
        <v>0</v>
      </c>
      <c r="AN34" s="143">
        <f t="shared" si="29"/>
        <v>0</v>
      </c>
      <c r="AO34" s="143">
        <f t="shared" si="30"/>
        <v>0</v>
      </c>
      <c r="AP34" s="142">
        <f t="shared" si="19"/>
        <v>30</v>
      </c>
      <c r="AQ34" s="142">
        <f t="shared" ca="1" si="20"/>
        <v>30</v>
      </c>
      <c r="AR34" s="154">
        <f t="shared" si="43"/>
        <v>0</v>
      </c>
      <c r="AS34" s="142">
        <f t="shared" si="22"/>
        <v>0</v>
      </c>
      <c r="AT34" t="b">
        <f>OR((F34&gt;0),(NOT(ISBLANK(H34))),SUM(H34:H$373),SUM(G34:G$373))</f>
        <v>0</v>
      </c>
      <c r="AU34" t="b">
        <f t="shared" ca="1" si="5"/>
        <v>0</v>
      </c>
    </row>
    <row r="35" spans="1:47">
      <c r="A35" s="349">
        <f t="shared" si="23"/>
        <v>41668</v>
      </c>
      <c r="B35" s="350">
        <f t="shared" si="24"/>
        <v>41668</v>
      </c>
      <c r="C35" s="351">
        <f t="shared" si="47"/>
        <v>5</v>
      </c>
      <c r="D35" s="352">
        <f t="shared" si="48"/>
        <v>41639</v>
      </c>
      <c r="E35" s="364" t="str">
        <f t="shared" si="6"/>
        <v/>
      </c>
      <c r="F35" s="6"/>
      <c r="G35" s="7" t="str">
        <f t="shared" si="49"/>
        <v/>
      </c>
      <c r="H35" s="8"/>
      <c r="I35" s="8">
        <f t="shared" si="45"/>
        <v>0</v>
      </c>
      <c r="J35" s="129">
        <f t="shared" si="34"/>
        <v>0</v>
      </c>
      <c r="K35" s="8"/>
      <c r="L35" s="8">
        <f t="shared" si="8"/>
        <v>0</v>
      </c>
      <c r="M35" s="129">
        <f t="shared" si="9"/>
        <v>0</v>
      </c>
      <c r="N35" s="129"/>
      <c r="O35" s="129">
        <f t="shared" si="1"/>
        <v>0</v>
      </c>
      <c r="P35" s="129"/>
      <c r="Q35" s="129">
        <f t="shared" si="10"/>
        <v>0</v>
      </c>
      <c r="R35" s="129">
        <f t="shared" si="11"/>
        <v>0</v>
      </c>
      <c r="S35" s="693">
        <f t="shared" si="12"/>
        <v>6</v>
      </c>
      <c r="T35" s="129">
        <f t="shared" si="44"/>
        <v>0</v>
      </c>
      <c r="U35" s="165">
        <f t="shared" si="14"/>
        <v>0</v>
      </c>
      <c r="V35" s="75"/>
      <c r="W35" s="131">
        <f t="shared" si="2"/>
        <v>4.1666666666666664E-2</v>
      </c>
      <c r="X35" s="126">
        <f t="shared" si="15"/>
        <v>0</v>
      </c>
      <c r="Y35" s="127">
        <f t="shared" si="50"/>
        <v>0.33333333333333331</v>
      </c>
      <c r="Z35" s="128">
        <f t="shared" si="51"/>
        <v>0</v>
      </c>
      <c r="AA35" s="76" t="str">
        <f t="shared" si="52"/>
        <v/>
      </c>
      <c r="AB35" s="216">
        <f t="shared" si="3"/>
        <v>0</v>
      </c>
      <c r="AC35" s="163" t="str">
        <f t="shared" si="53"/>
        <v/>
      </c>
      <c r="AD35" s="257">
        <f t="shared" si="39"/>
        <v>0</v>
      </c>
      <c r="AE35" s="138"/>
      <c r="AF35" s="138" t="str">
        <f t="shared" si="26"/>
        <v/>
      </c>
      <c r="AG35" s="77">
        <f t="shared" si="16"/>
        <v>0</v>
      </c>
      <c r="AH35" s="77">
        <f t="shared" si="17"/>
        <v>0</v>
      </c>
      <c r="AI35" s="77" t="str">
        <f t="shared" si="27"/>
        <v/>
      </c>
      <c r="AJ35" s="78">
        <f t="shared" si="4"/>
        <v>2</v>
      </c>
      <c r="AK35" s="139">
        <f>SUM($AC$6:AC35)</f>
        <v>0</v>
      </c>
      <c r="AL35" s="139">
        <f t="shared" ca="1" si="18"/>
        <v>0</v>
      </c>
      <c r="AM35" s="143">
        <f t="shared" si="28"/>
        <v>0</v>
      </c>
      <c r="AN35" s="143">
        <f t="shared" si="29"/>
        <v>0</v>
      </c>
      <c r="AO35" s="143">
        <f t="shared" si="30"/>
        <v>0</v>
      </c>
      <c r="AP35" s="142">
        <f t="shared" si="19"/>
        <v>30</v>
      </c>
      <c r="AQ35" s="142">
        <f t="shared" ca="1" si="20"/>
        <v>30</v>
      </c>
      <c r="AR35" s="154">
        <f t="shared" si="43"/>
        <v>0</v>
      </c>
      <c r="AS35" s="142">
        <f t="shared" si="22"/>
        <v>0</v>
      </c>
      <c r="AT35" t="b">
        <f>OR((F35&gt;0),(NOT(ISBLANK(H35))),SUM(H35:H$373),SUM(G35:G$373))</f>
        <v>0</v>
      </c>
      <c r="AU35" t="b">
        <f t="shared" ca="1" si="5"/>
        <v>0</v>
      </c>
    </row>
    <row r="36" spans="1:47">
      <c r="A36" s="349">
        <f t="shared" si="23"/>
        <v>41669</v>
      </c>
      <c r="B36" s="350">
        <f t="shared" si="24"/>
        <v>41669</v>
      </c>
      <c r="C36" s="351">
        <f t="shared" si="47"/>
        <v>5</v>
      </c>
      <c r="D36" s="352">
        <f t="shared" si="48"/>
        <v>41639</v>
      </c>
      <c r="E36" s="364" t="str">
        <f t="shared" si="6"/>
        <v/>
      </c>
      <c r="F36" s="6"/>
      <c r="G36" s="7" t="str">
        <f t="shared" si="49"/>
        <v/>
      </c>
      <c r="H36" s="8"/>
      <c r="I36" s="8">
        <f t="shared" si="45"/>
        <v>0</v>
      </c>
      <c r="J36" s="129">
        <f t="shared" si="34"/>
        <v>0</v>
      </c>
      <c r="K36" s="8"/>
      <c r="L36" s="8">
        <f t="shared" si="8"/>
        <v>0</v>
      </c>
      <c r="M36" s="129">
        <f t="shared" si="9"/>
        <v>0</v>
      </c>
      <c r="N36" s="129"/>
      <c r="O36" s="129">
        <f t="shared" si="1"/>
        <v>0</v>
      </c>
      <c r="P36" s="129"/>
      <c r="Q36" s="129">
        <f t="shared" si="10"/>
        <v>0</v>
      </c>
      <c r="R36" s="129">
        <f t="shared" si="11"/>
        <v>0</v>
      </c>
      <c r="S36" s="693">
        <f t="shared" si="12"/>
        <v>6</v>
      </c>
      <c r="T36" s="129">
        <f t="shared" si="44"/>
        <v>0</v>
      </c>
      <c r="U36" s="165">
        <f t="shared" si="14"/>
        <v>0</v>
      </c>
      <c r="V36" s="75"/>
      <c r="W36" s="131">
        <f t="shared" si="2"/>
        <v>4.1666666666666664E-2</v>
      </c>
      <c r="X36" s="126">
        <f t="shared" si="15"/>
        <v>0</v>
      </c>
      <c r="Y36" s="127">
        <f t="shared" si="50"/>
        <v>0.33333333333333331</v>
      </c>
      <c r="Z36" s="128">
        <f t="shared" si="51"/>
        <v>0</v>
      </c>
      <c r="AA36" s="76" t="str">
        <f t="shared" si="52"/>
        <v/>
      </c>
      <c r="AB36" s="216">
        <f t="shared" si="3"/>
        <v>0</v>
      </c>
      <c r="AC36" s="163" t="str">
        <f t="shared" si="53"/>
        <v/>
      </c>
      <c r="AD36" s="257">
        <f t="shared" si="39"/>
        <v>0</v>
      </c>
      <c r="AE36" s="138"/>
      <c r="AF36" s="138" t="str">
        <f t="shared" si="26"/>
        <v/>
      </c>
      <c r="AG36" s="77">
        <f t="shared" si="16"/>
        <v>0</v>
      </c>
      <c r="AH36" s="77">
        <f t="shared" si="17"/>
        <v>0</v>
      </c>
      <c r="AI36" s="77" t="str">
        <f t="shared" si="27"/>
        <v/>
      </c>
      <c r="AJ36" s="78">
        <f t="shared" si="4"/>
        <v>3</v>
      </c>
      <c r="AK36" s="139">
        <f>SUM($AC$6:AC36)</f>
        <v>0</v>
      </c>
      <c r="AL36" s="139">
        <f t="shared" ca="1" si="18"/>
        <v>0</v>
      </c>
      <c r="AM36" s="143">
        <f t="shared" si="28"/>
        <v>0</v>
      </c>
      <c r="AN36" s="143">
        <f t="shared" si="29"/>
        <v>0</v>
      </c>
      <c r="AO36" s="143">
        <f t="shared" si="30"/>
        <v>0</v>
      </c>
      <c r="AP36" s="142">
        <f t="shared" si="19"/>
        <v>30</v>
      </c>
      <c r="AQ36" s="142">
        <f t="shared" ca="1" si="20"/>
        <v>30</v>
      </c>
      <c r="AR36" s="154">
        <f t="shared" si="43"/>
        <v>0</v>
      </c>
      <c r="AS36" s="142">
        <f t="shared" si="22"/>
        <v>0</v>
      </c>
      <c r="AT36" t="b">
        <f>OR((F36&gt;0),(NOT(ISBLANK(H36))),SUM(H36:H$373),SUM(G36:G$373))</f>
        <v>0</v>
      </c>
      <c r="AU36" t="b">
        <f t="shared" ca="1" si="5"/>
        <v>0</v>
      </c>
    </row>
    <row r="37" spans="1:47">
      <c r="A37" s="349">
        <f t="shared" si="23"/>
        <v>41670</v>
      </c>
      <c r="B37" s="350">
        <f t="shared" si="24"/>
        <v>41670</v>
      </c>
      <c r="C37" s="351">
        <f t="shared" si="47"/>
        <v>5</v>
      </c>
      <c r="D37" s="352">
        <f t="shared" si="48"/>
        <v>41670</v>
      </c>
      <c r="E37" s="364" t="str">
        <f t="shared" si="6"/>
        <v/>
      </c>
      <c r="F37" s="6"/>
      <c r="G37" s="7" t="str">
        <f t="shared" si="49"/>
        <v/>
      </c>
      <c r="H37" s="8"/>
      <c r="I37" s="8">
        <f t="shared" si="45"/>
        <v>0</v>
      </c>
      <c r="J37" s="129">
        <f t="shared" si="34"/>
        <v>0</v>
      </c>
      <c r="K37" s="8"/>
      <c r="L37" s="8">
        <f t="shared" si="8"/>
        <v>0</v>
      </c>
      <c r="M37" s="129">
        <f t="shared" si="9"/>
        <v>0</v>
      </c>
      <c r="N37" s="129"/>
      <c r="O37" s="129">
        <f t="shared" si="1"/>
        <v>0</v>
      </c>
      <c r="P37" s="129"/>
      <c r="Q37" s="129">
        <f t="shared" si="10"/>
        <v>0</v>
      </c>
      <c r="R37" s="129">
        <f t="shared" si="11"/>
        <v>0</v>
      </c>
      <c r="S37" s="693">
        <f t="shared" si="12"/>
        <v>6</v>
      </c>
      <c r="T37" s="129">
        <f t="shared" si="44"/>
        <v>0</v>
      </c>
      <c r="U37" s="165">
        <f t="shared" si="14"/>
        <v>0</v>
      </c>
      <c r="V37" s="75"/>
      <c r="W37" s="131">
        <f t="shared" si="2"/>
        <v>4.1666666666666664E-2</v>
      </c>
      <c r="X37" s="126">
        <f t="shared" si="15"/>
        <v>0</v>
      </c>
      <c r="Y37" s="127">
        <f t="shared" si="50"/>
        <v>0.33333333333333331</v>
      </c>
      <c r="Z37" s="128">
        <f t="shared" si="51"/>
        <v>0</v>
      </c>
      <c r="AA37" s="76" t="str">
        <f t="shared" si="52"/>
        <v/>
      </c>
      <c r="AB37" s="216">
        <f t="shared" si="3"/>
        <v>0</v>
      </c>
      <c r="AC37" s="163" t="str">
        <f t="shared" si="53"/>
        <v/>
      </c>
      <c r="AD37" s="257">
        <f t="shared" si="39"/>
        <v>0</v>
      </c>
      <c r="AE37" s="138"/>
      <c r="AF37" s="138" t="str">
        <f t="shared" si="26"/>
        <v/>
      </c>
      <c r="AG37" s="77">
        <f t="shared" ref="AG37:AG86" si="59">IF(ISNUMBER(U37 ), IF( U37 &gt;= X37, X37, U37 ),"")</f>
        <v>0</v>
      </c>
      <c r="AH37" s="77">
        <f t="shared" ref="AH37:AH86" si="60">IF( ISNUMBER( U37 ), IF( U37 &gt;= X37, U37 - X37, "" ), "" )</f>
        <v>0</v>
      </c>
      <c r="AI37" s="77" t="str">
        <f t="shared" si="27"/>
        <v/>
      </c>
      <c r="AJ37" s="78">
        <f t="shared" si="4"/>
        <v>4</v>
      </c>
      <c r="AK37" s="139">
        <f>SUM($AC$6:AC37)</f>
        <v>0</v>
      </c>
      <c r="AL37" s="139">
        <f t="shared" ca="1" si="18"/>
        <v>0</v>
      </c>
      <c r="AM37" s="143">
        <f t="shared" si="28"/>
        <v>0</v>
      </c>
      <c r="AN37" s="143">
        <f t="shared" si="29"/>
        <v>0</v>
      </c>
      <c r="AO37" s="143">
        <f t="shared" si="30"/>
        <v>0</v>
      </c>
      <c r="AP37" s="142">
        <f t="shared" si="19"/>
        <v>30</v>
      </c>
      <c r="AQ37" s="142">
        <f t="shared" ca="1" si="20"/>
        <v>30</v>
      </c>
      <c r="AR37" s="154">
        <f t="shared" si="43"/>
        <v>0</v>
      </c>
      <c r="AS37" s="142">
        <f t="shared" si="22"/>
        <v>0</v>
      </c>
      <c r="AT37" t="b">
        <f>OR((F37&gt;0),(NOT(ISBLANK(H37))),SUM(H37:H$373),SUM(G37:G$373))</f>
        <v>0</v>
      </c>
      <c r="AU37" t="b">
        <f t="shared" ca="1" si="5"/>
        <v>0</v>
      </c>
    </row>
    <row r="38" spans="1:47">
      <c r="A38" s="349">
        <f t="shared" si="23"/>
        <v>41671</v>
      </c>
      <c r="B38" s="350">
        <f t="shared" si="24"/>
        <v>41671</v>
      </c>
      <c r="C38" s="351">
        <f t="shared" si="47"/>
        <v>5</v>
      </c>
      <c r="D38" s="352">
        <f t="shared" si="48"/>
        <v>41670</v>
      </c>
      <c r="E38" s="364" t="str">
        <f t="shared" si="6"/>
        <v/>
      </c>
      <c r="F38" s="6"/>
      <c r="G38" s="7" t="str">
        <f t="shared" si="49"/>
        <v/>
      </c>
      <c r="H38" s="8"/>
      <c r="I38" s="8">
        <f t="shared" si="45"/>
        <v>0</v>
      </c>
      <c r="J38" s="129">
        <f t="shared" si="34"/>
        <v>0</v>
      </c>
      <c r="K38" s="8"/>
      <c r="L38" s="8">
        <f t="shared" si="8"/>
        <v>0</v>
      </c>
      <c r="M38" s="129">
        <f t="shared" si="9"/>
        <v>0</v>
      </c>
      <c r="N38" s="129"/>
      <c r="O38" s="129">
        <f t="shared" si="1"/>
        <v>0</v>
      </c>
      <c r="P38" s="129"/>
      <c r="Q38" s="129">
        <f t="shared" si="10"/>
        <v>0</v>
      </c>
      <c r="R38" s="129">
        <f t="shared" si="11"/>
        <v>0</v>
      </c>
      <c r="S38" s="693">
        <f t="shared" si="12"/>
        <v>6</v>
      </c>
      <c r="T38" s="129">
        <f t="shared" si="44"/>
        <v>0</v>
      </c>
      <c r="U38" s="165">
        <f t="shared" si="14"/>
        <v>0</v>
      </c>
      <c r="V38" s="75"/>
      <c r="W38" s="131">
        <f t="shared" si="2"/>
        <v>4.1666666666666664E-2</v>
      </c>
      <c r="X38" s="126">
        <f t="shared" si="15"/>
        <v>0</v>
      </c>
      <c r="Y38" s="127">
        <f t="shared" si="50"/>
        <v>0.33333333333333331</v>
      </c>
      <c r="Z38" s="128">
        <f t="shared" si="51"/>
        <v>0</v>
      </c>
      <c r="AA38" s="76" t="str">
        <f t="shared" si="52"/>
        <v/>
      </c>
      <c r="AB38" s="216">
        <f t="shared" si="3"/>
        <v>0</v>
      </c>
      <c r="AC38" s="163" t="str">
        <f t="shared" si="53"/>
        <v/>
      </c>
      <c r="AD38" s="257">
        <f t="shared" si="39"/>
        <v>0</v>
      </c>
      <c r="AE38" s="138"/>
      <c r="AF38" s="138" t="str">
        <f t="shared" si="26"/>
        <v/>
      </c>
      <c r="AG38" s="77">
        <f t="shared" si="59"/>
        <v>0</v>
      </c>
      <c r="AH38" s="77">
        <f t="shared" si="60"/>
        <v>0</v>
      </c>
      <c r="AI38" s="77" t="str">
        <f t="shared" si="27"/>
        <v/>
      </c>
      <c r="AJ38" s="78">
        <f t="shared" si="4"/>
        <v>5</v>
      </c>
      <c r="AK38" s="139">
        <f>SUM($AC$6:AC38)</f>
        <v>0</v>
      </c>
      <c r="AL38" s="139">
        <f t="shared" ca="1" si="18"/>
        <v>0</v>
      </c>
      <c r="AM38" s="143">
        <f t="shared" si="28"/>
        <v>0</v>
      </c>
      <c r="AN38" s="143">
        <f t="shared" si="29"/>
        <v>0</v>
      </c>
      <c r="AO38" s="143">
        <f t="shared" si="30"/>
        <v>0</v>
      </c>
      <c r="AP38" s="142">
        <f t="shared" si="19"/>
        <v>30</v>
      </c>
      <c r="AQ38" s="142">
        <f t="shared" ca="1" si="20"/>
        <v>30</v>
      </c>
      <c r="AR38" s="154">
        <f t="shared" si="43"/>
        <v>0</v>
      </c>
      <c r="AS38" s="142">
        <f t="shared" si="22"/>
        <v>0</v>
      </c>
      <c r="AT38" t="b">
        <f>OR((F38&gt;0),(NOT(ISBLANK(H38))),SUM(H38:H$373),SUM(G38:G$373))</f>
        <v>0</v>
      </c>
      <c r="AU38" t="b">
        <f t="shared" ca="1" si="5"/>
        <v>0</v>
      </c>
    </row>
    <row r="39" spans="1:47">
      <c r="A39" s="349">
        <f t="shared" si="23"/>
        <v>41672</v>
      </c>
      <c r="B39" s="350">
        <f t="shared" si="24"/>
        <v>41672</v>
      </c>
      <c r="C39" s="351">
        <f t="shared" si="47"/>
        <v>5</v>
      </c>
      <c r="D39" s="352">
        <f t="shared" si="48"/>
        <v>41670</v>
      </c>
      <c r="E39" s="364" t="str">
        <f t="shared" si="6"/>
        <v/>
      </c>
      <c r="F39" s="6"/>
      <c r="G39" s="7" t="str">
        <f t="shared" si="49"/>
        <v/>
      </c>
      <c r="H39" s="8"/>
      <c r="I39" s="8">
        <f t="shared" si="45"/>
        <v>0</v>
      </c>
      <c r="J39" s="129">
        <f t="shared" si="34"/>
        <v>0</v>
      </c>
      <c r="K39" s="8"/>
      <c r="L39" s="8">
        <f t="shared" si="8"/>
        <v>0</v>
      </c>
      <c r="M39" s="129">
        <f t="shared" si="9"/>
        <v>0</v>
      </c>
      <c r="N39" s="129"/>
      <c r="O39" s="129">
        <f t="shared" si="1"/>
        <v>0</v>
      </c>
      <c r="P39" s="129"/>
      <c r="Q39" s="129">
        <f t="shared" si="10"/>
        <v>0</v>
      </c>
      <c r="R39" s="129">
        <f t="shared" si="11"/>
        <v>0</v>
      </c>
      <c r="S39" s="693">
        <f t="shared" si="12"/>
        <v>6</v>
      </c>
      <c r="T39" s="129">
        <f t="shared" si="44"/>
        <v>0</v>
      </c>
      <c r="U39" s="165">
        <f t="shared" si="14"/>
        <v>0</v>
      </c>
      <c r="V39" s="75"/>
      <c r="W39" s="131">
        <f t="shared" si="2"/>
        <v>4.1666666666666664E-2</v>
      </c>
      <c r="X39" s="126">
        <f t="shared" si="15"/>
        <v>0</v>
      </c>
      <c r="Y39" s="127">
        <f t="shared" si="50"/>
        <v>0</v>
      </c>
      <c r="Z39" s="128">
        <f t="shared" si="51"/>
        <v>0</v>
      </c>
      <c r="AA39" s="76" t="str">
        <f t="shared" si="52"/>
        <v/>
      </c>
      <c r="AB39" s="216">
        <f t="shared" si="3"/>
        <v>0</v>
      </c>
      <c r="AC39" s="163" t="str">
        <f t="shared" si="53"/>
        <v/>
      </c>
      <c r="AD39" s="257">
        <f t="shared" si="39"/>
        <v>0</v>
      </c>
      <c r="AE39" s="138"/>
      <c r="AF39" s="138" t="str">
        <f t="shared" si="26"/>
        <v/>
      </c>
      <c r="AG39" s="77">
        <f t="shared" si="59"/>
        <v>0</v>
      </c>
      <c r="AH39" s="77">
        <f t="shared" si="60"/>
        <v>0</v>
      </c>
      <c r="AI39" s="77" t="str">
        <f t="shared" si="27"/>
        <v/>
      </c>
      <c r="AJ39" s="78">
        <f t="shared" si="4"/>
        <v>6</v>
      </c>
      <c r="AK39" s="139">
        <f>SUM($AC$6:AC39)</f>
        <v>0</v>
      </c>
      <c r="AL39" s="139">
        <f t="shared" ca="1" si="18"/>
        <v>0</v>
      </c>
      <c r="AM39" s="143">
        <f t="shared" si="28"/>
        <v>0</v>
      </c>
      <c r="AN39" s="143">
        <f t="shared" si="29"/>
        <v>0</v>
      </c>
      <c r="AO39" s="143">
        <f t="shared" si="30"/>
        <v>0</v>
      </c>
      <c r="AP39" s="142">
        <f t="shared" si="19"/>
        <v>30</v>
      </c>
      <c r="AQ39" s="142">
        <f t="shared" ca="1" si="20"/>
        <v>30</v>
      </c>
      <c r="AR39" s="154">
        <f t="shared" si="43"/>
        <v>0</v>
      </c>
      <c r="AS39" s="142">
        <f t="shared" si="22"/>
        <v>7</v>
      </c>
      <c r="AT39" t="b">
        <f>OR((F39&gt;0),(NOT(ISBLANK(H39))),SUM(H39:H$373),SUM(G39:G$373))</f>
        <v>0</v>
      </c>
      <c r="AU39" t="b">
        <f t="shared" ca="1" si="5"/>
        <v>1</v>
      </c>
    </row>
    <row r="40" spans="1:47">
      <c r="A40" s="349">
        <f t="shared" si="23"/>
        <v>41673</v>
      </c>
      <c r="B40" s="350">
        <f t="shared" si="24"/>
        <v>41673</v>
      </c>
      <c r="C40" s="351">
        <f t="shared" si="47"/>
        <v>5</v>
      </c>
      <c r="D40" s="352">
        <f t="shared" si="48"/>
        <v>41670</v>
      </c>
      <c r="E40" s="364" t="str">
        <f t="shared" si="6"/>
        <v/>
      </c>
      <c r="F40" s="6"/>
      <c r="G40" s="7" t="str">
        <f t="shared" si="49"/>
        <v/>
      </c>
      <c r="H40" s="8"/>
      <c r="I40" s="8">
        <f t="shared" si="45"/>
        <v>0</v>
      </c>
      <c r="J40" s="129">
        <f t="shared" si="34"/>
        <v>0</v>
      </c>
      <c r="K40" s="8"/>
      <c r="L40" s="8">
        <f t="shared" si="8"/>
        <v>0</v>
      </c>
      <c r="M40" s="129">
        <f t="shared" si="9"/>
        <v>0</v>
      </c>
      <c r="N40" s="129"/>
      <c r="O40" s="129">
        <f t="shared" si="1"/>
        <v>0</v>
      </c>
      <c r="P40" s="129"/>
      <c r="Q40" s="129">
        <f t="shared" si="10"/>
        <v>0</v>
      </c>
      <c r="R40" s="129">
        <f t="shared" si="11"/>
        <v>0</v>
      </c>
      <c r="S40" s="693">
        <f t="shared" si="12"/>
        <v>6</v>
      </c>
      <c r="T40" s="129">
        <f t="shared" si="44"/>
        <v>0</v>
      </c>
      <c r="U40" s="165">
        <f t="shared" si="14"/>
        <v>0</v>
      </c>
      <c r="V40" s="75"/>
      <c r="W40" s="131">
        <f t="shared" si="2"/>
        <v>4.1666666666666664E-2</v>
      </c>
      <c r="X40" s="126">
        <f t="shared" si="15"/>
        <v>0</v>
      </c>
      <c r="Y40" s="127">
        <f t="shared" si="50"/>
        <v>0</v>
      </c>
      <c r="Z40" s="128">
        <f t="shared" si="51"/>
        <v>0</v>
      </c>
      <c r="AA40" s="76" t="str">
        <f t="shared" si="52"/>
        <v/>
      </c>
      <c r="AB40" s="216">
        <f t="shared" si="3"/>
        <v>0</v>
      </c>
      <c r="AC40" s="163" t="str">
        <f t="shared" si="53"/>
        <v/>
      </c>
      <c r="AD40" s="257">
        <f t="shared" si="39"/>
        <v>0</v>
      </c>
      <c r="AE40" s="138"/>
      <c r="AF40" s="138" t="str">
        <f t="shared" si="26"/>
        <v/>
      </c>
      <c r="AG40" s="77">
        <f t="shared" si="59"/>
        <v>0</v>
      </c>
      <c r="AH40" s="77">
        <f t="shared" si="60"/>
        <v>0</v>
      </c>
      <c r="AI40" s="77" t="str">
        <f t="shared" si="27"/>
        <v/>
      </c>
      <c r="AJ40" s="78">
        <f t="shared" si="4"/>
        <v>7</v>
      </c>
      <c r="AK40" s="139">
        <f>SUM($AC$6:AC40)</f>
        <v>0</v>
      </c>
      <c r="AL40" s="139">
        <f t="shared" ca="1" si="18"/>
        <v>0</v>
      </c>
      <c r="AM40" s="143">
        <f t="shared" si="28"/>
        <v>0</v>
      </c>
      <c r="AN40" s="143">
        <f t="shared" si="29"/>
        <v>0</v>
      </c>
      <c r="AO40" s="143">
        <f t="shared" si="30"/>
        <v>0</v>
      </c>
      <c r="AP40" s="142">
        <f t="shared" si="19"/>
        <v>30</v>
      </c>
      <c r="AQ40" s="142">
        <f t="shared" ca="1" si="20"/>
        <v>30</v>
      </c>
      <c r="AR40" s="154">
        <f t="shared" si="43"/>
        <v>0</v>
      </c>
      <c r="AS40" s="142">
        <f t="shared" si="22"/>
        <v>7</v>
      </c>
      <c r="AT40" t="b">
        <f>OR((F40&gt;0),(NOT(ISBLANK(H40))),SUM(H40:H$373),SUM(G40:G$373))</f>
        <v>0</v>
      </c>
      <c r="AU40" t="b">
        <f t="shared" ca="1" si="5"/>
        <v>1</v>
      </c>
    </row>
    <row r="41" spans="1:47">
      <c r="A41" s="349">
        <f t="shared" si="23"/>
        <v>41674</v>
      </c>
      <c r="B41" s="350">
        <f t="shared" si="24"/>
        <v>41674</v>
      </c>
      <c r="C41" s="351">
        <f t="shared" si="47"/>
        <v>6</v>
      </c>
      <c r="D41" s="352">
        <f t="shared" si="48"/>
        <v>41670</v>
      </c>
      <c r="E41" s="364" t="str">
        <f t="shared" si="6"/>
        <v/>
      </c>
      <c r="F41" s="6"/>
      <c r="G41" s="7" t="str">
        <f t="shared" si="49"/>
        <v/>
      </c>
      <c r="H41" s="8"/>
      <c r="I41" s="8">
        <f t="shared" si="45"/>
        <v>0</v>
      </c>
      <c r="J41" s="129">
        <f t="shared" si="34"/>
        <v>0</v>
      </c>
      <c r="K41" s="8"/>
      <c r="L41" s="8">
        <f t="shared" si="8"/>
        <v>0</v>
      </c>
      <c r="M41" s="129">
        <f t="shared" si="9"/>
        <v>0</v>
      </c>
      <c r="N41" s="129"/>
      <c r="O41" s="129">
        <f t="shared" si="1"/>
        <v>0</v>
      </c>
      <c r="P41" s="129"/>
      <c r="Q41" s="129">
        <f t="shared" si="10"/>
        <v>0</v>
      </c>
      <c r="R41" s="129">
        <f t="shared" si="11"/>
        <v>0</v>
      </c>
      <c r="S41" s="693">
        <f t="shared" si="12"/>
        <v>6</v>
      </c>
      <c r="T41" s="129">
        <f t="shared" si="44"/>
        <v>0</v>
      </c>
      <c r="U41" s="165">
        <f t="shared" si="14"/>
        <v>0</v>
      </c>
      <c r="V41" s="75"/>
      <c r="W41" s="131">
        <f t="shared" si="2"/>
        <v>4.1666666666666664E-2</v>
      </c>
      <c r="X41" s="126">
        <f t="shared" si="15"/>
        <v>0</v>
      </c>
      <c r="Y41" s="127">
        <f t="shared" si="50"/>
        <v>0.33333333333333331</v>
      </c>
      <c r="Z41" s="128">
        <f t="shared" si="51"/>
        <v>0</v>
      </c>
      <c r="AA41" s="76" t="str">
        <f t="shared" si="52"/>
        <v/>
      </c>
      <c r="AB41" s="216">
        <f t="shared" si="3"/>
        <v>0</v>
      </c>
      <c r="AC41" s="163" t="str">
        <f t="shared" si="53"/>
        <v/>
      </c>
      <c r="AD41" s="257">
        <f t="shared" si="39"/>
        <v>0</v>
      </c>
      <c r="AE41" s="138"/>
      <c r="AF41" s="138" t="str">
        <f t="shared" si="26"/>
        <v/>
      </c>
      <c r="AG41" s="77">
        <f t="shared" si="59"/>
        <v>0</v>
      </c>
      <c r="AH41" s="77">
        <f t="shared" si="60"/>
        <v>0</v>
      </c>
      <c r="AI41" s="77" t="str">
        <f t="shared" si="27"/>
        <v/>
      </c>
      <c r="AJ41" s="78">
        <f t="shared" si="4"/>
        <v>1</v>
      </c>
      <c r="AK41" s="139">
        <f>SUM($AC$6:AC41)</f>
        <v>0</v>
      </c>
      <c r="AL41" s="139">
        <f t="shared" ca="1" si="18"/>
        <v>0</v>
      </c>
      <c r="AM41" s="143">
        <f t="shared" si="28"/>
        <v>0</v>
      </c>
      <c r="AN41" s="143">
        <f t="shared" si="29"/>
        <v>0</v>
      </c>
      <c r="AO41" s="143">
        <f t="shared" si="30"/>
        <v>0</v>
      </c>
      <c r="AP41" s="142">
        <f t="shared" si="19"/>
        <v>30</v>
      </c>
      <c r="AQ41" s="142">
        <f t="shared" ca="1" si="20"/>
        <v>30</v>
      </c>
      <c r="AR41" s="154">
        <f t="shared" si="43"/>
        <v>0</v>
      </c>
      <c r="AS41" s="142">
        <f t="shared" si="22"/>
        <v>0</v>
      </c>
      <c r="AT41" t="b">
        <f>OR((F41&gt;0),(NOT(ISBLANK(H41))),SUM(H41:H$373),SUM(G41:G$373))</f>
        <v>0</v>
      </c>
      <c r="AU41" t="b">
        <f t="shared" ca="1" si="5"/>
        <v>0</v>
      </c>
    </row>
    <row r="42" spans="1:47">
      <c r="A42" s="349">
        <f t="shared" si="23"/>
        <v>41675</v>
      </c>
      <c r="B42" s="350">
        <f t="shared" si="24"/>
        <v>41675</v>
      </c>
      <c r="C42" s="351">
        <f t="shared" si="47"/>
        <v>6</v>
      </c>
      <c r="D42" s="352">
        <f t="shared" si="48"/>
        <v>41670</v>
      </c>
      <c r="E42" s="364" t="str">
        <f t="shared" si="6"/>
        <v/>
      </c>
      <c r="F42" s="6"/>
      <c r="G42" s="7" t="str">
        <f t="shared" si="49"/>
        <v/>
      </c>
      <c r="H42" s="8"/>
      <c r="I42" s="8">
        <f t="shared" si="45"/>
        <v>0</v>
      </c>
      <c r="J42" s="129">
        <f t="shared" si="34"/>
        <v>0</v>
      </c>
      <c r="K42" s="8"/>
      <c r="L42" s="8">
        <f t="shared" si="8"/>
        <v>0</v>
      </c>
      <c r="M42" s="129">
        <f t="shared" si="9"/>
        <v>0</v>
      </c>
      <c r="N42" s="129"/>
      <c r="O42" s="129">
        <f t="shared" si="1"/>
        <v>0</v>
      </c>
      <c r="P42" s="129"/>
      <c r="Q42" s="129">
        <f t="shared" si="10"/>
        <v>0</v>
      </c>
      <c r="R42" s="129">
        <f t="shared" si="11"/>
        <v>0</v>
      </c>
      <c r="S42" s="693">
        <f t="shared" si="12"/>
        <v>6</v>
      </c>
      <c r="T42" s="129">
        <f t="shared" si="44"/>
        <v>0</v>
      </c>
      <c r="U42" s="165">
        <f t="shared" si="14"/>
        <v>0</v>
      </c>
      <c r="V42" s="75"/>
      <c r="W42" s="131">
        <f t="shared" si="2"/>
        <v>4.1666666666666664E-2</v>
      </c>
      <c r="X42" s="126">
        <f t="shared" si="15"/>
        <v>0</v>
      </c>
      <c r="Y42" s="127">
        <f t="shared" si="50"/>
        <v>0.33333333333333331</v>
      </c>
      <c r="Z42" s="128">
        <f t="shared" si="51"/>
        <v>0</v>
      </c>
      <c r="AA42" s="76" t="str">
        <f t="shared" si="52"/>
        <v/>
      </c>
      <c r="AB42" s="216">
        <f t="shared" si="3"/>
        <v>0</v>
      </c>
      <c r="AC42" s="163" t="str">
        <f t="shared" si="53"/>
        <v/>
      </c>
      <c r="AD42" s="257">
        <f t="shared" si="39"/>
        <v>0</v>
      </c>
      <c r="AE42" s="138"/>
      <c r="AF42" s="138" t="str">
        <f t="shared" si="26"/>
        <v/>
      </c>
      <c r="AG42" s="77">
        <f t="shared" si="59"/>
        <v>0</v>
      </c>
      <c r="AH42" s="77">
        <f t="shared" si="60"/>
        <v>0</v>
      </c>
      <c r="AI42" s="77" t="str">
        <f t="shared" si="27"/>
        <v/>
      </c>
      <c r="AJ42" s="78">
        <f t="shared" si="4"/>
        <v>2</v>
      </c>
      <c r="AK42" s="139">
        <f>SUM($AC$6:AC42)</f>
        <v>0</v>
      </c>
      <c r="AL42" s="139">
        <f t="shared" ca="1" si="18"/>
        <v>0</v>
      </c>
      <c r="AM42" s="143">
        <f t="shared" si="28"/>
        <v>0</v>
      </c>
      <c r="AN42" s="143">
        <f t="shared" si="29"/>
        <v>0</v>
      </c>
      <c r="AO42" s="143">
        <f t="shared" si="30"/>
        <v>0</v>
      </c>
      <c r="AP42" s="142">
        <f t="shared" si="19"/>
        <v>30</v>
      </c>
      <c r="AQ42" s="142">
        <f t="shared" ca="1" si="20"/>
        <v>30</v>
      </c>
      <c r="AR42" s="154">
        <f t="shared" si="43"/>
        <v>0</v>
      </c>
      <c r="AS42" s="142">
        <f t="shared" si="22"/>
        <v>0</v>
      </c>
      <c r="AT42" t="b">
        <f>OR((F42&gt;0),(NOT(ISBLANK(H42))),SUM(H42:H$373),SUM(G42:G$373))</f>
        <v>0</v>
      </c>
      <c r="AU42" t="b">
        <f t="shared" ca="1" si="5"/>
        <v>0</v>
      </c>
    </row>
    <row r="43" spans="1:47">
      <c r="A43" s="349">
        <f t="shared" si="23"/>
        <v>41676</v>
      </c>
      <c r="B43" s="350">
        <f t="shared" si="24"/>
        <v>41676</v>
      </c>
      <c r="C43" s="351">
        <f t="shared" si="47"/>
        <v>6</v>
      </c>
      <c r="D43" s="352">
        <f t="shared" si="48"/>
        <v>41670</v>
      </c>
      <c r="E43" s="364" t="str">
        <f t="shared" si="6"/>
        <v/>
      </c>
      <c r="F43" s="6"/>
      <c r="G43" s="7" t="str">
        <f t="shared" si="49"/>
        <v/>
      </c>
      <c r="H43" s="8"/>
      <c r="I43" s="8">
        <f t="shared" si="45"/>
        <v>0</v>
      </c>
      <c r="J43" s="129">
        <f t="shared" si="34"/>
        <v>0</v>
      </c>
      <c r="K43" s="8"/>
      <c r="L43" s="8">
        <f t="shared" si="8"/>
        <v>0</v>
      </c>
      <c r="M43" s="129">
        <f t="shared" si="9"/>
        <v>0</v>
      </c>
      <c r="N43" s="129"/>
      <c r="O43" s="129">
        <f t="shared" si="1"/>
        <v>0</v>
      </c>
      <c r="P43" s="129"/>
      <c r="Q43" s="129">
        <f t="shared" si="10"/>
        <v>0</v>
      </c>
      <c r="R43" s="129">
        <f t="shared" si="11"/>
        <v>0</v>
      </c>
      <c r="S43" s="693">
        <f t="shared" si="12"/>
        <v>6</v>
      </c>
      <c r="T43" s="129">
        <f t="shared" si="44"/>
        <v>0</v>
      </c>
      <c r="U43" s="165">
        <f t="shared" si="14"/>
        <v>0</v>
      </c>
      <c r="V43" s="75"/>
      <c r="W43" s="131">
        <f t="shared" si="2"/>
        <v>4.1666666666666664E-2</v>
      </c>
      <c r="X43" s="126">
        <f t="shared" si="15"/>
        <v>0</v>
      </c>
      <c r="Y43" s="127">
        <f t="shared" si="50"/>
        <v>0.33333333333333331</v>
      </c>
      <c r="Z43" s="128">
        <f t="shared" si="51"/>
        <v>0</v>
      </c>
      <c r="AA43" s="76" t="str">
        <f t="shared" si="52"/>
        <v/>
      </c>
      <c r="AB43" s="216">
        <f t="shared" si="3"/>
        <v>0</v>
      </c>
      <c r="AC43" s="163" t="str">
        <f t="shared" si="53"/>
        <v/>
      </c>
      <c r="AD43" s="257">
        <f t="shared" si="39"/>
        <v>0</v>
      </c>
      <c r="AE43" s="138"/>
      <c r="AF43" s="138" t="str">
        <f t="shared" si="26"/>
        <v/>
      </c>
      <c r="AG43" s="77">
        <f t="shared" si="59"/>
        <v>0</v>
      </c>
      <c r="AH43" s="77">
        <f t="shared" si="60"/>
        <v>0</v>
      </c>
      <c r="AI43" s="77" t="str">
        <f t="shared" si="27"/>
        <v/>
      </c>
      <c r="AJ43" s="78">
        <f t="shared" si="4"/>
        <v>3</v>
      </c>
      <c r="AK43" s="139">
        <f>SUM($AC$6:AC43)</f>
        <v>0</v>
      </c>
      <c r="AL43" s="139">
        <f t="shared" ca="1" si="18"/>
        <v>0</v>
      </c>
      <c r="AM43" s="143">
        <f t="shared" si="28"/>
        <v>0</v>
      </c>
      <c r="AN43" s="143">
        <f t="shared" si="29"/>
        <v>0</v>
      </c>
      <c r="AO43" s="143">
        <f t="shared" si="30"/>
        <v>0</v>
      </c>
      <c r="AP43" s="142">
        <f t="shared" si="19"/>
        <v>30</v>
      </c>
      <c r="AQ43" s="142">
        <f t="shared" ca="1" si="20"/>
        <v>30</v>
      </c>
      <c r="AR43" s="154">
        <f t="shared" si="43"/>
        <v>0</v>
      </c>
      <c r="AS43" s="142">
        <f t="shared" si="22"/>
        <v>0</v>
      </c>
      <c r="AT43" t="b">
        <f>OR((F43&gt;0),(NOT(ISBLANK(H43))),SUM(H43:H$373),SUM(G43:G$373))</f>
        <v>0</v>
      </c>
      <c r="AU43" t="b">
        <f t="shared" ca="1" si="5"/>
        <v>0</v>
      </c>
    </row>
    <row r="44" spans="1:47">
      <c r="A44" s="349">
        <f t="shared" si="23"/>
        <v>41677</v>
      </c>
      <c r="B44" s="350">
        <f t="shared" si="24"/>
        <v>41677</v>
      </c>
      <c r="C44" s="351">
        <f t="shared" si="47"/>
        <v>6</v>
      </c>
      <c r="D44" s="352">
        <f t="shared" si="48"/>
        <v>41670</v>
      </c>
      <c r="E44" s="364" t="str">
        <f t="shared" si="6"/>
        <v/>
      </c>
      <c r="F44" s="6"/>
      <c r="G44" s="7" t="str">
        <f t="shared" si="49"/>
        <v/>
      </c>
      <c r="H44" s="8"/>
      <c r="I44" s="8">
        <f t="shared" si="45"/>
        <v>0</v>
      </c>
      <c r="J44" s="129">
        <f t="shared" si="34"/>
        <v>0</v>
      </c>
      <c r="K44" s="8"/>
      <c r="L44" s="8">
        <f t="shared" si="8"/>
        <v>0</v>
      </c>
      <c r="M44" s="129">
        <f t="shared" si="9"/>
        <v>0</v>
      </c>
      <c r="N44" s="129"/>
      <c r="O44" s="129">
        <f t="shared" si="1"/>
        <v>0</v>
      </c>
      <c r="P44" s="129"/>
      <c r="Q44" s="129">
        <f t="shared" si="10"/>
        <v>0</v>
      </c>
      <c r="R44" s="129">
        <f t="shared" si="11"/>
        <v>0</v>
      </c>
      <c r="S44" s="693">
        <f t="shared" si="12"/>
        <v>6</v>
      </c>
      <c r="T44" s="129">
        <f t="shared" si="44"/>
        <v>0</v>
      </c>
      <c r="U44" s="165">
        <f t="shared" si="14"/>
        <v>0</v>
      </c>
      <c r="V44" s="75"/>
      <c r="W44" s="131">
        <f t="shared" si="2"/>
        <v>4.1666666666666664E-2</v>
      </c>
      <c r="X44" s="126">
        <f t="shared" si="15"/>
        <v>0</v>
      </c>
      <c r="Y44" s="127">
        <f t="shared" si="50"/>
        <v>0.33333333333333331</v>
      </c>
      <c r="Z44" s="128">
        <f t="shared" si="51"/>
        <v>0</v>
      </c>
      <c r="AA44" s="76" t="str">
        <f t="shared" si="52"/>
        <v/>
      </c>
      <c r="AB44" s="216">
        <f t="shared" si="3"/>
        <v>0</v>
      </c>
      <c r="AC44" s="163" t="str">
        <f t="shared" si="53"/>
        <v/>
      </c>
      <c r="AD44" s="257">
        <f t="shared" si="39"/>
        <v>0</v>
      </c>
      <c r="AE44" s="138"/>
      <c r="AF44" s="138" t="str">
        <f t="shared" si="26"/>
        <v/>
      </c>
      <c r="AG44" s="77">
        <f t="shared" si="59"/>
        <v>0</v>
      </c>
      <c r="AH44" s="77">
        <f t="shared" si="60"/>
        <v>0</v>
      </c>
      <c r="AI44" s="77" t="str">
        <f t="shared" si="27"/>
        <v/>
      </c>
      <c r="AJ44" s="78">
        <f t="shared" si="4"/>
        <v>4</v>
      </c>
      <c r="AK44" s="139">
        <f>SUM($AC$6:AC44)</f>
        <v>0</v>
      </c>
      <c r="AL44" s="139">
        <f t="shared" ca="1" si="18"/>
        <v>0</v>
      </c>
      <c r="AM44" s="143">
        <f t="shared" si="28"/>
        <v>0</v>
      </c>
      <c r="AN44" s="143">
        <f t="shared" si="29"/>
        <v>0</v>
      </c>
      <c r="AO44" s="143">
        <f t="shared" si="30"/>
        <v>0</v>
      </c>
      <c r="AP44" s="142">
        <f t="shared" si="19"/>
        <v>30</v>
      </c>
      <c r="AQ44" s="142">
        <f t="shared" ca="1" si="20"/>
        <v>30</v>
      </c>
      <c r="AR44" s="154">
        <f t="shared" si="43"/>
        <v>0</v>
      </c>
      <c r="AS44" s="142">
        <f t="shared" si="22"/>
        <v>0</v>
      </c>
      <c r="AT44" t="b">
        <f>OR((F44&gt;0),(NOT(ISBLANK(H44))),SUM(H44:H$373),SUM(G44:G$373))</f>
        <v>0</v>
      </c>
      <c r="AU44" t="b">
        <f t="shared" ca="1" si="5"/>
        <v>0</v>
      </c>
    </row>
    <row r="45" spans="1:47">
      <c r="A45" s="349">
        <f t="shared" si="23"/>
        <v>41678</v>
      </c>
      <c r="B45" s="350">
        <f t="shared" si="24"/>
        <v>41678</v>
      </c>
      <c r="C45" s="351">
        <f t="shared" si="47"/>
        <v>6</v>
      </c>
      <c r="D45" s="352">
        <f t="shared" si="48"/>
        <v>41670</v>
      </c>
      <c r="E45" s="364" t="str">
        <f t="shared" si="6"/>
        <v/>
      </c>
      <c r="F45" s="6"/>
      <c r="G45" s="7" t="str">
        <f t="shared" si="49"/>
        <v/>
      </c>
      <c r="H45" s="8"/>
      <c r="I45" s="8">
        <f t="shared" si="45"/>
        <v>0</v>
      </c>
      <c r="J45" s="129">
        <f t="shared" si="34"/>
        <v>0</v>
      </c>
      <c r="K45" s="8"/>
      <c r="L45" s="8">
        <f t="shared" si="8"/>
        <v>0</v>
      </c>
      <c r="M45" s="129">
        <f t="shared" si="9"/>
        <v>0</v>
      </c>
      <c r="N45" s="129"/>
      <c r="O45" s="129">
        <f t="shared" si="1"/>
        <v>0</v>
      </c>
      <c r="P45" s="129"/>
      <c r="Q45" s="129">
        <f t="shared" si="10"/>
        <v>0</v>
      </c>
      <c r="R45" s="129">
        <f t="shared" si="11"/>
        <v>0</v>
      </c>
      <c r="S45" s="693">
        <f t="shared" si="12"/>
        <v>6</v>
      </c>
      <c r="T45" s="129">
        <f t="shared" si="44"/>
        <v>0</v>
      </c>
      <c r="U45" s="165">
        <f t="shared" si="14"/>
        <v>0</v>
      </c>
      <c r="V45" s="75"/>
      <c r="W45" s="131">
        <f t="shared" si="2"/>
        <v>4.1666666666666664E-2</v>
      </c>
      <c r="X45" s="126">
        <f t="shared" si="15"/>
        <v>0</v>
      </c>
      <c r="Y45" s="127">
        <f t="shared" si="50"/>
        <v>0.33333333333333331</v>
      </c>
      <c r="Z45" s="128">
        <f t="shared" si="51"/>
        <v>0</v>
      </c>
      <c r="AA45" s="76" t="str">
        <f t="shared" si="52"/>
        <v/>
      </c>
      <c r="AB45" s="216">
        <f t="shared" si="3"/>
        <v>0</v>
      </c>
      <c r="AC45" s="163" t="str">
        <f t="shared" si="53"/>
        <v/>
      </c>
      <c r="AD45" s="257">
        <f t="shared" si="39"/>
        <v>0</v>
      </c>
      <c r="AE45" s="138"/>
      <c r="AF45" s="138" t="str">
        <f t="shared" si="26"/>
        <v/>
      </c>
      <c r="AG45" s="77">
        <f t="shared" si="59"/>
        <v>0</v>
      </c>
      <c r="AH45" s="77">
        <f t="shared" si="60"/>
        <v>0</v>
      </c>
      <c r="AI45" s="77" t="str">
        <f t="shared" si="27"/>
        <v/>
      </c>
      <c r="AJ45" s="78">
        <f t="shared" si="4"/>
        <v>5</v>
      </c>
      <c r="AK45" s="139">
        <f>SUM($AC$6:AC45)</f>
        <v>0</v>
      </c>
      <c r="AL45" s="139">
        <f t="shared" ca="1" si="18"/>
        <v>0</v>
      </c>
      <c r="AM45" s="143">
        <f t="shared" si="28"/>
        <v>0</v>
      </c>
      <c r="AN45" s="143">
        <f t="shared" si="29"/>
        <v>0</v>
      </c>
      <c r="AO45" s="143">
        <f t="shared" si="30"/>
        <v>0</v>
      </c>
      <c r="AP45" s="142">
        <f t="shared" si="19"/>
        <v>30</v>
      </c>
      <c r="AQ45" s="142">
        <f t="shared" ca="1" si="20"/>
        <v>30</v>
      </c>
      <c r="AR45" s="154">
        <f t="shared" si="43"/>
        <v>0</v>
      </c>
      <c r="AS45" s="142">
        <f t="shared" si="22"/>
        <v>0</v>
      </c>
      <c r="AT45" t="b">
        <f>OR((F45&gt;0),(NOT(ISBLANK(H45))),SUM(H45:H$373),SUM(G45:G$373))</f>
        <v>0</v>
      </c>
      <c r="AU45" t="b">
        <f t="shared" ca="1" si="5"/>
        <v>0</v>
      </c>
    </row>
    <row r="46" spans="1:47">
      <c r="A46" s="349">
        <f t="shared" si="23"/>
        <v>41679</v>
      </c>
      <c r="B46" s="350">
        <f t="shared" si="24"/>
        <v>41679</v>
      </c>
      <c r="C46" s="351">
        <f t="shared" si="47"/>
        <v>6</v>
      </c>
      <c r="D46" s="352">
        <f t="shared" si="48"/>
        <v>41670</v>
      </c>
      <c r="E46" s="364" t="str">
        <f t="shared" si="6"/>
        <v/>
      </c>
      <c r="F46" s="6"/>
      <c r="G46" s="7" t="str">
        <f t="shared" si="49"/>
        <v/>
      </c>
      <c r="H46" s="8"/>
      <c r="I46" s="8">
        <f t="shared" si="45"/>
        <v>0</v>
      </c>
      <c r="J46" s="129">
        <f t="shared" si="34"/>
        <v>0</v>
      </c>
      <c r="K46" s="8"/>
      <c r="L46" s="8">
        <f t="shared" si="8"/>
        <v>0</v>
      </c>
      <c r="M46" s="129">
        <f t="shared" si="9"/>
        <v>0</v>
      </c>
      <c r="N46" s="129"/>
      <c r="O46" s="129">
        <f t="shared" si="1"/>
        <v>0</v>
      </c>
      <c r="P46" s="129"/>
      <c r="Q46" s="129">
        <f t="shared" si="10"/>
        <v>0</v>
      </c>
      <c r="R46" s="129">
        <f t="shared" si="11"/>
        <v>0</v>
      </c>
      <c r="S46" s="693">
        <f t="shared" si="12"/>
        <v>6</v>
      </c>
      <c r="T46" s="129">
        <f t="shared" si="44"/>
        <v>0</v>
      </c>
      <c r="U46" s="165">
        <f t="shared" si="14"/>
        <v>0</v>
      </c>
      <c r="V46" s="75"/>
      <c r="W46" s="131">
        <f t="shared" si="2"/>
        <v>4.1666666666666664E-2</v>
      </c>
      <c r="X46" s="126">
        <f t="shared" si="15"/>
        <v>0</v>
      </c>
      <c r="Y46" s="127">
        <f t="shared" si="50"/>
        <v>0</v>
      </c>
      <c r="Z46" s="128">
        <f t="shared" si="51"/>
        <v>0</v>
      </c>
      <c r="AA46" s="76" t="str">
        <f t="shared" si="52"/>
        <v/>
      </c>
      <c r="AB46" s="216">
        <f t="shared" si="3"/>
        <v>0</v>
      </c>
      <c r="AC46" s="163" t="str">
        <f t="shared" si="53"/>
        <v/>
      </c>
      <c r="AD46" s="257">
        <f t="shared" si="39"/>
        <v>0</v>
      </c>
      <c r="AE46" s="138"/>
      <c r="AF46" s="138" t="str">
        <f t="shared" si="26"/>
        <v/>
      </c>
      <c r="AG46" s="77">
        <f t="shared" si="59"/>
        <v>0</v>
      </c>
      <c r="AH46" s="77">
        <f t="shared" si="60"/>
        <v>0</v>
      </c>
      <c r="AI46" s="77" t="str">
        <f t="shared" si="27"/>
        <v/>
      </c>
      <c r="AJ46" s="78">
        <f t="shared" si="4"/>
        <v>6</v>
      </c>
      <c r="AK46" s="139">
        <f>SUM($AC$6:AC46)</f>
        <v>0</v>
      </c>
      <c r="AL46" s="139">
        <f t="shared" ca="1" si="18"/>
        <v>0</v>
      </c>
      <c r="AM46" s="143">
        <f t="shared" si="28"/>
        <v>0</v>
      </c>
      <c r="AN46" s="143">
        <f t="shared" si="29"/>
        <v>0</v>
      </c>
      <c r="AO46" s="143">
        <f t="shared" si="30"/>
        <v>0</v>
      </c>
      <c r="AP46" s="142">
        <f t="shared" si="19"/>
        <v>30</v>
      </c>
      <c r="AQ46" s="142">
        <f t="shared" ca="1" si="20"/>
        <v>30</v>
      </c>
      <c r="AR46" s="154">
        <f t="shared" si="43"/>
        <v>0</v>
      </c>
      <c r="AS46" s="142">
        <f t="shared" si="22"/>
        <v>7</v>
      </c>
      <c r="AT46" t="b">
        <f>OR((F46&gt;0),(NOT(ISBLANK(H46))),SUM(H46:H$373),SUM(G46:G$373))</f>
        <v>0</v>
      </c>
      <c r="AU46" t="b">
        <f t="shared" ca="1" si="5"/>
        <v>1</v>
      </c>
    </row>
    <row r="47" spans="1:47">
      <c r="A47" s="349">
        <f t="shared" si="23"/>
        <v>41680</v>
      </c>
      <c r="B47" s="350">
        <f t="shared" si="24"/>
        <v>41680</v>
      </c>
      <c r="C47" s="351">
        <f t="shared" si="47"/>
        <v>6</v>
      </c>
      <c r="D47" s="352">
        <f t="shared" si="48"/>
        <v>41670</v>
      </c>
      <c r="E47" s="364" t="str">
        <f t="shared" si="6"/>
        <v/>
      </c>
      <c r="F47" s="6"/>
      <c r="G47" s="7" t="str">
        <f t="shared" si="49"/>
        <v/>
      </c>
      <c r="H47" s="8"/>
      <c r="I47" s="8">
        <f t="shared" si="45"/>
        <v>0</v>
      </c>
      <c r="J47" s="129">
        <f t="shared" si="34"/>
        <v>0</v>
      </c>
      <c r="K47" s="8"/>
      <c r="L47" s="8">
        <f t="shared" si="8"/>
        <v>0</v>
      </c>
      <c r="M47" s="129">
        <f t="shared" si="9"/>
        <v>0</v>
      </c>
      <c r="N47" s="129"/>
      <c r="O47" s="129">
        <f t="shared" si="1"/>
        <v>0</v>
      </c>
      <c r="P47" s="129"/>
      <c r="Q47" s="129">
        <f t="shared" si="10"/>
        <v>0</v>
      </c>
      <c r="R47" s="129">
        <f t="shared" si="11"/>
        <v>0</v>
      </c>
      <c r="S47" s="693">
        <f t="shared" si="12"/>
        <v>6</v>
      </c>
      <c r="T47" s="129">
        <f t="shared" si="44"/>
        <v>0</v>
      </c>
      <c r="U47" s="165">
        <f t="shared" si="14"/>
        <v>0</v>
      </c>
      <c r="V47" s="75"/>
      <c r="W47" s="131">
        <f t="shared" si="2"/>
        <v>4.1666666666666664E-2</v>
      </c>
      <c r="X47" s="126">
        <f t="shared" si="15"/>
        <v>0</v>
      </c>
      <c r="Y47" s="127">
        <f t="shared" si="50"/>
        <v>0</v>
      </c>
      <c r="Z47" s="128">
        <f t="shared" si="51"/>
        <v>0</v>
      </c>
      <c r="AA47" s="76" t="str">
        <f t="shared" si="52"/>
        <v/>
      </c>
      <c r="AB47" s="216">
        <f t="shared" si="3"/>
        <v>0</v>
      </c>
      <c r="AC47" s="163" t="str">
        <f t="shared" si="53"/>
        <v/>
      </c>
      <c r="AD47" s="257">
        <f t="shared" si="39"/>
        <v>0</v>
      </c>
      <c r="AE47" s="138"/>
      <c r="AF47" s="138" t="str">
        <f t="shared" si="26"/>
        <v/>
      </c>
      <c r="AG47" s="77">
        <f t="shared" si="59"/>
        <v>0</v>
      </c>
      <c r="AH47" s="77">
        <f t="shared" si="60"/>
        <v>0</v>
      </c>
      <c r="AI47" s="77" t="str">
        <f t="shared" si="27"/>
        <v/>
      </c>
      <c r="AJ47" s="78">
        <f t="shared" si="4"/>
        <v>7</v>
      </c>
      <c r="AK47" s="139">
        <f>SUM($AC$6:AC47)</f>
        <v>0</v>
      </c>
      <c r="AL47" s="139">
        <f t="shared" ca="1" si="18"/>
        <v>0</v>
      </c>
      <c r="AM47" s="143">
        <f t="shared" si="28"/>
        <v>0</v>
      </c>
      <c r="AN47" s="143">
        <f t="shared" si="29"/>
        <v>0</v>
      </c>
      <c r="AO47" s="143">
        <f t="shared" si="30"/>
        <v>0</v>
      </c>
      <c r="AP47" s="142">
        <f t="shared" si="19"/>
        <v>30</v>
      </c>
      <c r="AQ47" s="142">
        <f t="shared" ca="1" si="20"/>
        <v>30</v>
      </c>
      <c r="AR47" s="154">
        <f t="shared" si="43"/>
        <v>0</v>
      </c>
      <c r="AS47" s="142">
        <f t="shared" si="22"/>
        <v>7</v>
      </c>
      <c r="AT47" t="b">
        <f>OR((F47&gt;0),(NOT(ISBLANK(H47))),SUM(H47:H$373),SUM(G47:G$373))</f>
        <v>0</v>
      </c>
      <c r="AU47" t="b">
        <f t="shared" ca="1" si="5"/>
        <v>1</v>
      </c>
    </row>
    <row r="48" spans="1:47">
      <c r="A48" s="349">
        <f t="shared" si="23"/>
        <v>41681</v>
      </c>
      <c r="B48" s="350">
        <f t="shared" si="24"/>
        <v>41681</v>
      </c>
      <c r="C48" s="351">
        <f t="shared" si="47"/>
        <v>7</v>
      </c>
      <c r="D48" s="352">
        <f t="shared" si="48"/>
        <v>41670</v>
      </c>
      <c r="E48" s="364" t="str">
        <f t="shared" si="6"/>
        <v/>
      </c>
      <c r="F48" s="6"/>
      <c r="G48" s="7" t="str">
        <f t="shared" si="49"/>
        <v/>
      </c>
      <c r="H48" s="8"/>
      <c r="I48" s="8">
        <f t="shared" si="45"/>
        <v>0</v>
      </c>
      <c r="J48" s="129">
        <f t="shared" si="34"/>
        <v>0</v>
      </c>
      <c r="K48" s="8"/>
      <c r="L48" s="8">
        <f t="shared" si="8"/>
        <v>0</v>
      </c>
      <c r="M48" s="129">
        <f t="shared" si="9"/>
        <v>0</v>
      </c>
      <c r="N48" s="129"/>
      <c r="O48" s="129">
        <f t="shared" si="1"/>
        <v>0</v>
      </c>
      <c r="P48" s="129"/>
      <c r="Q48" s="129">
        <f t="shared" si="10"/>
        <v>0</v>
      </c>
      <c r="R48" s="129">
        <f t="shared" si="11"/>
        <v>0</v>
      </c>
      <c r="S48" s="693">
        <f t="shared" si="12"/>
        <v>6</v>
      </c>
      <c r="T48" s="129">
        <f t="shared" si="44"/>
        <v>0</v>
      </c>
      <c r="U48" s="165">
        <f t="shared" si="14"/>
        <v>0</v>
      </c>
      <c r="V48" s="75"/>
      <c r="W48" s="131">
        <f t="shared" si="2"/>
        <v>4.1666666666666664E-2</v>
      </c>
      <c r="X48" s="126">
        <f t="shared" si="15"/>
        <v>0</v>
      </c>
      <c r="Y48" s="127">
        <f t="shared" si="50"/>
        <v>0.33333333333333331</v>
      </c>
      <c r="Z48" s="128">
        <f t="shared" si="51"/>
        <v>0</v>
      </c>
      <c r="AA48" s="76" t="str">
        <f t="shared" si="52"/>
        <v/>
      </c>
      <c r="AB48" s="216">
        <f t="shared" si="3"/>
        <v>0</v>
      </c>
      <c r="AC48" s="163" t="str">
        <f t="shared" si="53"/>
        <v/>
      </c>
      <c r="AD48" s="257">
        <f t="shared" si="39"/>
        <v>0</v>
      </c>
      <c r="AE48" s="138"/>
      <c r="AF48" s="138" t="str">
        <f t="shared" si="26"/>
        <v/>
      </c>
      <c r="AG48" s="77">
        <f t="shared" si="59"/>
        <v>0</v>
      </c>
      <c r="AH48" s="77">
        <f t="shared" si="60"/>
        <v>0</v>
      </c>
      <c r="AI48" s="77" t="str">
        <f t="shared" si="27"/>
        <v/>
      </c>
      <c r="AJ48" s="78">
        <f t="shared" si="4"/>
        <v>1</v>
      </c>
      <c r="AK48" s="139">
        <f>SUM($AC$6:AC48)</f>
        <v>0</v>
      </c>
      <c r="AL48" s="139">
        <f t="shared" ca="1" si="18"/>
        <v>0</v>
      </c>
      <c r="AM48" s="143">
        <f t="shared" si="28"/>
        <v>0</v>
      </c>
      <c r="AN48" s="143">
        <f t="shared" si="29"/>
        <v>0</v>
      </c>
      <c r="AO48" s="143">
        <f t="shared" si="30"/>
        <v>0</v>
      </c>
      <c r="AP48" s="142">
        <f t="shared" si="19"/>
        <v>30</v>
      </c>
      <c r="AQ48" s="142">
        <f t="shared" ca="1" si="20"/>
        <v>30</v>
      </c>
      <c r="AR48" s="154">
        <f t="shared" si="43"/>
        <v>0</v>
      </c>
      <c r="AS48" s="142">
        <f t="shared" si="22"/>
        <v>0</v>
      </c>
      <c r="AT48" t="b">
        <f>OR((F48&gt;0),(NOT(ISBLANK(H48))),SUM(H48:H$373),SUM(G48:G$373))</f>
        <v>0</v>
      </c>
      <c r="AU48" t="b">
        <f t="shared" ca="1" si="5"/>
        <v>0</v>
      </c>
    </row>
    <row r="49" spans="1:47">
      <c r="A49" s="349">
        <f t="shared" si="23"/>
        <v>41682</v>
      </c>
      <c r="B49" s="350">
        <f t="shared" si="24"/>
        <v>41682</v>
      </c>
      <c r="C49" s="351">
        <f t="shared" si="47"/>
        <v>7</v>
      </c>
      <c r="D49" s="352">
        <f t="shared" si="48"/>
        <v>41670</v>
      </c>
      <c r="E49" s="364" t="str">
        <f t="shared" si="6"/>
        <v/>
      </c>
      <c r="F49" s="6"/>
      <c r="G49" s="7" t="str">
        <f t="shared" si="49"/>
        <v/>
      </c>
      <c r="H49" s="8"/>
      <c r="I49" s="8">
        <f t="shared" si="45"/>
        <v>0</v>
      </c>
      <c r="J49" s="129">
        <f t="shared" si="34"/>
        <v>0</v>
      </c>
      <c r="K49" s="8"/>
      <c r="L49" s="8">
        <f t="shared" si="8"/>
        <v>0</v>
      </c>
      <c r="M49" s="129">
        <f t="shared" si="9"/>
        <v>0</v>
      </c>
      <c r="N49" s="129"/>
      <c r="O49" s="129">
        <f t="shared" si="1"/>
        <v>0</v>
      </c>
      <c r="P49" s="129"/>
      <c r="Q49" s="129">
        <f t="shared" si="10"/>
        <v>0</v>
      </c>
      <c r="R49" s="129">
        <f t="shared" si="11"/>
        <v>0</v>
      </c>
      <c r="S49" s="693">
        <f t="shared" si="12"/>
        <v>6</v>
      </c>
      <c r="T49" s="129">
        <f t="shared" si="44"/>
        <v>0</v>
      </c>
      <c r="U49" s="165">
        <f t="shared" si="14"/>
        <v>0</v>
      </c>
      <c r="V49" s="75"/>
      <c r="W49" s="131">
        <f t="shared" si="2"/>
        <v>4.1666666666666664E-2</v>
      </c>
      <c r="X49" s="126">
        <f t="shared" si="15"/>
        <v>0</v>
      </c>
      <c r="Y49" s="127">
        <f t="shared" si="50"/>
        <v>0.33333333333333331</v>
      </c>
      <c r="Z49" s="128">
        <f t="shared" si="51"/>
        <v>0</v>
      </c>
      <c r="AA49" s="76" t="str">
        <f t="shared" si="52"/>
        <v/>
      </c>
      <c r="AB49" s="216">
        <f t="shared" si="3"/>
        <v>0</v>
      </c>
      <c r="AC49" s="163" t="str">
        <f t="shared" si="53"/>
        <v/>
      </c>
      <c r="AD49" s="257">
        <f t="shared" si="39"/>
        <v>0</v>
      </c>
      <c r="AE49" s="138"/>
      <c r="AF49" s="138" t="str">
        <f t="shared" si="26"/>
        <v/>
      </c>
      <c r="AG49" s="77">
        <f t="shared" si="59"/>
        <v>0</v>
      </c>
      <c r="AH49" s="77">
        <f t="shared" si="60"/>
        <v>0</v>
      </c>
      <c r="AI49" s="77" t="str">
        <f t="shared" si="27"/>
        <v/>
      </c>
      <c r="AJ49" s="78">
        <f t="shared" si="4"/>
        <v>2</v>
      </c>
      <c r="AK49" s="139">
        <f>SUM($AC$6:AC49)</f>
        <v>0</v>
      </c>
      <c r="AL49" s="139">
        <f t="shared" ca="1" si="18"/>
        <v>0</v>
      </c>
      <c r="AM49" s="143">
        <f t="shared" si="28"/>
        <v>0</v>
      </c>
      <c r="AN49" s="143">
        <f t="shared" si="29"/>
        <v>0</v>
      </c>
      <c r="AO49" s="143">
        <f t="shared" si="30"/>
        <v>0</v>
      </c>
      <c r="AP49" s="142">
        <f t="shared" si="19"/>
        <v>30</v>
      </c>
      <c r="AQ49" s="142">
        <f t="shared" ca="1" si="20"/>
        <v>30</v>
      </c>
      <c r="AR49" s="154">
        <f t="shared" si="43"/>
        <v>0</v>
      </c>
      <c r="AS49" s="142">
        <f t="shared" si="22"/>
        <v>0</v>
      </c>
      <c r="AT49" t="b">
        <f>OR((F49&gt;0),(NOT(ISBLANK(H49))),SUM(H49:H$373),SUM(G49:G$373))</f>
        <v>0</v>
      </c>
      <c r="AU49" t="b">
        <f t="shared" ca="1" si="5"/>
        <v>0</v>
      </c>
    </row>
    <row r="50" spans="1:47">
      <c r="A50" s="349">
        <f t="shared" si="23"/>
        <v>41683</v>
      </c>
      <c r="B50" s="350">
        <f t="shared" si="24"/>
        <v>41683</v>
      </c>
      <c r="C50" s="351">
        <f t="shared" si="47"/>
        <v>7</v>
      </c>
      <c r="D50" s="352">
        <f t="shared" si="48"/>
        <v>41670</v>
      </c>
      <c r="E50" s="364" t="str">
        <f t="shared" si="6"/>
        <v/>
      </c>
      <c r="F50" s="6"/>
      <c r="G50" s="7" t="str">
        <f t="shared" si="49"/>
        <v/>
      </c>
      <c r="H50" s="8"/>
      <c r="I50" s="8">
        <f t="shared" si="45"/>
        <v>0</v>
      </c>
      <c r="J50" s="129">
        <f t="shared" si="34"/>
        <v>0</v>
      </c>
      <c r="K50" s="8"/>
      <c r="L50" s="8">
        <f t="shared" si="8"/>
        <v>0</v>
      </c>
      <c r="M50" s="129">
        <f t="shared" si="9"/>
        <v>0</v>
      </c>
      <c r="N50" s="129"/>
      <c r="O50" s="129">
        <f t="shared" si="1"/>
        <v>0</v>
      </c>
      <c r="P50" s="129"/>
      <c r="Q50" s="129">
        <f t="shared" si="10"/>
        <v>0</v>
      </c>
      <c r="R50" s="129">
        <f t="shared" si="11"/>
        <v>0</v>
      </c>
      <c r="S50" s="693">
        <f t="shared" si="12"/>
        <v>6</v>
      </c>
      <c r="T50" s="129">
        <f t="shared" si="44"/>
        <v>0</v>
      </c>
      <c r="U50" s="165">
        <f t="shared" si="14"/>
        <v>0</v>
      </c>
      <c r="V50" s="75"/>
      <c r="W50" s="131">
        <f t="shared" si="2"/>
        <v>4.1666666666666664E-2</v>
      </c>
      <c r="X50" s="126">
        <f t="shared" si="15"/>
        <v>0</v>
      </c>
      <c r="Y50" s="127">
        <f t="shared" si="50"/>
        <v>0.33333333333333331</v>
      </c>
      <c r="Z50" s="128">
        <f t="shared" si="51"/>
        <v>0</v>
      </c>
      <c r="AA50" s="76" t="str">
        <f t="shared" si="52"/>
        <v/>
      </c>
      <c r="AB50" s="216">
        <f t="shared" si="3"/>
        <v>0</v>
      </c>
      <c r="AC50" s="163" t="str">
        <f t="shared" si="53"/>
        <v/>
      </c>
      <c r="AD50" s="257">
        <f t="shared" si="39"/>
        <v>0</v>
      </c>
      <c r="AE50" s="138"/>
      <c r="AF50" s="138" t="str">
        <f t="shared" si="26"/>
        <v/>
      </c>
      <c r="AG50" s="77">
        <f t="shared" si="59"/>
        <v>0</v>
      </c>
      <c r="AH50" s="77">
        <f t="shared" si="60"/>
        <v>0</v>
      </c>
      <c r="AI50" s="77" t="str">
        <f t="shared" si="27"/>
        <v/>
      </c>
      <c r="AJ50" s="78">
        <f t="shared" si="4"/>
        <v>3</v>
      </c>
      <c r="AK50" s="139">
        <f>SUM($AC$6:AC50)</f>
        <v>0</v>
      </c>
      <c r="AL50" s="139">
        <f t="shared" ca="1" si="18"/>
        <v>0</v>
      </c>
      <c r="AM50" s="143">
        <f t="shared" si="28"/>
        <v>0</v>
      </c>
      <c r="AN50" s="143">
        <f t="shared" si="29"/>
        <v>0</v>
      </c>
      <c r="AO50" s="143">
        <f t="shared" si="30"/>
        <v>0</v>
      </c>
      <c r="AP50" s="142">
        <f t="shared" si="19"/>
        <v>30</v>
      </c>
      <c r="AQ50" s="142">
        <f t="shared" ca="1" si="20"/>
        <v>30</v>
      </c>
      <c r="AR50" s="154">
        <f t="shared" si="43"/>
        <v>0</v>
      </c>
      <c r="AS50" s="142">
        <f t="shared" si="22"/>
        <v>0</v>
      </c>
      <c r="AT50" t="b">
        <f>OR((F50&gt;0),(NOT(ISBLANK(H50))),SUM(H50:H$373),SUM(G50:G$373))</f>
        <v>0</v>
      </c>
      <c r="AU50" t="b">
        <f t="shared" ca="1" si="5"/>
        <v>0</v>
      </c>
    </row>
    <row r="51" spans="1:47">
      <c r="A51" s="349">
        <f t="shared" si="23"/>
        <v>41684</v>
      </c>
      <c r="B51" s="350">
        <f t="shared" si="24"/>
        <v>41684</v>
      </c>
      <c r="C51" s="351">
        <f t="shared" si="47"/>
        <v>7</v>
      </c>
      <c r="D51" s="352">
        <f t="shared" si="48"/>
        <v>41670</v>
      </c>
      <c r="E51" s="364" t="str">
        <f t="shared" si="6"/>
        <v/>
      </c>
      <c r="F51" s="6"/>
      <c r="G51" s="7" t="str">
        <f t="shared" si="49"/>
        <v/>
      </c>
      <c r="H51" s="8"/>
      <c r="I51" s="8">
        <f t="shared" si="45"/>
        <v>0</v>
      </c>
      <c r="J51" s="129">
        <f t="shared" si="34"/>
        <v>0</v>
      </c>
      <c r="K51" s="8"/>
      <c r="L51" s="8">
        <f t="shared" si="8"/>
        <v>0</v>
      </c>
      <c r="M51" s="129">
        <f t="shared" si="9"/>
        <v>0</v>
      </c>
      <c r="N51" s="129"/>
      <c r="O51" s="129">
        <f t="shared" si="1"/>
        <v>0</v>
      </c>
      <c r="P51" s="129"/>
      <c r="Q51" s="129">
        <f t="shared" si="10"/>
        <v>0</v>
      </c>
      <c r="R51" s="129">
        <f t="shared" si="11"/>
        <v>0</v>
      </c>
      <c r="S51" s="693">
        <f t="shared" si="12"/>
        <v>6</v>
      </c>
      <c r="T51" s="129">
        <f t="shared" si="44"/>
        <v>0</v>
      </c>
      <c r="U51" s="165">
        <f t="shared" si="14"/>
        <v>0</v>
      </c>
      <c r="V51" s="75"/>
      <c r="W51" s="131">
        <f t="shared" si="2"/>
        <v>4.1666666666666664E-2</v>
      </c>
      <c r="X51" s="126">
        <f t="shared" si="15"/>
        <v>0</v>
      </c>
      <c r="Y51" s="127">
        <f t="shared" si="50"/>
        <v>0.33333333333333331</v>
      </c>
      <c r="Z51" s="128">
        <f t="shared" si="51"/>
        <v>0</v>
      </c>
      <c r="AA51" s="76" t="str">
        <f t="shared" si="52"/>
        <v/>
      </c>
      <c r="AB51" s="216">
        <f t="shared" si="3"/>
        <v>0</v>
      </c>
      <c r="AC51" s="163" t="str">
        <f t="shared" si="53"/>
        <v/>
      </c>
      <c r="AD51" s="257">
        <f t="shared" si="39"/>
        <v>0</v>
      </c>
      <c r="AE51" s="138"/>
      <c r="AF51" s="138" t="str">
        <f t="shared" si="26"/>
        <v/>
      </c>
      <c r="AG51" s="77">
        <f t="shared" si="59"/>
        <v>0</v>
      </c>
      <c r="AH51" s="77">
        <f t="shared" si="60"/>
        <v>0</v>
      </c>
      <c r="AI51" s="77" t="str">
        <f t="shared" si="27"/>
        <v/>
      </c>
      <c r="AJ51" s="78">
        <f t="shared" si="4"/>
        <v>4</v>
      </c>
      <c r="AK51" s="139">
        <f>SUM($AC$6:AC51)</f>
        <v>0</v>
      </c>
      <c r="AL51" s="139">
        <f t="shared" ca="1" si="18"/>
        <v>0</v>
      </c>
      <c r="AM51" s="143">
        <f t="shared" si="28"/>
        <v>0</v>
      </c>
      <c r="AN51" s="143">
        <f t="shared" si="29"/>
        <v>0</v>
      </c>
      <c r="AO51" s="143">
        <f t="shared" si="30"/>
        <v>0</v>
      </c>
      <c r="AP51" s="142">
        <f t="shared" si="19"/>
        <v>30</v>
      </c>
      <c r="AQ51" s="142">
        <f t="shared" ca="1" si="20"/>
        <v>30</v>
      </c>
      <c r="AR51" s="154">
        <f t="shared" si="43"/>
        <v>0</v>
      </c>
      <c r="AS51" s="142">
        <f t="shared" si="22"/>
        <v>0</v>
      </c>
      <c r="AT51" t="b">
        <f>OR((F51&gt;0),(NOT(ISBLANK(H51))),SUM(H51:H$373),SUM(G51:G$373))</f>
        <v>0</v>
      </c>
      <c r="AU51" t="b">
        <f t="shared" ca="1" si="5"/>
        <v>0</v>
      </c>
    </row>
    <row r="52" spans="1:47">
      <c r="A52" s="349">
        <f t="shared" si="23"/>
        <v>41685</v>
      </c>
      <c r="B52" s="350">
        <f t="shared" si="24"/>
        <v>41685</v>
      </c>
      <c r="C52" s="351">
        <f t="shared" si="47"/>
        <v>7</v>
      </c>
      <c r="D52" s="352">
        <f t="shared" si="48"/>
        <v>41670</v>
      </c>
      <c r="E52" s="364" t="str">
        <f t="shared" si="6"/>
        <v/>
      </c>
      <c r="F52" s="6"/>
      <c r="G52" s="7" t="str">
        <f t="shared" si="49"/>
        <v/>
      </c>
      <c r="H52" s="8"/>
      <c r="I52" s="8">
        <f t="shared" si="45"/>
        <v>0</v>
      </c>
      <c r="J52" s="129">
        <f t="shared" si="34"/>
        <v>0</v>
      </c>
      <c r="K52" s="8"/>
      <c r="L52" s="8">
        <f t="shared" si="8"/>
        <v>0</v>
      </c>
      <c r="M52" s="129">
        <f t="shared" si="9"/>
        <v>0</v>
      </c>
      <c r="N52" s="129"/>
      <c r="O52" s="129">
        <f t="shared" si="1"/>
        <v>0</v>
      </c>
      <c r="P52" s="129"/>
      <c r="Q52" s="129">
        <f t="shared" si="10"/>
        <v>0</v>
      </c>
      <c r="R52" s="129">
        <f t="shared" si="11"/>
        <v>0</v>
      </c>
      <c r="S52" s="693">
        <f t="shared" si="12"/>
        <v>6</v>
      </c>
      <c r="T52" s="129">
        <f t="shared" si="44"/>
        <v>0</v>
      </c>
      <c r="U52" s="165">
        <f t="shared" si="14"/>
        <v>0</v>
      </c>
      <c r="V52" s="75"/>
      <c r="W52" s="131">
        <f t="shared" si="2"/>
        <v>4.1666666666666664E-2</v>
      </c>
      <c r="X52" s="126">
        <f t="shared" si="15"/>
        <v>0</v>
      </c>
      <c r="Y52" s="127">
        <f t="shared" si="50"/>
        <v>0.33333333333333331</v>
      </c>
      <c r="Z52" s="128">
        <f t="shared" si="51"/>
        <v>0</v>
      </c>
      <c r="AA52" s="76" t="str">
        <f t="shared" si="52"/>
        <v/>
      </c>
      <c r="AB52" s="216">
        <f t="shared" si="3"/>
        <v>0</v>
      </c>
      <c r="AC52" s="163" t="str">
        <f t="shared" si="53"/>
        <v/>
      </c>
      <c r="AD52" s="257">
        <f t="shared" si="39"/>
        <v>0</v>
      </c>
      <c r="AE52" s="138"/>
      <c r="AF52" s="138" t="str">
        <f t="shared" si="26"/>
        <v/>
      </c>
      <c r="AG52" s="77">
        <f t="shared" si="59"/>
        <v>0</v>
      </c>
      <c r="AH52" s="77">
        <f t="shared" si="60"/>
        <v>0</v>
      </c>
      <c r="AI52" s="77" t="str">
        <f t="shared" si="27"/>
        <v/>
      </c>
      <c r="AJ52" s="78">
        <f t="shared" si="4"/>
        <v>5</v>
      </c>
      <c r="AK52" s="139">
        <f>SUM($AC$6:AC52)</f>
        <v>0</v>
      </c>
      <c r="AL52" s="139">
        <f t="shared" ca="1" si="18"/>
        <v>0</v>
      </c>
      <c r="AM52" s="143">
        <f t="shared" si="28"/>
        <v>0</v>
      </c>
      <c r="AN52" s="143">
        <f t="shared" si="29"/>
        <v>0</v>
      </c>
      <c r="AO52" s="143">
        <f t="shared" si="30"/>
        <v>0</v>
      </c>
      <c r="AP52" s="142">
        <f t="shared" si="19"/>
        <v>30</v>
      </c>
      <c r="AQ52" s="142">
        <f t="shared" ca="1" si="20"/>
        <v>30</v>
      </c>
      <c r="AR52" s="154">
        <f t="shared" si="43"/>
        <v>0</v>
      </c>
      <c r="AS52" s="142">
        <f t="shared" si="22"/>
        <v>0</v>
      </c>
      <c r="AT52" t="b">
        <f>OR((F52&gt;0),(NOT(ISBLANK(H52))),SUM(H52:H$373),SUM(G52:G$373))</f>
        <v>0</v>
      </c>
      <c r="AU52" t="b">
        <f t="shared" ca="1" si="5"/>
        <v>0</v>
      </c>
    </row>
    <row r="53" spans="1:47">
      <c r="A53" s="349">
        <f t="shared" si="23"/>
        <v>41686</v>
      </c>
      <c r="B53" s="350">
        <f t="shared" si="24"/>
        <v>41686</v>
      </c>
      <c r="C53" s="351">
        <f t="shared" si="47"/>
        <v>7</v>
      </c>
      <c r="D53" s="352">
        <f t="shared" si="48"/>
        <v>41670</v>
      </c>
      <c r="E53" s="364" t="str">
        <f t="shared" si="6"/>
        <v/>
      </c>
      <c r="F53" s="6"/>
      <c r="G53" s="7" t="str">
        <f t="shared" si="49"/>
        <v/>
      </c>
      <c r="H53" s="8"/>
      <c r="I53" s="8">
        <f t="shared" si="45"/>
        <v>0</v>
      </c>
      <c r="J53" s="129">
        <f t="shared" si="34"/>
        <v>0</v>
      </c>
      <c r="K53" s="8"/>
      <c r="L53" s="8">
        <f t="shared" si="8"/>
        <v>0</v>
      </c>
      <c r="M53" s="129">
        <f t="shared" si="9"/>
        <v>0</v>
      </c>
      <c r="N53" s="129"/>
      <c r="O53" s="129">
        <f t="shared" si="1"/>
        <v>0</v>
      </c>
      <c r="P53" s="129"/>
      <c r="Q53" s="129">
        <f t="shared" si="10"/>
        <v>0</v>
      </c>
      <c r="R53" s="129">
        <f t="shared" si="11"/>
        <v>0</v>
      </c>
      <c r="S53" s="693">
        <f t="shared" si="12"/>
        <v>6</v>
      </c>
      <c r="T53" s="129">
        <f t="shared" si="44"/>
        <v>0</v>
      </c>
      <c r="U53" s="165">
        <f t="shared" si="14"/>
        <v>0</v>
      </c>
      <c r="V53" s="75"/>
      <c r="W53" s="131">
        <f t="shared" si="2"/>
        <v>4.1666666666666664E-2</v>
      </c>
      <c r="X53" s="126">
        <f t="shared" si="15"/>
        <v>0</v>
      </c>
      <c r="Y53" s="127">
        <f t="shared" si="50"/>
        <v>0</v>
      </c>
      <c r="Z53" s="128">
        <f t="shared" si="51"/>
        <v>0</v>
      </c>
      <c r="AA53" s="76" t="str">
        <f t="shared" si="52"/>
        <v/>
      </c>
      <c r="AB53" s="216">
        <f t="shared" si="3"/>
        <v>0</v>
      </c>
      <c r="AC53" s="163" t="str">
        <f t="shared" si="53"/>
        <v/>
      </c>
      <c r="AD53" s="257">
        <f t="shared" si="39"/>
        <v>0</v>
      </c>
      <c r="AE53" s="138"/>
      <c r="AF53" s="138" t="str">
        <f t="shared" si="26"/>
        <v/>
      </c>
      <c r="AG53" s="77">
        <f t="shared" si="59"/>
        <v>0</v>
      </c>
      <c r="AH53" s="77">
        <f t="shared" si="60"/>
        <v>0</v>
      </c>
      <c r="AI53" s="77" t="str">
        <f t="shared" si="27"/>
        <v/>
      </c>
      <c r="AJ53" s="78">
        <f t="shared" si="4"/>
        <v>6</v>
      </c>
      <c r="AK53" s="139">
        <f>SUM($AC$6:AC53)</f>
        <v>0</v>
      </c>
      <c r="AL53" s="139">
        <f t="shared" ca="1" si="18"/>
        <v>0</v>
      </c>
      <c r="AM53" s="143">
        <f t="shared" si="28"/>
        <v>0</v>
      </c>
      <c r="AN53" s="143">
        <f t="shared" si="29"/>
        <v>0</v>
      </c>
      <c r="AO53" s="143">
        <f t="shared" si="30"/>
        <v>0</v>
      </c>
      <c r="AP53" s="142">
        <f t="shared" si="19"/>
        <v>30</v>
      </c>
      <c r="AQ53" s="142">
        <f t="shared" ca="1" si="20"/>
        <v>30</v>
      </c>
      <c r="AR53" s="154">
        <f t="shared" si="43"/>
        <v>0</v>
      </c>
      <c r="AS53" s="142">
        <f t="shared" si="22"/>
        <v>7</v>
      </c>
      <c r="AT53" t="b">
        <f>OR((F53&gt;0),(NOT(ISBLANK(H53))),SUM(H53:H$373),SUM(G53:G$373))</f>
        <v>0</v>
      </c>
      <c r="AU53" t="b">
        <f t="shared" ca="1" si="5"/>
        <v>1</v>
      </c>
    </row>
    <row r="54" spans="1:47">
      <c r="A54" s="349">
        <f t="shared" si="23"/>
        <v>41687</v>
      </c>
      <c r="B54" s="350">
        <f t="shared" si="24"/>
        <v>41687</v>
      </c>
      <c r="C54" s="351">
        <f t="shared" si="47"/>
        <v>7</v>
      </c>
      <c r="D54" s="352">
        <f t="shared" si="48"/>
        <v>41670</v>
      </c>
      <c r="E54" s="364" t="str">
        <f t="shared" si="6"/>
        <v/>
      </c>
      <c r="F54" s="6"/>
      <c r="G54" s="7" t="str">
        <f t="shared" si="49"/>
        <v/>
      </c>
      <c r="H54" s="8"/>
      <c r="I54" s="8">
        <f t="shared" si="45"/>
        <v>0</v>
      </c>
      <c r="J54" s="129">
        <f t="shared" si="34"/>
        <v>0</v>
      </c>
      <c r="K54" s="8"/>
      <c r="L54" s="8">
        <f t="shared" si="8"/>
        <v>0</v>
      </c>
      <c r="M54" s="129">
        <f t="shared" si="9"/>
        <v>0</v>
      </c>
      <c r="N54" s="129"/>
      <c r="O54" s="129">
        <f t="shared" si="1"/>
        <v>0</v>
      </c>
      <c r="P54" s="129"/>
      <c r="Q54" s="129">
        <f t="shared" si="10"/>
        <v>0</v>
      </c>
      <c r="R54" s="129">
        <f t="shared" si="11"/>
        <v>0</v>
      </c>
      <c r="S54" s="693">
        <f t="shared" si="12"/>
        <v>6</v>
      </c>
      <c r="T54" s="129">
        <f t="shared" si="44"/>
        <v>0</v>
      </c>
      <c r="U54" s="165">
        <f t="shared" si="14"/>
        <v>0</v>
      </c>
      <c r="V54" s="75"/>
      <c r="W54" s="131">
        <f t="shared" si="2"/>
        <v>4.1666666666666664E-2</v>
      </c>
      <c r="X54" s="126">
        <f t="shared" si="15"/>
        <v>0</v>
      </c>
      <c r="Y54" s="127">
        <f t="shared" si="50"/>
        <v>0</v>
      </c>
      <c r="Z54" s="128">
        <f t="shared" si="51"/>
        <v>0</v>
      </c>
      <c r="AA54" s="76" t="str">
        <f t="shared" si="52"/>
        <v/>
      </c>
      <c r="AB54" s="216">
        <f t="shared" si="3"/>
        <v>0</v>
      </c>
      <c r="AC54" s="163" t="str">
        <f t="shared" si="53"/>
        <v/>
      </c>
      <c r="AD54" s="257">
        <f t="shared" si="39"/>
        <v>0</v>
      </c>
      <c r="AE54" s="138"/>
      <c r="AF54" s="138" t="str">
        <f t="shared" si="26"/>
        <v/>
      </c>
      <c r="AG54" s="77">
        <f t="shared" si="59"/>
        <v>0</v>
      </c>
      <c r="AH54" s="77">
        <f t="shared" si="60"/>
        <v>0</v>
      </c>
      <c r="AI54" s="77" t="str">
        <f t="shared" si="27"/>
        <v/>
      </c>
      <c r="AJ54" s="78">
        <f t="shared" si="4"/>
        <v>7</v>
      </c>
      <c r="AK54" s="139">
        <f>SUM($AC$6:AC54)</f>
        <v>0</v>
      </c>
      <c r="AL54" s="139">
        <f t="shared" ca="1" si="18"/>
        <v>0</v>
      </c>
      <c r="AM54" s="143">
        <f t="shared" si="28"/>
        <v>0</v>
      </c>
      <c r="AN54" s="143">
        <f t="shared" si="29"/>
        <v>0</v>
      </c>
      <c r="AO54" s="143">
        <f t="shared" si="30"/>
        <v>0</v>
      </c>
      <c r="AP54" s="142">
        <f t="shared" si="19"/>
        <v>30</v>
      </c>
      <c r="AQ54" s="142">
        <f t="shared" ca="1" si="20"/>
        <v>30</v>
      </c>
      <c r="AR54" s="154">
        <f t="shared" si="43"/>
        <v>0</v>
      </c>
      <c r="AS54" s="142">
        <f t="shared" si="22"/>
        <v>7</v>
      </c>
      <c r="AT54" t="b">
        <f>OR((F54&gt;0),(NOT(ISBLANK(H54))),SUM(H54:H$373),SUM(G54:G$373))</f>
        <v>0</v>
      </c>
      <c r="AU54" t="b">
        <f t="shared" ca="1" si="5"/>
        <v>1</v>
      </c>
    </row>
    <row r="55" spans="1:47">
      <c r="A55" s="349">
        <f t="shared" si="23"/>
        <v>41688</v>
      </c>
      <c r="B55" s="350">
        <f t="shared" si="24"/>
        <v>41688</v>
      </c>
      <c r="C55" s="351">
        <f t="shared" si="47"/>
        <v>8</v>
      </c>
      <c r="D55" s="352">
        <f t="shared" si="48"/>
        <v>41670</v>
      </c>
      <c r="E55" s="364" t="str">
        <f t="shared" si="6"/>
        <v/>
      </c>
      <c r="F55" s="6"/>
      <c r="G55" s="7" t="str">
        <f t="shared" si="49"/>
        <v/>
      </c>
      <c r="H55" s="8"/>
      <c r="I55" s="8">
        <f t="shared" si="45"/>
        <v>0</v>
      </c>
      <c r="J55" s="129">
        <f t="shared" si="34"/>
        <v>0</v>
      </c>
      <c r="K55" s="8"/>
      <c r="L55" s="8">
        <f t="shared" si="8"/>
        <v>0</v>
      </c>
      <c r="M55" s="129">
        <f t="shared" si="9"/>
        <v>0</v>
      </c>
      <c r="N55" s="129"/>
      <c r="O55" s="129">
        <f t="shared" si="1"/>
        <v>0</v>
      </c>
      <c r="P55" s="129"/>
      <c r="Q55" s="129">
        <f t="shared" si="10"/>
        <v>0</v>
      </c>
      <c r="R55" s="129">
        <f t="shared" si="11"/>
        <v>0</v>
      </c>
      <c r="S55" s="693">
        <f t="shared" si="12"/>
        <v>6</v>
      </c>
      <c r="T55" s="129">
        <f t="shared" si="44"/>
        <v>0</v>
      </c>
      <c r="U55" s="165">
        <f t="shared" si="14"/>
        <v>0</v>
      </c>
      <c r="V55" s="75"/>
      <c r="W55" s="131">
        <f t="shared" si="2"/>
        <v>4.1666666666666664E-2</v>
      </c>
      <c r="X55" s="126">
        <f t="shared" si="15"/>
        <v>0</v>
      </c>
      <c r="Y55" s="127">
        <f t="shared" si="50"/>
        <v>0.33333333333333331</v>
      </c>
      <c r="Z55" s="128">
        <f t="shared" si="51"/>
        <v>0</v>
      </c>
      <c r="AA55" s="76" t="str">
        <f t="shared" si="52"/>
        <v/>
      </c>
      <c r="AB55" s="216">
        <f t="shared" si="3"/>
        <v>0</v>
      </c>
      <c r="AC55" s="163" t="str">
        <f t="shared" si="53"/>
        <v/>
      </c>
      <c r="AD55" s="257">
        <f t="shared" si="39"/>
        <v>0</v>
      </c>
      <c r="AE55" s="138"/>
      <c r="AF55" s="138" t="str">
        <f t="shared" si="26"/>
        <v/>
      </c>
      <c r="AG55" s="77">
        <f t="shared" si="59"/>
        <v>0</v>
      </c>
      <c r="AH55" s="77">
        <f t="shared" si="60"/>
        <v>0</v>
      </c>
      <c r="AI55" s="77" t="str">
        <f t="shared" si="27"/>
        <v/>
      </c>
      <c r="AJ55" s="78">
        <f t="shared" si="4"/>
        <v>1</v>
      </c>
      <c r="AK55" s="139">
        <f>SUM($AC$6:AC55)</f>
        <v>0</v>
      </c>
      <c r="AL55" s="139">
        <f t="shared" ca="1" si="18"/>
        <v>0</v>
      </c>
      <c r="AM55" s="143">
        <f t="shared" si="28"/>
        <v>0</v>
      </c>
      <c r="AN55" s="143">
        <f t="shared" si="29"/>
        <v>0</v>
      </c>
      <c r="AO55" s="143">
        <f t="shared" si="30"/>
        <v>0</v>
      </c>
      <c r="AP55" s="142">
        <f t="shared" si="19"/>
        <v>30</v>
      </c>
      <c r="AQ55" s="142">
        <f t="shared" ca="1" si="20"/>
        <v>30</v>
      </c>
      <c r="AR55" s="154">
        <f t="shared" si="43"/>
        <v>0</v>
      </c>
      <c r="AS55" s="142">
        <f t="shared" si="22"/>
        <v>0</v>
      </c>
      <c r="AT55" t="b">
        <f>OR((F55&gt;0),(NOT(ISBLANK(H55))),SUM(H55:H$373),SUM(G55:G$373))</f>
        <v>0</v>
      </c>
      <c r="AU55" t="b">
        <f t="shared" ca="1" si="5"/>
        <v>0</v>
      </c>
    </row>
    <row r="56" spans="1:47">
      <c r="A56" s="349">
        <f t="shared" si="23"/>
        <v>41689</v>
      </c>
      <c r="B56" s="350">
        <f t="shared" si="24"/>
        <v>41689</v>
      </c>
      <c r="C56" s="351">
        <f t="shared" si="47"/>
        <v>8</v>
      </c>
      <c r="D56" s="352">
        <f t="shared" si="48"/>
        <v>41670</v>
      </c>
      <c r="E56" s="364" t="str">
        <f t="shared" si="6"/>
        <v/>
      </c>
      <c r="F56" s="6"/>
      <c r="G56" s="7" t="str">
        <f t="shared" si="49"/>
        <v/>
      </c>
      <c r="H56" s="8"/>
      <c r="I56" s="8">
        <f t="shared" si="45"/>
        <v>0</v>
      </c>
      <c r="J56" s="129">
        <f t="shared" si="34"/>
        <v>0</v>
      </c>
      <c r="K56" s="8"/>
      <c r="L56" s="8">
        <f t="shared" si="8"/>
        <v>0</v>
      </c>
      <c r="M56" s="129">
        <f t="shared" si="9"/>
        <v>0</v>
      </c>
      <c r="N56" s="129"/>
      <c r="O56" s="129">
        <f t="shared" si="1"/>
        <v>0</v>
      </c>
      <c r="P56" s="129"/>
      <c r="Q56" s="129">
        <f t="shared" si="10"/>
        <v>0</v>
      </c>
      <c r="R56" s="129">
        <f t="shared" si="11"/>
        <v>0</v>
      </c>
      <c r="S56" s="693">
        <f t="shared" si="12"/>
        <v>6</v>
      </c>
      <c r="T56" s="129">
        <f t="shared" si="44"/>
        <v>0</v>
      </c>
      <c r="U56" s="165">
        <f t="shared" si="14"/>
        <v>0</v>
      </c>
      <c r="V56" s="75"/>
      <c r="W56" s="131">
        <f t="shared" si="2"/>
        <v>4.1666666666666664E-2</v>
      </c>
      <c r="X56" s="126">
        <f t="shared" si="15"/>
        <v>0</v>
      </c>
      <c r="Y56" s="127">
        <f t="shared" si="50"/>
        <v>0.33333333333333331</v>
      </c>
      <c r="Z56" s="128">
        <f t="shared" si="51"/>
        <v>0</v>
      </c>
      <c r="AA56" s="76" t="str">
        <f t="shared" si="52"/>
        <v/>
      </c>
      <c r="AB56" s="216">
        <f t="shared" si="3"/>
        <v>0</v>
      </c>
      <c r="AC56" s="163" t="str">
        <f t="shared" si="53"/>
        <v/>
      </c>
      <c r="AD56" s="257">
        <f t="shared" si="39"/>
        <v>0</v>
      </c>
      <c r="AE56" s="138"/>
      <c r="AF56" s="138" t="str">
        <f t="shared" si="26"/>
        <v/>
      </c>
      <c r="AG56" s="77">
        <f t="shared" si="59"/>
        <v>0</v>
      </c>
      <c r="AH56" s="77">
        <f t="shared" si="60"/>
        <v>0</v>
      </c>
      <c r="AI56" s="77" t="str">
        <f t="shared" si="27"/>
        <v/>
      </c>
      <c r="AJ56" s="78">
        <f t="shared" si="4"/>
        <v>2</v>
      </c>
      <c r="AK56" s="139">
        <f>SUM($AC$6:AC56)</f>
        <v>0</v>
      </c>
      <c r="AL56" s="139">
        <f t="shared" ca="1" si="18"/>
        <v>0</v>
      </c>
      <c r="AM56" s="143">
        <f t="shared" si="28"/>
        <v>0</v>
      </c>
      <c r="AN56" s="143">
        <f t="shared" si="29"/>
        <v>0</v>
      </c>
      <c r="AO56" s="143">
        <f t="shared" si="30"/>
        <v>0</v>
      </c>
      <c r="AP56" s="142">
        <f t="shared" si="19"/>
        <v>30</v>
      </c>
      <c r="AQ56" s="142">
        <f t="shared" ca="1" si="20"/>
        <v>30</v>
      </c>
      <c r="AR56" s="154">
        <f t="shared" si="43"/>
        <v>0</v>
      </c>
      <c r="AS56" s="142">
        <f t="shared" si="22"/>
        <v>0</v>
      </c>
      <c r="AT56" t="b">
        <f>OR((F56&gt;0),(NOT(ISBLANK(H56))),SUM(H56:H$373),SUM(G56:G$373))</f>
        <v>0</v>
      </c>
      <c r="AU56" t="b">
        <f t="shared" ca="1" si="5"/>
        <v>0</v>
      </c>
    </row>
    <row r="57" spans="1:47">
      <c r="A57" s="349">
        <f t="shared" si="23"/>
        <v>41690</v>
      </c>
      <c r="B57" s="350">
        <f t="shared" si="24"/>
        <v>41690</v>
      </c>
      <c r="C57" s="351">
        <f t="shared" si="47"/>
        <v>8</v>
      </c>
      <c r="D57" s="352">
        <f t="shared" si="48"/>
        <v>41670</v>
      </c>
      <c r="E57" s="364" t="str">
        <f t="shared" si="6"/>
        <v/>
      </c>
      <c r="F57" s="6"/>
      <c r="G57" s="7" t="str">
        <f t="shared" si="49"/>
        <v/>
      </c>
      <c r="H57" s="8"/>
      <c r="I57" s="8">
        <f t="shared" si="45"/>
        <v>0</v>
      </c>
      <c r="J57" s="129">
        <f t="shared" si="34"/>
        <v>0</v>
      </c>
      <c r="K57" s="8"/>
      <c r="L57" s="8">
        <f t="shared" si="8"/>
        <v>0</v>
      </c>
      <c r="M57" s="129">
        <f t="shared" si="9"/>
        <v>0</v>
      </c>
      <c r="N57" s="129"/>
      <c r="O57" s="129">
        <f t="shared" si="1"/>
        <v>0</v>
      </c>
      <c r="P57" s="129"/>
      <c r="Q57" s="129">
        <f t="shared" si="10"/>
        <v>0</v>
      </c>
      <c r="R57" s="129">
        <f t="shared" si="11"/>
        <v>0</v>
      </c>
      <c r="S57" s="693">
        <f t="shared" si="12"/>
        <v>6</v>
      </c>
      <c r="T57" s="129">
        <f t="shared" si="44"/>
        <v>0</v>
      </c>
      <c r="U57" s="165">
        <f t="shared" si="14"/>
        <v>0</v>
      </c>
      <c r="V57" s="75"/>
      <c r="W57" s="131">
        <f t="shared" si="2"/>
        <v>4.1666666666666664E-2</v>
      </c>
      <c r="X57" s="126">
        <f t="shared" si="15"/>
        <v>0</v>
      </c>
      <c r="Y57" s="127">
        <f t="shared" si="50"/>
        <v>0.33333333333333331</v>
      </c>
      <c r="Z57" s="128">
        <f t="shared" si="51"/>
        <v>0</v>
      </c>
      <c r="AA57" s="76" t="str">
        <f t="shared" si="52"/>
        <v/>
      </c>
      <c r="AB57" s="216">
        <f t="shared" si="3"/>
        <v>0</v>
      </c>
      <c r="AC57" s="163" t="str">
        <f t="shared" si="53"/>
        <v/>
      </c>
      <c r="AD57" s="257">
        <f t="shared" si="39"/>
        <v>0</v>
      </c>
      <c r="AE57" s="138"/>
      <c r="AF57" s="138" t="str">
        <f t="shared" si="26"/>
        <v/>
      </c>
      <c r="AG57" s="77">
        <f t="shared" si="59"/>
        <v>0</v>
      </c>
      <c r="AH57" s="77">
        <f t="shared" si="60"/>
        <v>0</v>
      </c>
      <c r="AI57" s="77" t="str">
        <f t="shared" si="27"/>
        <v/>
      </c>
      <c r="AJ57" s="78">
        <f t="shared" si="4"/>
        <v>3</v>
      </c>
      <c r="AK57" s="139">
        <f>SUM($AC$6:AC57)</f>
        <v>0</v>
      </c>
      <c r="AL57" s="139">
        <f t="shared" ca="1" si="18"/>
        <v>0</v>
      </c>
      <c r="AM57" s="143">
        <f t="shared" si="28"/>
        <v>0</v>
      </c>
      <c r="AN57" s="143">
        <f t="shared" si="29"/>
        <v>0</v>
      </c>
      <c r="AO57" s="143">
        <f t="shared" si="30"/>
        <v>0</v>
      </c>
      <c r="AP57" s="142">
        <f t="shared" si="19"/>
        <v>30</v>
      </c>
      <c r="AQ57" s="142">
        <f t="shared" ca="1" si="20"/>
        <v>30</v>
      </c>
      <c r="AR57" s="154">
        <f t="shared" si="43"/>
        <v>0</v>
      </c>
      <c r="AS57" s="142">
        <f t="shared" si="22"/>
        <v>0</v>
      </c>
      <c r="AT57" t="b">
        <f>OR((F57&gt;0),(NOT(ISBLANK(H57))),SUM(H57:H$373),SUM(G57:G$373))</f>
        <v>0</v>
      </c>
      <c r="AU57" t="b">
        <f t="shared" ca="1" si="5"/>
        <v>0</v>
      </c>
    </row>
    <row r="58" spans="1:47">
      <c r="A58" s="349">
        <f t="shared" si="23"/>
        <v>41691</v>
      </c>
      <c r="B58" s="350">
        <f t="shared" si="24"/>
        <v>41691</v>
      </c>
      <c r="C58" s="351">
        <f t="shared" si="47"/>
        <v>8</v>
      </c>
      <c r="D58" s="352">
        <f t="shared" si="48"/>
        <v>41670</v>
      </c>
      <c r="E58" s="364" t="str">
        <f t="shared" si="6"/>
        <v/>
      </c>
      <c r="F58" s="6"/>
      <c r="G58" s="7" t="str">
        <f t="shared" si="49"/>
        <v/>
      </c>
      <c r="H58" s="8"/>
      <c r="I58" s="8">
        <f t="shared" si="45"/>
        <v>0</v>
      </c>
      <c r="J58" s="129">
        <f t="shared" si="34"/>
        <v>0</v>
      </c>
      <c r="K58" s="8"/>
      <c r="L58" s="8">
        <f t="shared" si="8"/>
        <v>0</v>
      </c>
      <c r="M58" s="129">
        <f t="shared" si="9"/>
        <v>0</v>
      </c>
      <c r="N58" s="129"/>
      <c r="O58" s="129">
        <f t="shared" si="1"/>
        <v>0</v>
      </c>
      <c r="P58" s="129"/>
      <c r="Q58" s="129">
        <f t="shared" si="10"/>
        <v>0</v>
      </c>
      <c r="R58" s="129">
        <f t="shared" si="11"/>
        <v>0</v>
      </c>
      <c r="S58" s="693">
        <f t="shared" si="12"/>
        <v>6</v>
      </c>
      <c r="T58" s="129">
        <f t="shared" si="44"/>
        <v>0</v>
      </c>
      <c r="U58" s="165">
        <f t="shared" si="14"/>
        <v>0</v>
      </c>
      <c r="V58" s="75"/>
      <c r="W58" s="131">
        <f t="shared" si="2"/>
        <v>4.1666666666666664E-2</v>
      </c>
      <c r="X58" s="126">
        <f t="shared" si="15"/>
        <v>0</v>
      </c>
      <c r="Y58" s="127">
        <f t="shared" si="50"/>
        <v>0.33333333333333331</v>
      </c>
      <c r="Z58" s="128">
        <f t="shared" si="51"/>
        <v>0</v>
      </c>
      <c r="AA58" s="76" t="str">
        <f t="shared" si="52"/>
        <v/>
      </c>
      <c r="AB58" s="216">
        <f t="shared" si="3"/>
        <v>0</v>
      </c>
      <c r="AC58" s="163" t="str">
        <f t="shared" si="53"/>
        <v/>
      </c>
      <c r="AD58" s="257">
        <f t="shared" si="39"/>
        <v>0</v>
      </c>
      <c r="AE58" s="138"/>
      <c r="AF58" s="138" t="str">
        <f t="shared" si="26"/>
        <v/>
      </c>
      <c r="AG58" s="77">
        <f t="shared" si="59"/>
        <v>0</v>
      </c>
      <c r="AH58" s="77">
        <f t="shared" si="60"/>
        <v>0</v>
      </c>
      <c r="AI58" s="77" t="str">
        <f t="shared" si="27"/>
        <v/>
      </c>
      <c r="AJ58" s="78">
        <f t="shared" si="4"/>
        <v>4</v>
      </c>
      <c r="AK58" s="139">
        <f>SUM($AC$6:AC58)</f>
        <v>0</v>
      </c>
      <c r="AL58" s="139">
        <f t="shared" ca="1" si="18"/>
        <v>0</v>
      </c>
      <c r="AM58" s="143">
        <f t="shared" si="28"/>
        <v>0</v>
      </c>
      <c r="AN58" s="143">
        <f t="shared" si="29"/>
        <v>0</v>
      </c>
      <c r="AO58" s="143">
        <f t="shared" si="30"/>
        <v>0</v>
      </c>
      <c r="AP58" s="142">
        <f t="shared" si="19"/>
        <v>30</v>
      </c>
      <c r="AQ58" s="142">
        <f t="shared" ca="1" si="20"/>
        <v>30</v>
      </c>
      <c r="AR58" s="154">
        <f t="shared" si="43"/>
        <v>0</v>
      </c>
      <c r="AS58" s="142">
        <f t="shared" si="22"/>
        <v>0</v>
      </c>
      <c r="AT58" t="b">
        <f>OR((F58&gt;0),(NOT(ISBLANK(H58))),SUM(H58:H$373),SUM(G58:G$373))</f>
        <v>0</v>
      </c>
      <c r="AU58" t="b">
        <f t="shared" ca="1" si="5"/>
        <v>0</v>
      </c>
    </row>
    <row r="59" spans="1:47">
      <c r="A59" s="349">
        <f t="shared" si="23"/>
        <v>41692</v>
      </c>
      <c r="B59" s="350">
        <f t="shared" si="24"/>
        <v>41692</v>
      </c>
      <c r="C59" s="351">
        <f t="shared" si="47"/>
        <v>8</v>
      </c>
      <c r="D59" s="352">
        <f t="shared" si="48"/>
        <v>41670</v>
      </c>
      <c r="E59" s="364" t="str">
        <f t="shared" si="6"/>
        <v/>
      </c>
      <c r="F59" s="6"/>
      <c r="G59" s="7" t="str">
        <f t="shared" si="49"/>
        <v/>
      </c>
      <c r="H59" s="8"/>
      <c r="I59" s="8">
        <f t="shared" si="45"/>
        <v>0</v>
      </c>
      <c r="J59" s="129">
        <f t="shared" si="34"/>
        <v>0</v>
      </c>
      <c r="K59" s="8"/>
      <c r="L59" s="8">
        <f t="shared" si="8"/>
        <v>0</v>
      </c>
      <c r="M59" s="129">
        <f t="shared" si="9"/>
        <v>0</v>
      </c>
      <c r="N59" s="129"/>
      <c r="O59" s="129">
        <f t="shared" si="1"/>
        <v>0</v>
      </c>
      <c r="P59" s="129"/>
      <c r="Q59" s="129">
        <f t="shared" si="10"/>
        <v>0</v>
      </c>
      <c r="R59" s="129">
        <f t="shared" si="11"/>
        <v>0</v>
      </c>
      <c r="S59" s="693">
        <f t="shared" si="12"/>
        <v>6</v>
      </c>
      <c r="T59" s="129">
        <f t="shared" si="44"/>
        <v>0</v>
      </c>
      <c r="U59" s="165">
        <f t="shared" si="14"/>
        <v>0</v>
      </c>
      <c r="V59" s="75"/>
      <c r="W59" s="131">
        <f t="shared" si="2"/>
        <v>4.1666666666666664E-2</v>
      </c>
      <c r="X59" s="126">
        <f t="shared" si="15"/>
        <v>0</v>
      </c>
      <c r="Y59" s="127">
        <f t="shared" si="50"/>
        <v>0.33333333333333331</v>
      </c>
      <c r="Z59" s="128">
        <f t="shared" si="51"/>
        <v>0</v>
      </c>
      <c r="AA59" s="76" t="str">
        <f t="shared" si="52"/>
        <v/>
      </c>
      <c r="AB59" s="216">
        <f t="shared" si="3"/>
        <v>0</v>
      </c>
      <c r="AC59" s="163" t="str">
        <f t="shared" si="53"/>
        <v/>
      </c>
      <c r="AD59" s="257">
        <f t="shared" si="39"/>
        <v>0</v>
      </c>
      <c r="AE59" s="138"/>
      <c r="AF59" s="138" t="str">
        <f t="shared" si="26"/>
        <v/>
      </c>
      <c r="AG59" s="77">
        <f t="shared" si="59"/>
        <v>0</v>
      </c>
      <c r="AH59" s="77">
        <f t="shared" si="60"/>
        <v>0</v>
      </c>
      <c r="AI59" s="77" t="str">
        <f t="shared" si="27"/>
        <v/>
      </c>
      <c r="AJ59" s="78">
        <f t="shared" si="4"/>
        <v>5</v>
      </c>
      <c r="AK59" s="139">
        <f>SUM($AC$6:AC59)</f>
        <v>0</v>
      </c>
      <c r="AL59" s="139">
        <f t="shared" ca="1" si="18"/>
        <v>0</v>
      </c>
      <c r="AM59" s="143">
        <f t="shared" si="28"/>
        <v>0</v>
      </c>
      <c r="AN59" s="143">
        <f t="shared" si="29"/>
        <v>0</v>
      </c>
      <c r="AO59" s="143">
        <f t="shared" si="30"/>
        <v>0</v>
      </c>
      <c r="AP59" s="142">
        <f t="shared" si="19"/>
        <v>30</v>
      </c>
      <c r="AQ59" s="142">
        <f t="shared" ca="1" si="20"/>
        <v>30</v>
      </c>
      <c r="AR59" s="154">
        <f t="shared" si="43"/>
        <v>0</v>
      </c>
      <c r="AS59" s="142">
        <f t="shared" si="22"/>
        <v>0</v>
      </c>
      <c r="AT59" t="b">
        <f>OR((F59&gt;0),(NOT(ISBLANK(H59))),SUM(H59:H$373),SUM(G59:G$373))</f>
        <v>0</v>
      </c>
      <c r="AU59" t="b">
        <f t="shared" ca="1" si="5"/>
        <v>0</v>
      </c>
    </row>
    <row r="60" spans="1:47">
      <c r="A60" s="349">
        <f t="shared" si="23"/>
        <v>41693</v>
      </c>
      <c r="B60" s="350">
        <f t="shared" si="24"/>
        <v>41693</v>
      </c>
      <c r="C60" s="351">
        <f t="shared" si="47"/>
        <v>8</v>
      </c>
      <c r="D60" s="352">
        <f t="shared" si="48"/>
        <v>41670</v>
      </c>
      <c r="E60" s="364" t="str">
        <f t="shared" si="6"/>
        <v/>
      </c>
      <c r="F60" s="6"/>
      <c r="G60" s="7" t="str">
        <f t="shared" si="49"/>
        <v/>
      </c>
      <c r="H60" s="8"/>
      <c r="I60" s="8">
        <f t="shared" si="45"/>
        <v>0</v>
      </c>
      <c r="J60" s="129">
        <f t="shared" si="34"/>
        <v>0</v>
      </c>
      <c r="K60" s="8"/>
      <c r="L60" s="8">
        <f t="shared" si="8"/>
        <v>0</v>
      </c>
      <c r="M60" s="129">
        <f t="shared" si="9"/>
        <v>0</v>
      </c>
      <c r="N60" s="129"/>
      <c r="O60" s="129">
        <f t="shared" si="1"/>
        <v>0</v>
      </c>
      <c r="P60" s="129"/>
      <c r="Q60" s="129">
        <f t="shared" si="10"/>
        <v>0</v>
      </c>
      <c r="R60" s="129">
        <f t="shared" si="11"/>
        <v>0</v>
      </c>
      <c r="S60" s="693">
        <f t="shared" si="12"/>
        <v>6</v>
      </c>
      <c r="T60" s="129">
        <f t="shared" si="44"/>
        <v>0</v>
      </c>
      <c r="U60" s="165">
        <f t="shared" si="14"/>
        <v>0</v>
      </c>
      <c r="V60" s="75"/>
      <c r="W60" s="131">
        <f t="shared" si="2"/>
        <v>4.1666666666666664E-2</v>
      </c>
      <c r="X60" s="126">
        <f t="shared" si="15"/>
        <v>0</v>
      </c>
      <c r="Y60" s="127">
        <f t="shared" si="50"/>
        <v>0</v>
      </c>
      <c r="Z60" s="128">
        <f t="shared" si="51"/>
        <v>0</v>
      </c>
      <c r="AA60" s="76" t="str">
        <f t="shared" si="52"/>
        <v/>
      </c>
      <c r="AB60" s="216">
        <f t="shared" si="3"/>
        <v>0</v>
      </c>
      <c r="AC60" s="163" t="str">
        <f t="shared" si="53"/>
        <v/>
      </c>
      <c r="AD60" s="257">
        <f t="shared" si="39"/>
        <v>0</v>
      </c>
      <c r="AE60" s="138"/>
      <c r="AF60" s="138" t="str">
        <f t="shared" si="26"/>
        <v/>
      </c>
      <c r="AG60" s="77">
        <f t="shared" si="59"/>
        <v>0</v>
      </c>
      <c r="AH60" s="77">
        <f t="shared" si="60"/>
        <v>0</v>
      </c>
      <c r="AI60" s="77" t="str">
        <f t="shared" si="27"/>
        <v/>
      </c>
      <c r="AJ60" s="78">
        <f t="shared" si="4"/>
        <v>6</v>
      </c>
      <c r="AK60" s="139">
        <f>SUM($AC$6:AC60)</f>
        <v>0</v>
      </c>
      <c r="AL60" s="139">
        <f t="shared" ca="1" si="18"/>
        <v>0</v>
      </c>
      <c r="AM60" s="143">
        <f t="shared" si="28"/>
        <v>0</v>
      </c>
      <c r="AN60" s="143">
        <f t="shared" si="29"/>
        <v>0</v>
      </c>
      <c r="AO60" s="143">
        <f t="shared" si="30"/>
        <v>0</v>
      </c>
      <c r="AP60" s="142">
        <f t="shared" si="19"/>
        <v>30</v>
      </c>
      <c r="AQ60" s="142">
        <f t="shared" ca="1" si="20"/>
        <v>30</v>
      </c>
      <c r="AR60" s="154">
        <f t="shared" si="43"/>
        <v>0</v>
      </c>
      <c r="AS60" s="142">
        <f t="shared" si="22"/>
        <v>7</v>
      </c>
      <c r="AT60" t="b">
        <f>OR((F60&gt;0),(NOT(ISBLANK(H60))),SUM(H60:H$373),SUM(G60:G$373))</f>
        <v>0</v>
      </c>
      <c r="AU60" t="b">
        <f t="shared" ca="1" si="5"/>
        <v>1</v>
      </c>
    </row>
    <row r="61" spans="1:47">
      <c r="A61" s="349">
        <f t="shared" si="23"/>
        <v>41694</v>
      </c>
      <c r="B61" s="350">
        <f t="shared" si="24"/>
        <v>41694</v>
      </c>
      <c r="C61" s="351">
        <f t="shared" si="47"/>
        <v>8</v>
      </c>
      <c r="D61" s="352">
        <f t="shared" si="48"/>
        <v>41670</v>
      </c>
      <c r="E61" s="364" t="str">
        <f t="shared" si="6"/>
        <v/>
      </c>
      <c r="F61" s="6"/>
      <c r="G61" s="7" t="str">
        <f t="shared" si="49"/>
        <v/>
      </c>
      <c r="H61" s="8"/>
      <c r="I61" s="8">
        <f t="shared" si="45"/>
        <v>0</v>
      </c>
      <c r="J61" s="129">
        <f t="shared" si="34"/>
        <v>0</v>
      </c>
      <c r="K61" s="8"/>
      <c r="L61" s="8">
        <f t="shared" si="8"/>
        <v>0</v>
      </c>
      <c r="M61" s="129">
        <f t="shared" si="9"/>
        <v>0</v>
      </c>
      <c r="N61" s="129"/>
      <c r="O61" s="129">
        <f t="shared" si="1"/>
        <v>0</v>
      </c>
      <c r="P61" s="129"/>
      <c r="Q61" s="129">
        <f t="shared" si="10"/>
        <v>0</v>
      </c>
      <c r="R61" s="129">
        <f t="shared" si="11"/>
        <v>0</v>
      </c>
      <c r="S61" s="693">
        <f t="shared" si="12"/>
        <v>6</v>
      </c>
      <c r="T61" s="129">
        <f t="shared" si="44"/>
        <v>0</v>
      </c>
      <c r="U61" s="165">
        <f t="shared" si="14"/>
        <v>0</v>
      </c>
      <c r="V61" s="75"/>
      <c r="W61" s="131">
        <f t="shared" si="2"/>
        <v>4.1666666666666664E-2</v>
      </c>
      <c r="X61" s="126">
        <f t="shared" si="15"/>
        <v>0</v>
      </c>
      <c r="Y61" s="127">
        <f t="shared" si="50"/>
        <v>0</v>
      </c>
      <c r="Z61" s="128">
        <f t="shared" si="51"/>
        <v>0</v>
      </c>
      <c r="AA61" s="76" t="str">
        <f t="shared" si="52"/>
        <v/>
      </c>
      <c r="AB61" s="216">
        <f t="shared" si="3"/>
        <v>0</v>
      </c>
      <c r="AC61" s="163" t="str">
        <f t="shared" si="53"/>
        <v/>
      </c>
      <c r="AD61" s="257">
        <f t="shared" si="39"/>
        <v>0</v>
      </c>
      <c r="AE61" s="138"/>
      <c r="AF61" s="138" t="str">
        <f t="shared" si="26"/>
        <v/>
      </c>
      <c r="AG61" s="77">
        <f t="shared" si="59"/>
        <v>0</v>
      </c>
      <c r="AH61" s="77">
        <f t="shared" si="60"/>
        <v>0</v>
      </c>
      <c r="AI61" s="77" t="str">
        <f t="shared" si="27"/>
        <v/>
      </c>
      <c r="AJ61" s="78">
        <f t="shared" si="4"/>
        <v>7</v>
      </c>
      <c r="AK61" s="139">
        <f>SUM($AC$6:AC61)</f>
        <v>0</v>
      </c>
      <c r="AL61" s="139">
        <f t="shared" ca="1" si="18"/>
        <v>0</v>
      </c>
      <c r="AM61" s="143">
        <f t="shared" si="28"/>
        <v>0</v>
      </c>
      <c r="AN61" s="143">
        <f t="shared" si="29"/>
        <v>0</v>
      </c>
      <c r="AO61" s="143">
        <f t="shared" si="30"/>
        <v>0</v>
      </c>
      <c r="AP61" s="142">
        <f t="shared" si="19"/>
        <v>30</v>
      </c>
      <c r="AQ61" s="142">
        <f t="shared" ca="1" si="20"/>
        <v>30</v>
      </c>
      <c r="AR61" s="154">
        <f t="shared" si="43"/>
        <v>0</v>
      </c>
      <c r="AS61" s="142">
        <f t="shared" si="22"/>
        <v>7</v>
      </c>
      <c r="AT61" t="b">
        <f>OR((F61&gt;0),(NOT(ISBLANK(H61))),SUM(H61:H$373),SUM(G61:G$373))</f>
        <v>0</v>
      </c>
      <c r="AU61" t="b">
        <f t="shared" ca="1" si="5"/>
        <v>1</v>
      </c>
    </row>
    <row r="62" spans="1:47">
      <c r="A62" s="349">
        <f t="shared" si="23"/>
        <v>41695</v>
      </c>
      <c r="B62" s="350">
        <f t="shared" si="24"/>
        <v>41695</v>
      </c>
      <c r="C62" s="351">
        <f t="shared" si="47"/>
        <v>9</v>
      </c>
      <c r="D62" s="352">
        <f t="shared" si="48"/>
        <v>41670</v>
      </c>
      <c r="E62" s="364" t="str">
        <f t="shared" si="6"/>
        <v/>
      </c>
      <c r="F62" s="6"/>
      <c r="G62" s="7" t="str">
        <f t="shared" si="49"/>
        <v/>
      </c>
      <c r="H62" s="8"/>
      <c r="I62" s="8">
        <f t="shared" si="45"/>
        <v>0</v>
      </c>
      <c r="J62" s="129">
        <f t="shared" si="34"/>
        <v>0</v>
      </c>
      <c r="K62" s="8"/>
      <c r="L62" s="8">
        <f t="shared" si="8"/>
        <v>0</v>
      </c>
      <c r="M62" s="129">
        <f t="shared" si="9"/>
        <v>0</v>
      </c>
      <c r="N62" s="129"/>
      <c r="O62" s="129">
        <f t="shared" si="1"/>
        <v>0</v>
      </c>
      <c r="P62" s="129"/>
      <c r="Q62" s="129">
        <f t="shared" si="10"/>
        <v>0</v>
      </c>
      <c r="R62" s="129">
        <f t="shared" si="11"/>
        <v>0</v>
      </c>
      <c r="S62" s="693">
        <f t="shared" si="12"/>
        <v>6</v>
      </c>
      <c r="T62" s="129">
        <f t="shared" si="44"/>
        <v>0</v>
      </c>
      <c r="U62" s="165">
        <f t="shared" si="14"/>
        <v>0</v>
      </c>
      <c r="V62" s="75"/>
      <c r="W62" s="131">
        <f t="shared" si="2"/>
        <v>4.1666666666666664E-2</v>
      </c>
      <c r="X62" s="126">
        <f t="shared" si="15"/>
        <v>0</v>
      </c>
      <c r="Y62" s="127">
        <f t="shared" si="50"/>
        <v>0.33333333333333331</v>
      </c>
      <c r="Z62" s="128">
        <f t="shared" si="51"/>
        <v>0</v>
      </c>
      <c r="AA62" s="76" t="str">
        <f t="shared" si="52"/>
        <v/>
      </c>
      <c r="AB62" s="216">
        <f t="shared" si="3"/>
        <v>0</v>
      </c>
      <c r="AC62" s="163" t="str">
        <f t="shared" si="53"/>
        <v/>
      </c>
      <c r="AD62" s="257">
        <f t="shared" si="39"/>
        <v>0</v>
      </c>
      <c r="AE62" s="138"/>
      <c r="AF62" s="138" t="str">
        <f t="shared" si="26"/>
        <v/>
      </c>
      <c r="AG62" s="77">
        <f t="shared" si="59"/>
        <v>0</v>
      </c>
      <c r="AH62" s="77">
        <f t="shared" si="60"/>
        <v>0</v>
      </c>
      <c r="AI62" s="77" t="str">
        <f t="shared" si="27"/>
        <v/>
      </c>
      <c r="AJ62" s="78">
        <f t="shared" si="4"/>
        <v>1</v>
      </c>
      <c r="AK62" s="139">
        <f>SUM($AC$6:AC62)</f>
        <v>0</v>
      </c>
      <c r="AL62" s="139">
        <f t="shared" ca="1" si="18"/>
        <v>0</v>
      </c>
      <c r="AM62" s="143">
        <f t="shared" si="28"/>
        <v>0</v>
      </c>
      <c r="AN62" s="143">
        <f t="shared" si="29"/>
        <v>0</v>
      </c>
      <c r="AO62" s="143">
        <f t="shared" si="30"/>
        <v>0</v>
      </c>
      <c r="AP62" s="142">
        <f t="shared" si="19"/>
        <v>30</v>
      </c>
      <c r="AQ62" s="142">
        <f t="shared" ca="1" si="20"/>
        <v>30</v>
      </c>
      <c r="AR62" s="154">
        <f t="shared" si="43"/>
        <v>0</v>
      </c>
      <c r="AS62" s="142">
        <f t="shared" si="22"/>
        <v>0</v>
      </c>
      <c r="AT62" t="b">
        <f>OR((F62&gt;0),(NOT(ISBLANK(H62))),SUM(H62:H$373),SUM(G62:G$373))</f>
        <v>0</v>
      </c>
      <c r="AU62" t="b">
        <f t="shared" ca="1" si="5"/>
        <v>0</v>
      </c>
    </row>
    <row r="63" spans="1:47">
      <c r="A63" s="349">
        <f t="shared" si="23"/>
        <v>41696</v>
      </c>
      <c r="B63" s="350">
        <f t="shared" si="24"/>
        <v>41696</v>
      </c>
      <c r="C63" s="351">
        <f t="shared" si="47"/>
        <v>9</v>
      </c>
      <c r="D63" s="352">
        <f t="shared" si="48"/>
        <v>41670</v>
      </c>
      <c r="E63" s="364" t="str">
        <f t="shared" si="6"/>
        <v/>
      </c>
      <c r="F63" s="6"/>
      <c r="G63" s="7" t="str">
        <f t="shared" si="49"/>
        <v/>
      </c>
      <c r="H63" s="8"/>
      <c r="I63" s="8">
        <f t="shared" si="45"/>
        <v>0</v>
      </c>
      <c r="J63" s="129">
        <f t="shared" si="34"/>
        <v>0</v>
      </c>
      <c r="K63" s="8"/>
      <c r="L63" s="8">
        <f t="shared" si="8"/>
        <v>0</v>
      </c>
      <c r="M63" s="129">
        <f t="shared" si="9"/>
        <v>0</v>
      </c>
      <c r="N63" s="129"/>
      <c r="O63" s="129">
        <f t="shared" si="1"/>
        <v>0</v>
      </c>
      <c r="P63" s="129"/>
      <c r="Q63" s="129">
        <f t="shared" si="10"/>
        <v>0</v>
      </c>
      <c r="R63" s="129">
        <f t="shared" si="11"/>
        <v>0</v>
      </c>
      <c r="S63" s="693">
        <f t="shared" si="12"/>
        <v>6</v>
      </c>
      <c r="T63" s="129">
        <f t="shared" si="44"/>
        <v>0</v>
      </c>
      <c r="U63" s="165">
        <f t="shared" si="14"/>
        <v>0</v>
      </c>
      <c r="V63" s="75"/>
      <c r="W63" s="131">
        <f t="shared" si="2"/>
        <v>4.1666666666666664E-2</v>
      </c>
      <c r="X63" s="126">
        <f t="shared" si="15"/>
        <v>0</v>
      </c>
      <c r="Y63" s="127">
        <f t="shared" si="50"/>
        <v>0.33333333333333331</v>
      </c>
      <c r="Z63" s="128">
        <f t="shared" si="51"/>
        <v>0</v>
      </c>
      <c r="AA63" s="76" t="str">
        <f t="shared" si="52"/>
        <v/>
      </c>
      <c r="AB63" s="216">
        <f t="shared" si="3"/>
        <v>0</v>
      </c>
      <c r="AC63" s="163" t="str">
        <f t="shared" si="53"/>
        <v/>
      </c>
      <c r="AD63" s="257">
        <f t="shared" si="39"/>
        <v>0</v>
      </c>
      <c r="AE63" s="138"/>
      <c r="AF63" s="138" t="str">
        <f t="shared" si="26"/>
        <v/>
      </c>
      <c r="AG63" s="77">
        <f t="shared" si="59"/>
        <v>0</v>
      </c>
      <c r="AH63" s="77">
        <f t="shared" si="60"/>
        <v>0</v>
      </c>
      <c r="AI63" s="77" t="str">
        <f t="shared" si="27"/>
        <v/>
      </c>
      <c r="AJ63" s="78">
        <f t="shared" si="4"/>
        <v>2</v>
      </c>
      <c r="AK63" s="139">
        <f>SUM($AC$6:AC63)</f>
        <v>0</v>
      </c>
      <c r="AL63" s="139">
        <f t="shared" ca="1" si="18"/>
        <v>0</v>
      </c>
      <c r="AM63" s="143">
        <f t="shared" si="28"/>
        <v>0</v>
      </c>
      <c r="AN63" s="143">
        <f t="shared" si="29"/>
        <v>0</v>
      </c>
      <c r="AO63" s="143">
        <f t="shared" si="30"/>
        <v>0</v>
      </c>
      <c r="AP63" s="142">
        <f t="shared" si="19"/>
        <v>30</v>
      </c>
      <c r="AQ63" s="142">
        <f t="shared" ca="1" si="20"/>
        <v>30</v>
      </c>
      <c r="AR63" s="154">
        <f t="shared" si="43"/>
        <v>0</v>
      </c>
      <c r="AS63" s="142">
        <f t="shared" si="22"/>
        <v>0</v>
      </c>
      <c r="AT63" t="b">
        <f>OR((F63&gt;0),(NOT(ISBLANK(H63))),SUM(H63:H$373),SUM(G63:G$373))</f>
        <v>0</v>
      </c>
      <c r="AU63" t="b">
        <f t="shared" ca="1" si="5"/>
        <v>0</v>
      </c>
    </row>
    <row r="64" spans="1:47">
      <c r="A64" s="349">
        <f t="shared" si="23"/>
        <v>41697</v>
      </c>
      <c r="B64" s="350">
        <f t="shared" si="24"/>
        <v>41697</v>
      </c>
      <c r="C64" s="351">
        <f t="shared" si="47"/>
        <v>9</v>
      </c>
      <c r="D64" s="352">
        <f t="shared" si="48"/>
        <v>41670</v>
      </c>
      <c r="E64" s="364" t="str">
        <f t="shared" si="6"/>
        <v/>
      </c>
      <c r="F64" s="6"/>
      <c r="G64" s="7" t="str">
        <f t="shared" si="49"/>
        <v/>
      </c>
      <c r="H64" s="8"/>
      <c r="I64" s="8">
        <f t="shared" si="45"/>
        <v>0</v>
      </c>
      <c r="J64" s="129">
        <f t="shared" si="34"/>
        <v>0</v>
      </c>
      <c r="K64" s="8"/>
      <c r="L64" s="8">
        <f t="shared" si="8"/>
        <v>0</v>
      </c>
      <c r="M64" s="129">
        <f t="shared" si="9"/>
        <v>0</v>
      </c>
      <c r="N64" s="129"/>
      <c r="O64" s="129">
        <f t="shared" si="1"/>
        <v>0</v>
      </c>
      <c r="P64" s="129"/>
      <c r="Q64" s="129">
        <f t="shared" si="10"/>
        <v>0</v>
      </c>
      <c r="R64" s="129">
        <f t="shared" si="11"/>
        <v>0</v>
      </c>
      <c r="S64" s="693">
        <f t="shared" si="12"/>
        <v>6</v>
      </c>
      <c r="T64" s="129">
        <f t="shared" si="44"/>
        <v>0</v>
      </c>
      <c r="U64" s="165">
        <f t="shared" si="14"/>
        <v>0</v>
      </c>
      <c r="V64" s="75"/>
      <c r="W64" s="131">
        <f t="shared" si="2"/>
        <v>4.1666666666666664E-2</v>
      </c>
      <c r="X64" s="126">
        <f t="shared" si="15"/>
        <v>0</v>
      </c>
      <c r="Y64" s="127">
        <f t="shared" si="50"/>
        <v>0.33333333333333331</v>
      </c>
      <c r="Z64" s="128">
        <f t="shared" si="51"/>
        <v>0</v>
      </c>
      <c r="AA64" s="76" t="str">
        <f t="shared" si="52"/>
        <v/>
      </c>
      <c r="AB64" s="216">
        <f t="shared" si="3"/>
        <v>0</v>
      </c>
      <c r="AC64" s="163" t="str">
        <f t="shared" si="53"/>
        <v/>
      </c>
      <c r="AD64" s="257">
        <f t="shared" si="39"/>
        <v>0</v>
      </c>
      <c r="AE64" s="138"/>
      <c r="AF64" s="138" t="str">
        <f t="shared" si="26"/>
        <v/>
      </c>
      <c r="AG64" s="77">
        <f t="shared" si="59"/>
        <v>0</v>
      </c>
      <c r="AH64" s="77">
        <f t="shared" si="60"/>
        <v>0</v>
      </c>
      <c r="AI64" s="77" t="str">
        <f t="shared" si="27"/>
        <v/>
      </c>
      <c r="AJ64" s="78">
        <f t="shared" si="4"/>
        <v>3</v>
      </c>
      <c r="AK64" s="139">
        <f>SUM($AC$6:AC64)</f>
        <v>0</v>
      </c>
      <c r="AL64" s="139">
        <f t="shared" ca="1" si="18"/>
        <v>0</v>
      </c>
      <c r="AM64" s="143">
        <f t="shared" si="28"/>
        <v>0</v>
      </c>
      <c r="AN64" s="143">
        <f t="shared" si="29"/>
        <v>0</v>
      </c>
      <c r="AO64" s="143">
        <f t="shared" si="30"/>
        <v>0</v>
      </c>
      <c r="AP64" s="142">
        <f t="shared" si="19"/>
        <v>30</v>
      </c>
      <c r="AQ64" s="142">
        <f t="shared" ca="1" si="20"/>
        <v>30</v>
      </c>
      <c r="AR64" s="154">
        <f t="shared" si="43"/>
        <v>0</v>
      </c>
      <c r="AS64" s="142">
        <f t="shared" si="22"/>
        <v>0</v>
      </c>
      <c r="AT64" t="b">
        <f>OR((F64&gt;0),(NOT(ISBLANK(H64))),SUM(H64:H$373),SUM(G64:G$373))</f>
        <v>0</v>
      </c>
      <c r="AU64" t="b">
        <f t="shared" ca="1" si="5"/>
        <v>0</v>
      </c>
    </row>
    <row r="65" spans="1:49">
      <c r="A65" s="349">
        <f t="shared" si="23"/>
        <v>41698</v>
      </c>
      <c r="B65" s="350">
        <f t="shared" si="24"/>
        <v>41698</v>
      </c>
      <c r="C65" s="351">
        <f t="shared" si="47"/>
        <v>9</v>
      </c>
      <c r="D65" s="352">
        <f t="shared" si="48"/>
        <v>41698</v>
      </c>
      <c r="E65" s="364" t="str">
        <f t="shared" si="6"/>
        <v/>
      </c>
      <c r="F65" s="6"/>
      <c r="G65" s="7" t="str">
        <f t="shared" si="49"/>
        <v/>
      </c>
      <c r="H65" s="8"/>
      <c r="I65" s="8">
        <f t="shared" si="45"/>
        <v>0</v>
      </c>
      <c r="J65" s="129">
        <f t="shared" si="34"/>
        <v>0</v>
      </c>
      <c r="K65" s="8"/>
      <c r="L65" s="8">
        <f t="shared" si="8"/>
        <v>0</v>
      </c>
      <c r="M65" s="129">
        <f t="shared" si="9"/>
        <v>0</v>
      </c>
      <c r="N65" s="129"/>
      <c r="O65" s="129">
        <f t="shared" si="1"/>
        <v>0</v>
      </c>
      <c r="P65" s="129"/>
      <c r="Q65" s="129">
        <f t="shared" si="10"/>
        <v>0</v>
      </c>
      <c r="R65" s="129">
        <f t="shared" si="11"/>
        <v>0</v>
      </c>
      <c r="S65" s="693">
        <f t="shared" si="12"/>
        <v>6</v>
      </c>
      <c r="T65" s="129">
        <f t="shared" si="44"/>
        <v>0</v>
      </c>
      <c r="U65" s="165">
        <f t="shared" si="14"/>
        <v>0</v>
      </c>
      <c r="V65" s="75"/>
      <c r="W65" s="131">
        <f t="shared" si="2"/>
        <v>4.1666666666666664E-2</v>
      </c>
      <c r="X65" s="126">
        <f t="shared" si="15"/>
        <v>0</v>
      </c>
      <c r="Y65" s="127">
        <f t="shared" si="50"/>
        <v>0.33333333333333331</v>
      </c>
      <c r="Z65" s="128">
        <f t="shared" si="51"/>
        <v>0</v>
      </c>
      <c r="AA65" s="76" t="str">
        <f t="shared" si="52"/>
        <v/>
      </c>
      <c r="AB65" s="216">
        <f t="shared" si="3"/>
        <v>0</v>
      </c>
      <c r="AC65" s="163" t="str">
        <f t="shared" si="53"/>
        <v/>
      </c>
      <c r="AD65" s="257">
        <f t="shared" si="39"/>
        <v>0</v>
      </c>
      <c r="AE65" s="138"/>
      <c r="AF65" s="138" t="str">
        <f t="shared" si="26"/>
        <v/>
      </c>
      <c r="AG65" s="77">
        <f t="shared" si="59"/>
        <v>0</v>
      </c>
      <c r="AH65" s="77">
        <f t="shared" si="60"/>
        <v>0</v>
      </c>
      <c r="AI65" s="77" t="str">
        <f t="shared" si="27"/>
        <v/>
      </c>
      <c r="AJ65" s="78">
        <f t="shared" si="4"/>
        <v>4</v>
      </c>
      <c r="AK65" s="139">
        <f>SUM($AC$6:AC65)</f>
        <v>0</v>
      </c>
      <c r="AL65" s="139">
        <f t="shared" ca="1" si="18"/>
        <v>0</v>
      </c>
      <c r="AM65" s="143">
        <f t="shared" si="28"/>
        <v>0</v>
      </c>
      <c r="AN65" s="143">
        <f t="shared" si="29"/>
        <v>0</v>
      </c>
      <c r="AO65" s="143">
        <f t="shared" si="30"/>
        <v>0</v>
      </c>
      <c r="AP65" s="142">
        <f t="shared" si="19"/>
        <v>30</v>
      </c>
      <c r="AQ65" s="142">
        <f t="shared" ca="1" si="20"/>
        <v>30</v>
      </c>
      <c r="AR65" s="154">
        <f t="shared" si="43"/>
        <v>0</v>
      </c>
      <c r="AS65" s="142">
        <f t="shared" si="22"/>
        <v>0</v>
      </c>
      <c r="AT65" t="b">
        <f>OR((F65&gt;0),(NOT(ISBLANK(H65))),SUM(H65:H$373),SUM(G65:G$373))</f>
        <v>0</v>
      </c>
      <c r="AU65" t="b">
        <f t="shared" ca="1" si="5"/>
        <v>0</v>
      </c>
    </row>
    <row r="66" spans="1:49">
      <c r="A66" s="349">
        <f t="shared" si="23"/>
        <v>41699</v>
      </c>
      <c r="B66" s="350">
        <f t="shared" si="24"/>
        <v>41699</v>
      </c>
      <c r="C66" s="351">
        <f t="shared" si="47"/>
        <v>9</v>
      </c>
      <c r="D66" s="352">
        <f t="shared" si="48"/>
        <v>41698</v>
      </c>
      <c r="E66" s="364" t="str">
        <f t="shared" si="6"/>
        <v/>
      </c>
      <c r="F66" s="6"/>
      <c r="G66" s="7" t="str">
        <f t="shared" si="49"/>
        <v/>
      </c>
      <c r="H66" s="8"/>
      <c r="I66" s="8">
        <f t="shared" si="45"/>
        <v>0</v>
      </c>
      <c r="J66" s="129">
        <f t="shared" si="34"/>
        <v>0</v>
      </c>
      <c r="K66" s="8"/>
      <c r="L66" s="8">
        <f t="shared" si="8"/>
        <v>0</v>
      </c>
      <c r="M66" s="129">
        <f t="shared" si="9"/>
        <v>0</v>
      </c>
      <c r="N66" s="129"/>
      <c r="O66" s="129">
        <f t="shared" si="1"/>
        <v>0</v>
      </c>
      <c r="P66" s="129"/>
      <c r="Q66" s="129">
        <f t="shared" si="10"/>
        <v>0</v>
      </c>
      <c r="R66" s="129">
        <f t="shared" si="11"/>
        <v>0</v>
      </c>
      <c r="S66" s="693">
        <f t="shared" si="12"/>
        <v>6</v>
      </c>
      <c r="T66" s="129">
        <f t="shared" si="44"/>
        <v>0</v>
      </c>
      <c r="U66" s="165">
        <f t="shared" si="14"/>
        <v>0</v>
      </c>
      <c r="V66" s="75"/>
      <c r="W66" s="131">
        <f t="shared" si="2"/>
        <v>4.1666666666666664E-2</v>
      </c>
      <c r="X66" s="126">
        <f t="shared" si="15"/>
        <v>0</v>
      </c>
      <c r="Y66" s="127">
        <f t="shared" si="50"/>
        <v>0.33333333333333331</v>
      </c>
      <c r="Z66" s="128">
        <f t="shared" si="51"/>
        <v>0</v>
      </c>
      <c r="AA66" s="76" t="str">
        <f t="shared" si="52"/>
        <v/>
      </c>
      <c r="AB66" s="216">
        <f t="shared" si="3"/>
        <v>0</v>
      </c>
      <c r="AC66" s="163" t="str">
        <f t="shared" si="53"/>
        <v/>
      </c>
      <c r="AD66" s="257">
        <f t="shared" si="39"/>
        <v>0</v>
      </c>
      <c r="AE66" s="138"/>
      <c r="AF66" s="138" t="str">
        <f t="shared" si="26"/>
        <v/>
      </c>
      <c r="AG66" s="77">
        <f t="shared" si="59"/>
        <v>0</v>
      </c>
      <c r="AH66" s="77">
        <f t="shared" si="60"/>
        <v>0</v>
      </c>
      <c r="AI66" s="77" t="str">
        <f t="shared" si="27"/>
        <v/>
      </c>
      <c r="AJ66" s="78">
        <f t="shared" si="4"/>
        <v>5</v>
      </c>
      <c r="AK66" s="139">
        <f>SUM($AC$6:AC66)</f>
        <v>0</v>
      </c>
      <c r="AL66" s="139">
        <f t="shared" ca="1" si="18"/>
        <v>0</v>
      </c>
      <c r="AM66" s="143">
        <f t="shared" si="28"/>
        <v>0</v>
      </c>
      <c r="AN66" s="143">
        <f t="shared" si="29"/>
        <v>0</v>
      </c>
      <c r="AO66" s="143">
        <f t="shared" si="30"/>
        <v>0</v>
      </c>
      <c r="AP66" s="142">
        <f t="shared" si="19"/>
        <v>30</v>
      </c>
      <c r="AQ66" s="142">
        <f t="shared" ca="1" si="20"/>
        <v>30</v>
      </c>
      <c r="AR66" s="154">
        <f t="shared" si="43"/>
        <v>0</v>
      </c>
      <c r="AS66" s="142">
        <f t="shared" si="22"/>
        <v>0</v>
      </c>
      <c r="AT66" t="b">
        <f>OR((F66&gt;0),(NOT(ISBLANK(H66))),SUM(H66:H$373),SUM(G66:G$373))</f>
        <v>0</v>
      </c>
      <c r="AU66" t="b">
        <f t="shared" ca="1" si="5"/>
        <v>0</v>
      </c>
    </row>
    <row r="67" spans="1:49">
      <c r="A67" s="349">
        <f t="shared" si="23"/>
        <v>41700</v>
      </c>
      <c r="B67" s="350">
        <f t="shared" si="24"/>
        <v>41700</v>
      </c>
      <c r="C67" s="351">
        <f t="shared" si="47"/>
        <v>9</v>
      </c>
      <c r="D67" s="352">
        <f t="shared" si="48"/>
        <v>41698</v>
      </c>
      <c r="E67" s="364" t="str">
        <f t="shared" si="6"/>
        <v/>
      </c>
      <c r="F67" s="6"/>
      <c r="G67" s="7" t="str">
        <f t="shared" si="49"/>
        <v/>
      </c>
      <c r="H67" s="8"/>
      <c r="I67" s="8">
        <f t="shared" si="45"/>
        <v>0</v>
      </c>
      <c r="J67" s="129">
        <f t="shared" si="34"/>
        <v>0</v>
      </c>
      <c r="K67" s="8"/>
      <c r="L67" s="8">
        <f t="shared" si="8"/>
        <v>0</v>
      </c>
      <c r="M67" s="129">
        <f t="shared" si="9"/>
        <v>0</v>
      </c>
      <c r="N67" s="129"/>
      <c r="O67" s="129">
        <f t="shared" si="1"/>
        <v>0</v>
      </c>
      <c r="P67" s="129"/>
      <c r="Q67" s="129">
        <f t="shared" si="10"/>
        <v>0</v>
      </c>
      <c r="R67" s="129">
        <f t="shared" si="11"/>
        <v>0</v>
      </c>
      <c r="S67" s="693">
        <f t="shared" si="12"/>
        <v>6</v>
      </c>
      <c r="T67" s="129">
        <f t="shared" si="44"/>
        <v>0</v>
      </c>
      <c r="U67" s="165">
        <f t="shared" si="14"/>
        <v>0</v>
      </c>
      <c r="V67" s="75"/>
      <c r="W67" s="131">
        <f t="shared" si="2"/>
        <v>4.1666666666666664E-2</v>
      </c>
      <c r="X67" s="126">
        <f t="shared" si="15"/>
        <v>0</v>
      </c>
      <c r="Y67" s="127">
        <f t="shared" si="50"/>
        <v>0</v>
      </c>
      <c r="Z67" s="128">
        <f t="shared" si="51"/>
        <v>0</v>
      </c>
      <c r="AA67" s="76" t="str">
        <f t="shared" si="52"/>
        <v/>
      </c>
      <c r="AB67" s="216">
        <f t="shared" si="3"/>
        <v>0</v>
      </c>
      <c r="AC67" s="163" t="str">
        <f t="shared" si="53"/>
        <v/>
      </c>
      <c r="AD67" s="257">
        <f t="shared" si="39"/>
        <v>0</v>
      </c>
      <c r="AE67" s="138"/>
      <c r="AF67" s="138" t="str">
        <f t="shared" si="26"/>
        <v/>
      </c>
      <c r="AG67" s="77">
        <f t="shared" si="59"/>
        <v>0</v>
      </c>
      <c r="AH67" s="77">
        <f t="shared" si="60"/>
        <v>0</v>
      </c>
      <c r="AI67" s="77" t="str">
        <f t="shared" si="27"/>
        <v/>
      </c>
      <c r="AJ67" s="78">
        <f t="shared" si="4"/>
        <v>6</v>
      </c>
      <c r="AK67" s="139">
        <f>SUM($AC$6:AC67)</f>
        <v>0</v>
      </c>
      <c r="AL67" s="139">
        <f t="shared" ca="1" si="18"/>
        <v>0</v>
      </c>
      <c r="AM67" s="143">
        <f t="shared" si="28"/>
        <v>0</v>
      </c>
      <c r="AN67" s="143">
        <f t="shared" si="29"/>
        <v>0</v>
      </c>
      <c r="AO67" s="143">
        <f t="shared" si="30"/>
        <v>0</v>
      </c>
      <c r="AP67" s="142">
        <f t="shared" si="19"/>
        <v>30</v>
      </c>
      <c r="AQ67" s="142">
        <f t="shared" ca="1" si="20"/>
        <v>30</v>
      </c>
      <c r="AR67" s="154">
        <f t="shared" si="43"/>
        <v>0</v>
      </c>
      <c r="AS67" s="142">
        <f t="shared" si="22"/>
        <v>7</v>
      </c>
      <c r="AT67" t="b">
        <f>OR((F67&gt;0),(NOT(ISBLANK(H67))),SUM(H67:H$373),SUM(G67:G$373))</f>
        <v>0</v>
      </c>
      <c r="AU67" t="b">
        <f t="shared" ca="1" si="5"/>
        <v>1</v>
      </c>
    </row>
    <row r="68" spans="1:49">
      <c r="A68" s="349">
        <f t="shared" si="23"/>
        <v>41701</v>
      </c>
      <c r="B68" s="350">
        <f t="shared" si="24"/>
        <v>41701</v>
      </c>
      <c r="C68" s="351">
        <f t="shared" si="47"/>
        <v>9</v>
      </c>
      <c r="D68" s="352">
        <f t="shared" si="48"/>
        <v>41698</v>
      </c>
      <c r="E68" s="364" t="str">
        <f t="shared" si="6"/>
        <v/>
      </c>
      <c r="F68" s="6"/>
      <c r="G68" s="7" t="str">
        <f t="shared" si="49"/>
        <v/>
      </c>
      <c r="H68" s="8"/>
      <c r="I68" s="8">
        <f t="shared" si="45"/>
        <v>0</v>
      </c>
      <c r="J68" s="129">
        <f t="shared" si="34"/>
        <v>0</v>
      </c>
      <c r="K68" s="8"/>
      <c r="L68" s="8">
        <f t="shared" si="8"/>
        <v>0</v>
      </c>
      <c r="M68" s="129">
        <f t="shared" si="9"/>
        <v>0</v>
      </c>
      <c r="N68" s="129"/>
      <c r="O68" s="129">
        <f t="shared" si="1"/>
        <v>0</v>
      </c>
      <c r="P68" s="129"/>
      <c r="Q68" s="129">
        <f t="shared" si="10"/>
        <v>0</v>
      </c>
      <c r="R68" s="129">
        <f t="shared" si="11"/>
        <v>0</v>
      </c>
      <c r="S68" s="693">
        <f t="shared" si="12"/>
        <v>6</v>
      </c>
      <c r="T68" s="129">
        <f t="shared" si="44"/>
        <v>0</v>
      </c>
      <c r="U68" s="165">
        <f t="shared" si="14"/>
        <v>0</v>
      </c>
      <c r="V68" s="75"/>
      <c r="W68" s="131">
        <f t="shared" si="2"/>
        <v>4.1666666666666664E-2</v>
      </c>
      <c r="X68" s="126">
        <f t="shared" si="15"/>
        <v>0</v>
      </c>
      <c r="Y68" s="127">
        <f t="shared" si="50"/>
        <v>0</v>
      </c>
      <c r="Z68" s="128">
        <f t="shared" si="51"/>
        <v>0</v>
      </c>
      <c r="AA68" s="76" t="str">
        <f t="shared" si="52"/>
        <v/>
      </c>
      <c r="AB68" s="216">
        <f t="shared" si="3"/>
        <v>0</v>
      </c>
      <c r="AC68" s="163" t="str">
        <f t="shared" si="53"/>
        <v/>
      </c>
      <c r="AD68" s="257">
        <f t="shared" si="39"/>
        <v>0</v>
      </c>
      <c r="AE68" s="138"/>
      <c r="AF68" s="138" t="str">
        <f t="shared" si="26"/>
        <v/>
      </c>
      <c r="AG68" s="77">
        <f t="shared" si="59"/>
        <v>0</v>
      </c>
      <c r="AH68" s="77">
        <f t="shared" si="60"/>
        <v>0</v>
      </c>
      <c r="AI68" s="77" t="str">
        <f t="shared" si="27"/>
        <v/>
      </c>
      <c r="AJ68" s="78">
        <f t="shared" si="4"/>
        <v>7</v>
      </c>
      <c r="AK68" s="139">
        <f>SUM($AC$6:AC68)</f>
        <v>0</v>
      </c>
      <c r="AL68" s="139">
        <f t="shared" ca="1" si="18"/>
        <v>0</v>
      </c>
      <c r="AM68" s="143">
        <f t="shared" si="28"/>
        <v>0</v>
      </c>
      <c r="AN68" s="143">
        <f t="shared" si="29"/>
        <v>0</v>
      </c>
      <c r="AO68" s="143">
        <f t="shared" si="30"/>
        <v>0</v>
      </c>
      <c r="AP68" s="142">
        <f t="shared" si="19"/>
        <v>30</v>
      </c>
      <c r="AQ68" s="142">
        <f t="shared" ca="1" si="20"/>
        <v>30</v>
      </c>
      <c r="AR68" s="154">
        <f t="shared" si="43"/>
        <v>0</v>
      </c>
      <c r="AS68" s="142">
        <f t="shared" si="22"/>
        <v>7</v>
      </c>
      <c r="AT68" t="b">
        <f>OR((F68&gt;0),(NOT(ISBLANK(H68))),SUM(H68:H$373),SUM(G68:G$373))</f>
        <v>0</v>
      </c>
      <c r="AU68" t="b">
        <f t="shared" ca="1" si="5"/>
        <v>1</v>
      </c>
    </row>
    <row r="69" spans="1:49">
      <c r="A69" s="349">
        <f t="shared" si="23"/>
        <v>41702</v>
      </c>
      <c r="B69" s="350">
        <f t="shared" si="24"/>
        <v>41702</v>
      </c>
      <c r="C69" s="351">
        <f t="shared" si="47"/>
        <v>10</v>
      </c>
      <c r="D69" s="352">
        <f t="shared" si="48"/>
        <v>41698</v>
      </c>
      <c r="E69" s="364" t="str">
        <f t="shared" si="6"/>
        <v/>
      </c>
      <c r="F69" s="6"/>
      <c r="G69" s="7" t="str">
        <f t="shared" si="49"/>
        <v/>
      </c>
      <c r="H69" s="8"/>
      <c r="I69" s="8">
        <f t="shared" si="45"/>
        <v>0</v>
      </c>
      <c r="J69" s="129">
        <f t="shared" si="34"/>
        <v>0</v>
      </c>
      <c r="K69" s="8"/>
      <c r="L69" s="8">
        <f t="shared" si="8"/>
        <v>0</v>
      </c>
      <c r="M69" s="129">
        <f t="shared" si="9"/>
        <v>0</v>
      </c>
      <c r="N69" s="129"/>
      <c r="O69" s="129">
        <f t="shared" ref="O69:O132" si="61">IF(N69&gt;0,N69+IF((J69-H69+M69-K69)&lt;X69,X69-(J69-H69+M69-K69),TIME(0,10,0))+IF((K69-J69+N69-M69)&gt;xNoWorkTime,0,xNoWorkTime-(K69-J69+N69-M69)),0)</f>
        <v>0</v>
      </c>
      <c r="P69" s="129"/>
      <c r="Q69" s="129">
        <f t="shared" si="10"/>
        <v>0</v>
      </c>
      <c r="R69" s="129">
        <f t="shared" si="11"/>
        <v>0</v>
      </c>
      <c r="S69" s="693">
        <f t="shared" si="12"/>
        <v>6</v>
      </c>
      <c r="T69" s="129">
        <f t="shared" si="44"/>
        <v>0</v>
      </c>
      <c r="U69" s="165">
        <f t="shared" si="14"/>
        <v>0</v>
      </c>
      <c r="V69" s="75"/>
      <c r="W69" s="131">
        <f t="shared" ref="W69:W132" si="62">xNoWorkTime</f>
        <v>4.1666666666666664E-2</v>
      </c>
      <c r="X69" s="126">
        <f t="shared" si="15"/>
        <v>0</v>
      </c>
      <c r="Y69" s="127">
        <f t="shared" si="50"/>
        <v>0.33333333333333331</v>
      </c>
      <c r="Z69" s="128">
        <f t="shared" si="51"/>
        <v>0</v>
      </c>
      <c r="AA69" s="76" t="str">
        <f t="shared" si="52"/>
        <v/>
      </c>
      <c r="AB69" s="216">
        <f t="shared" ref="AB69:AB132" si="63">xOverTime</f>
        <v>0</v>
      </c>
      <c r="AC69" s="163" t="str">
        <f t="shared" si="53"/>
        <v/>
      </c>
      <c r="AD69" s="257">
        <f t="shared" si="39"/>
        <v>0</v>
      </c>
      <c r="AE69" s="138"/>
      <c r="AF69" s="138" t="str">
        <f t="shared" si="26"/>
        <v/>
      </c>
      <c r="AG69" s="77">
        <f t="shared" si="59"/>
        <v>0</v>
      </c>
      <c r="AH69" s="77">
        <f t="shared" si="60"/>
        <v>0</v>
      </c>
      <c r="AI69" s="77" t="str">
        <f t="shared" si="27"/>
        <v/>
      </c>
      <c r="AJ69" s="78">
        <f t="shared" ref="AJ69:AJ132" si="64">IF(A69="",0,IF(ISERROR(VLOOKUP(A69,db_Feiertag,2,FALSE)),WEEKDAY(A69,2),Feiertag))</f>
        <v>1</v>
      </c>
      <c r="AK69" s="139">
        <f>SUM($AC$6:AC69)</f>
        <v>0</v>
      </c>
      <c r="AL69" s="139">
        <f t="shared" ca="1" si="18"/>
        <v>0</v>
      </c>
      <c r="AM69" s="143">
        <f t="shared" si="28"/>
        <v>0</v>
      </c>
      <c r="AN69" s="143">
        <f t="shared" si="29"/>
        <v>0</v>
      </c>
      <c r="AO69" s="143">
        <f t="shared" si="30"/>
        <v>0</v>
      </c>
      <c r="AP69" s="142">
        <f t="shared" si="19"/>
        <v>30</v>
      </c>
      <c r="AQ69" s="142">
        <f t="shared" ca="1" si="20"/>
        <v>30</v>
      </c>
      <c r="AR69" s="154">
        <f t="shared" si="43"/>
        <v>0</v>
      </c>
      <c r="AS69" s="142">
        <f t="shared" si="22"/>
        <v>0</v>
      </c>
      <c r="AT69" t="b">
        <f>OR((F69&gt;0),(NOT(ISBLANK(H69))),SUM(H69:H$373),SUM(G69:G$373))</f>
        <v>0</v>
      </c>
      <c r="AU69" t="b">
        <f t="shared" ref="AU69:AU132" ca="1" si="65">INDIRECT(ADDRESS(ROW(),COLUMN(xDay)))&gt;5</f>
        <v>0</v>
      </c>
    </row>
    <row r="70" spans="1:49">
      <c r="A70" s="349">
        <f t="shared" si="23"/>
        <v>41703</v>
      </c>
      <c r="B70" s="350">
        <f t="shared" si="24"/>
        <v>41703</v>
      </c>
      <c r="C70" s="351">
        <f t="shared" si="47"/>
        <v>10</v>
      </c>
      <c r="D70" s="352">
        <f t="shared" si="48"/>
        <v>41698</v>
      </c>
      <c r="E70" s="364" t="str">
        <f t="shared" ref="E70:E133" si="66">IF((R70-T70)&gt;XWorkTimeMax,$Y$4,IF(AS70=Feiertag,VLOOKUP(B70,db_Feiertag,2,FALSE),""))</f>
        <v/>
      </c>
      <c r="F70" s="6"/>
      <c r="G70" s="7" t="str">
        <f t="shared" si="49"/>
        <v/>
      </c>
      <c r="H70" s="8"/>
      <c r="I70" s="8">
        <f t="shared" si="45"/>
        <v>0</v>
      </c>
      <c r="J70" s="129">
        <f t="shared" si="34"/>
        <v>0</v>
      </c>
      <c r="K70" s="8"/>
      <c r="L70" s="8">
        <f t="shared" ref="L70:L133" si="67">IF(K70&gt;0,K70+IF((J70-H70)&lt;X70,X70-(J70-H70),TIME(0,10,0))+IF((K70-J70)&gt;xNoWorkTime,0,xNoWorkTime-(K70-J70)),0)</f>
        <v>0</v>
      </c>
      <c r="M70" s="129">
        <f t="shared" ref="M70:M133" si="68">IF(L70&lt;K70,L70+1,L70)</f>
        <v>0</v>
      </c>
      <c r="N70" s="129"/>
      <c r="O70" s="129">
        <f t="shared" si="61"/>
        <v>0</v>
      </c>
      <c r="P70" s="129"/>
      <c r="Q70" s="129">
        <f t="shared" ref="Q70:Q133" si="69">IF(O70&lt;N70,O70+1,O70)</f>
        <v>0</v>
      </c>
      <c r="R70" s="129">
        <f t="shared" ref="R70:R133" si="70">J70-H70+M70-K70+Q70-N70</f>
        <v>0</v>
      </c>
      <c r="S70" s="693">
        <f t="shared" ref="S70:S133" si="71">XPauseNach*24</f>
        <v>6</v>
      </c>
      <c r="T70" s="129">
        <f t="shared" si="44"/>
        <v>0</v>
      </c>
      <c r="U70" s="165">
        <f t="shared" ref="U70:U133" si="72">IF(F70="S",Y70,(IF((R70-T70)&gt;XWorkTimeMax,XWorkTimeMax,IF((R70-T70)&gt;0,R70-T70,0))))</f>
        <v>0</v>
      </c>
      <c r="V70" s="75"/>
      <c r="W70" s="131">
        <f t="shared" si="62"/>
        <v>4.1666666666666664E-2</v>
      </c>
      <c r="X70" s="126">
        <f t="shared" ref="X70:X133" si="73">IF(AND((AJ70&lt;Feiertag),(G70&lt;&gt;85)),IF(OR(F70="B",F70="G",F70="S",H70&gt;0),H70-H70+Y70,0),0)</f>
        <v>0</v>
      </c>
      <c r="Y70" s="127">
        <f t="shared" si="50"/>
        <v>0.33333333333333331</v>
      </c>
      <c r="Z70" s="128">
        <f t="shared" si="51"/>
        <v>0</v>
      </c>
      <c r="AA70" s="76" t="str">
        <f t="shared" si="52"/>
        <v/>
      </c>
      <c r="AB70" s="216">
        <f t="shared" si="63"/>
        <v>0</v>
      </c>
      <c r="AC70" s="163" t="str">
        <f t="shared" si="53"/>
        <v/>
      </c>
      <c r="AD70" s="257">
        <f t="shared" si="39"/>
        <v>0</v>
      </c>
      <c r="AE70" s="138"/>
      <c r="AF70" s="138" t="str">
        <f t="shared" si="26"/>
        <v/>
      </c>
      <c r="AG70" s="77">
        <f t="shared" si="59"/>
        <v>0</v>
      </c>
      <c r="AH70" s="77">
        <f t="shared" si="60"/>
        <v>0</v>
      </c>
      <c r="AI70" s="77" t="str">
        <f t="shared" si="27"/>
        <v/>
      </c>
      <c r="AJ70" s="78">
        <f t="shared" si="64"/>
        <v>2</v>
      </c>
      <c r="AK70" s="139">
        <f>SUM($AC$6:AC70)</f>
        <v>0</v>
      </c>
      <c r="AL70" s="139">
        <f t="shared" ref="AL70:AL133" ca="1" si="74">IF(D70=D69,AL69,OFFSET(AL70,-1,COLUMN(db_jSaldoGes)-COLUMN()))</f>
        <v>0</v>
      </c>
      <c r="AM70" s="143">
        <f t="shared" si="28"/>
        <v>0</v>
      </c>
      <c r="AN70" s="143">
        <f t="shared" si="29"/>
        <v>0</v>
      </c>
      <c r="AO70" s="143">
        <f t="shared" si="30"/>
        <v>0</v>
      </c>
      <c r="AP70" s="142">
        <f t="shared" ref="AP70:AP133" si="75">IF(A70="","",AP69-IF(F70=Urlaub,1,0)+IF(AND(MONTH(A70)=1,DAY(A70)=1),B_UrlaubNeu,0))</f>
        <v>30</v>
      </c>
      <c r="AQ70" s="142">
        <f t="shared" ref="AQ70:AQ133" ca="1" si="76">IF(A70="","",IF(D70=D69,AQ69,OFFSET(AQ70,-1,COLUMN(db_jUrlRest)-COLUMN()))+IF(AND(MONTH(A70)=1,DAY(A70)=1),B_UrlaubNeu,0))</f>
        <v>30</v>
      </c>
      <c r="AR70" s="154">
        <f t="shared" si="43"/>
        <v>0</v>
      </c>
      <c r="AS70" s="142">
        <f t="shared" ref="AS70:AS133" si="77">IF(ISNUMBER(AC70),K_ArbeitOverMax,IF(AND(ISNUMBER(Z70),Z70&gt;0),K_ArbeitOverTime,IF(AND(ISNUMBER(U70),U70&gt;0),K_ArbeitNormal,IF(F70=Krank,K_Krank,IF(F70=Urlaub,K_Urlaub,IF(AJ70=Feiertag,K_Feiertag,IF(OR(AJ70=6,AJ70=7),K_Wochenende,0)))))))+IF(F70=Gleittag,K_Gleittag,0)</f>
        <v>0</v>
      </c>
      <c r="AT70" t="b">
        <f>OR((F70&gt;0),(NOT(ISBLANK(H70))),SUM(H70:H$373),SUM(G70:G$373))</f>
        <v>0</v>
      </c>
      <c r="AU70" t="b">
        <f t="shared" ca="1" si="65"/>
        <v>0</v>
      </c>
    </row>
    <row r="71" spans="1:49">
      <c r="A71" s="349">
        <f t="shared" ref="A71:A134" si="78">IF(A70="","",IF((A70+1)&gt;=DATE(YEAR(xJahr)+1,MONTH(xJahr),DAY(xJahr)),"",A70+1))</f>
        <v>41704</v>
      </c>
      <c r="B71" s="350">
        <f t="shared" ref="B71:B134" si="79">IF(A71="","",A71)</f>
        <v>41704</v>
      </c>
      <c r="C71" s="351">
        <f t="shared" si="47"/>
        <v>10</v>
      </c>
      <c r="D71" s="352">
        <f t="shared" si="48"/>
        <v>41698</v>
      </c>
      <c r="E71" s="364" t="str">
        <f t="shared" si="66"/>
        <v/>
      </c>
      <c r="F71" s="6"/>
      <c r="G71" s="7" t="str">
        <f t="shared" si="49"/>
        <v/>
      </c>
      <c r="H71" s="8"/>
      <c r="I71" s="8">
        <f t="shared" si="45"/>
        <v>0</v>
      </c>
      <c r="J71" s="129">
        <f t="shared" si="34"/>
        <v>0</v>
      </c>
      <c r="K71" s="8"/>
      <c r="L71" s="8">
        <f t="shared" si="67"/>
        <v>0</v>
      </c>
      <c r="M71" s="129">
        <f t="shared" si="68"/>
        <v>0</v>
      </c>
      <c r="N71" s="129"/>
      <c r="O71" s="129">
        <f t="shared" si="61"/>
        <v>0</v>
      </c>
      <c r="P71" s="129"/>
      <c r="Q71" s="129">
        <f t="shared" si="69"/>
        <v>0</v>
      </c>
      <c r="R71" s="129">
        <f t="shared" si="70"/>
        <v>0</v>
      </c>
      <c r="S71" s="693">
        <f t="shared" si="71"/>
        <v>6</v>
      </c>
      <c r="T71" s="129">
        <f t="shared" si="44"/>
        <v>0</v>
      </c>
      <c r="U71" s="165">
        <f t="shared" si="72"/>
        <v>0</v>
      </c>
      <c r="V71" s="75"/>
      <c r="W71" s="131">
        <f t="shared" si="62"/>
        <v>4.1666666666666664E-2</v>
      </c>
      <c r="X71" s="126">
        <f t="shared" si="73"/>
        <v>0</v>
      </c>
      <c r="Y71" s="127">
        <f t="shared" si="50"/>
        <v>0.33333333333333331</v>
      </c>
      <c r="Z71" s="128">
        <f t="shared" si="51"/>
        <v>0</v>
      </c>
      <c r="AA71" s="76" t="str">
        <f t="shared" si="52"/>
        <v/>
      </c>
      <c r="AB71" s="216">
        <f t="shared" si="63"/>
        <v>0</v>
      </c>
      <c r="AC71" s="163" t="str">
        <f t="shared" si="53"/>
        <v/>
      </c>
      <c r="AD71" s="257">
        <f t="shared" ref="AD71:AD134" si="80">IF(AT71,(AD70+SUM(Z71)-AE71),)</f>
        <v>0</v>
      </c>
      <c r="AE71" s="138"/>
      <c r="AF71" s="138" t="str">
        <f t="shared" ref="AF71:AF134" si="81">IF(AND(AE71&lt;&gt;"",AE71&lt;=U71),U71-AE71,"")</f>
        <v/>
      </c>
      <c r="AG71" s="77">
        <f t="shared" si="59"/>
        <v>0</v>
      </c>
      <c r="AH71" s="77">
        <f t="shared" si="60"/>
        <v>0</v>
      </c>
      <c r="AI71" s="77" t="str">
        <f t="shared" ref="AI71:AI134" si="82">IF( AND(ISNUMBER( U71 ),ISNUMBER( X71 )), IF( U71 &gt;= X71, "", X71 - U71 ), "" )</f>
        <v/>
      </c>
      <c r="AJ71" s="78">
        <f t="shared" si="64"/>
        <v>3</v>
      </c>
      <c r="AK71" s="139">
        <f>SUM($AC$6:AC71)</f>
        <v>0</v>
      </c>
      <c r="AL71" s="139">
        <f t="shared" ca="1" si="74"/>
        <v>0</v>
      </c>
      <c r="AM71" s="143">
        <f t="shared" ref="AM71:AM134" si="83">IF(OR($G71=-1,$G71=82),-1,IF(OR($G71=0,$G71=83),1,0))</f>
        <v>0</v>
      </c>
      <c r="AN71" s="143">
        <f t="shared" ref="AN71:AN134" si="84">IF($F71=Krank,1,IF($F71="J",-1,0))</f>
        <v>0</v>
      </c>
      <c r="AO71" s="143">
        <f t="shared" ref="AO71:AO134" si="85">IF($F71=Urlaub,1,IF($F71="T",-1,0))</f>
        <v>0</v>
      </c>
      <c r="AP71" s="142">
        <f t="shared" si="75"/>
        <v>30</v>
      </c>
      <c r="AQ71" s="142">
        <f t="shared" ca="1" si="76"/>
        <v>30</v>
      </c>
      <c r="AR71" s="154">
        <f t="shared" si="43"/>
        <v>0</v>
      </c>
      <c r="AS71" s="142">
        <f t="shared" si="77"/>
        <v>0</v>
      </c>
      <c r="AT71" t="b">
        <f>OR((F71&gt;0),(NOT(ISBLANK(H71))),SUM(H71:H$373),SUM(G71:G$373))</f>
        <v>0</v>
      </c>
      <c r="AU71" t="b">
        <f t="shared" ca="1" si="65"/>
        <v>0</v>
      </c>
    </row>
    <row r="72" spans="1:49">
      <c r="A72" s="349">
        <f t="shared" si="78"/>
        <v>41705</v>
      </c>
      <c r="B72" s="350">
        <f t="shared" si="79"/>
        <v>41705</v>
      </c>
      <c r="C72" s="351">
        <f t="shared" si="47"/>
        <v>10</v>
      </c>
      <c r="D72" s="352">
        <f t="shared" si="48"/>
        <v>41698</v>
      </c>
      <c r="E72" s="364" t="str">
        <f t="shared" si="66"/>
        <v/>
      </c>
      <c r="F72" s="6"/>
      <c r="G72" s="7" t="str">
        <f t="shared" si="49"/>
        <v/>
      </c>
      <c r="H72" s="8"/>
      <c r="I72" s="8">
        <f t="shared" si="45"/>
        <v>0</v>
      </c>
      <c r="J72" s="129">
        <f t="shared" ref="J72:J135" si="86">IF(I72&lt;H72,I72+1,I72)</f>
        <v>0</v>
      </c>
      <c r="K72" s="8"/>
      <c r="L72" s="8">
        <f t="shared" si="67"/>
        <v>0</v>
      </c>
      <c r="M72" s="129">
        <f t="shared" si="68"/>
        <v>0</v>
      </c>
      <c r="N72" s="129"/>
      <c r="O72" s="129">
        <f t="shared" si="61"/>
        <v>0</v>
      </c>
      <c r="P72" s="129"/>
      <c r="Q72" s="129">
        <f t="shared" si="69"/>
        <v>0</v>
      </c>
      <c r="R72" s="129">
        <f t="shared" si="70"/>
        <v>0</v>
      </c>
      <c r="S72" s="693">
        <f t="shared" si="71"/>
        <v>6</v>
      </c>
      <c r="T72" s="129">
        <f t="shared" si="44"/>
        <v>0</v>
      </c>
      <c r="U72" s="165">
        <f t="shared" si="72"/>
        <v>0</v>
      </c>
      <c r="V72" s="75"/>
      <c r="W72" s="131">
        <f t="shared" si="62"/>
        <v>4.1666666666666664E-2</v>
      </c>
      <c r="X72" s="126">
        <f t="shared" si="73"/>
        <v>0</v>
      </c>
      <c r="Y72" s="127">
        <f t="shared" si="50"/>
        <v>0.33333333333333331</v>
      </c>
      <c r="Z72" s="128">
        <f t="shared" si="51"/>
        <v>0</v>
      </c>
      <c r="AA72" s="76" t="str">
        <f t="shared" si="52"/>
        <v/>
      </c>
      <c r="AB72" s="216">
        <f t="shared" si="63"/>
        <v>0</v>
      </c>
      <c r="AC72" s="163" t="str">
        <f t="shared" si="53"/>
        <v/>
      </c>
      <c r="AD72" s="257">
        <f t="shared" si="80"/>
        <v>0</v>
      </c>
      <c r="AE72" s="138"/>
      <c r="AF72" s="138" t="str">
        <f t="shared" si="81"/>
        <v/>
      </c>
      <c r="AG72" s="77">
        <f t="shared" si="59"/>
        <v>0</v>
      </c>
      <c r="AH72" s="77">
        <f t="shared" si="60"/>
        <v>0</v>
      </c>
      <c r="AI72" s="77" t="str">
        <f t="shared" si="82"/>
        <v/>
      </c>
      <c r="AJ72" s="78">
        <f t="shared" si="64"/>
        <v>4</v>
      </c>
      <c r="AK72" s="139">
        <f>SUM($AC$6:AC72)</f>
        <v>0</v>
      </c>
      <c r="AL72" s="139">
        <f t="shared" ca="1" si="74"/>
        <v>0</v>
      </c>
      <c r="AM72" s="143">
        <f t="shared" si="83"/>
        <v>0</v>
      </c>
      <c r="AN72" s="143">
        <f t="shared" si="84"/>
        <v>0</v>
      </c>
      <c r="AO72" s="143">
        <f t="shared" si="85"/>
        <v>0</v>
      </c>
      <c r="AP72" s="142">
        <f t="shared" si="75"/>
        <v>30</v>
      </c>
      <c r="AQ72" s="142">
        <f t="shared" ca="1" si="76"/>
        <v>30</v>
      </c>
      <c r="AR72" s="154">
        <f t="shared" si="43"/>
        <v>0</v>
      </c>
      <c r="AS72" s="142">
        <f t="shared" si="77"/>
        <v>0</v>
      </c>
      <c r="AT72" t="b">
        <f>OR((F72&gt;0),(NOT(ISBLANK(H72))),SUM(H72:H$373),SUM(G72:G$373))</f>
        <v>0</v>
      </c>
      <c r="AU72" t="b">
        <f t="shared" ca="1" si="65"/>
        <v>0</v>
      </c>
    </row>
    <row r="73" spans="1:49">
      <c r="A73" s="349">
        <f t="shared" si="78"/>
        <v>41706</v>
      </c>
      <c r="B73" s="350">
        <f t="shared" si="79"/>
        <v>41706</v>
      </c>
      <c r="C73" s="351">
        <f t="shared" si="47"/>
        <v>10</v>
      </c>
      <c r="D73" s="352">
        <f t="shared" si="48"/>
        <v>41698</v>
      </c>
      <c r="E73" s="364" t="str">
        <f t="shared" si="66"/>
        <v/>
      </c>
      <c r="F73" s="6"/>
      <c r="G73" s="7" t="str">
        <f t="shared" si="49"/>
        <v/>
      </c>
      <c r="H73" s="8"/>
      <c r="I73" s="8">
        <f t="shared" si="45"/>
        <v>0</v>
      </c>
      <c r="J73" s="129">
        <f t="shared" si="86"/>
        <v>0</v>
      </c>
      <c r="K73" s="8"/>
      <c r="L73" s="8">
        <f t="shared" si="67"/>
        <v>0</v>
      </c>
      <c r="M73" s="129">
        <f t="shared" si="68"/>
        <v>0</v>
      </c>
      <c r="N73" s="129"/>
      <c r="O73" s="129">
        <f t="shared" si="61"/>
        <v>0</v>
      </c>
      <c r="P73" s="129"/>
      <c r="Q73" s="129">
        <f t="shared" si="69"/>
        <v>0</v>
      </c>
      <c r="R73" s="129">
        <f t="shared" si="70"/>
        <v>0</v>
      </c>
      <c r="S73" s="693">
        <f t="shared" si="71"/>
        <v>6</v>
      </c>
      <c r="T73" s="129">
        <f t="shared" si="44"/>
        <v>0</v>
      </c>
      <c r="U73" s="165">
        <f t="shared" si="72"/>
        <v>0</v>
      </c>
      <c r="V73" s="75"/>
      <c r="W73" s="131">
        <f t="shared" si="62"/>
        <v>4.1666666666666664E-2</v>
      </c>
      <c r="X73" s="126">
        <f t="shared" si="73"/>
        <v>0</v>
      </c>
      <c r="Y73" s="127">
        <f t="shared" si="50"/>
        <v>0.33333333333333331</v>
      </c>
      <c r="Z73" s="128">
        <f t="shared" si="51"/>
        <v>0</v>
      </c>
      <c r="AA73" s="76" t="str">
        <f t="shared" si="52"/>
        <v/>
      </c>
      <c r="AB73" s="216">
        <f t="shared" si="63"/>
        <v>0</v>
      </c>
      <c r="AC73" s="163" t="str">
        <f t="shared" si="53"/>
        <v/>
      </c>
      <c r="AD73" s="257">
        <f t="shared" si="80"/>
        <v>0</v>
      </c>
      <c r="AE73" s="138"/>
      <c r="AF73" s="138" t="str">
        <f t="shared" si="81"/>
        <v/>
      </c>
      <c r="AG73" s="77">
        <f t="shared" si="59"/>
        <v>0</v>
      </c>
      <c r="AH73" s="77">
        <f t="shared" si="60"/>
        <v>0</v>
      </c>
      <c r="AI73" s="77" t="str">
        <f t="shared" si="82"/>
        <v/>
      </c>
      <c r="AJ73" s="78">
        <f t="shared" si="64"/>
        <v>5</v>
      </c>
      <c r="AK73" s="139">
        <f>SUM($AC$6:AC73)</f>
        <v>0</v>
      </c>
      <c r="AL73" s="139">
        <f t="shared" ca="1" si="74"/>
        <v>0</v>
      </c>
      <c r="AM73" s="143">
        <f t="shared" si="83"/>
        <v>0</v>
      </c>
      <c r="AN73" s="143">
        <f t="shared" si="84"/>
        <v>0</v>
      </c>
      <c r="AO73" s="143">
        <f t="shared" si="85"/>
        <v>0</v>
      </c>
      <c r="AP73" s="142">
        <f t="shared" si="75"/>
        <v>30</v>
      </c>
      <c r="AQ73" s="142">
        <f t="shared" ca="1" si="76"/>
        <v>30</v>
      </c>
      <c r="AR73" s="154">
        <f t="shared" si="43"/>
        <v>0</v>
      </c>
      <c r="AS73" s="142">
        <f t="shared" si="77"/>
        <v>0</v>
      </c>
      <c r="AT73" t="b">
        <f>OR((F73&gt;0),(NOT(ISBLANK(H73))),SUM(H73:H$373),SUM(G73:G$373))</f>
        <v>0</v>
      </c>
      <c r="AU73" t="b">
        <f t="shared" ca="1" si="65"/>
        <v>0</v>
      </c>
    </row>
    <row r="74" spans="1:49">
      <c r="A74" s="349">
        <f t="shared" si="78"/>
        <v>41707</v>
      </c>
      <c r="B74" s="350">
        <f t="shared" si="79"/>
        <v>41707</v>
      </c>
      <c r="C74" s="351">
        <f t="shared" si="47"/>
        <v>10</v>
      </c>
      <c r="D74" s="352">
        <f t="shared" si="48"/>
        <v>41698</v>
      </c>
      <c r="E74" s="364" t="str">
        <f t="shared" si="66"/>
        <v/>
      </c>
      <c r="F74" s="6"/>
      <c r="G74" s="7" t="str">
        <f t="shared" si="49"/>
        <v/>
      </c>
      <c r="H74" s="8"/>
      <c r="I74" s="8">
        <f t="shared" si="45"/>
        <v>0</v>
      </c>
      <c r="J74" s="129">
        <f t="shared" si="86"/>
        <v>0</v>
      </c>
      <c r="K74" s="8"/>
      <c r="L74" s="8">
        <f t="shared" si="67"/>
        <v>0</v>
      </c>
      <c r="M74" s="129">
        <f t="shared" si="68"/>
        <v>0</v>
      </c>
      <c r="N74" s="129"/>
      <c r="O74" s="129">
        <f t="shared" si="61"/>
        <v>0</v>
      </c>
      <c r="P74" s="129"/>
      <c r="Q74" s="129">
        <f t="shared" si="69"/>
        <v>0</v>
      </c>
      <c r="R74" s="129">
        <f t="shared" si="70"/>
        <v>0</v>
      </c>
      <c r="S74" s="693">
        <f t="shared" si="71"/>
        <v>6</v>
      </c>
      <c r="T74" s="129">
        <f t="shared" si="44"/>
        <v>0</v>
      </c>
      <c r="U74" s="165">
        <f t="shared" si="72"/>
        <v>0</v>
      </c>
      <c r="V74" s="75"/>
      <c r="W74" s="131">
        <f t="shared" si="62"/>
        <v>4.1666666666666664E-2</v>
      </c>
      <c r="X74" s="126">
        <f t="shared" si="73"/>
        <v>0</v>
      </c>
      <c r="Y74" s="127">
        <f t="shared" si="50"/>
        <v>0</v>
      </c>
      <c r="Z74" s="128">
        <f t="shared" si="51"/>
        <v>0</v>
      </c>
      <c r="AA74" s="76" t="str">
        <f t="shared" si="52"/>
        <v/>
      </c>
      <c r="AB74" s="216">
        <f t="shared" si="63"/>
        <v>0</v>
      </c>
      <c r="AC74" s="163" t="str">
        <f t="shared" si="53"/>
        <v/>
      </c>
      <c r="AD74" s="257">
        <f t="shared" si="80"/>
        <v>0</v>
      </c>
      <c r="AE74" s="138"/>
      <c r="AF74" s="138" t="str">
        <f t="shared" si="81"/>
        <v/>
      </c>
      <c r="AG74" s="77">
        <f t="shared" si="59"/>
        <v>0</v>
      </c>
      <c r="AH74" s="77">
        <f t="shared" si="60"/>
        <v>0</v>
      </c>
      <c r="AI74" s="77" t="str">
        <f t="shared" si="82"/>
        <v/>
      </c>
      <c r="AJ74" s="78">
        <f t="shared" si="64"/>
        <v>6</v>
      </c>
      <c r="AK74" s="139">
        <f>SUM($AC$6:AC74)</f>
        <v>0</v>
      </c>
      <c r="AL74" s="139">
        <f t="shared" ca="1" si="74"/>
        <v>0</v>
      </c>
      <c r="AM74" s="143">
        <f t="shared" si="83"/>
        <v>0</v>
      </c>
      <c r="AN74" s="143">
        <f t="shared" si="84"/>
        <v>0</v>
      </c>
      <c r="AO74" s="143">
        <f t="shared" si="85"/>
        <v>0</v>
      </c>
      <c r="AP74" s="142">
        <f t="shared" si="75"/>
        <v>30</v>
      </c>
      <c r="AQ74" s="142">
        <f t="shared" ca="1" si="76"/>
        <v>30</v>
      </c>
      <c r="AR74" s="154">
        <f t="shared" si="43"/>
        <v>0</v>
      </c>
      <c r="AS74" s="142">
        <f t="shared" si="77"/>
        <v>7</v>
      </c>
      <c r="AT74" t="b">
        <f>OR((F74&gt;0),(NOT(ISBLANK(H74))),SUM(H74:H$373),SUM(G74:G$373))</f>
        <v>0</v>
      </c>
      <c r="AU74" t="b">
        <f t="shared" ca="1" si="65"/>
        <v>1</v>
      </c>
    </row>
    <row r="75" spans="1:49">
      <c r="A75" s="349">
        <f t="shared" si="78"/>
        <v>41708</v>
      </c>
      <c r="B75" s="350">
        <f t="shared" si="79"/>
        <v>41708</v>
      </c>
      <c r="C75" s="351">
        <f t="shared" si="47"/>
        <v>10</v>
      </c>
      <c r="D75" s="352">
        <f t="shared" si="48"/>
        <v>41698</v>
      </c>
      <c r="E75" s="364" t="str">
        <f t="shared" si="66"/>
        <v/>
      </c>
      <c r="F75" s="6"/>
      <c r="G75" s="7" t="str">
        <f t="shared" si="49"/>
        <v/>
      </c>
      <c r="H75" s="8"/>
      <c r="I75" s="8">
        <f t="shared" si="45"/>
        <v>0</v>
      </c>
      <c r="J75" s="129">
        <f t="shared" si="86"/>
        <v>0</v>
      </c>
      <c r="K75" s="8"/>
      <c r="L75" s="8">
        <f t="shared" si="67"/>
        <v>0</v>
      </c>
      <c r="M75" s="129">
        <f t="shared" si="68"/>
        <v>0</v>
      </c>
      <c r="N75" s="129"/>
      <c r="O75" s="129">
        <f t="shared" si="61"/>
        <v>0</v>
      </c>
      <c r="P75" s="129"/>
      <c r="Q75" s="129">
        <f t="shared" si="69"/>
        <v>0</v>
      </c>
      <c r="R75" s="129">
        <f t="shared" si="70"/>
        <v>0</v>
      </c>
      <c r="S75" s="693">
        <f t="shared" si="71"/>
        <v>6</v>
      </c>
      <c r="T75" s="129">
        <f t="shared" si="44"/>
        <v>0</v>
      </c>
      <c r="U75" s="165">
        <f t="shared" si="72"/>
        <v>0</v>
      </c>
      <c r="V75" s="75"/>
      <c r="W75" s="131">
        <f t="shared" si="62"/>
        <v>4.1666666666666664E-2</v>
      </c>
      <c r="X75" s="126">
        <f t="shared" si="73"/>
        <v>0</v>
      </c>
      <c r="Y75" s="127">
        <f t="shared" si="50"/>
        <v>0</v>
      </c>
      <c r="Z75" s="128">
        <f t="shared" si="51"/>
        <v>0</v>
      </c>
      <c r="AA75" s="76" t="str">
        <f t="shared" si="52"/>
        <v/>
      </c>
      <c r="AB75" s="216">
        <f t="shared" si="63"/>
        <v>0</v>
      </c>
      <c r="AC75" s="163" t="str">
        <f t="shared" si="53"/>
        <v/>
      </c>
      <c r="AD75" s="257">
        <f t="shared" si="80"/>
        <v>0</v>
      </c>
      <c r="AE75" s="138"/>
      <c r="AF75" s="138" t="str">
        <f t="shared" si="81"/>
        <v/>
      </c>
      <c r="AG75" s="77">
        <f t="shared" si="59"/>
        <v>0</v>
      </c>
      <c r="AH75" s="77">
        <f t="shared" si="60"/>
        <v>0</v>
      </c>
      <c r="AI75" s="77" t="str">
        <f t="shared" si="82"/>
        <v/>
      </c>
      <c r="AJ75" s="78">
        <f t="shared" si="64"/>
        <v>7</v>
      </c>
      <c r="AK75" s="139">
        <f>SUM($AC$6:AC75)</f>
        <v>0</v>
      </c>
      <c r="AL75" s="139">
        <f t="shared" ca="1" si="74"/>
        <v>0</v>
      </c>
      <c r="AM75" s="143">
        <f t="shared" si="83"/>
        <v>0</v>
      </c>
      <c r="AN75" s="143">
        <f t="shared" si="84"/>
        <v>0</v>
      </c>
      <c r="AO75" s="143">
        <f t="shared" si="85"/>
        <v>0</v>
      </c>
      <c r="AP75" s="142">
        <f t="shared" si="75"/>
        <v>30</v>
      </c>
      <c r="AQ75" s="142">
        <f t="shared" ca="1" si="76"/>
        <v>30</v>
      </c>
      <c r="AR75" s="154">
        <f t="shared" si="43"/>
        <v>0</v>
      </c>
      <c r="AS75" s="142">
        <f t="shared" si="77"/>
        <v>7</v>
      </c>
      <c r="AT75" t="b">
        <f>OR((F75&gt;0),(NOT(ISBLANK(H75))),SUM(H75:H$373),SUM(G75:G$373))</f>
        <v>0</v>
      </c>
      <c r="AU75" t="b">
        <f t="shared" ca="1" si="65"/>
        <v>1</v>
      </c>
    </row>
    <row r="76" spans="1:49">
      <c r="A76" s="349">
        <f t="shared" si="78"/>
        <v>41709</v>
      </c>
      <c r="B76" s="350">
        <f t="shared" si="79"/>
        <v>41709</v>
      </c>
      <c r="C76" s="351">
        <f t="shared" si="47"/>
        <v>11</v>
      </c>
      <c r="D76" s="352">
        <f t="shared" si="48"/>
        <v>41698</v>
      </c>
      <c r="E76" s="364" t="str">
        <f t="shared" si="66"/>
        <v/>
      </c>
      <c r="F76" s="6"/>
      <c r="G76" s="7" t="str">
        <f t="shared" si="49"/>
        <v/>
      </c>
      <c r="H76" s="8"/>
      <c r="I76" s="8">
        <f t="shared" si="45"/>
        <v>0</v>
      </c>
      <c r="J76" s="129">
        <f t="shared" si="86"/>
        <v>0</v>
      </c>
      <c r="K76" s="8"/>
      <c r="L76" s="8">
        <f t="shared" si="67"/>
        <v>0</v>
      </c>
      <c r="M76" s="129">
        <f t="shared" si="68"/>
        <v>0</v>
      </c>
      <c r="N76" s="129"/>
      <c r="O76" s="129">
        <f t="shared" si="61"/>
        <v>0</v>
      </c>
      <c r="P76" s="129"/>
      <c r="Q76" s="129">
        <f t="shared" si="69"/>
        <v>0</v>
      </c>
      <c r="R76" s="129">
        <f t="shared" si="70"/>
        <v>0</v>
      </c>
      <c r="S76" s="693">
        <f t="shared" si="71"/>
        <v>6</v>
      </c>
      <c r="T76" s="129">
        <f t="shared" si="44"/>
        <v>0</v>
      </c>
      <c r="U76" s="165">
        <f t="shared" si="72"/>
        <v>0</v>
      </c>
      <c r="V76" s="75"/>
      <c r="W76" s="131">
        <f t="shared" si="62"/>
        <v>4.1666666666666664E-2</v>
      </c>
      <c r="X76" s="126">
        <f t="shared" si="73"/>
        <v>0</v>
      </c>
      <c r="Y76" s="127">
        <f t="shared" si="50"/>
        <v>0.33333333333333331</v>
      </c>
      <c r="Z76" s="128">
        <f t="shared" si="51"/>
        <v>0</v>
      </c>
      <c r="AA76" s="76" t="str">
        <f t="shared" si="52"/>
        <v/>
      </c>
      <c r="AB76" s="216">
        <f t="shared" si="63"/>
        <v>0</v>
      </c>
      <c r="AC76" s="163" t="str">
        <f t="shared" si="53"/>
        <v/>
      </c>
      <c r="AD76" s="257">
        <f t="shared" si="80"/>
        <v>0</v>
      </c>
      <c r="AE76" s="138"/>
      <c r="AF76" s="138" t="str">
        <f t="shared" si="81"/>
        <v/>
      </c>
      <c r="AG76" s="77">
        <f t="shared" si="59"/>
        <v>0</v>
      </c>
      <c r="AH76" s="77">
        <f t="shared" si="60"/>
        <v>0</v>
      </c>
      <c r="AI76" s="77" t="str">
        <f t="shared" si="82"/>
        <v/>
      </c>
      <c r="AJ76" s="78">
        <f t="shared" si="64"/>
        <v>1</v>
      </c>
      <c r="AK76" s="139">
        <f>SUM($AC$6:AC76)</f>
        <v>0</v>
      </c>
      <c r="AL76" s="139">
        <f t="shared" ca="1" si="74"/>
        <v>0</v>
      </c>
      <c r="AM76" s="143">
        <f t="shared" si="83"/>
        <v>0</v>
      </c>
      <c r="AN76" s="143">
        <f t="shared" si="84"/>
        <v>0</v>
      </c>
      <c r="AO76" s="143">
        <f t="shared" si="85"/>
        <v>0</v>
      </c>
      <c r="AP76" s="142">
        <f t="shared" si="75"/>
        <v>30</v>
      </c>
      <c r="AQ76" s="142">
        <f t="shared" ca="1" si="76"/>
        <v>30</v>
      </c>
      <c r="AR76" s="154">
        <f t="shared" si="43"/>
        <v>0</v>
      </c>
      <c r="AS76" s="142">
        <f t="shared" si="77"/>
        <v>0</v>
      </c>
      <c r="AT76" t="b">
        <f>OR((F76&gt;0),(NOT(ISBLANK(H76))),SUM(H76:H$373),SUM(G76:G$373))</f>
        <v>0</v>
      </c>
      <c r="AU76" t="b">
        <f t="shared" ca="1" si="65"/>
        <v>0</v>
      </c>
      <c r="AV76" s="569"/>
      <c r="AW76" s="569"/>
    </row>
    <row r="77" spans="1:49">
      <c r="A77" s="349">
        <f t="shared" si="78"/>
        <v>41710</v>
      </c>
      <c r="B77" s="350">
        <f t="shared" si="79"/>
        <v>41710</v>
      </c>
      <c r="C77" s="351">
        <f t="shared" si="47"/>
        <v>11</v>
      </c>
      <c r="D77" s="352">
        <f t="shared" si="48"/>
        <v>41698</v>
      </c>
      <c r="E77" s="364" t="str">
        <f t="shared" si="66"/>
        <v/>
      </c>
      <c r="F77" s="6"/>
      <c r="G77" s="7" t="str">
        <f t="shared" si="49"/>
        <v/>
      </c>
      <c r="H77" s="8"/>
      <c r="I77" s="8">
        <f t="shared" si="45"/>
        <v>0</v>
      </c>
      <c r="J77" s="129">
        <f t="shared" si="86"/>
        <v>0</v>
      </c>
      <c r="K77" s="8"/>
      <c r="L77" s="8">
        <f t="shared" si="67"/>
        <v>0</v>
      </c>
      <c r="M77" s="129">
        <f t="shared" si="68"/>
        <v>0</v>
      </c>
      <c r="N77" s="129"/>
      <c r="O77" s="129">
        <f t="shared" si="61"/>
        <v>0</v>
      </c>
      <c r="P77" s="129"/>
      <c r="Q77" s="129">
        <f t="shared" si="69"/>
        <v>0</v>
      </c>
      <c r="R77" s="129">
        <f t="shared" si="70"/>
        <v>0</v>
      </c>
      <c r="S77" s="693">
        <f t="shared" si="71"/>
        <v>6</v>
      </c>
      <c r="T77" s="129">
        <f t="shared" si="44"/>
        <v>0</v>
      </c>
      <c r="U77" s="165">
        <f t="shared" si="72"/>
        <v>0</v>
      </c>
      <c r="V77" s="75"/>
      <c r="W77" s="131">
        <f t="shared" si="62"/>
        <v>4.1666666666666664E-2</v>
      </c>
      <c r="X77" s="126">
        <f t="shared" si="73"/>
        <v>0</v>
      </c>
      <c r="Y77" s="127">
        <f t="shared" si="50"/>
        <v>0.33333333333333331</v>
      </c>
      <c r="Z77" s="128">
        <f t="shared" si="51"/>
        <v>0</v>
      </c>
      <c r="AA77" s="76" t="str">
        <f t="shared" si="52"/>
        <v/>
      </c>
      <c r="AB77" s="216">
        <f t="shared" si="63"/>
        <v>0</v>
      </c>
      <c r="AC77" s="163" t="str">
        <f t="shared" si="53"/>
        <v/>
      </c>
      <c r="AD77" s="257">
        <f t="shared" si="80"/>
        <v>0</v>
      </c>
      <c r="AE77" s="138"/>
      <c r="AF77" s="138" t="str">
        <f t="shared" si="81"/>
        <v/>
      </c>
      <c r="AG77" s="77">
        <f t="shared" si="59"/>
        <v>0</v>
      </c>
      <c r="AH77" s="77">
        <f t="shared" si="60"/>
        <v>0</v>
      </c>
      <c r="AI77" s="77" t="str">
        <f t="shared" si="82"/>
        <v/>
      </c>
      <c r="AJ77" s="78">
        <f t="shared" si="64"/>
        <v>2</v>
      </c>
      <c r="AK77" s="139">
        <f>SUM($AC$6:AC77)</f>
        <v>0</v>
      </c>
      <c r="AL77" s="139">
        <f t="shared" ca="1" si="74"/>
        <v>0</v>
      </c>
      <c r="AM77" s="143">
        <f t="shared" si="83"/>
        <v>0</v>
      </c>
      <c r="AN77" s="143">
        <f t="shared" si="84"/>
        <v>0</v>
      </c>
      <c r="AO77" s="143">
        <f t="shared" si="85"/>
        <v>0</v>
      </c>
      <c r="AP77" s="142">
        <f t="shared" si="75"/>
        <v>30</v>
      </c>
      <c r="AQ77" s="142">
        <f t="shared" ca="1" si="76"/>
        <v>30</v>
      </c>
      <c r="AR77" s="154">
        <f t="shared" si="43"/>
        <v>0</v>
      </c>
      <c r="AS77" s="142">
        <f t="shared" si="77"/>
        <v>0</v>
      </c>
      <c r="AT77" t="b">
        <f>OR((F77&gt;0),(NOT(ISBLANK(H77))),SUM(H77:H$373),SUM(G77:G$373))</f>
        <v>0</v>
      </c>
      <c r="AU77" t="b">
        <f t="shared" ca="1" si="65"/>
        <v>0</v>
      </c>
    </row>
    <row r="78" spans="1:49">
      <c r="A78" s="349">
        <f t="shared" si="78"/>
        <v>41711</v>
      </c>
      <c r="B78" s="350">
        <f t="shared" si="79"/>
        <v>41711</v>
      </c>
      <c r="C78" s="351">
        <f t="shared" si="47"/>
        <v>11</v>
      </c>
      <c r="D78" s="352">
        <f t="shared" si="48"/>
        <v>41698</v>
      </c>
      <c r="E78" s="364" t="str">
        <f t="shared" si="66"/>
        <v/>
      </c>
      <c r="F78" s="6"/>
      <c r="G78" s="7" t="str">
        <f t="shared" si="49"/>
        <v/>
      </c>
      <c r="H78" s="8"/>
      <c r="I78" s="8">
        <f t="shared" si="45"/>
        <v>0</v>
      </c>
      <c r="J78" s="129">
        <f t="shared" si="86"/>
        <v>0</v>
      </c>
      <c r="K78" s="8"/>
      <c r="L78" s="8">
        <f t="shared" si="67"/>
        <v>0</v>
      </c>
      <c r="M78" s="129">
        <f t="shared" si="68"/>
        <v>0</v>
      </c>
      <c r="N78" s="129"/>
      <c r="O78" s="129">
        <f t="shared" si="61"/>
        <v>0</v>
      </c>
      <c r="P78" s="129"/>
      <c r="Q78" s="129">
        <f t="shared" si="69"/>
        <v>0</v>
      </c>
      <c r="R78" s="129">
        <f t="shared" si="70"/>
        <v>0</v>
      </c>
      <c r="S78" s="693">
        <f t="shared" si="71"/>
        <v>6</v>
      </c>
      <c r="T78" s="129">
        <f t="shared" si="44"/>
        <v>0</v>
      </c>
      <c r="U78" s="165">
        <f t="shared" si="72"/>
        <v>0</v>
      </c>
      <c r="V78" s="75"/>
      <c r="W78" s="131">
        <f t="shared" si="62"/>
        <v>4.1666666666666664E-2</v>
      </c>
      <c r="X78" s="126">
        <f t="shared" si="73"/>
        <v>0</v>
      </c>
      <c r="Y78" s="127">
        <f t="shared" si="50"/>
        <v>0.33333333333333331</v>
      </c>
      <c r="Z78" s="128">
        <f t="shared" si="51"/>
        <v>0</v>
      </c>
      <c r="AA78" s="76" t="str">
        <f t="shared" si="52"/>
        <v/>
      </c>
      <c r="AB78" s="216">
        <f t="shared" si="63"/>
        <v>0</v>
      </c>
      <c r="AC78" s="163" t="str">
        <f t="shared" si="53"/>
        <v/>
      </c>
      <c r="AD78" s="257">
        <f t="shared" si="80"/>
        <v>0</v>
      </c>
      <c r="AE78" s="138"/>
      <c r="AF78" s="138" t="str">
        <f t="shared" si="81"/>
        <v/>
      </c>
      <c r="AG78" s="77">
        <f t="shared" si="59"/>
        <v>0</v>
      </c>
      <c r="AH78" s="77">
        <f t="shared" si="60"/>
        <v>0</v>
      </c>
      <c r="AI78" s="77" t="str">
        <f t="shared" si="82"/>
        <v/>
      </c>
      <c r="AJ78" s="78">
        <f t="shared" si="64"/>
        <v>3</v>
      </c>
      <c r="AK78" s="139">
        <f>SUM($AC$6:AC78)</f>
        <v>0</v>
      </c>
      <c r="AL78" s="139">
        <f t="shared" ca="1" si="74"/>
        <v>0</v>
      </c>
      <c r="AM78" s="143">
        <f t="shared" si="83"/>
        <v>0</v>
      </c>
      <c r="AN78" s="143">
        <f t="shared" si="84"/>
        <v>0</v>
      </c>
      <c r="AO78" s="143">
        <f t="shared" si="85"/>
        <v>0</v>
      </c>
      <c r="AP78" s="142">
        <f t="shared" si="75"/>
        <v>30</v>
      </c>
      <c r="AQ78" s="142">
        <f t="shared" ca="1" si="76"/>
        <v>30</v>
      </c>
      <c r="AR78" s="154">
        <f t="shared" ref="AR78:AR141" si="87">(IF(ISNUMBER(U78),U78,0)+IF(ISNUMBER(AC78),AC78,0))*24</f>
        <v>0</v>
      </c>
      <c r="AS78" s="142">
        <f t="shared" si="77"/>
        <v>0</v>
      </c>
      <c r="AT78" t="b">
        <f>OR((F78&gt;0),(NOT(ISBLANK(H78))),SUM(H78:H$373),SUM(G78:G$373))</f>
        <v>0</v>
      </c>
      <c r="AU78" t="b">
        <f t="shared" ca="1" si="65"/>
        <v>0</v>
      </c>
    </row>
    <row r="79" spans="1:49">
      <c r="A79" s="349">
        <f t="shared" si="78"/>
        <v>41712</v>
      </c>
      <c r="B79" s="350">
        <f t="shared" si="79"/>
        <v>41712</v>
      </c>
      <c r="C79" s="351">
        <f t="shared" si="47"/>
        <v>11</v>
      </c>
      <c r="D79" s="352">
        <f t="shared" si="48"/>
        <v>41698</v>
      </c>
      <c r="E79" s="364" t="str">
        <f t="shared" si="66"/>
        <v/>
      </c>
      <c r="F79" s="6"/>
      <c r="G79" s="7" t="str">
        <f t="shared" si="49"/>
        <v/>
      </c>
      <c r="H79" s="8"/>
      <c r="I79" s="8">
        <f t="shared" si="45"/>
        <v>0</v>
      </c>
      <c r="J79" s="129">
        <f t="shared" si="86"/>
        <v>0</v>
      </c>
      <c r="K79" s="8"/>
      <c r="L79" s="8">
        <f t="shared" si="67"/>
        <v>0</v>
      </c>
      <c r="M79" s="129">
        <f t="shared" si="68"/>
        <v>0</v>
      </c>
      <c r="N79" s="129"/>
      <c r="O79" s="129">
        <f t="shared" si="61"/>
        <v>0</v>
      </c>
      <c r="P79" s="129"/>
      <c r="Q79" s="129">
        <f t="shared" si="69"/>
        <v>0</v>
      </c>
      <c r="R79" s="129">
        <f t="shared" si="70"/>
        <v>0</v>
      </c>
      <c r="S79" s="693">
        <f t="shared" si="71"/>
        <v>6</v>
      </c>
      <c r="T79" s="129">
        <f t="shared" si="44"/>
        <v>0</v>
      </c>
      <c r="U79" s="165">
        <f t="shared" si="72"/>
        <v>0</v>
      </c>
      <c r="V79" s="75"/>
      <c r="W79" s="131">
        <f t="shared" si="62"/>
        <v>4.1666666666666664E-2</v>
      </c>
      <c r="X79" s="126">
        <f t="shared" si="73"/>
        <v>0</v>
      </c>
      <c r="Y79" s="127">
        <f t="shared" si="50"/>
        <v>0.33333333333333331</v>
      </c>
      <c r="Z79" s="128">
        <f t="shared" si="51"/>
        <v>0</v>
      </c>
      <c r="AA79" s="76" t="str">
        <f t="shared" si="52"/>
        <v/>
      </c>
      <c r="AB79" s="216">
        <f t="shared" si="63"/>
        <v>0</v>
      </c>
      <c r="AC79" s="163" t="str">
        <f t="shared" si="53"/>
        <v/>
      </c>
      <c r="AD79" s="257">
        <f t="shared" si="80"/>
        <v>0</v>
      </c>
      <c r="AE79" s="138"/>
      <c r="AF79" s="138" t="str">
        <f t="shared" si="81"/>
        <v/>
      </c>
      <c r="AG79" s="77">
        <f t="shared" si="59"/>
        <v>0</v>
      </c>
      <c r="AH79" s="77">
        <f t="shared" si="60"/>
        <v>0</v>
      </c>
      <c r="AI79" s="77" t="str">
        <f t="shared" si="82"/>
        <v/>
      </c>
      <c r="AJ79" s="78">
        <f t="shared" si="64"/>
        <v>4</v>
      </c>
      <c r="AK79" s="139">
        <f>SUM($AC$6:AC79)</f>
        <v>0</v>
      </c>
      <c r="AL79" s="139">
        <f t="shared" ca="1" si="74"/>
        <v>0</v>
      </c>
      <c r="AM79" s="143">
        <f t="shared" si="83"/>
        <v>0</v>
      </c>
      <c r="AN79" s="143">
        <f t="shared" si="84"/>
        <v>0</v>
      </c>
      <c r="AO79" s="143">
        <f t="shared" si="85"/>
        <v>0</v>
      </c>
      <c r="AP79" s="142">
        <f t="shared" si="75"/>
        <v>30</v>
      </c>
      <c r="AQ79" s="142">
        <f t="shared" ca="1" si="76"/>
        <v>30</v>
      </c>
      <c r="AR79" s="154">
        <f t="shared" si="87"/>
        <v>0</v>
      </c>
      <c r="AS79" s="142">
        <f t="shared" si="77"/>
        <v>0</v>
      </c>
      <c r="AT79" t="b">
        <f>OR((F79&gt;0),(NOT(ISBLANK(H79))),SUM(H79:H$373),SUM(G79:G$373))</f>
        <v>0</v>
      </c>
      <c r="AU79" t="b">
        <f t="shared" ca="1" si="65"/>
        <v>0</v>
      </c>
    </row>
    <row r="80" spans="1:49">
      <c r="A80" s="349">
        <f t="shared" si="78"/>
        <v>41713</v>
      </c>
      <c r="B80" s="350">
        <f t="shared" si="79"/>
        <v>41713</v>
      </c>
      <c r="C80" s="351">
        <f t="shared" si="47"/>
        <v>11</v>
      </c>
      <c r="D80" s="352">
        <f t="shared" si="48"/>
        <v>41698</v>
      </c>
      <c r="E80" s="364" t="str">
        <f t="shared" si="66"/>
        <v/>
      </c>
      <c r="F80" s="6"/>
      <c r="G80" s="7" t="str">
        <f t="shared" si="49"/>
        <v/>
      </c>
      <c r="H80" s="8"/>
      <c r="I80" s="8">
        <f t="shared" si="45"/>
        <v>0</v>
      </c>
      <c r="J80" s="129">
        <f t="shared" si="86"/>
        <v>0</v>
      </c>
      <c r="K80" s="8"/>
      <c r="L80" s="8">
        <f t="shared" si="67"/>
        <v>0</v>
      </c>
      <c r="M80" s="129">
        <f t="shared" si="68"/>
        <v>0</v>
      </c>
      <c r="N80" s="129"/>
      <c r="O80" s="129">
        <f t="shared" si="61"/>
        <v>0</v>
      </c>
      <c r="P80" s="129"/>
      <c r="Q80" s="129">
        <f t="shared" si="69"/>
        <v>0</v>
      </c>
      <c r="R80" s="129">
        <f t="shared" si="70"/>
        <v>0</v>
      </c>
      <c r="S80" s="693">
        <f t="shared" si="71"/>
        <v>6</v>
      </c>
      <c r="T80" s="129">
        <f t="shared" si="44"/>
        <v>0</v>
      </c>
      <c r="U80" s="165">
        <f t="shared" si="72"/>
        <v>0</v>
      </c>
      <c r="V80" s="75"/>
      <c r="W80" s="131">
        <f t="shared" si="62"/>
        <v>4.1666666666666664E-2</v>
      </c>
      <c r="X80" s="126">
        <f t="shared" si="73"/>
        <v>0</v>
      </c>
      <c r="Y80" s="127">
        <f t="shared" si="50"/>
        <v>0.33333333333333331</v>
      </c>
      <c r="Z80" s="128">
        <f t="shared" si="51"/>
        <v>0</v>
      </c>
      <c r="AA80" s="76" t="str">
        <f t="shared" si="52"/>
        <v/>
      </c>
      <c r="AB80" s="216">
        <f t="shared" si="63"/>
        <v>0</v>
      </c>
      <c r="AC80" s="163" t="str">
        <f t="shared" si="53"/>
        <v/>
      </c>
      <c r="AD80" s="257">
        <f t="shared" si="80"/>
        <v>0</v>
      </c>
      <c r="AE80" s="138"/>
      <c r="AF80" s="138" t="str">
        <f t="shared" si="81"/>
        <v/>
      </c>
      <c r="AG80" s="77">
        <f t="shared" si="59"/>
        <v>0</v>
      </c>
      <c r="AH80" s="77">
        <f t="shared" si="60"/>
        <v>0</v>
      </c>
      <c r="AI80" s="77" t="str">
        <f t="shared" si="82"/>
        <v/>
      </c>
      <c r="AJ80" s="78">
        <f t="shared" si="64"/>
        <v>5</v>
      </c>
      <c r="AK80" s="139">
        <f>SUM($AC$6:AC80)</f>
        <v>0</v>
      </c>
      <c r="AL80" s="139">
        <f t="shared" ca="1" si="74"/>
        <v>0</v>
      </c>
      <c r="AM80" s="143">
        <f t="shared" si="83"/>
        <v>0</v>
      </c>
      <c r="AN80" s="143">
        <f t="shared" si="84"/>
        <v>0</v>
      </c>
      <c r="AO80" s="143">
        <f t="shared" si="85"/>
        <v>0</v>
      </c>
      <c r="AP80" s="142">
        <f t="shared" si="75"/>
        <v>30</v>
      </c>
      <c r="AQ80" s="142">
        <f t="shared" ca="1" si="76"/>
        <v>30</v>
      </c>
      <c r="AR80" s="154">
        <f t="shared" si="87"/>
        <v>0</v>
      </c>
      <c r="AS80" s="142">
        <f t="shared" si="77"/>
        <v>0</v>
      </c>
      <c r="AT80" t="b">
        <f>OR((F80&gt;0),(NOT(ISBLANK(H80))),SUM(H80:H$373),SUM(G80:G$373))</f>
        <v>0</v>
      </c>
      <c r="AU80" t="b">
        <f t="shared" ca="1" si="65"/>
        <v>0</v>
      </c>
    </row>
    <row r="81" spans="1:47">
      <c r="A81" s="349">
        <f t="shared" si="78"/>
        <v>41714</v>
      </c>
      <c r="B81" s="350">
        <f t="shared" si="79"/>
        <v>41714</v>
      </c>
      <c r="C81" s="351">
        <f t="shared" si="47"/>
        <v>11</v>
      </c>
      <c r="D81" s="352">
        <f t="shared" si="48"/>
        <v>41698</v>
      </c>
      <c r="E81" s="364" t="str">
        <f t="shared" si="66"/>
        <v/>
      </c>
      <c r="F81" s="6"/>
      <c r="G81" s="7" t="str">
        <f t="shared" si="49"/>
        <v/>
      </c>
      <c r="H81" s="8"/>
      <c r="I81" s="8">
        <f t="shared" si="45"/>
        <v>0</v>
      </c>
      <c r="J81" s="129">
        <f t="shared" si="86"/>
        <v>0</v>
      </c>
      <c r="K81" s="8"/>
      <c r="L81" s="8">
        <f t="shared" si="67"/>
        <v>0</v>
      </c>
      <c r="M81" s="129">
        <f t="shared" si="68"/>
        <v>0</v>
      </c>
      <c r="N81" s="129"/>
      <c r="O81" s="129">
        <f t="shared" si="61"/>
        <v>0</v>
      </c>
      <c r="P81" s="129"/>
      <c r="Q81" s="129">
        <f t="shared" si="69"/>
        <v>0</v>
      </c>
      <c r="R81" s="129">
        <f t="shared" si="70"/>
        <v>0</v>
      </c>
      <c r="S81" s="693">
        <f t="shared" si="71"/>
        <v>6</v>
      </c>
      <c r="T81" s="129">
        <f t="shared" si="44"/>
        <v>0</v>
      </c>
      <c r="U81" s="165">
        <f t="shared" si="72"/>
        <v>0</v>
      </c>
      <c r="V81" s="75"/>
      <c r="W81" s="131">
        <f t="shared" si="62"/>
        <v>4.1666666666666664E-2</v>
      </c>
      <c r="X81" s="126">
        <f t="shared" si="73"/>
        <v>0</v>
      </c>
      <c r="Y81" s="127">
        <f t="shared" si="50"/>
        <v>0</v>
      </c>
      <c r="Z81" s="128">
        <f t="shared" si="51"/>
        <v>0</v>
      </c>
      <c r="AA81" s="76" t="str">
        <f t="shared" si="52"/>
        <v/>
      </c>
      <c r="AB81" s="216">
        <f t="shared" si="63"/>
        <v>0</v>
      </c>
      <c r="AC81" s="163" t="str">
        <f t="shared" si="53"/>
        <v/>
      </c>
      <c r="AD81" s="257">
        <f t="shared" si="80"/>
        <v>0</v>
      </c>
      <c r="AE81" s="138"/>
      <c r="AF81" s="138" t="str">
        <f t="shared" si="81"/>
        <v/>
      </c>
      <c r="AG81" s="77">
        <f t="shared" si="59"/>
        <v>0</v>
      </c>
      <c r="AH81" s="77">
        <f t="shared" si="60"/>
        <v>0</v>
      </c>
      <c r="AI81" s="77" t="str">
        <f t="shared" si="82"/>
        <v/>
      </c>
      <c r="AJ81" s="78">
        <f t="shared" si="64"/>
        <v>6</v>
      </c>
      <c r="AK81" s="139">
        <f>SUM($AC$6:AC81)</f>
        <v>0</v>
      </c>
      <c r="AL81" s="139">
        <f t="shared" ca="1" si="74"/>
        <v>0</v>
      </c>
      <c r="AM81" s="143">
        <f t="shared" si="83"/>
        <v>0</v>
      </c>
      <c r="AN81" s="143">
        <f t="shared" si="84"/>
        <v>0</v>
      </c>
      <c r="AO81" s="143">
        <f t="shared" si="85"/>
        <v>0</v>
      </c>
      <c r="AP81" s="142">
        <f t="shared" si="75"/>
        <v>30</v>
      </c>
      <c r="AQ81" s="142">
        <f t="shared" ca="1" si="76"/>
        <v>30</v>
      </c>
      <c r="AR81" s="154">
        <f t="shared" si="87"/>
        <v>0</v>
      </c>
      <c r="AS81" s="142">
        <f t="shared" si="77"/>
        <v>7</v>
      </c>
      <c r="AT81" t="b">
        <f>OR((F81&gt;0),(NOT(ISBLANK(H81))),SUM(H81:H$373),SUM(G81:G$373))</f>
        <v>0</v>
      </c>
      <c r="AU81" t="b">
        <f t="shared" ca="1" si="65"/>
        <v>1</v>
      </c>
    </row>
    <row r="82" spans="1:47">
      <c r="A82" s="349">
        <f t="shared" si="78"/>
        <v>41715</v>
      </c>
      <c r="B82" s="350">
        <f t="shared" si="79"/>
        <v>41715</v>
      </c>
      <c r="C82" s="351">
        <f t="shared" si="47"/>
        <v>11</v>
      </c>
      <c r="D82" s="352">
        <f t="shared" si="48"/>
        <v>41698</v>
      </c>
      <c r="E82" s="364" t="str">
        <f t="shared" si="66"/>
        <v/>
      </c>
      <c r="F82" s="6"/>
      <c r="G82" s="7" t="str">
        <f t="shared" si="49"/>
        <v/>
      </c>
      <c r="H82" s="8"/>
      <c r="I82" s="8">
        <f t="shared" ref="I82:I145" si="88">IF(H82&gt;0,H82+X82+W82+AB82,0)</f>
        <v>0</v>
      </c>
      <c r="J82" s="129">
        <f t="shared" si="86"/>
        <v>0</v>
      </c>
      <c r="K82" s="8"/>
      <c r="L82" s="8">
        <f t="shared" si="67"/>
        <v>0</v>
      </c>
      <c r="M82" s="129">
        <f t="shared" si="68"/>
        <v>0</v>
      </c>
      <c r="N82" s="129"/>
      <c r="O82" s="129">
        <f t="shared" si="61"/>
        <v>0</v>
      </c>
      <c r="P82" s="129"/>
      <c r="Q82" s="129">
        <f t="shared" si="69"/>
        <v>0</v>
      </c>
      <c r="R82" s="129">
        <f t="shared" si="70"/>
        <v>0</v>
      </c>
      <c r="S82" s="693">
        <f t="shared" si="71"/>
        <v>6</v>
      </c>
      <c r="T82" s="129">
        <f t="shared" ref="T82:T145" si="89">IF((J82-H82)&gt;=TIME(S82,0,1),W82,(IF(OR(R82&lt;TIME(S82,0,1),AND(K82&lt;&gt;0,(K82-J82)&gt;=W82)),0,IF(AND(K82&lt;&gt;0,(K82-J82)&lt;W82),W82-(K82-J82),W82))))</f>
        <v>0</v>
      </c>
      <c r="U82" s="165">
        <f t="shared" si="72"/>
        <v>0</v>
      </c>
      <c r="V82" s="75"/>
      <c r="W82" s="131">
        <f t="shared" si="62"/>
        <v>4.1666666666666664E-2</v>
      </c>
      <c r="X82" s="126">
        <f t="shared" si="73"/>
        <v>0</v>
      </c>
      <c r="Y82" s="127">
        <f t="shared" si="50"/>
        <v>0</v>
      </c>
      <c r="Z82" s="128">
        <f t="shared" si="51"/>
        <v>0</v>
      </c>
      <c r="AA82" s="76" t="str">
        <f t="shared" si="52"/>
        <v/>
      </c>
      <c r="AB82" s="216">
        <f t="shared" si="63"/>
        <v>0</v>
      </c>
      <c r="AC82" s="163" t="str">
        <f t="shared" si="53"/>
        <v/>
      </c>
      <c r="AD82" s="257">
        <f t="shared" si="80"/>
        <v>0</v>
      </c>
      <c r="AE82" s="138"/>
      <c r="AF82" s="138" t="str">
        <f t="shared" si="81"/>
        <v/>
      </c>
      <c r="AG82" s="77">
        <f t="shared" si="59"/>
        <v>0</v>
      </c>
      <c r="AH82" s="77">
        <f t="shared" si="60"/>
        <v>0</v>
      </c>
      <c r="AI82" s="77" t="str">
        <f t="shared" si="82"/>
        <v/>
      </c>
      <c r="AJ82" s="78">
        <f t="shared" si="64"/>
        <v>7</v>
      </c>
      <c r="AK82" s="139">
        <f>SUM($AC$6:AC82)</f>
        <v>0</v>
      </c>
      <c r="AL82" s="139">
        <f t="shared" ca="1" si="74"/>
        <v>0</v>
      </c>
      <c r="AM82" s="143">
        <f t="shared" si="83"/>
        <v>0</v>
      </c>
      <c r="AN82" s="143">
        <f t="shared" si="84"/>
        <v>0</v>
      </c>
      <c r="AO82" s="143">
        <f t="shared" si="85"/>
        <v>0</v>
      </c>
      <c r="AP82" s="142">
        <f t="shared" si="75"/>
        <v>30</v>
      </c>
      <c r="AQ82" s="142">
        <f t="shared" ca="1" si="76"/>
        <v>30</v>
      </c>
      <c r="AR82" s="154">
        <f t="shared" si="87"/>
        <v>0</v>
      </c>
      <c r="AS82" s="142">
        <f t="shared" si="77"/>
        <v>7</v>
      </c>
      <c r="AT82" t="b">
        <f>OR((F82&gt;0),(NOT(ISBLANK(H82))),SUM(H82:H$373),SUM(G82:G$373))</f>
        <v>0</v>
      </c>
      <c r="AU82" t="b">
        <f t="shared" ca="1" si="65"/>
        <v>1</v>
      </c>
    </row>
    <row r="83" spans="1:47">
      <c r="A83" s="349">
        <f t="shared" si="78"/>
        <v>41716</v>
      </c>
      <c r="B83" s="350">
        <f t="shared" si="79"/>
        <v>41716</v>
      </c>
      <c r="C83" s="351">
        <f t="shared" si="47"/>
        <v>12</v>
      </c>
      <c r="D83" s="352">
        <f t="shared" si="48"/>
        <v>41698</v>
      </c>
      <c r="E83" s="364" t="str">
        <f t="shared" si="66"/>
        <v/>
      </c>
      <c r="F83" s="6"/>
      <c r="G83" s="7" t="str">
        <f t="shared" si="49"/>
        <v/>
      </c>
      <c r="H83" s="8"/>
      <c r="I83" s="8">
        <f t="shared" si="88"/>
        <v>0</v>
      </c>
      <c r="J83" s="129">
        <f t="shared" si="86"/>
        <v>0</v>
      </c>
      <c r="K83" s="8"/>
      <c r="L83" s="8">
        <f t="shared" si="67"/>
        <v>0</v>
      </c>
      <c r="M83" s="129">
        <f t="shared" si="68"/>
        <v>0</v>
      </c>
      <c r="N83" s="129"/>
      <c r="O83" s="129">
        <f t="shared" si="61"/>
        <v>0</v>
      </c>
      <c r="P83" s="129"/>
      <c r="Q83" s="129">
        <f t="shared" si="69"/>
        <v>0</v>
      </c>
      <c r="R83" s="129">
        <f t="shared" si="70"/>
        <v>0</v>
      </c>
      <c r="S83" s="693">
        <f t="shared" si="71"/>
        <v>6</v>
      </c>
      <c r="T83" s="129">
        <f t="shared" si="89"/>
        <v>0</v>
      </c>
      <c r="U83" s="165">
        <f t="shared" si="72"/>
        <v>0</v>
      </c>
      <c r="V83" s="75"/>
      <c r="W83" s="131">
        <f t="shared" si="62"/>
        <v>4.1666666666666664E-2</v>
      </c>
      <c r="X83" s="126">
        <f t="shared" si="73"/>
        <v>0</v>
      </c>
      <c r="Y83" s="127">
        <f t="shared" si="50"/>
        <v>0.33333333333333331</v>
      </c>
      <c r="Z83" s="128">
        <f t="shared" si="51"/>
        <v>0</v>
      </c>
      <c r="AA83" s="76" t="str">
        <f t="shared" si="52"/>
        <v/>
      </c>
      <c r="AB83" s="216">
        <f t="shared" si="63"/>
        <v>0</v>
      </c>
      <c r="AC83" s="163" t="str">
        <f t="shared" si="53"/>
        <v/>
      </c>
      <c r="AD83" s="257">
        <f t="shared" si="80"/>
        <v>0</v>
      </c>
      <c r="AE83" s="138"/>
      <c r="AF83" s="138" t="str">
        <f t="shared" si="81"/>
        <v/>
      </c>
      <c r="AG83" s="77">
        <f t="shared" si="59"/>
        <v>0</v>
      </c>
      <c r="AH83" s="77">
        <f t="shared" si="60"/>
        <v>0</v>
      </c>
      <c r="AI83" s="77" t="str">
        <f t="shared" si="82"/>
        <v/>
      </c>
      <c r="AJ83" s="78">
        <f t="shared" si="64"/>
        <v>1</v>
      </c>
      <c r="AK83" s="139">
        <f>SUM($AC$6:AC83)</f>
        <v>0</v>
      </c>
      <c r="AL83" s="139">
        <f t="shared" ca="1" si="74"/>
        <v>0</v>
      </c>
      <c r="AM83" s="143">
        <f t="shared" si="83"/>
        <v>0</v>
      </c>
      <c r="AN83" s="143">
        <f t="shared" si="84"/>
        <v>0</v>
      </c>
      <c r="AO83" s="143">
        <f t="shared" si="85"/>
        <v>0</v>
      </c>
      <c r="AP83" s="142">
        <f t="shared" si="75"/>
        <v>30</v>
      </c>
      <c r="AQ83" s="142">
        <f t="shared" ca="1" si="76"/>
        <v>30</v>
      </c>
      <c r="AR83" s="154">
        <f t="shared" si="87"/>
        <v>0</v>
      </c>
      <c r="AS83" s="142">
        <f t="shared" si="77"/>
        <v>0</v>
      </c>
      <c r="AT83" t="b">
        <f>OR((F83&gt;0),(NOT(ISBLANK(H83))),SUM(H83:H$373),SUM(G83:G$373))</f>
        <v>0</v>
      </c>
      <c r="AU83" t="b">
        <f t="shared" ca="1" si="65"/>
        <v>0</v>
      </c>
    </row>
    <row r="84" spans="1:47">
      <c r="A84" s="349">
        <f t="shared" si="78"/>
        <v>41717</v>
      </c>
      <c r="B84" s="350">
        <f t="shared" si="79"/>
        <v>41717</v>
      </c>
      <c r="C84" s="351">
        <f t="shared" ref="C84:C147" si="90">IF(A84="","",NumberOfWeek(A84))</f>
        <v>12</v>
      </c>
      <c r="D84" s="352">
        <f t="shared" ref="D84:D147" si="91">IF(A84="","",DATE(YEAR(A84),MONTH(A84),1))</f>
        <v>41698</v>
      </c>
      <c r="E84" s="364" t="str">
        <f t="shared" si="66"/>
        <v/>
      </c>
      <c r="F84" s="6"/>
      <c r="G84" s="7" t="str">
        <f t="shared" ref="G84:G147" si="92">IF(ISBLANK(F84),IF(ISBLANK(H84),"",0),CODE(UPPER(F84)))</f>
        <v/>
      </c>
      <c r="H84" s="8"/>
      <c r="I84" s="8">
        <f t="shared" si="88"/>
        <v>0</v>
      </c>
      <c r="J84" s="129">
        <f t="shared" si="86"/>
        <v>0</v>
      </c>
      <c r="K84" s="8"/>
      <c r="L84" s="8">
        <f t="shared" si="67"/>
        <v>0</v>
      </c>
      <c r="M84" s="129">
        <f t="shared" si="68"/>
        <v>0</v>
      </c>
      <c r="N84" s="129"/>
      <c r="O84" s="129">
        <f t="shared" si="61"/>
        <v>0</v>
      </c>
      <c r="P84" s="129"/>
      <c r="Q84" s="129">
        <f t="shared" si="69"/>
        <v>0</v>
      </c>
      <c r="R84" s="129">
        <f t="shared" si="70"/>
        <v>0</v>
      </c>
      <c r="S84" s="693">
        <f t="shared" si="71"/>
        <v>6</v>
      </c>
      <c r="T84" s="129">
        <f t="shared" si="89"/>
        <v>0</v>
      </c>
      <c r="U84" s="165">
        <f t="shared" si="72"/>
        <v>0</v>
      </c>
      <c r="V84" s="75"/>
      <c r="W84" s="131">
        <f t="shared" si="62"/>
        <v>4.1666666666666664E-2</v>
      </c>
      <c r="X84" s="126">
        <f t="shared" si="73"/>
        <v>0</v>
      </c>
      <c r="Y84" s="127">
        <f t="shared" ref="Y84:Y147" si="93">IF(AND(AJ84&gt;0,AJ84&lt;Feiertag),INDEX(Arbeitszeit,AJ84),"")</f>
        <v>0.33333333333333331</v>
      </c>
      <c r="Z84" s="128">
        <f t="shared" ref="Z84:Z147" si="94">U84-X84</f>
        <v>0</v>
      </c>
      <c r="AA84" s="76" t="str">
        <f t="shared" ref="AA84:AA147" si="95">IF((U84-X84)&lt;0,"*","")</f>
        <v/>
      </c>
      <c r="AB84" s="216">
        <f t="shared" si="63"/>
        <v>0</v>
      </c>
      <c r="AC84" s="163" t="str">
        <f t="shared" ref="AC84:AC147" si="96">IF((R84-T84)&gt;XWorkTimeMax,(R84-T84-XWorkTimeMax),"")</f>
        <v/>
      </c>
      <c r="AD84" s="257">
        <f t="shared" si="80"/>
        <v>0</v>
      </c>
      <c r="AE84" s="138"/>
      <c r="AF84" s="138" t="str">
        <f t="shared" si="81"/>
        <v/>
      </c>
      <c r="AG84" s="77">
        <f t="shared" si="59"/>
        <v>0</v>
      </c>
      <c r="AH84" s="77">
        <f t="shared" si="60"/>
        <v>0</v>
      </c>
      <c r="AI84" s="77" t="str">
        <f t="shared" si="82"/>
        <v/>
      </c>
      <c r="AJ84" s="78">
        <f t="shared" si="64"/>
        <v>2</v>
      </c>
      <c r="AK84" s="139">
        <f>SUM($AC$6:AC84)</f>
        <v>0</v>
      </c>
      <c r="AL84" s="139">
        <f t="shared" ca="1" si="74"/>
        <v>0</v>
      </c>
      <c r="AM84" s="143">
        <f t="shared" si="83"/>
        <v>0</v>
      </c>
      <c r="AN84" s="143">
        <f t="shared" si="84"/>
        <v>0</v>
      </c>
      <c r="AO84" s="143">
        <f t="shared" si="85"/>
        <v>0</v>
      </c>
      <c r="AP84" s="142">
        <f t="shared" si="75"/>
        <v>30</v>
      </c>
      <c r="AQ84" s="142">
        <f t="shared" ca="1" si="76"/>
        <v>30</v>
      </c>
      <c r="AR84" s="154">
        <f t="shared" si="87"/>
        <v>0</v>
      </c>
      <c r="AS84" s="142">
        <f t="shared" si="77"/>
        <v>0</v>
      </c>
      <c r="AT84" t="b">
        <f>OR((F84&gt;0),(NOT(ISBLANK(H84))),SUM(H84:H$373),SUM(G84:G$373))</f>
        <v>0</v>
      </c>
      <c r="AU84" t="b">
        <f t="shared" ca="1" si="65"/>
        <v>0</v>
      </c>
    </row>
    <row r="85" spans="1:47">
      <c r="A85" s="349">
        <f t="shared" si="78"/>
        <v>41718</v>
      </c>
      <c r="B85" s="350">
        <f t="shared" si="79"/>
        <v>41718</v>
      </c>
      <c r="C85" s="351">
        <f t="shared" si="90"/>
        <v>12</v>
      </c>
      <c r="D85" s="352">
        <f t="shared" si="91"/>
        <v>41698</v>
      </c>
      <c r="E85" s="364" t="str">
        <f t="shared" si="66"/>
        <v/>
      </c>
      <c r="F85" s="6"/>
      <c r="G85" s="7" t="str">
        <f t="shared" si="92"/>
        <v/>
      </c>
      <c r="H85" s="8"/>
      <c r="I85" s="8">
        <f t="shared" si="88"/>
        <v>0</v>
      </c>
      <c r="J85" s="129">
        <f t="shared" si="86"/>
        <v>0</v>
      </c>
      <c r="K85" s="8"/>
      <c r="L85" s="8">
        <f t="shared" si="67"/>
        <v>0</v>
      </c>
      <c r="M85" s="129">
        <f t="shared" si="68"/>
        <v>0</v>
      </c>
      <c r="N85" s="129"/>
      <c r="O85" s="129">
        <f t="shared" si="61"/>
        <v>0</v>
      </c>
      <c r="P85" s="129"/>
      <c r="Q85" s="129">
        <f t="shared" si="69"/>
        <v>0</v>
      </c>
      <c r="R85" s="129">
        <f t="shared" si="70"/>
        <v>0</v>
      </c>
      <c r="S85" s="693">
        <f t="shared" si="71"/>
        <v>6</v>
      </c>
      <c r="T85" s="129">
        <f t="shared" si="89"/>
        <v>0</v>
      </c>
      <c r="U85" s="165">
        <f t="shared" si="72"/>
        <v>0</v>
      </c>
      <c r="V85" s="75"/>
      <c r="W85" s="131">
        <f t="shared" si="62"/>
        <v>4.1666666666666664E-2</v>
      </c>
      <c r="X85" s="126">
        <f t="shared" si="73"/>
        <v>0</v>
      </c>
      <c r="Y85" s="127">
        <f t="shared" si="93"/>
        <v>0.33333333333333331</v>
      </c>
      <c r="Z85" s="128">
        <f t="shared" si="94"/>
        <v>0</v>
      </c>
      <c r="AA85" s="76" t="str">
        <f t="shared" si="95"/>
        <v/>
      </c>
      <c r="AB85" s="216">
        <f t="shared" si="63"/>
        <v>0</v>
      </c>
      <c r="AC85" s="163" t="str">
        <f t="shared" si="96"/>
        <v/>
      </c>
      <c r="AD85" s="257">
        <f t="shared" si="80"/>
        <v>0</v>
      </c>
      <c r="AE85" s="138"/>
      <c r="AF85" s="138" t="str">
        <f t="shared" si="81"/>
        <v/>
      </c>
      <c r="AG85" s="77">
        <f t="shared" si="59"/>
        <v>0</v>
      </c>
      <c r="AH85" s="77">
        <f t="shared" si="60"/>
        <v>0</v>
      </c>
      <c r="AI85" s="77" t="str">
        <f t="shared" si="82"/>
        <v/>
      </c>
      <c r="AJ85" s="78">
        <f t="shared" si="64"/>
        <v>3</v>
      </c>
      <c r="AK85" s="139">
        <f>SUM($AC$6:AC85)</f>
        <v>0</v>
      </c>
      <c r="AL85" s="139">
        <f t="shared" ca="1" si="74"/>
        <v>0</v>
      </c>
      <c r="AM85" s="143">
        <f t="shared" si="83"/>
        <v>0</v>
      </c>
      <c r="AN85" s="143">
        <f t="shared" si="84"/>
        <v>0</v>
      </c>
      <c r="AO85" s="143">
        <f t="shared" si="85"/>
        <v>0</v>
      </c>
      <c r="AP85" s="142">
        <f t="shared" si="75"/>
        <v>30</v>
      </c>
      <c r="AQ85" s="142">
        <f t="shared" ca="1" si="76"/>
        <v>30</v>
      </c>
      <c r="AR85" s="154">
        <f t="shared" si="87"/>
        <v>0</v>
      </c>
      <c r="AS85" s="142">
        <f t="shared" si="77"/>
        <v>0</v>
      </c>
      <c r="AT85" t="b">
        <f>OR((F85&gt;0),(NOT(ISBLANK(H85))),SUM(H85:H$373),SUM(G85:G$373))</f>
        <v>0</v>
      </c>
      <c r="AU85" t="b">
        <f t="shared" ca="1" si="65"/>
        <v>0</v>
      </c>
    </row>
    <row r="86" spans="1:47">
      <c r="A86" s="349">
        <f t="shared" si="78"/>
        <v>41719</v>
      </c>
      <c r="B86" s="350">
        <f t="shared" si="79"/>
        <v>41719</v>
      </c>
      <c r="C86" s="351">
        <f t="shared" si="90"/>
        <v>12</v>
      </c>
      <c r="D86" s="352">
        <f t="shared" si="91"/>
        <v>41698</v>
      </c>
      <c r="E86" s="364" t="str">
        <f t="shared" si="66"/>
        <v/>
      </c>
      <c r="F86" s="6"/>
      <c r="G86" s="7" t="str">
        <f t="shared" si="92"/>
        <v/>
      </c>
      <c r="H86" s="8"/>
      <c r="I86" s="8">
        <f t="shared" si="88"/>
        <v>0</v>
      </c>
      <c r="J86" s="129">
        <f t="shared" si="86"/>
        <v>0</v>
      </c>
      <c r="K86" s="8"/>
      <c r="L86" s="8">
        <f t="shared" si="67"/>
        <v>0</v>
      </c>
      <c r="M86" s="129">
        <f t="shared" si="68"/>
        <v>0</v>
      </c>
      <c r="N86" s="129"/>
      <c r="O86" s="129">
        <f t="shared" si="61"/>
        <v>0</v>
      </c>
      <c r="P86" s="129"/>
      <c r="Q86" s="129">
        <f t="shared" si="69"/>
        <v>0</v>
      </c>
      <c r="R86" s="129">
        <f t="shared" si="70"/>
        <v>0</v>
      </c>
      <c r="S86" s="693">
        <f t="shared" si="71"/>
        <v>6</v>
      </c>
      <c r="T86" s="129">
        <f t="shared" si="89"/>
        <v>0</v>
      </c>
      <c r="U86" s="165">
        <f t="shared" si="72"/>
        <v>0</v>
      </c>
      <c r="V86" s="75"/>
      <c r="W86" s="131">
        <f t="shared" si="62"/>
        <v>4.1666666666666664E-2</v>
      </c>
      <c r="X86" s="126">
        <f t="shared" si="73"/>
        <v>0</v>
      </c>
      <c r="Y86" s="127">
        <f t="shared" si="93"/>
        <v>0.33333333333333331</v>
      </c>
      <c r="Z86" s="128">
        <f t="shared" si="94"/>
        <v>0</v>
      </c>
      <c r="AA86" s="76" t="str">
        <f t="shared" si="95"/>
        <v/>
      </c>
      <c r="AB86" s="216">
        <f t="shared" si="63"/>
        <v>0</v>
      </c>
      <c r="AC86" s="163" t="str">
        <f t="shared" si="96"/>
        <v/>
      </c>
      <c r="AD86" s="257">
        <f t="shared" si="80"/>
        <v>0</v>
      </c>
      <c r="AE86" s="138"/>
      <c r="AF86" s="138" t="str">
        <f t="shared" si="81"/>
        <v/>
      </c>
      <c r="AG86" s="77">
        <f t="shared" si="59"/>
        <v>0</v>
      </c>
      <c r="AH86" s="77">
        <f t="shared" si="60"/>
        <v>0</v>
      </c>
      <c r="AI86" s="77" t="str">
        <f t="shared" si="82"/>
        <v/>
      </c>
      <c r="AJ86" s="78">
        <f t="shared" si="64"/>
        <v>4</v>
      </c>
      <c r="AK86" s="139">
        <f>SUM($AC$6:AC86)</f>
        <v>0</v>
      </c>
      <c r="AL86" s="139">
        <f t="shared" ca="1" si="74"/>
        <v>0</v>
      </c>
      <c r="AM86" s="143">
        <f t="shared" si="83"/>
        <v>0</v>
      </c>
      <c r="AN86" s="143">
        <f t="shared" si="84"/>
        <v>0</v>
      </c>
      <c r="AO86" s="143">
        <f t="shared" si="85"/>
        <v>0</v>
      </c>
      <c r="AP86" s="142">
        <f t="shared" si="75"/>
        <v>30</v>
      </c>
      <c r="AQ86" s="142">
        <f t="shared" ca="1" si="76"/>
        <v>30</v>
      </c>
      <c r="AR86" s="154">
        <f t="shared" si="87"/>
        <v>0</v>
      </c>
      <c r="AS86" s="142">
        <f t="shared" si="77"/>
        <v>0</v>
      </c>
      <c r="AT86" t="b">
        <f>OR((F86&gt;0),(NOT(ISBLANK(H86))),SUM(H86:H$373),SUM(G86:G$373))</f>
        <v>0</v>
      </c>
      <c r="AU86" t="b">
        <f t="shared" ca="1" si="65"/>
        <v>0</v>
      </c>
    </row>
    <row r="87" spans="1:47">
      <c r="A87" s="349">
        <f t="shared" si="78"/>
        <v>41720</v>
      </c>
      <c r="B87" s="350">
        <f t="shared" si="79"/>
        <v>41720</v>
      </c>
      <c r="C87" s="351">
        <f t="shared" si="90"/>
        <v>12</v>
      </c>
      <c r="D87" s="352">
        <f t="shared" si="91"/>
        <v>41698</v>
      </c>
      <c r="E87" s="364" t="str">
        <f t="shared" si="66"/>
        <v/>
      </c>
      <c r="F87" s="6"/>
      <c r="G87" s="7" t="str">
        <f t="shared" si="92"/>
        <v/>
      </c>
      <c r="H87" s="8"/>
      <c r="I87" s="8">
        <f t="shared" si="88"/>
        <v>0</v>
      </c>
      <c r="J87" s="129">
        <f t="shared" si="86"/>
        <v>0</v>
      </c>
      <c r="K87" s="8"/>
      <c r="L87" s="8">
        <f t="shared" si="67"/>
        <v>0</v>
      </c>
      <c r="M87" s="129">
        <f t="shared" si="68"/>
        <v>0</v>
      </c>
      <c r="N87" s="129"/>
      <c r="O87" s="129">
        <f t="shared" si="61"/>
        <v>0</v>
      </c>
      <c r="P87" s="129"/>
      <c r="Q87" s="129">
        <f t="shared" si="69"/>
        <v>0</v>
      </c>
      <c r="R87" s="129">
        <f t="shared" si="70"/>
        <v>0</v>
      </c>
      <c r="S87" s="693">
        <f t="shared" si="71"/>
        <v>6</v>
      </c>
      <c r="T87" s="129">
        <f t="shared" si="89"/>
        <v>0</v>
      </c>
      <c r="U87" s="165">
        <f t="shared" si="72"/>
        <v>0</v>
      </c>
      <c r="V87" s="75"/>
      <c r="W87" s="131">
        <f t="shared" si="62"/>
        <v>4.1666666666666664E-2</v>
      </c>
      <c r="X87" s="126">
        <f t="shared" si="73"/>
        <v>0</v>
      </c>
      <c r="Y87" s="127">
        <f t="shared" si="93"/>
        <v>0.33333333333333331</v>
      </c>
      <c r="Z87" s="128">
        <f t="shared" si="94"/>
        <v>0</v>
      </c>
      <c r="AA87" s="76" t="str">
        <f t="shared" si="95"/>
        <v/>
      </c>
      <c r="AB87" s="216">
        <f t="shared" si="63"/>
        <v>0</v>
      </c>
      <c r="AC87" s="163" t="str">
        <f t="shared" si="96"/>
        <v/>
      </c>
      <c r="AD87" s="257">
        <f t="shared" si="80"/>
        <v>0</v>
      </c>
      <c r="AE87" s="138"/>
      <c r="AF87" s="138" t="str">
        <f t="shared" si="81"/>
        <v/>
      </c>
      <c r="AG87" s="77">
        <f t="shared" ref="AG87:AG150" si="97">IF(ISNUMBER(U87 ), IF( U87 &gt;= X87, X87, U87 ),"")</f>
        <v>0</v>
      </c>
      <c r="AH87" s="77">
        <f t="shared" ref="AH87:AH150" si="98">IF( ISNUMBER( U87 ), IF( U87 &gt;= X87, U87 - X87, "" ), "" )</f>
        <v>0</v>
      </c>
      <c r="AI87" s="77" t="str">
        <f t="shared" si="82"/>
        <v/>
      </c>
      <c r="AJ87" s="78">
        <f t="shared" si="64"/>
        <v>5</v>
      </c>
      <c r="AK87" s="139">
        <f>SUM($AC$6:AC87)</f>
        <v>0</v>
      </c>
      <c r="AL87" s="139">
        <f t="shared" ca="1" si="74"/>
        <v>0</v>
      </c>
      <c r="AM87" s="143">
        <f t="shared" si="83"/>
        <v>0</v>
      </c>
      <c r="AN87" s="143">
        <f t="shared" si="84"/>
        <v>0</v>
      </c>
      <c r="AO87" s="143">
        <f t="shared" si="85"/>
        <v>0</v>
      </c>
      <c r="AP87" s="142">
        <f t="shared" si="75"/>
        <v>30</v>
      </c>
      <c r="AQ87" s="142">
        <f t="shared" ca="1" si="76"/>
        <v>30</v>
      </c>
      <c r="AR87" s="154">
        <f t="shared" si="87"/>
        <v>0</v>
      </c>
      <c r="AS87" s="142">
        <f t="shared" si="77"/>
        <v>0</v>
      </c>
      <c r="AT87" t="b">
        <f>OR((F87&gt;0),(NOT(ISBLANK(H87))),SUM(H87:H$373),SUM(G87:G$373))</f>
        <v>0</v>
      </c>
      <c r="AU87" t="b">
        <f t="shared" ca="1" si="65"/>
        <v>0</v>
      </c>
    </row>
    <row r="88" spans="1:47">
      <c r="A88" s="349">
        <f t="shared" si="78"/>
        <v>41721</v>
      </c>
      <c r="B88" s="350">
        <f t="shared" si="79"/>
        <v>41721</v>
      </c>
      <c r="C88" s="351">
        <f t="shared" si="90"/>
        <v>12</v>
      </c>
      <c r="D88" s="352">
        <f t="shared" si="91"/>
        <v>41698</v>
      </c>
      <c r="E88" s="364" t="str">
        <f t="shared" si="66"/>
        <v/>
      </c>
      <c r="F88" s="6"/>
      <c r="G88" s="7" t="str">
        <f t="shared" si="92"/>
        <v/>
      </c>
      <c r="H88" s="8"/>
      <c r="I88" s="8">
        <f t="shared" si="88"/>
        <v>0</v>
      </c>
      <c r="J88" s="129">
        <f t="shared" si="86"/>
        <v>0</v>
      </c>
      <c r="K88" s="8"/>
      <c r="L88" s="8">
        <f t="shared" si="67"/>
        <v>0</v>
      </c>
      <c r="M88" s="129">
        <f t="shared" si="68"/>
        <v>0</v>
      </c>
      <c r="N88" s="129"/>
      <c r="O88" s="129">
        <f t="shared" si="61"/>
        <v>0</v>
      </c>
      <c r="P88" s="129"/>
      <c r="Q88" s="129">
        <f t="shared" si="69"/>
        <v>0</v>
      </c>
      <c r="R88" s="129">
        <f t="shared" si="70"/>
        <v>0</v>
      </c>
      <c r="S88" s="693">
        <f t="shared" si="71"/>
        <v>6</v>
      </c>
      <c r="T88" s="129">
        <f t="shared" si="89"/>
        <v>0</v>
      </c>
      <c r="U88" s="165">
        <f t="shared" si="72"/>
        <v>0</v>
      </c>
      <c r="V88" s="75"/>
      <c r="W88" s="131">
        <f t="shared" si="62"/>
        <v>4.1666666666666664E-2</v>
      </c>
      <c r="X88" s="126">
        <f t="shared" si="73"/>
        <v>0</v>
      </c>
      <c r="Y88" s="127">
        <f t="shared" si="93"/>
        <v>0</v>
      </c>
      <c r="Z88" s="128">
        <f t="shared" si="94"/>
        <v>0</v>
      </c>
      <c r="AA88" s="76" t="str">
        <f t="shared" si="95"/>
        <v/>
      </c>
      <c r="AB88" s="216">
        <f t="shared" si="63"/>
        <v>0</v>
      </c>
      <c r="AC88" s="163" t="str">
        <f t="shared" si="96"/>
        <v/>
      </c>
      <c r="AD88" s="257">
        <f t="shared" si="80"/>
        <v>0</v>
      </c>
      <c r="AE88" s="138"/>
      <c r="AF88" s="138" t="str">
        <f t="shared" si="81"/>
        <v/>
      </c>
      <c r="AG88" s="77">
        <f t="shared" si="97"/>
        <v>0</v>
      </c>
      <c r="AH88" s="77">
        <f t="shared" si="98"/>
        <v>0</v>
      </c>
      <c r="AI88" s="77" t="str">
        <f t="shared" si="82"/>
        <v/>
      </c>
      <c r="AJ88" s="78">
        <f t="shared" si="64"/>
        <v>6</v>
      </c>
      <c r="AK88" s="139">
        <f>SUM($AC$6:AC88)</f>
        <v>0</v>
      </c>
      <c r="AL88" s="139">
        <f t="shared" ca="1" si="74"/>
        <v>0</v>
      </c>
      <c r="AM88" s="143">
        <f t="shared" si="83"/>
        <v>0</v>
      </c>
      <c r="AN88" s="143">
        <f t="shared" si="84"/>
        <v>0</v>
      </c>
      <c r="AO88" s="143">
        <f t="shared" si="85"/>
        <v>0</v>
      </c>
      <c r="AP88" s="142">
        <f t="shared" si="75"/>
        <v>30</v>
      </c>
      <c r="AQ88" s="142">
        <f t="shared" ca="1" si="76"/>
        <v>30</v>
      </c>
      <c r="AR88" s="154">
        <f t="shared" si="87"/>
        <v>0</v>
      </c>
      <c r="AS88" s="142">
        <f t="shared" si="77"/>
        <v>7</v>
      </c>
      <c r="AT88" t="b">
        <f>OR((F88&gt;0),(NOT(ISBLANK(H88))),SUM(H88:H$373),SUM(G88:G$373))</f>
        <v>0</v>
      </c>
      <c r="AU88" t="b">
        <f t="shared" ca="1" si="65"/>
        <v>1</v>
      </c>
    </row>
    <row r="89" spans="1:47">
      <c r="A89" s="349">
        <f t="shared" si="78"/>
        <v>41722</v>
      </c>
      <c r="B89" s="350">
        <f t="shared" si="79"/>
        <v>41722</v>
      </c>
      <c r="C89" s="351">
        <f t="shared" si="90"/>
        <v>12</v>
      </c>
      <c r="D89" s="352">
        <f t="shared" si="91"/>
        <v>41698</v>
      </c>
      <c r="E89" s="364" t="str">
        <f t="shared" si="66"/>
        <v/>
      </c>
      <c r="F89" s="6"/>
      <c r="G89" s="7" t="str">
        <f t="shared" si="92"/>
        <v/>
      </c>
      <c r="H89" s="8"/>
      <c r="I89" s="8">
        <f t="shared" si="88"/>
        <v>0</v>
      </c>
      <c r="J89" s="129">
        <f t="shared" si="86"/>
        <v>0</v>
      </c>
      <c r="K89" s="8"/>
      <c r="L89" s="8">
        <f t="shared" si="67"/>
        <v>0</v>
      </c>
      <c r="M89" s="129">
        <f t="shared" si="68"/>
        <v>0</v>
      </c>
      <c r="N89" s="129"/>
      <c r="O89" s="129">
        <f t="shared" si="61"/>
        <v>0</v>
      </c>
      <c r="P89" s="129"/>
      <c r="Q89" s="129">
        <f t="shared" si="69"/>
        <v>0</v>
      </c>
      <c r="R89" s="129">
        <f t="shared" si="70"/>
        <v>0</v>
      </c>
      <c r="S89" s="693">
        <f t="shared" si="71"/>
        <v>6</v>
      </c>
      <c r="T89" s="129">
        <f t="shared" si="89"/>
        <v>0</v>
      </c>
      <c r="U89" s="165">
        <f t="shared" si="72"/>
        <v>0</v>
      </c>
      <c r="V89" s="75"/>
      <c r="W89" s="131">
        <f t="shared" si="62"/>
        <v>4.1666666666666664E-2</v>
      </c>
      <c r="X89" s="126">
        <f t="shared" si="73"/>
        <v>0</v>
      </c>
      <c r="Y89" s="127">
        <f t="shared" si="93"/>
        <v>0</v>
      </c>
      <c r="Z89" s="128">
        <f t="shared" si="94"/>
        <v>0</v>
      </c>
      <c r="AA89" s="76" t="str">
        <f t="shared" si="95"/>
        <v/>
      </c>
      <c r="AB89" s="216">
        <f t="shared" si="63"/>
        <v>0</v>
      </c>
      <c r="AC89" s="163" t="str">
        <f t="shared" si="96"/>
        <v/>
      </c>
      <c r="AD89" s="257">
        <f t="shared" si="80"/>
        <v>0</v>
      </c>
      <c r="AE89" s="138"/>
      <c r="AF89" s="138" t="str">
        <f t="shared" si="81"/>
        <v/>
      </c>
      <c r="AG89" s="77">
        <f t="shared" si="97"/>
        <v>0</v>
      </c>
      <c r="AH89" s="77">
        <f t="shared" si="98"/>
        <v>0</v>
      </c>
      <c r="AI89" s="77" t="str">
        <f t="shared" si="82"/>
        <v/>
      </c>
      <c r="AJ89" s="78">
        <f t="shared" si="64"/>
        <v>7</v>
      </c>
      <c r="AK89" s="139">
        <f>SUM($AC$6:AC89)</f>
        <v>0</v>
      </c>
      <c r="AL89" s="139">
        <f t="shared" ca="1" si="74"/>
        <v>0</v>
      </c>
      <c r="AM89" s="143">
        <f t="shared" si="83"/>
        <v>0</v>
      </c>
      <c r="AN89" s="143">
        <f t="shared" si="84"/>
        <v>0</v>
      </c>
      <c r="AO89" s="143">
        <f t="shared" si="85"/>
        <v>0</v>
      </c>
      <c r="AP89" s="142">
        <f t="shared" si="75"/>
        <v>30</v>
      </c>
      <c r="AQ89" s="142">
        <f t="shared" ca="1" si="76"/>
        <v>30</v>
      </c>
      <c r="AR89" s="154">
        <f t="shared" si="87"/>
        <v>0</v>
      </c>
      <c r="AS89" s="142">
        <f t="shared" si="77"/>
        <v>7</v>
      </c>
      <c r="AT89" t="b">
        <f>OR((F89&gt;0),(NOT(ISBLANK(H89))),SUM(H89:H$373),SUM(G89:G$373))</f>
        <v>0</v>
      </c>
      <c r="AU89" t="b">
        <f t="shared" ca="1" si="65"/>
        <v>1</v>
      </c>
    </row>
    <row r="90" spans="1:47">
      <c r="A90" s="349">
        <f t="shared" si="78"/>
        <v>41723</v>
      </c>
      <c r="B90" s="350">
        <f t="shared" si="79"/>
        <v>41723</v>
      </c>
      <c r="C90" s="351">
        <f t="shared" si="90"/>
        <v>13</v>
      </c>
      <c r="D90" s="352">
        <f t="shared" si="91"/>
        <v>41698</v>
      </c>
      <c r="E90" s="364" t="str">
        <f t="shared" si="66"/>
        <v/>
      </c>
      <c r="F90" s="6"/>
      <c r="G90" s="7" t="str">
        <f t="shared" si="92"/>
        <v/>
      </c>
      <c r="H90" s="8"/>
      <c r="I90" s="8">
        <f t="shared" si="88"/>
        <v>0</v>
      </c>
      <c r="J90" s="129">
        <f t="shared" si="86"/>
        <v>0</v>
      </c>
      <c r="K90" s="8"/>
      <c r="L90" s="8">
        <f t="shared" si="67"/>
        <v>0</v>
      </c>
      <c r="M90" s="129">
        <f t="shared" si="68"/>
        <v>0</v>
      </c>
      <c r="N90" s="129"/>
      <c r="O90" s="129">
        <f t="shared" si="61"/>
        <v>0</v>
      </c>
      <c r="P90" s="129"/>
      <c r="Q90" s="129">
        <f t="shared" si="69"/>
        <v>0</v>
      </c>
      <c r="R90" s="129">
        <f t="shared" si="70"/>
        <v>0</v>
      </c>
      <c r="S90" s="693">
        <f t="shared" si="71"/>
        <v>6</v>
      </c>
      <c r="T90" s="129">
        <f t="shared" si="89"/>
        <v>0</v>
      </c>
      <c r="U90" s="165">
        <f t="shared" si="72"/>
        <v>0</v>
      </c>
      <c r="V90" s="75"/>
      <c r="W90" s="131">
        <f t="shared" si="62"/>
        <v>4.1666666666666664E-2</v>
      </c>
      <c r="X90" s="126">
        <f t="shared" si="73"/>
        <v>0</v>
      </c>
      <c r="Y90" s="127">
        <f t="shared" si="93"/>
        <v>0.33333333333333331</v>
      </c>
      <c r="Z90" s="128">
        <f t="shared" si="94"/>
        <v>0</v>
      </c>
      <c r="AA90" s="76" t="str">
        <f t="shared" si="95"/>
        <v/>
      </c>
      <c r="AB90" s="216">
        <f t="shared" si="63"/>
        <v>0</v>
      </c>
      <c r="AC90" s="163" t="str">
        <f t="shared" si="96"/>
        <v/>
      </c>
      <c r="AD90" s="257">
        <f t="shared" si="80"/>
        <v>0</v>
      </c>
      <c r="AE90" s="138"/>
      <c r="AF90" s="138" t="str">
        <f t="shared" si="81"/>
        <v/>
      </c>
      <c r="AG90" s="77">
        <f t="shared" si="97"/>
        <v>0</v>
      </c>
      <c r="AH90" s="77">
        <f t="shared" si="98"/>
        <v>0</v>
      </c>
      <c r="AI90" s="77" t="str">
        <f t="shared" si="82"/>
        <v/>
      </c>
      <c r="AJ90" s="78">
        <f t="shared" si="64"/>
        <v>1</v>
      </c>
      <c r="AK90" s="139">
        <f>SUM($AC$6:AC90)</f>
        <v>0</v>
      </c>
      <c r="AL90" s="139">
        <f t="shared" ca="1" si="74"/>
        <v>0</v>
      </c>
      <c r="AM90" s="143">
        <f t="shared" si="83"/>
        <v>0</v>
      </c>
      <c r="AN90" s="143">
        <f t="shared" si="84"/>
        <v>0</v>
      </c>
      <c r="AO90" s="143">
        <f t="shared" si="85"/>
        <v>0</v>
      </c>
      <c r="AP90" s="142">
        <f t="shared" si="75"/>
        <v>30</v>
      </c>
      <c r="AQ90" s="142">
        <f t="shared" ca="1" si="76"/>
        <v>30</v>
      </c>
      <c r="AR90" s="154">
        <f t="shared" si="87"/>
        <v>0</v>
      </c>
      <c r="AS90" s="142">
        <f t="shared" si="77"/>
        <v>0</v>
      </c>
      <c r="AT90" t="b">
        <f>OR((F90&gt;0),(NOT(ISBLANK(H90))),SUM(H90:H$373),SUM(G90:G$373))</f>
        <v>0</v>
      </c>
      <c r="AU90" t="b">
        <f t="shared" ca="1" si="65"/>
        <v>0</v>
      </c>
    </row>
    <row r="91" spans="1:47">
      <c r="A91" s="349">
        <f t="shared" si="78"/>
        <v>41724</v>
      </c>
      <c r="B91" s="350">
        <f t="shared" si="79"/>
        <v>41724</v>
      </c>
      <c r="C91" s="351">
        <f t="shared" si="90"/>
        <v>13</v>
      </c>
      <c r="D91" s="352">
        <f t="shared" si="91"/>
        <v>41698</v>
      </c>
      <c r="E91" s="364" t="str">
        <f t="shared" si="66"/>
        <v/>
      </c>
      <c r="F91" s="6"/>
      <c r="G91" s="7" t="str">
        <f t="shared" si="92"/>
        <v/>
      </c>
      <c r="H91" s="8"/>
      <c r="I91" s="8">
        <f t="shared" si="88"/>
        <v>0</v>
      </c>
      <c r="J91" s="129">
        <f t="shared" si="86"/>
        <v>0</v>
      </c>
      <c r="K91" s="8"/>
      <c r="L91" s="8">
        <f t="shared" si="67"/>
        <v>0</v>
      </c>
      <c r="M91" s="129">
        <f t="shared" si="68"/>
        <v>0</v>
      </c>
      <c r="N91" s="129"/>
      <c r="O91" s="129">
        <f t="shared" si="61"/>
        <v>0</v>
      </c>
      <c r="P91" s="129"/>
      <c r="Q91" s="129">
        <f t="shared" si="69"/>
        <v>0</v>
      </c>
      <c r="R91" s="129">
        <f t="shared" si="70"/>
        <v>0</v>
      </c>
      <c r="S91" s="693">
        <f t="shared" si="71"/>
        <v>6</v>
      </c>
      <c r="T91" s="129">
        <f t="shared" si="89"/>
        <v>0</v>
      </c>
      <c r="U91" s="165">
        <f t="shared" si="72"/>
        <v>0</v>
      </c>
      <c r="V91" s="75"/>
      <c r="W91" s="131">
        <f t="shared" si="62"/>
        <v>4.1666666666666664E-2</v>
      </c>
      <c r="X91" s="126">
        <f t="shared" si="73"/>
        <v>0</v>
      </c>
      <c r="Y91" s="127">
        <f t="shared" si="93"/>
        <v>0.33333333333333331</v>
      </c>
      <c r="Z91" s="128">
        <f t="shared" si="94"/>
        <v>0</v>
      </c>
      <c r="AA91" s="76" t="str">
        <f t="shared" si="95"/>
        <v/>
      </c>
      <c r="AB91" s="216">
        <f t="shared" si="63"/>
        <v>0</v>
      </c>
      <c r="AC91" s="163" t="str">
        <f t="shared" si="96"/>
        <v/>
      </c>
      <c r="AD91" s="257">
        <f t="shared" si="80"/>
        <v>0</v>
      </c>
      <c r="AE91" s="138"/>
      <c r="AF91" s="138" t="str">
        <f t="shared" si="81"/>
        <v/>
      </c>
      <c r="AG91" s="77">
        <f t="shared" si="97"/>
        <v>0</v>
      </c>
      <c r="AH91" s="77">
        <f t="shared" si="98"/>
        <v>0</v>
      </c>
      <c r="AI91" s="77" t="str">
        <f t="shared" si="82"/>
        <v/>
      </c>
      <c r="AJ91" s="78">
        <f t="shared" si="64"/>
        <v>2</v>
      </c>
      <c r="AK91" s="139">
        <f>SUM($AC$6:AC91)</f>
        <v>0</v>
      </c>
      <c r="AL91" s="139">
        <f t="shared" ca="1" si="74"/>
        <v>0</v>
      </c>
      <c r="AM91" s="143">
        <f t="shared" si="83"/>
        <v>0</v>
      </c>
      <c r="AN91" s="143">
        <f t="shared" si="84"/>
        <v>0</v>
      </c>
      <c r="AO91" s="143">
        <f t="shared" si="85"/>
        <v>0</v>
      </c>
      <c r="AP91" s="142">
        <f t="shared" si="75"/>
        <v>30</v>
      </c>
      <c r="AQ91" s="142">
        <f t="shared" ca="1" si="76"/>
        <v>30</v>
      </c>
      <c r="AR91" s="154">
        <f t="shared" si="87"/>
        <v>0</v>
      </c>
      <c r="AS91" s="142">
        <f t="shared" si="77"/>
        <v>0</v>
      </c>
      <c r="AT91" t="b">
        <f>OR((F91&gt;0),(NOT(ISBLANK(H91))),SUM(H91:H$373),SUM(G91:G$373))</f>
        <v>0</v>
      </c>
      <c r="AU91" t="b">
        <f t="shared" ca="1" si="65"/>
        <v>0</v>
      </c>
    </row>
    <row r="92" spans="1:47">
      <c r="A92" s="349">
        <f t="shared" si="78"/>
        <v>41725</v>
      </c>
      <c r="B92" s="350">
        <f t="shared" si="79"/>
        <v>41725</v>
      </c>
      <c r="C92" s="351">
        <f t="shared" si="90"/>
        <v>13</v>
      </c>
      <c r="D92" s="352">
        <f t="shared" si="91"/>
        <v>41698</v>
      </c>
      <c r="E92" s="364" t="str">
        <f t="shared" si="66"/>
        <v/>
      </c>
      <c r="F92" s="6"/>
      <c r="G92" s="7" t="str">
        <f t="shared" si="92"/>
        <v/>
      </c>
      <c r="H92" s="8"/>
      <c r="I92" s="8">
        <f t="shared" si="88"/>
        <v>0</v>
      </c>
      <c r="J92" s="129">
        <f t="shared" si="86"/>
        <v>0</v>
      </c>
      <c r="K92" s="8"/>
      <c r="L92" s="8">
        <f t="shared" si="67"/>
        <v>0</v>
      </c>
      <c r="M92" s="129">
        <f t="shared" si="68"/>
        <v>0</v>
      </c>
      <c r="N92" s="129"/>
      <c r="O92" s="129">
        <f t="shared" si="61"/>
        <v>0</v>
      </c>
      <c r="P92" s="129"/>
      <c r="Q92" s="129">
        <f t="shared" si="69"/>
        <v>0</v>
      </c>
      <c r="R92" s="129">
        <f t="shared" si="70"/>
        <v>0</v>
      </c>
      <c r="S92" s="693">
        <f t="shared" si="71"/>
        <v>6</v>
      </c>
      <c r="T92" s="129">
        <f t="shared" si="89"/>
        <v>0</v>
      </c>
      <c r="U92" s="165">
        <f t="shared" si="72"/>
        <v>0</v>
      </c>
      <c r="V92" s="75"/>
      <c r="W92" s="131">
        <f t="shared" si="62"/>
        <v>4.1666666666666664E-2</v>
      </c>
      <c r="X92" s="126">
        <f t="shared" si="73"/>
        <v>0</v>
      </c>
      <c r="Y92" s="127">
        <f t="shared" si="93"/>
        <v>0.33333333333333331</v>
      </c>
      <c r="Z92" s="128">
        <f t="shared" si="94"/>
        <v>0</v>
      </c>
      <c r="AA92" s="76" t="str">
        <f t="shared" si="95"/>
        <v/>
      </c>
      <c r="AB92" s="216">
        <f t="shared" si="63"/>
        <v>0</v>
      </c>
      <c r="AC92" s="163" t="str">
        <f t="shared" si="96"/>
        <v/>
      </c>
      <c r="AD92" s="257">
        <f t="shared" si="80"/>
        <v>0</v>
      </c>
      <c r="AE92" s="138"/>
      <c r="AF92" s="138" t="str">
        <f t="shared" si="81"/>
        <v/>
      </c>
      <c r="AG92" s="77">
        <f t="shared" si="97"/>
        <v>0</v>
      </c>
      <c r="AH92" s="77">
        <f t="shared" si="98"/>
        <v>0</v>
      </c>
      <c r="AI92" s="77" t="str">
        <f t="shared" si="82"/>
        <v/>
      </c>
      <c r="AJ92" s="78">
        <f t="shared" si="64"/>
        <v>3</v>
      </c>
      <c r="AK92" s="139">
        <f>SUM($AC$6:AC92)</f>
        <v>0</v>
      </c>
      <c r="AL92" s="139">
        <f t="shared" ca="1" si="74"/>
        <v>0</v>
      </c>
      <c r="AM92" s="143">
        <f t="shared" si="83"/>
        <v>0</v>
      </c>
      <c r="AN92" s="143">
        <f t="shared" si="84"/>
        <v>0</v>
      </c>
      <c r="AO92" s="143">
        <f t="shared" si="85"/>
        <v>0</v>
      </c>
      <c r="AP92" s="142">
        <f t="shared" si="75"/>
        <v>30</v>
      </c>
      <c r="AQ92" s="142">
        <f t="shared" ca="1" si="76"/>
        <v>30</v>
      </c>
      <c r="AR92" s="154">
        <f t="shared" si="87"/>
        <v>0</v>
      </c>
      <c r="AS92" s="142">
        <f t="shared" si="77"/>
        <v>0</v>
      </c>
      <c r="AT92" t="b">
        <f>OR((F92&gt;0),(NOT(ISBLANK(H92))),SUM(H92:H$373),SUM(G92:G$373))</f>
        <v>0</v>
      </c>
      <c r="AU92" t="b">
        <f t="shared" ca="1" si="65"/>
        <v>0</v>
      </c>
    </row>
    <row r="93" spans="1:47">
      <c r="A93" s="349">
        <f t="shared" si="78"/>
        <v>41726</v>
      </c>
      <c r="B93" s="350">
        <f t="shared" si="79"/>
        <v>41726</v>
      </c>
      <c r="C93" s="351">
        <f t="shared" si="90"/>
        <v>13</v>
      </c>
      <c r="D93" s="352">
        <f t="shared" si="91"/>
        <v>41698</v>
      </c>
      <c r="E93" s="364" t="str">
        <f t="shared" si="66"/>
        <v/>
      </c>
      <c r="F93" s="6"/>
      <c r="G93" s="7" t="str">
        <f t="shared" si="92"/>
        <v/>
      </c>
      <c r="H93" s="8"/>
      <c r="I93" s="8">
        <f t="shared" si="88"/>
        <v>0</v>
      </c>
      <c r="J93" s="129">
        <f t="shared" si="86"/>
        <v>0</v>
      </c>
      <c r="K93" s="8"/>
      <c r="L93" s="8">
        <f t="shared" si="67"/>
        <v>0</v>
      </c>
      <c r="M93" s="129">
        <f t="shared" si="68"/>
        <v>0</v>
      </c>
      <c r="N93" s="129"/>
      <c r="O93" s="129">
        <f t="shared" si="61"/>
        <v>0</v>
      </c>
      <c r="P93" s="129"/>
      <c r="Q93" s="129">
        <f t="shared" si="69"/>
        <v>0</v>
      </c>
      <c r="R93" s="129">
        <f t="shared" si="70"/>
        <v>0</v>
      </c>
      <c r="S93" s="693">
        <f t="shared" si="71"/>
        <v>6</v>
      </c>
      <c r="T93" s="129">
        <f t="shared" si="89"/>
        <v>0</v>
      </c>
      <c r="U93" s="165">
        <f t="shared" si="72"/>
        <v>0</v>
      </c>
      <c r="V93" s="75"/>
      <c r="W93" s="131">
        <f t="shared" si="62"/>
        <v>4.1666666666666664E-2</v>
      </c>
      <c r="X93" s="126">
        <f t="shared" si="73"/>
        <v>0</v>
      </c>
      <c r="Y93" s="127">
        <f t="shared" si="93"/>
        <v>0.33333333333333331</v>
      </c>
      <c r="Z93" s="128">
        <f t="shared" si="94"/>
        <v>0</v>
      </c>
      <c r="AA93" s="76" t="str">
        <f t="shared" si="95"/>
        <v/>
      </c>
      <c r="AB93" s="216">
        <f t="shared" si="63"/>
        <v>0</v>
      </c>
      <c r="AC93" s="163" t="str">
        <f t="shared" si="96"/>
        <v/>
      </c>
      <c r="AD93" s="257">
        <f t="shared" si="80"/>
        <v>0</v>
      </c>
      <c r="AE93" s="138"/>
      <c r="AF93" s="138" t="str">
        <f t="shared" si="81"/>
        <v/>
      </c>
      <c r="AG93" s="77">
        <f t="shared" si="97"/>
        <v>0</v>
      </c>
      <c r="AH93" s="77">
        <f t="shared" si="98"/>
        <v>0</v>
      </c>
      <c r="AI93" s="77" t="str">
        <f t="shared" si="82"/>
        <v/>
      </c>
      <c r="AJ93" s="78">
        <f t="shared" si="64"/>
        <v>4</v>
      </c>
      <c r="AK93" s="139">
        <f>SUM($AC$6:AC93)</f>
        <v>0</v>
      </c>
      <c r="AL93" s="139">
        <f t="shared" ca="1" si="74"/>
        <v>0</v>
      </c>
      <c r="AM93" s="143">
        <f t="shared" si="83"/>
        <v>0</v>
      </c>
      <c r="AN93" s="143">
        <f t="shared" si="84"/>
        <v>0</v>
      </c>
      <c r="AO93" s="143">
        <f t="shared" si="85"/>
        <v>0</v>
      </c>
      <c r="AP93" s="142">
        <f t="shared" si="75"/>
        <v>30</v>
      </c>
      <c r="AQ93" s="142">
        <f t="shared" ca="1" si="76"/>
        <v>30</v>
      </c>
      <c r="AR93" s="154">
        <f t="shared" si="87"/>
        <v>0</v>
      </c>
      <c r="AS93" s="142">
        <f t="shared" si="77"/>
        <v>0</v>
      </c>
      <c r="AT93" t="b">
        <f>OR((F93&gt;0),(NOT(ISBLANK(H93))),SUM(H93:H$373),SUM(G93:G$373))</f>
        <v>0</v>
      </c>
      <c r="AU93" t="b">
        <f t="shared" ca="1" si="65"/>
        <v>0</v>
      </c>
    </row>
    <row r="94" spans="1:47">
      <c r="A94" s="349">
        <f t="shared" si="78"/>
        <v>41727</v>
      </c>
      <c r="B94" s="350">
        <f t="shared" si="79"/>
        <v>41727</v>
      </c>
      <c r="C94" s="351">
        <f t="shared" si="90"/>
        <v>13</v>
      </c>
      <c r="D94" s="352">
        <f t="shared" si="91"/>
        <v>41698</v>
      </c>
      <c r="E94" s="364" t="str">
        <f t="shared" si="66"/>
        <v>Karfreitag</v>
      </c>
      <c r="F94" s="6"/>
      <c r="G94" s="7" t="str">
        <f t="shared" si="92"/>
        <v/>
      </c>
      <c r="H94" s="8"/>
      <c r="I94" s="8">
        <f t="shared" si="88"/>
        <v>0</v>
      </c>
      <c r="J94" s="129">
        <f t="shared" si="86"/>
        <v>0</v>
      </c>
      <c r="K94" s="8"/>
      <c r="L94" s="8">
        <f t="shared" si="67"/>
        <v>0</v>
      </c>
      <c r="M94" s="129">
        <f t="shared" si="68"/>
        <v>0</v>
      </c>
      <c r="N94" s="129"/>
      <c r="O94" s="129">
        <f t="shared" si="61"/>
        <v>0</v>
      </c>
      <c r="P94" s="129"/>
      <c r="Q94" s="129">
        <f t="shared" si="69"/>
        <v>0</v>
      </c>
      <c r="R94" s="129">
        <f t="shared" si="70"/>
        <v>0</v>
      </c>
      <c r="S94" s="693">
        <f t="shared" si="71"/>
        <v>6</v>
      </c>
      <c r="T94" s="129">
        <f t="shared" si="89"/>
        <v>0</v>
      </c>
      <c r="U94" s="165">
        <f t="shared" si="72"/>
        <v>0</v>
      </c>
      <c r="V94" s="75"/>
      <c r="W94" s="131">
        <f t="shared" si="62"/>
        <v>4.1666666666666664E-2</v>
      </c>
      <c r="X94" s="126">
        <f t="shared" si="73"/>
        <v>0</v>
      </c>
      <c r="Y94" s="127" t="str">
        <f t="shared" si="93"/>
        <v/>
      </c>
      <c r="Z94" s="128">
        <f t="shared" si="94"/>
        <v>0</v>
      </c>
      <c r="AA94" s="76" t="str">
        <f t="shared" si="95"/>
        <v/>
      </c>
      <c r="AB94" s="216">
        <f t="shared" si="63"/>
        <v>0</v>
      </c>
      <c r="AC94" s="163" t="str">
        <f t="shared" si="96"/>
        <v/>
      </c>
      <c r="AD94" s="257">
        <f t="shared" si="80"/>
        <v>0</v>
      </c>
      <c r="AE94" s="138"/>
      <c r="AF94" s="138" t="str">
        <f t="shared" si="81"/>
        <v/>
      </c>
      <c r="AG94" s="77">
        <f t="shared" si="97"/>
        <v>0</v>
      </c>
      <c r="AH94" s="77">
        <f t="shared" si="98"/>
        <v>0</v>
      </c>
      <c r="AI94" s="77" t="str">
        <f t="shared" si="82"/>
        <v/>
      </c>
      <c r="AJ94" s="78">
        <f t="shared" si="64"/>
        <v>8</v>
      </c>
      <c r="AK94" s="139">
        <f>SUM($AC$6:AC94)</f>
        <v>0</v>
      </c>
      <c r="AL94" s="139">
        <f t="shared" ca="1" si="74"/>
        <v>0</v>
      </c>
      <c r="AM94" s="143">
        <f t="shared" si="83"/>
        <v>0</v>
      </c>
      <c r="AN94" s="143">
        <f t="shared" si="84"/>
        <v>0</v>
      </c>
      <c r="AO94" s="143">
        <f t="shared" si="85"/>
        <v>0</v>
      </c>
      <c r="AP94" s="142">
        <f t="shared" si="75"/>
        <v>30</v>
      </c>
      <c r="AQ94" s="142">
        <f t="shared" ca="1" si="76"/>
        <v>30</v>
      </c>
      <c r="AR94" s="154">
        <f t="shared" si="87"/>
        <v>0</v>
      </c>
      <c r="AS94" s="142">
        <f t="shared" si="77"/>
        <v>8</v>
      </c>
      <c r="AT94" t="b">
        <f>OR((F94&gt;0),(NOT(ISBLANK(H94))),SUM(H94:H$373),SUM(G94:G$373))</f>
        <v>0</v>
      </c>
      <c r="AU94" t="b">
        <f t="shared" ca="1" si="65"/>
        <v>1</v>
      </c>
    </row>
    <row r="95" spans="1:47">
      <c r="A95" s="349">
        <f t="shared" si="78"/>
        <v>41728</v>
      </c>
      <c r="B95" s="350">
        <f t="shared" si="79"/>
        <v>41728</v>
      </c>
      <c r="C95" s="351">
        <f t="shared" si="90"/>
        <v>13</v>
      </c>
      <c r="D95" s="352">
        <f t="shared" si="91"/>
        <v>41698</v>
      </c>
      <c r="E95" s="364" t="str">
        <f t="shared" si="66"/>
        <v/>
      </c>
      <c r="F95" s="6"/>
      <c r="G95" s="7" t="str">
        <f t="shared" si="92"/>
        <v/>
      </c>
      <c r="H95" s="8"/>
      <c r="I95" s="8">
        <f t="shared" si="88"/>
        <v>0</v>
      </c>
      <c r="J95" s="129">
        <f t="shared" si="86"/>
        <v>0</v>
      </c>
      <c r="K95" s="8"/>
      <c r="L95" s="8">
        <f t="shared" si="67"/>
        <v>0</v>
      </c>
      <c r="M95" s="129">
        <f t="shared" si="68"/>
        <v>0</v>
      </c>
      <c r="N95" s="129"/>
      <c r="O95" s="129">
        <f t="shared" si="61"/>
        <v>0</v>
      </c>
      <c r="P95" s="129"/>
      <c r="Q95" s="129">
        <f t="shared" si="69"/>
        <v>0</v>
      </c>
      <c r="R95" s="129">
        <f t="shared" si="70"/>
        <v>0</v>
      </c>
      <c r="S95" s="693">
        <f t="shared" si="71"/>
        <v>6</v>
      </c>
      <c r="T95" s="129">
        <f t="shared" si="89"/>
        <v>0</v>
      </c>
      <c r="U95" s="165">
        <f t="shared" si="72"/>
        <v>0</v>
      </c>
      <c r="V95" s="75"/>
      <c r="W95" s="131">
        <f t="shared" si="62"/>
        <v>4.1666666666666664E-2</v>
      </c>
      <c r="X95" s="126">
        <f t="shared" si="73"/>
        <v>0</v>
      </c>
      <c r="Y95" s="127">
        <f t="shared" si="93"/>
        <v>0</v>
      </c>
      <c r="Z95" s="128">
        <f t="shared" si="94"/>
        <v>0</v>
      </c>
      <c r="AA95" s="76" t="str">
        <f t="shared" si="95"/>
        <v/>
      </c>
      <c r="AB95" s="216">
        <f t="shared" si="63"/>
        <v>0</v>
      </c>
      <c r="AC95" s="163" t="str">
        <f t="shared" si="96"/>
        <v/>
      </c>
      <c r="AD95" s="257">
        <f t="shared" si="80"/>
        <v>0</v>
      </c>
      <c r="AE95" s="138"/>
      <c r="AF95" s="138" t="str">
        <f t="shared" si="81"/>
        <v/>
      </c>
      <c r="AG95" s="77">
        <f t="shared" si="97"/>
        <v>0</v>
      </c>
      <c r="AH95" s="77">
        <f t="shared" si="98"/>
        <v>0</v>
      </c>
      <c r="AI95" s="77" t="str">
        <f t="shared" si="82"/>
        <v/>
      </c>
      <c r="AJ95" s="78">
        <f t="shared" si="64"/>
        <v>6</v>
      </c>
      <c r="AK95" s="139">
        <f>SUM($AC$6:AC95)</f>
        <v>0</v>
      </c>
      <c r="AL95" s="139">
        <f t="shared" ca="1" si="74"/>
        <v>0</v>
      </c>
      <c r="AM95" s="143">
        <f t="shared" si="83"/>
        <v>0</v>
      </c>
      <c r="AN95" s="143">
        <f t="shared" si="84"/>
        <v>0</v>
      </c>
      <c r="AO95" s="143">
        <f t="shared" si="85"/>
        <v>0</v>
      </c>
      <c r="AP95" s="142">
        <f t="shared" si="75"/>
        <v>30</v>
      </c>
      <c r="AQ95" s="142">
        <f t="shared" ca="1" si="76"/>
        <v>30</v>
      </c>
      <c r="AR95" s="154">
        <f t="shared" si="87"/>
        <v>0</v>
      </c>
      <c r="AS95" s="142">
        <f t="shared" si="77"/>
        <v>7</v>
      </c>
      <c r="AT95" t="b">
        <f>OR((F95&gt;0),(NOT(ISBLANK(H95))),SUM(H95:H$373),SUM(G95:G$373))</f>
        <v>0</v>
      </c>
      <c r="AU95" t="b">
        <f t="shared" ca="1" si="65"/>
        <v>1</v>
      </c>
    </row>
    <row r="96" spans="1:47">
      <c r="A96" s="349">
        <f t="shared" si="78"/>
        <v>41729</v>
      </c>
      <c r="B96" s="350">
        <f t="shared" si="79"/>
        <v>41729</v>
      </c>
      <c r="C96" s="351">
        <f t="shared" si="90"/>
        <v>13</v>
      </c>
      <c r="D96" s="352">
        <f t="shared" si="91"/>
        <v>41729</v>
      </c>
      <c r="E96" s="364" t="str">
        <f t="shared" si="66"/>
        <v>Ostersonntag</v>
      </c>
      <c r="F96" s="6"/>
      <c r="G96" s="7" t="str">
        <f t="shared" si="92"/>
        <v/>
      </c>
      <c r="H96" s="8"/>
      <c r="I96" s="8">
        <f t="shared" si="88"/>
        <v>0</v>
      </c>
      <c r="J96" s="129">
        <f t="shared" si="86"/>
        <v>0</v>
      </c>
      <c r="K96" s="8"/>
      <c r="L96" s="8">
        <f t="shared" si="67"/>
        <v>0</v>
      </c>
      <c r="M96" s="129">
        <f t="shared" si="68"/>
        <v>0</v>
      </c>
      <c r="N96" s="129"/>
      <c r="O96" s="129">
        <f t="shared" si="61"/>
        <v>0</v>
      </c>
      <c r="P96" s="129"/>
      <c r="Q96" s="129">
        <f t="shared" si="69"/>
        <v>0</v>
      </c>
      <c r="R96" s="129">
        <f t="shared" si="70"/>
        <v>0</v>
      </c>
      <c r="S96" s="693">
        <f t="shared" si="71"/>
        <v>6</v>
      </c>
      <c r="T96" s="129">
        <f t="shared" si="89"/>
        <v>0</v>
      </c>
      <c r="U96" s="165">
        <f t="shared" si="72"/>
        <v>0</v>
      </c>
      <c r="V96" s="75"/>
      <c r="W96" s="131">
        <f t="shared" si="62"/>
        <v>4.1666666666666664E-2</v>
      </c>
      <c r="X96" s="126">
        <f t="shared" si="73"/>
        <v>0</v>
      </c>
      <c r="Y96" s="127" t="str">
        <f t="shared" si="93"/>
        <v/>
      </c>
      <c r="Z96" s="128">
        <f t="shared" si="94"/>
        <v>0</v>
      </c>
      <c r="AA96" s="76" t="str">
        <f t="shared" si="95"/>
        <v/>
      </c>
      <c r="AB96" s="216">
        <f t="shared" si="63"/>
        <v>0</v>
      </c>
      <c r="AC96" s="163" t="str">
        <f t="shared" si="96"/>
        <v/>
      </c>
      <c r="AD96" s="257">
        <f t="shared" si="80"/>
        <v>0</v>
      </c>
      <c r="AE96" s="138"/>
      <c r="AF96" s="138" t="str">
        <f t="shared" si="81"/>
        <v/>
      </c>
      <c r="AG96" s="77">
        <f t="shared" si="97"/>
        <v>0</v>
      </c>
      <c r="AH96" s="77">
        <f t="shared" si="98"/>
        <v>0</v>
      </c>
      <c r="AI96" s="77" t="str">
        <f t="shared" si="82"/>
        <v/>
      </c>
      <c r="AJ96" s="78">
        <f t="shared" si="64"/>
        <v>8</v>
      </c>
      <c r="AK96" s="139">
        <f>SUM($AC$6:AC96)</f>
        <v>0</v>
      </c>
      <c r="AL96" s="139">
        <f t="shared" ca="1" si="74"/>
        <v>0</v>
      </c>
      <c r="AM96" s="143">
        <f t="shared" si="83"/>
        <v>0</v>
      </c>
      <c r="AN96" s="143">
        <f t="shared" si="84"/>
        <v>0</v>
      </c>
      <c r="AO96" s="143">
        <f t="shared" si="85"/>
        <v>0</v>
      </c>
      <c r="AP96" s="142">
        <f t="shared" si="75"/>
        <v>30</v>
      </c>
      <c r="AQ96" s="142">
        <f t="shared" ca="1" si="76"/>
        <v>30</v>
      </c>
      <c r="AR96" s="154">
        <f t="shared" si="87"/>
        <v>0</v>
      </c>
      <c r="AS96" s="142">
        <f t="shared" si="77"/>
        <v>8</v>
      </c>
      <c r="AT96" t="b">
        <f>OR((F96&gt;0),(NOT(ISBLANK(H96))),SUM(H96:H$373),SUM(G96:G$373))</f>
        <v>0</v>
      </c>
      <c r="AU96" t="b">
        <f t="shared" ca="1" si="65"/>
        <v>1</v>
      </c>
    </row>
    <row r="97" spans="1:47">
      <c r="A97" s="349">
        <f t="shared" si="78"/>
        <v>41730</v>
      </c>
      <c r="B97" s="350">
        <f t="shared" si="79"/>
        <v>41730</v>
      </c>
      <c r="C97" s="351">
        <f t="shared" si="90"/>
        <v>14</v>
      </c>
      <c r="D97" s="352">
        <f t="shared" si="91"/>
        <v>41729</v>
      </c>
      <c r="E97" s="364" t="str">
        <f t="shared" si="66"/>
        <v>Ostermontag</v>
      </c>
      <c r="F97" s="6"/>
      <c r="G97" s="7" t="str">
        <f t="shared" si="92"/>
        <v/>
      </c>
      <c r="H97" s="8"/>
      <c r="I97" s="8">
        <f t="shared" si="88"/>
        <v>0</v>
      </c>
      <c r="J97" s="129">
        <f t="shared" si="86"/>
        <v>0</v>
      </c>
      <c r="K97" s="8"/>
      <c r="L97" s="8">
        <f t="shared" si="67"/>
        <v>0</v>
      </c>
      <c r="M97" s="129">
        <f t="shared" si="68"/>
        <v>0</v>
      </c>
      <c r="N97" s="129"/>
      <c r="O97" s="129">
        <f t="shared" si="61"/>
        <v>0</v>
      </c>
      <c r="P97" s="129"/>
      <c r="Q97" s="129">
        <f t="shared" si="69"/>
        <v>0</v>
      </c>
      <c r="R97" s="129">
        <f t="shared" si="70"/>
        <v>0</v>
      </c>
      <c r="S97" s="693">
        <f t="shared" si="71"/>
        <v>6</v>
      </c>
      <c r="T97" s="129">
        <f t="shared" si="89"/>
        <v>0</v>
      </c>
      <c r="U97" s="165">
        <f t="shared" si="72"/>
        <v>0</v>
      </c>
      <c r="V97" s="75"/>
      <c r="W97" s="131">
        <f t="shared" si="62"/>
        <v>4.1666666666666664E-2</v>
      </c>
      <c r="X97" s="126">
        <f t="shared" si="73"/>
        <v>0</v>
      </c>
      <c r="Y97" s="127" t="str">
        <f t="shared" si="93"/>
        <v/>
      </c>
      <c r="Z97" s="128">
        <f t="shared" si="94"/>
        <v>0</v>
      </c>
      <c r="AA97" s="76" t="str">
        <f t="shared" si="95"/>
        <v/>
      </c>
      <c r="AB97" s="216">
        <f t="shared" si="63"/>
        <v>0</v>
      </c>
      <c r="AC97" s="163" t="str">
        <f t="shared" si="96"/>
        <v/>
      </c>
      <c r="AD97" s="257">
        <f t="shared" si="80"/>
        <v>0</v>
      </c>
      <c r="AE97" s="138"/>
      <c r="AF97" s="138" t="str">
        <f t="shared" si="81"/>
        <v/>
      </c>
      <c r="AG97" s="77">
        <f t="shared" si="97"/>
        <v>0</v>
      </c>
      <c r="AH97" s="77">
        <f t="shared" si="98"/>
        <v>0</v>
      </c>
      <c r="AI97" s="77" t="str">
        <f t="shared" si="82"/>
        <v/>
      </c>
      <c r="AJ97" s="78">
        <f t="shared" si="64"/>
        <v>8</v>
      </c>
      <c r="AK97" s="139">
        <f>SUM($AC$6:AC97)</f>
        <v>0</v>
      </c>
      <c r="AL97" s="139">
        <f t="shared" ca="1" si="74"/>
        <v>0</v>
      </c>
      <c r="AM97" s="143">
        <f t="shared" si="83"/>
        <v>0</v>
      </c>
      <c r="AN97" s="143">
        <f t="shared" si="84"/>
        <v>0</v>
      </c>
      <c r="AO97" s="143">
        <f t="shared" si="85"/>
        <v>0</v>
      </c>
      <c r="AP97" s="142">
        <f t="shared" si="75"/>
        <v>30</v>
      </c>
      <c r="AQ97" s="142">
        <f t="shared" ca="1" si="76"/>
        <v>30</v>
      </c>
      <c r="AR97" s="154">
        <f t="shared" si="87"/>
        <v>0</v>
      </c>
      <c r="AS97" s="142">
        <f t="shared" si="77"/>
        <v>8</v>
      </c>
      <c r="AT97" t="b">
        <f>OR((F97&gt;0),(NOT(ISBLANK(H97))),SUM(H97:H$373),SUM(G97:G$373))</f>
        <v>0</v>
      </c>
      <c r="AU97" t="b">
        <f t="shared" ca="1" si="65"/>
        <v>1</v>
      </c>
    </row>
    <row r="98" spans="1:47">
      <c r="A98" s="349">
        <f t="shared" si="78"/>
        <v>41731</v>
      </c>
      <c r="B98" s="350">
        <f t="shared" si="79"/>
        <v>41731</v>
      </c>
      <c r="C98" s="351">
        <f t="shared" si="90"/>
        <v>14</v>
      </c>
      <c r="D98" s="352">
        <f t="shared" si="91"/>
        <v>41729</v>
      </c>
      <c r="E98" s="364" t="str">
        <f t="shared" si="66"/>
        <v/>
      </c>
      <c r="F98" s="6"/>
      <c r="G98" s="7" t="str">
        <f t="shared" si="92"/>
        <v/>
      </c>
      <c r="H98" s="8"/>
      <c r="I98" s="8">
        <f t="shared" si="88"/>
        <v>0</v>
      </c>
      <c r="J98" s="129">
        <f t="shared" si="86"/>
        <v>0</v>
      </c>
      <c r="K98" s="8"/>
      <c r="L98" s="8">
        <f t="shared" si="67"/>
        <v>0</v>
      </c>
      <c r="M98" s="129">
        <f t="shared" si="68"/>
        <v>0</v>
      </c>
      <c r="N98" s="129"/>
      <c r="O98" s="129">
        <f t="shared" si="61"/>
        <v>0</v>
      </c>
      <c r="P98" s="129"/>
      <c r="Q98" s="129">
        <f t="shared" si="69"/>
        <v>0</v>
      </c>
      <c r="R98" s="129">
        <f t="shared" si="70"/>
        <v>0</v>
      </c>
      <c r="S98" s="693">
        <f t="shared" si="71"/>
        <v>6</v>
      </c>
      <c r="T98" s="129">
        <f t="shared" si="89"/>
        <v>0</v>
      </c>
      <c r="U98" s="165">
        <f t="shared" si="72"/>
        <v>0</v>
      </c>
      <c r="V98" s="75"/>
      <c r="W98" s="131">
        <f t="shared" si="62"/>
        <v>4.1666666666666664E-2</v>
      </c>
      <c r="X98" s="126">
        <f t="shared" si="73"/>
        <v>0</v>
      </c>
      <c r="Y98" s="127">
        <f t="shared" si="93"/>
        <v>0.33333333333333331</v>
      </c>
      <c r="Z98" s="128">
        <f t="shared" si="94"/>
        <v>0</v>
      </c>
      <c r="AA98" s="76" t="str">
        <f t="shared" si="95"/>
        <v/>
      </c>
      <c r="AB98" s="216">
        <f t="shared" si="63"/>
        <v>0</v>
      </c>
      <c r="AC98" s="163" t="str">
        <f t="shared" si="96"/>
        <v/>
      </c>
      <c r="AD98" s="257">
        <f t="shared" si="80"/>
        <v>0</v>
      </c>
      <c r="AE98" s="138"/>
      <c r="AF98" s="138" t="str">
        <f t="shared" si="81"/>
        <v/>
      </c>
      <c r="AG98" s="77">
        <f t="shared" si="97"/>
        <v>0</v>
      </c>
      <c r="AH98" s="77">
        <f t="shared" si="98"/>
        <v>0</v>
      </c>
      <c r="AI98" s="77" t="str">
        <f t="shared" si="82"/>
        <v/>
      </c>
      <c r="AJ98" s="78">
        <f t="shared" si="64"/>
        <v>2</v>
      </c>
      <c r="AK98" s="139">
        <f>SUM($AC$6:AC98)</f>
        <v>0</v>
      </c>
      <c r="AL98" s="139">
        <f t="shared" ca="1" si="74"/>
        <v>0</v>
      </c>
      <c r="AM98" s="143">
        <f t="shared" si="83"/>
        <v>0</v>
      </c>
      <c r="AN98" s="143">
        <f t="shared" si="84"/>
        <v>0</v>
      </c>
      <c r="AO98" s="143">
        <f t="shared" si="85"/>
        <v>0</v>
      </c>
      <c r="AP98" s="142">
        <f t="shared" si="75"/>
        <v>30</v>
      </c>
      <c r="AQ98" s="142">
        <f t="shared" ca="1" si="76"/>
        <v>30</v>
      </c>
      <c r="AR98" s="154">
        <f t="shared" si="87"/>
        <v>0</v>
      </c>
      <c r="AS98" s="142">
        <f t="shared" si="77"/>
        <v>0</v>
      </c>
      <c r="AT98" t="b">
        <f>OR((F98&gt;0),(NOT(ISBLANK(H98))),SUM(H98:H$373),SUM(G98:G$373))</f>
        <v>0</v>
      </c>
      <c r="AU98" t="b">
        <f t="shared" ca="1" si="65"/>
        <v>0</v>
      </c>
    </row>
    <row r="99" spans="1:47">
      <c r="A99" s="349">
        <f t="shared" si="78"/>
        <v>41732</v>
      </c>
      <c r="B99" s="350">
        <f t="shared" si="79"/>
        <v>41732</v>
      </c>
      <c r="C99" s="351">
        <f t="shared" si="90"/>
        <v>14</v>
      </c>
      <c r="D99" s="352">
        <f t="shared" si="91"/>
        <v>41729</v>
      </c>
      <c r="E99" s="364" t="str">
        <f t="shared" si="66"/>
        <v/>
      </c>
      <c r="F99" s="6"/>
      <c r="G99" s="7" t="str">
        <f t="shared" si="92"/>
        <v/>
      </c>
      <c r="H99" s="8"/>
      <c r="I99" s="8">
        <f t="shared" si="88"/>
        <v>0</v>
      </c>
      <c r="J99" s="129">
        <f t="shared" si="86"/>
        <v>0</v>
      </c>
      <c r="K99" s="8"/>
      <c r="L99" s="8">
        <f t="shared" si="67"/>
        <v>0</v>
      </c>
      <c r="M99" s="129">
        <f t="shared" si="68"/>
        <v>0</v>
      </c>
      <c r="N99" s="129"/>
      <c r="O99" s="129">
        <f t="shared" si="61"/>
        <v>0</v>
      </c>
      <c r="P99" s="129"/>
      <c r="Q99" s="129">
        <f t="shared" si="69"/>
        <v>0</v>
      </c>
      <c r="R99" s="129">
        <f t="shared" si="70"/>
        <v>0</v>
      </c>
      <c r="S99" s="693">
        <f t="shared" si="71"/>
        <v>6</v>
      </c>
      <c r="T99" s="129">
        <f t="shared" si="89"/>
        <v>0</v>
      </c>
      <c r="U99" s="165">
        <f t="shared" si="72"/>
        <v>0</v>
      </c>
      <c r="V99" s="75"/>
      <c r="W99" s="131">
        <f t="shared" si="62"/>
        <v>4.1666666666666664E-2</v>
      </c>
      <c r="X99" s="126">
        <f t="shared" si="73"/>
        <v>0</v>
      </c>
      <c r="Y99" s="127">
        <f t="shared" si="93"/>
        <v>0.33333333333333331</v>
      </c>
      <c r="Z99" s="128">
        <f t="shared" si="94"/>
        <v>0</v>
      </c>
      <c r="AA99" s="76" t="str">
        <f t="shared" si="95"/>
        <v/>
      </c>
      <c r="AB99" s="216">
        <f t="shared" si="63"/>
        <v>0</v>
      </c>
      <c r="AC99" s="163" t="str">
        <f t="shared" si="96"/>
        <v/>
      </c>
      <c r="AD99" s="257">
        <f t="shared" si="80"/>
        <v>0</v>
      </c>
      <c r="AE99" s="138"/>
      <c r="AF99" s="138" t="str">
        <f t="shared" si="81"/>
        <v/>
      </c>
      <c r="AG99" s="77">
        <f t="shared" si="97"/>
        <v>0</v>
      </c>
      <c r="AH99" s="77">
        <f t="shared" si="98"/>
        <v>0</v>
      </c>
      <c r="AI99" s="77" t="str">
        <f t="shared" si="82"/>
        <v/>
      </c>
      <c r="AJ99" s="78">
        <f t="shared" si="64"/>
        <v>3</v>
      </c>
      <c r="AK99" s="139">
        <f>SUM($AC$6:AC99)</f>
        <v>0</v>
      </c>
      <c r="AL99" s="139">
        <f t="shared" ca="1" si="74"/>
        <v>0</v>
      </c>
      <c r="AM99" s="143">
        <f t="shared" si="83"/>
        <v>0</v>
      </c>
      <c r="AN99" s="143">
        <f t="shared" si="84"/>
        <v>0</v>
      </c>
      <c r="AO99" s="143">
        <f t="shared" si="85"/>
        <v>0</v>
      </c>
      <c r="AP99" s="142">
        <f t="shared" si="75"/>
        <v>30</v>
      </c>
      <c r="AQ99" s="142">
        <f t="shared" ca="1" si="76"/>
        <v>30</v>
      </c>
      <c r="AR99" s="154">
        <f t="shared" si="87"/>
        <v>0</v>
      </c>
      <c r="AS99" s="142">
        <f t="shared" si="77"/>
        <v>0</v>
      </c>
      <c r="AT99" t="b">
        <f>OR((F99&gt;0),(NOT(ISBLANK(H99))),SUM(H99:H$373),SUM(G99:G$373))</f>
        <v>0</v>
      </c>
      <c r="AU99" t="b">
        <f t="shared" ca="1" si="65"/>
        <v>0</v>
      </c>
    </row>
    <row r="100" spans="1:47">
      <c r="A100" s="349">
        <f t="shared" si="78"/>
        <v>41733</v>
      </c>
      <c r="B100" s="350">
        <f t="shared" si="79"/>
        <v>41733</v>
      </c>
      <c r="C100" s="351">
        <f t="shared" si="90"/>
        <v>14</v>
      </c>
      <c r="D100" s="352">
        <f t="shared" si="91"/>
        <v>41729</v>
      </c>
      <c r="E100" s="364" t="str">
        <f t="shared" si="66"/>
        <v/>
      </c>
      <c r="F100" s="6"/>
      <c r="G100" s="7" t="str">
        <f t="shared" si="92"/>
        <v/>
      </c>
      <c r="H100" s="8"/>
      <c r="I100" s="8">
        <f t="shared" si="88"/>
        <v>0</v>
      </c>
      <c r="J100" s="129">
        <f t="shared" si="86"/>
        <v>0</v>
      </c>
      <c r="K100" s="8"/>
      <c r="L100" s="8">
        <f t="shared" si="67"/>
        <v>0</v>
      </c>
      <c r="M100" s="129">
        <f t="shared" si="68"/>
        <v>0</v>
      </c>
      <c r="N100" s="129"/>
      <c r="O100" s="129">
        <f t="shared" si="61"/>
        <v>0</v>
      </c>
      <c r="P100" s="129"/>
      <c r="Q100" s="129">
        <f t="shared" si="69"/>
        <v>0</v>
      </c>
      <c r="R100" s="129">
        <f t="shared" si="70"/>
        <v>0</v>
      </c>
      <c r="S100" s="693">
        <f t="shared" si="71"/>
        <v>6</v>
      </c>
      <c r="T100" s="129">
        <f t="shared" si="89"/>
        <v>0</v>
      </c>
      <c r="U100" s="165">
        <f t="shared" si="72"/>
        <v>0</v>
      </c>
      <c r="V100" s="75"/>
      <c r="W100" s="131">
        <f t="shared" si="62"/>
        <v>4.1666666666666664E-2</v>
      </c>
      <c r="X100" s="126">
        <f t="shared" si="73"/>
        <v>0</v>
      </c>
      <c r="Y100" s="127">
        <f t="shared" si="93"/>
        <v>0.33333333333333331</v>
      </c>
      <c r="Z100" s="128">
        <f>U100-X100</f>
        <v>0</v>
      </c>
      <c r="AA100" s="76" t="str">
        <f>IF((U100-X100)&lt;0,"*","")</f>
        <v/>
      </c>
      <c r="AB100" s="216">
        <f t="shared" si="63"/>
        <v>0</v>
      </c>
      <c r="AC100" s="163" t="str">
        <f>IF((R100-T100)&gt;XWorkTimeMax,(R100-T100-XWorkTimeMax),"")</f>
        <v/>
      </c>
      <c r="AD100" s="257">
        <f>IF(AT100,(AD99+SUM(Z100)-AE100),)</f>
        <v>0</v>
      </c>
      <c r="AE100" s="138"/>
      <c r="AF100" s="138" t="str">
        <f>IF(AND(AE100&lt;&gt;"",AE100&lt;=U100),U100-AE100,"")</f>
        <v/>
      </c>
      <c r="AG100" s="77">
        <f t="shared" si="97"/>
        <v>0</v>
      </c>
      <c r="AH100" s="77">
        <f t="shared" si="98"/>
        <v>0</v>
      </c>
      <c r="AI100" s="77" t="str">
        <f t="shared" si="82"/>
        <v/>
      </c>
      <c r="AJ100" s="78">
        <f t="shared" si="64"/>
        <v>4</v>
      </c>
      <c r="AK100" s="139">
        <f>SUM($AC$6:AC100)</f>
        <v>0</v>
      </c>
      <c r="AL100" s="139">
        <f t="shared" ca="1" si="74"/>
        <v>0</v>
      </c>
      <c r="AM100" s="143">
        <f t="shared" si="83"/>
        <v>0</v>
      </c>
      <c r="AN100" s="143">
        <f t="shared" si="84"/>
        <v>0</v>
      </c>
      <c r="AO100" s="143">
        <f t="shared" si="85"/>
        <v>0</v>
      </c>
      <c r="AP100" s="142">
        <f t="shared" si="75"/>
        <v>30</v>
      </c>
      <c r="AQ100" s="142">
        <f t="shared" ca="1" si="76"/>
        <v>30</v>
      </c>
      <c r="AR100" s="154">
        <f t="shared" si="87"/>
        <v>0</v>
      </c>
      <c r="AS100" s="142">
        <f t="shared" si="77"/>
        <v>0</v>
      </c>
      <c r="AT100" t="b">
        <f>OR((F100&gt;0),(NOT(ISBLANK(H100))),SUM(H100:H$373),SUM(G100:G$373))</f>
        <v>0</v>
      </c>
      <c r="AU100" t="b">
        <f t="shared" ca="1" si="65"/>
        <v>0</v>
      </c>
    </row>
    <row r="101" spans="1:47">
      <c r="A101" s="349">
        <f t="shared" si="78"/>
        <v>41734</v>
      </c>
      <c r="B101" s="350">
        <f t="shared" si="79"/>
        <v>41734</v>
      </c>
      <c r="C101" s="351">
        <f t="shared" si="90"/>
        <v>14</v>
      </c>
      <c r="D101" s="352">
        <f t="shared" si="91"/>
        <v>41729</v>
      </c>
      <c r="E101" s="364" t="str">
        <f t="shared" si="66"/>
        <v/>
      </c>
      <c r="F101" s="6"/>
      <c r="G101" s="7" t="str">
        <f t="shared" si="92"/>
        <v/>
      </c>
      <c r="H101" s="8"/>
      <c r="I101" s="8">
        <f t="shared" si="88"/>
        <v>0</v>
      </c>
      <c r="J101" s="129">
        <f t="shared" si="86"/>
        <v>0</v>
      </c>
      <c r="K101" s="8"/>
      <c r="L101" s="8">
        <f t="shared" si="67"/>
        <v>0</v>
      </c>
      <c r="M101" s="129">
        <f t="shared" si="68"/>
        <v>0</v>
      </c>
      <c r="N101" s="129"/>
      <c r="O101" s="129">
        <f t="shared" si="61"/>
        <v>0</v>
      </c>
      <c r="P101" s="129"/>
      <c r="Q101" s="129">
        <f t="shared" si="69"/>
        <v>0</v>
      </c>
      <c r="R101" s="129">
        <f t="shared" si="70"/>
        <v>0</v>
      </c>
      <c r="S101" s="693">
        <f t="shared" si="71"/>
        <v>6</v>
      </c>
      <c r="T101" s="129">
        <f t="shared" si="89"/>
        <v>0</v>
      </c>
      <c r="U101" s="165">
        <f t="shared" si="72"/>
        <v>0</v>
      </c>
      <c r="V101" s="75"/>
      <c r="W101" s="131">
        <f t="shared" si="62"/>
        <v>4.1666666666666664E-2</v>
      </c>
      <c r="X101" s="126">
        <f t="shared" si="73"/>
        <v>0</v>
      </c>
      <c r="Y101" s="127">
        <f t="shared" si="93"/>
        <v>0.33333333333333331</v>
      </c>
      <c r="Z101" s="128">
        <f>U101-X101</f>
        <v>0</v>
      </c>
      <c r="AA101" s="76" t="str">
        <f>IF((U101-X101)&lt;0,"*","")</f>
        <v/>
      </c>
      <c r="AB101" s="216">
        <f t="shared" si="63"/>
        <v>0</v>
      </c>
      <c r="AC101" s="163" t="str">
        <f>IF((R101-T101)&gt;XWorkTimeMax,(R101-T101-XWorkTimeMax),"")</f>
        <v/>
      </c>
      <c r="AD101" s="257">
        <f>IF(AT101,(AD100+SUM(Z101)-AE101),)</f>
        <v>0</v>
      </c>
      <c r="AE101" s="138"/>
      <c r="AF101" s="138" t="str">
        <f>IF(AND(AE101&lt;&gt;"",AE101&lt;=U101),U101-AE101,"")</f>
        <v/>
      </c>
      <c r="AG101" s="77">
        <f t="shared" si="97"/>
        <v>0</v>
      </c>
      <c r="AH101" s="77">
        <f t="shared" si="98"/>
        <v>0</v>
      </c>
      <c r="AI101" s="77" t="str">
        <f t="shared" si="82"/>
        <v/>
      </c>
      <c r="AJ101" s="78">
        <f t="shared" si="64"/>
        <v>5</v>
      </c>
      <c r="AK101" s="139">
        <f>SUM($AC$6:AC101)</f>
        <v>0</v>
      </c>
      <c r="AL101" s="139">
        <f t="shared" ca="1" si="74"/>
        <v>0</v>
      </c>
      <c r="AM101" s="143">
        <f t="shared" si="83"/>
        <v>0</v>
      </c>
      <c r="AN101" s="143">
        <f t="shared" si="84"/>
        <v>0</v>
      </c>
      <c r="AO101" s="143">
        <f t="shared" si="85"/>
        <v>0</v>
      </c>
      <c r="AP101" s="142">
        <f t="shared" si="75"/>
        <v>30</v>
      </c>
      <c r="AQ101" s="142">
        <f t="shared" ca="1" si="76"/>
        <v>30</v>
      </c>
      <c r="AR101" s="154">
        <f t="shared" si="87"/>
        <v>0</v>
      </c>
      <c r="AS101" s="142">
        <f t="shared" si="77"/>
        <v>0</v>
      </c>
      <c r="AT101" t="b">
        <f>OR((F101&gt;0),(NOT(ISBLANK(H101))),SUM(H101:H$373),SUM(G101:G$373))</f>
        <v>0</v>
      </c>
      <c r="AU101" t="b">
        <f t="shared" ca="1" si="65"/>
        <v>0</v>
      </c>
    </row>
    <row r="102" spans="1:47">
      <c r="A102" s="349">
        <f t="shared" si="78"/>
        <v>41735</v>
      </c>
      <c r="B102" s="350">
        <f t="shared" si="79"/>
        <v>41735</v>
      </c>
      <c r="C102" s="351">
        <f t="shared" si="90"/>
        <v>14</v>
      </c>
      <c r="D102" s="352">
        <f t="shared" si="91"/>
        <v>41729</v>
      </c>
      <c r="E102" s="364" t="str">
        <f t="shared" si="66"/>
        <v/>
      </c>
      <c r="F102" s="6"/>
      <c r="G102" s="7" t="str">
        <f t="shared" si="92"/>
        <v/>
      </c>
      <c r="H102" s="8"/>
      <c r="I102" s="8">
        <f t="shared" si="88"/>
        <v>0</v>
      </c>
      <c r="J102" s="129">
        <f t="shared" si="86"/>
        <v>0</v>
      </c>
      <c r="K102" s="8"/>
      <c r="L102" s="8">
        <f t="shared" si="67"/>
        <v>0</v>
      </c>
      <c r="M102" s="129">
        <f t="shared" si="68"/>
        <v>0</v>
      </c>
      <c r="N102" s="129"/>
      <c r="O102" s="129">
        <f t="shared" si="61"/>
        <v>0</v>
      </c>
      <c r="P102" s="129"/>
      <c r="Q102" s="129">
        <f t="shared" si="69"/>
        <v>0</v>
      </c>
      <c r="R102" s="129">
        <f t="shared" si="70"/>
        <v>0</v>
      </c>
      <c r="S102" s="693">
        <f t="shared" si="71"/>
        <v>6</v>
      </c>
      <c r="T102" s="129">
        <f t="shared" si="89"/>
        <v>0</v>
      </c>
      <c r="U102" s="165">
        <f t="shared" si="72"/>
        <v>0</v>
      </c>
      <c r="V102" s="75"/>
      <c r="W102" s="131">
        <f t="shared" si="62"/>
        <v>4.1666666666666664E-2</v>
      </c>
      <c r="X102" s="126">
        <f t="shared" si="73"/>
        <v>0</v>
      </c>
      <c r="Y102" s="127">
        <f t="shared" si="93"/>
        <v>0</v>
      </c>
      <c r="Z102" s="128">
        <f t="shared" si="94"/>
        <v>0</v>
      </c>
      <c r="AA102" s="76" t="str">
        <f t="shared" si="95"/>
        <v/>
      </c>
      <c r="AB102" s="216">
        <f t="shared" si="63"/>
        <v>0</v>
      </c>
      <c r="AC102" s="163" t="str">
        <f t="shared" si="96"/>
        <v/>
      </c>
      <c r="AD102" s="257">
        <f t="shared" si="80"/>
        <v>0</v>
      </c>
      <c r="AE102" s="138"/>
      <c r="AF102" s="138" t="str">
        <f t="shared" si="81"/>
        <v/>
      </c>
      <c r="AG102" s="77">
        <f t="shared" si="97"/>
        <v>0</v>
      </c>
      <c r="AH102" s="77">
        <f t="shared" si="98"/>
        <v>0</v>
      </c>
      <c r="AI102" s="77" t="str">
        <f t="shared" si="82"/>
        <v/>
      </c>
      <c r="AJ102" s="78">
        <f t="shared" si="64"/>
        <v>6</v>
      </c>
      <c r="AK102" s="139">
        <f>SUM($AC$6:AC102)</f>
        <v>0</v>
      </c>
      <c r="AL102" s="139">
        <f t="shared" ca="1" si="74"/>
        <v>0</v>
      </c>
      <c r="AM102" s="143">
        <f t="shared" si="83"/>
        <v>0</v>
      </c>
      <c r="AN102" s="143">
        <f t="shared" si="84"/>
        <v>0</v>
      </c>
      <c r="AO102" s="143">
        <f t="shared" si="85"/>
        <v>0</v>
      </c>
      <c r="AP102" s="142">
        <f t="shared" si="75"/>
        <v>30</v>
      </c>
      <c r="AQ102" s="142">
        <f t="shared" ca="1" si="76"/>
        <v>30</v>
      </c>
      <c r="AR102" s="154">
        <f t="shared" si="87"/>
        <v>0</v>
      </c>
      <c r="AS102" s="142">
        <f t="shared" si="77"/>
        <v>7</v>
      </c>
      <c r="AT102" t="b">
        <f>OR((F102&gt;0),(NOT(ISBLANK(H102))),SUM(H102:H$373),SUM(G102:G$373))</f>
        <v>0</v>
      </c>
      <c r="AU102" t="b">
        <f t="shared" ca="1" si="65"/>
        <v>1</v>
      </c>
    </row>
    <row r="103" spans="1:47">
      <c r="A103" s="349">
        <f t="shared" si="78"/>
        <v>41736</v>
      </c>
      <c r="B103" s="350">
        <f t="shared" si="79"/>
        <v>41736</v>
      </c>
      <c r="C103" s="351">
        <f t="shared" si="90"/>
        <v>14</v>
      </c>
      <c r="D103" s="352">
        <f t="shared" si="91"/>
        <v>41729</v>
      </c>
      <c r="E103" s="364" t="str">
        <f t="shared" si="66"/>
        <v/>
      </c>
      <c r="F103" s="6"/>
      <c r="G103" s="7" t="str">
        <f t="shared" si="92"/>
        <v/>
      </c>
      <c r="H103" s="8"/>
      <c r="I103" s="8">
        <f t="shared" si="88"/>
        <v>0</v>
      </c>
      <c r="J103" s="129">
        <f t="shared" si="86"/>
        <v>0</v>
      </c>
      <c r="K103" s="8"/>
      <c r="L103" s="8">
        <f t="shared" si="67"/>
        <v>0</v>
      </c>
      <c r="M103" s="129">
        <f t="shared" si="68"/>
        <v>0</v>
      </c>
      <c r="N103" s="129"/>
      <c r="O103" s="129">
        <f t="shared" si="61"/>
        <v>0</v>
      </c>
      <c r="P103" s="129"/>
      <c r="Q103" s="129">
        <f t="shared" si="69"/>
        <v>0</v>
      </c>
      <c r="R103" s="129">
        <f t="shared" si="70"/>
        <v>0</v>
      </c>
      <c r="S103" s="693">
        <f t="shared" si="71"/>
        <v>6</v>
      </c>
      <c r="T103" s="129">
        <f t="shared" si="89"/>
        <v>0</v>
      </c>
      <c r="U103" s="165">
        <f t="shared" si="72"/>
        <v>0</v>
      </c>
      <c r="V103" s="75"/>
      <c r="W103" s="131">
        <f t="shared" si="62"/>
        <v>4.1666666666666664E-2</v>
      </c>
      <c r="X103" s="126">
        <f t="shared" si="73"/>
        <v>0</v>
      </c>
      <c r="Y103" s="127">
        <f t="shared" si="93"/>
        <v>0</v>
      </c>
      <c r="Z103" s="128">
        <f t="shared" si="94"/>
        <v>0</v>
      </c>
      <c r="AA103" s="76" t="str">
        <f t="shared" si="95"/>
        <v/>
      </c>
      <c r="AB103" s="216">
        <f t="shared" si="63"/>
        <v>0</v>
      </c>
      <c r="AC103" s="163" t="str">
        <f t="shared" si="96"/>
        <v/>
      </c>
      <c r="AD103" s="257">
        <f t="shared" si="80"/>
        <v>0</v>
      </c>
      <c r="AE103" s="138"/>
      <c r="AF103" s="138" t="str">
        <f t="shared" si="81"/>
        <v/>
      </c>
      <c r="AG103" s="77">
        <f t="shared" si="97"/>
        <v>0</v>
      </c>
      <c r="AH103" s="77">
        <f t="shared" si="98"/>
        <v>0</v>
      </c>
      <c r="AI103" s="77" t="str">
        <f t="shared" si="82"/>
        <v/>
      </c>
      <c r="AJ103" s="78">
        <f t="shared" si="64"/>
        <v>7</v>
      </c>
      <c r="AK103" s="139">
        <f>SUM($AC$6:AC103)</f>
        <v>0</v>
      </c>
      <c r="AL103" s="139">
        <f t="shared" ca="1" si="74"/>
        <v>0</v>
      </c>
      <c r="AM103" s="143">
        <f t="shared" si="83"/>
        <v>0</v>
      </c>
      <c r="AN103" s="143">
        <f t="shared" si="84"/>
        <v>0</v>
      </c>
      <c r="AO103" s="143">
        <f t="shared" si="85"/>
        <v>0</v>
      </c>
      <c r="AP103" s="142">
        <f t="shared" si="75"/>
        <v>30</v>
      </c>
      <c r="AQ103" s="142">
        <f t="shared" ca="1" si="76"/>
        <v>30</v>
      </c>
      <c r="AR103" s="154">
        <f t="shared" si="87"/>
        <v>0</v>
      </c>
      <c r="AS103" s="142">
        <f t="shared" si="77"/>
        <v>7</v>
      </c>
      <c r="AT103" t="b">
        <f>OR((F103&gt;0),(NOT(ISBLANK(H103))),SUM(H103:H$373),SUM(G103:G$373))</f>
        <v>0</v>
      </c>
      <c r="AU103" t="b">
        <f t="shared" ca="1" si="65"/>
        <v>1</v>
      </c>
    </row>
    <row r="104" spans="1:47">
      <c r="A104" s="349">
        <f t="shared" si="78"/>
        <v>41737</v>
      </c>
      <c r="B104" s="350">
        <f t="shared" si="79"/>
        <v>41737</v>
      </c>
      <c r="C104" s="351">
        <f t="shared" si="90"/>
        <v>15</v>
      </c>
      <c r="D104" s="352">
        <f t="shared" si="91"/>
        <v>41729</v>
      </c>
      <c r="E104" s="364" t="str">
        <f t="shared" si="66"/>
        <v/>
      </c>
      <c r="F104" s="6"/>
      <c r="G104" s="7" t="str">
        <f t="shared" si="92"/>
        <v/>
      </c>
      <c r="H104" s="8"/>
      <c r="I104" s="8">
        <f t="shared" si="88"/>
        <v>0</v>
      </c>
      <c r="J104" s="129">
        <f t="shared" si="86"/>
        <v>0</v>
      </c>
      <c r="K104" s="8"/>
      <c r="L104" s="8">
        <f t="shared" si="67"/>
        <v>0</v>
      </c>
      <c r="M104" s="129">
        <f t="shared" si="68"/>
        <v>0</v>
      </c>
      <c r="N104" s="129"/>
      <c r="O104" s="129">
        <f t="shared" si="61"/>
        <v>0</v>
      </c>
      <c r="P104" s="129"/>
      <c r="Q104" s="129">
        <f t="shared" si="69"/>
        <v>0</v>
      </c>
      <c r="R104" s="129">
        <f t="shared" si="70"/>
        <v>0</v>
      </c>
      <c r="S104" s="693">
        <f t="shared" si="71"/>
        <v>6</v>
      </c>
      <c r="T104" s="129">
        <f t="shared" si="89"/>
        <v>0</v>
      </c>
      <c r="U104" s="165">
        <f t="shared" si="72"/>
        <v>0</v>
      </c>
      <c r="V104" s="75"/>
      <c r="W104" s="131">
        <f t="shared" si="62"/>
        <v>4.1666666666666664E-2</v>
      </c>
      <c r="X104" s="126">
        <f t="shared" si="73"/>
        <v>0</v>
      </c>
      <c r="Y104" s="127">
        <f t="shared" si="93"/>
        <v>0.33333333333333331</v>
      </c>
      <c r="Z104" s="128">
        <f t="shared" si="94"/>
        <v>0</v>
      </c>
      <c r="AA104" s="76" t="str">
        <f t="shared" si="95"/>
        <v/>
      </c>
      <c r="AB104" s="216">
        <f t="shared" si="63"/>
        <v>0</v>
      </c>
      <c r="AC104" s="163" t="str">
        <f t="shared" si="96"/>
        <v/>
      </c>
      <c r="AD104" s="257">
        <f t="shared" si="80"/>
        <v>0</v>
      </c>
      <c r="AE104" s="138"/>
      <c r="AF104" s="138" t="str">
        <f t="shared" si="81"/>
        <v/>
      </c>
      <c r="AG104" s="77">
        <f t="shared" si="97"/>
        <v>0</v>
      </c>
      <c r="AH104" s="77">
        <f t="shared" si="98"/>
        <v>0</v>
      </c>
      <c r="AI104" s="77" t="str">
        <f t="shared" si="82"/>
        <v/>
      </c>
      <c r="AJ104" s="78">
        <f t="shared" si="64"/>
        <v>1</v>
      </c>
      <c r="AK104" s="139">
        <f>SUM($AC$6:AC104)</f>
        <v>0</v>
      </c>
      <c r="AL104" s="139">
        <f t="shared" ca="1" si="74"/>
        <v>0</v>
      </c>
      <c r="AM104" s="143">
        <f t="shared" si="83"/>
        <v>0</v>
      </c>
      <c r="AN104" s="143">
        <f t="shared" si="84"/>
        <v>0</v>
      </c>
      <c r="AO104" s="143">
        <f t="shared" si="85"/>
        <v>0</v>
      </c>
      <c r="AP104" s="142">
        <f t="shared" si="75"/>
        <v>30</v>
      </c>
      <c r="AQ104" s="142">
        <f t="shared" ca="1" si="76"/>
        <v>30</v>
      </c>
      <c r="AR104" s="154">
        <f t="shared" si="87"/>
        <v>0</v>
      </c>
      <c r="AS104" s="142">
        <f t="shared" si="77"/>
        <v>0</v>
      </c>
      <c r="AT104" t="b">
        <f>OR((F104&gt;0),(NOT(ISBLANK(H104))),SUM(H104:H$373),SUM(G104:G$373))</f>
        <v>0</v>
      </c>
      <c r="AU104" t="b">
        <f t="shared" ca="1" si="65"/>
        <v>0</v>
      </c>
    </row>
    <row r="105" spans="1:47">
      <c r="A105" s="349">
        <f t="shared" si="78"/>
        <v>41738</v>
      </c>
      <c r="B105" s="350">
        <f t="shared" si="79"/>
        <v>41738</v>
      </c>
      <c r="C105" s="351">
        <f t="shared" si="90"/>
        <v>15</v>
      </c>
      <c r="D105" s="352">
        <f t="shared" si="91"/>
        <v>41729</v>
      </c>
      <c r="E105" s="364" t="str">
        <f t="shared" si="66"/>
        <v/>
      </c>
      <c r="F105" s="6"/>
      <c r="G105" s="7" t="str">
        <f t="shared" si="92"/>
        <v/>
      </c>
      <c r="H105" s="8"/>
      <c r="I105" s="8">
        <f t="shared" si="88"/>
        <v>0</v>
      </c>
      <c r="J105" s="129">
        <f t="shared" si="86"/>
        <v>0</v>
      </c>
      <c r="K105" s="8"/>
      <c r="L105" s="8">
        <f t="shared" si="67"/>
        <v>0</v>
      </c>
      <c r="M105" s="129">
        <f t="shared" si="68"/>
        <v>0</v>
      </c>
      <c r="N105" s="129"/>
      <c r="O105" s="129">
        <f t="shared" si="61"/>
        <v>0</v>
      </c>
      <c r="P105" s="129"/>
      <c r="Q105" s="129">
        <f t="shared" si="69"/>
        <v>0</v>
      </c>
      <c r="R105" s="129">
        <f t="shared" si="70"/>
        <v>0</v>
      </c>
      <c r="S105" s="693">
        <f t="shared" si="71"/>
        <v>6</v>
      </c>
      <c r="T105" s="129">
        <f t="shared" si="89"/>
        <v>0</v>
      </c>
      <c r="U105" s="165">
        <f t="shared" si="72"/>
        <v>0</v>
      </c>
      <c r="V105" s="75"/>
      <c r="W105" s="131">
        <f t="shared" si="62"/>
        <v>4.1666666666666664E-2</v>
      </c>
      <c r="X105" s="126">
        <f t="shared" si="73"/>
        <v>0</v>
      </c>
      <c r="Y105" s="127">
        <f t="shared" si="93"/>
        <v>0.33333333333333331</v>
      </c>
      <c r="Z105" s="128">
        <f t="shared" si="94"/>
        <v>0</v>
      </c>
      <c r="AA105" s="76" t="str">
        <f t="shared" si="95"/>
        <v/>
      </c>
      <c r="AB105" s="216">
        <f t="shared" si="63"/>
        <v>0</v>
      </c>
      <c r="AC105" s="163" t="str">
        <f t="shared" si="96"/>
        <v/>
      </c>
      <c r="AD105" s="257">
        <f t="shared" si="80"/>
        <v>0</v>
      </c>
      <c r="AE105" s="138"/>
      <c r="AF105" s="138" t="str">
        <f t="shared" si="81"/>
        <v/>
      </c>
      <c r="AG105" s="77">
        <f t="shared" si="97"/>
        <v>0</v>
      </c>
      <c r="AH105" s="77">
        <f t="shared" si="98"/>
        <v>0</v>
      </c>
      <c r="AI105" s="77" t="str">
        <f t="shared" si="82"/>
        <v/>
      </c>
      <c r="AJ105" s="78">
        <f t="shared" si="64"/>
        <v>2</v>
      </c>
      <c r="AK105" s="139">
        <f>SUM($AC$6:AC105)</f>
        <v>0</v>
      </c>
      <c r="AL105" s="139">
        <f t="shared" ca="1" si="74"/>
        <v>0</v>
      </c>
      <c r="AM105" s="143">
        <f t="shared" si="83"/>
        <v>0</v>
      </c>
      <c r="AN105" s="143">
        <f t="shared" si="84"/>
        <v>0</v>
      </c>
      <c r="AO105" s="143">
        <f t="shared" si="85"/>
        <v>0</v>
      </c>
      <c r="AP105" s="142">
        <f t="shared" si="75"/>
        <v>30</v>
      </c>
      <c r="AQ105" s="142">
        <f t="shared" ca="1" si="76"/>
        <v>30</v>
      </c>
      <c r="AR105" s="154">
        <f t="shared" si="87"/>
        <v>0</v>
      </c>
      <c r="AS105" s="142">
        <f t="shared" si="77"/>
        <v>0</v>
      </c>
      <c r="AT105" t="b">
        <f>OR((F105&gt;0),(NOT(ISBLANK(H105))),SUM(H105:H$373),SUM(G105:G$373))</f>
        <v>0</v>
      </c>
      <c r="AU105" t="b">
        <f t="shared" ca="1" si="65"/>
        <v>0</v>
      </c>
    </row>
    <row r="106" spans="1:47">
      <c r="A106" s="349">
        <f t="shared" si="78"/>
        <v>41739</v>
      </c>
      <c r="B106" s="350">
        <f t="shared" si="79"/>
        <v>41739</v>
      </c>
      <c r="C106" s="351">
        <f t="shared" si="90"/>
        <v>15</v>
      </c>
      <c r="D106" s="352">
        <f t="shared" si="91"/>
        <v>41729</v>
      </c>
      <c r="E106" s="364" t="str">
        <f t="shared" si="66"/>
        <v/>
      </c>
      <c r="F106" s="6"/>
      <c r="G106" s="7" t="str">
        <f t="shared" si="92"/>
        <v/>
      </c>
      <c r="H106" s="8"/>
      <c r="I106" s="8">
        <f t="shared" si="88"/>
        <v>0</v>
      </c>
      <c r="J106" s="129">
        <f t="shared" si="86"/>
        <v>0</v>
      </c>
      <c r="K106" s="8"/>
      <c r="L106" s="8">
        <f t="shared" si="67"/>
        <v>0</v>
      </c>
      <c r="M106" s="129">
        <f t="shared" si="68"/>
        <v>0</v>
      </c>
      <c r="N106" s="129"/>
      <c r="O106" s="129">
        <f t="shared" si="61"/>
        <v>0</v>
      </c>
      <c r="P106" s="129"/>
      <c r="Q106" s="129">
        <f t="shared" si="69"/>
        <v>0</v>
      </c>
      <c r="R106" s="129">
        <f t="shared" si="70"/>
        <v>0</v>
      </c>
      <c r="S106" s="693">
        <f t="shared" si="71"/>
        <v>6</v>
      </c>
      <c r="T106" s="129">
        <f t="shared" si="89"/>
        <v>0</v>
      </c>
      <c r="U106" s="165">
        <f t="shared" si="72"/>
        <v>0</v>
      </c>
      <c r="V106" s="75"/>
      <c r="W106" s="131">
        <f t="shared" si="62"/>
        <v>4.1666666666666664E-2</v>
      </c>
      <c r="X106" s="126">
        <f t="shared" si="73"/>
        <v>0</v>
      </c>
      <c r="Y106" s="127">
        <f t="shared" si="93"/>
        <v>0.33333333333333331</v>
      </c>
      <c r="Z106" s="128">
        <f t="shared" si="94"/>
        <v>0</v>
      </c>
      <c r="AA106" s="76" t="str">
        <f t="shared" si="95"/>
        <v/>
      </c>
      <c r="AB106" s="216">
        <f t="shared" si="63"/>
        <v>0</v>
      </c>
      <c r="AC106" s="163" t="str">
        <f t="shared" si="96"/>
        <v/>
      </c>
      <c r="AD106" s="257">
        <f t="shared" si="80"/>
        <v>0</v>
      </c>
      <c r="AE106" s="138"/>
      <c r="AF106" s="138" t="str">
        <f t="shared" si="81"/>
        <v/>
      </c>
      <c r="AG106" s="77">
        <f t="shared" si="97"/>
        <v>0</v>
      </c>
      <c r="AH106" s="77">
        <f t="shared" si="98"/>
        <v>0</v>
      </c>
      <c r="AI106" s="77" t="str">
        <f t="shared" si="82"/>
        <v/>
      </c>
      <c r="AJ106" s="78">
        <f t="shared" si="64"/>
        <v>3</v>
      </c>
      <c r="AK106" s="139">
        <f>SUM($AC$6:AC106)</f>
        <v>0</v>
      </c>
      <c r="AL106" s="139">
        <f t="shared" ca="1" si="74"/>
        <v>0</v>
      </c>
      <c r="AM106" s="143">
        <f t="shared" si="83"/>
        <v>0</v>
      </c>
      <c r="AN106" s="143">
        <f t="shared" si="84"/>
        <v>0</v>
      </c>
      <c r="AO106" s="143">
        <f t="shared" si="85"/>
        <v>0</v>
      </c>
      <c r="AP106" s="142">
        <f t="shared" si="75"/>
        <v>30</v>
      </c>
      <c r="AQ106" s="142">
        <f t="shared" ca="1" si="76"/>
        <v>30</v>
      </c>
      <c r="AR106" s="154">
        <f t="shared" si="87"/>
        <v>0</v>
      </c>
      <c r="AS106" s="142">
        <f t="shared" si="77"/>
        <v>0</v>
      </c>
      <c r="AT106" t="b">
        <f>OR((F106&gt;0),(NOT(ISBLANK(H106))),SUM(H106:H$373),SUM(G106:G$373))</f>
        <v>0</v>
      </c>
      <c r="AU106" t="b">
        <f t="shared" ca="1" si="65"/>
        <v>0</v>
      </c>
    </row>
    <row r="107" spans="1:47">
      <c r="A107" s="349">
        <f t="shared" si="78"/>
        <v>41740</v>
      </c>
      <c r="B107" s="350">
        <f t="shared" si="79"/>
        <v>41740</v>
      </c>
      <c r="C107" s="351">
        <f t="shared" si="90"/>
        <v>15</v>
      </c>
      <c r="D107" s="352">
        <f t="shared" si="91"/>
        <v>41729</v>
      </c>
      <c r="E107" s="364" t="str">
        <f t="shared" si="66"/>
        <v/>
      </c>
      <c r="F107" s="6"/>
      <c r="G107" s="7" t="str">
        <f t="shared" si="92"/>
        <v/>
      </c>
      <c r="H107" s="8"/>
      <c r="I107" s="8">
        <f t="shared" si="88"/>
        <v>0</v>
      </c>
      <c r="J107" s="129">
        <f t="shared" si="86"/>
        <v>0</v>
      </c>
      <c r="K107" s="8"/>
      <c r="L107" s="8">
        <f t="shared" si="67"/>
        <v>0</v>
      </c>
      <c r="M107" s="129">
        <f t="shared" si="68"/>
        <v>0</v>
      </c>
      <c r="N107" s="129"/>
      <c r="O107" s="129">
        <f t="shared" si="61"/>
        <v>0</v>
      </c>
      <c r="P107" s="129"/>
      <c r="Q107" s="129">
        <f t="shared" si="69"/>
        <v>0</v>
      </c>
      <c r="R107" s="129">
        <f t="shared" si="70"/>
        <v>0</v>
      </c>
      <c r="S107" s="693">
        <f t="shared" si="71"/>
        <v>6</v>
      </c>
      <c r="T107" s="129">
        <f t="shared" si="89"/>
        <v>0</v>
      </c>
      <c r="U107" s="165">
        <f t="shared" si="72"/>
        <v>0</v>
      </c>
      <c r="V107" s="75"/>
      <c r="W107" s="131">
        <f t="shared" si="62"/>
        <v>4.1666666666666664E-2</v>
      </c>
      <c r="X107" s="126">
        <f t="shared" si="73"/>
        <v>0</v>
      </c>
      <c r="Y107" s="127">
        <f t="shared" si="93"/>
        <v>0.33333333333333331</v>
      </c>
      <c r="Z107" s="128">
        <f t="shared" si="94"/>
        <v>0</v>
      </c>
      <c r="AA107" s="76" t="str">
        <f t="shared" si="95"/>
        <v/>
      </c>
      <c r="AB107" s="216">
        <f t="shared" si="63"/>
        <v>0</v>
      </c>
      <c r="AC107" s="163" t="str">
        <f t="shared" si="96"/>
        <v/>
      </c>
      <c r="AD107" s="257">
        <f t="shared" si="80"/>
        <v>0</v>
      </c>
      <c r="AE107" s="138"/>
      <c r="AF107" s="138" t="str">
        <f t="shared" si="81"/>
        <v/>
      </c>
      <c r="AG107" s="77">
        <f t="shared" si="97"/>
        <v>0</v>
      </c>
      <c r="AH107" s="77">
        <f t="shared" si="98"/>
        <v>0</v>
      </c>
      <c r="AI107" s="77" t="str">
        <f t="shared" si="82"/>
        <v/>
      </c>
      <c r="AJ107" s="78">
        <f t="shared" si="64"/>
        <v>4</v>
      </c>
      <c r="AK107" s="139">
        <f>SUM($AC$6:AC107)</f>
        <v>0</v>
      </c>
      <c r="AL107" s="139">
        <f t="shared" ca="1" si="74"/>
        <v>0</v>
      </c>
      <c r="AM107" s="143">
        <f t="shared" si="83"/>
        <v>0</v>
      </c>
      <c r="AN107" s="143">
        <f t="shared" si="84"/>
        <v>0</v>
      </c>
      <c r="AO107" s="143">
        <f t="shared" si="85"/>
        <v>0</v>
      </c>
      <c r="AP107" s="142">
        <f t="shared" si="75"/>
        <v>30</v>
      </c>
      <c r="AQ107" s="142">
        <f t="shared" ca="1" si="76"/>
        <v>30</v>
      </c>
      <c r="AR107" s="154">
        <f t="shared" si="87"/>
        <v>0</v>
      </c>
      <c r="AS107" s="142">
        <f t="shared" si="77"/>
        <v>0</v>
      </c>
      <c r="AT107" t="b">
        <f>OR((F107&gt;0),(NOT(ISBLANK(H107))),SUM(H107:H$373),SUM(G107:G$373))</f>
        <v>0</v>
      </c>
      <c r="AU107" t="b">
        <f t="shared" ca="1" si="65"/>
        <v>0</v>
      </c>
    </row>
    <row r="108" spans="1:47">
      <c r="A108" s="349">
        <f t="shared" si="78"/>
        <v>41741</v>
      </c>
      <c r="B108" s="350">
        <f t="shared" si="79"/>
        <v>41741</v>
      </c>
      <c r="C108" s="351">
        <f t="shared" si="90"/>
        <v>15</v>
      </c>
      <c r="D108" s="352">
        <f t="shared" si="91"/>
        <v>41729</v>
      </c>
      <c r="E108" s="364" t="str">
        <f t="shared" si="66"/>
        <v/>
      </c>
      <c r="F108" s="6"/>
      <c r="G108" s="7" t="str">
        <f t="shared" si="92"/>
        <v/>
      </c>
      <c r="H108" s="8"/>
      <c r="I108" s="8">
        <f t="shared" si="88"/>
        <v>0</v>
      </c>
      <c r="J108" s="129">
        <f t="shared" si="86"/>
        <v>0</v>
      </c>
      <c r="K108" s="8"/>
      <c r="L108" s="8">
        <f t="shared" si="67"/>
        <v>0</v>
      </c>
      <c r="M108" s="129">
        <f t="shared" si="68"/>
        <v>0</v>
      </c>
      <c r="N108" s="129"/>
      <c r="O108" s="129">
        <f t="shared" si="61"/>
        <v>0</v>
      </c>
      <c r="P108" s="129"/>
      <c r="Q108" s="129">
        <f t="shared" si="69"/>
        <v>0</v>
      </c>
      <c r="R108" s="129">
        <f t="shared" si="70"/>
        <v>0</v>
      </c>
      <c r="S108" s="693">
        <f t="shared" si="71"/>
        <v>6</v>
      </c>
      <c r="T108" s="129">
        <f t="shared" si="89"/>
        <v>0</v>
      </c>
      <c r="U108" s="165">
        <f t="shared" si="72"/>
        <v>0</v>
      </c>
      <c r="V108" s="75"/>
      <c r="W108" s="131">
        <f t="shared" si="62"/>
        <v>4.1666666666666664E-2</v>
      </c>
      <c r="X108" s="126">
        <f t="shared" si="73"/>
        <v>0</v>
      </c>
      <c r="Y108" s="127">
        <f t="shared" si="93"/>
        <v>0.33333333333333331</v>
      </c>
      <c r="Z108" s="128">
        <f t="shared" si="94"/>
        <v>0</v>
      </c>
      <c r="AA108" s="76" t="str">
        <f t="shared" si="95"/>
        <v/>
      </c>
      <c r="AB108" s="216">
        <f t="shared" si="63"/>
        <v>0</v>
      </c>
      <c r="AC108" s="163" t="str">
        <f t="shared" si="96"/>
        <v/>
      </c>
      <c r="AD108" s="257">
        <f t="shared" si="80"/>
        <v>0</v>
      </c>
      <c r="AE108" s="138"/>
      <c r="AF108" s="138" t="str">
        <f t="shared" si="81"/>
        <v/>
      </c>
      <c r="AG108" s="77">
        <f t="shared" si="97"/>
        <v>0</v>
      </c>
      <c r="AH108" s="77">
        <f t="shared" si="98"/>
        <v>0</v>
      </c>
      <c r="AI108" s="77" t="str">
        <f t="shared" si="82"/>
        <v/>
      </c>
      <c r="AJ108" s="78">
        <f t="shared" si="64"/>
        <v>5</v>
      </c>
      <c r="AK108" s="139">
        <f>SUM($AC$6:AC108)</f>
        <v>0</v>
      </c>
      <c r="AL108" s="139">
        <f t="shared" ca="1" si="74"/>
        <v>0</v>
      </c>
      <c r="AM108" s="143">
        <f t="shared" si="83"/>
        <v>0</v>
      </c>
      <c r="AN108" s="143">
        <f t="shared" si="84"/>
        <v>0</v>
      </c>
      <c r="AO108" s="143">
        <f t="shared" si="85"/>
        <v>0</v>
      </c>
      <c r="AP108" s="142">
        <f t="shared" si="75"/>
        <v>30</v>
      </c>
      <c r="AQ108" s="142">
        <f t="shared" ca="1" si="76"/>
        <v>30</v>
      </c>
      <c r="AR108" s="154">
        <f t="shared" si="87"/>
        <v>0</v>
      </c>
      <c r="AS108" s="142">
        <f t="shared" si="77"/>
        <v>0</v>
      </c>
      <c r="AT108" t="b">
        <f>OR((F108&gt;0),(NOT(ISBLANK(H108))),SUM(H108:H$373),SUM(G108:G$373))</f>
        <v>0</v>
      </c>
      <c r="AU108" t="b">
        <f t="shared" ca="1" si="65"/>
        <v>0</v>
      </c>
    </row>
    <row r="109" spans="1:47">
      <c r="A109" s="349">
        <f t="shared" si="78"/>
        <v>41742</v>
      </c>
      <c r="B109" s="350">
        <f t="shared" si="79"/>
        <v>41742</v>
      </c>
      <c r="C109" s="351">
        <f t="shared" si="90"/>
        <v>15</v>
      </c>
      <c r="D109" s="352">
        <f t="shared" si="91"/>
        <v>41729</v>
      </c>
      <c r="E109" s="364" t="str">
        <f t="shared" si="66"/>
        <v/>
      </c>
      <c r="F109" s="6"/>
      <c r="G109" s="7" t="str">
        <f t="shared" si="92"/>
        <v/>
      </c>
      <c r="H109" s="8"/>
      <c r="I109" s="8">
        <f t="shared" si="88"/>
        <v>0</v>
      </c>
      <c r="J109" s="129">
        <f t="shared" si="86"/>
        <v>0</v>
      </c>
      <c r="K109" s="8"/>
      <c r="L109" s="8">
        <f t="shared" si="67"/>
        <v>0</v>
      </c>
      <c r="M109" s="129">
        <f t="shared" si="68"/>
        <v>0</v>
      </c>
      <c r="N109" s="129"/>
      <c r="O109" s="129">
        <f t="shared" si="61"/>
        <v>0</v>
      </c>
      <c r="P109" s="129"/>
      <c r="Q109" s="129">
        <f t="shared" si="69"/>
        <v>0</v>
      </c>
      <c r="R109" s="129">
        <f t="shared" si="70"/>
        <v>0</v>
      </c>
      <c r="S109" s="693">
        <f t="shared" si="71"/>
        <v>6</v>
      </c>
      <c r="T109" s="129">
        <f t="shared" si="89"/>
        <v>0</v>
      </c>
      <c r="U109" s="165">
        <f t="shared" si="72"/>
        <v>0</v>
      </c>
      <c r="V109" s="75"/>
      <c r="W109" s="131">
        <f t="shared" si="62"/>
        <v>4.1666666666666664E-2</v>
      </c>
      <c r="X109" s="126">
        <f t="shared" si="73"/>
        <v>0</v>
      </c>
      <c r="Y109" s="127">
        <f t="shared" si="93"/>
        <v>0</v>
      </c>
      <c r="Z109" s="128">
        <f t="shared" si="94"/>
        <v>0</v>
      </c>
      <c r="AA109" s="76" t="str">
        <f t="shared" si="95"/>
        <v/>
      </c>
      <c r="AB109" s="216">
        <f t="shared" si="63"/>
        <v>0</v>
      </c>
      <c r="AC109" s="163" t="str">
        <f t="shared" si="96"/>
        <v/>
      </c>
      <c r="AD109" s="257">
        <f t="shared" si="80"/>
        <v>0</v>
      </c>
      <c r="AE109" s="138"/>
      <c r="AF109" s="138" t="str">
        <f t="shared" si="81"/>
        <v/>
      </c>
      <c r="AG109" s="77">
        <f t="shared" si="97"/>
        <v>0</v>
      </c>
      <c r="AH109" s="77">
        <f t="shared" si="98"/>
        <v>0</v>
      </c>
      <c r="AI109" s="77" t="str">
        <f t="shared" si="82"/>
        <v/>
      </c>
      <c r="AJ109" s="78">
        <f t="shared" si="64"/>
        <v>6</v>
      </c>
      <c r="AK109" s="139">
        <f>SUM($AC$6:AC109)</f>
        <v>0</v>
      </c>
      <c r="AL109" s="139">
        <f t="shared" ca="1" si="74"/>
        <v>0</v>
      </c>
      <c r="AM109" s="143">
        <f t="shared" si="83"/>
        <v>0</v>
      </c>
      <c r="AN109" s="143">
        <f t="shared" si="84"/>
        <v>0</v>
      </c>
      <c r="AO109" s="143">
        <f t="shared" si="85"/>
        <v>0</v>
      </c>
      <c r="AP109" s="142">
        <f t="shared" si="75"/>
        <v>30</v>
      </c>
      <c r="AQ109" s="142">
        <f t="shared" ca="1" si="76"/>
        <v>30</v>
      </c>
      <c r="AR109" s="154">
        <f t="shared" si="87"/>
        <v>0</v>
      </c>
      <c r="AS109" s="142">
        <f t="shared" si="77"/>
        <v>7</v>
      </c>
      <c r="AT109" t="b">
        <f>OR((F109&gt;0),(NOT(ISBLANK(H109))),SUM(H109:H$373),SUM(G109:G$373))</f>
        <v>0</v>
      </c>
      <c r="AU109" t="b">
        <f t="shared" ca="1" si="65"/>
        <v>1</v>
      </c>
    </row>
    <row r="110" spans="1:47">
      <c r="A110" s="349">
        <f t="shared" si="78"/>
        <v>41743</v>
      </c>
      <c r="B110" s="350">
        <f t="shared" si="79"/>
        <v>41743</v>
      </c>
      <c r="C110" s="351">
        <f t="shared" si="90"/>
        <v>15</v>
      </c>
      <c r="D110" s="352">
        <f t="shared" si="91"/>
        <v>41729</v>
      </c>
      <c r="E110" s="364" t="str">
        <f t="shared" si="66"/>
        <v/>
      </c>
      <c r="F110" s="6"/>
      <c r="G110" s="7" t="str">
        <f t="shared" si="92"/>
        <v/>
      </c>
      <c r="H110" s="8"/>
      <c r="I110" s="8">
        <f t="shared" si="88"/>
        <v>0</v>
      </c>
      <c r="J110" s="129">
        <f t="shared" si="86"/>
        <v>0</v>
      </c>
      <c r="K110" s="8"/>
      <c r="L110" s="8">
        <f t="shared" si="67"/>
        <v>0</v>
      </c>
      <c r="M110" s="129">
        <f t="shared" si="68"/>
        <v>0</v>
      </c>
      <c r="N110" s="129"/>
      <c r="O110" s="129">
        <f t="shared" si="61"/>
        <v>0</v>
      </c>
      <c r="P110" s="129"/>
      <c r="Q110" s="129">
        <f t="shared" si="69"/>
        <v>0</v>
      </c>
      <c r="R110" s="129">
        <f t="shared" si="70"/>
        <v>0</v>
      </c>
      <c r="S110" s="693">
        <f t="shared" si="71"/>
        <v>6</v>
      </c>
      <c r="T110" s="129">
        <f t="shared" si="89"/>
        <v>0</v>
      </c>
      <c r="U110" s="165">
        <f t="shared" si="72"/>
        <v>0</v>
      </c>
      <c r="V110" s="75"/>
      <c r="W110" s="131">
        <f t="shared" si="62"/>
        <v>4.1666666666666664E-2</v>
      </c>
      <c r="X110" s="126">
        <f t="shared" si="73"/>
        <v>0</v>
      </c>
      <c r="Y110" s="127">
        <f t="shared" si="93"/>
        <v>0</v>
      </c>
      <c r="Z110" s="128">
        <f t="shared" si="94"/>
        <v>0</v>
      </c>
      <c r="AA110" s="76" t="str">
        <f t="shared" si="95"/>
        <v/>
      </c>
      <c r="AB110" s="216">
        <f t="shared" si="63"/>
        <v>0</v>
      </c>
      <c r="AC110" s="163" t="str">
        <f t="shared" si="96"/>
        <v/>
      </c>
      <c r="AD110" s="257">
        <f t="shared" si="80"/>
        <v>0</v>
      </c>
      <c r="AE110" s="138"/>
      <c r="AF110" s="138" t="str">
        <f t="shared" si="81"/>
        <v/>
      </c>
      <c r="AG110" s="77">
        <f t="shared" si="97"/>
        <v>0</v>
      </c>
      <c r="AH110" s="77">
        <f t="shared" si="98"/>
        <v>0</v>
      </c>
      <c r="AI110" s="77" t="str">
        <f t="shared" si="82"/>
        <v/>
      </c>
      <c r="AJ110" s="78">
        <f t="shared" si="64"/>
        <v>7</v>
      </c>
      <c r="AK110" s="139">
        <f>SUM($AC$6:AC110)</f>
        <v>0</v>
      </c>
      <c r="AL110" s="139">
        <f t="shared" ca="1" si="74"/>
        <v>0</v>
      </c>
      <c r="AM110" s="143">
        <f t="shared" si="83"/>
        <v>0</v>
      </c>
      <c r="AN110" s="143">
        <f t="shared" si="84"/>
        <v>0</v>
      </c>
      <c r="AO110" s="143">
        <f t="shared" si="85"/>
        <v>0</v>
      </c>
      <c r="AP110" s="142">
        <f t="shared" si="75"/>
        <v>30</v>
      </c>
      <c r="AQ110" s="142">
        <f t="shared" ca="1" si="76"/>
        <v>30</v>
      </c>
      <c r="AR110" s="154">
        <f t="shared" si="87"/>
        <v>0</v>
      </c>
      <c r="AS110" s="142">
        <f t="shared" si="77"/>
        <v>7</v>
      </c>
      <c r="AT110" t="b">
        <f>OR((F110&gt;0),(NOT(ISBLANK(H110))),SUM(H110:H$373),SUM(G110:G$373))</f>
        <v>0</v>
      </c>
      <c r="AU110" t="b">
        <f t="shared" ca="1" si="65"/>
        <v>1</v>
      </c>
    </row>
    <row r="111" spans="1:47">
      <c r="A111" s="349">
        <f t="shared" si="78"/>
        <v>41744</v>
      </c>
      <c r="B111" s="350">
        <f t="shared" si="79"/>
        <v>41744</v>
      </c>
      <c r="C111" s="351">
        <f t="shared" si="90"/>
        <v>16</v>
      </c>
      <c r="D111" s="352">
        <f t="shared" si="91"/>
        <v>41729</v>
      </c>
      <c r="E111" s="364" t="str">
        <f t="shared" si="66"/>
        <v/>
      </c>
      <c r="F111" s="6"/>
      <c r="G111" s="7" t="str">
        <f t="shared" si="92"/>
        <v/>
      </c>
      <c r="H111" s="8"/>
      <c r="I111" s="8">
        <f t="shared" si="88"/>
        <v>0</v>
      </c>
      <c r="J111" s="129">
        <f t="shared" si="86"/>
        <v>0</v>
      </c>
      <c r="K111" s="8"/>
      <c r="L111" s="8">
        <f t="shared" si="67"/>
        <v>0</v>
      </c>
      <c r="M111" s="129">
        <f t="shared" si="68"/>
        <v>0</v>
      </c>
      <c r="N111" s="129"/>
      <c r="O111" s="129">
        <f t="shared" si="61"/>
        <v>0</v>
      </c>
      <c r="P111" s="129"/>
      <c r="Q111" s="129">
        <f t="shared" si="69"/>
        <v>0</v>
      </c>
      <c r="R111" s="129">
        <f t="shared" si="70"/>
        <v>0</v>
      </c>
      <c r="S111" s="693">
        <f t="shared" si="71"/>
        <v>6</v>
      </c>
      <c r="T111" s="129">
        <f t="shared" si="89"/>
        <v>0</v>
      </c>
      <c r="U111" s="165">
        <f t="shared" si="72"/>
        <v>0</v>
      </c>
      <c r="V111" s="75"/>
      <c r="W111" s="131">
        <f t="shared" si="62"/>
        <v>4.1666666666666664E-2</v>
      </c>
      <c r="X111" s="126">
        <f t="shared" si="73"/>
        <v>0</v>
      </c>
      <c r="Y111" s="127">
        <f t="shared" si="93"/>
        <v>0.33333333333333331</v>
      </c>
      <c r="Z111" s="128">
        <f t="shared" si="94"/>
        <v>0</v>
      </c>
      <c r="AA111" s="76" t="str">
        <f t="shared" si="95"/>
        <v/>
      </c>
      <c r="AB111" s="216">
        <f t="shared" si="63"/>
        <v>0</v>
      </c>
      <c r="AC111" s="163" t="str">
        <f t="shared" si="96"/>
        <v/>
      </c>
      <c r="AD111" s="257">
        <f t="shared" si="80"/>
        <v>0</v>
      </c>
      <c r="AE111" s="138"/>
      <c r="AF111" s="138" t="str">
        <f t="shared" si="81"/>
        <v/>
      </c>
      <c r="AG111" s="77">
        <f t="shared" si="97"/>
        <v>0</v>
      </c>
      <c r="AH111" s="77">
        <f t="shared" si="98"/>
        <v>0</v>
      </c>
      <c r="AI111" s="77" t="str">
        <f t="shared" si="82"/>
        <v/>
      </c>
      <c r="AJ111" s="78">
        <f t="shared" si="64"/>
        <v>1</v>
      </c>
      <c r="AK111" s="139">
        <f>SUM($AC$6:AC111)</f>
        <v>0</v>
      </c>
      <c r="AL111" s="139">
        <f t="shared" ca="1" si="74"/>
        <v>0</v>
      </c>
      <c r="AM111" s="143">
        <f t="shared" si="83"/>
        <v>0</v>
      </c>
      <c r="AN111" s="143">
        <f t="shared" si="84"/>
        <v>0</v>
      </c>
      <c r="AO111" s="143">
        <f t="shared" si="85"/>
        <v>0</v>
      </c>
      <c r="AP111" s="142">
        <f t="shared" si="75"/>
        <v>30</v>
      </c>
      <c r="AQ111" s="142">
        <f t="shared" ca="1" si="76"/>
        <v>30</v>
      </c>
      <c r="AR111" s="154">
        <f t="shared" si="87"/>
        <v>0</v>
      </c>
      <c r="AS111" s="142">
        <f t="shared" si="77"/>
        <v>0</v>
      </c>
      <c r="AT111" t="b">
        <f>OR((F111&gt;0),(NOT(ISBLANK(H111))),SUM(H111:H$373),SUM(G111:G$373))</f>
        <v>0</v>
      </c>
      <c r="AU111" t="b">
        <f t="shared" ca="1" si="65"/>
        <v>0</v>
      </c>
    </row>
    <row r="112" spans="1:47">
      <c r="A112" s="349">
        <f t="shared" si="78"/>
        <v>41745</v>
      </c>
      <c r="B112" s="350">
        <f t="shared" si="79"/>
        <v>41745</v>
      </c>
      <c r="C112" s="351">
        <f t="shared" si="90"/>
        <v>16</v>
      </c>
      <c r="D112" s="352">
        <f t="shared" si="91"/>
        <v>41729</v>
      </c>
      <c r="E112" s="364" t="str">
        <f t="shared" si="66"/>
        <v/>
      </c>
      <c r="F112" s="6"/>
      <c r="G112" s="7" t="str">
        <f t="shared" si="92"/>
        <v/>
      </c>
      <c r="H112" s="8"/>
      <c r="I112" s="8">
        <f t="shared" si="88"/>
        <v>0</v>
      </c>
      <c r="J112" s="129">
        <f t="shared" si="86"/>
        <v>0</v>
      </c>
      <c r="K112" s="8"/>
      <c r="L112" s="8">
        <f t="shared" si="67"/>
        <v>0</v>
      </c>
      <c r="M112" s="129">
        <f t="shared" si="68"/>
        <v>0</v>
      </c>
      <c r="N112" s="129"/>
      <c r="O112" s="129">
        <f t="shared" si="61"/>
        <v>0</v>
      </c>
      <c r="P112" s="129"/>
      <c r="Q112" s="129">
        <f t="shared" si="69"/>
        <v>0</v>
      </c>
      <c r="R112" s="129">
        <f t="shared" si="70"/>
        <v>0</v>
      </c>
      <c r="S112" s="693">
        <f t="shared" si="71"/>
        <v>6</v>
      </c>
      <c r="T112" s="129">
        <f t="shared" si="89"/>
        <v>0</v>
      </c>
      <c r="U112" s="165">
        <f t="shared" si="72"/>
        <v>0</v>
      </c>
      <c r="V112" s="75"/>
      <c r="W112" s="131">
        <f t="shared" si="62"/>
        <v>4.1666666666666664E-2</v>
      </c>
      <c r="X112" s="126">
        <f t="shared" si="73"/>
        <v>0</v>
      </c>
      <c r="Y112" s="127">
        <f t="shared" si="93"/>
        <v>0.33333333333333331</v>
      </c>
      <c r="Z112" s="128">
        <f t="shared" si="94"/>
        <v>0</v>
      </c>
      <c r="AA112" s="76" t="str">
        <f t="shared" si="95"/>
        <v/>
      </c>
      <c r="AB112" s="216">
        <f t="shared" si="63"/>
        <v>0</v>
      </c>
      <c r="AC112" s="163" t="str">
        <f t="shared" si="96"/>
        <v/>
      </c>
      <c r="AD112" s="257">
        <f t="shared" si="80"/>
        <v>0</v>
      </c>
      <c r="AE112" s="138"/>
      <c r="AF112" s="138" t="str">
        <f t="shared" si="81"/>
        <v/>
      </c>
      <c r="AG112" s="77">
        <f t="shared" si="97"/>
        <v>0</v>
      </c>
      <c r="AH112" s="77">
        <f t="shared" si="98"/>
        <v>0</v>
      </c>
      <c r="AI112" s="77" t="str">
        <f t="shared" si="82"/>
        <v/>
      </c>
      <c r="AJ112" s="78">
        <f t="shared" si="64"/>
        <v>2</v>
      </c>
      <c r="AK112" s="139">
        <f>SUM($AC$6:AC112)</f>
        <v>0</v>
      </c>
      <c r="AL112" s="139">
        <f t="shared" ca="1" si="74"/>
        <v>0</v>
      </c>
      <c r="AM112" s="143">
        <f t="shared" si="83"/>
        <v>0</v>
      </c>
      <c r="AN112" s="143">
        <f t="shared" si="84"/>
        <v>0</v>
      </c>
      <c r="AO112" s="143">
        <f t="shared" si="85"/>
        <v>0</v>
      </c>
      <c r="AP112" s="142">
        <f t="shared" si="75"/>
        <v>30</v>
      </c>
      <c r="AQ112" s="142">
        <f t="shared" ca="1" si="76"/>
        <v>30</v>
      </c>
      <c r="AR112" s="154">
        <f t="shared" si="87"/>
        <v>0</v>
      </c>
      <c r="AS112" s="142">
        <f t="shared" si="77"/>
        <v>0</v>
      </c>
      <c r="AT112" t="b">
        <f>OR((F112&gt;0),(NOT(ISBLANK(H112))),SUM(H112:H$373),SUM(G112:G$373))</f>
        <v>0</v>
      </c>
      <c r="AU112" t="b">
        <f t="shared" ca="1" si="65"/>
        <v>0</v>
      </c>
    </row>
    <row r="113" spans="1:47">
      <c r="A113" s="349">
        <f t="shared" si="78"/>
        <v>41746</v>
      </c>
      <c r="B113" s="350">
        <f t="shared" si="79"/>
        <v>41746</v>
      </c>
      <c r="C113" s="351">
        <f t="shared" si="90"/>
        <v>16</v>
      </c>
      <c r="D113" s="352">
        <f t="shared" si="91"/>
        <v>41729</v>
      </c>
      <c r="E113" s="364" t="str">
        <f t="shared" si="66"/>
        <v/>
      </c>
      <c r="F113" s="6"/>
      <c r="G113" s="7" t="str">
        <f t="shared" si="92"/>
        <v/>
      </c>
      <c r="H113" s="8"/>
      <c r="I113" s="8">
        <f t="shared" si="88"/>
        <v>0</v>
      </c>
      <c r="J113" s="129">
        <f t="shared" si="86"/>
        <v>0</v>
      </c>
      <c r="K113" s="8"/>
      <c r="L113" s="8">
        <f t="shared" si="67"/>
        <v>0</v>
      </c>
      <c r="M113" s="129">
        <f t="shared" si="68"/>
        <v>0</v>
      </c>
      <c r="N113" s="129"/>
      <c r="O113" s="129">
        <f t="shared" si="61"/>
        <v>0</v>
      </c>
      <c r="P113" s="129"/>
      <c r="Q113" s="129">
        <f t="shared" si="69"/>
        <v>0</v>
      </c>
      <c r="R113" s="129">
        <f t="shared" si="70"/>
        <v>0</v>
      </c>
      <c r="S113" s="693">
        <f t="shared" si="71"/>
        <v>6</v>
      </c>
      <c r="T113" s="129">
        <f t="shared" si="89"/>
        <v>0</v>
      </c>
      <c r="U113" s="165">
        <f t="shared" si="72"/>
        <v>0</v>
      </c>
      <c r="V113" s="75"/>
      <c r="W113" s="131">
        <f t="shared" si="62"/>
        <v>4.1666666666666664E-2</v>
      </c>
      <c r="X113" s="126">
        <f t="shared" si="73"/>
        <v>0</v>
      </c>
      <c r="Y113" s="127">
        <f t="shared" si="93"/>
        <v>0.33333333333333331</v>
      </c>
      <c r="Z113" s="128">
        <f t="shared" si="94"/>
        <v>0</v>
      </c>
      <c r="AA113" s="76" t="str">
        <f t="shared" si="95"/>
        <v/>
      </c>
      <c r="AB113" s="216">
        <f t="shared" si="63"/>
        <v>0</v>
      </c>
      <c r="AC113" s="163" t="str">
        <f t="shared" si="96"/>
        <v/>
      </c>
      <c r="AD113" s="257">
        <f t="shared" si="80"/>
        <v>0</v>
      </c>
      <c r="AE113" s="138"/>
      <c r="AF113" s="138" t="str">
        <f t="shared" si="81"/>
        <v/>
      </c>
      <c r="AG113" s="77">
        <f t="shared" si="97"/>
        <v>0</v>
      </c>
      <c r="AH113" s="77">
        <f t="shared" si="98"/>
        <v>0</v>
      </c>
      <c r="AI113" s="77" t="str">
        <f t="shared" si="82"/>
        <v/>
      </c>
      <c r="AJ113" s="78">
        <f t="shared" si="64"/>
        <v>3</v>
      </c>
      <c r="AK113" s="139">
        <f>SUM($AC$6:AC113)</f>
        <v>0</v>
      </c>
      <c r="AL113" s="139">
        <f t="shared" ca="1" si="74"/>
        <v>0</v>
      </c>
      <c r="AM113" s="143">
        <f t="shared" si="83"/>
        <v>0</v>
      </c>
      <c r="AN113" s="143">
        <f t="shared" si="84"/>
        <v>0</v>
      </c>
      <c r="AO113" s="143">
        <f t="shared" si="85"/>
        <v>0</v>
      </c>
      <c r="AP113" s="142">
        <f t="shared" si="75"/>
        <v>30</v>
      </c>
      <c r="AQ113" s="142">
        <f t="shared" ca="1" si="76"/>
        <v>30</v>
      </c>
      <c r="AR113" s="154">
        <f t="shared" si="87"/>
        <v>0</v>
      </c>
      <c r="AS113" s="142">
        <f t="shared" si="77"/>
        <v>0</v>
      </c>
      <c r="AT113" t="b">
        <f>OR((F113&gt;0),(NOT(ISBLANK(H113))),SUM(H113:H$373),SUM(G113:G$373))</f>
        <v>0</v>
      </c>
      <c r="AU113" t="b">
        <f t="shared" ca="1" si="65"/>
        <v>0</v>
      </c>
    </row>
    <row r="114" spans="1:47">
      <c r="A114" s="349">
        <f t="shared" si="78"/>
        <v>41747</v>
      </c>
      <c r="B114" s="350">
        <f t="shared" si="79"/>
        <v>41747</v>
      </c>
      <c r="C114" s="351">
        <f t="shared" si="90"/>
        <v>16</v>
      </c>
      <c r="D114" s="352">
        <f t="shared" si="91"/>
        <v>41729</v>
      </c>
      <c r="E114" s="364" t="str">
        <f t="shared" si="66"/>
        <v/>
      </c>
      <c r="F114" s="6"/>
      <c r="G114" s="7" t="str">
        <f t="shared" si="92"/>
        <v/>
      </c>
      <c r="H114" s="8"/>
      <c r="I114" s="8">
        <f t="shared" si="88"/>
        <v>0</v>
      </c>
      <c r="J114" s="129">
        <f t="shared" si="86"/>
        <v>0</v>
      </c>
      <c r="K114" s="8"/>
      <c r="L114" s="8">
        <f t="shared" si="67"/>
        <v>0</v>
      </c>
      <c r="M114" s="129">
        <f t="shared" si="68"/>
        <v>0</v>
      </c>
      <c r="N114" s="129"/>
      <c r="O114" s="129">
        <f t="shared" si="61"/>
        <v>0</v>
      </c>
      <c r="P114" s="129"/>
      <c r="Q114" s="129">
        <f t="shared" si="69"/>
        <v>0</v>
      </c>
      <c r="R114" s="129">
        <f t="shared" si="70"/>
        <v>0</v>
      </c>
      <c r="S114" s="693">
        <f t="shared" si="71"/>
        <v>6</v>
      </c>
      <c r="T114" s="129">
        <f t="shared" si="89"/>
        <v>0</v>
      </c>
      <c r="U114" s="165">
        <f t="shared" si="72"/>
        <v>0</v>
      </c>
      <c r="V114" s="75"/>
      <c r="W114" s="131">
        <f t="shared" si="62"/>
        <v>4.1666666666666664E-2</v>
      </c>
      <c r="X114" s="126">
        <f t="shared" si="73"/>
        <v>0</v>
      </c>
      <c r="Y114" s="127">
        <f t="shared" si="93"/>
        <v>0.33333333333333331</v>
      </c>
      <c r="Z114" s="128">
        <f t="shared" si="94"/>
        <v>0</v>
      </c>
      <c r="AA114" s="76" t="str">
        <f t="shared" si="95"/>
        <v/>
      </c>
      <c r="AB114" s="216">
        <f t="shared" si="63"/>
        <v>0</v>
      </c>
      <c r="AC114" s="163" t="str">
        <f t="shared" si="96"/>
        <v/>
      </c>
      <c r="AD114" s="257">
        <f t="shared" si="80"/>
        <v>0</v>
      </c>
      <c r="AE114" s="138"/>
      <c r="AF114" s="138" t="str">
        <f t="shared" si="81"/>
        <v/>
      </c>
      <c r="AG114" s="77">
        <f t="shared" si="97"/>
        <v>0</v>
      </c>
      <c r="AH114" s="77">
        <f t="shared" si="98"/>
        <v>0</v>
      </c>
      <c r="AI114" s="77" t="str">
        <f t="shared" si="82"/>
        <v/>
      </c>
      <c r="AJ114" s="78">
        <f t="shared" si="64"/>
        <v>4</v>
      </c>
      <c r="AK114" s="139">
        <f>SUM($AC$6:AC114)</f>
        <v>0</v>
      </c>
      <c r="AL114" s="139">
        <f t="shared" ca="1" si="74"/>
        <v>0</v>
      </c>
      <c r="AM114" s="143">
        <f t="shared" si="83"/>
        <v>0</v>
      </c>
      <c r="AN114" s="143">
        <f t="shared" si="84"/>
        <v>0</v>
      </c>
      <c r="AO114" s="143">
        <f t="shared" si="85"/>
        <v>0</v>
      </c>
      <c r="AP114" s="142">
        <f t="shared" si="75"/>
        <v>30</v>
      </c>
      <c r="AQ114" s="142">
        <f t="shared" ca="1" si="76"/>
        <v>30</v>
      </c>
      <c r="AR114" s="154">
        <f t="shared" si="87"/>
        <v>0</v>
      </c>
      <c r="AS114" s="142">
        <f t="shared" si="77"/>
        <v>0</v>
      </c>
      <c r="AT114" t="b">
        <f>OR((F114&gt;0),(NOT(ISBLANK(H114))),SUM(H114:H$373),SUM(G114:G$373))</f>
        <v>0</v>
      </c>
      <c r="AU114" t="b">
        <f t="shared" ca="1" si="65"/>
        <v>0</v>
      </c>
    </row>
    <row r="115" spans="1:47">
      <c r="A115" s="349">
        <f t="shared" si="78"/>
        <v>41748</v>
      </c>
      <c r="B115" s="350">
        <f t="shared" si="79"/>
        <v>41748</v>
      </c>
      <c r="C115" s="351">
        <f t="shared" si="90"/>
        <v>16</v>
      </c>
      <c r="D115" s="352">
        <f t="shared" si="91"/>
        <v>41729</v>
      </c>
      <c r="E115" s="364" t="str">
        <f t="shared" si="66"/>
        <v/>
      </c>
      <c r="F115" s="6"/>
      <c r="G115" s="7" t="str">
        <f t="shared" si="92"/>
        <v/>
      </c>
      <c r="H115" s="8"/>
      <c r="I115" s="8">
        <f t="shared" si="88"/>
        <v>0</v>
      </c>
      <c r="J115" s="129">
        <f t="shared" si="86"/>
        <v>0</v>
      </c>
      <c r="K115" s="8"/>
      <c r="L115" s="8">
        <f t="shared" si="67"/>
        <v>0</v>
      </c>
      <c r="M115" s="129">
        <f t="shared" si="68"/>
        <v>0</v>
      </c>
      <c r="N115" s="129"/>
      <c r="O115" s="129">
        <f t="shared" si="61"/>
        <v>0</v>
      </c>
      <c r="P115" s="129"/>
      <c r="Q115" s="129">
        <f t="shared" si="69"/>
        <v>0</v>
      </c>
      <c r="R115" s="129">
        <f t="shared" si="70"/>
        <v>0</v>
      </c>
      <c r="S115" s="693">
        <f t="shared" si="71"/>
        <v>6</v>
      </c>
      <c r="T115" s="129">
        <f t="shared" si="89"/>
        <v>0</v>
      </c>
      <c r="U115" s="165">
        <f t="shared" si="72"/>
        <v>0</v>
      </c>
      <c r="V115" s="75"/>
      <c r="W115" s="131">
        <f t="shared" si="62"/>
        <v>4.1666666666666664E-2</v>
      </c>
      <c r="X115" s="126">
        <f t="shared" si="73"/>
        <v>0</v>
      </c>
      <c r="Y115" s="127">
        <f t="shared" si="93"/>
        <v>0.33333333333333331</v>
      </c>
      <c r="Z115" s="128">
        <f t="shared" si="94"/>
        <v>0</v>
      </c>
      <c r="AA115" s="76" t="str">
        <f t="shared" si="95"/>
        <v/>
      </c>
      <c r="AB115" s="216">
        <f t="shared" si="63"/>
        <v>0</v>
      </c>
      <c r="AC115" s="163" t="str">
        <f t="shared" si="96"/>
        <v/>
      </c>
      <c r="AD115" s="257">
        <f t="shared" si="80"/>
        <v>0</v>
      </c>
      <c r="AE115" s="138"/>
      <c r="AF115" s="138" t="str">
        <f t="shared" si="81"/>
        <v/>
      </c>
      <c r="AG115" s="77">
        <f t="shared" si="97"/>
        <v>0</v>
      </c>
      <c r="AH115" s="77">
        <f t="shared" si="98"/>
        <v>0</v>
      </c>
      <c r="AI115" s="77" t="str">
        <f t="shared" si="82"/>
        <v/>
      </c>
      <c r="AJ115" s="78">
        <f t="shared" si="64"/>
        <v>5</v>
      </c>
      <c r="AK115" s="139">
        <f>SUM($AC$6:AC115)</f>
        <v>0</v>
      </c>
      <c r="AL115" s="139">
        <f t="shared" ca="1" si="74"/>
        <v>0</v>
      </c>
      <c r="AM115" s="143">
        <f t="shared" si="83"/>
        <v>0</v>
      </c>
      <c r="AN115" s="143">
        <f t="shared" si="84"/>
        <v>0</v>
      </c>
      <c r="AO115" s="143">
        <f t="shared" si="85"/>
        <v>0</v>
      </c>
      <c r="AP115" s="142">
        <f t="shared" si="75"/>
        <v>30</v>
      </c>
      <c r="AQ115" s="142">
        <f t="shared" ca="1" si="76"/>
        <v>30</v>
      </c>
      <c r="AR115" s="154">
        <f t="shared" si="87"/>
        <v>0</v>
      </c>
      <c r="AS115" s="142">
        <f t="shared" si="77"/>
        <v>0</v>
      </c>
      <c r="AT115" t="b">
        <f>OR((F115&gt;0),(NOT(ISBLANK(H115))),SUM(H115:H$373),SUM(G115:G$373))</f>
        <v>0</v>
      </c>
      <c r="AU115" t="b">
        <f t="shared" ca="1" si="65"/>
        <v>0</v>
      </c>
    </row>
    <row r="116" spans="1:47">
      <c r="A116" s="349">
        <f t="shared" si="78"/>
        <v>41749</v>
      </c>
      <c r="B116" s="350">
        <f t="shared" si="79"/>
        <v>41749</v>
      </c>
      <c r="C116" s="351">
        <f t="shared" si="90"/>
        <v>16</v>
      </c>
      <c r="D116" s="352">
        <f t="shared" si="91"/>
        <v>41729</v>
      </c>
      <c r="E116" s="364" t="str">
        <f t="shared" si="66"/>
        <v/>
      </c>
      <c r="F116" s="6"/>
      <c r="G116" s="7" t="str">
        <f t="shared" si="92"/>
        <v/>
      </c>
      <c r="H116" s="8"/>
      <c r="I116" s="8">
        <f t="shared" si="88"/>
        <v>0</v>
      </c>
      <c r="J116" s="129">
        <f t="shared" si="86"/>
        <v>0</v>
      </c>
      <c r="K116" s="8"/>
      <c r="L116" s="8">
        <f t="shared" si="67"/>
        <v>0</v>
      </c>
      <c r="M116" s="129">
        <f t="shared" si="68"/>
        <v>0</v>
      </c>
      <c r="N116" s="129"/>
      <c r="O116" s="129">
        <f t="shared" si="61"/>
        <v>0</v>
      </c>
      <c r="P116" s="129"/>
      <c r="Q116" s="129">
        <f t="shared" si="69"/>
        <v>0</v>
      </c>
      <c r="R116" s="129">
        <f t="shared" si="70"/>
        <v>0</v>
      </c>
      <c r="S116" s="693">
        <f t="shared" si="71"/>
        <v>6</v>
      </c>
      <c r="T116" s="129">
        <f t="shared" si="89"/>
        <v>0</v>
      </c>
      <c r="U116" s="165">
        <f t="shared" si="72"/>
        <v>0</v>
      </c>
      <c r="V116" s="75"/>
      <c r="W116" s="131">
        <f t="shared" si="62"/>
        <v>4.1666666666666664E-2</v>
      </c>
      <c r="X116" s="126">
        <f t="shared" si="73"/>
        <v>0</v>
      </c>
      <c r="Y116" s="127">
        <f t="shared" si="93"/>
        <v>0</v>
      </c>
      <c r="Z116" s="128">
        <f t="shared" si="94"/>
        <v>0</v>
      </c>
      <c r="AA116" s="76" t="str">
        <f t="shared" si="95"/>
        <v/>
      </c>
      <c r="AB116" s="216">
        <f t="shared" si="63"/>
        <v>0</v>
      </c>
      <c r="AC116" s="163" t="str">
        <f t="shared" si="96"/>
        <v/>
      </c>
      <c r="AD116" s="257">
        <f t="shared" si="80"/>
        <v>0</v>
      </c>
      <c r="AE116" s="138"/>
      <c r="AF116" s="138" t="str">
        <f t="shared" si="81"/>
        <v/>
      </c>
      <c r="AG116" s="77">
        <f t="shared" si="97"/>
        <v>0</v>
      </c>
      <c r="AH116" s="77">
        <f t="shared" si="98"/>
        <v>0</v>
      </c>
      <c r="AI116" s="77" t="str">
        <f t="shared" si="82"/>
        <v/>
      </c>
      <c r="AJ116" s="78">
        <f t="shared" si="64"/>
        <v>6</v>
      </c>
      <c r="AK116" s="139">
        <f>SUM($AC$6:AC116)</f>
        <v>0</v>
      </c>
      <c r="AL116" s="139">
        <f t="shared" ca="1" si="74"/>
        <v>0</v>
      </c>
      <c r="AM116" s="143">
        <f t="shared" si="83"/>
        <v>0</v>
      </c>
      <c r="AN116" s="143">
        <f t="shared" si="84"/>
        <v>0</v>
      </c>
      <c r="AO116" s="143">
        <f t="shared" si="85"/>
        <v>0</v>
      </c>
      <c r="AP116" s="142">
        <f t="shared" si="75"/>
        <v>30</v>
      </c>
      <c r="AQ116" s="142">
        <f t="shared" ca="1" si="76"/>
        <v>30</v>
      </c>
      <c r="AR116" s="154">
        <f t="shared" si="87"/>
        <v>0</v>
      </c>
      <c r="AS116" s="142">
        <f t="shared" si="77"/>
        <v>7</v>
      </c>
      <c r="AT116" t="b">
        <f>OR((F116&gt;0),(NOT(ISBLANK(H116))),SUM(H116:H$373),SUM(G116:G$373))</f>
        <v>0</v>
      </c>
      <c r="AU116" t="b">
        <f t="shared" ca="1" si="65"/>
        <v>1</v>
      </c>
    </row>
    <row r="117" spans="1:47">
      <c r="A117" s="349">
        <f t="shared" si="78"/>
        <v>41750</v>
      </c>
      <c r="B117" s="350">
        <f t="shared" si="79"/>
        <v>41750</v>
      </c>
      <c r="C117" s="351">
        <f t="shared" si="90"/>
        <v>16</v>
      </c>
      <c r="D117" s="352">
        <f t="shared" si="91"/>
        <v>41729</v>
      </c>
      <c r="E117" s="364" t="str">
        <f t="shared" si="66"/>
        <v/>
      </c>
      <c r="F117" s="6"/>
      <c r="G117" s="7" t="str">
        <f t="shared" si="92"/>
        <v/>
      </c>
      <c r="H117" s="8"/>
      <c r="I117" s="8">
        <f t="shared" si="88"/>
        <v>0</v>
      </c>
      <c r="J117" s="129">
        <f t="shared" si="86"/>
        <v>0</v>
      </c>
      <c r="K117" s="8"/>
      <c r="L117" s="8">
        <f t="shared" si="67"/>
        <v>0</v>
      </c>
      <c r="M117" s="129">
        <f t="shared" si="68"/>
        <v>0</v>
      </c>
      <c r="N117" s="129"/>
      <c r="O117" s="129">
        <f t="shared" si="61"/>
        <v>0</v>
      </c>
      <c r="P117" s="129"/>
      <c r="Q117" s="129">
        <f t="shared" si="69"/>
        <v>0</v>
      </c>
      <c r="R117" s="129">
        <f t="shared" si="70"/>
        <v>0</v>
      </c>
      <c r="S117" s="693">
        <f t="shared" si="71"/>
        <v>6</v>
      </c>
      <c r="T117" s="129">
        <f t="shared" si="89"/>
        <v>0</v>
      </c>
      <c r="U117" s="165">
        <f t="shared" si="72"/>
        <v>0</v>
      </c>
      <c r="V117" s="75"/>
      <c r="W117" s="131">
        <f t="shared" si="62"/>
        <v>4.1666666666666664E-2</v>
      </c>
      <c r="X117" s="126">
        <f t="shared" si="73"/>
        <v>0</v>
      </c>
      <c r="Y117" s="127">
        <f t="shared" si="93"/>
        <v>0</v>
      </c>
      <c r="Z117" s="128">
        <f t="shared" si="94"/>
        <v>0</v>
      </c>
      <c r="AA117" s="76" t="str">
        <f t="shared" si="95"/>
        <v/>
      </c>
      <c r="AB117" s="216">
        <f t="shared" si="63"/>
        <v>0</v>
      </c>
      <c r="AC117" s="163" t="str">
        <f t="shared" si="96"/>
        <v/>
      </c>
      <c r="AD117" s="257">
        <f t="shared" si="80"/>
        <v>0</v>
      </c>
      <c r="AE117" s="138"/>
      <c r="AF117" s="138" t="str">
        <f t="shared" si="81"/>
        <v/>
      </c>
      <c r="AG117" s="77">
        <f t="shared" si="97"/>
        <v>0</v>
      </c>
      <c r="AH117" s="77">
        <f t="shared" si="98"/>
        <v>0</v>
      </c>
      <c r="AI117" s="77" t="str">
        <f t="shared" si="82"/>
        <v/>
      </c>
      <c r="AJ117" s="78">
        <f t="shared" si="64"/>
        <v>7</v>
      </c>
      <c r="AK117" s="139">
        <f>SUM($AC$6:AC117)</f>
        <v>0</v>
      </c>
      <c r="AL117" s="139">
        <f t="shared" ca="1" si="74"/>
        <v>0</v>
      </c>
      <c r="AM117" s="143">
        <f t="shared" si="83"/>
        <v>0</v>
      </c>
      <c r="AN117" s="143">
        <f t="shared" si="84"/>
        <v>0</v>
      </c>
      <c r="AO117" s="143">
        <f t="shared" si="85"/>
        <v>0</v>
      </c>
      <c r="AP117" s="142">
        <f t="shared" si="75"/>
        <v>30</v>
      </c>
      <c r="AQ117" s="142">
        <f t="shared" ca="1" si="76"/>
        <v>30</v>
      </c>
      <c r="AR117" s="154">
        <f t="shared" si="87"/>
        <v>0</v>
      </c>
      <c r="AS117" s="142">
        <f t="shared" si="77"/>
        <v>7</v>
      </c>
      <c r="AT117" t="b">
        <f>OR((F117&gt;0),(NOT(ISBLANK(H117))),SUM(H117:H$373),SUM(G117:G$373))</f>
        <v>0</v>
      </c>
      <c r="AU117" t="b">
        <f t="shared" ca="1" si="65"/>
        <v>1</v>
      </c>
    </row>
    <row r="118" spans="1:47">
      <c r="A118" s="349">
        <f t="shared" si="78"/>
        <v>41751</v>
      </c>
      <c r="B118" s="350">
        <f t="shared" si="79"/>
        <v>41751</v>
      </c>
      <c r="C118" s="351">
        <f t="shared" si="90"/>
        <v>17</v>
      </c>
      <c r="D118" s="352">
        <f t="shared" si="91"/>
        <v>41729</v>
      </c>
      <c r="E118" s="364" t="str">
        <f t="shared" si="66"/>
        <v/>
      </c>
      <c r="F118" s="6"/>
      <c r="G118" s="7" t="str">
        <f t="shared" si="92"/>
        <v/>
      </c>
      <c r="H118" s="8"/>
      <c r="I118" s="8">
        <f t="shared" si="88"/>
        <v>0</v>
      </c>
      <c r="J118" s="129">
        <f t="shared" si="86"/>
        <v>0</v>
      </c>
      <c r="K118" s="8"/>
      <c r="L118" s="8">
        <f t="shared" si="67"/>
        <v>0</v>
      </c>
      <c r="M118" s="129">
        <f t="shared" si="68"/>
        <v>0</v>
      </c>
      <c r="N118" s="129"/>
      <c r="O118" s="129">
        <f t="shared" si="61"/>
        <v>0</v>
      </c>
      <c r="P118" s="129"/>
      <c r="Q118" s="129">
        <f t="shared" si="69"/>
        <v>0</v>
      </c>
      <c r="R118" s="129">
        <f t="shared" si="70"/>
        <v>0</v>
      </c>
      <c r="S118" s="693">
        <f t="shared" si="71"/>
        <v>6</v>
      </c>
      <c r="T118" s="129">
        <f t="shared" si="89"/>
        <v>0</v>
      </c>
      <c r="U118" s="165">
        <f t="shared" si="72"/>
        <v>0</v>
      </c>
      <c r="V118" s="75"/>
      <c r="W118" s="131">
        <f t="shared" si="62"/>
        <v>4.1666666666666664E-2</v>
      </c>
      <c r="X118" s="126">
        <f t="shared" si="73"/>
        <v>0</v>
      </c>
      <c r="Y118" s="127">
        <f t="shared" si="93"/>
        <v>0.33333333333333331</v>
      </c>
      <c r="Z118" s="128">
        <f t="shared" si="94"/>
        <v>0</v>
      </c>
      <c r="AA118" s="76" t="str">
        <f t="shared" si="95"/>
        <v/>
      </c>
      <c r="AB118" s="216">
        <f t="shared" si="63"/>
        <v>0</v>
      </c>
      <c r="AC118" s="163" t="str">
        <f t="shared" si="96"/>
        <v/>
      </c>
      <c r="AD118" s="257">
        <f t="shared" si="80"/>
        <v>0</v>
      </c>
      <c r="AE118" s="138"/>
      <c r="AF118" s="138" t="str">
        <f t="shared" si="81"/>
        <v/>
      </c>
      <c r="AG118" s="77">
        <f t="shared" si="97"/>
        <v>0</v>
      </c>
      <c r="AH118" s="77">
        <f t="shared" si="98"/>
        <v>0</v>
      </c>
      <c r="AI118" s="77" t="str">
        <f t="shared" si="82"/>
        <v/>
      </c>
      <c r="AJ118" s="78">
        <f t="shared" si="64"/>
        <v>1</v>
      </c>
      <c r="AK118" s="139">
        <f>SUM($AC$6:AC118)</f>
        <v>0</v>
      </c>
      <c r="AL118" s="139">
        <f t="shared" ca="1" si="74"/>
        <v>0</v>
      </c>
      <c r="AM118" s="143">
        <f t="shared" si="83"/>
        <v>0</v>
      </c>
      <c r="AN118" s="143">
        <f t="shared" si="84"/>
        <v>0</v>
      </c>
      <c r="AO118" s="143">
        <f t="shared" si="85"/>
        <v>0</v>
      </c>
      <c r="AP118" s="142">
        <f t="shared" si="75"/>
        <v>30</v>
      </c>
      <c r="AQ118" s="142">
        <f t="shared" ca="1" si="76"/>
        <v>30</v>
      </c>
      <c r="AR118" s="154">
        <f t="shared" si="87"/>
        <v>0</v>
      </c>
      <c r="AS118" s="142">
        <f t="shared" si="77"/>
        <v>0</v>
      </c>
      <c r="AT118" t="b">
        <f>OR((F118&gt;0),(NOT(ISBLANK(H118))),SUM(H118:H$373),SUM(G118:G$373))</f>
        <v>0</v>
      </c>
      <c r="AU118" t="b">
        <f t="shared" ca="1" si="65"/>
        <v>0</v>
      </c>
    </row>
    <row r="119" spans="1:47">
      <c r="A119" s="349">
        <f t="shared" si="78"/>
        <v>41752</v>
      </c>
      <c r="B119" s="350">
        <f t="shared" si="79"/>
        <v>41752</v>
      </c>
      <c r="C119" s="351">
        <f t="shared" si="90"/>
        <v>17</v>
      </c>
      <c r="D119" s="352">
        <f t="shared" si="91"/>
        <v>41729</v>
      </c>
      <c r="E119" s="364" t="str">
        <f t="shared" si="66"/>
        <v/>
      </c>
      <c r="F119" s="6"/>
      <c r="G119" s="7" t="str">
        <f t="shared" si="92"/>
        <v/>
      </c>
      <c r="H119" s="8"/>
      <c r="I119" s="8">
        <f t="shared" si="88"/>
        <v>0</v>
      </c>
      <c r="J119" s="129">
        <f t="shared" si="86"/>
        <v>0</v>
      </c>
      <c r="K119" s="8"/>
      <c r="L119" s="8">
        <f t="shared" si="67"/>
        <v>0</v>
      </c>
      <c r="M119" s="129">
        <f t="shared" si="68"/>
        <v>0</v>
      </c>
      <c r="N119" s="129"/>
      <c r="O119" s="129">
        <f t="shared" si="61"/>
        <v>0</v>
      </c>
      <c r="P119" s="129"/>
      <c r="Q119" s="129">
        <f t="shared" si="69"/>
        <v>0</v>
      </c>
      <c r="R119" s="129">
        <f t="shared" si="70"/>
        <v>0</v>
      </c>
      <c r="S119" s="693">
        <f t="shared" si="71"/>
        <v>6</v>
      </c>
      <c r="T119" s="129">
        <f t="shared" si="89"/>
        <v>0</v>
      </c>
      <c r="U119" s="165">
        <f t="shared" si="72"/>
        <v>0</v>
      </c>
      <c r="V119" s="75"/>
      <c r="W119" s="131">
        <f t="shared" si="62"/>
        <v>4.1666666666666664E-2</v>
      </c>
      <c r="X119" s="126">
        <f t="shared" si="73"/>
        <v>0</v>
      </c>
      <c r="Y119" s="127">
        <f t="shared" si="93"/>
        <v>0.33333333333333331</v>
      </c>
      <c r="Z119" s="128">
        <f t="shared" si="94"/>
        <v>0</v>
      </c>
      <c r="AA119" s="76" t="str">
        <f t="shared" si="95"/>
        <v/>
      </c>
      <c r="AB119" s="216">
        <f t="shared" si="63"/>
        <v>0</v>
      </c>
      <c r="AC119" s="163" t="str">
        <f t="shared" si="96"/>
        <v/>
      </c>
      <c r="AD119" s="257">
        <f t="shared" si="80"/>
        <v>0</v>
      </c>
      <c r="AE119" s="138"/>
      <c r="AF119" s="138" t="str">
        <f t="shared" si="81"/>
        <v/>
      </c>
      <c r="AG119" s="77">
        <f t="shared" si="97"/>
        <v>0</v>
      </c>
      <c r="AH119" s="77">
        <f t="shared" si="98"/>
        <v>0</v>
      </c>
      <c r="AI119" s="77" t="str">
        <f t="shared" si="82"/>
        <v/>
      </c>
      <c r="AJ119" s="78">
        <f t="shared" si="64"/>
        <v>2</v>
      </c>
      <c r="AK119" s="139">
        <f>SUM($AC$6:AC119)</f>
        <v>0</v>
      </c>
      <c r="AL119" s="139">
        <f t="shared" ca="1" si="74"/>
        <v>0</v>
      </c>
      <c r="AM119" s="143">
        <f t="shared" si="83"/>
        <v>0</v>
      </c>
      <c r="AN119" s="143">
        <f t="shared" si="84"/>
        <v>0</v>
      </c>
      <c r="AO119" s="143">
        <f t="shared" si="85"/>
        <v>0</v>
      </c>
      <c r="AP119" s="142">
        <f t="shared" si="75"/>
        <v>30</v>
      </c>
      <c r="AQ119" s="142">
        <f t="shared" ca="1" si="76"/>
        <v>30</v>
      </c>
      <c r="AR119" s="154">
        <f t="shared" si="87"/>
        <v>0</v>
      </c>
      <c r="AS119" s="142">
        <f t="shared" si="77"/>
        <v>0</v>
      </c>
      <c r="AT119" t="b">
        <f>OR((F119&gt;0),(NOT(ISBLANK(H119))),SUM(H119:H$373),SUM(G119:G$373))</f>
        <v>0</v>
      </c>
      <c r="AU119" t="b">
        <f t="shared" ca="1" si="65"/>
        <v>0</v>
      </c>
    </row>
    <row r="120" spans="1:47">
      <c r="A120" s="349">
        <f t="shared" si="78"/>
        <v>41753</v>
      </c>
      <c r="B120" s="350">
        <f t="shared" si="79"/>
        <v>41753</v>
      </c>
      <c r="C120" s="351">
        <f t="shared" si="90"/>
        <v>17</v>
      </c>
      <c r="D120" s="352">
        <f t="shared" si="91"/>
        <v>41729</v>
      </c>
      <c r="E120" s="364" t="str">
        <f t="shared" si="66"/>
        <v/>
      </c>
      <c r="F120" s="6"/>
      <c r="G120" s="7" t="str">
        <f t="shared" si="92"/>
        <v/>
      </c>
      <c r="H120" s="8"/>
      <c r="I120" s="8">
        <f t="shared" si="88"/>
        <v>0</v>
      </c>
      <c r="J120" s="129">
        <f t="shared" si="86"/>
        <v>0</v>
      </c>
      <c r="K120" s="8"/>
      <c r="L120" s="8">
        <f t="shared" si="67"/>
        <v>0</v>
      </c>
      <c r="M120" s="129">
        <f t="shared" si="68"/>
        <v>0</v>
      </c>
      <c r="N120" s="129"/>
      <c r="O120" s="129">
        <f t="shared" si="61"/>
        <v>0</v>
      </c>
      <c r="P120" s="129"/>
      <c r="Q120" s="129">
        <f t="shared" si="69"/>
        <v>0</v>
      </c>
      <c r="R120" s="129">
        <f t="shared" si="70"/>
        <v>0</v>
      </c>
      <c r="S120" s="693">
        <f t="shared" si="71"/>
        <v>6</v>
      </c>
      <c r="T120" s="129">
        <f t="shared" si="89"/>
        <v>0</v>
      </c>
      <c r="U120" s="165">
        <f t="shared" si="72"/>
        <v>0</v>
      </c>
      <c r="V120" s="75"/>
      <c r="W120" s="131">
        <f t="shared" si="62"/>
        <v>4.1666666666666664E-2</v>
      </c>
      <c r="X120" s="126">
        <f t="shared" si="73"/>
        <v>0</v>
      </c>
      <c r="Y120" s="127">
        <f t="shared" si="93"/>
        <v>0.33333333333333331</v>
      </c>
      <c r="Z120" s="128">
        <f t="shared" si="94"/>
        <v>0</v>
      </c>
      <c r="AA120" s="76" t="str">
        <f t="shared" si="95"/>
        <v/>
      </c>
      <c r="AB120" s="216">
        <f t="shared" si="63"/>
        <v>0</v>
      </c>
      <c r="AC120" s="163" t="str">
        <f t="shared" si="96"/>
        <v/>
      </c>
      <c r="AD120" s="257">
        <f t="shared" si="80"/>
        <v>0</v>
      </c>
      <c r="AE120" s="138"/>
      <c r="AF120" s="138" t="str">
        <f t="shared" si="81"/>
        <v/>
      </c>
      <c r="AG120" s="77">
        <f t="shared" si="97"/>
        <v>0</v>
      </c>
      <c r="AH120" s="77">
        <f t="shared" si="98"/>
        <v>0</v>
      </c>
      <c r="AI120" s="77" t="str">
        <f t="shared" si="82"/>
        <v/>
      </c>
      <c r="AJ120" s="78">
        <f t="shared" si="64"/>
        <v>3</v>
      </c>
      <c r="AK120" s="139">
        <f>SUM($AC$6:AC120)</f>
        <v>0</v>
      </c>
      <c r="AL120" s="139">
        <f t="shared" ca="1" si="74"/>
        <v>0</v>
      </c>
      <c r="AM120" s="143">
        <f t="shared" si="83"/>
        <v>0</v>
      </c>
      <c r="AN120" s="143">
        <f t="shared" si="84"/>
        <v>0</v>
      </c>
      <c r="AO120" s="143">
        <f t="shared" si="85"/>
        <v>0</v>
      </c>
      <c r="AP120" s="142">
        <f t="shared" si="75"/>
        <v>30</v>
      </c>
      <c r="AQ120" s="142">
        <f t="shared" ca="1" si="76"/>
        <v>30</v>
      </c>
      <c r="AR120" s="154">
        <f t="shared" si="87"/>
        <v>0</v>
      </c>
      <c r="AS120" s="142">
        <f t="shared" si="77"/>
        <v>0</v>
      </c>
      <c r="AT120" t="b">
        <f>OR((F120&gt;0),(NOT(ISBLANK(H120))),SUM(H120:H$373),SUM(G120:G$373))</f>
        <v>0</v>
      </c>
      <c r="AU120" t="b">
        <f t="shared" ca="1" si="65"/>
        <v>0</v>
      </c>
    </row>
    <row r="121" spans="1:47">
      <c r="A121" s="349">
        <f t="shared" si="78"/>
        <v>41754</v>
      </c>
      <c r="B121" s="350">
        <f t="shared" si="79"/>
        <v>41754</v>
      </c>
      <c r="C121" s="351">
        <f t="shared" si="90"/>
        <v>17</v>
      </c>
      <c r="D121" s="352">
        <f t="shared" si="91"/>
        <v>41729</v>
      </c>
      <c r="E121" s="364" t="str">
        <f t="shared" si="66"/>
        <v/>
      </c>
      <c r="F121" s="6"/>
      <c r="G121" s="7" t="str">
        <f t="shared" si="92"/>
        <v/>
      </c>
      <c r="H121" s="8"/>
      <c r="I121" s="8">
        <f t="shared" si="88"/>
        <v>0</v>
      </c>
      <c r="J121" s="129">
        <f t="shared" si="86"/>
        <v>0</v>
      </c>
      <c r="K121" s="8"/>
      <c r="L121" s="8">
        <f t="shared" si="67"/>
        <v>0</v>
      </c>
      <c r="M121" s="129">
        <f t="shared" si="68"/>
        <v>0</v>
      </c>
      <c r="N121" s="129"/>
      <c r="O121" s="129">
        <f t="shared" si="61"/>
        <v>0</v>
      </c>
      <c r="P121" s="129"/>
      <c r="Q121" s="129">
        <f t="shared" si="69"/>
        <v>0</v>
      </c>
      <c r="R121" s="129">
        <f t="shared" si="70"/>
        <v>0</v>
      </c>
      <c r="S121" s="693">
        <f t="shared" si="71"/>
        <v>6</v>
      </c>
      <c r="T121" s="129">
        <f t="shared" si="89"/>
        <v>0</v>
      </c>
      <c r="U121" s="165">
        <f t="shared" si="72"/>
        <v>0</v>
      </c>
      <c r="V121" s="75"/>
      <c r="W121" s="131">
        <f t="shared" si="62"/>
        <v>4.1666666666666664E-2</v>
      </c>
      <c r="X121" s="126">
        <f t="shared" si="73"/>
        <v>0</v>
      </c>
      <c r="Y121" s="127">
        <f t="shared" si="93"/>
        <v>0.33333333333333331</v>
      </c>
      <c r="Z121" s="128">
        <f t="shared" si="94"/>
        <v>0</v>
      </c>
      <c r="AA121" s="76" t="str">
        <f t="shared" si="95"/>
        <v/>
      </c>
      <c r="AB121" s="216">
        <f t="shared" si="63"/>
        <v>0</v>
      </c>
      <c r="AC121" s="163" t="str">
        <f t="shared" si="96"/>
        <v/>
      </c>
      <c r="AD121" s="257">
        <f t="shared" si="80"/>
        <v>0</v>
      </c>
      <c r="AE121" s="138"/>
      <c r="AF121" s="138" t="str">
        <f t="shared" si="81"/>
        <v/>
      </c>
      <c r="AG121" s="77">
        <f t="shared" si="97"/>
        <v>0</v>
      </c>
      <c r="AH121" s="77">
        <f t="shared" si="98"/>
        <v>0</v>
      </c>
      <c r="AI121" s="77" t="str">
        <f t="shared" si="82"/>
        <v/>
      </c>
      <c r="AJ121" s="78">
        <f t="shared" si="64"/>
        <v>4</v>
      </c>
      <c r="AK121" s="139">
        <f>SUM($AC$6:AC121)</f>
        <v>0</v>
      </c>
      <c r="AL121" s="139">
        <f t="shared" ca="1" si="74"/>
        <v>0</v>
      </c>
      <c r="AM121" s="143">
        <f t="shared" si="83"/>
        <v>0</v>
      </c>
      <c r="AN121" s="143">
        <f t="shared" si="84"/>
        <v>0</v>
      </c>
      <c r="AO121" s="143">
        <f t="shared" si="85"/>
        <v>0</v>
      </c>
      <c r="AP121" s="142">
        <f t="shared" si="75"/>
        <v>30</v>
      </c>
      <c r="AQ121" s="142">
        <f t="shared" ca="1" si="76"/>
        <v>30</v>
      </c>
      <c r="AR121" s="154">
        <f t="shared" si="87"/>
        <v>0</v>
      </c>
      <c r="AS121" s="142">
        <f t="shared" si="77"/>
        <v>0</v>
      </c>
      <c r="AT121" t="b">
        <f>OR((F121&gt;0),(NOT(ISBLANK(H121))),SUM(H121:H$373),SUM(G121:G$373))</f>
        <v>0</v>
      </c>
      <c r="AU121" t="b">
        <f t="shared" ca="1" si="65"/>
        <v>0</v>
      </c>
    </row>
    <row r="122" spans="1:47">
      <c r="A122" s="349">
        <f t="shared" si="78"/>
        <v>41755</v>
      </c>
      <c r="B122" s="350">
        <f t="shared" si="79"/>
        <v>41755</v>
      </c>
      <c r="C122" s="351">
        <f t="shared" si="90"/>
        <v>17</v>
      </c>
      <c r="D122" s="352">
        <f t="shared" si="91"/>
        <v>41729</v>
      </c>
      <c r="E122" s="364" t="str">
        <f t="shared" si="66"/>
        <v/>
      </c>
      <c r="F122" s="6"/>
      <c r="G122" s="7" t="str">
        <f t="shared" si="92"/>
        <v/>
      </c>
      <c r="H122" s="8"/>
      <c r="I122" s="8">
        <f t="shared" si="88"/>
        <v>0</v>
      </c>
      <c r="J122" s="129">
        <f t="shared" si="86"/>
        <v>0</v>
      </c>
      <c r="K122" s="8"/>
      <c r="L122" s="8">
        <f t="shared" si="67"/>
        <v>0</v>
      </c>
      <c r="M122" s="129">
        <f t="shared" si="68"/>
        <v>0</v>
      </c>
      <c r="N122" s="129"/>
      <c r="O122" s="129">
        <f t="shared" si="61"/>
        <v>0</v>
      </c>
      <c r="P122" s="129"/>
      <c r="Q122" s="129">
        <f t="shared" si="69"/>
        <v>0</v>
      </c>
      <c r="R122" s="129">
        <f t="shared" si="70"/>
        <v>0</v>
      </c>
      <c r="S122" s="693">
        <f t="shared" si="71"/>
        <v>6</v>
      </c>
      <c r="T122" s="129">
        <f t="shared" si="89"/>
        <v>0</v>
      </c>
      <c r="U122" s="165">
        <f t="shared" si="72"/>
        <v>0</v>
      </c>
      <c r="V122" s="75"/>
      <c r="W122" s="131">
        <f t="shared" si="62"/>
        <v>4.1666666666666664E-2</v>
      </c>
      <c r="X122" s="126">
        <f t="shared" si="73"/>
        <v>0</v>
      </c>
      <c r="Y122" s="127">
        <f t="shared" si="93"/>
        <v>0.33333333333333331</v>
      </c>
      <c r="Z122" s="128">
        <f t="shared" si="94"/>
        <v>0</v>
      </c>
      <c r="AA122" s="76" t="str">
        <f t="shared" si="95"/>
        <v/>
      </c>
      <c r="AB122" s="216">
        <f t="shared" si="63"/>
        <v>0</v>
      </c>
      <c r="AC122" s="163" t="str">
        <f t="shared" si="96"/>
        <v/>
      </c>
      <c r="AD122" s="257">
        <f t="shared" si="80"/>
        <v>0</v>
      </c>
      <c r="AE122" s="138"/>
      <c r="AF122" s="138" t="str">
        <f t="shared" si="81"/>
        <v/>
      </c>
      <c r="AG122" s="77">
        <f t="shared" si="97"/>
        <v>0</v>
      </c>
      <c r="AH122" s="77">
        <f t="shared" si="98"/>
        <v>0</v>
      </c>
      <c r="AI122" s="77" t="str">
        <f t="shared" si="82"/>
        <v/>
      </c>
      <c r="AJ122" s="78">
        <f t="shared" si="64"/>
        <v>5</v>
      </c>
      <c r="AK122" s="139">
        <f>SUM($AC$6:AC122)</f>
        <v>0</v>
      </c>
      <c r="AL122" s="139">
        <f t="shared" ca="1" si="74"/>
        <v>0</v>
      </c>
      <c r="AM122" s="143">
        <f t="shared" si="83"/>
        <v>0</v>
      </c>
      <c r="AN122" s="143">
        <f t="shared" si="84"/>
        <v>0</v>
      </c>
      <c r="AO122" s="143">
        <f t="shared" si="85"/>
        <v>0</v>
      </c>
      <c r="AP122" s="142">
        <f t="shared" si="75"/>
        <v>30</v>
      </c>
      <c r="AQ122" s="142">
        <f t="shared" ca="1" si="76"/>
        <v>30</v>
      </c>
      <c r="AR122" s="154">
        <f t="shared" si="87"/>
        <v>0</v>
      </c>
      <c r="AS122" s="142">
        <f t="shared" si="77"/>
        <v>0</v>
      </c>
      <c r="AT122" t="b">
        <f>OR((F122&gt;0),(NOT(ISBLANK(H122))),SUM(H122:H$373),SUM(G122:G$373))</f>
        <v>0</v>
      </c>
      <c r="AU122" t="b">
        <f t="shared" ca="1" si="65"/>
        <v>0</v>
      </c>
    </row>
    <row r="123" spans="1:47">
      <c r="A123" s="349">
        <f t="shared" si="78"/>
        <v>41756</v>
      </c>
      <c r="B123" s="350">
        <f t="shared" si="79"/>
        <v>41756</v>
      </c>
      <c r="C123" s="351">
        <f t="shared" si="90"/>
        <v>17</v>
      </c>
      <c r="D123" s="352">
        <f t="shared" si="91"/>
        <v>41729</v>
      </c>
      <c r="E123" s="364" t="str">
        <f t="shared" si="66"/>
        <v/>
      </c>
      <c r="F123" s="6"/>
      <c r="G123" s="7" t="str">
        <f t="shared" si="92"/>
        <v/>
      </c>
      <c r="H123" s="8"/>
      <c r="I123" s="8">
        <f t="shared" si="88"/>
        <v>0</v>
      </c>
      <c r="J123" s="129">
        <f t="shared" si="86"/>
        <v>0</v>
      </c>
      <c r="K123" s="8"/>
      <c r="L123" s="8">
        <f t="shared" si="67"/>
        <v>0</v>
      </c>
      <c r="M123" s="129">
        <f t="shared" si="68"/>
        <v>0</v>
      </c>
      <c r="N123" s="129"/>
      <c r="O123" s="129">
        <f t="shared" si="61"/>
        <v>0</v>
      </c>
      <c r="P123" s="129"/>
      <c r="Q123" s="129">
        <f t="shared" si="69"/>
        <v>0</v>
      </c>
      <c r="R123" s="129">
        <f t="shared" si="70"/>
        <v>0</v>
      </c>
      <c r="S123" s="693">
        <f t="shared" si="71"/>
        <v>6</v>
      </c>
      <c r="T123" s="129">
        <f t="shared" si="89"/>
        <v>0</v>
      </c>
      <c r="U123" s="165">
        <f t="shared" si="72"/>
        <v>0</v>
      </c>
      <c r="V123" s="75"/>
      <c r="W123" s="131">
        <f t="shared" si="62"/>
        <v>4.1666666666666664E-2</v>
      </c>
      <c r="X123" s="126">
        <f t="shared" si="73"/>
        <v>0</v>
      </c>
      <c r="Y123" s="127">
        <f t="shared" si="93"/>
        <v>0</v>
      </c>
      <c r="Z123" s="128">
        <f t="shared" si="94"/>
        <v>0</v>
      </c>
      <c r="AA123" s="76" t="str">
        <f t="shared" si="95"/>
        <v/>
      </c>
      <c r="AB123" s="216">
        <f t="shared" si="63"/>
        <v>0</v>
      </c>
      <c r="AC123" s="163" t="str">
        <f t="shared" si="96"/>
        <v/>
      </c>
      <c r="AD123" s="257">
        <f t="shared" si="80"/>
        <v>0</v>
      </c>
      <c r="AE123" s="138"/>
      <c r="AF123" s="138" t="str">
        <f t="shared" si="81"/>
        <v/>
      </c>
      <c r="AG123" s="77">
        <f t="shared" si="97"/>
        <v>0</v>
      </c>
      <c r="AH123" s="77">
        <f t="shared" si="98"/>
        <v>0</v>
      </c>
      <c r="AI123" s="77" t="str">
        <f t="shared" si="82"/>
        <v/>
      </c>
      <c r="AJ123" s="78">
        <f t="shared" si="64"/>
        <v>6</v>
      </c>
      <c r="AK123" s="139">
        <f>SUM($AC$6:AC123)</f>
        <v>0</v>
      </c>
      <c r="AL123" s="139">
        <f t="shared" ca="1" si="74"/>
        <v>0</v>
      </c>
      <c r="AM123" s="143">
        <f t="shared" si="83"/>
        <v>0</v>
      </c>
      <c r="AN123" s="143">
        <f t="shared" si="84"/>
        <v>0</v>
      </c>
      <c r="AO123" s="143">
        <f t="shared" si="85"/>
        <v>0</v>
      </c>
      <c r="AP123" s="142">
        <f t="shared" si="75"/>
        <v>30</v>
      </c>
      <c r="AQ123" s="142">
        <f t="shared" ca="1" si="76"/>
        <v>30</v>
      </c>
      <c r="AR123" s="154">
        <f t="shared" si="87"/>
        <v>0</v>
      </c>
      <c r="AS123" s="142">
        <f t="shared" si="77"/>
        <v>7</v>
      </c>
      <c r="AT123" t="b">
        <f>OR((F123&gt;0),(NOT(ISBLANK(H123))),SUM(H123:H$373),SUM(G123:G$373))</f>
        <v>0</v>
      </c>
      <c r="AU123" t="b">
        <f t="shared" ca="1" si="65"/>
        <v>1</v>
      </c>
    </row>
    <row r="124" spans="1:47">
      <c r="A124" s="349">
        <f t="shared" si="78"/>
        <v>41757</v>
      </c>
      <c r="B124" s="350">
        <f t="shared" si="79"/>
        <v>41757</v>
      </c>
      <c r="C124" s="351">
        <f t="shared" si="90"/>
        <v>17</v>
      </c>
      <c r="D124" s="352">
        <f t="shared" si="91"/>
        <v>41729</v>
      </c>
      <c r="E124" s="364" t="str">
        <f t="shared" si="66"/>
        <v/>
      </c>
      <c r="F124" s="6"/>
      <c r="G124" s="7" t="str">
        <f t="shared" si="92"/>
        <v/>
      </c>
      <c r="H124" s="8"/>
      <c r="I124" s="8">
        <f t="shared" si="88"/>
        <v>0</v>
      </c>
      <c r="J124" s="129">
        <f t="shared" si="86"/>
        <v>0</v>
      </c>
      <c r="K124" s="8"/>
      <c r="L124" s="8">
        <f t="shared" si="67"/>
        <v>0</v>
      </c>
      <c r="M124" s="129">
        <f t="shared" si="68"/>
        <v>0</v>
      </c>
      <c r="N124" s="129"/>
      <c r="O124" s="129">
        <f t="shared" si="61"/>
        <v>0</v>
      </c>
      <c r="P124" s="129"/>
      <c r="Q124" s="129">
        <f t="shared" si="69"/>
        <v>0</v>
      </c>
      <c r="R124" s="129">
        <f t="shared" si="70"/>
        <v>0</v>
      </c>
      <c r="S124" s="693">
        <f t="shared" si="71"/>
        <v>6</v>
      </c>
      <c r="T124" s="129">
        <f t="shared" si="89"/>
        <v>0</v>
      </c>
      <c r="U124" s="165">
        <f t="shared" si="72"/>
        <v>0</v>
      </c>
      <c r="V124" s="75"/>
      <c r="W124" s="131">
        <f t="shared" si="62"/>
        <v>4.1666666666666664E-2</v>
      </c>
      <c r="X124" s="126">
        <f t="shared" si="73"/>
        <v>0</v>
      </c>
      <c r="Y124" s="127">
        <f t="shared" si="93"/>
        <v>0</v>
      </c>
      <c r="Z124" s="128">
        <f t="shared" si="94"/>
        <v>0</v>
      </c>
      <c r="AA124" s="76" t="str">
        <f t="shared" si="95"/>
        <v/>
      </c>
      <c r="AB124" s="216">
        <f t="shared" si="63"/>
        <v>0</v>
      </c>
      <c r="AC124" s="163" t="str">
        <f t="shared" si="96"/>
        <v/>
      </c>
      <c r="AD124" s="257">
        <f t="shared" si="80"/>
        <v>0</v>
      </c>
      <c r="AE124" s="138"/>
      <c r="AF124" s="138" t="str">
        <f t="shared" si="81"/>
        <v/>
      </c>
      <c r="AG124" s="77">
        <f t="shared" si="97"/>
        <v>0</v>
      </c>
      <c r="AH124" s="77">
        <f t="shared" si="98"/>
        <v>0</v>
      </c>
      <c r="AI124" s="77" t="str">
        <f t="shared" si="82"/>
        <v/>
      </c>
      <c r="AJ124" s="78">
        <f t="shared" si="64"/>
        <v>7</v>
      </c>
      <c r="AK124" s="139">
        <f>SUM($AC$6:AC124)</f>
        <v>0</v>
      </c>
      <c r="AL124" s="139">
        <f t="shared" ca="1" si="74"/>
        <v>0</v>
      </c>
      <c r="AM124" s="143">
        <f t="shared" si="83"/>
        <v>0</v>
      </c>
      <c r="AN124" s="143">
        <f t="shared" si="84"/>
        <v>0</v>
      </c>
      <c r="AO124" s="143">
        <f t="shared" si="85"/>
        <v>0</v>
      </c>
      <c r="AP124" s="142">
        <f t="shared" si="75"/>
        <v>30</v>
      </c>
      <c r="AQ124" s="142">
        <f t="shared" ca="1" si="76"/>
        <v>30</v>
      </c>
      <c r="AR124" s="154">
        <f t="shared" si="87"/>
        <v>0</v>
      </c>
      <c r="AS124" s="142">
        <f t="shared" si="77"/>
        <v>7</v>
      </c>
      <c r="AT124" t="b">
        <f>OR((F124&gt;0),(NOT(ISBLANK(H124))),SUM(H124:H$373),SUM(G124:G$373))</f>
        <v>0</v>
      </c>
      <c r="AU124" t="b">
        <f t="shared" ca="1" si="65"/>
        <v>1</v>
      </c>
    </row>
    <row r="125" spans="1:47">
      <c r="A125" s="349">
        <f t="shared" si="78"/>
        <v>41758</v>
      </c>
      <c r="B125" s="350">
        <f t="shared" si="79"/>
        <v>41758</v>
      </c>
      <c r="C125" s="351">
        <f t="shared" si="90"/>
        <v>18</v>
      </c>
      <c r="D125" s="352">
        <f t="shared" si="91"/>
        <v>41729</v>
      </c>
      <c r="E125" s="364" t="str">
        <f t="shared" si="66"/>
        <v/>
      </c>
      <c r="F125" s="6"/>
      <c r="G125" s="7" t="str">
        <f t="shared" si="92"/>
        <v/>
      </c>
      <c r="H125" s="8"/>
      <c r="I125" s="8">
        <f t="shared" si="88"/>
        <v>0</v>
      </c>
      <c r="J125" s="129">
        <f t="shared" si="86"/>
        <v>0</v>
      </c>
      <c r="K125" s="8"/>
      <c r="L125" s="8">
        <f t="shared" si="67"/>
        <v>0</v>
      </c>
      <c r="M125" s="129">
        <f t="shared" si="68"/>
        <v>0</v>
      </c>
      <c r="N125" s="129"/>
      <c r="O125" s="129">
        <f t="shared" si="61"/>
        <v>0</v>
      </c>
      <c r="P125" s="129"/>
      <c r="Q125" s="129">
        <f t="shared" si="69"/>
        <v>0</v>
      </c>
      <c r="R125" s="129">
        <f t="shared" si="70"/>
        <v>0</v>
      </c>
      <c r="S125" s="693">
        <f t="shared" si="71"/>
        <v>6</v>
      </c>
      <c r="T125" s="129">
        <f t="shared" si="89"/>
        <v>0</v>
      </c>
      <c r="U125" s="165">
        <f t="shared" si="72"/>
        <v>0</v>
      </c>
      <c r="V125" s="75"/>
      <c r="W125" s="131">
        <f t="shared" si="62"/>
        <v>4.1666666666666664E-2</v>
      </c>
      <c r="X125" s="126">
        <f t="shared" si="73"/>
        <v>0</v>
      </c>
      <c r="Y125" s="127">
        <f t="shared" si="93"/>
        <v>0.33333333333333331</v>
      </c>
      <c r="Z125" s="128">
        <f t="shared" si="94"/>
        <v>0</v>
      </c>
      <c r="AA125" s="76" t="str">
        <f t="shared" si="95"/>
        <v/>
      </c>
      <c r="AB125" s="216">
        <f t="shared" si="63"/>
        <v>0</v>
      </c>
      <c r="AC125" s="163" t="str">
        <f t="shared" si="96"/>
        <v/>
      </c>
      <c r="AD125" s="257">
        <f t="shared" si="80"/>
        <v>0</v>
      </c>
      <c r="AE125" s="138"/>
      <c r="AF125" s="138" t="str">
        <f t="shared" si="81"/>
        <v/>
      </c>
      <c r="AG125" s="77">
        <f t="shared" si="97"/>
        <v>0</v>
      </c>
      <c r="AH125" s="77">
        <f t="shared" si="98"/>
        <v>0</v>
      </c>
      <c r="AI125" s="77" t="str">
        <f t="shared" si="82"/>
        <v/>
      </c>
      <c r="AJ125" s="78">
        <f t="shared" si="64"/>
        <v>1</v>
      </c>
      <c r="AK125" s="139">
        <f>SUM($AC$6:AC125)</f>
        <v>0</v>
      </c>
      <c r="AL125" s="139">
        <f t="shared" ca="1" si="74"/>
        <v>0</v>
      </c>
      <c r="AM125" s="143">
        <f t="shared" si="83"/>
        <v>0</v>
      </c>
      <c r="AN125" s="143">
        <f t="shared" si="84"/>
        <v>0</v>
      </c>
      <c r="AO125" s="143">
        <f t="shared" si="85"/>
        <v>0</v>
      </c>
      <c r="AP125" s="142">
        <f t="shared" si="75"/>
        <v>30</v>
      </c>
      <c r="AQ125" s="142">
        <f t="shared" ca="1" si="76"/>
        <v>30</v>
      </c>
      <c r="AR125" s="154">
        <f t="shared" si="87"/>
        <v>0</v>
      </c>
      <c r="AS125" s="142">
        <f t="shared" si="77"/>
        <v>0</v>
      </c>
      <c r="AT125" t="b">
        <f>OR((F125&gt;0),(NOT(ISBLANK(H125))),SUM(H125:H$373),SUM(G125:G$373))</f>
        <v>0</v>
      </c>
      <c r="AU125" t="b">
        <f t="shared" ca="1" si="65"/>
        <v>0</v>
      </c>
    </row>
    <row r="126" spans="1:47">
      <c r="A126" s="349">
        <f t="shared" si="78"/>
        <v>41759</v>
      </c>
      <c r="B126" s="350">
        <f t="shared" si="79"/>
        <v>41759</v>
      </c>
      <c r="C126" s="351">
        <f t="shared" si="90"/>
        <v>18</v>
      </c>
      <c r="D126" s="352">
        <f t="shared" si="91"/>
        <v>41759</v>
      </c>
      <c r="E126" s="364" t="str">
        <f t="shared" si="66"/>
        <v>Tag der Arbeit</v>
      </c>
      <c r="F126" s="6"/>
      <c r="G126" s="7" t="str">
        <f t="shared" si="92"/>
        <v/>
      </c>
      <c r="H126" s="8"/>
      <c r="I126" s="8">
        <f t="shared" si="88"/>
        <v>0</v>
      </c>
      <c r="J126" s="129">
        <f t="shared" si="86"/>
        <v>0</v>
      </c>
      <c r="K126" s="8"/>
      <c r="L126" s="8">
        <f t="shared" si="67"/>
        <v>0</v>
      </c>
      <c r="M126" s="129">
        <f t="shared" si="68"/>
        <v>0</v>
      </c>
      <c r="N126" s="129"/>
      <c r="O126" s="129">
        <f t="shared" si="61"/>
        <v>0</v>
      </c>
      <c r="P126" s="129"/>
      <c r="Q126" s="129">
        <f t="shared" si="69"/>
        <v>0</v>
      </c>
      <c r="R126" s="129">
        <f t="shared" si="70"/>
        <v>0</v>
      </c>
      <c r="S126" s="693">
        <f t="shared" si="71"/>
        <v>6</v>
      </c>
      <c r="T126" s="129">
        <f t="shared" si="89"/>
        <v>0</v>
      </c>
      <c r="U126" s="165">
        <f t="shared" si="72"/>
        <v>0</v>
      </c>
      <c r="V126" s="75"/>
      <c r="W126" s="131">
        <f t="shared" si="62"/>
        <v>4.1666666666666664E-2</v>
      </c>
      <c r="X126" s="126">
        <f t="shared" si="73"/>
        <v>0</v>
      </c>
      <c r="Y126" s="127" t="str">
        <f t="shared" si="93"/>
        <v/>
      </c>
      <c r="Z126" s="128">
        <f t="shared" si="94"/>
        <v>0</v>
      </c>
      <c r="AA126" s="76" t="str">
        <f t="shared" si="95"/>
        <v/>
      </c>
      <c r="AB126" s="216">
        <f t="shared" si="63"/>
        <v>0</v>
      </c>
      <c r="AC126" s="163" t="str">
        <f t="shared" si="96"/>
        <v/>
      </c>
      <c r="AD126" s="257">
        <f t="shared" si="80"/>
        <v>0</v>
      </c>
      <c r="AE126" s="138"/>
      <c r="AF126" s="138" t="str">
        <f t="shared" si="81"/>
        <v/>
      </c>
      <c r="AG126" s="77">
        <f t="shared" si="97"/>
        <v>0</v>
      </c>
      <c r="AH126" s="77">
        <f t="shared" si="98"/>
        <v>0</v>
      </c>
      <c r="AI126" s="77" t="str">
        <f t="shared" si="82"/>
        <v/>
      </c>
      <c r="AJ126" s="78">
        <f t="shared" si="64"/>
        <v>8</v>
      </c>
      <c r="AK126" s="139">
        <f>SUM($AC$6:AC126)</f>
        <v>0</v>
      </c>
      <c r="AL126" s="139">
        <f t="shared" ca="1" si="74"/>
        <v>0</v>
      </c>
      <c r="AM126" s="143">
        <f t="shared" si="83"/>
        <v>0</v>
      </c>
      <c r="AN126" s="143">
        <f t="shared" si="84"/>
        <v>0</v>
      </c>
      <c r="AO126" s="143">
        <f t="shared" si="85"/>
        <v>0</v>
      </c>
      <c r="AP126" s="142">
        <f t="shared" si="75"/>
        <v>30</v>
      </c>
      <c r="AQ126" s="142">
        <f t="shared" ca="1" si="76"/>
        <v>30</v>
      </c>
      <c r="AR126" s="154">
        <f t="shared" si="87"/>
        <v>0</v>
      </c>
      <c r="AS126" s="142">
        <f t="shared" si="77"/>
        <v>8</v>
      </c>
      <c r="AT126" t="b">
        <f>OR((F126&gt;0),(NOT(ISBLANK(H126))),SUM(H126:H$373),SUM(G126:G$373))</f>
        <v>0</v>
      </c>
      <c r="AU126" t="b">
        <f t="shared" ca="1" si="65"/>
        <v>1</v>
      </c>
    </row>
    <row r="127" spans="1:47">
      <c r="A127" s="349">
        <f t="shared" si="78"/>
        <v>41760</v>
      </c>
      <c r="B127" s="350">
        <f t="shared" si="79"/>
        <v>41760</v>
      </c>
      <c r="C127" s="351">
        <f t="shared" si="90"/>
        <v>18</v>
      </c>
      <c r="D127" s="352">
        <f t="shared" si="91"/>
        <v>41759</v>
      </c>
      <c r="E127" s="364" t="str">
        <f t="shared" si="66"/>
        <v/>
      </c>
      <c r="F127" s="6"/>
      <c r="G127" s="7" t="str">
        <f t="shared" si="92"/>
        <v/>
      </c>
      <c r="H127" s="8"/>
      <c r="I127" s="8">
        <f t="shared" si="88"/>
        <v>0</v>
      </c>
      <c r="J127" s="129">
        <f t="shared" si="86"/>
        <v>0</v>
      </c>
      <c r="K127" s="8"/>
      <c r="L127" s="8">
        <f t="shared" si="67"/>
        <v>0</v>
      </c>
      <c r="M127" s="129">
        <f t="shared" si="68"/>
        <v>0</v>
      </c>
      <c r="N127" s="129"/>
      <c r="O127" s="129">
        <f t="shared" si="61"/>
        <v>0</v>
      </c>
      <c r="P127" s="129"/>
      <c r="Q127" s="129">
        <f t="shared" si="69"/>
        <v>0</v>
      </c>
      <c r="R127" s="129">
        <f t="shared" si="70"/>
        <v>0</v>
      </c>
      <c r="S127" s="693">
        <f t="shared" si="71"/>
        <v>6</v>
      </c>
      <c r="T127" s="129">
        <f t="shared" si="89"/>
        <v>0</v>
      </c>
      <c r="U127" s="165">
        <f t="shared" si="72"/>
        <v>0</v>
      </c>
      <c r="V127" s="75"/>
      <c r="W127" s="131">
        <f t="shared" si="62"/>
        <v>4.1666666666666664E-2</v>
      </c>
      <c r="X127" s="126">
        <f t="shared" si="73"/>
        <v>0</v>
      </c>
      <c r="Y127" s="127">
        <f t="shared" si="93"/>
        <v>0.33333333333333331</v>
      </c>
      <c r="Z127" s="128">
        <f t="shared" si="94"/>
        <v>0</v>
      </c>
      <c r="AA127" s="76" t="str">
        <f t="shared" si="95"/>
        <v/>
      </c>
      <c r="AB127" s="216">
        <f t="shared" si="63"/>
        <v>0</v>
      </c>
      <c r="AC127" s="163" t="str">
        <f t="shared" si="96"/>
        <v/>
      </c>
      <c r="AD127" s="257">
        <f t="shared" si="80"/>
        <v>0</v>
      </c>
      <c r="AE127" s="138"/>
      <c r="AF127" s="138" t="str">
        <f t="shared" si="81"/>
        <v/>
      </c>
      <c r="AG127" s="77">
        <f t="shared" si="97"/>
        <v>0</v>
      </c>
      <c r="AH127" s="77">
        <f t="shared" si="98"/>
        <v>0</v>
      </c>
      <c r="AI127" s="77" t="str">
        <f t="shared" si="82"/>
        <v/>
      </c>
      <c r="AJ127" s="78">
        <f t="shared" si="64"/>
        <v>3</v>
      </c>
      <c r="AK127" s="139">
        <f>SUM($AC$6:AC127)</f>
        <v>0</v>
      </c>
      <c r="AL127" s="139">
        <f t="shared" ca="1" si="74"/>
        <v>0</v>
      </c>
      <c r="AM127" s="143">
        <f t="shared" si="83"/>
        <v>0</v>
      </c>
      <c r="AN127" s="143">
        <f t="shared" si="84"/>
        <v>0</v>
      </c>
      <c r="AO127" s="143">
        <f t="shared" si="85"/>
        <v>0</v>
      </c>
      <c r="AP127" s="142">
        <f t="shared" si="75"/>
        <v>30</v>
      </c>
      <c r="AQ127" s="142">
        <f t="shared" ca="1" si="76"/>
        <v>30</v>
      </c>
      <c r="AR127" s="154">
        <f t="shared" si="87"/>
        <v>0</v>
      </c>
      <c r="AS127" s="142">
        <f t="shared" si="77"/>
        <v>0</v>
      </c>
      <c r="AT127" t="b">
        <f>OR((F127&gt;0),(NOT(ISBLANK(H127))),SUM(H127:H$373),SUM(G127:G$373))</f>
        <v>0</v>
      </c>
      <c r="AU127" t="b">
        <f t="shared" ca="1" si="65"/>
        <v>0</v>
      </c>
    </row>
    <row r="128" spans="1:47">
      <c r="A128" s="349">
        <f t="shared" si="78"/>
        <v>41761</v>
      </c>
      <c r="B128" s="350">
        <f t="shared" si="79"/>
        <v>41761</v>
      </c>
      <c r="C128" s="351">
        <f t="shared" si="90"/>
        <v>18</v>
      </c>
      <c r="D128" s="352">
        <f t="shared" si="91"/>
        <v>41759</v>
      </c>
      <c r="E128" s="364" t="str">
        <f t="shared" si="66"/>
        <v/>
      </c>
      <c r="F128" s="6"/>
      <c r="G128" s="7" t="str">
        <f t="shared" si="92"/>
        <v/>
      </c>
      <c r="H128" s="8"/>
      <c r="I128" s="8">
        <f t="shared" si="88"/>
        <v>0</v>
      </c>
      <c r="J128" s="129">
        <f t="shared" si="86"/>
        <v>0</v>
      </c>
      <c r="K128" s="8"/>
      <c r="L128" s="8">
        <f t="shared" si="67"/>
        <v>0</v>
      </c>
      <c r="M128" s="129">
        <f t="shared" si="68"/>
        <v>0</v>
      </c>
      <c r="N128" s="129"/>
      <c r="O128" s="129">
        <f t="shared" si="61"/>
        <v>0</v>
      </c>
      <c r="P128" s="129"/>
      <c r="Q128" s="129">
        <f t="shared" si="69"/>
        <v>0</v>
      </c>
      <c r="R128" s="129">
        <f t="shared" si="70"/>
        <v>0</v>
      </c>
      <c r="S128" s="693">
        <f t="shared" si="71"/>
        <v>6</v>
      </c>
      <c r="T128" s="129">
        <f t="shared" si="89"/>
        <v>0</v>
      </c>
      <c r="U128" s="165">
        <f t="shared" si="72"/>
        <v>0</v>
      </c>
      <c r="V128" s="75"/>
      <c r="W128" s="131">
        <f t="shared" si="62"/>
        <v>4.1666666666666664E-2</v>
      </c>
      <c r="X128" s="126">
        <f t="shared" si="73"/>
        <v>0</v>
      </c>
      <c r="Y128" s="127">
        <f t="shared" si="93"/>
        <v>0.33333333333333331</v>
      </c>
      <c r="Z128" s="128">
        <f t="shared" si="94"/>
        <v>0</v>
      </c>
      <c r="AA128" s="76" t="str">
        <f t="shared" si="95"/>
        <v/>
      </c>
      <c r="AB128" s="216">
        <f t="shared" si="63"/>
        <v>0</v>
      </c>
      <c r="AC128" s="163" t="str">
        <f t="shared" si="96"/>
        <v/>
      </c>
      <c r="AD128" s="257">
        <f t="shared" si="80"/>
        <v>0</v>
      </c>
      <c r="AE128" s="138"/>
      <c r="AF128" s="138" t="str">
        <f t="shared" si="81"/>
        <v/>
      </c>
      <c r="AG128" s="77">
        <f t="shared" si="97"/>
        <v>0</v>
      </c>
      <c r="AH128" s="77">
        <f t="shared" si="98"/>
        <v>0</v>
      </c>
      <c r="AI128" s="77" t="str">
        <f t="shared" si="82"/>
        <v/>
      </c>
      <c r="AJ128" s="78">
        <f t="shared" si="64"/>
        <v>4</v>
      </c>
      <c r="AK128" s="139">
        <f>SUM($AC$6:AC128)</f>
        <v>0</v>
      </c>
      <c r="AL128" s="139">
        <f t="shared" ca="1" si="74"/>
        <v>0</v>
      </c>
      <c r="AM128" s="143">
        <f t="shared" si="83"/>
        <v>0</v>
      </c>
      <c r="AN128" s="143">
        <f t="shared" si="84"/>
        <v>0</v>
      </c>
      <c r="AO128" s="143">
        <f t="shared" si="85"/>
        <v>0</v>
      </c>
      <c r="AP128" s="142">
        <f t="shared" si="75"/>
        <v>30</v>
      </c>
      <c r="AQ128" s="142">
        <f t="shared" ca="1" si="76"/>
        <v>30</v>
      </c>
      <c r="AR128" s="154">
        <f t="shared" si="87"/>
        <v>0</v>
      </c>
      <c r="AS128" s="142">
        <f t="shared" si="77"/>
        <v>0</v>
      </c>
      <c r="AT128" t="b">
        <f>OR((F128&gt;0),(NOT(ISBLANK(H128))),SUM(H128:H$373),SUM(G128:G$373))</f>
        <v>0</v>
      </c>
      <c r="AU128" t="b">
        <f t="shared" ca="1" si="65"/>
        <v>0</v>
      </c>
    </row>
    <row r="129" spans="1:47">
      <c r="A129" s="349">
        <f t="shared" si="78"/>
        <v>41762</v>
      </c>
      <c r="B129" s="350">
        <f t="shared" si="79"/>
        <v>41762</v>
      </c>
      <c r="C129" s="351">
        <f t="shared" si="90"/>
        <v>18</v>
      </c>
      <c r="D129" s="352">
        <f t="shared" si="91"/>
        <v>41759</v>
      </c>
      <c r="E129" s="364" t="str">
        <f t="shared" si="66"/>
        <v/>
      </c>
      <c r="F129" s="6"/>
      <c r="G129" s="7" t="str">
        <f t="shared" si="92"/>
        <v/>
      </c>
      <c r="H129" s="8"/>
      <c r="I129" s="8">
        <f t="shared" si="88"/>
        <v>0</v>
      </c>
      <c r="J129" s="129">
        <f t="shared" si="86"/>
        <v>0</v>
      </c>
      <c r="K129" s="8"/>
      <c r="L129" s="8">
        <f t="shared" si="67"/>
        <v>0</v>
      </c>
      <c r="M129" s="129">
        <f t="shared" si="68"/>
        <v>0</v>
      </c>
      <c r="N129" s="129"/>
      <c r="O129" s="129">
        <f t="shared" si="61"/>
        <v>0</v>
      </c>
      <c r="P129" s="129"/>
      <c r="Q129" s="129">
        <f t="shared" si="69"/>
        <v>0</v>
      </c>
      <c r="R129" s="129">
        <f t="shared" si="70"/>
        <v>0</v>
      </c>
      <c r="S129" s="693">
        <f t="shared" si="71"/>
        <v>6</v>
      </c>
      <c r="T129" s="129">
        <f t="shared" si="89"/>
        <v>0</v>
      </c>
      <c r="U129" s="165">
        <f t="shared" si="72"/>
        <v>0</v>
      </c>
      <c r="V129" s="75"/>
      <c r="W129" s="131">
        <f t="shared" si="62"/>
        <v>4.1666666666666664E-2</v>
      </c>
      <c r="X129" s="126">
        <f t="shared" si="73"/>
        <v>0</v>
      </c>
      <c r="Y129" s="127">
        <f t="shared" si="93"/>
        <v>0.33333333333333331</v>
      </c>
      <c r="Z129" s="128">
        <f t="shared" si="94"/>
        <v>0</v>
      </c>
      <c r="AA129" s="76" t="str">
        <f t="shared" si="95"/>
        <v/>
      </c>
      <c r="AB129" s="216">
        <f t="shared" si="63"/>
        <v>0</v>
      </c>
      <c r="AC129" s="163" t="str">
        <f t="shared" si="96"/>
        <v/>
      </c>
      <c r="AD129" s="257">
        <f t="shared" si="80"/>
        <v>0</v>
      </c>
      <c r="AE129" s="138"/>
      <c r="AF129" s="138" t="str">
        <f t="shared" si="81"/>
        <v/>
      </c>
      <c r="AG129" s="77">
        <f t="shared" si="97"/>
        <v>0</v>
      </c>
      <c r="AH129" s="77">
        <f t="shared" si="98"/>
        <v>0</v>
      </c>
      <c r="AI129" s="77" t="str">
        <f t="shared" si="82"/>
        <v/>
      </c>
      <c r="AJ129" s="78">
        <f t="shared" si="64"/>
        <v>5</v>
      </c>
      <c r="AK129" s="139">
        <f>SUM($AC$6:AC129)</f>
        <v>0</v>
      </c>
      <c r="AL129" s="139">
        <f t="shared" ca="1" si="74"/>
        <v>0</v>
      </c>
      <c r="AM129" s="143">
        <f t="shared" si="83"/>
        <v>0</v>
      </c>
      <c r="AN129" s="143">
        <f t="shared" si="84"/>
        <v>0</v>
      </c>
      <c r="AO129" s="143">
        <f t="shared" si="85"/>
        <v>0</v>
      </c>
      <c r="AP129" s="142">
        <f t="shared" si="75"/>
        <v>30</v>
      </c>
      <c r="AQ129" s="142">
        <f t="shared" ca="1" si="76"/>
        <v>30</v>
      </c>
      <c r="AR129" s="154">
        <f t="shared" si="87"/>
        <v>0</v>
      </c>
      <c r="AS129" s="142">
        <f t="shared" si="77"/>
        <v>0</v>
      </c>
      <c r="AT129" t="b">
        <f>OR((F129&gt;0),(NOT(ISBLANK(H129))),SUM(H129:H$373),SUM(G129:G$373))</f>
        <v>0</v>
      </c>
      <c r="AU129" t="b">
        <f t="shared" ca="1" si="65"/>
        <v>0</v>
      </c>
    </row>
    <row r="130" spans="1:47">
      <c r="A130" s="349">
        <f t="shared" si="78"/>
        <v>41763</v>
      </c>
      <c r="B130" s="350">
        <f t="shared" si="79"/>
        <v>41763</v>
      </c>
      <c r="C130" s="351">
        <f t="shared" si="90"/>
        <v>18</v>
      </c>
      <c r="D130" s="352">
        <f t="shared" si="91"/>
        <v>41759</v>
      </c>
      <c r="E130" s="364" t="str">
        <f t="shared" si="66"/>
        <v/>
      </c>
      <c r="F130" s="6"/>
      <c r="G130" s="7" t="str">
        <f t="shared" si="92"/>
        <v/>
      </c>
      <c r="H130" s="8"/>
      <c r="I130" s="8">
        <f t="shared" si="88"/>
        <v>0</v>
      </c>
      <c r="J130" s="129">
        <f t="shared" si="86"/>
        <v>0</v>
      </c>
      <c r="K130" s="8"/>
      <c r="L130" s="8">
        <f t="shared" si="67"/>
        <v>0</v>
      </c>
      <c r="M130" s="129">
        <f t="shared" si="68"/>
        <v>0</v>
      </c>
      <c r="N130" s="129"/>
      <c r="O130" s="129">
        <f t="shared" si="61"/>
        <v>0</v>
      </c>
      <c r="P130" s="129"/>
      <c r="Q130" s="129">
        <f t="shared" si="69"/>
        <v>0</v>
      </c>
      <c r="R130" s="129">
        <f t="shared" si="70"/>
        <v>0</v>
      </c>
      <c r="S130" s="693">
        <f t="shared" si="71"/>
        <v>6</v>
      </c>
      <c r="T130" s="129">
        <f t="shared" si="89"/>
        <v>0</v>
      </c>
      <c r="U130" s="165">
        <f t="shared" si="72"/>
        <v>0</v>
      </c>
      <c r="V130" s="75"/>
      <c r="W130" s="131">
        <f t="shared" si="62"/>
        <v>4.1666666666666664E-2</v>
      </c>
      <c r="X130" s="126">
        <f t="shared" si="73"/>
        <v>0</v>
      </c>
      <c r="Y130" s="127">
        <f t="shared" si="93"/>
        <v>0</v>
      </c>
      <c r="Z130" s="128">
        <f t="shared" si="94"/>
        <v>0</v>
      </c>
      <c r="AA130" s="76" t="str">
        <f t="shared" si="95"/>
        <v/>
      </c>
      <c r="AB130" s="216">
        <f t="shared" si="63"/>
        <v>0</v>
      </c>
      <c r="AC130" s="163" t="str">
        <f t="shared" si="96"/>
        <v/>
      </c>
      <c r="AD130" s="257">
        <f t="shared" si="80"/>
        <v>0</v>
      </c>
      <c r="AE130" s="138"/>
      <c r="AF130" s="138" t="str">
        <f t="shared" si="81"/>
        <v/>
      </c>
      <c r="AG130" s="77">
        <f t="shared" si="97"/>
        <v>0</v>
      </c>
      <c r="AH130" s="77">
        <f t="shared" si="98"/>
        <v>0</v>
      </c>
      <c r="AI130" s="77" t="str">
        <f t="shared" si="82"/>
        <v/>
      </c>
      <c r="AJ130" s="78">
        <f t="shared" si="64"/>
        <v>6</v>
      </c>
      <c r="AK130" s="139">
        <f>SUM($AC$6:AC130)</f>
        <v>0</v>
      </c>
      <c r="AL130" s="139">
        <f t="shared" ca="1" si="74"/>
        <v>0</v>
      </c>
      <c r="AM130" s="143">
        <f t="shared" si="83"/>
        <v>0</v>
      </c>
      <c r="AN130" s="143">
        <f t="shared" si="84"/>
        <v>0</v>
      </c>
      <c r="AO130" s="143">
        <f t="shared" si="85"/>
        <v>0</v>
      </c>
      <c r="AP130" s="142">
        <f t="shared" si="75"/>
        <v>30</v>
      </c>
      <c r="AQ130" s="142">
        <f t="shared" ca="1" si="76"/>
        <v>30</v>
      </c>
      <c r="AR130" s="154">
        <f t="shared" si="87"/>
        <v>0</v>
      </c>
      <c r="AS130" s="142">
        <f t="shared" si="77"/>
        <v>7</v>
      </c>
      <c r="AT130" t="b">
        <f>OR((F130&gt;0),(NOT(ISBLANK(H130))),SUM(H130:H$373),SUM(G130:G$373))</f>
        <v>0</v>
      </c>
      <c r="AU130" t="b">
        <f t="shared" ca="1" si="65"/>
        <v>1</v>
      </c>
    </row>
    <row r="131" spans="1:47">
      <c r="A131" s="349">
        <f t="shared" si="78"/>
        <v>41764</v>
      </c>
      <c r="B131" s="350">
        <f t="shared" si="79"/>
        <v>41764</v>
      </c>
      <c r="C131" s="351">
        <f t="shared" si="90"/>
        <v>18</v>
      </c>
      <c r="D131" s="352">
        <f t="shared" si="91"/>
        <v>41759</v>
      </c>
      <c r="E131" s="364" t="str">
        <f t="shared" si="66"/>
        <v/>
      </c>
      <c r="F131" s="6"/>
      <c r="G131" s="7" t="str">
        <f t="shared" si="92"/>
        <v/>
      </c>
      <c r="H131" s="8"/>
      <c r="I131" s="8">
        <f t="shared" si="88"/>
        <v>0</v>
      </c>
      <c r="J131" s="129">
        <f t="shared" si="86"/>
        <v>0</v>
      </c>
      <c r="K131" s="8"/>
      <c r="L131" s="8">
        <f t="shared" si="67"/>
        <v>0</v>
      </c>
      <c r="M131" s="129">
        <f t="shared" si="68"/>
        <v>0</v>
      </c>
      <c r="N131" s="129"/>
      <c r="O131" s="129">
        <f t="shared" si="61"/>
        <v>0</v>
      </c>
      <c r="P131" s="129"/>
      <c r="Q131" s="129">
        <f t="shared" si="69"/>
        <v>0</v>
      </c>
      <c r="R131" s="129">
        <f t="shared" si="70"/>
        <v>0</v>
      </c>
      <c r="S131" s="693">
        <f t="shared" si="71"/>
        <v>6</v>
      </c>
      <c r="T131" s="129">
        <f t="shared" si="89"/>
        <v>0</v>
      </c>
      <c r="U131" s="165">
        <f t="shared" si="72"/>
        <v>0</v>
      </c>
      <c r="V131" s="75"/>
      <c r="W131" s="131">
        <f t="shared" si="62"/>
        <v>4.1666666666666664E-2</v>
      </c>
      <c r="X131" s="126">
        <f t="shared" si="73"/>
        <v>0</v>
      </c>
      <c r="Y131" s="127">
        <f t="shared" si="93"/>
        <v>0</v>
      </c>
      <c r="Z131" s="128">
        <f t="shared" si="94"/>
        <v>0</v>
      </c>
      <c r="AA131" s="76" t="str">
        <f t="shared" si="95"/>
        <v/>
      </c>
      <c r="AB131" s="216">
        <f t="shared" si="63"/>
        <v>0</v>
      </c>
      <c r="AC131" s="163" t="str">
        <f t="shared" si="96"/>
        <v/>
      </c>
      <c r="AD131" s="257">
        <f t="shared" si="80"/>
        <v>0</v>
      </c>
      <c r="AE131" s="138"/>
      <c r="AF131" s="138" t="str">
        <f t="shared" si="81"/>
        <v/>
      </c>
      <c r="AG131" s="77">
        <f t="shared" si="97"/>
        <v>0</v>
      </c>
      <c r="AH131" s="77">
        <f t="shared" si="98"/>
        <v>0</v>
      </c>
      <c r="AI131" s="77" t="str">
        <f t="shared" si="82"/>
        <v/>
      </c>
      <c r="AJ131" s="78">
        <f t="shared" si="64"/>
        <v>7</v>
      </c>
      <c r="AK131" s="139">
        <f>SUM($AC$6:AC131)</f>
        <v>0</v>
      </c>
      <c r="AL131" s="139">
        <f t="shared" ca="1" si="74"/>
        <v>0</v>
      </c>
      <c r="AM131" s="143">
        <f t="shared" si="83"/>
        <v>0</v>
      </c>
      <c r="AN131" s="143">
        <f t="shared" si="84"/>
        <v>0</v>
      </c>
      <c r="AO131" s="143">
        <f t="shared" si="85"/>
        <v>0</v>
      </c>
      <c r="AP131" s="142">
        <f t="shared" si="75"/>
        <v>30</v>
      </c>
      <c r="AQ131" s="142">
        <f t="shared" ca="1" si="76"/>
        <v>30</v>
      </c>
      <c r="AR131" s="154">
        <f t="shared" si="87"/>
        <v>0</v>
      </c>
      <c r="AS131" s="142">
        <f t="shared" si="77"/>
        <v>7</v>
      </c>
      <c r="AT131" t="b">
        <f>OR((F131&gt;0),(NOT(ISBLANK(H131))),SUM(H131:H$373),SUM(G131:G$373))</f>
        <v>0</v>
      </c>
      <c r="AU131" t="b">
        <f t="shared" ca="1" si="65"/>
        <v>1</v>
      </c>
    </row>
    <row r="132" spans="1:47">
      <c r="A132" s="349">
        <f t="shared" si="78"/>
        <v>41765</v>
      </c>
      <c r="B132" s="350">
        <f t="shared" si="79"/>
        <v>41765</v>
      </c>
      <c r="C132" s="351">
        <f t="shared" si="90"/>
        <v>19</v>
      </c>
      <c r="D132" s="352">
        <f t="shared" si="91"/>
        <v>41759</v>
      </c>
      <c r="E132" s="364" t="str">
        <f t="shared" si="66"/>
        <v/>
      </c>
      <c r="F132" s="6"/>
      <c r="G132" s="7" t="str">
        <f t="shared" si="92"/>
        <v/>
      </c>
      <c r="H132" s="8"/>
      <c r="I132" s="8">
        <f t="shared" si="88"/>
        <v>0</v>
      </c>
      <c r="J132" s="129">
        <f t="shared" si="86"/>
        <v>0</v>
      </c>
      <c r="K132" s="8"/>
      <c r="L132" s="8">
        <f t="shared" si="67"/>
        <v>0</v>
      </c>
      <c r="M132" s="129">
        <f t="shared" si="68"/>
        <v>0</v>
      </c>
      <c r="N132" s="129"/>
      <c r="O132" s="129">
        <f t="shared" si="61"/>
        <v>0</v>
      </c>
      <c r="P132" s="129"/>
      <c r="Q132" s="129">
        <f t="shared" si="69"/>
        <v>0</v>
      </c>
      <c r="R132" s="129">
        <f t="shared" si="70"/>
        <v>0</v>
      </c>
      <c r="S132" s="693">
        <f t="shared" si="71"/>
        <v>6</v>
      </c>
      <c r="T132" s="129">
        <f t="shared" si="89"/>
        <v>0</v>
      </c>
      <c r="U132" s="165">
        <f t="shared" si="72"/>
        <v>0</v>
      </c>
      <c r="V132" s="75"/>
      <c r="W132" s="131">
        <f t="shared" si="62"/>
        <v>4.1666666666666664E-2</v>
      </c>
      <c r="X132" s="126">
        <f t="shared" si="73"/>
        <v>0</v>
      </c>
      <c r="Y132" s="127">
        <f t="shared" si="93"/>
        <v>0.33333333333333331</v>
      </c>
      <c r="Z132" s="128">
        <f t="shared" si="94"/>
        <v>0</v>
      </c>
      <c r="AA132" s="76" t="str">
        <f t="shared" si="95"/>
        <v/>
      </c>
      <c r="AB132" s="216">
        <f t="shared" si="63"/>
        <v>0</v>
      </c>
      <c r="AC132" s="163" t="str">
        <f t="shared" si="96"/>
        <v/>
      </c>
      <c r="AD132" s="257">
        <f t="shared" si="80"/>
        <v>0</v>
      </c>
      <c r="AE132" s="138"/>
      <c r="AF132" s="138" t="str">
        <f t="shared" si="81"/>
        <v/>
      </c>
      <c r="AG132" s="77">
        <f t="shared" si="97"/>
        <v>0</v>
      </c>
      <c r="AH132" s="77">
        <f t="shared" si="98"/>
        <v>0</v>
      </c>
      <c r="AI132" s="77" t="str">
        <f t="shared" si="82"/>
        <v/>
      </c>
      <c r="AJ132" s="78">
        <f t="shared" si="64"/>
        <v>1</v>
      </c>
      <c r="AK132" s="139">
        <f>SUM($AC$6:AC132)</f>
        <v>0</v>
      </c>
      <c r="AL132" s="139">
        <f t="shared" ca="1" si="74"/>
        <v>0</v>
      </c>
      <c r="AM132" s="143">
        <f t="shared" si="83"/>
        <v>0</v>
      </c>
      <c r="AN132" s="143">
        <f t="shared" si="84"/>
        <v>0</v>
      </c>
      <c r="AO132" s="143">
        <f t="shared" si="85"/>
        <v>0</v>
      </c>
      <c r="AP132" s="142">
        <f t="shared" si="75"/>
        <v>30</v>
      </c>
      <c r="AQ132" s="142">
        <f t="shared" ca="1" si="76"/>
        <v>30</v>
      </c>
      <c r="AR132" s="154">
        <f t="shared" si="87"/>
        <v>0</v>
      </c>
      <c r="AS132" s="142">
        <f t="shared" si="77"/>
        <v>0</v>
      </c>
      <c r="AT132" t="b">
        <f>OR((F132&gt;0),(NOT(ISBLANK(H132))),SUM(H132:H$373),SUM(G132:G$373))</f>
        <v>0</v>
      </c>
      <c r="AU132" t="b">
        <f t="shared" ca="1" si="65"/>
        <v>0</v>
      </c>
    </row>
    <row r="133" spans="1:47">
      <c r="A133" s="349">
        <f t="shared" si="78"/>
        <v>41766</v>
      </c>
      <c r="B133" s="350">
        <f t="shared" si="79"/>
        <v>41766</v>
      </c>
      <c r="C133" s="351">
        <f t="shared" si="90"/>
        <v>19</v>
      </c>
      <c r="D133" s="352">
        <f t="shared" si="91"/>
        <v>41759</v>
      </c>
      <c r="E133" s="364" t="str">
        <f t="shared" si="66"/>
        <v/>
      </c>
      <c r="F133" s="6"/>
      <c r="G133" s="7" t="str">
        <f t="shared" si="92"/>
        <v/>
      </c>
      <c r="H133" s="8"/>
      <c r="I133" s="8">
        <f t="shared" si="88"/>
        <v>0</v>
      </c>
      <c r="J133" s="129">
        <f t="shared" si="86"/>
        <v>0</v>
      </c>
      <c r="K133" s="8"/>
      <c r="L133" s="8">
        <f t="shared" si="67"/>
        <v>0</v>
      </c>
      <c r="M133" s="129">
        <f t="shared" si="68"/>
        <v>0</v>
      </c>
      <c r="N133" s="129"/>
      <c r="O133" s="129">
        <f t="shared" ref="O133:O196" si="99">IF(N133&gt;0,N133+IF((J133-H133+M133-K133)&lt;X133,X133-(J133-H133+M133-K133),TIME(0,10,0))+IF((K133-J133+N133-M133)&gt;xNoWorkTime,0,xNoWorkTime-(K133-J133+N133-M133)),0)</f>
        <v>0</v>
      </c>
      <c r="P133" s="129"/>
      <c r="Q133" s="129">
        <f t="shared" si="69"/>
        <v>0</v>
      </c>
      <c r="R133" s="129">
        <f t="shared" si="70"/>
        <v>0</v>
      </c>
      <c r="S133" s="693">
        <f t="shared" si="71"/>
        <v>6</v>
      </c>
      <c r="T133" s="129">
        <f t="shared" si="89"/>
        <v>0</v>
      </c>
      <c r="U133" s="165">
        <f t="shared" si="72"/>
        <v>0</v>
      </c>
      <c r="V133" s="75"/>
      <c r="W133" s="131">
        <f t="shared" ref="W133:W196" si="100">xNoWorkTime</f>
        <v>4.1666666666666664E-2</v>
      </c>
      <c r="X133" s="126">
        <f t="shared" si="73"/>
        <v>0</v>
      </c>
      <c r="Y133" s="127">
        <f t="shared" si="93"/>
        <v>0.33333333333333331</v>
      </c>
      <c r="Z133" s="128">
        <f t="shared" si="94"/>
        <v>0</v>
      </c>
      <c r="AA133" s="76" t="str">
        <f t="shared" si="95"/>
        <v/>
      </c>
      <c r="AB133" s="216">
        <f t="shared" ref="AB133:AB196" si="101">xOverTime</f>
        <v>0</v>
      </c>
      <c r="AC133" s="163" t="str">
        <f t="shared" si="96"/>
        <v/>
      </c>
      <c r="AD133" s="257">
        <f t="shared" si="80"/>
        <v>0</v>
      </c>
      <c r="AE133" s="138"/>
      <c r="AF133" s="138" t="str">
        <f t="shared" si="81"/>
        <v/>
      </c>
      <c r="AG133" s="77">
        <f t="shared" si="97"/>
        <v>0</v>
      </c>
      <c r="AH133" s="77">
        <f t="shared" si="98"/>
        <v>0</v>
      </c>
      <c r="AI133" s="77" t="str">
        <f t="shared" si="82"/>
        <v/>
      </c>
      <c r="AJ133" s="78">
        <f t="shared" ref="AJ133:AJ196" si="102">IF(A133="",0,IF(ISERROR(VLOOKUP(A133,db_Feiertag,2,FALSE)),WEEKDAY(A133,2),Feiertag))</f>
        <v>2</v>
      </c>
      <c r="AK133" s="139">
        <f>SUM($AC$6:AC133)</f>
        <v>0</v>
      </c>
      <c r="AL133" s="139">
        <f t="shared" ca="1" si="74"/>
        <v>0</v>
      </c>
      <c r="AM133" s="143">
        <f t="shared" si="83"/>
        <v>0</v>
      </c>
      <c r="AN133" s="143">
        <f t="shared" si="84"/>
        <v>0</v>
      </c>
      <c r="AO133" s="143">
        <f t="shared" si="85"/>
        <v>0</v>
      </c>
      <c r="AP133" s="142">
        <f t="shared" si="75"/>
        <v>30</v>
      </c>
      <c r="AQ133" s="142">
        <f t="shared" ca="1" si="76"/>
        <v>30</v>
      </c>
      <c r="AR133" s="154">
        <f t="shared" si="87"/>
        <v>0</v>
      </c>
      <c r="AS133" s="142">
        <f t="shared" si="77"/>
        <v>0</v>
      </c>
      <c r="AT133" t="b">
        <f>OR((F133&gt;0),(NOT(ISBLANK(H133))),SUM(H133:H$373),SUM(G133:G$373))</f>
        <v>0</v>
      </c>
      <c r="AU133" t="b">
        <f t="shared" ref="AU133:AU196" ca="1" si="103">INDIRECT(ADDRESS(ROW(),COLUMN(xDay)))&gt;5</f>
        <v>0</v>
      </c>
    </row>
    <row r="134" spans="1:47">
      <c r="A134" s="349">
        <f t="shared" si="78"/>
        <v>41767</v>
      </c>
      <c r="B134" s="350">
        <f t="shared" si="79"/>
        <v>41767</v>
      </c>
      <c r="C134" s="351">
        <f t="shared" si="90"/>
        <v>19</v>
      </c>
      <c r="D134" s="352">
        <f t="shared" si="91"/>
        <v>41759</v>
      </c>
      <c r="E134" s="364" t="str">
        <f t="shared" ref="E134:E197" si="104">IF((R134-T134)&gt;XWorkTimeMax,$Y$4,IF(AS134=Feiertag,VLOOKUP(B134,db_Feiertag,2,FALSE),""))</f>
        <v/>
      </c>
      <c r="F134" s="6"/>
      <c r="G134" s="7" t="str">
        <f t="shared" si="92"/>
        <v/>
      </c>
      <c r="H134" s="8"/>
      <c r="I134" s="8">
        <f t="shared" si="88"/>
        <v>0</v>
      </c>
      <c r="J134" s="129">
        <f t="shared" si="86"/>
        <v>0</v>
      </c>
      <c r="K134" s="8"/>
      <c r="L134" s="8">
        <f t="shared" ref="L134:L197" si="105">IF(K134&gt;0,K134+IF((J134-H134)&lt;X134,X134-(J134-H134),TIME(0,10,0))+IF((K134-J134)&gt;xNoWorkTime,0,xNoWorkTime-(K134-J134)),0)</f>
        <v>0</v>
      </c>
      <c r="M134" s="129">
        <f t="shared" ref="M134:M197" si="106">IF(L134&lt;K134,L134+1,L134)</f>
        <v>0</v>
      </c>
      <c r="N134" s="129"/>
      <c r="O134" s="129">
        <f t="shared" si="99"/>
        <v>0</v>
      </c>
      <c r="P134" s="129"/>
      <c r="Q134" s="129">
        <f t="shared" ref="Q134:Q197" si="107">IF(O134&lt;N134,O134+1,O134)</f>
        <v>0</v>
      </c>
      <c r="R134" s="129">
        <f t="shared" ref="R134:R197" si="108">J134-H134+M134-K134+Q134-N134</f>
        <v>0</v>
      </c>
      <c r="S134" s="693">
        <f t="shared" ref="S134:S197" si="109">XPauseNach*24</f>
        <v>6</v>
      </c>
      <c r="T134" s="129">
        <f t="shared" si="89"/>
        <v>0</v>
      </c>
      <c r="U134" s="165">
        <f t="shared" ref="U134:U197" si="110">IF(F134="S",Y134,(IF((R134-T134)&gt;XWorkTimeMax,XWorkTimeMax,IF((R134-T134)&gt;0,R134-T134,0))))</f>
        <v>0</v>
      </c>
      <c r="V134" s="75"/>
      <c r="W134" s="131">
        <f t="shared" si="100"/>
        <v>4.1666666666666664E-2</v>
      </c>
      <c r="X134" s="126">
        <f t="shared" ref="X134:X197" si="111">IF(AND((AJ134&lt;Feiertag),(G134&lt;&gt;85)),IF(OR(F134="B",F134="G",F134="S",H134&gt;0),H134-H134+Y134,0),0)</f>
        <v>0</v>
      </c>
      <c r="Y134" s="127">
        <f t="shared" si="93"/>
        <v>0.33333333333333331</v>
      </c>
      <c r="Z134" s="128">
        <f t="shared" si="94"/>
        <v>0</v>
      </c>
      <c r="AA134" s="76" t="str">
        <f t="shared" si="95"/>
        <v/>
      </c>
      <c r="AB134" s="216">
        <f t="shared" si="101"/>
        <v>0</v>
      </c>
      <c r="AC134" s="163" t="str">
        <f t="shared" si="96"/>
        <v/>
      </c>
      <c r="AD134" s="257">
        <f t="shared" si="80"/>
        <v>0</v>
      </c>
      <c r="AE134" s="138"/>
      <c r="AF134" s="138" t="str">
        <f t="shared" si="81"/>
        <v/>
      </c>
      <c r="AG134" s="77">
        <f t="shared" si="97"/>
        <v>0</v>
      </c>
      <c r="AH134" s="77">
        <f t="shared" si="98"/>
        <v>0</v>
      </c>
      <c r="AI134" s="77" t="str">
        <f t="shared" si="82"/>
        <v/>
      </c>
      <c r="AJ134" s="78">
        <f t="shared" si="102"/>
        <v>3</v>
      </c>
      <c r="AK134" s="139">
        <f>SUM($AC$6:AC134)</f>
        <v>0</v>
      </c>
      <c r="AL134" s="139">
        <f t="shared" ref="AL134:AL197" ca="1" si="112">IF(D134=D133,AL133,OFFSET(AL134,-1,COLUMN(db_jSaldoGes)-COLUMN()))</f>
        <v>0</v>
      </c>
      <c r="AM134" s="143">
        <f t="shared" si="83"/>
        <v>0</v>
      </c>
      <c r="AN134" s="143">
        <f t="shared" si="84"/>
        <v>0</v>
      </c>
      <c r="AO134" s="143">
        <f t="shared" si="85"/>
        <v>0</v>
      </c>
      <c r="AP134" s="142">
        <f t="shared" ref="AP134:AP197" si="113">IF(A134="","",AP133-IF(F134=Urlaub,1,0)+IF(AND(MONTH(A134)=1,DAY(A134)=1),B_UrlaubNeu,0))</f>
        <v>30</v>
      </c>
      <c r="AQ134" s="142">
        <f t="shared" ref="AQ134:AQ197" ca="1" si="114">IF(A134="","",IF(D134=D133,AQ133,OFFSET(AQ134,-1,COLUMN(db_jUrlRest)-COLUMN()))+IF(AND(MONTH(A134)=1,DAY(A134)=1),B_UrlaubNeu,0))</f>
        <v>30</v>
      </c>
      <c r="AR134" s="154">
        <f t="shared" si="87"/>
        <v>0</v>
      </c>
      <c r="AS134" s="142">
        <f t="shared" ref="AS134:AS197" si="115">IF(ISNUMBER(AC134),K_ArbeitOverMax,IF(AND(ISNUMBER(Z134),Z134&gt;0),K_ArbeitOverTime,IF(AND(ISNUMBER(U134),U134&gt;0),K_ArbeitNormal,IF(F134=Krank,K_Krank,IF(F134=Urlaub,K_Urlaub,IF(AJ134=Feiertag,K_Feiertag,IF(OR(AJ134=6,AJ134=7),K_Wochenende,0)))))))+IF(F134=Gleittag,K_Gleittag,0)</f>
        <v>0</v>
      </c>
      <c r="AT134" t="b">
        <f>OR((F134&gt;0),(NOT(ISBLANK(H134))),SUM(H134:H$373),SUM(G134:G$373))</f>
        <v>0</v>
      </c>
      <c r="AU134" t="b">
        <f t="shared" ca="1" si="103"/>
        <v>0</v>
      </c>
    </row>
    <row r="135" spans="1:47">
      <c r="A135" s="349">
        <f t="shared" ref="A135:A198" si="116">IF(A134="","",IF((A134+1)&gt;=DATE(YEAR(xJahr)+1,MONTH(xJahr),DAY(xJahr)),"",A134+1))</f>
        <v>41768</v>
      </c>
      <c r="B135" s="350">
        <f t="shared" ref="B135:B198" si="117">IF(A135="","",A135)</f>
        <v>41768</v>
      </c>
      <c r="C135" s="351">
        <f t="shared" si="90"/>
        <v>19</v>
      </c>
      <c r="D135" s="352">
        <f t="shared" si="91"/>
        <v>41759</v>
      </c>
      <c r="E135" s="364" t="str">
        <f t="shared" si="104"/>
        <v>Christi Himmelfahrt</v>
      </c>
      <c r="F135" s="6"/>
      <c r="G135" s="7" t="str">
        <f t="shared" si="92"/>
        <v/>
      </c>
      <c r="H135" s="8"/>
      <c r="I135" s="8">
        <f t="shared" si="88"/>
        <v>0</v>
      </c>
      <c r="J135" s="129">
        <f t="shared" si="86"/>
        <v>0</v>
      </c>
      <c r="K135" s="8"/>
      <c r="L135" s="8">
        <f t="shared" si="105"/>
        <v>0</v>
      </c>
      <c r="M135" s="129">
        <f t="shared" si="106"/>
        <v>0</v>
      </c>
      <c r="N135" s="129"/>
      <c r="O135" s="129">
        <f t="shared" si="99"/>
        <v>0</v>
      </c>
      <c r="P135" s="129"/>
      <c r="Q135" s="129">
        <f t="shared" si="107"/>
        <v>0</v>
      </c>
      <c r="R135" s="129">
        <f t="shared" si="108"/>
        <v>0</v>
      </c>
      <c r="S135" s="693">
        <f t="shared" si="109"/>
        <v>6</v>
      </c>
      <c r="T135" s="129">
        <f t="shared" si="89"/>
        <v>0</v>
      </c>
      <c r="U135" s="165">
        <f t="shared" si="110"/>
        <v>0</v>
      </c>
      <c r="V135" s="75"/>
      <c r="W135" s="131">
        <f t="shared" si="100"/>
        <v>4.1666666666666664E-2</v>
      </c>
      <c r="X135" s="126">
        <f t="shared" si="111"/>
        <v>0</v>
      </c>
      <c r="Y135" s="127" t="str">
        <f t="shared" si="93"/>
        <v/>
      </c>
      <c r="Z135" s="128">
        <f t="shared" si="94"/>
        <v>0</v>
      </c>
      <c r="AA135" s="76" t="str">
        <f t="shared" si="95"/>
        <v/>
      </c>
      <c r="AB135" s="216">
        <f t="shared" si="101"/>
        <v>0</v>
      </c>
      <c r="AC135" s="163" t="str">
        <f t="shared" si="96"/>
        <v/>
      </c>
      <c r="AD135" s="257">
        <f t="shared" ref="AD135:AD198" si="118">IF(AT135,(AD134+SUM(Z135)-AE135),)</f>
        <v>0</v>
      </c>
      <c r="AE135" s="138"/>
      <c r="AF135" s="138" t="str">
        <f t="shared" ref="AF135:AF198" si="119">IF(AND(AE135&lt;&gt;"",AE135&lt;=U135),U135-AE135,"")</f>
        <v/>
      </c>
      <c r="AG135" s="77">
        <f t="shared" si="97"/>
        <v>0</v>
      </c>
      <c r="AH135" s="77">
        <f t="shared" si="98"/>
        <v>0</v>
      </c>
      <c r="AI135" s="77" t="str">
        <f t="shared" ref="AI135:AI198" si="120">IF( AND(ISNUMBER( U135 ),ISNUMBER( X135 )), IF( U135 &gt;= X135, "", X135 - U135 ), "" )</f>
        <v/>
      </c>
      <c r="AJ135" s="78">
        <f t="shared" si="102"/>
        <v>8</v>
      </c>
      <c r="AK135" s="139">
        <f>SUM($AC$6:AC135)</f>
        <v>0</v>
      </c>
      <c r="AL135" s="139">
        <f t="shared" ca="1" si="112"/>
        <v>0</v>
      </c>
      <c r="AM135" s="143">
        <f t="shared" ref="AM135:AM198" si="121">IF(OR($G135=-1,$G135=82),-1,IF(OR($G135=0,$G135=83),1,0))</f>
        <v>0</v>
      </c>
      <c r="AN135" s="143">
        <f t="shared" ref="AN135:AN198" si="122">IF($F135=Krank,1,IF($F135="J",-1,0))</f>
        <v>0</v>
      </c>
      <c r="AO135" s="143">
        <f t="shared" ref="AO135:AO198" si="123">IF($F135=Urlaub,1,IF($F135="T",-1,0))</f>
        <v>0</v>
      </c>
      <c r="AP135" s="142">
        <f t="shared" si="113"/>
        <v>30</v>
      </c>
      <c r="AQ135" s="142">
        <f t="shared" ca="1" si="114"/>
        <v>30</v>
      </c>
      <c r="AR135" s="154">
        <f t="shared" si="87"/>
        <v>0</v>
      </c>
      <c r="AS135" s="142">
        <f t="shared" si="115"/>
        <v>8</v>
      </c>
      <c r="AT135" t="b">
        <f>OR((F135&gt;0),(NOT(ISBLANK(H135))),SUM(H135:H$373),SUM(G135:G$373))</f>
        <v>0</v>
      </c>
      <c r="AU135" t="b">
        <f t="shared" ca="1" si="103"/>
        <v>1</v>
      </c>
    </row>
    <row r="136" spans="1:47">
      <c r="A136" s="349">
        <f t="shared" si="116"/>
        <v>41769</v>
      </c>
      <c r="B136" s="350">
        <f t="shared" si="117"/>
        <v>41769</v>
      </c>
      <c r="C136" s="351">
        <f t="shared" si="90"/>
        <v>19</v>
      </c>
      <c r="D136" s="352">
        <f t="shared" si="91"/>
        <v>41759</v>
      </c>
      <c r="E136" s="364" t="str">
        <f t="shared" si="104"/>
        <v/>
      </c>
      <c r="F136" s="6"/>
      <c r="G136" s="7" t="str">
        <f t="shared" si="92"/>
        <v/>
      </c>
      <c r="H136" s="8"/>
      <c r="I136" s="8">
        <f t="shared" si="88"/>
        <v>0</v>
      </c>
      <c r="J136" s="129">
        <f t="shared" ref="J136:J199" si="124">IF(I136&lt;H136,I136+1,I136)</f>
        <v>0</v>
      </c>
      <c r="K136" s="8"/>
      <c r="L136" s="8">
        <f t="shared" si="105"/>
        <v>0</v>
      </c>
      <c r="M136" s="129">
        <f t="shared" si="106"/>
        <v>0</v>
      </c>
      <c r="N136" s="129"/>
      <c r="O136" s="129">
        <f t="shared" si="99"/>
        <v>0</v>
      </c>
      <c r="P136" s="129"/>
      <c r="Q136" s="129">
        <f t="shared" si="107"/>
        <v>0</v>
      </c>
      <c r="R136" s="129">
        <f t="shared" si="108"/>
        <v>0</v>
      </c>
      <c r="S136" s="693">
        <f t="shared" si="109"/>
        <v>6</v>
      </c>
      <c r="T136" s="129">
        <f t="shared" si="89"/>
        <v>0</v>
      </c>
      <c r="U136" s="165">
        <f t="shared" si="110"/>
        <v>0</v>
      </c>
      <c r="V136" s="75"/>
      <c r="W136" s="131">
        <f t="shared" si="100"/>
        <v>4.1666666666666664E-2</v>
      </c>
      <c r="X136" s="126">
        <f t="shared" si="111"/>
        <v>0</v>
      </c>
      <c r="Y136" s="127">
        <f t="shared" si="93"/>
        <v>0.33333333333333331</v>
      </c>
      <c r="Z136" s="128">
        <f t="shared" si="94"/>
        <v>0</v>
      </c>
      <c r="AA136" s="76" t="str">
        <f t="shared" si="95"/>
        <v/>
      </c>
      <c r="AB136" s="216">
        <f t="shared" si="101"/>
        <v>0</v>
      </c>
      <c r="AC136" s="163" t="str">
        <f t="shared" si="96"/>
        <v/>
      </c>
      <c r="AD136" s="257">
        <f t="shared" si="118"/>
        <v>0</v>
      </c>
      <c r="AE136" s="138"/>
      <c r="AF136" s="138" t="str">
        <f t="shared" si="119"/>
        <v/>
      </c>
      <c r="AG136" s="77">
        <f t="shared" si="97"/>
        <v>0</v>
      </c>
      <c r="AH136" s="77">
        <f t="shared" si="98"/>
        <v>0</v>
      </c>
      <c r="AI136" s="77" t="str">
        <f t="shared" si="120"/>
        <v/>
      </c>
      <c r="AJ136" s="78">
        <f t="shared" si="102"/>
        <v>5</v>
      </c>
      <c r="AK136" s="139">
        <f>SUM($AC$6:AC136)</f>
        <v>0</v>
      </c>
      <c r="AL136" s="139">
        <f t="shared" ca="1" si="112"/>
        <v>0</v>
      </c>
      <c r="AM136" s="143">
        <f t="shared" si="121"/>
        <v>0</v>
      </c>
      <c r="AN136" s="143">
        <f t="shared" si="122"/>
        <v>0</v>
      </c>
      <c r="AO136" s="143">
        <f t="shared" si="123"/>
        <v>0</v>
      </c>
      <c r="AP136" s="142">
        <f t="shared" si="113"/>
        <v>30</v>
      </c>
      <c r="AQ136" s="142">
        <f t="shared" ca="1" si="114"/>
        <v>30</v>
      </c>
      <c r="AR136" s="154">
        <f t="shared" si="87"/>
        <v>0</v>
      </c>
      <c r="AS136" s="142">
        <f t="shared" si="115"/>
        <v>0</v>
      </c>
      <c r="AT136" t="b">
        <f>OR((F136&gt;0),(NOT(ISBLANK(H136))),SUM(H136:H$373),SUM(G136:G$373))</f>
        <v>0</v>
      </c>
      <c r="AU136" t="b">
        <f t="shared" ca="1" si="103"/>
        <v>0</v>
      </c>
    </row>
    <row r="137" spans="1:47">
      <c r="A137" s="349">
        <f t="shared" si="116"/>
        <v>41770</v>
      </c>
      <c r="B137" s="350">
        <f t="shared" si="117"/>
        <v>41770</v>
      </c>
      <c r="C137" s="351">
        <f t="shared" si="90"/>
        <v>19</v>
      </c>
      <c r="D137" s="352">
        <f t="shared" si="91"/>
        <v>41759</v>
      </c>
      <c r="E137" s="364" t="str">
        <f t="shared" si="104"/>
        <v/>
      </c>
      <c r="F137" s="6"/>
      <c r="G137" s="7" t="str">
        <f t="shared" si="92"/>
        <v/>
      </c>
      <c r="H137" s="8"/>
      <c r="I137" s="8">
        <f t="shared" si="88"/>
        <v>0</v>
      </c>
      <c r="J137" s="129">
        <f t="shared" si="124"/>
        <v>0</v>
      </c>
      <c r="K137" s="8"/>
      <c r="L137" s="8">
        <f t="shared" si="105"/>
        <v>0</v>
      </c>
      <c r="M137" s="129">
        <f t="shared" si="106"/>
        <v>0</v>
      </c>
      <c r="N137" s="129"/>
      <c r="O137" s="129">
        <f t="shared" si="99"/>
        <v>0</v>
      </c>
      <c r="P137" s="129"/>
      <c r="Q137" s="129">
        <f t="shared" si="107"/>
        <v>0</v>
      </c>
      <c r="R137" s="129">
        <f t="shared" si="108"/>
        <v>0</v>
      </c>
      <c r="S137" s="693">
        <f t="shared" si="109"/>
        <v>6</v>
      </c>
      <c r="T137" s="129">
        <f t="shared" si="89"/>
        <v>0</v>
      </c>
      <c r="U137" s="165">
        <f t="shared" si="110"/>
        <v>0</v>
      </c>
      <c r="V137" s="75"/>
      <c r="W137" s="131">
        <f t="shared" si="100"/>
        <v>4.1666666666666664E-2</v>
      </c>
      <c r="X137" s="126">
        <f t="shared" si="111"/>
        <v>0</v>
      </c>
      <c r="Y137" s="127">
        <f t="shared" si="93"/>
        <v>0</v>
      </c>
      <c r="Z137" s="128">
        <f t="shared" si="94"/>
        <v>0</v>
      </c>
      <c r="AA137" s="76" t="str">
        <f t="shared" si="95"/>
        <v/>
      </c>
      <c r="AB137" s="216">
        <f t="shared" si="101"/>
        <v>0</v>
      </c>
      <c r="AC137" s="163" t="str">
        <f t="shared" si="96"/>
        <v/>
      </c>
      <c r="AD137" s="257">
        <f t="shared" si="118"/>
        <v>0</v>
      </c>
      <c r="AE137" s="138"/>
      <c r="AF137" s="138" t="str">
        <f t="shared" si="119"/>
        <v/>
      </c>
      <c r="AG137" s="77">
        <f t="shared" si="97"/>
        <v>0</v>
      </c>
      <c r="AH137" s="77">
        <f t="shared" si="98"/>
        <v>0</v>
      </c>
      <c r="AI137" s="77" t="str">
        <f t="shared" si="120"/>
        <v/>
      </c>
      <c r="AJ137" s="78">
        <f t="shared" si="102"/>
        <v>6</v>
      </c>
      <c r="AK137" s="139">
        <f>SUM($AC$6:AC137)</f>
        <v>0</v>
      </c>
      <c r="AL137" s="139">
        <f t="shared" ca="1" si="112"/>
        <v>0</v>
      </c>
      <c r="AM137" s="143">
        <f t="shared" si="121"/>
        <v>0</v>
      </c>
      <c r="AN137" s="143">
        <f t="shared" si="122"/>
        <v>0</v>
      </c>
      <c r="AO137" s="143">
        <f t="shared" si="123"/>
        <v>0</v>
      </c>
      <c r="AP137" s="142">
        <f t="shared" si="113"/>
        <v>30</v>
      </c>
      <c r="AQ137" s="142">
        <f t="shared" ca="1" si="114"/>
        <v>30</v>
      </c>
      <c r="AR137" s="154">
        <f t="shared" si="87"/>
        <v>0</v>
      </c>
      <c r="AS137" s="142">
        <f t="shared" si="115"/>
        <v>7</v>
      </c>
      <c r="AT137" t="b">
        <f>OR((F137&gt;0),(NOT(ISBLANK(H137))),SUM(H137:H$373),SUM(G137:G$373))</f>
        <v>0</v>
      </c>
      <c r="AU137" t="b">
        <f t="shared" ca="1" si="103"/>
        <v>1</v>
      </c>
    </row>
    <row r="138" spans="1:47">
      <c r="A138" s="349">
        <f t="shared" si="116"/>
        <v>41771</v>
      </c>
      <c r="B138" s="350">
        <f t="shared" si="117"/>
        <v>41771</v>
      </c>
      <c r="C138" s="351">
        <f t="shared" si="90"/>
        <v>19</v>
      </c>
      <c r="D138" s="352">
        <f t="shared" si="91"/>
        <v>41759</v>
      </c>
      <c r="E138" s="364" t="str">
        <f t="shared" si="104"/>
        <v/>
      </c>
      <c r="F138" s="6"/>
      <c r="G138" s="7" t="str">
        <f t="shared" si="92"/>
        <v/>
      </c>
      <c r="H138" s="8"/>
      <c r="I138" s="8">
        <f t="shared" si="88"/>
        <v>0</v>
      </c>
      <c r="J138" s="129">
        <f t="shared" si="124"/>
        <v>0</v>
      </c>
      <c r="K138" s="8"/>
      <c r="L138" s="8">
        <f t="shared" si="105"/>
        <v>0</v>
      </c>
      <c r="M138" s="129">
        <f t="shared" si="106"/>
        <v>0</v>
      </c>
      <c r="N138" s="129"/>
      <c r="O138" s="129">
        <f t="shared" si="99"/>
        <v>0</v>
      </c>
      <c r="P138" s="129"/>
      <c r="Q138" s="129">
        <f t="shared" si="107"/>
        <v>0</v>
      </c>
      <c r="R138" s="129">
        <f t="shared" si="108"/>
        <v>0</v>
      </c>
      <c r="S138" s="693">
        <f t="shared" si="109"/>
        <v>6</v>
      </c>
      <c r="T138" s="129">
        <f t="shared" si="89"/>
        <v>0</v>
      </c>
      <c r="U138" s="165">
        <f t="shared" si="110"/>
        <v>0</v>
      </c>
      <c r="V138" s="75"/>
      <c r="W138" s="131">
        <f t="shared" si="100"/>
        <v>4.1666666666666664E-2</v>
      </c>
      <c r="X138" s="126">
        <f t="shared" si="111"/>
        <v>0</v>
      </c>
      <c r="Y138" s="127">
        <f t="shared" si="93"/>
        <v>0</v>
      </c>
      <c r="Z138" s="128">
        <f t="shared" si="94"/>
        <v>0</v>
      </c>
      <c r="AA138" s="76" t="str">
        <f t="shared" si="95"/>
        <v/>
      </c>
      <c r="AB138" s="216">
        <f t="shared" si="101"/>
        <v>0</v>
      </c>
      <c r="AC138" s="163" t="str">
        <f t="shared" si="96"/>
        <v/>
      </c>
      <c r="AD138" s="257">
        <f t="shared" si="118"/>
        <v>0</v>
      </c>
      <c r="AE138" s="138"/>
      <c r="AF138" s="138" t="str">
        <f t="shared" si="119"/>
        <v/>
      </c>
      <c r="AG138" s="77">
        <f t="shared" si="97"/>
        <v>0</v>
      </c>
      <c r="AH138" s="77">
        <f t="shared" si="98"/>
        <v>0</v>
      </c>
      <c r="AI138" s="77" t="str">
        <f t="shared" si="120"/>
        <v/>
      </c>
      <c r="AJ138" s="78">
        <f t="shared" si="102"/>
        <v>7</v>
      </c>
      <c r="AK138" s="139">
        <f>SUM($AC$6:AC138)</f>
        <v>0</v>
      </c>
      <c r="AL138" s="139">
        <f t="shared" ca="1" si="112"/>
        <v>0</v>
      </c>
      <c r="AM138" s="143">
        <f t="shared" si="121"/>
        <v>0</v>
      </c>
      <c r="AN138" s="143">
        <f t="shared" si="122"/>
        <v>0</v>
      </c>
      <c r="AO138" s="143">
        <f t="shared" si="123"/>
        <v>0</v>
      </c>
      <c r="AP138" s="142">
        <f t="shared" si="113"/>
        <v>30</v>
      </c>
      <c r="AQ138" s="142">
        <f t="shared" ca="1" si="114"/>
        <v>30</v>
      </c>
      <c r="AR138" s="154">
        <f t="shared" si="87"/>
        <v>0</v>
      </c>
      <c r="AS138" s="142">
        <f t="shared" si="115"/>
        <v>7</v>
      </c>
      <c r="AT138" t="b">
        <f>OR((F138&gt;0),(NOT(ISBLANK(H138))),SUM(H138:H$373),SUM(G138:G$373))</f>
        <v>0</v>
      </c>
      <c r="AU138" t="b">
        <f t="shared" ca="1" si="103"/>
        <v>1</v>
      </c>
    </row>
    <row r="139" spans="1:47">
      <c r="A139" s="349">
        <f t="shared" si="116"/>
        <v>41772</v>
      </c>
      <c r="B139" s="350">
        <f t="shared" si="117"/>
        <v>41772</v>
      </c>
      <c r="C139" s="351">
        <f t="shared" si="90"/>
        <v>20</v>
      </c>
      <c r="D139" s="352">
        <f t="shared" si="91"/>
        <v>41759</v>
      </c>
      <c r="E139" s="364" t="str">
        <f t="shared" si="104"/>
        <v/>
      </c>
      <c r="F139" s="6"/>
      <c r="G139" s="7" t="str">
        <f t="shared" si="92"/>
        <v/>
      </c>
      <c r="H139" s="8"/>
      <c r="I139" s="8">
        <f t="shared" si="88"/>
        <v>0</v>
      </c>
      <c r="J139" s="129">
        <f t="shared" si="124"/>
        <v>0</v>
      </c>
      <c r="K139" s="8"/>
      <c r="L139" s="8">
        <f t="shared" si="105"/>
        <v>0</v>
      </c>
      <c r="M139" s="129">
        <f t="shared" si="106"/>
        <v>0</v>
      </c>
      <c r="N139" s="129"/>
      <c r="O139" s="129">
        <f t="shared" si="99"/>
        <v>0</v>
      </c>
      <c r="P139" s="129"/>
      <c r="Q139" s="129">
        <f t="shared" si="107"/>
        <v>0</v>
      </c>
      <c r="R139" s="129">
        <f t="shared" si="108"/>
        <v>0</v>
      </c>
      <c r="S139" s="693">
        <f t="shared" si="109"/>
        <v>6</v>
      </c>
      <c r="T139" s="129">
        <f t="shared" si="89"/>
        <v>0</v>
      </c>
      <c r="U139" s="165">
        <f t="shared" si="110"/>
        <v>0</v>
      </c>
      <c r="V139" s="75"/>
      <c r="W139" s="131">
        <f t="shared" si="100"/>
        <v>4.1666666666666664E-2</v>
      </c>
      <c r="X139" s="126">
        <f t="shared" si="111"/>
        <v>0</v>
      </c>
      <c r="Y139" s="127">
        <f t="shared" si="93"/>
        <v>0.33333333333333331</v>
      </c>
      <c r="Z139" s="128">
        <f t="shared" si="94"/>
        <v>0</v>
      </c>
      <c r="AA139" s="76" t="str">
        <f t="shared" si="95"/>
        <v/>
      </c>
      <c r="AB139" s="216">
        <f t="shared" si="101"/>
        <v>0</v>
      </c>
      <c r="AC139" s="163" t="str">
        <f t="shared" si="96"/>
        <v/>
      </c>
      <c r="AD139" s="257">
        <f t="shared" si="118"/>
        <v>0</v>
      </c>
      <c r="AE139" s="138"/>
      <c r="AF139" s="138" t="str">
        <f t="shared" si="119"/>
        <v/>
      </c>
      <c r="AG139" s="77">
        <f t="shared" si="97"/>
        <v>0</v>
      </c>
      <c r="AH139" s="77">
        <f t="shared" si="98"/>
        <v>0</v>
      </c>
      <c r="AI139" s="77" t="str">
        <f t="shared" si="120"/>
        <v/>
      </c>
      <c r="AJ139" s="78">
        <f t="shared" si="102"/>
        <v>1</v>
      </c>
      <c r="AK139" s="139">
        <f>SUM($AC$6:AC139)</f>
        <v>0</v>
      </c>
      <c r="AL139" s="139">
        <f t="shared" ca="1" si="112"/>
        <v>0</v>
      </c>
      <c r="AM139" s="143">
        <f t="shared" si="121"/>
        <v>0</v>
      </c>
      <c r="AN139" s="143">
        <f t="shared" si="122"/>
        <v>0</v>
      </c>
      <c r="AO139" s="143">
        <f t="shared" si="123"/>
        <v>0</v>
      </c>
      <c r="AP139" s="142">
        <f t="shared" si="113"/>
        <v>30</v>
      </c>
      <c r="AQ139" s="142">
        <f t="shared" ca="1" si="114"/>
        <v>30</v>
      </c>
      <c r="AR139" s="154">
        <f t="shared" si="87"/>
        <v>0</v>
      </c>
      <c r="AS139" s="142">
        <f t="shared" si="115"/>
        <v>0</v>
      </c>
      <c r="AT139" t="b">
        <f>OR((F139&gt;0),(NOT(ISBLANK(H139))),SUM(H139:H$373),SUM(G139:G$373))</f>
        <v>0</v>
      </c>
      <c r="AU139" t="b">
        <f t="shared" ca="1" si="103"/>
        <v>0</v>
      </c>
    </row>
    <row r="140" spans="1:47">
      <c r="A140" s="349">
        <f t="shared" si="116"/>
        <v>41773</v>
      </c>
      <c r="B140" s="350">
        <f t="shared" si="117"/>
        <v>41773</v>
      </c>
      <c r="C140" s="351">
        <f t="shared" si="90"/>
        <v>20</v>
      </c>
      <c r="D140" s="352">
        <f t="shared" si="91"/>
        <v>41759</v>
      </c>
      <c r="E140" s="364" t="str">
        <f t="shared" si="104"/>
        <v/>
      </c>
      <c r="F140" s="6"/>
      <c r="G140" s="7" t="str">
        <f t="shared" si="92"/>
        <v/>
      </c>
      <c r="H140" s="8"/>
      <c r="I140" s="8">
        <f t="shared" si="88"/>
        <v>0</v>
      </c>
      <c r="J140" s="129">
        <f t="shared" si="124"/>
        <v>0</v>
      </c>
      <c r="K140" s="8"/>
      <c r="L140" s="8">
        <f t="shared" si="105"/>
        <v>0</v>
      </c>
      <c r="M140" s="129">
        <f t="shared" si="106"/>
        <v>0</v>
      </c>
      <c r="N140" s="129"/>
      <c r="O140" s="129">
        <f t="shared" si="99"/>
        <v>0</v>
      </c>
      <c r="P140" s="129"/>
      <c r="Q140" s="129">
        <f t="shared" si="107"/>
        <v>0</v>
      </c>
      <c r="R140" s="129">
        <f t="shared" si="108"/>
        <v>0</v>
      </c>
      <c r="S140" s="693">
        <f t="shared" si="109"/>
        <v>6</v>
      </c>
      <c r="T140" s="129">
        <f t="shared" si="89"/>
        <v>0</v>
      </c>
      <c r="U140" s="165">
        <f t="shared" si="110"/>
        <v>0</v>
      </c>
      <c r="V140" s="75"/>
      <c r="W140" s="131">
        <f t="shared" si="100"/>
        <v>4.1666666666666664E-2</v>
      </c>
      <c r="X140" s="126">
        <f t="shared" si="111"/>
        <v>0</v>
      </c>
      <c r="Y140" s="127">
        <f t="shared" si="93"/>
        <v>0.33333333333333331</v>
      </c>
      <c r="Z140" s="128">
        <f t="shared" si="94"/>
        <v>0</v>
      </c>
      <c r="AA140" s="76" t="str">
        <f t="shared" si="95"/>
        <v/>
      </c>
      <c r="AB140" s="216">
        <f t="shared" si="101"/>
        <v>0</v>
      </c>
      <c r="AC140" s="163" t="str">
        <f t="shared" si="96"/>
        <v/>
      </c>
      <c r="AD140" s="257">
        <f t="shared" si="118"/>
        <v>0</v>
      </c>
      <c r="AE140" s="138"/>
      <c r="AF140" s="138" t="str">
        <f t="shared" si="119"/>
        <v/>
      </c>
      <c r="AG140" s="77">
        <f t="shared" si="97"/>
        <v>0</v>
      </c>
      <c r="AH140" s="77">
        <f t="shared" si="98"/>
        <v>0</v>
      </c>
      <c r="AI140" s="77" t="str">
        <f t="shared" si="120"/>
        <v/>
      </c>
      <c r="AJ140" s="78">
        <f t="shared" si="102"/>
        <v>2</v>
      </c>
      <c r="AK140" s="139">
        <f>SUM($AC$6:AC140)</f>
        <v>0</v>
      </c>
      <c r="AL140" s="139">
        <f t="shared" ca="1" si="112"/>
        <v>0</v>
      </c>
      <c r="AM140" s="143">
        <f t="shared" si="121"/>
        <v>0</v>
      </c>
      <c r="AN140" s="143">
        <f t="shared" si="122"/>
        <v>0</v>
      </c>
      <c r="AO140" s="143">
        <f t="shared" si="123"/>
        <v>0</v>
      </c>
      <c r="AP140" s="142">
        <f t="shared" si="113"/>
        <v>30</v>
      </c>
      <c r="AQ140" s="142">
        <f t="shared" ca="1" si="114"/>
        <v>30</v>
      </c>
      <c r="AR140" s="154">
        <f t="shared" si="87"/>
        <v>0</v>
      </c>
      <c r="AS140" s="142">
        <f t="shared" si="115"/>
        <v>0</v>
      </c>
      <c r="AT140" t="b">
        <f>OR((F140&gt;0),(NOT(ISBLANK(H140))),SUM(H140:H$373),SUM(G140:G$373))</f>
        <v>0</v>
      </c>
      <c r="AU140" t="b">
        <f t="shared" ca="1" si="103"/>
        <v>0</v>
      </c>
    </row>
    <row r="141" spans="1:47">
      <c r="A141" s="349">
        <f t="shared" si="116"/>
        <v>41774</v>
      </c>
      <c r="B141" s="350">
        <f t="shared" si="117"/>
        <v>41774</v>
      </c>
      <c r="C141" s="351">
        <f t="shared" si="90"/>
        <v>20</v>
      </c>
      <c r="D141" s="352">
        <f t="shared" si="91"/>
        <v>41759</v>
      </c>
      <c r="E141" s="364" t="str">
        <f t="shared" si="104"/>
        <v/>
      </c>
      <c r="F141" s="6"/>
      <c r="G141" s="7" t="str">
        <f t="shared" si="92"/>
        <v/>
      </c>
      <c r="H141" s="8"/>
      <c r="I141" s="8">
        <f t="shared" si="88"/>
        <v>0</v>
      </c>
      <c r="J141" s="129">
        <f t="shared" si="124"/>
        <v>0</v>
      </c>
      <c r="K141" s="8"/>
      <c r="L141" s="8">
        <f t="shared" si="105"/>
        <v>0</v>
      </c>
      <c r="M141" s="129">
        <f t="shared" si="106"/>
        <v>0</v>
      </c>
      <c r="N141" s="129"/>
      <c r="O141" s="129">
        <f t="shared" si="99"/>
        <v>0</v>
      </c>
      <c r="P141" s="129"/>
      <c r="Q141" s="129">
        <f t="shared" si="107"/>
        <v>0</v>
      </c>
      <c r="R141" s="129">
        <f t="shared" si="108"/>
        <v>0</v>
      </c>
      <c r="S141" s="693">
        <f t="shared" si="109"/>
        <v>6</v>
      </c>
      <c r="T141" s="129">
        <f t="shared" si="89"/>
        <v>0</v>
      </c>
      <c r="U141" s="165">
        <f t="shared" si="110"/>
        <v>0</v>
      </c>
      <c r="V141" s="75"/>
      <c r="W141" s="131">
        <f t="shared" si="100"/>
        <v>4.1666666666666664E-2</v>
      </c>
      <c r="X141" s="126">
        <f t="shared" si="111"/>
        <v>0</v>
      </c>
      <c r="Y141" s="127">
        <f t="shared" si="93"/>
        <v>0.33333333333333331</v>
      </c>
      <c r="Z141" s="128">
        <f t="shared" si="94"/>
        <v>0</v>
      </c>
      <c r="AA141" s="76" t="str">
        <f t="shared" si="95"/>
        <v/>
      </c>
      <c r="AB141" s="216">
        <f t="shared" si="101"/>
        <v>0</v>
      </c>
      <c r="AC141" s="163" t="str">
        <f t="shared" si="96"/>
        <v/>
      </c>
      <c r="AD141" s="257">
        <f t="shared" si="118"/>
        <v>0</v>
      </c>
      <c r="AE141" s="138"/>
      <c r="AF141" s="138" t="str">
        <f t="shared" si="119"/>
        <v/>
      </c>
      <c r="AG141" s="77">
        <f t="shared" si="97"/>
        <v>0</v>
      </c>
      <c r="AH141" s="77">
        <f t="shared" si="98"/>
        <v>0</v>
      </c>
      <c r="AI141" s="77" t="str">
        <f t="shared" si="120"/>
        <v/>
      </c>
      <c r="AJ141" s="78">
        <f t="shared" si="102"/>
        <v>3</v>
      </c>
      <c r="AK141" s="139">
        <f>SUM($AC$6:AC141)</f>
        <v>0</v>
      </c>
      <c r="AL141" s="139">
        <f t="shared" ca="1" si="112"/>
        <v>0</v>
      </c>
      <c r="AM141" s="143">
        <f t="shared" si="121"/>
        <v>0</v>
      </c>
      <c r="AN141" s="143">
        <f t="shared" si="122"/>
        <v>0</v>
      </c>
      <c r="AO141" s="143">
        <f t="shared" si="123"/>
        <v>0</v>
      </c>
      <c r="AP141" s="142">
        <f t="shared" si="113"/>
        <v>30</v>
      </c>
      <c r="AQ141" s="142">
        <f t="shared" ca="1" si="114"/>
        <v>30</v>
      </c>
      <c r="AR141" s="154">
        <f t="shared" si="87"/>
        <v>0</v>
      </c>
      <c r="AS141" s="142">
        <f t="shared" si="115"/>
        <v>0</v>
      </c>
      <c r="AT141" t="b">
        <f>OR((F141&gt;0),(NOT(ISBLANK(H141))),SUM(H141:H$373),SUM(G141:G$373))</f>
        <v>0</v>
      </c>
      <c r="AU141" t="b">
        <f t="shared" ca="1" si="103"/>
        <v>0</v>
      </c>
    </row>
    <row r="142" spans="1:47">
      <c r="A142" s="349">
        <f t="shared" si="116"/>
        <v>41775</v>
      </c>
      <c r="B142" s="350">
        <f t="shared" si="117"/>
        <v>41775</v>
      </c>
      <c r="C142" s="351">
        <f t="shared" si="90"/>
        <v>20</v>
      </c>
      <c r="D142" s="352">
        <f t="shared" si="91"/>
        <v>41759</v>
      </c>
      <c r="E142" s="364" t="str">
        <f t="shared" si="104"/>
        <v/>
      </c>
      <c r="F142" s="6"/>
      <c r="G142" s="7" t="str">
        <f t="shared" si="92"/>
        <v/>
      </c>
      <c r="H142" s="8"/>
      <c r="I142" s="8">
        <f t="shared" si="88"/>
        <v>0</v>
      </c>
      <c r="J142" s="129">
        <f t="shared" si="124"/>
        <v>0</v>
      </c>
      <c r="K142" s="8"/>
      <c r="L142" s="8">
        <f t="shared" si="105"/>
        <v>0</v>
      </c>
      <c r="M142" s="129">
        <f t="shared" si="106"/>
        <v>0</v>
      </c>
      <c r="N142" s="129"/>
      <c r="O142" s="129">
        <f t="shared" si="99"/>
        <v>0</v>
      </c>
      <c r="P142" s="129"/>
      <c r="Q142" s="129">
        <f t="shared" si="107"/>
        <v>0</v>
      </c>
      <c r="R142" s="129">
        <f t="shared" si="108"/>
        <v>0</v>
      </c>
      <c r="S142" s="693">
        <f t="shared" si="109"/>
        <v>6</v>
      </c>
      <c r="T142" s="129">
        <f t="shared" si="89"/>
        <v>0</v>
      </c>
      <c r="U142" s="165">
        <f t="shared" si="110"/>
        <v>0</v>
      </c>
      <c r="V142" s="75"/>
      <c r="W142" s="131">
        <f t="shared" si="100"/>
        <v>4.1666666666666664E-2</v>
      </c>
      <c r="X142" s="126">
        <f t="shared" si="111"/>
        <v>0</v>
      </c>
      <c r="Y142" s="127">
        <f t="shared" si="93"/>
        <v>0.33333333333333331</v>
      </c>
      <c r="Z142" s="128">
        <f t="shared" si="94"/>
        <v>0</v>
      </c>
      <c r="AA142" s="76" t="str">
        <f t="shared" si="95"/>
        <v/>
      </c>
      <c r="AB142" s="216">
        <f t="shared" si="101"/>
        <v>0</v>
      </c>
      <c r="AC142" s="163" t="str">
        <f t="shared" si="96"/>
        <v/>
      </c>
      <c r="AD142" s="257">
        <f t="shared" si="118"/>
        <v>0</v>
      </c>
      <c r="AE142" s="138"/>
      <c r="AF142" s="138" t="str">
        <f t="shared" si="119"/>
        <v/>
      </c>
      <c r="AG142" s="77">
        <f t="shared" si="97"/>
        <v>0</v>
      </c>
      <c r="AH142" s="77">
        <f t="shared" si="98"/>
        <v>0</v>
      </c>
      <c r="AI142" s="77" t="str">
        <f t="shared" si="120"/>
        <v/>
      </c>
      <c r="AJ142" s="78">
        <f t="shared" si="102"/>
        <v>4</v>
      </c>
      <c r="AK142" s="139">
        <f>SUM($AC$6:AC142)</f>
        <v>0</v>
      </c>
      <c r="AL142" s="139">
        <f t="shared" ca="1" si="112"/>
        <v>0</v>
      </c>
      <c r="AM142" s="143">
        <f t="shared" si="121"/>
        <v>0</v>
      </c>
      <c r="AN142" s="143">
        <f t="shared" si="122"/>
        <v>0</v>
      </c>
      <c r="AO142" s="143">
        <f t="shared" si="123"/>
        <v>0</v>
      </c>
      <c r="AP142" s="142">
        <f t="shared" si="113"/>
        <v>30</v>
      </c>
      <c r="AQ142" s="142">
        <f t="shared" ca="1" si="114"/>
        <v>30</v>
      </c>
      <c r="AR142" s="154">
        <f t="shared" ref="AR142:AR205" si="125">(IF(ISNUMBER(U142),U142,0)+IF(ISNUMBER(AC142),AC142,0))*24</f>
        <v>0</v>
      </c>
      <c r="AS142" s="142">
        <f t="shared" si="115"/>
        <v>0</v>
      </c>
      <c r="AT142" t="b">
        <f>OR((F142&gt;0),(NOT(ISBLANK(H142))),SUM(H142:H$373),SUM(G142:G$373))</f>
        <v>0</v>
      </c>
      <c r="AU142" t="b">
        <f t="shared" ca="1" si="103"/>
        <v>0</v>
      </c>
    </row>
    <row r="143" spans="1:47">
      <c r="A143" s="349">
        <f t="shared" si="116"/>
        <v>41776</v>
      </c>
      <c r="B143" s="350">
        <f t="shared" si="117"/>
        <v>41776</v>
      </c>
      <c r="C143" s="351">
        <f t="shared" si="90"/>
        <v>20</v>
      </c>
      <c r="D143" s="352">
        <f t="shared" si="91"/>
        <v>41759</v>
      </c>
      <c r="E143" s="364" t="str">
        <f t="shared" si="104"/>
        <v/>
      </c>
      <c r="F143" s="6"/>
      <c r="G143" s="7" t="str">
        <f t="shared" si="92"/>
        <v/>
      </c>
      <c r="H143" s="8"/>
      <c r="I143" s="8">
        <f t="shared" si="88"/>
        <v>0</v>
      </c>
      <c r="J143" s="129">
        <f t="shared" si="124"/>
        <v>0</v>
      </c>
      <c r="K143" s="8"/>
      <c r="L143" s="8">
        <f t="shared" si="105"/>
        <v>0</v>
      </c>
      <c r="M143" s="129">
        <f t="shared" si="106"/>
        <v>0</v>
      </c>
      <c r="N143" s="129"/>
      <c r="O143" s="129">
        <f t="shared" si="99"/>
        <v>0</v>
      </c>
      <c r="P143" s="129"/>
      <c r="Q143" s="129">
        <f t="shared" si="107"/>
        <v>0</v>
      </c>
      <c r="R143" s="129">
        <f t="shared" si="108"/>
        <v>0</v>
      </c>
      <c r="S143" s="693">
        <f t="shared" si="109"/>
        <v>6</v>
      </c>
      <c r="T143" s="129">
        <f t="shared" si="89"/>
        <v>0</v>
      </c>
      <c r="U143" s="165">
        <f t="shared" si="110"/>
        <v>0</v>
      </c>
      <c r="V143" s="75"/>
      <c r="W143" s="131">
        <f t="shared" si="100"/>
        <v>4.1666666666666664E-2</v>
      </c>
      <c r="X143" s="126">
        <f t="shared" si="111"/>
        <v>0</v>
      </c>
      <c r="Y143" s="127">
        <f t="shared" si="93"/>
        <v>0.33333333333333331</v>
      </c>
      <c r="Z143" s="128">
        <f t="shared" si="94"/>
        <v>0</v>
      </c>
      <c r="AA143" s="76" t="str">
        <f t="shared" si="95"/>
        <v/>
      </c>
      <c r="AB143" s="216">
        <f t="shared" si="101"/>
        <v>0</v>
      </c>
      <c r="AC143" s="163" t="str">
        <f t="shared" si="96"/>
        <v/>
      </c>
      <c r="AD143" s="257">
        <f t="shared" si="118"/>
        <v>0</v>
      </c>
      <c r="AE143" s="138"/>
      <c r="AF143" s="138" t="str">
        <f t="shared" si="119"/>
        <v/>
      </c>
      <c r="AG143" s="77">
        <f t="shared" si="97"/>
        <v>0</v>
      </c>
      <c r="AH143" s="77">
        <f t="shared" si="98"/>
        <v>0</v>
      </c>
      <c r="AI143" s="77" t="str">
        <f t="shared" si="120"/>
        <v/>
      </c>
      <c r="AJ143" s="78">
        <f t="shared" si="102"/>
        <v>5</v>
      </c>
      <c r="AK143" s="139">
        <f>SUM($AC$6:AC143)</f>
        <v>0</v>
      </c>
      <c r="AL143" s="139">
        <f t="shared" ca="1" si="112"/>
        <v>0</v>
      </c>
      <c r="AM143" s="143">
        <f t="shared" si="121"/>
        <v>0</v>
      </c>
      <c r="AN143" s="143">
        <f t="shared" si="122"/>
        <v>0</v>
      </c>
      <c r="AO143" s="143">
        <f t="shared" si="123"/>
        <v>0</v>
      </c>
      <c r="AP143" s="142">
        <f t="shared" si="113"/>
        <v>30</v>
      </c>
      <c r="AQ143" s="142">
        <f t="shared" ca="1" si="114"/>
        <v>30</v>
      </c>
      <c r="AR143" s="154">
        <f t="shared" si="125"/>
        <v>0</v>
      </c>
      <c r="AS143" s="142">
        <f t="shared" si="115"/>
        <v>0</v>
      </c>
      <c r="AT143" t="b">
        <f>OR((F143&gt;0),(NOT(ISBLANK(H143))),SUM(H143:H$373),SUM(G143:G$373))</f>
        <v>0</v>
      </c>
      <c r="AU143" t="b">
        <f t="shared" ca="1" si="103"/>
        <v>0</v>
      </c>
    </row>
    <row r="144" spans="1:47">
      <c r="A144" s="349">
        <f t="shared" si="116"/>
        <v>41777</v>
      </c>
      <c r="B144" s="350">
        <f t="shared" si="117"/>
        <v>41777</v>
      </c>
      <c r="C144" s="351">
        <f t="shared" si="90"/>
        <v>20</v>
      </c>
      <c r="D144" s="352">
        <f t="shared" si="91"/>
        <v>41759</v>
      </c>
      <c r="E144" s="364" t="str">
        <f t="shared" si="104"/>
        <v/>
      </c>
      <c r="F144" s="6"/>
      <c r="G144" s="7" t="str">
        <f t="shared" si="92"/>
        <v/>
      </c>
      <c r="H144" s="8"/>
      <c r="I144" s="8">
        <f t="shared" si="88"/>
        <v>0</v>
      </c>
      <c r="J144" s="129">
        <f t="shared" si="124"/>
        <v>0</v>
      </c>
      <c r="K144" s="8"/>
      <c r="L144" s="8">
        <f t="shared" si="105"/>
        <v>0</v>
      </c>
      <c r="M144" s="129">
        <f t="shared" si="106"/>
        <v>0</v>
      </c>
      <c r="N144" s="129"/>
      <c r="O144" s="129">
        <f t="shared" si="99"/>
        <v>0</v>
      </c>
      <c r="P144" s="129"/>
      <c r="Q144" s="129">
        <f t="shared" si="107"/>
        <v>0</v>
      </c>
      <c r="R144" s="129">
        <f t="shared" si="108"/>
        <v>0</v>
      </c>
      <c r="S144" s="693">
        <f t="shared" si="109"/>
        <v>6</v>
      </c>
      <c r="T144" s="129">
        <f t="shared" si="89"/>
        <v>0</v>
      </c>
      <c r="U144" s="165">
        <f t="shared" si="110"/>
        <v>0</v>
      </c>
      <c r="V144" s="75"/>
      <c r="W144" s="131">
        <f t="shared" si="100"/>
        <v>4.1666666666666664E-2</v>
      </c>
      <c r="X144" s="126">
        <f t="shared" si="111"/>
        <v>0</v>
      </c>
      <c r="Y144" s="127">
        <f t="shared" si="93"/>
        <v>0</v>
      </c>
      <c r="Z144" s="128">
        <f t="shared" si="94"/>
        <v>0</v>
      </c>
      <c r="AA144" s="76" t="str">
        <f t="shared" si="95"/>
        <v/>
      </c>
      <c r="AB144" s="216">
        <f t="shared" si="101"/>
        <v>0</v>
      </c>
      <c r="AC144" s="163" t="str">
        <f t="shared" si="96"/>
        <v/>
      </c>
      <c r="AD144" s="257">
        <f t="shared" si="118"/>
        <v>0</v>
      </c>
      <c r="AE144" s="138"/>
      <c r="AF144" s="138" t="str">
        <f t="shared" si="119"/>
        <v/>
      </c>
      <c r="AG144" s="77">
        <f t="shared" si="97"/>
        <v>0</v>
      </c>
      <c r="AH144" s="77">
        <f t="shared" si="98"/>
        <v>0</v>
      </c>
      <c r="AI144" s="77" t="str">
        <f t="shared" si="120"/>
        <v/>
      </c>
      <c r="AJ144" s="78">
        <f t="shared" si="102"/>
        <v>6</v>
      </c>
      <c r="AK144" s="139">
        <f>SUM($AC$6:AC144)</f>
        <v>0</v>
      </c>
      <c r="AL144" s="139">
        <f t="shared" ca="1" si="112"/>
        <v>0</v>
      </c>
      <c r="AM144" s="143">
        <f t="shared" si="121"/>
        <v>0</v>
      </c>
      <c r="AN144" s="143">
        <f t="shared" si="122"/>
        <v>0</v>
      </c>
      <c r="AO144" s="143">
        <f t="shared" si="123"/>
        <v>0</v>
      </c>
      <c r="AP144" s="142">
        <f t="shared" si="113"/>
        <v>30</v>
      </c>
      <c r="AQ144" s="142">
        <f t="shared" ca="1" si="114"/>
        <v>30</v>
      </c>
      <c r="AR144" s="154">
        <f t="shared" si="125"/>
        <v>0</v>
      </c>
      <c r="AS144" s="142">
        <f t="shared" si="115"/>
        <v>7</v>
      </c>
      <c r="AT144" t="b">
        <f>OR((F144&gt;0),(NOT(ISBLANK(H144))),SUM(H144:H$373),SUM(G144:G$373))</f>
        <v>0</v>
      </c>
      <c r="AU144" t="b">
        <f t="shared" ca="1" si="103"/>
        <v>1</v>
      </c>
    </row>
    <row r="145" spans="1:47">
      <c r="A145" s="349">
        <f t="shared" si="116"/>
        <v>41778</v>
      </c>
      <c r="B145" s="350">
        <f t="shared" si="117"/>
        <v>41778</v>
      </c>
      <c r="C145" s="351">
        <f t="shared" si="90"/>
        <v>20</v>
      </c>
      <c r="D145" s="352">
        <f t="shared" si="91"/>
        <v>41759</v>
      </c>
      <c r="E145" s="364" t="str">
        <f t="shared" si="104"/>
        <v>Pfingstsonntag</v>
      </c>
      <c r="F145" s="6"/>
      <c r="G145" s="7" t="str">
        <f t="shared" si="92"/>
        <v/>
      </c>
      <c r="H145" s="8"/>
      <c r="I145" s="8">
        <f t="shared" si="88"/>
        <v>0</v>
      </c>
      <c r="J145" s="129">
        <f t="shared" si="124"/>
        <v>0</v>
      </c>
      <c r="K145" s="8"/>
      <c r="L145" s="8">
        <f t="shared" si="105"/>
        <v>0</v>
      </c>
      <c r="M145" s="129">
        <f t="shared" si="106"/>
        <v>0</v>
      </c>
      <c r="N145" s="129"/>
      <c r="O145" s="129">
        <f t="shared" si="99"/>
        <v>0</v>
      </c>
      <c r="P145" s="129"/>
      <c r="Q145" s="129">
        <f t="shared" si="107"/>
        <v>0</v>
      </c>
      <c r="R145" s="129">
        <f t="shared" si="108"/>
        <v>0</v>
      </c>
      <c r="S145" s="693">
        <f t="shared" si="109"/>
        <v>6</v>
      </c>
      <c r="T145" s="129">
        <f t="shared" si="89"/>
        <v>0</v>
      </c>
      <c r="U145" s="165">
        <f t="shared" si="110"/>
        <v>0</v>
      </c>
      <c r="V145" s="75"/>
      <c r="W145" s="131">
        <f t="shared" si="100"/>
        <v>4.1666666666666664E-2</v>
      </c>
      <c r="X145" s="126">
        <f t="shared" si="111"/>
        <v>0</v>
      </c>
      <c r="Y145" s="127" t="str">
        <f t="shared" si="93"/>
        <v/>
      </c>
      <c r="Z145" s="128">
        <f t="shared" si="94"/>
        <v>0</v>
      </c>
      <c r="AA145" s="76" t="str">
        <f t="shared" si="95"/>
        <v/>
      </c>
      <c r="AB145" s="216">
        <f t="shared" si="101"/>
        <v>0</v>
      </c>
      <c r="AC145" s="163" t="str">
        <f t="shared" si="96"/>
        <v/>
      </c>
      <c r="AD145" s="257">
        <f t="shared" si="118"/>
        <v>0</v>
      </c>
      <c r="AE145" s="138"/>
      <c r="AF145" s="138" t="str">
        <f t="shared" si="119"/>
        <v/>
      </c>
      <c r="AG145" s="77">
        <f t="shared" si="97"/>
        <v>0</v>
      </c>
      <c r="AH145" s="77">
        <f t="shared" si="98"/>
        <v>0</v>
      </c>
      <c r="AI145" s="77" t="str">
        <f t="shared" si="120"/>
        <v/>
      </c>
      <c r="AJ145" s="78">
        <f t="shared" si="102"/>
        <v>8</v>
      </c>
      <c r="AK145" s="139">
        <f>SUM($AC$6:AC145)</f>
        <v>0</v>
      </c>
      <c r="AL145" s="139">
        <f t="shared" ca="1" si="112"/>
        <v>0</v>
      </c>
      <c r="AM145" s="143">
        <f t="shared" si="121"/>
        <v>0</v>
      </c>
      <c r="AN145" s="143">
        <f t="shared" si="122"/>
        <v>0</v>
      </c>
      <c r="AO145" s="143">
        <f t="shared" si="123"/>
        <v>0</v>
      </c>
      <c r="AP145" s="142">
        <f t="shared" si="113"/>
        <v>30</v>
      </c>
      <c r="AQ145" s="142">
        <f t="shared" ca="1" si="114"/>
        <v>30</v>
      </c>
      <c r="AR145" s="154">
        <f t="shared" si="125"/>
        <v>0</v>
      </c>
      <c r="AS145" s="142">
        <f t="shared" si="115"/>
        <v>8</v>
      </c>
      <c r="AT145" t="b">
        <f>OR((F145&gt;0),(NOT(ISBLANK(H145))),SUM(H145:H$373),SUM(G145:G$373))</f>
        <v>0</v>
      </c>
      <c r="AU145" t="b">
        <f t="shared" ca="1" si="103"/>
        <v>1</v>
      </c>
    </row>
    <row r="146" spans="1:47">
      <c r="A146" s="349">
        <f t="shared" si="116"/>
        <v>41779</v>
      </c>
      <c r="B146" s="350">
        <f t="shared" si="117"/>
        <v>41779</v>
      </c>
      <c r="C146" s="351">
        <f t="shared" si="90"/>
        <v>21</v>
      </c>
      <c r="D146" s="352">
        <f t="shared" si="91"/>
        <v>41759</v>
      </c>
      <c r="E146" s="364" t="str">
        <f t="shared" si="104"/>
        <v>Pfingstmontag</v>
      </c>
      <c r="F146" s="6"/>
      <c r="G146" s="7" t="str">
        <f t="shared" si="92"/>
        <v/>
      </c>
      <c r="H146" s="8"/>
      <c r="I146" s="8">
        <f t="shared" ref="I146:I209" si="126">IF(H146&gt;0,H146+X146+W146+AB146,0)</f>
        <v>0</v>
      </c>
      <c r="J146" s="129">
        <f t="shared" si="124"/>
        <v>0</v>
      </c>
      <c r="K146" s="8"/>
      <c r="L146" s="8">
        <f t="shared" si="105"/>
        <v>0</v>
      </c>
      <c r="M146" s="129">
        <f t="shared" si="106"/>
        <v>0</v>
      </c>
      <c r="N146" s="129"/>
      <c r="O146" s="129">
        <f t="shared" si="99"/>
        <v>0</v>
      </c>
      <c r="P146" s="129"/>
      <c r="Q146" s="129">
        <f t="shared" si="107"/>
        <v>0</v>
      </c>
      <c r="R146" s="129">
        <f t="shared" si="108"/>
        <v>0</v>
      </c>
      <c r="S146" s="693">
        <f t="shared" si="109"/>
        <v>6</v>
      </c>
      <c r="T146" s="129">
        <f t="shared" ref="T146:T209" si="127">IF((J146-H146)&gt;=TIME(S146,0,1),W146,(IF(OR(R146&lt;TIME(S146,0,1),AND(K146&lt;&gt;0,(K146-J146)&gt;=W146)),0,IF(AND(K146&lt;&gt;0,(K146-J146)&lt;W146),W146-(K146-J146),W146))))</f>
        <v>0</v>
      </c>
      <c r="U146" s="165">
        <f t="shared" si="110"/>
        <v>0</v>
      </c>
      <c r="V146" s="75"/>
      <c r="W146" s="131">
        <f t="shared" si="100"/>
        <v>4.1666666666666664E-2</v>
      </c>
      <c r="X146" s="126">
        <f t="shared" si="111"/>
        <v>0</v>
      </c>
      <c r="Y146" s="127" t="str">
        <f t="shared" si="93"/>
        <v/>
      </c>
      <c r="Z146" s="128">
        <f t="shared" si="94"/>
        <v>0</v>
      </c>
      <c r="AA146" s="76" t="str">
        <f t="shared" si="95"/>
        <v/>
      </c>
      <c r="AB146" s="216">
        <f t="shared" si="101"/>
        <v>0</v>
      </c>
      <c r="AC146" s="163" t="str">
        <f t="shared" si="96"/>
        <v/>
      </c>
      <c r="AD146" s="257">
        <f t="shared" si="118"/>
        <v>0</v>
      </c>
      <c r="AE146" s="138"/>
      <c r="AF146" s="138" t="str">
        <f t="shared" si="119"/>
        <v/>
      </c>
      <c r="AG146" s="77">
        <f t="shared" si="97"/>
        <v>0</v>
      </c>
      <c r="AH146" s="77">
        <f t="shared" si="98"/>
        <v>0</v>
      </c>
      <c r="AI146" s="77" t="str">
        <f t="shared" si="120"/>
        <v/>
      </c>
      <c r="AJ146" s="78">
        <f t="shared" si="102"/>
        <v>8</v>
      </c>
      <c r="AK146" s="139">
        <f>SUM($AC$6:AC146)</f>
        <v>0</v>
      </c>
      <c r="AL146" s="139">
        <f t="shared" ca="1" si="112"/>
        <v>0</v>
      </c>
      <c r="AM146" s="143">
        <f t="shared" si="121"/>
        <v>0</v>
      </c>
      <c r="AN146" s="143">
        <f t="shared" si="122"/>
        <v>0</v>
      </c>
      <c r="AO146" s="143">
        <f t="shared" si="123"/>
        <v>0</v>
      </c>
      <c r="AP146" s="142">
        <f t="shared" si="113"/>
        <v>30</v>
      </c>
      <c r="AQ146" s="142">
        <f t="shared" ca="1" si="114"/>
        <v>30</v>
      </c>
      <c r="AR146" s="154">
        <f t="shared" si="125"/>
        <v>0</v>
      </c>
      <c r="AS146" s="142">
        <f t="shared" si="115"/>
        <v>8</v>
      </c>
      <c r="AT146" t="b">
        <f>OR((F146&gt;0),(NOT(ISBLANK(H146))),SUM(H146:H$373),SUM(G146:G$373))</f>
        <v>0</v>
      </c>
      <c r="AU146" t="b">
        <f t="shared" ca="1" si="103"/>
        <v>1</v>
      </c>
    </row>
    <row r="147" spans="1:47">
      <c r="A147" s="349">
        <f t="shared" si="116"/>
        <v>41780</v>
      </c>
      <c r="B147" s="350">
        <f t="shared" si="117"/>
        <v>41780</v>
      </c>
      <c r="C147" s="351">
        <f t="shared" si="90"/>
        <v>21</v>
      </c>
      <c r="D147" s="352">
        <f t="shared" si="91"/>
        <v>41759</v>
      </c>
      <c r="E147" s="364" t="str">
        <f t="shared" si="104"/>
        <v/>
      </c>
      <c r="F147" s="6"/>
      <c r="G147" s="7" t="str">
        <f t="shared" si="92"/>
        <v/>
      </c>
      <c r="H147" s="8"/>
      <c r="I147" s="8">
        <f t="shared" si="126"/>
        <v>0</v>
      </c>
      <c r="J147" s="129">
        <f t="shared" si="124"/>
        <v>0</v>
      </c>
      <c r="K147" s="8"/>
      <c r="L147" s="8">
        <f t="shared" si="105"/>
        <v>0</v>
      </c>
      <c r="M147" s="129">
        <f t="shared" si="106"/>
        <v>0</v>
      </c>
      <c r="N147" s="129"/>
      <c r="O147" s="129">
        <f t="shared" si="99"/>
        <v>0</v>
      </c>
      <c r="P147" s="129"/>
      <c r="Q147" s="129">
        <f t="shared" si="107"/>
        <v>0</v>
      </c>
      <c r="R147" s="129">
        <f t="shared" si="108"/>
        <v>0</v>
      </c>
      <c r="S147" s="693">
        <f t="shared" si="109"/>
        <v>6</v>
      </c>
      <c r="T147" s="129">
        <f t="shared" si="127"/>
        <v>0</v>
      </c>
      <c r="U147" s="165">
        <f t="shared" si="110"/>
        <v>0</v>
      </c>
      <c r="V147" s="75"/>
      <c r="W147" s="131">
        <f t="shared" si="100"/>
        <v>4.1666666666666664E-2</v>
      </c>
      <c r="X147" s="126">
        <f t="shared" si="111"/>
        <v>0</v>
      </c>
      <c r="Y147" s="127">
        <f t="shared" si="93"/>
        <v>0.33333333333333331</v>
      </c>
      <c r="Z147" s="128">
        <f t="shared" si="94"/>
        <v>0</v>
      </c>
      <c r="AA147" s="76" t="str">
        <f t="shared" si="95"/>
        <v/>
      </c>
      <c r="AB147" s="216">
        <f t="shared" si="101"/>
        <v>0</v>
      </c>
      <c r="AC147" s="163" t="str">
        <f t="shared" si="96"/>
        <v/>
      </c>
      <c r="AD147" s="257">
        <f t="shared" si="118"/>
        <v>0</v>
      </c>
      <c r="AE147" s="138"/>
      <c r="AF147" s="138" t="str">
        <f t="shared" si="119"/>
        <v/>
      </c>
      <c r="AG147" s="77">
        <f t="shared" si="97"/>
        <v>0</v>
      </c>
      <c r="AH147" s="77">
        <f t="shared" si="98"/>
        <v>0</v>
      </c>
      <c r="AI147" s="77" t="str">
        <f t="shared" si="120"/>
        <v/>
      </c>
      <c r="AJ147" s="78">
        <f t="shared" si="102"/>
        <v>2</v>
      </c>
      <c r="AK147" s="139">
        <f>SUM($AC$6:AC147)</f>
        <v>0</v>
      </c>
      <c r="AL147" s="139">
        <f t="shared" ca="1" si="112"/>
        <v>0</v>
      </c>
      <c r="AM147" s="143">
        <f t="shared" si="121"/>
        <v>0</v>
      </c>
      <c r="AN147" s="143">
        <f t="shared" si="122"/>
        <v>0</v>
      </c>
      <c r="AO147" s="143">
        <f t="shared" si="123"/>
        <v>0</v>
      </c>
      <c r="AP147" s="142">
        <f t="shared" si="113"/>
        <v>30</v>
      </c>
      <c r="AQ147" s="142">
        <f t="shared" ca="1" si="114"/>
        <v>30</v>
      </c>
      <c r="AR147" s="154">
        <f t="shared" si="125"/>
        <v>0</v>
      </c>
      <c r="AS147" s="142">
        <f t="shared" si="115"/>
        <v>0</v>
      </c>
      <c r="AT147" t="b">
        <f>OR((F147&gt;0),(NOT(ISBLANK(H147))),SUM(H147:H$373),SUM(G147:G$373))</f>
        <v>0</v>
      </c>
      <c r="AU147" t="b">
        <f t="shared" ca="1" si="103"/>
        <v>0</v>
      </c>
    </row>
    <row r="148" spans="1:47">
      <c r="A148" s="349">
        <f t="shared" si="116"/>
        <v>41781</v>
      </c>
      <c r="B148" s="350">
        <f t="shared" si="117"/>
        <v>41781</v>
      </c>
      <c r="C148" s="351">
        <f t="shared" ref="C148:C211" si="128">IF(A148="","",NumberOfWeek(A148))</f>
        <v>21</v>
      </c>
      <c r="D148" s="352">
        <f t="shared" ref="D148:D211" si="129">IF(A148="","",DATE(YEAR(A148),MONTH(A148),1))</f>
        <v>41759</v>
      </c>
      <c r="E148" s="364" t="str">
        <f t="shared" si="104"/>
        <v/>
      </c>
      <c r="F148" s="6"/>
      <c r="G148" s="7" t="str">
        <f t="shared" ref="G148:G211" si="130">IF(ISBLANK(F148),IF(ISBLANK(H148),"",0),CODE(UPPER(F148)))</f>
        <v/>
      </c>
      <c r="H148" s="8"/>
      <c r="I148" s="8">
        <f t="shared" si="126"/>
        <v>0</v>
      </c>
      <c r="J148" s="129">
        <f t="shared" si="124"/>
        <v>0</v>
      </c>
      <c r="K148" s="8"/>
      <c r="L148" s="8">
        <f t="shared" si="105"/>
        <v>0</v>
      </c>
      <c r="M148" s="129">
        <f t="shared" si="106"/>
        <v>0</v>
      </c>
      <c r="N148" s="129"/>
      <c r="O148" s="129">
        <f t="shared" si="99"/>
        <v>0</v>
      </c>
      <c r="P148" s="129"/>
      <c r="Q148" s="129">
        <f t="shared" si="107"/>
        <v>0</v>
      </c>
      <c r="R148" s="129">
        <f t="shared" si="108"/>
        <v>0</v>
      </c>
      <c r="S148" s="693">
        <f t="shared" si="109"/>
        <v>6</v>
      </c>
      <c r="T148" s="129">
        <f t="shared" si="127"/>
        <v>0</v>
      </c>
      <c r="U148" s="165">
        <f t="shared" si="110"/>
        <v>0</v>
      </c>
      <c r="V148" s="75"/>
      <c r="W148" s="131">
        <f t="shared" si="100"/>
        <v>4.1666666666666664E-2</v>
      </c>
      <c r="X148" s="126">
        <f t="shared" si="111"/>
        <v>0</v>
      </c>
      <c r="Y148" s="127">
        <f t="shared" ref="Y148:Y211" si="131">IF(AND(AJ148&gt;0,AJ148&lt;Feiertag),INDEX(Arbeitszeit,AJ148),"")</f>
        <v>0.33333333333333331</v>
      </c>
      <c r="Z148" s="128">
        <f t="shared" ref="Z148:Z211" si="132">U148-X148</f>
        <v>0</v>
      </c>
      <c r="AA148" s="76" t="str">
        <f t="shared" ref="AA148:AA211" si="133">IF((U148-X148)&lt;0,"*","")</f>
        <v/>
      </c>
      <c r="AB148" s="216">
        <f t="shared" si="101"/>
        <v>0</v>
      </c>
      <c r="AC148" s="163" t="str">
        <f t="shared" ref="AC148:AC211" si="134">IF((R148-T148)&gt;XWorkTimeMax,(R148-T148-XWorkTimeMax),"")</f>
        <v/>
      </c>
      <c r="AD148" s="257">
        <f t="shared" si="118"/>
        <v>0</v>
      </c>
      <c r="AE148" s="138"/>
      <c r="AF148" s="138" t="str">
        <f t="shared" si="119"/>
        <v/>
      </c>
      <c r="AG148" s="77">
        <f t="shared" si="97"/>
        <v>0</v>
      </c>
      <c r="AH148" s="77">
        <f t="shared" si="98"/>
        <v>0</v>
      </c>
      <c r="AI148" s="77" t="str">
        <f t="shared" si="120"/>
        <v/>
      </c>
      <c r="AJ148" s="78">
        <f t="shared" si="102"/>
        <v>3</v>
      </c>
      <c r="AK148" s="139">
        <f>SUM($AC$6:AC148)</f>
        <v>0</v>
      </c>
      <c r="AL148" s="139">
        <f t="shared" ca="1" si="112"/>
        <v>0</v>
      </c>
      <c r="AM148" s="143">
        <f t="shared" si="121"/>
        <v>0</v>
      </c>
      <c r="AN148" s="143">
        <f t="shared" si="122"/>
        <v>0</v>
      </c>
      <c r="AO148" s="143">
        <f t="shared" si="123"/>
        <v>0</v>
      </c>
      <c r="AP148" s="142">
        <f t="shared" si="113"/>
        <v>30</v>
      </c>
      <c r="AQ148" s="142">
        <f t="shared" ca="1" si="114"/>
        <v>30</v>
      </c>
      <c r="AR148" s="154">
        <f t="shared" si="125"/>
        <v>0</v>
      </c>
      <c r="AS148" s="142">
        <f t="shared" si="115"/>
        <v>0</v>
      </c>
      <c r="AT148" t="b">
        <f>OR((F148&gt;0),(NOT(ISBLANK(H148))),SUM(H148:H$373),SUM(G148:G$373))</f>
        <v>0</v>
      </c>
      <c r="AU148" t="b">
        <f t="shared" ca="1" si="103"/>
        <v>0</v>
      </c>
    </row>
    <row r="149" spans="1:47">
      <c r="A149" s="349">
        <f t="shared" si="116"/>
        <v>41782</v>
      </c>
      <c r="B149" s="350">
        <f t="shared" si="117"/>
        <v>41782</v>
      </c>
      <c r="C149" s="351">
        <f t="shared" si="128"/>
        <v>21</v>
      </c>
      <c r="D149" s="352">
        <f t="shared" si="129"/>
        <v>41759</v>
      </c>
      <c r="E149" s="364" t="str">
        <f t="shared" si="104"/>
        <v/>
      </c>
      <c r="F149" s="6"/>
      <c r="G149" s="7" t="str">
        <f t="shared" si="130"/>
        <v/>
      </c>
      <c r="H149" s="8"/>
      <c r="I149" s="8">
        <f t="shared" si="126"/>
        <v>0</v>
      </c>
      <c r="J149" s="129">
        <f t="shared" si="124"/>
        <v>0</v>
      </c>
      <c r="K149" s="8"/>
      <c r="L149" s="8">
        <f t="shared" si="105"/>
        <v>0</v>
      </c>
      <c r="M149" s="129">
        <f t="shared" si="106"/>
        <v>0</v>
      </c>
      <c r="N149" s="129"/>
      <c r="O149" s="129">
        <f t="shared" si="99"/>
        <v>0</v>
      </c>
      <c r="P149" s="129"/>
      <c r="Q149" s="129">
        <f t="shared" si="107"/>
        <v>0</v>
      </c>
      <c r="R149" s="129">
        <f t="shared" si="108"/>
        <v>0</v>
      </c>
      <c r="S149" s="693">
        <f t="shared" si="109"/>
        <v>6</v>
      </c>
      <c r="T149" s="129">
        <f t="shared" si="127"/>
        <v>0</v>
      </c>
      <c r="U149" s="165">
        <f t="shared" si="110"/>
        <v>0</v>
      </c>
      <c r="V149" s="75"/>
      <c r="W149" s="131">
        <f t="shared" si="100"/>
        <v>4.1666666666666664E-2</v>
      </c>
      <c r="X149" s="126">
        <f t="shared" si="111"/>
        <v>0</v>
      </c>
      <c r="Y149" s="127">
        <f t="shared" si="131"/>
        <v>0.33333333333333331</v>
      </c>
      <c r="Z149" s="128">
        <f t="shared" si="132"/>
        <v>0</v>
      </c>
      <c r="AA149" s="76" t="str">
        <f t="shared" si="133"/>
        <v/>
      </c>
      <c r="AB149" s="216">
        <f t="shared" si="101"/>
        <v>0</v>
      </c>
      <c r="AC149" s="163" t="str">
        <f t="shared" si="134"/>
        <v/>
      </c>
      <c r="AD149" s="257">
        <f t="shared" si="118"/>
        <v>0</v>
      </c>
      <c r="AE149" s="138"/>
      <c r="AF149" s="138" t="str">
        <f t="shared" si="119"/>
        <v/>
      </c>
      <c r="AG149" s="77">
        <f t="shared" si="97"/>
        <v>0</v>
      </c>
      <c r="AH149" s="77">
        <f t="shared" si="98"/>
        <v>0</v>
      </c>
      <c r="AI149" s="77" t="str">
        <f t="shared" si="120"/>
        <v/>
      </c>
      <c r="AJ149" s="78">
        <f t="shared" si="102"/>
        <v>4</v>
      </c>
      <c r="AK149" s="139">
        <f>SUM($AC$6:AC149)</f>
        <v>0</v>
      </c>
      <c r="AL149" s="139">
        <f t="shared" ca="1" si="112"/>
        <v>0</v>
      </c>
      <c r="AM149" s="143">
        <f t="shared" si="121"/>
        <v>0</v>
      </c>
      <c r="AN149" s="143">
        <f t="shared" si="122"/>
        <v>0</v>
      </c>
      <c r="AO149" s="143">
        <f t="shared" si="123"/>
        <v>0</v>
      </c>
      <c r="AP149" s="142">
        <f t="shared" si="113"/>
        <v>30</v>
      </c>
      <c r="AQ149" s="142">
        <f t="shared" ca="1" si="114"/>
        <v>30</v>
      </c>
      <c r="AR149" s="154">
        <f t="shared" si="125"/>
        <v>0</v>
      </c>
      <c r="AS149" s="142">
        <f t="shared" si="115"/>
        <v>0</v>
      </c>
      <c r="AT149" t="b">
        <f>OR((F149&gt;0),(NOT(ISBLANK(H149))),SUM(H149:H$373),SUM(G149:G$373))</f>
        <v>0</v>
      </c>
      <c r="AU149" t="b">
        <f t="shared" ca="1" si="103"/>
        <v>0</v>
      </c>
    </row>
    <row r="150" spans="1:47">
      <c r="A150" s="349">
        <f t="shared" si="116"/>
        <v>41783</v>
      </c>
      <c r="B150" s="350">
        <f t="shared" si="117"/>
        <v>41783</v>
      </c>
      <c r="C150" s="351">
        <f t="shared" si="128"/>
        <v>21</v>
      </c>
      <c r="D150" s="352">
        <f t="shared" si="129"/>
        <v>41759</v>
      </c>
      <c r="E150" s="364" t="str">
        <f t="shared" si="104"/>
        <v/>
      </c>
      <c r="F150" s="6"/>
      <c r="G150" s="7" t="str">
        <f t="shared" si="130"/>
        <v/>
      </c>
      <c r="H150" s="8"/>
      <c r="I150" s="8">
        <f t="shared" si="126"/>
        <v>0</v>
      </c>
      <c r="J150" s="129">
        <f t="shared" si="124"/>
        <v>0</v>
      </c>
      <c r="K150" s="8"/>
      <c r="L150" s="8">
        <f t="shared" si="105"/>
        <v>0</v>
      </c>
      <c r="M150" s="129">
        <f t="shared" si="106"/>
        <v>0</v>
      </c>
      <c r="N150" s="129"/>
      <c r="O150" s="129">
        <f t="shared" si="99"/>
        <v>0</v>
      </c>
      <c r="P150" s="129"/>
      <c r="Q150" s="129">
        <f t="shared" si="107"/>
        <v>0</v>
      </c>
      <c r="R150" s="129">
        <f t="shared" si="108"/>
        <v>0</v>
      </c>
      <c r="S150" s="693">
        <f t="shared" si="109"/>
        <v>6</v>
      </c>
      <c r="T150" s="129">
        <f t="shared" si="127"/>
        <v>0</v>
      </c>
      <c r="U150" s="165">
        <f t="shared" si="110"/>
        <v>0</v>
      </c>
      <c r="V150" s="75"/>
      <c r="W150" s="131">
        <f t="shared" si="100"/>
        <v>4.1666666666666664E-2</v>
      </c>
      <c r="X150" s="126">
        <f t="shared" si="111"/>
        <v>0</v>
      </c>
      <c r="Y150" s="127">
        <f t="shared" si="131"/>
        <v>0.33333333333333331</v>
      </c>
      <c r="Z150" s="128">
        <f t="shared" si="132"/>
        <v>0</v>
      </c>
      <c r="AA150" s="76" t="str">
        <f t="shared" si="133"/>
        <v/>
      </c>
      <c r="AB150" s="216">
        <f t="shared" si="101"/>
        <v>0</v>
      </c>
      <c r="AC150" s="163" t="str">
        <f t="shared" si="134"/>
        <v/>
      </c>
      <c r="AD150" s="257">
        <f t="shared" si="118"/>
        <v>0</v>
      </c>
      <c r="AE150" s="138"/>
      <c r="AF150" s="138" t="str">
        <f t="shared" si="119"/>
        <v/>
      </c>
      <c r="AG150" s="77">
        <f t="shared" si="97"/>
        <v>0</v>
      </c>
      <c r="AH150" s="77">
        <f t="shared" si="98"/>
        <v>0</v>
      </c>
      <c r="AI150" s="77" t="str">
        <f t="shared" si="120"/>
        <v/>
      </c>
      <c r="AJ150" s="78">
        <f t="shared" si="102"/>
        <v>5</v>
      </c>
      <c r="AK150" s="139">
        <f>SUM($AC$6:AC150)</f>
        <v>0</v>
      </c>
      <c r="AL150" s="139">
        <f t="shared" ca="1" si="112"/>
        <v>0</v>
      </c>
      <c r="AM150" s="143">
        <f t="shared" si="121"/>
        <v>0</v>
      </c>
      <c r="AN150" s="143">
        <f t="shared" si="122"/>
        <v>0</v>
      </c>
      <c r="AO150" s="143">
        <f t="shared" si="123"/>
        <v>0</v>
      </c>
      <c r="AP150" s="142">
        <f t="shared" si="113"/>
        <v>30</v>
      </c>
      <c r="AQ150" s="142">
        <f t="shared" ca="1" si="114"/>
        <v>30</v>
      </c>
      <c r="AR150" s="154">
        <f t="shared" si="125"/>
        <v>0</v>
      </c>
      <c r="AS150" s="142">
        <f t="shared" si="115"/>
        <v>0</v>
      </c>
      <c r="AT150" t="b">
        <f>OR((F150&gt;0),(NOT(ISBLANK(H150))),SUM(H150:H$373),SUM(G150:G$373))</f>
        <v>0</v>
      </c>
      <c r="AU150" t="b">
        <f t="shared" ca="1" si="103"/>
        <v>0</v>
      </c>
    </row>
    <row r="151" spans="1:47">
      <c r="A151" s="349">
        <f t="shared" si="116"/>
        <v>41784</v>
      </c>
      <c r="B151" s="350">
        <f t="shared" si="117"/>
        <v>41784</v>
      </c>
      <c r="C151" s="351">
        <f t="shared" si="128"/>
        <v>21</v>
      </c>
      <c r="D151" s="352">
        <f t="shared" si="129"/>
        <v>41759</v>
      </c>
      <c r="E151" s="364" t="str">
        <f t="shared" si="104"/>
        <v/>
      </c>
      <c r="F151" s="6"/>
      <c r="G151" s="7" t="str">
        <f t="shared" si="130"/>
        <v/>
      </c>
      <c r="H151" s="8"/>
      <c r="I151" s="8">
        <f t="shared" si="126"/>
        <v>0</v>
      </c>
      <c r="J151" s="129">
        <f t="shared" si="124"/>
        <v>0</v>
      </c>
      <c r="K151" s="8"/>
      <c r="L151" s="8">
        <f t="shared" si="105"/>
        <v>0</v>
      </c>
      <c r="M151" s="129">
        <f t="shared" si="106"/>
        <v>0</v>
      </c>
      <c r="N151" s="129"/>
      <c r="O151" s="129">
        <f t="shared" si="99"/>
        <v>0</v>
      </c>
      <c r="P151" s="129"/>
      <c r="Q151" s="129">
        <f t="shared" si="107"/>
        <v>0</v>
      </c>
      <c r="R151" s="129">
        <f t="shared" si="108"/>
        <v>0</v>
      </c>
      <c r="S151" s="693">
        <f t="shared" si="109"/>
        <v>6</v>
      </c>
      <c r="T151" s="129">
        <f t="shared" si="127"/>
        <v>0</v>
      </c>
      <c r="U151" s="165">
        <f t="shared" si="110"/>
        <v>0</v>
      </c>
      <c r="V151" s="75"/>
      <c r="W151" s="131">
        <f t="shared" si="100"/>
        <v>4.1666666666666664E-2</v>
      </c>
      <c r="X151" s="126">
        <f t="shared" si="111"/>
        <v>0</v>
      </c>
      <c r="Y151" s="127">
        <f t="shared" si="131"/>
        <v>0</v>
      </c>
      <c r="Z151" s="128">
        <f t="shared" si="132"/>
        <v>0</v>
      </c>
      <c r="AA151" s="76" t="str">
        <f t="shared" si="133"/>
        <v/>
      </c>
      <c r="AB151" s="216">
        <f t="shared" si="101"/>
        <v>0</v>
      </c>
      <c r="AC151" s="163" t="str">
        <f t="shared" si="134"/>
        <v/>
      </c>
      <c r="AD151" s="257">
        <f t="shared" si="118"/>
        <v>0</v>
      </c>
      <c r="AE151" s="138"/>
      <c r="AF151" s="138" t="str">
        <f t="shared" si="119"/>
        <v/>
      </c>
      <c r="AG151" s="77">
        <f t="shared" ref="AG151:AG214" si="135">IF(ISNUMBER(U151 ), IF( U151 &gt;= X151, X151, U151 ),"")</f>
        <v>0</v>
      </c>
      <c r="AH151" s="77">
        <f t="shared" ref="AH151:AH214" si="136">IF( ISNUMBER( U151 ), IF( U151 &gt;= X151, U151 - X151, "" ), "" )</f>
        <v>0</v>
      </c>
      <c r="AI151" s="77" t="str">
        <f t="shared" si="120"/>
        <v/>
      </c>
      <c r="AJ151" s="78">
        <f t="shared" si="102"/>
        <v>6</v>
      </c>
      <c r="AK151" s="139">
        <f>SUM($AC$6:AC151)</f>
        <v>0</v>
      </c>
      <c r="AL151" s="139">
        <f t="shared" ca="1" si="112"/>
        <v>0</v>
      </c>
      <c r="AM151" s="143">
        <f t="shared" si="121"/>
        <v>0</v>
      </c>
      <c r="AN151" s="143">
        <f t="shared" si="122"/>
        <v>0</v>
      </c>
      <c r="AO151" s="143">
        <f t="shared" si="123"/>
        <v>0</v>
      </c>
      <c r="AP151" s="142">
        <f t="shared" si="113"/>
        <v>30</v>
      </c>
      <c r="AQ151" s="142">
        <f t="shared" ca="1" si="114"/>
        <v>30</v>
      </c>
      <c r="AR151" s="154">
        <f t="shared" si="125"/>
        <v>0</v>
      </c>
      <c r="AS151" s="142">
        <f t="shared" si="115"/>
        <v>7</v>
      </c>
      <c r="AT151" t="b">
        <f>OR((F151&gt;0),(NOT(ISBLANK(H151))),SUM(H151:H$373),SUM(G151:G$373))</f>
        <v>0</v>
      </c>
      <c r="AU151" t="b">
        <f t="shared" ca="1" si="103"/>
        <v>1</v>
      </c>
    </row>
    <row r="152" spans="1:47">
      <c r="A152" s="349">
        <f t="shared" si="116"/>
        <v>41785</v>
      </c>
      <c r="B152" s="350">
        <f t="shared" si="117"/>
        <v>41785</v>
      </c>
      <c r="C152" s="351">
        <f t="shared" si="128"/>
        <v>21</v>
      </c>
      <c r="D152" s="352">
        <f t="shared" si="129"/>
        <v>41759</v>
      </c>
      <c r="E152" s="364" t="str">
        <f t="shared" si="104"/>
        <v/>
      </c>
      <c r="F152" s="6"/>
      <c r="G152" s="7" t="str">
        <f t="shared" si="130"/>
        <v/>
      </c>
      <c r="H152" s="8"/>
      <c r="I152" s="8">
        <f t="shared" si="126"/>
        <v>0</v>
      </c>
      <c r="J152" s="129">
        <f t="shared" si="124"/>
        <v>0</v>
      </c>
      <c r="K152" s="8"/>
      <c r="L152" s="8">
        <f t="shared" si="105"/>
        <v>0</v>
      </c>
      <c r="M152" s="129">
        <f t="shared" si="106"/>
        <v>0</v>
      </c>
      <c r="N152" s="129"/>
      <c r="O152" s="129">
        <f t="shared" si="99"/>
        <v>0</v>
      </c>
      <c r="P152" s="129"/>
      <c r="Q152" s="129">
        <f t="shared" si="107"/>
        <v>0</v>
      </c>
      <c r="R152" s="129">
        <f t="shared" si="108"/>
        <v>0</v>
      </c>
      <c r="S152" s="693">
        <f t="shared" si="109"/>
        <v>6</v>
      </c>
      <c r="T152" s="129">
        <f t="shared" si="127"/>
        <v>0</v>
      </c>
      <c r="U152" s="165">
        <f t="shared" si="110"/>
        <v>0</v>
      </c>
      <c r="V152" s="75"/>
      <c r="W152" s="131">
        <f t="shared" si="100"/>
        <v>4.1666666666666664E-2</v>
      </c>
      <c r="X152" s="126">
        <f t="shared" si="111"/>
        <v>0</v>
      </c>
      <c r="Y152" s="127">
        <f t="shared" si="131"/>
        <v>0</v>
      </c>
      <c r="Z152" s="128">
        <f t="shared" si="132"/>
        <v>0</v>
      </c>
      <c r="AA152" s="76" t="str">
        <f t="shared" si="133"/>
        <v/>
      </c>
      <c r="AB152" s="216">
        <f t="shared" si="101"/>
        <v>0</v>
      </c>
      <c r="AC152" s="163" t="str">
        <f t="shared" si="134"/>
        <v/>
      </c>
      <c r="AD152" s="257">
        <f t="shared" si="118"/>
        <v>0</v>
      </c>
      <c r="AE152" s="138"/>
      <c r="AF152" s="138" t="str">
        <f t="shared" si="119"/>
        <v/>
      </c>
      <c r="AG152" s="77">
        <f t="shared" si="135"/>
        <v>0</v>
      </c>
      <c r="AH152" s="77">
        <f t="shared" si="136"/>
        <v>0</v>
      </c>
      <c r="AI152" s="77" t="str">
        <f t="shared" si="120"/>
        <v/>
      </c>
      <c r="AJ152" s="78">
        <f t="shared" si="102"/>
        <v>7</v>
      </c>
      <c r="AK152" s="139">
        <f>SUM($AC$6:AC152)</f>
        <v>0</v>
      </c>
      <c r="AL152" s="139">
        <f t="shared" ca="1" si="112"/>
        <v>0</v>
      </c>
      <c r="AM152" s="143">
        <f t="shared" si="121"/>
        <v>0</v>
      </c>
      <c r="AN152" s="143">
        <f t="shared" si="122"/>
        <v>0</v>
      </c>
      <c r="AO152" s="143">
        <f t="shared" si="123"/>
        <v>0</v>
      </c>
      <c r="AP152" s="142">
        <f t="shared" si="113"/>
        <v>30</v>
      </c>
      <c r="AQ152" s="142">
        <f t="shared" ca="1" si="114"/>
        <v>30</v>
      </c>
      <c r="AR152" s="154">
        <f t="shared" si="125"/>
        <v>0</v>
      </c>
      <c r="AS152" s="142">
        <f t="shared" si="115"/>
        <v>7</v>
      </c>
      <c r="AT152" t="b">
        <f>OR((F152&gt;0),(NOT(ISBLANK(H152))),SUM(H152:H$373),SUM(G152:G$373))</f>
        <v>0</v>
      </c>
      <c r="AU152" t="b">
        <f t="shared" ca="1" si="103"/>
        <v>1</v>
      </c>
    </row>
    <row r="153" spans="1:47">
      <c r="A153" s="349">
        <f t="shared" si="116"/>
        <v>41786</v>
      </c>
      <c r="B153" s="350">
        <f t="shared" si="117"/>
        <v>41786</v>
      </c>
      <c r="C153" s="351">
        <f t="shared" si="128"/>
        <v>22</v>
      </c>
      <c r="D153" s="352">
        <f t="shared" si="129"/>
        <v>41759</v>
      </c>
      <c r="E153" s="364" t="str">
        <f t="shared" si="104"/>
        <v/>
      </c>
      <c r="F153" s="6"/>
      <c r="G153" s="7" t="str">
        <f t="shared" si="130"/>
        <v/>
      </c>
      <c r="H153" s="8"/>
      <c r="I153" s="8">
        <f t="shared" si="126"/>
        <v>0</v>
      </c>
      <c r="J153" s="129">
        <f t="shared" si="124"/>
        <v>0</v>
      </c>
      <c r="K153" s="8"/>
      <c r="L153" s="8">
        <f t="shared" si="105"/>
        <v>0</v>
      </c>
      <c r="M153" s="129">
        <f t="shared" si="106"/>
        <v>0</v>
      </c>
      <c r="N153" s="129"/>
      <c r="O153" s="129">
        <f t="shared" si="99"/>
        <v>0</v>
      </c>
      <c r="P153" s="129"/>
      <c r="Q153" s="129">
        <f t="shared" si="107"/>
        <v>0</v>
      </c>
      <c r="R153" s="129">
        <f t="shared" si="108"/>
        <v>0</v>
      </c>
      <c r="S153" s="693">
        <f t="shared" si="109"/>
        <v>6</v>
      </c>
      <c r="T153" s="129">
        <f t="shared" si="127"/>
        <v>0</v>
      </c>
      <c r="U153" s="165">
        <f t="shared" si="110"/>
        <v>0</v>
      </c>
      <c r="V153" s="75"/>
      <c r="W153" s="131">
        <f t="shared" si="100"/>
        <v>4.1666666666666664E-2</v>
      </c>
      <c r="X153" s="126">
        <f t="shared" si="111"/>
        <v>0</v>
      </c>
      <c r="Y153" s="127">
        <f t="shared" si="131"/>
        <v>0.33333333333333331</v>
      </c>
      <c r="Z153" s="128">
        <f t="shared" si="132"/>
        <v>0</v>
      </c>
      <c r="AA153" s="76" t="str">
        <f t="shared" si="133"/>
        <v/>
      </c>
      <c r="AB153" s="216">
        <f t="shared" si="101"/>
        <v>0</v>
      </c>
      <c r="AC153" s="163" t="str">
        <f t="shared" si="134"/>
        <v/>
      </c>
      <c r="AD153" s="257">
        <f t="shared" si="118"/>
        <v>0</v>
      </c>
      <c r="AE153" s="138"/>
      <c r="AF153" s="138" t="str">
        <f t="shared" si="119"/>
        <v/>
      </c>
      <c r="AG153" s="77">
        <f t="shared" si="135"/>
        <v>0</v>
      </c>
      <c r="AH153" s="77">
        <f t="shared" si="136"/>
        <v>0</v>
      </c>
      <c r="AI153" s="77" t="str">
        <f t="shared" si="120"/>
        <v/>
      </c>
      <c r="AJ153" s="78">
        <f t="shared" si="102"/>
        <v>1</v>
      </c>
      <c r="AK153" s="139">
        <f>SUM($AC$6:AC153)</f>
        <v>0</v>
      </c>
      <c r="AL153" s="139">
        <f t="shared" ca="1" si="112"/>
        <v>0</v>
      </c>
      <c r="AM153" s="143">
        <f t="shared" si="121"/>
        <v>0</v>
      </c>
      <c r="AN153" s="143">
        <f t="shared" si="122"/>
        <v>0</v>
      </c>
      <c r="AO153" s="143">
        <f t="shared" si="123"/>
        <v>0</v>
      </c>
      <c r="AP153" s="142">
        <f t="shared" si="113"/>
        <v>30</v>
      </c>
      <c r="AQ153" s="142">
        <f t="shared" ca="1" si="114"/>
        <v>30</v>
      </c>
      <c r="AR153" s="154">
        <f t="shared" si="125"/>
        <v>0</v>
      </c>
      <c r="AS153" s="142">
        <f t="shared" si="115"/>
        <v>0</v>
      </c>
      <c r="AT153" t="b">
        <f>OR((F153&gt;0),(NOT(ISBLANK(H153))),SUM(H153:H$373),SUM(G153:G$373))</f>
        <v>0</v>
      </c>
      <c r="AU153" t="b">
        <f t="shared" ca="1" si="103"/>
        <v>0</v>
      </c>
    </row>
    <row r="154" spans="1:47">
      <c r="A154" s="349">
        <f t="shared" si="116"/>
        <v>41787</v>
      </c>
      <c r="B154" s="350">
        <f t="shared" si="117"/>
        <v>41787</v>
      </c>
      <c r="C154" s="351">
        <f t="shared" si="128"/>
        <v>22</v>
      </c>
      <c r="D154" s="352">
        <f t="shared" si="129"/>
        <v>41759</v>
      </c>
      <c r="E154" s="364" t="str">
        <f t="shared" si="104"/>
        <v/>
      </c>
      <c r="F154" s="6"/>
      <c r="G154" s="7" t="str">
        <f t="shared" si="130"/>
        <v/>
      </c>
      <c r="H154" s="8"/>
      <c r="I154" s="8">
        <f t="shared" si="126"/>
        <v>0</v>
      </c>
      <c r="J154" s="129">
        <f t="shared" si="124"/>
        <v>0</v>
      </c>
      <c r="K154" s="8"/>
      <c r="L154" s="8">
        <f t="shared" si="105"/>
        <v>0</v>
      </c>
      <c r="M154" s="129">
        <f t="shared" si="106"/>
        <v>0</v>
      </c>
      <c r="N154" s="129"/>
      <c r="O154" s="129">
        <f t="shared" si="99"/>
        <v>0</v>
      </c>
      <c r="P154" s="129"/>
      <c r="Q154" s="129">
        <f t="shared" si="107"/>
        <v>0</v>
      </c>
      <c r="R154" s="129">
        <f t="shared" si="108"/>
        <v>0</v>
      </c>
      <c r="S154" s="693">
        <f t="shared" si="109"/>
        <v>6</v>
      </c>
      <c r="T154" s="129">
        <f t="shared" si="127"/>
        <v>0</v>
      </c>
      <c r="U154" s="165">
        <f t="shared" si="110"/>
        <v>0</v>
      </c>
      <c r="V154" s="75"/>
      <c r="W154" s="131">
        <f t="shared" si="100"/>
        <v>4.1666666666666664E-2</v>
      </c>
      <c r="X154" s="126">
        <f t="shared" si="111"/>
        <v>0</v>
      </c>
      <c r="Y154" s="127">
        <f t="shared" si="131"/>
        <v>0.33333333333333331</v>
      </c>
      <c r="Z154" s="128">
        <f t="shared" si="132"/>
        <v>0</v>
      </c>
      <c r="AA154" s="76" t="str">
        <f t="shared" si="133"/>
        <v/>
      </c>
      <c r="AB154" s="216">
        <f t="shared" si="101"/>
        <v>0</v>
      </c>
      <c r="AC154" s="163" t="str">
        <f t="shared" si="134"/>
        <v/>
      </c>
      <c r="AD154" s="257">
        <f t="shared" si="118"/>
        <v>0</v>
      </c>
      <c r="AE154" s="138"/>
      <c r="AF154" s="138" t="str">
        <f t="shared" si="119"/>
        <v/>
      </c>
      <c r="AG154" s="77">
        <f t="shared" si="135"/>
        <v>0</v>
      </c>
      <c r="AH154" s="77">
        <f t="shared" si="136"/>
        <v>0</v>
      </c>
      <c r="AI154" s="77" t="str">
        <f t="shared" si="120"/>
        <v/>
      </c>
      <c r="AJ154" s="78">
        <f t="shared" si="102"/>
        <v>2</v>
      </c>
      <c r="AK154" s="139">
        <f>SUM($AC$6:AC154)</f>
        <v>0</v>
      </c>
      <c r="AL154" s="139">
        <f t="shared" ca="1" si="112"/>
        <v>0</v>
      </c>
      <c r="AM154" s="143">
        <f t="shared" si="121"/>
        <v>0</v>
      </c>
      <c r="AN154" s="143">
        <f t="shared" si="122"/>
        <v>0</v>
      </c>
      <c r="AO154" s="143">
        <f t="shared" si="123"/>
        <v>0</v>
      </c>
      <c r="AP154" s="142">
        <f t="shared" si="113"/>
        <v>30</v>
      </c>
      <c r="AQ154" s="142">
        <f t="shared" ca="1" si="114"/>
        <v>30</v>
      </c>
      <c r="AR154" s="154">
        <f t="shared" si="125"/>
        <v>0</v>
      </c>
      <c r="AS154" s="142">
        <f t="shared" si="115"/>
        <v>0</v>
      </c>
      <c r="AT154" t="b">
        <f>OR((F154&gt;0),(NOT(ISBLANK(H154))),SUM(H154:H$373),SUM(G154:G$373))</f>
        <v>0</v>
      </c>
      <c r="AU154" t="b">
        <f t="shared" ca="1" si="103"/>
        <v>0</v>
      </c>
    </row>
    <row r="155" spans="1:47">
      <c r="A155" s="349">
        <f t="shared" si="116"/>
        <v>41788</v>
      </c>
      <c r="B155" s="350">
        <f t="shared" si="117"/>
        <v>41788</v>
      </c>
      <c r="C155" s="351">
        <f t="shared" si="128"/>
        <v>22</v>
      </c>
      <c r="D155" s="352">
        <f t="shared" si="129"/>
        <v>41759</v>
      </c>
      <c r="E155" s="364" t="str">
        <f t="shared" si="104"/>
        <v/>
      </c>
      <c r="F155" s="6"/>
      <c r="G155" s="7" t="str">
        <f t="shared" si="130"/>
        <v/>
      </c>
      <c r="H155" s="8"/>
      <c r="I155" s="8">
        <f t="shared" si="126"/>
        <v>0</v>
      </c>
      <c r="J155" s="129">
        <f t="shared" si="124"/>
        <v>0</v>
      </c>
      <c r="K155" s="8"/>
      <c r="L155" s="8">
        <f t="shared" si="105"/>
        <v>0</v>
      </c>
      <c r="M155" s="129">
        <f t="shared" si="106"/>
        <v>0</v>
      </c>
      <c r="N155" s="129"/>
      <c r="O155" s="129">
        <f t="shared" si="99"/>
        <v>0</v>
      </c>
      <c r="P155" s="129"/>
      <c r="Q155" s="129">
        <f t="shared" si="107"/>
        <v>0</v>
      </c>
      <c r="R155" s="129">
        <f t="shared" si="108"/>
        <v>0</v>
      </c>
      <c r="S155" s="693">
        <f t="shared" si="109"/>
        <v>6</v>
      </c>
      <c r="T155" s="129">
        <f t="shared" si="127"/>
        <v>0</v>
      </c>
      <c r="U155" s="165">
        <f t="shared" si="110"/>
        <v>0</v>
      </c>
      <c r="V155" s="75"/>
      <c r="W155" s="131">
        <f t="shared" si="100"/>
        <v>4.1666666666666664E-2</v>
      </c>
      <c r="X155" s="126">
        <f t="shared" si="111"/>
        <v>0</v>
      </c>
      <c r="Y155" s="127">
        <f t="shared" si="131"/>
        <v>0.33333333333333331</v>
      </c>
      <c r="Z155" s="128">
        <f t="shared" si="132"/>
        <v>0</v>
      </c>
      <c r="AA155" s="76" t="str">
        <f t="shared" si="133"/>
        <v/>
      </c>
      <c r="AB155" s="216">
        <f t="shared" si="101"/>
        <v>0</v>
      </c>
      <c r="AC155" s="163" t="str">
        <f t="shared" si="134"/>
        <v/>
      </c>
      <c r="AD155" s="257">
        <f t="shared" si="118"/>
        <v>0</v>
      </c>
      <c r="AE155" s="138"/>
      <c r="AF155" s="138" t="str">
        <f t="shared" si="119"/>
        <v/>
      </c>
      <c r="AG155" s="77">
        <f t="shared" si="135"/>
        <v>0</v>
      </c>
      <c r="AH155" s="77">
        <f t="shared" si="136"/>
        <v>0</v>
      </c>
      <c r="AI155" s="77" t="str">
        <f t="shared" si="120"/>
        <v/>
      </c>
      <c r="AJ155" s="78">
        <f t="shared" si="102"/>
        <v>3</v>
      </c>
      <c r="AK155" s="139">
        <f>SUM($AC$6:AC155)</f>
        <v>0</v>
      </c>
      <c r="AL155" s="139">
        <f t="shared" ca="1" si="112"/>
        <v>0</v>
      </c>
      <c r="AM155" s="143">
        <f t="shared" si="121"/>
        <v>0</v>
      </c>
      <c r="AN155" s="143">
        <f t="shared" si="122"/>
        <v>0</v>
      </c>
      <c r="AO155" s="143">
        <f t="shared" si="123"/>
        <v>0</v>
      </c>
      <c r="AP155" s="142">
        <f t="shared" si="113"/>
        <v>30</v>
      </c>
      <c r="AQ155" s="142">
        <f t="shared" ca="1" si="114"/>
        <v>30</v>
      </c>
      <c r="AR155" s="154">
        <f t="shared" si="125"/>
        <v>0</v>
      </c>
      <c r="AS155" s="142">
        <f t="shared" si="115"/>
        <v>0</v>
      </c>
      <c r="AT155" t="b">
        <f>OR((F155&gt;0),(NOT(ISBLANK(H155))),SUM(H155:H$373),SUM(G155:G$373))</f>
        <v>0</v>
      </c>
      <c r="AU155" t="b">
        <f t="shared" ca="1" si="103"/>
        <v>0</v>
      </c>
    </row>
    <row r="156" spans="1:47">
      <c r="A156" s="349">
        <f t="shared" si="116"/>
        <v>41789</v>
      </c>
      <c r="B156" s="350">
        <f t="shared" si="117"/>
        <v>41789</v>
      </c>
      <c r="C156" s="351">
        <f t="shared" si="128"/>
        <v>22</v>
      </c>
      <c r="D156" s="352">
        <f t="shared" si="129"/>
        <v>41759</v>
      </c>
      <c r="E156" s="364" t="str">
        <f t="shared" si="104"/>
        <v>Fronleichnam</v>
      </c>
      <c r="F156" s="6"/>
      <c r="G156" s="7" t="str">
        <f t="shared" si="130"/>
        <v/>
      </c>
      <c r="H156" s="8"/>
      <c r="I156" s="8">
        <f t="shared" si="126"/>
        <v>0</v>
      </c>
      <c r="J156" s="129">
        <f t="shared" si="124"/>
        <v>0</v>
      </c>
      <c r="K156" s="8"/>
      <c r="L156" s="8">
        <f t="shared" si="105"/>
        <v>0</v>
      </c>
      <c r="M156" s="129">
        <f t="shared" si="106"/>
        <v>0</v>
      </c>
      <c r="N156" s="129"/>
      <c r="O156" s="129">
        <f t="shared" si="99"/>
        <v>0</v>
      </c>
      <c r="P156" s="129"/>
      <c r="Q156" s="129">
        <f t="shared" si="107"/>
        <v>0</v>
      </c>
      <c r="R156" s="129">
        <f t="shared" si="108"/>
        <v>0</v>
      </c>
      <c r="S156" s="693">
        <f t="shared" si="109"/>
        <v>6</v>
      </c>
      <c r="T156" s="129">
        <f t="shared" si="127"/>
        <v>0</v>
      </c>
      <c r="U156" s="165">
        <f t="shared" si="110"/>
        <v>0</v>
      </c>
      <c r="V156" s="75"/>
      <c r="W156" s="131">
        <f t="shared" si="100"/>
        <v>4.1666666666666664E-2</v>
      </c>
      <c r="X156" s="126">
        <f t="shared" si="111"/>
        <v>0</v>
      </c>
      <c r="Y156" s="127" t="str">
        <f t="shared" si="131"/>
        <v/>
      </c>
      <c r="Z156" s="128">
        <f t="shared" si="132"/>
        <v>0</v>
      </c>
      <c r="AA156" s="76" t="str">
        <f t="shared" si="133"/>
        <v/>
      </c>
      <c r="AB156" s="216">
        <f t="shared" si="101"/>
        <v>0</v>
      </c>
      <c r="AC156" s="163" t="str">
        <f t="shared" si="134"/>
        <v/>
      </c>
      <c r="AD156" s="257">
        <f t="shared" si="118"/>
        <v>0</v>
      </c>
      <c r="AE156" s="138"/>
      <c r="AF156" s="138" t="str">
        <f t="shared" si="119"/>
        <v/>
      </c>
      <c r="AG156" s="77">
        <f t="shared" si="135"/>
        <v>0</v>
      </c>
      <c r="AH156" s="77">
        <f t="shared" si="136"/>
        <v>0</v>
      </c>
      <c r="AI156" s="77" t="str">
        <f t="shared" si="120"/>
        <v/>
      </c>
      <c r="AJ156" s="78">
        <f t="shared" si="102"/>
        <v>8</v>
      </c>
      <c r="AK156" s="139">
        <f>SUM($AC$6:AC156)</f>
        <v>0</v>
      </c>
      <c r="AL156" s="139">
        <f t="shared" ca="1" si="112"/>
        <v>0</v>
      </c>
      <c r="AM156" s="143">
        <f t="shared" si="121"/>
        <v>0</v>
      </c>
      <c r="AN156" s="143">
        <f t="shared" si="122"/>
        <v>0</v>
      </c>
      <c r="AO156" s="143">
        <f t="shared" si="123"/>
        <v>0</v>
      </c>
      <c r="AP156" s="142">
        <f t="shared" si="113"/>
        <v>30</v>
      </c>
      <c r="AQ156" s="142">
        <f t="shared" ca="1" si="114"/>
        <v>30</v>
      </c>
      <c r="AR156" s="154">
        <f t="shared" si="125"/>
        <v>0</v>
      </c>
      <c r="AS156" s="142">
        <f t="shared" si="115"/>
        <v>8</v>
      </c>
      <c r="AT156" t="b">
        <f>OR((F156&gt;0),(NOT(ISBLANK(H156))),SUM(H156:H$373),SUM(G156:G$373))</f>
        <v>0</v>
      </c>
      <c r="AU156" t="b">
        <f t="shared" ca="1" si="103"/>
        <v>1</v>
      </c>
    </row>
    <row r="157" spans="1:47">
      <c r="A157" s="349">
        <f t="shared" si="116"/>
        <v>41790</v>
      </c>
      <c r="B157" s="350">
        <f t="shared" si="117"/>
        <v>41790</v>
      </c>
      <c r="C157" s="351">
        <f t="shared" si="128"/>
        <v>22</v>
      </c>
      <c r="D157" s="352">
        <f t="shared" si="129"/>
        <v>41790</v>
      </c>
      <c r="E157" s="364" t="str">
        <f t="shared" si="104"/>
        <v/>
      </c>
      <c r="F157" s="6"/>
      <c r="G157" s="7" t="str">
        <f t="shared" si="130"/>
        <v/>
      </c>
      <c r="H157" s="8"/>
      <c r="I157" s="8">
        <f t="shared" si="126"/>
        <v>0</v>
      </c>
      <c r="J157" s="129">
        <f t="shared" si="124"/>
        <v>0</v>
      </c>
      <c r="K157" s="8"/>
      <c r="L157" s="8">
        <f t="shared" si="105"/>
        <v>0</v>
      </c>
      <c r="M157" s="129">
        <f t="shared" si="106"/>
        <v>0</v>
      </c>
      <c r="N157" s="129"/>
      <c r="O157" s="129">
        <f t="shared" si="99"/>
        <v>0</v>
      </c>
      <c r="P157" s="129"/>
      <c r="Q157" s="129">
        <f t="shared" si="107"/>
        <v>0</v>
      </c>
      <c r="R157" s="129">
        <f t="shared" si="108"/>
        <v>0</v>
      </c>
      <c r="S157" s="693">
        <f t="shared" si="109"/>
        <v>6</v>
      </c>
      <c r="T157" s="129">
        <f t="shared" si="127"/>
        <v>0</v>
      </c>
      <c r="U157" s="165">
        <f t="shared" si="110"/>
        <v>0</v>
      </c>
      <c r="V157" s="75"/>
      <c r="W157" s="131">
        <f t="shared" si="100"/>
        <v>4.1666666666666664E-2</v>
      </c>
      <c r="X157" s="126">
        <f t="shared" si="111"/>
        <v>0</v>
      </c>
      <c r="Y157" s="127">
        <f t="shared" si="131"/>
        <v>0.33333333333333331</v>
      </c>
      <c r="Z157" s="128">
        <f t="shared" si="132"/>
        <v>0</v>
      </c>
      <c r="AA157" s="76" t="str">
        <f t="shared" si="133"/>
        <v/>
      </c>
      <c r="AB157" s="216">
        <f t="shared" si="101"/>
        <v>0</v>
      </c>
      <c r="AC157" s="163" t="str">
        <f t="shared" si="134"/>
        <v/>
      </c>
      <c r="AD157" s="257">
        <f t="shared" si="118"/>
        <v>0</v>
      </c>
      <c r="AE157" s="138"/>
      <c r="AF157" s="138" t="str">
        <f t="shared" si="119"/>
        <v/>
      </c>
      <c r="AG157" s="77">
        <f t="shared" si="135"/>
        <v>0</v>
      </c>
      <c r="AH157" s="77">
        <f t="shared" si="136"/>
        <v>0</v>
      </c>
      <c r="AI157" s="77" t="str">
        <f t="shared" si="120"/>
        <v/>
      </c>
      <c r="AJ157" s="78">
        <f t="shared" si="102"/>
        <v>5</v>
      </c>
      <c r="AK157" s="139">
        <f>SUM($AC$6:AC157)</f>
        <v>0</v>
      </c>
      <c r="AL157" s="139">
        <f t="shared" ca="1" si="112"/>
        <v>0</v>
      </c>
      <c r="AM157" s="143">
        <f t="shared" si="121"/>
        <v>0</v>
      </c>
      <c r="AN157" s="143">
        <f t="shared" si="122"/>
        <v>0</v>
      </c>
      <c r="AO157" s="143">
        <f t="shared" si="123"/>
        <v>0</v>
      </c>
      <c r="AP157" s="142">
        <f t="shared" si="113"/>
        <v>30</v>
      </c>
      <c r="AQ157" s="142">
        <f t="shared" ca="1" si="114"/>
        <v>30</v>
      </c>
      <c r="AR157" s="154">
        <f t="shared" si="125"/>
        <v>0</v>
      </c>
      <c r="AS157" s="142">
        <f t="shared" si="115"/>
        <v>0</v>
      </c>
      <c r="AT157" t="b">
        <f>OR((F157&gt;0),(NOT(ISBLANK(H157))),SUM(H157:H$373),SUM(G157:G$373))</f>
        <v>0</v>
      </c>
      <c r="AU157" t="b">
        <f t="shared" ca="1" si="103"/>
        <v>0</v>
      </c>
    </row>
    <row r="158" spans="1:47">
      <c r="A158" s="349">
        <f t="shared" si="116"/>
        <v>41791</v>
      </c>
      <c r="B158" s="350">
        <f t="shared" si="117"/>
        <v>41791</v>
      </c>
      <c r="C158" s="351">
        <f t="shared" si="128"/>
        <v>22</v>
      </c>
      <c r="D158" s="352">
        <f t="shared" si="129"/>
        <v>41790</v>
      </c>
      <c r="E158" s="364" t="str">
        <f t="shared" si="104"/>
        <v/>
      </c>
      <c r="F158" s="6"/>
      <c r="G158" s="7" t="str">
        <f t="shared" si="130"/>
        <v/>
      </c>
      <c r="H158" s="8"/>
      <c r="I158" s="8">
        <f t="shared" si="126"/>
        <v>0</v>
      </c>
      <c r="J158" s="129">
        <f t="shared" si="124"/>
        <v>0</v>
      </c>
      <c r="K158" s="8"/>
      <c r="L158" s="8">
        <f t="shared" si="105"/>
        <v>0</v>
      </c>
      <c r="M158" s="129">
        <f t="shared" si="106"/>
        <v>0</v>
      </c>
      <c r="N158" s="129"/>
      <c r="O158" s="129">
        <f t="shared" si="99"/>
        <v>0</v>
      </c>
      <c r="P158" s="129"/>
      <c r="Q158" s="129">
        <f t="shared" si="107"/>
        <v>0</v>
      </c>
      <c r="R158" s="129">
        <f t="shared" si="108"/>
        <v>0</v>
      </c>
      <c r="S158" s="693">
        <f t="shared" si="109"/>
        <v>6</v>
      </c>
      <c r="T158" s="129">
        <f t="shared" si="127"/>
        <v>0</v>
      </c>
      <c r="U158" s="165">
        <f t="shared" si="110"/>
        <v>0</v>
      </c>
      <c r="V158" s="75"/>
      <c r="W158" s="131">
        <f t="shared" si="100"/>
        <v>4.1666666666666664E-2</v>
      </c>
      <c r="X158" s="126">
        <f t="shared" si="111"/>
        <v>0</v>
      </c>
      <c r="Y158" s="127">
        <f t="shared" si="131"/>
        <v>0</v>
      </c>
      <c r="Z158" s="128">
        <f t="shared" si="132"/>
        <v>0</v>
      </c>
      <c r="AA158" s="76" t="str">
        <f t="shared" si="133"/>
        <v/>
      </c>
      <c r="AB158" s="216">
        <f t="shared" si="101"/>
        <v>0</v>
      </c>
      <c r="AC158" s="163" t="str">
        <f t="shared" si="134"/>
        <v/>
      </c>
      <c r="AD158" s="257">
        <f t="shared" si="118"/>
        <v>0</v>
      </c>
      <c r="AE158" s="138"/>
      <c r="AF158" s="138" t="str">
        <f t="shared" si="119"/>
        <v/>
      </c>
      <c r="AG158" s="77">
        <f t="shared" si="135"/>
        <v>0</v>
      </c>
      <c r="AH158" s="77">
        <f t="shared" si="136"/>
        <v>0</v>
      </c>
      <c r="AI158" s="77" t="str">
        <f t="shared" si="120"/>
        <v/>
      </c>
      <c r="AJ158" s="78">
        <f t="shared" si="102"/>
        <v>6</v>
      </c>
      <c r="AK158" s="139">
        <f>SUM($AC$6:AC158)</f>
        <v>0</v>
      </c>
      <c r="AL158" s="139">
        <f t="shared" ca="1" si="112"/>
        <v>0</v>
      </c>
      <c r="AM158" s="143">
        <f t="shared" si="121"/>
        <v>0</v>
      </c>
      <c r="AN158" s="143">
        <f t="shared" si="122"/>
        <v>0</v>
      </c>
      <c r="AO158" s="143">
        <f t="shared" si="123"/>
        <v>0</v>
      </c>
      <c r="AP158" s="142">
        <f t="shared" si="113"/>
        <v>30</v>
      </c>
      <c r="AQ158" s="142">
        <f t="shared" ca="1" si="114"/>
        <v>30</v>
      </c>
      <c r="AR158" s="154">
        <f t="shared" si="125"/>
        <v>0</v>
      </c>
      <c r="AS158" s="142">
        <f t="shared" si="115"/>
        <v>7</v>
      </c>
      <c r="AT158" t="b">
        <f>OR((F158&gt;0),(NOT(ISBLANK(H158))),SUM(H158:H$373),SUM(G158:G$373))</f>
        <v>0</v>
      </c>
      <c r="AU158" t="b">
        <f t="shared" ca="1" si="103"/>
        <v>1</v>
      </c>
    </row>
    <row r="159" spans="1:47">
      <c r="A159" s="349">
        <f t="shared" si="116"/>
        <v>41792</v>
      </c>
      <c r="B159" s="350">
        <f t="shared" si="117"/>
        <v>41792</v>
      </c>
      <c r="C159" s="351">
        <f t="shared" si="128"/>
        <v>22</v>
      </c>
      <c r="D159" s="352">
        <f t="shared" si="129"/>
        <v>41790</v>
      </c>
      <c r="E159" s="364" t="str">
        <f t="shared" si="104"/>
        <v/>
      </c>
      <c r="F159" s="6"/>
      <c r="G159" s="7" t="str">
        <f t="shared" si="130"/>
        <v/>
      </c>
      <c r="H159" s="8"/>
      <c r="I159" s="8">
        <f t="shared" si="126"/>
        <v>0</v>
      </c>
      <c r="J159" s="129">
        <f t="shared" si="124"/>
        <v>0</v>
      </c>
      <c r="K159" s="8"/>
      <c r="L159" s="8">
        <f t="shared" si="105"/>
        <v>0</v>
      </c>
      <c r="M159" s="129">
        <f t="shared" si="106"/>
        <v>0</v>
      </c>
      <c r="N159" s="129"/>
      <c r="O159" s="129">
        <f t="shared" si="99"/>
        <v>0</v>
      </c>
      <c r="P159" s="129"/>
      <c r="Q159" s="129">
        <f t="shared" si="107"/>
        <v>0</v>
      </c>
      <c r="R159" s="129">
        <f t="shared" si="108"/>
        <v>0</v>
      </c>
      <c r="S159" s="693">
        <f t="shared" si="109"/>
        <v>6</v>
      </c>
      <c r="T159" s="129">
        <f t="shared" si="127"/>
        <v>0</v>
      </c>
      <c r="U159" s="165">
        <f t="shared" si="110"/>
        <v>0</v>
      </c>
      <c r="V159" s="75"/>
      <c r="W159" s="131">
        <f t="shared" si="100"/>
        <v>4.1666666666666664E-2</v>
      </c>
      <c r="X159" s="126">
        <f t="shared" si="111"/>
        <v>0</v>
      </c>
      <c r="Y159" s="127">
        <f t="shared" si="131"/>
        <v>0</v>
      </c>
      <c r="Z159" s="128">
        <f t="shared" si="132"/>
        <v>0</v>
      </c>
      <c r="AA159" s="76" t="str">
        <f t="shared" si="133"/>
        <v/>
      </c>
      <c r="AB159" s="216">
        <f t="shared" si="101"/>
        <v>0</v>
      </c>
      <c r="AC159" s="163" t="str">
        <f t="shared" si="134"/>
        <v/>
      </c>
      <c r="AD159" s="257">
        <f t="shared" si="118"/>
        <v>0</v>
      </c>
      <c r="AE159" s="138"/>
      <c r="AF159" s="138" t="str">
        <f t="shared" si="119"/>
        <v/>
      </c>
      <c r="AG159" s="77">
        <f t="shared" si="135"/>
        <v>0</v>
      </c>
      <c r="AH159" s="77">
        <f t="shared" si="136"/>
        <v>0</v>
      </c>
      <c r="AI159" s="77" t="str">
        <f t="shared" si="120"/>
        <v/>
      </c>
      <c r="AJ159" s="78">
        <f t="shared" si="102"/>
        <v>7</v>
      </c>
      <c r="AK159" s="139">
        <f>SUM($AC$6:AC159)</f>
        <v>0</v>
      </c>
      <c r="AL159" s="139">
        <f t="shared" ca="1" si="112"/>
        <v>0</v>
      </c>
      <c r="AM159" s="143">
        <f t="shared" si="121"/>
        <v>0</v>
      </c>
      <c r="AN159" s="143">
        <f t="shared" si="122"/>
        <v>0</v>
      </c>
      <c r="AO159" s="143">
        <f t="shared" si="123"/>
        <v>0</v>
      </c>
      <c r="AP159" s="142">
        <f t="shared" si="113"/>
        <v>30</v>
      </c>
      <c r="AQ159" s="142">
        <f t="shared" ca="1" si="114"/>
        <v>30</v>
      </c>
      <c r="AR159" s="154">
        <f t="shared" si="125"/>
        <v>0</v>
      </c>
      <c r="AS159" s="142">
        <f t="shared" si="115"/>
        <v>7</v>
      </c>
      <c r="AT159" t="b">
        <f>OR((F159&gt;0),(NOT(ISBLANK(H159))),SUM(H159:H$373),SUM(G159:G$373))</f>
        <v>0</v>
      </c>
      <c r="AU159" t="b">
        <f t="shared" ca="1" si="103"/>
        <v>1</v>
      </c>
    </row>
    <row r="160" spans="1:47">
      <c r="A160" s="349">
        <f t="shared" si="116"/>
        <v>41793</v>
      </c>
      <c r="B160" s="350">
        <f t="shared" si="117"/>
        <v>41793</v>
      </c>
      <c r="C160" s="351">
        <f t="shared" si="128"/>
        <v>23</v>
      </c>
      <c r="D160" s="352">
        <f t="shared" si="129"/>
        <v>41790</v>
      </c>
      <c r="E160" s="364" t="str">
        <f t="shared" si="104"/>
        <v/>
      </c>
      <c r="F160" s="6"/>
      <c r="G160" s="7" t="str">
        <f t="shared" si="130"/>
        <v/>
      </c>
      <c r="H160" s="8"/>
      <c r="I160" s="8">
        <f t="shared" si="126"/>
        <v>0</v>
      </c>
      <c r="J160" s="129">
        <f t="shared" si="124"/>
        <v>0</v>
      </c>
      <c r="K160" s="8"/>
      <c r="L160" s="8">
        <f t="shared" si="105"/>
        <v>0</v>
      </c>
      <c r="M160" s="129">
        <f t="shared" si="106"/>
        <v>0</v>
      </c>
      <c r="N160" s="129"/>
      <c r="O160" s="129">
        <f t="shared" si="99"/>
        <v>0</v>
      </c>
      <c r="P160" s="129"/>
      <c r="Q160" s="129">
        <f t="shared" si="107"/>
        <v>0</v>
      </c>
      <c r="R160" s="129">
        <f t="shared" si="108"/>
        <v>0</v>
      </c>
      <c r="S160" s="693">
        <f t="shared" si="109"/>
        <v>6</v>
      </c>
      <c r="T160" s="129">
        <f t="shared" si="127"/>
        <v>0</v>
      </c>
      <c r="U160" s="165">
        <f t="shared" si="110"/>
        <v>0</v>
      </c>
      <c r="V160" s="75"/>
      <c r="W160" s="131">
        <f t="shared" si="100"/>
        <v>4.1666666666666664E-2</v>
      </c>
      <c r="X160" s="126">
        <f t="shared" si="111"/>
        <v>0</v>
      </c>
      <c r="Y160" s="127">
        <f t="shared" si="131"/>
        <v>0.33333333333333331</v>
      </c>
      <c r="Z160" s="128">
        <f t="shared" si="132"/>
        <v>0</v>
      </c>
      <c r="AA160" s="76" t="str">
        <f t="shared" si="133"/>
        <v/>
      </c>
      <c r="AB160" s="216">
        <f t="shared" si="101"/>
        <v>0</v>
      </c>
      <c r="AC160" s="163" t="str">
        <f t="shared" si="134"/>
        <v/>
      </c>
      <c r="AD160" s="257">
        <f t="shared" si="118"/>
        <v>0</v>
      </c>
      <c r="AE160" s="138"/>
      <c r="AF160" s="138" t="str">
        <f t="shared" si="119"/>
        <v/>
      </c>
      <c r="AG160" s="77">
        <f t="shared" si="135"/>
        <v>0</v>
      </c>
      <c r="AH160" s="77">
        <f t="shared" si="136"/>
        <v>0</v>
      </c>
      <c r="AI160" s="77" t="str">
        <f t="shared" si="120"/>
        <v/>
      </c>
      <c r="AJ160" s="78">
        <f t="shared" si="102"/>
        <v>1</v>
      </c>
      <c r="AK160" s="139">
        <f>SUM($AC$6:AC160)</f>
        <v>0</v>
      </c>
      <c r="AL160" s="139">
        <f t="shared" ca="1" si="112"/>
        <v>0</v>
      </c>
      <c r="AM160" s="143">
        <f t="shared" si="121"/>
        <v>0</v>
      </c>
      <c r="AN160" s="143">
        <f t="shared" si="122"/>
        <v>0</v>
      </c>
      <c r="AO160" s="143">
        <f t="shared" si="123"/>
        <v>0</v>
      </c>
      <c r="AP160" s="142">
        <f t="shared" si="113"/>
        <v>30</v>
      </c>
      <c r="AQ160" s="142">
        <f t="shared" ca="1" si="114"/>
        <v>30</v>
      </c>
      <c r="AR160" s="154">
        <f t="shared" si="125"/>
        <v>0</v>
      </c>
      <c r="AS160" s="142">
        <f t="shared" si="115"/>
        <v>0</v>
      </c>
      <c r="AT160" t="b">
        <f>OR((F160&gt;0),(NOT(ISBLANK(H160))),SUM(H160:H$373),SUM(G160:G$373))</f>
        <v>0</v>
      </c>
      <c r="AU160" t="b">
        <f t="shared" ca="1" si="103"/>
        <v>0</v>
      </c>
    </row>
    <row r="161" spans="1:47">
      <c r="A161" s="349">
        <f t="shared" si="116"/>
        <v>41794</v>
      </c>
      <c r="B161" s="350">
        <f t="shared" si="117"/>
        <v>41794</v>
      </c>
      <c r="C161" s="351">
        <f t="shared" si="128"/>
        <v>23</v>
      </c>
      <c r="D161" s="352">
        <f t="shared" si="129"/>
        <v>41790</v>
      </c>
      <c r="E161" s="364" t="str">
        <f t="shared" si="104"/>
        <v/>
      </c>
      <c r="F161" s="6"/>
      <c r="G161" s="7" t="str">
        <f t="shared" si="130"/>
        <v/>
      </c>
      <c r="H161" s="8"/>
      <c r="I161" s="8">
        <f t="shared" si="126"/>
        <v>0</v>
      </c>
      <c r="J161" s="129">
        <f t="shared" si="124"/>
        <v>0</v>
      </c>
      <c r="K161" s="8"/>
      <c r="L161" s="8">
        <f t="shared" si="105"/>
        <v>0</v>
      </c>
      <c r="M161" s="129">
        <f t="shared" si="106"/>
        <v>0</v>
      </c>
      <c r="N161" s="129"/>
      <c r="O161" s="129">
        <f t="shared" si="99"/>
        <v>0</v>
      </c>
      <c r="P161" s="129"/>
      <c r="Q161" s="129">
        <f t="shared" si="107"/>
        <v>0</v>
      </c>
      <c r="R161" s="129">
        <f t="shared" si="108"/>
        <v>0</v>
      </c>
      <c r="S161" s="693">
        <f t="shared" si="109"/>
        <v>6</v>
      </c>
      <c r="T161" s="129">
        <f t="shared" si="127"/>
        <v>0</v>
      </c>
      <c r="U161" s="165">
        <f t="shared" si="110"/>
        <v>0</v>
      </c>
      <c r="V161" s="75"/>
      <c r="W161" s="131">
        <f t="shared" si="100"/>
        <v>4.1666666666666664E-2</v>
      </c>
      <c r="X161" s="126">
        <f t="shared" si="111"/>
        <v>0</v>
      </c>
      <c r="Y161" s="127">
        <f t="shared" si="131"/>
        <v>0.33333333333333331</v>
      </c>
      <c r="Z161" s="128">
        <f t="shared" si="132"/>
        <v>0</v>
      </c>
      <c r="AA161" s="76" t="str">
        <f t="shared" si="133"/>
        <v/>
      </c>
      <c r="AB161" s="216">
        <f t="shared" si="101"/>
        <v>0</v>
      </c>
      <c r="AC161" s="163" t="str">
        <f t="shared" si="134"/>
        <v/>
      </c>
      <c r="AD161" s="257">
        <f t="shared" si="118"/>
        <v>0</v>
      </c>
      <c r="AE161" s="138"/>
      <c r="AF161" s="138" t="str">
        <f t="shared" si="119"/>
        <v/>
      </c>
      <c r="AG161" s="77">
        <f t="shared" si="135"/>
        <v>0</v>
      </c>
      <c r="AH161" s="77">
        <f t="shared" si="136"/>
        <v>0</v>
      </c>
      <c r="AI161" s="77" t="str">
        <f t="shared" si="120"/>
        <v/>
      </c>
      <c r="AJ161" s="78">
        <f t="shared" si="102"/>
        <v>2</v>
      </c>
      <c r="AK161" s="139">
        <f>SUM($AC$6:AC161)</f>
        <v>0</v>
      </c>
      <c r="AL161" s="139">
        <f t="shared" ca="1" si="112"/>
        <v>0</v>
      </c>
      <c r="AM161" s="143">
        <f t="shared" si="121"/>
        <v>0</v>
      </c>
      <c r="AN161" s="143">
        <f t="shared" si="122"/>
        <v>0</v>
      </c>
      <c r="AO161" s="143">
        <f t="shared" si="123"/>
        <v>0</v>
      </c>
      <c r="AP161" s="142">
        <f t="shared" si="113"/>
        <v>30</v>
      </c>
      <c r="AQ161" s="142">
        <f t="shared" ca="1" si="114"/>
        <v>30</v>
      </c>
      <c r="AR161" s="154">
        <f t="shared" si="125"/>
        <v>0</v>
      </c>
      <c r="AS161" s="142">
        <f t="shared" si="115"/>
        <v>0</v>
      </c>
      <c r="AT161" t="b">
        <f>OR((F161&gt;0),(NOT(ISBLANK(H161))),SUM(H161:H$373),SUM(G161:G$373))</f>
        <v>0</v>
      </c>
      <c r="AU161" t="b">
        <f t="shared" ca="1" si="103"/>
        <v>0</v>
      </c>
    </row>
    <row r="162" spans="1:47">
      <c r="A162" s="349">
        <f t="shared" si="116"/>
        <v>41795</v>
      </c>
      <c r="B162" s="350">
        <f t="shared" si="117"/>
        <v>41795</v>
      </c>
      <c r="C162" s="351">
        <f t="shared" si="128"/>
        <v>23</v>
      </c>
      <c r="D162" s="352">
        <f t="shared" si="129"/>
        <v>41790</v>
      </c>
      <c r="E162" s="364" t="str">
        <f t="shared" si="104"/>
        <v/>
      </c>
      <c r="F162" s="6"/>
      <c r="G162" s="7" t="str">
        <f t="shared" si="130"/>
        <v/>
      </c>
      <c r="H162" s="8"/>
      <c r="I162" s="8">
        <f t="shared" si="126"/>
        <v>0</v>
      </c>
      <c r="J162" s="129">
        <f t="shared" si="124"/>
        <v>0</v>
      </c>
      <c r="K162" s="8"/>
      <c r="L162" s="8">
        <f t="shared" si="105"/>
        <v>0</v>
      </c>
      <c r="M162" s="129">
        <f t="shared" si="106"/>
        <v>0</v>
      </c>
      <c r="N162" s="129"/>
      <c r="O162" s="129">
        <f t="shared" si="99"/>
        <v>0</v>
      </c>
      <c r="P162" s="129"/>
      <c r="Q162" s="129">
        <f t="shared" si="107"/>
        <v>0</v>
      </c>
      <c r="R162" s="129">
        <f t="shared" si="108"/>
        <v>0</v>
      </c>
      <c r="S162" s="693">
        <f t="shared" si="109"/>
        <v>6</v>
      </c>
      <c r="T162" s="129">
        <f t="shared" si="127"/>
        <v>0</v>
      </c>
      <c r="U162" s="165">
        <f t="shared" si="110"/>
        <v>0</v>
      </c>
      <c r="V162" s="75"/>
      <c r="W162" s="131">
        <f t="shared" si="100"/>
        <v>4.1666666666666664E-2</v>
      </c>
      <c r="X162" s="126">
        <f t="shared" si="111"/>
        <v>0</v>
      </c>
      <c r="Y162" s="127">
        <f t="shared" si="131"/>
        <v>0.33333333333333331</v>
      </c>
      <c r="Z162" s="128">
        <f t="shared" si="132"/>
        <v>0</v>
      </c>
      <c r="AA162" s="76" t="str">
        <f t="shared" si="133"/>
        <v/>
      </c>
      <c r="AB162" s="216">
        <f t="shared" si="101"/>
        <v>0</v>
      </c>
      <c r="AC162" s="163" t="str">
        <f t="shared" si="134"/>
        <v/>
      </c>
      <c r="AD162" s="257">
        <f t="shared" si="118"/>
        <v>0</v>
      </c>
      <c r="AE162" s="138"/>
      <c r="AF162" s="138" t="str">
        <f t="shared" si="119"/>
        <v/>
      </c>
      <c r="AG162" s="77">
        <f t="shared" si="135"/>
        <v>0</v>
      </c>
      <c r="AH162" s="77">
        <f t="shared" si="136"/>
        <v>0</v>
      </c>
      <c r="AI162" s="77" t="str">
        <f t="shared" si="120"/>
        <v/>
      </c>
      <c r="AJ162" s="78">
        <f t="shared" si="102"/>
        <v>3</v>
      </c>
      <c r="AK162" s="139">
        <f>SUM($AC$6:AC162)</f>
        <v>0</v>
      </c>
      <c r="AL162" s="139">
        <f t="shared" ca="1" si="112"/>
        <v>0</v>
      </c>
      <c r="AM162" s="143">
        <f t="shared" si="121"/>
        <v>0</v>
      </c>
      <c r="AN162" s="143">
        <f t="shared" si="122"/>
        <v>0</v>
      </c>
      <c r="AO162" s="143">
        <f t="shared" si="123"/>
        <v>0</v>
      </c>
      <c r="AP162" s="142">
        <f t="shared" si="113"/>
        <v>30</v>
      </c>
      <c r="AQ162" s="142">
        <f t="shared" ca="1" si="114"/>
        <v>30</v>
      </c>
      <c r="AR162" s="154">
        <f t="shared" si="125"/>
        <v>0</v>
      </c>
      <c r="AS162" s="142">
        <f t="shared" si="115"/>
        <v>0</v>
      </c>
      <c r="AT162" t="b">
        <f>OR((F162&gt;0),(NOT(ISBLANK(H162))),SUM(H162:H$373),SUM(G162:G$373))</f>
        <v>0</v>
      </c>
      <c r="AU162" t="b">
        <f t="shared" ca="1" si="103"/>
        <v>0</v>
      </c>
    </row>
    <row r="163" spans="1:47">
      <c r="A163" s="349">
        <f t="shared" si="116"/>
        <v>41796</v>
      </c>
      <c r="B163" s="350">
        <f t="shared" si="117"/>
        <v>41796</v>
      </c>
      <c r="C163" s="351">
        <f t="shared" si="128"/>
        <v>23</v>
      </c>
      <c r="D163" s="352">
        <f t="shared" si="129"/>
        <v>41790</v>
      </c>
      <c r="E163" s="364" t="str">
        <f t="shared" si="104"/>
        <v/>
      </c>
      <c r="F163" s="6"/>
      <c r="G163" s="7" t="str">
        <f t="shared" si="130"/>
        <v/>
      </c>
      <c r="H163" s="8"/>
      <c r="I163" s="8">
        <f t="shared" si="126"/>
        <v>0</v>
      </c>
      <c r="J163" s="129">
        <f t="shared" si="124"/>
        <v>0</v>
      </c>
      <c r="K163" s="8"/>
      <c r="L163" s="8">
        <f t="shared" si="105"/>
        <v>0</v>
      </c>
      <c r="M163" s="129">
        <f t="shared" si="106"/>
        <v>0</v>
      </c>
      <c r="N163" s="129"/>
      <c r="O163" s="129">
        <f t="shared" si="99"/>
        <v>0</v>
      </c>
      <c r="P163" s="129"/>
      <c r="Q163" s="129">
        <f t="shared" si="107"/>
        <v>0</v>
      </c>
      <c r="R163" s="129">
        <f t="shared" si="108"/>
        <v>0</v>
      </c>
      <c r="S163" s="693">
        <f t="shared" si="109"/>
        <v>6</v>
      </c>
      <c r="T163" s="129">
        <f t="shared" si="127"/>
        <v>0</v>
      </c>
      <c r="U163" s="165">
        <f t="shared" si="110"/>
        <v>0</v>
      </c>
      <c r="V163" s="75"/>
      <c r="W163" s="131">
        <f t="shared" si="100"/>
        <v>4.1666666666666664E-2</v>
      </c>
      <c r="X163" s="126">
        <f t="shared" si="111"/>
        <v>0</v>
      </c>
      <c r="Y163" s="127">
        <f t="shared" si="131"/>
        <v>0.33333333333333331</v>
      </c>
      <c r="Z163" s="128">
        <f t="shared" si="132"/>
        <v>0</v>
      </c>
      <c r="AA163" s="76" t="str">
        <f t="shared" si="133"/>
        <v/>
      </c>
      <c r="AB163" s="216">
        <f t="shared" si="101"/>
        <v>0</v>
      </c>
      <c r="AC163" s="163" t="str">
        <f t="shared" si="134"/>
        <v/>
      </c>
      <c r="AD163" s="257">
        <f t="shared" si="118"/>
        <v>0</v>
      </c>
      <c r="AE163" s="138"/>
      <c r="AF163" s="138" t="str">
        <f t="shared" si="119"/>
        <v/>
      </c>
      <c r="AG163" s="77">
        <f t="shared" si="135"/>
        <v>0</v>
      </c>
      <c r="AH163" s="77">
        <f t="shared" si="136"/>
        <v>0</v>
      </c>
      <c r="AI163" s="77" t="str">
        <f t="shared" si="120"/>
        <v/>
      </c>
      <c r="AJ163" s="78">
        <f t="shared" si="102"/>
        <v>4</v>
      </c>
      <c r="AK163" s="139">
        <f>SUM($AC$6:AC163)</f>
        <v>0</v>
      </c>
      <c r="AL163" s="139">
        <f t="shared" ca="1" si="112"/>
        <v>0</v>
      </c>
      <c r="AM163" s="143">
        <f t="shared" si="121"/>
        <v>0</v>
      </c>
      <c r="AN163" s="143">
        <f t="shared" si="122"/>
        <v>0</v>
      </c>
      <c r="AO163" s="143">
        <f t="shared" si="123"/>
        <v>0</v>
      </c>
      <c r="AP163" s="142">
        <f t="shared" si="113"/>
        <v>30</v>
      </c>
      <c r="AQ163" s="142">
        <f t="shared" ca="1" si="114"/>
        <v>30</v>
      </c>
      <c r="AR163" s="154">
        <f t="shared" si="125"/>
        <v>0</v>
      </c>
      <c r="AS163" s="142">
        <f t="shared" si="115"/>
        <v>0</v>
      </c>
      <c r="AT163" t="b">
        <f>OR((F163&gt;0),(NOT(ISBLANK(H163))),SUM(H163:H$373),SUM(G163:G$373))</f>
        <v>0</v>
      </c>
      <c r="AU163" t="b">
        <f t="shared" ca="1" si="103"/>
        <v>0</v>
      </c>
    </row>
    <row r="164" spans="1:47">
      <c r="A164" s="349">
        <f t="shared" si="116"/>
        <v>41797</v>
      </c>
      <c r="B164" s="350">
        <f t="shared" si="117"/>
        <v>41797</v>
      </c>
      <c r="C164" s="351">
        <f t="shared" si="128"/>
        <v>23</v>
      </c>
      <c r="D164" s="352">
        <f t="shared" si="129"/>
        <v>41790</v>
      </c>
      <c r="E164" s="364" t="str">
        <f t="shared" si="104"/>
        <v/>
      </c>
      <c r="F164" s="6"/>
      <c r="G164" s="7" t="str">
        <f t="shared" si="130"/>
        <v/>
      </c>
      <c r="H164" s="8"/>
      <c r="I164" s="8">
        <f t="shared" si="126"/>
        <v>0</v>
      </c>
      <c r="J164" s="129">
        <f t="shared" si="124"/>
        <v>0</v>
      </c>
      <c r="K164" s="8"/>
      <c r="L164" s="8">
        <f t="shared" si="105"/>
        <v>0</v>
      </c>
      <c r="M164" s="129">
        <f t="shared" si="106"/>
        <v>0</v>
      </c>
      <c r="N164" s="129"/>
      <c r="O164" s="129">
        <f t="shared" si="99"/>
        <v>0</v>
      </c>
      <c r="P164" s="129"/>
      <c r="Q164" s="129">
        <f t="shared" si="107"/>
        <v>0</v>
      </c>
      <c r="R164" s="129">
        <f t="shared" si="108"/>
        <v>0</v>
      </c>
      <c r="S164" s="693">
        <f t="shared" si="109"/>
        <v>6</v>
      </c>
      <c r="T164" s="129">
        <f t="shared" si="127"/>
        <v>0</v>
      </c>
      <c r="U164" s="165">
        <f t="shared" si="110"/>
        <v>0</v>
      </c>
      <c r="V164" s="75"/>
      <c r="W164" s="131">
        <f t="shared" si="100"/>
        <v>4.1666666666666664E-2</v>
      </c>
      <c r="X164" s="126">
        <f t="shared" si="111"/>
        <v>0</v>
      </c>
      <c r="Y164" s="127">
        <f t="shared" si="131"/>
        <v>0.33333333333333331</v>
      </c>
      <c r="Z164" s="128">
        <f t="shared" si="132"/>
        <v>0</v>
      </c>
      <c r="AA164" s="76" t="str">
        <f t="shared" si="133"/>
        <v/>
      </c>
      <c r="AB164" s="216">
        <f t="shared" si="101"/>
        <v>0</v>
      </c>
      <c r="AC164" s="163" t="str">
        <f t="shared" si="134"/>
        <v/>
      </c>
      <c r="AD164" s="257">
        <f t="shared" si="118"/>
        <v>0</v>
      </c>
      <c r="AE164" s="138"/>
      <c r="AF164" s="138" t="str">
        <f t="shared" si="119"/>
        <v/>
      </c>
      <c r="AG164" s="77">
        <f t="shared" si="135"/>
        <v>0</v>
      </c>
      <c r="AH164" s="77">
        <f t="shared" si="136"/>
        <v>0</v>
      </c>
      <c r="AI164" s="77" t="str">
        <f t="shared" si="120"/>
        <v/>
      </c>
      <c r="AJ164" s="78">
        <f t="shared" si="102"/>
        <v>5</v>
      </c>
      <c r="AK164" s="139">
        <f>SUM($AC$6:AC164)</f>
        <v>0</v>
      </c>
      <c r="AL164" s="139">
        <f t="shared" ca="1" si="112"/>
        <v>0</v>
      </c>
      <c r="AM164" s="143">
        <f t="shared" si="121"/>
        <v>0</v>
      </c>
      <c r="AN164" s="143">
        <f t="shared" si="122"/>
        <v>0</v>
      </c>
      <c r="AO164" s="143">
        <f t="shared" si="123"/>
        <v>0</v>
      </c>
      <c r="AP164" s="142">
        <f t="shared" si="113"/>
        <v>30</v>
      </c>
      <c r="AQ164" s="142">
        <f t="shared" ca="1" si="114"/>
        <v>30</v>
      </c>
      <c r="AR164" s="154">
        <f t="shared" si="125"/>
        <v>0</v>
      </c>
      <c r="AS164" s="142">
        <f t="shared" si="115"/>
        <v>0</v>
      </c>
      <c r="AT164" t="b">
        <f>OR((F164&gt;0),(NOT(ISBLANK(H164))),SUM(H164:H$373),SUM(G164:G$373))</f>
        <v>0</v>
      </c>
      <c r="AU164" t="b">
        <f t="shared" ca="1" si="103"/>
        <v>0</v>
      </c>
    </row>
    <row r="165" spans="1:47">
      <c r="A165" s="349">
        <f t="shared" si="116"/>
        <v>41798</v>
      </c>
      <c r="B165" s="350">
        <f t="shared" si="117"/>
        <v>41798</v>
      </c>
      <c r="C165" s="351">
        <f t="shared" si="128"/>
        <v>23</v>
      </c>
      <c r="D165" s="352">
        <f t="shared" si="129"/>
        <v>41790</v>
      </c>
      <c r="E165" s="364" t="str">
        <f t="shared" si="104"/>
        <v/>
      </c>
      <c r="F165" s="6"/>
      <c r="G165" s="7" t="str">
        <f t="shared" si="130"/>
        <v/>
      </c>
      <c r="H165" s="8"/>
      <c r="I165" s="8">
        <f t="shared" si="126"/>
        <v>0</v>
      </c>
      <c r="J165" s="129">
        <f t="shared" si="124"/>
        <v>0</v>
      </c>
      <c r="K165" s="8"/>
      <c r="L165" s="8">
        <f t="shared" si="105"/>
        <v>0</v>
      </c>
      <c r="M165" s="129">
        <f t="shared" si="106"/>
        <v>0</v>
      </c>
      <c r="N165" s="129"/>
      <c r="O165" s="129">
        <f t="shared" si="99"/>
        <v>0</v>
      </c>
      <c r="P165" s="129"/>
      <c r="Q165" s="129">
        <f t="shared" si="107"/>
        <v>0</v>
      </c>
      <c r="R165" s="129">
        <f t="shared" si="108"/>
        <v>0</v>
      </c>
      <c r="S165" s="693">
        <f t="shared" si="109"/>
        <v>6</v>
      </c>
      <c r="T165" s="129">
        <f t="shared" si="127"/>
        <v>0</v>
      </c>
      <c r="U165" s="165">
        <f t="shared" si="110"/>
        <v>0</v>
      </c>
      <c r="V165" s="75"/>
      <c r="W165" s="131">
        <f t="shared" si="100"/>
        <v>4.1666666666666664E-2</v>
      </c>
      <c r="X165" s="126">
        <f t="shared" si="111"/>
        <v>0</v>
      </c>
      <c r="Y165" s="127">
        <f t="shared" si="131"/>
        <v>0</v>
      </c>
      <c r="Z165" s="128">
        <f t="shared" si="132"/>
        <v>0</v>
      </c>
      <c r="AA165" s="76" t="str">
        <f t="shared" si="133"/>
        <v/>
      </c>
      <c r="AB165" s="216">
        <f t="shared" si="101"/>
        <v>0</v>
      </c>
      <c r="AC165" s="163" t="str">
        <f t="shared" si="134"/>
        <v/>
      </c>
      <c r="AD165" s="257">
        <f t="shared" si="118"/>
        <v>0</v>
      </c>
      <c r="AE165" s="138"/>
      <c r="AF165" s="138" t="str">
        <f t="shared" si="119"/>
        <v/>
      </c>
      <c r="AG165" s="77">
        <f t="shared" si="135"/>
        <v>0</v>
      </c>
      <c r="AH165" s="77">
        <f t="shared" si="136"/>
        <v>0</v>
      </c>
      <c r="AI165" s="77" t="str">
        <f t="shared" si="120"/>
        <v/>
      </c>
      <c r="AJ165" s="78">
        <f t="shared" si="102"/>
        <v>6</v>
      </c>
      <c r="AK165" s="139">
        <f>SUM($AC$6:AC165)</f>
        <v>0</v>
      </c>
      <c r="AL165" s="139">
        <f t="shared" ca="1" si="112"/>
        <v>0</v>
      </c>
      <c r="AM165" s="143">
        <f t="shared" si="121"/>
        <v>0</v>
      </c>
      <c r="AN165" s="143">
        <f t="shared" si="122"/>
        <v>0</v>
      </c>
      <c r="AO165" s="143">
        <f t="shared" si="123"/>
        <v>0</v>
      </c>
      <c r="AP165" s="142">
        <f t="shared" si="113"/>
        <v>30</v>
      </c>
      <c r="AQ165" s="142">
        <f t="shared" ca="1" si="114"/>
        <v>30</v>
      </c>
      <c r="AR165" s="154">
        <f t="shared" si="125"/>
        <v>0</v>
      </c>
      <c r="AS165" s="142">
        <f t="shared" si="115"/>
        <v>7</v>
      </c>
      <c r="AT165" t="b">
        <f>OR((F165&gt;0),(NOT(ISBLANK(H165))),SUM(H165:H$373),SUM(G165:G$373))</f>
        <v>0</v>
      </c>
      <c r="AU165" t="b">
        <f t="shared" ca="1" si="103"/>
        <v>1</v>
      </c>
    </row>
    <row r="166" spans="1:47">
      <c r="A166" s="349">
        <f t="shared" si="116"/>
        <v>41799</v>
      </c>
      <c r="B166" s="350">
        <f t="shared" si="117"/>
        <v>41799</v>
      </c>
      <c r="C166" s="351">
        <f t="shared" si="128"/>
        <v>23</v>
      </c>
      <c r="D166" s="352">
        <f t="shared" si="129"/>
        <v>41790</v>
      </c>
      <c r="E166" s="364" t="str">
        <f t="shared" si="104"/>
        <v/>
      </c>
      <c r="F166" s="6"/>
      <c r="G166" s="7" t="str">
        <f t="shared" si="130"/>
        <v/>
      </c>
      <c r="H166" s="8"/>
      <c r="I166" s="8">
        <f t="shared" si="126"/>
        <v>0</v>
      </c>
      <c r="J166" s="129">
        <f t="shared" si="124"/>
        <v>0</v>
      </c>
      <c r="K166" s="8"/>
      <c r="L166" s="8">
        <f t="shared" si="105"/>
        <v>0</v>
      </c>
      <c r="M166" s="129">
        <f t="shared" si="106"/>
        <v>0</v>
      </c>
      <c r="N166" s="129"/>
      <c r="O166" s="129">
        <f t="shared" si="99"/>
        <v>0</v>
      </c>
      <c r="P166" s="129"/>
      <c r="Q166" s="129">
        <f t="shared" si="107"/>
        <v>0</v>
      </c>
      <c r="R166" s="129">
        <f t="shared" si="108"/>
        <v>0</v>
      </c>
      <c r="S166" s="693">
        <f t="shared" si="109"/>
        <v>6</v>
      </c>
      <c r="T166" s="129">
        <f t="shared" si="127"/>
        <v>0</v>
      </c>
      <c r="U166" s="165">
        <f t="shared" si="110"/>
        <v>0</v>
      </c>
      <c r="V166" s="75"/>
      <c r="W166" s="131">
        <f t="shared" si="100"/>
        <v>4.1666666666666664E-2</v>
      </c>
      <c r="X166" s="126">
        <f t="shared" si="111"/>
        <v>0</v>
      </c>
      <c r="Y166" s="127">
        <f t="shared" si="131"/>
        <v>0</v>
      </c>
      <c r="Z166" s="128">
        <f t="shared" si="132"/>
        <v>0</v>
      </c>
      <c r="AA166" s="76" t="str">
        <f t="shared" si="133"/>
        <v/>
      </c>
      <c r="AB166" s="216">
        <f t="shared" si="101"/>
        <v>0</v>
      </c>
      <c r="AC166" s="163" t="str">
        <f t="shared" si="134"/>
        <v/>
      </c>
      <c r="AD166" s="257">
        <f t="shared" si="118"/>
        <v>0</v>
      </c>
      <c r="AE166" s="138"/>
      <c r="AF166" s="138" t="str">
        <f t="shared" si="119"/>
        <v/>
      </c>
      <c r="AG166" s="77">
        <f t="shared" si="135"/>
        <v>0</v>
      </c>
      <c r="AH166" s="77">
        <f t="shared" si="136"/>
        <v>0</v>
      </c>
      <c r="AI166" s="77" t="str">
        <f t="shared" si="120"/>
        <v/>
      </c>
      <c r="AJ166" s="78">
        <f t="shared" si="102"/>
        <v>7</v>
      </c>
      <c r="AK166" s="139">
        <f>SUM($AC$6:AC166)</f>
        <v>0</v>
      </c>
      <c r="AL166" s="139">
        <f t="shared" ca="1" si="112"/>
        <v>0</v>
      </c>
      <c r="AM166" s="143">
        <f t="shared" si="121"/>
        <v>0</v>
      </c>
      <c r="AN166" s="143">
        <f t="shared" si="122"/>
        <v>0</v>
      </c>
      <c r="AO166" s="143">
        <f t="shared" si="123"/>
        <v>0</v>
      </c>
      <c r="AP166" s="142">
        <f t="shared" si="113"/>
        <v>30</v>
      </c>
      <c r="AQ166" s="142">
        <f t="shared" ca="1" si="114"/>
        <v>30</v>
      </c>
      <c r="AR166" s="154">
        <f t="shared" si="125"/>
        <v>0</v>
      </c>
      <c r="AS166" s="142">
        <f t="shared" si="115"/>
        <v>7</v>
      </c>
      <c r="AT166" t="b">
        <f>OR((F166&gt;0),(NOT(ISBLANK(H166))),SUM(H166:H$373),SUM(G166:G$373))</f>
        <v>0</v>
      </c>
      <c r="AU166" t="b">
        <f t="shared" ca="1" si="103"/>
        <v>1</v>
      </c>
    </row>
    <row r="167" spans="1:47">
      <c r="A167" s="349">
        <f t="shared" si="116"/>
        <v>41800</v>
      </c>
      <c r="B167" s="350">
        <f t="shared" si="117"/>
        <v>41800</v>
      </c>
      <c r="C167" s="351">
        <f t="shared" si="128"/>
        <v>24</v>
      </c>
      <c r="D167" s="352">
        <f t="shared" si="129"/>
        <v>41790</v>
      </c>
      <c r="E167" s="364" t="str">
        <f t="shared" si="104"/>
        <v/>
      </c>
      <c r="F167" s="6"/>
      <c r="G167" s="7" t="str">
        <f t="shared" si="130"/>
        <v/>
      </c>
      <c r="H167" s="8"/>
      <c r="I167" s="8">
        <f t="shared" si="126"/>
        <v>0</v>
      </c>
      <c r="J167" s="129">
        <f t="shared" si="124"/>
        <v>0</v>
      </c>
      <c r="K167" s="8"/>
      <c r="L167" s="8">
        <f t="shared" si="105"/>
        <v>0</v>
      </c>
      <c r="M167" s="129">
        <f t="shared" si="106"/>
        <v>0</v>
      </c>
      <c r="N167" s="129"/>
      <c r="O167" s="129">
        <f t="shared" si="99"/>
        <v>0</v>
      </c>
      <c r="P167" s="129"/>
      <c r="Q167" s="129">
        <f t="shared" si="107"/>
        <v>0</v>
      </c>
      <c r="R167" s="129">
        <f t="shared" si="108"/>
        <v>0</v>
      </c>
      <c r="S167" s="693">
        <f t="shared" si="109"/>
        <v>6</v>
      </c>
      <c r="T167" s="129">
        <f t="shared" si="127"/>
        <v>0</v>
      </c>
      <c r="U167" s="165">
        <f t="shared" si="110"/>
        <v>0</v>
      </c>
      <c r="V167" s="75"/>
      <c r="W167" s="131">
        <f t="shared" si="100"/>
        <v>4.1666666666666664E-2</v>
      </c>
      <c r="X167" s="126">
        <f t="shared" si="111"/>
        <v>0</v>
      </c>
      <c r="Y167" s="127">
        <f t="shared" si="131"/>
        <v>0.33333333333333331</v>
      </c>
      <c r="Z167" s="128">
        <f t="shared" si="132"/>
        <v>0</v>
      </c>
      <c r="AA167" s="76" t="str">
        <f t="shared" si="133"/>
        <v/>
      </c>
      <c r="AB167" s="216">
        <f t="shared" si="101"/>
        <v>0</v>
      </c>
      <c r="AC167" s="163" t="str">
        <f t="shared" si="134"/>
        <v/>
      </c>
      <c r="AD167" s="257">
        <f t="shared" si="118"/>
        <v>0</v>
      </c>
      <c r="AE167" s="138"/>
      <c r="AF167" s="138" t="str">
        <f t="shared" si="119"/>
        <v/>
      </c>
      <c r="AG167" s="77">
        <f t="shared" si="135"/>
        <v>0</v>
      </c>
      <c r="AH167" s="77">
        <f t="shared" si="136"/>
        <v>0</v>
      </c>
      <c r="AI167" s="77" t="str">
        <f t="shared" si="120"/>
        <v/>
      </c>
      <c r="AJ167" s="78">
        <f t="shared" si="102"/>
        <v>1</v>
      </c>
      <c r="AK167" s="139">
        <f>SUM($AC$6:AC167)</f>
        <v>0</v>
      </c>
      <c r="AL167" s="139">
        <f t="shared" ca="1" si="112"/>
        <v>0</v>
      </c>
      <c r="AM167" s="143">
        <f t="shared" si="121"/>
        <v>0</v>
      </c>
      <c r="AN167" s="143">
        <f t="shared" si="122"/>
        <v>0</v>
      </c>
      <c r="AO167" s="143">
        <f t="shared" si="123"/>
        <v>0</v>
      </c>
      <c r="AP167" s="142">
        <f t="shared" si="113"/>
        <v>30</v>
      </c>
      <c r="AQ167" s="142">
        <f t="shared" ca="1" si="114"/>
        <v>30</v>
      </c>
      <c r="AR167" s="154">
        <f t="shared" si="125"/>
        <v>0</v>
      </c>
      <c r="AS167" s="142">
        <f t="shared" si="115"/>
        <v>0</v>
      </c>
      <c r="AT167" t="b">
        <f>OR((F167&gt;0),(NOT(ISBLANK(H167))),SUM(H167:H$373),SUM(G167:G$373))</f>
        <v>0</v>
      </c>
      <c r="AU167" t="b">
        <f t="shared" ca="1" si="103"/>
        <v>0</v>
      </c>
    </row>
    <row r="168" spans="1:47">
      <c r="A168" s="349">
        <f t="shared" si="116"/>
        <v>41801</v>
      </c>
      <c r="B168" s="350">
        <f t="shared" si="117"/>
        <v>41801</v>
      </c>
      <c r="C168" s="351">
        <f t="shared" si="128"/>
        <v>24</v>
      </c>
      <c r="D168" s="352">
        <f t="shared" si="129"/>
        <v>41790</v>
      </c>
      <c r="E168" s="364" t="str">
        <f t="shared" si="104"/>
        <v/>
      </c>
      <c r="F168" s="6"/>
      <c r="G168" s="7" t="str">
        <f t="shared" si="130"/>
        <v/>
      </c>
      <c r="H168" s="8"/>
      <c r="I168" s="8">
        <f t="shared" si="126"/>
        <v>0</v>
      </c>
      <c r="J168" s="129">
        <f t="shared" si="124"/>
        <v>0</v>
      </c>
      <c r="K168" s="8"/>
      <c r="L168" s="8">
        <f t="shared" si="105"/>
        <v>0</v>
      </c>
      <c r="M168" s="129">
        <f t="shared" si="106"/>
        <v>0</v>
      </c>
      <c r="N168" s="129"/>
      <c r="O168" s="129">
        <f t="shared" si="99"/>
        <v>0</v>
      </c>
      <c r="P168" s="129"/>
      <c r="Q168" s="129">
        <f t="shared" si="107"/>
        <v>0</v>
      </c>
      <c r="R168" s="129">
        <f t="shared" si="108"/>
        <v>0</v>
      </c>
      <c r="S168" s="693">
        <f t="shared" si="109"/>
        <v>6</v>
      </c>
      <c r="T168" s="129">
        <f t="shared" si="127"/>
        <v>0</v>
      </c>
      <c r="U168" s="165">
        <f t="shared" si="110"/>
        <v>0</v>
      </c>
      <c r="V168" s="75"/>
      <c r="W168" s="131">
        <f t="shared" si="100"/>
        <v>4.1666666666666664E-2</v>
      </c>
      <c r="X168" s="126">
        <f t="shared" si="111"/>
        <v>0</v>
      </c>
      <c r="Y168" s="127">
        <f t="shared" si="131"/>
        <v>0.33333333333333331</v>
      </c>
      <c r="Z168" s="128">
        <f t="shared" si="132"/>
        <v>0</v>
      </c>
      <c r="AA168" s="76" t="str">
        <f t="shared" si="133"/>
        <v/>
      </c>
      <c r="AB168" s="216">
        <f t="shared" si="101"/>
        <v>0</v>
      </c>
      <c r="AC168" s="163" t="str">
        <f t="shared" si="134"/>
        <v/>
      </c>
      <c r="AD168" s="257">
        <f t="shared" si="118"/>
        <v>0</v>
      </c>
      <c r="AE168" s="138"/>
      <c r="AF168" s="138" t="str">
        <f t="shared" si="119"/>
        <v/>
      </c>
      <c r="AG168" s="77">
        <f t="shared" si="135"/>
        <v>0</v>
      </c>
      <c r="AH168" s="77">
        <f t="shared" si="136"/>
        <v>0</v>
      </c>
      <c r="AI168" s="77" t="str">
        <f t="shared" si="120"/>
        <v/>
      </c>
      <c r="AJ168" s="78">
        <f t="shared" si="102"/>
        <v>2</v>
      </c>
      <c r="AK168" s="139">
        <f>SUM($AC$6:AC168)</f>
        <v>0</v>
      </c>
      <c r="AL168" s="139">
        <f t="shared" ca="1" si="112"/>
        <v>0</v>
      </c>
      <c r="AM168" s="143">
        <f t="shared" si="121"/>
        <v>0</v>
      </c>
      <c r="AN168" s="143">
        <f t="shared" si="122"/>
        <v>0</v>
      </c>
      <c r="AO168" s="143">
        <f t="shared" si="123"/>
        <v>0</v>
      </c>
      <c r="AP168" s="142">
        <f t="shared" si="113"/>
        <v>30</v>
      </c>
      <c r="AQ168" s="142">
        <f t="shared" ca="1" si="114"/>
        <v>30</v>
      </c>
      <c r="AR168" s="154">
        <f t="shared" si="125"/>
        <v>0</v>
      </c>
      <c r="AS168" s="142">
        <f t="shared" si="115"/>
        <v>0</v>
      </c>
      <c r="AT168" t="b">
        <f>OR((F168&gt;0),(NOT(ISBLANK(H168))),SUM(H168:H$373),SUM(G168:G$373))</f>
        <v>0</v>
      </c>
      <c r="AU168" t="b">
        <f t="shared" ca="1" si="103"/>
        <v>0</v>
      </c>
    </row>
    <row r="169" spans="1:47">
      <c r="A169" s="349">
        <f t="shared" si="116"/>
        <v>41802</v>
      </c>
      <c r="B169" s="350">
        <f t="shared" si="117"/>
        <v>41802</v>
      </c>
      <c r="C169" s="351">
        <f t="shared" si="128"/>
        <v>24</v>
      </c>
      <c r="D169" s="352">
        <f t="shared" si="129"/>
        <v>41790</v>
      </c>
      <c r="E169" s="364" t="str">
        <f t="shared" si="104"/>
        <v/>
      </c>
      <c r="F169" s="6"/>
      <c r="G169" s="7" t="str">
        <f t="shared" si="130"/>
        <v/>
      </c>
      <c r="H169" s="8"/>
      <c r="I169" s="8">
        <f t="shared" si="126"/>
        <v>0</v>
      </c>
      <c r="J169" s="129">
        <f t="shared" si="124"/>
        <v>0</v>
      </c>
      <c r="K169" s="8"/>
      <c r="L169" s="8">
        <f t="shared" si="105"/>
        <v>0</v>
      </c>
      <c r="M169" s="129">
        <f t="shared" si="106"/>
        <v>0</v>
      </c>
      <c r="N169" s="129"/>
      <c r="O169" s="129">
        <f t="shared" si="99"/>
        <v>0</v>
      </c>
      <c r="P169" s="129"/>
      <c r="Q169" s="129">
        <f t="shared" si="107"/>
        <v>0</v>
      </c>
      <c r="R169" s="129">
        <f t="shared" si="108"/>
        <v>0</v>
      </c>
      <c r="S169" s="693">
        <f t="shared" si="109"/>
        <v>6</v>
      </c>
      <c r="T169" s="129">
        <f t="shared" si="127"/>
        <v>0</v>
      </c>
      <c r="U169" s="165">
        <f t="shared" si="110"/>
        <v>0</v>
      </c>
      <c r="V169" s="75"/>
      <c r="W169" s="131">
        <f t="shared" si="100"/>
        <v>4.1666666666666664E-2</v>
      </c>
      <c r="X169" s="126">
        <f t="shared" si="111"/>
        <v>0</v>
      </c>
      <c r="Y169" s="127">
        <f t="shared" si="131"/>
        <v>0.33333333333333331</v>
      </c>
      <c r="Z169" s="128">
        <f t="shared" si="132"/>
        <v>0</v>
      </c>
      <c r="AA169" s="76" t="str">
        <f t="shared" si="133"/>
        <v/>
      </c>
      <c r="AB169" s="216">
        <f t="shared" si="101"/>
        <v>0</v>
      </c>
      <c r="AC169" s="163" t="str">
        <f t="shared" si="134"/>
        <v/>
      </c>
      <c r="AD169" s="257">
        <f t="shared" si="118"/>
        <v>0</v>
      </c>
      <c r="AE169" s="138"/>
      <c r="AF169" s="138" t="str">
        <f t="shared" si="119"/>
        <v/>
      </c>
      <c r="AG169" s="77">
        <f t="shared" si="135"/>
        <v>0</v>
      </c>
      <c r="AH169" s="77">
        <f t="shared" si="136"/>
        <v>0</v>
      </c>
      <c r="AI169" s="77" t="str">
        <f t="shared" si="120"/>
        <v/>
      </c>
      <c r="AJ169" s="78">
        <f t="shared" si="102"/>
        <v>3</v>
      </c>
      <c r="AK169" s="139">
        <f>SUM($AC$6:AC169)</f>
        <v>0</v>
      </c>
      <c r="AL169" s="139">
        <f t="shared" ca="1" si="112"/>
        <v>0</v>
      </c>
      <c r="AM169" s="143">
        <f t="shared" si="121"/>
        <v>0</v>
      </c>
      <c r="AN169" s="143">
        <f t="shared" si="122"/>
        <v>0</v>
      </c>
      <c r="AO169" s="143">
        <f t="shared" si="123"/>
        <v>0</v>
      </c>
      <c r="AP169" s="142">
        <f t="shared" si="113"/>
        <v>30</v>
      </c>
      <c r="AQ169" s="142">
        <f t="shared" ca="1" si="114"/>
        <v>30</v>
      </c>
      <c r="AR169" s="154">
        <f t="shared" si="125"/>
        <v>0</v>
      </c>
      <c r="AS169" s="142">
        <f t="shared" si="115"/>
        <v>0</v>
      </c>
      <c r="AT169" t="b">
        <f>OR((F169&gt;0),(NOT(ISBLANK(H169))),SUM(H169:H$373),SUM(G169:G$373))</f>
        <v>0</v>
      </c>
      <c r="AU169" t="b">
        <f t="shared" ca="1" si="103"/>
        <v>0</v>
      </c>
    </row>
    <row r="170" spans="1:47">
      <c r="A170" s="349">
        <f t="shared" si="116"/>
        <v>41803</v>
      </c>
      <c r="B170" s="350">
        <f t="shared" si="117"/>
        <v>41803</v>
      </c>
      <c r="C170" s="351">
        <f t="shared" si="128"/>
        <v>24</v>
      </c>
      <c r="D170" s="352">
        <f t="shared" si="129"/>
        <v>41790</v>
      </c>
      <c r="E170" s="364" t="str">
        <f t="shared" si="104"/>
        <v/>
      </c>
      <c r="F170" s="6"/>
      <c r="G170" s="7" t="str">
        <f t="shared" si="130"/>
        <v/>
      </c>
      <c r="H170" s="8"/>
      <c r="I170" s="8">
        <f t="shared" si="126"/>
        <v>0</v>
      </c>
      <c r="J170" s="129">
        <f t="shared" si="124"/>
        <v>0</v>
      </c>
      <c r="K170" s="8"/>
      <c r="L170" s="8">
        <f t="shared" si="105"/>
        <v>0</v>
      </c>
      <c r="M170" s="129">
        <f t="shared" si="106"/>
        <v>0</v>
      </c>
      <c r="N170" s="129"/>
      <c r="O170" s="129">
        <f t="shared" si="99"/>
        <v>0</v>
      </c>
      <c r="P170" s="129"/>
      <c r="Q170" s="129">
        <f t="shared" si="107"/>
        <v>0</v>
      </c>
      <c r="R170" s="129">
        <f t="shared" si="108"/>
        <v>0</v>
      </c>
      <c r="S170" s="693">
        <f t="shared" si="109"/>
        <v>6</v>
      </c>
      <c r="T170" s="129">
        <f t="shared" si="127"/>
        <v>0</v>
      </c>
      <c r="U170" s="165">
        <f t="shared" si="110"/>
        <v>0</v>
      </c>
      <c r="V170" s="75"/>
      <c r="W170" s="131">
        <f t="shared" si="100"/>
        <v>4.1666666666666664E-2</v>
      </c>
      <c r="X170" s="126">
        <f t="shared" si="111"/>
        <v>0</v>
      </c>
      <c r="Y170" s="127">
        <f t="shared" si="131"/>
        <v>0.33333333333333331</v>
      </c>
      <c r="Z170" s="128">
        <f t="shared" si="132"/>
        <v>0</v>
      </c>
      <c r="AA170" s="76" t="str">
        <f t="shared" si="133"/>
        <v/>
      </c>
      <c r="AB170" s="216">
        <f t="shared" si="101"/>
        <v>0</v>
      </c>
      <c r="AC170" s="163" t="str">
        <f t="shared" si="134"/>
        <v/>
      </c>
      <c r="AD170" s="257">
        <f t="shared" si="118"/>
        <v>0</v>
      </c>
      <c r="AE170" s="138"/>
      <c r="AF170" s="138" t="str">
        <f t="shared" si="119"/>
        <v/>
      </c>
      <c r="AG170" s="77">
        <f t="shared" si="135"/>
        <v>0</v>
      </c>
      <c r="AH170" s="77">
        <f t="shared" si="136"/>
        <v>0</v>
      </c>
      <c r="AI170" s="77" t="str">
        <f t="shared" si="120"/>
        <v/>
      </c>
      <c r="AJ170" s="78">
        <f t="shared" si="102"/>
        <v>4</v>
      </c>
      <c r="AK170" s="139">
        <f>SUM($AC$6:AC170)</f>
        <v>0</v>
      </c>
      <c r="AL170" s="139">
        <f t="shared" ca="1" si="112"/>
        <v>0</v>
      </c>
      <c r="AM170" s="143">
        <f t="shared" si="121"/>
        <v>0</v>
      </c>
      <c r="AN170" s="143">
        <f t="shared" si="122"/>
        <v>0</v>
      </c>
      <c r="AO170" s="143">
        <f t="shared" si="123"/>
        <v>0</v>
      </c>
      <c r="AP170" s="142">
        <f t="shared" si="113"/>
        <v>30</v>
      </c>
      <c r="AQ170" s="142">
        <f t="shared" ca="1" si="114"/>
        <v>30</v>
      </c>
      <c r="AR170" s="154">
        <f t="shared" si="125"/>
        <v>0</v>
      </c>
      <c r="AS170" s="142">
        <f t="shared" si="115"/>
        <v>0</v>
      </c>
      <c r="AT170" t="b">
        <f>OR((F170&gt;0),(NOT(ISBLANK(H170))),SUM(H170:H$373),SUM(G170:G$373))</f>
        <v>0</v>
      </c>
      <c r="AU170" t="b">
        <f t="shared" ca="1" si="103"/>
        <v>0</v>
      </c>
    </row>
    <row r="171" spans="1:47">
      <c r="A171" s="349">
        <f t="shared" si="116"/>
        <v>41804</v>
      </c>
      <c r="B171" s="350">
        <f t="shared" si="117"/>
        <v>41804</v>
      </c>
      <c r="C171" s="351">
        <f t="shared" si="128"/>
        <v>24</v>
      </c>
      <c r="D171" s="352">
        <f t="shared" si="129"/>
        <v>41790</v>
      </c>
      <c r="E171" s="364" t="str">
        <f t="shared" si="104"/>
        <v/>
      </c>
      <c r="F171" s="6"/>
      <c r="G171" s="7" t="str">
        <f t="shared" si="130"/>
        <v/>
      </c>
      <c r="H171" s="8"/>
      <c r="I171" s="8">
        <f t="shared" si="126"/>
        <v>0</v>
      </c>
      <c r="J171" s="129">
        <f t="shared" si="124"/>
        <v>0</v>
      </c>
      <c r="K171" s="8"/>
      <c r="L171" s="8">
        <f t="shared" si="105"/>
        <v>0</v>
      </c>
      <c r="M171" s="129">
        <f t="shared" si="106"/>
        <v>0</v>
      </c>
      <c r="N171" s="129"/>
      <c r="O171" s="129">
        <f t="shared" si="99"/>
        <v>0</v>
      </c>
      <c r="P171" s="129"/>
      <c r="Q171" s="129">
        <f t="shared" si="107"/>
        <v>0</v>
      </c>
      <c r="R171" s="129">
        <f t="shared" si="108"/>
        <v>0</v>
      </c>
      <c r="S171" s="693">
        <f t="shared" si="109"/>
        <v>6</v>
      </c>
      <c r="T171" s="129">
        <f t="shared" si="127"/>
        <v>0</v>
      </c>
      <c r="U171" s="165">
        <f t="shared" si="110"/>
        <v>0</v>
      </c>
      <c r="V171" s="75"/>
      <c r="W171" s="131">
        <f t="shared" si="100"/>
        <v>4.1666666666666664E-2</v>
      </c>
      <c r="X171" s="126">
        <f t="shared" si="111"/>
        <v>0</v>
      </c>
      <c r="Y171" s="127">
        <f t="shared" si="131"/>
        <v>0.33333333333333331</v>
      </c>
      <c r="Z171" s="128">
        <f t="shared" si="132"/>
        <v>0</v>
      </c>
      <c r="AA171" s="76" t="str">
        <f t="shared" si="133"/>
        <v/>
      </c>
      <c r="AB171" s="216">
        <f t="shared" si="101"/>
        <v>0</v>
      </c>
      <c r="AC171" s="163" t="str">
        <f t="shared" si="134"/>
        <v/>
      </c>
      <c r="AD171" s="257">
        <f t="shared" si="118"/>
        <v>0</v>
      </c>
      <c r="AE171" s="138"/>
      <c r="AF171" s="138" t="str">
        <f t="shared" si="119"/>
        <v/>
      </c>
      <c r="AG171" s="77">
        <f t="shared" si="135"/>
        <v>0</v>
      </c>
      <c r="AH171" s="77">
        <f t="shared" si="136"/>
        <v>0</v>
      </c>
      <c r="AI171" s="77" t="str">
        <f t="shared" si="120"/>
        <v/>
      </c>
      <c r="AJ171" s="78">
        <f t="shared" si="102"/>
        <v>5</v>
      </c>
      <c r="AK171" s="139">
        <f>SUM($AC$6:AC171)</f>
        <v>0</v>
      </c>
      <c r="AL171" s="139">
        <f t="shared" ca="1" si="112"/>
        <v>0</v>
      </c>
      <c r="AM171" s="143">
        <f t="shared" si="121"/>
        <v>0</v>
      </c>
      <c r="AN171" s="143">
        <f t="shared" si="122"/>
        <v>0</v>
      </c>
      <c r="AO171" s="143">
        <f t="shared" si="123"/>
        <v>0</v>
      </c>
      <c r="AP171" s="142">
        <f t="shared" si="113"/>
        <v>30</v>
      </c>
      <c r="AQ171" s="142">
        <f t="shared" ca="1" si="114"/>
        <v>30</v>
      </c>
      <c r="AR171" s="154">
        <f t="shared" si="125"/>
        <v>0</v>
      </c>
      <c r="AS171" s="142">
        <f t="shared" si="115"/>
        <v>0</v>
      </c>
      <c r="AT171" t="b">
        <f>OR((F171&gt;0),(NOT(ISBLANK(H171))),SUM(H171:H$373),SUM(G171:G$373))</f>
        <v>0</v>
      </c>
      <c r="AU171" t="b">
        <f t="shared" ca="1" si="103"/>
        <v>0</v>
      </c>
    </row>
    <row r="172" spans="1:47">
      <c r="A172" s="349">
        <f t="shared" si="116"/>
        <v>41805</v>
      </c>
      <c r="B172" s="350">
        <f t="shared" si="117"/>
        <v>41805</v>
      </c>
      <c r="C172" s="351">
        <f t="shared" si="128"/>
        <v>24</v>
      </c>
      <c r="D172" s="352">
        <f t="shared" si="129"/>
        <v>41790</v>
      </c>
      <c r="E172" s="364" t="str">
        <f t="shared" si="104"/>
        <v/>
      </c>
      <c r="F172" s="6"/>
      <c r="G172" s="7" t="str">
        <f t="shared" si="130"/>
        <v/>
      </c>
      <c r="H172" s="8"/>
      <c r="I172" s="8">
        <f t="shared" si="126"/>
        <v>0</v>
      </c>
      <c r="J172" s="129">
        <f t="shared" si="124"/>
        <v>0</v>
      </c>
      <c r="K172" s="8"/>
      <c r="L172" s="8">
        <f t="shared" si="105"/>
        <v>0</v>
      </c>
      <c r="M172" s="129">
        <f t="shared" si="106"/>
        <v>0</v>
      </c>
      <c r="N172" s="129"/>
      <c r="O172" s="129">
        <f t="shared" si="99"/>
        <v>0</v>
      </c>
      <c r="P172" s="129"/>
      <c r="Q172" s="129">
        <f t="shared" si="107"/>
        <v>0</v>
      </c>
      <c r="R172" s="129">
        <f t="shared" si="108"/>
        <v>0</v>
      </c>
      <c r="S172" s="693">
        <f t="shared" si="109"/>
        <v>6</v>
      </c>
      <c r="T172" s="129">
        <f t="shared" si="127"/>
        <v>0</v>
      </c>
      <c r="U172" s="165">
        <f t="shared" si="110"/>
        <v>0</v>
      </c>
      <c r="V172" s="75"/>
      <c r="W172" s="131">
        <f t="shared" si="100"/>
        <v>4.1666666666666664E-2</v>
      </c>
      <c r="X172" s="126">
        <f t="shared" si="111"/>
        <v>0</v>
      </c>
      <c r="Y172" s="127">
        <f t="shared" si="131"/>
        <v>0</v>
      </c>
      <c r="Z172" s="128">
        <f t="shared" si="132"/>
        <v>0</v>
      </c>
      <c r="AA172" s="76" t="str">
        <f t="shared" si="133"/>
        <v/>
      </c>
      <c r="AB172" s="216">
        <f t="shared" si="101"/>
        <v>0</v>
      </c>
      <c r="AC172" s="163" t="str">
        <f t="shared" si="134"/>
        <v/>
      </c>
      <c r="AD172" s="257">
        <f t="shared" si="118"/>
        <v>0</v>
      </c>
      <c r="AE172" s="138"/>
      <c r="AF172" s="138" t="str">
        <f t="shared" si="119"/>
        <v/>
      </c>
      <c r="AG172" s="77">
        <f t="shared" si="135"/>
        <v>0</v>
      </c>
      <c r="AH172" s="77">
        <f t="shared" si="136"/>
        <v>0</v>
      </c>
      <c r="AI172" s="77" t="str">
        <f t="shared" si="120"/>
        <v/>
      </c>
      <c r="AJ172" s="78">
        <f t="shared" si="102"/>
        <v>6</v>
      </c>
      <c r="AK172" s="139">
        <f>SUM($AC$6:AC172)</f>
        <v>0</v>
      </c>
      <c r="AL172" s="139">
        <f t="shared" ca="1" si="112"/>
        <v>0</v>
      </c>
      <c r="AM172" s="143">
        <f t="shared" si="121"/>
        <v>0</v>
      </c>
      <c r="AN172" s="143">
        <f t="shared" si="122"/>
        <v>0</v>
      </c>
      <c r="AO172" s="143">
        <f t="shared" si="123"/>
        <v>0</v>
      </c>
      <c r="AP172" s="142">
        <f t="shared" si="113"/>
        <v>30</v>
      </c>
      <c r="AQ172" s="142">
        <f t="shared" ca="1" si="114"/>
        <v>30</v>
      </c>
      <c r="AR172" s="154">
        <f t="shared" si="125"/>
        <v>0</v>
      </c>
      <c r="AS172" s="142">
        <f t="shared" si="115"/>
        <v>7</v>
      </c>
      <c r="AT172" t="b">
        <f>OR((F172&gt;0),(NOT(ISBLANK(H172))),SUM(H172:H$373),SUM(G172:G$373))</f>
        <v>0</v>
      </c>
      <c r="AU172" t="b">
        <f t="shared" ca="1" si="103"/>
        <v>1</v>
      </c>
    </row>
    <row r="173" spans="1:47">
      <c r="A173" s="349">
        <f t="shared" si="116"/>
        <v>41806</v>
      </c>
      <c r="B173" s="350">
        <f t="shared" si="117"/>
        <v>41806</v>
      </c>
      <c r="C173" s="351">
        <f t="shared" si="128"/>
        <v>24</v>
      </c>
      <c r="D173" s="352">
        <f t="shared" si="129"/>
        <v>41790</v>
      </c>
      <c r="E173" s="364" t="str">
        <f t="shared" si="104"/>
        <v/>
      </c>
      <c r="F173" s="6"/>
      <c r="G173" s="7" t="str">
        <f t="shared" si="130"/>
        <v/>
      </c>
      <c r="H173" s="8"/>
      <c r="I173" s="8">
        <f t="shared" si="126"/>
        <v>0</v>
      </c>
      <c r="J173" s="129">
        <f t="shared" si="124"/>
        <v>0</v>
      </c>
      <c r="K173" s="8"/>
      <c r="L173" s="8">
        <f t="shared" si="105"/>
        <v>0</v>
      </c>
      <c r="M173" s="129">
        <f t="shared" si="106"/>
        <v>0</v>
      </c>
      <c r="N173" s="129"/>
      <c r="O173" s="129">
        <f t="shared" si="99"/>
        <v>0</v>
      </c>
      <c r="P173" s="129"/>
      <c r="Q173" s="129">
        <f t="shared" si="107"/>
        <v>0</v>
      </c>
      <c r="R173" s="129">
        <f t="shared" si="108"/>
        <v>0</v>
      </c>
      <c r="S173" s="693">
        <f t="shared" si="109"/>
        <v>6</v>
      </c>
      <c r="T173" s="129">
        <f t="shared" si="127"/>
        <v>0</v>
      </c>
      <c r="U173" s="165">
        <f t="shared" si="110"/>
        <v>0</v>
      </c>
      <c r="V173" s="75"/>
      <c r="W173" s="131">
        <f t="shared" si="100"/>
        <v>4.1666666666666664E-2</v>
      </c>
      <c r="X173" s="126">
        <f t="shared" si="111"/>
        <v>0</v>
      </c>
      <c r="Y173" s="127">
        <f t="shared" si="131"/>
        <v>0</v>
      </c>
      <c r="Z173" s="128">
        <f t="shared" si="132"/>
        <v>0</v>
      </c>
      <c r="AA173" s="76" t="str">
        <f t="shared" si="133"/>
        <v/>
      </c>
      <c r="AB173" s="216">
        <f t="shared" si="101"/>
        <v>0</v>
      </c>
      <c r="AC173" s="163" t="str">
        <f t="shared" si="134"/>
        <v/>
      </c>
      <c r="AD173" s="257">
        <f t="shared" si="118"/>
        <v>0</v>
      </c>
      <c r="AE173" s="138"/>
      <c r="AF173" s="138" t="str">
        <f t="shared" si="119"/>
        <v/>
      </c>
      <c r="AG173" s="77">
        <f t="shared" si="135"/>
        <v>0</v>
      </c>
      <c r="AH173" s="77">
        <f t="shared" si="136"/>
        <v>0</v>
      </c>
      <c r="AI173" s="77" t="str">
        <f t="shared" si="120"/>
        <v/>
      </c>
      <c r="AJ173" s="78">
        <f t="shared" si="102"/>
        <v>7</v>
      </c>
      <c r="AK173" s="139">
        <f>SUM($AC$6:AC173)</f>
        <v>0</v>
      </c>
      <c r="AL173" s="139">
        <f t="shared" ca="1" si="112"/>
        <v>0</v>
      </c>
      <c r="AM173" s="143">
        <f t="shared" si="121"/>
        <v>0</v>
      </c>
      <c r="AN173" s="143">
        <f t="shared" si="122"/>
        <v>0</v>
      </c>
      <c r="AO173" s="143">
        <f t="shared" si="123"/>
        <v>0</v>
      </c>
      <c r="AP173" s="142">
        <f t="shared" si="113"/>
        <v>30</v>
      </c>
      <c r="AQ173" s="142">
        <f t="shared" ca="1" si="114"/>
        <v>30</v>
      </c>
      <c r="AR173" s="154">
        <f t="shared" si="125"/>
        <v>0</v>
      </c>
      <c r="AS173" s="142">
        <f t="shared" si="115"/>
        <v>7</v>
      </c>
      <c r="AT173" t="b">
        <f>OR((F173&gt;0),(NOT(ISBLANK(H173))),SUM(H173:H$373),SUM(G173:G$373))</f>
        <v>0</v>
      </c>
      <c r="AU173" t="b">
        <f t="shared" ca="1" si="103"/>
        <v>1</v>
      </c>
    </row>
    <row r="174" spans="1:47">
      <c r="A174" s="349">
        <f t="shared" si="116"/>
        <v>41807</v>
      </c>
      <c r="B174" s="350">
        <f t="shared" si="117"/>
        <v>41807</v>
      </c>
      <c r="C174" s="351">
        <f t="shared" si="128"/>
        <v>25</v>
      </c>
      <c r="D174" s="352">
        <f t="shared" si="129"/>
        <v>41790</v>
      </c>
      <c r="E174" s="364" t="str">
        <f t="shared" si="104"/>
        <v/>
      </c>
      <c r="F174" s="6"/>
      <c r="G174" s="7" t="str">
        <f t="shared" si="130"/>
        <v/>
      </c>
      <c r="H174" s="8"/>
      <c r="I174" s="8">
        <f t="shared" si="126"/>
        <v>0</v>
      </c>
      <c r="J174" s="129">
        <f t="shared" si="124"/>
        <v>0</v>
      </c>
      <c r="K174" s="8"/>
      <c r="L174" s="8">
        <f t="shared" si="105"/>
        <v>0</v>
      </c>
      <c r="M174" s="129">
        <f t="shared" si="106"/>
        <v>0</v>
      </c>
      <c r="N174" s="129"/>
      <c r="O174" s="129">
        <f t="shared" si="99"/>
        <v>0</v>
      </c>
      <c r="P174" s="129"/>
      <c r="Q174" s="129">
        <f t="shared" si="107"/>
        <v>0</v>
      </c>
      <c r="R174" s="129">
        <f t="shared" si="108"/>
        <v>0</v>
      </c>
      <c r="S174" s="693">
        <f t="shared" si="109"/>
        <v>6</v>
      </c>
      <c r="T174" s="129">
        <f t="shared" si="127"/>
        <v>0</v>
      </c>
      <c r="U174" s="165">
        <f t="shared" si="110"/>
        <v>0</v>
      </c>
      <c r="V174" s="75"/>
      <c r="W174" s="131">
        <f t="shared" si="100"/>
        <v>4.1666666666666664E-2</v>
      </c>
      <c r="X174" s="126">
        <f t="shared" si="111"/>
        <v>0</v>
      </c>
      <c r="Y174" s="127">
        <f t="shared" si="131"/>
        <v>0.33333333333333331</v>
      </c>
      <c r="Z174" s="128">
        <f t="shared" si="132"/>
        <v>0</v>
      </c>
      <c r="AA174" s="76" t="str">
        <f t="shared" si="133"/>
        <v/>
      </c>
      <c r="AB174" s="216">
        <f t="shared" si="101"/>
        <v>0</v>
      </c>
      <c r="AC174" s="163" t="str">
        <f t="shared" si="134"/>
        <v/>
      </c>
      <c r="AD174" s="257">
        <f t="shared" si="118"/>
        <v>0</v>
      </c>
      <c r="AE174" s="138"/>
      <c r="AF174" s="138" t="str">
        <f t="shared" si="119"/>
        <v/>
      </c>
      <c r="AG174" s="77">
        <f t="shared" si="135"/>
        <v>0</v>
      </c>
      <c r="AH174" s="77">
        <f t="shared" si="136"/>
        <v>0</v>
      </c>
      <c r="AI174" s="77" t="str">
        <f t="shared" si="120"/>
        <v/>
      </c>
      <c r="AJ174" s="78">
        <f t="shared" si="102"/>
        <v>1</v>
      </c>
      <c r="AK174" s="139">
        <f>SUM($AC$6:AC174)</f>
        <v>0</v>
      </c>
      <c r="AL174" s="139">
        <f t="shared" ca="1" si="112"/>
        <v>0</v>
      </c>
      <c r="AM174" s="143">
        <f t="shared" si="121"/>
        <v>0</v>
      </c>
      <c r="AN174" s="143">
        <f t="shared" si="122"/>
        <v>0</v>
      </c>
      <c r="AO174" s="143">
        <f t="shared" si="123"/>
        <v>0</v>
      </c>
      <c r="AP174" s="142">
        <f t="shared" si="113"/>
        <v>30</v>
      </c>
      <c r="AQ174" s="142">
        <f t="shared" ca="1" si="114"/>
        <v>30</v>
      </c>
      <c r="AR174" s="154">
        <f t="shared" si="125"/>
        <v>0</v>
      </c>
      <c r="AS174" s="142">
        <f t="shared" si="115"/>
        <v>0</v>
      </c>
      <c r="AT174" t="b">
        <f>OR((F174&gt;0),(NOT(ISBLANK(H174))),SUM(H174:H$373),SUM(G174:G$373))</f>
        <v>0</v>
      </c>
      <c r="AU174" t="b">
        <f t="shared" ca="1" si="103"/>
        <v>0</v>
      </c>
    </row>
    <row r="175" spans="1:47">
      <c r="A175" s="349">
        <f t="shared" si="116"/>
        <v>41808</v>
      </c>
      <c r="B175" s="350">
        <f t="shared" si="117"/>
        <v>41808</v>
      </c>
      <c r="C175" s="351">
        <f t="shared" si="128"/>
        <v>25</v>
      </c>
      <c r="D175" s="352">
        <f t="shared" si="129"/>
        <v>41790</v>
      </c>
      <c r="E175" s="364" t="str">
        <f t="shared" si="104"/>
        <v/>
      </c>
      <c r="F175" s="6"/>
      <c r="G175" s="7" t="str">
        <f t="shared" si="130"/>
        <v/>
      </c>
      <c r="H175" s="8"/>
      <c r="I175" s="8">
        <f t="shared" si="126"/>
        <v>0</v>
      </c>
      <c r="J175" s="129">
        <f t="shared" si="124"/>
        <v>0</v>
      </c>
      <c r="K175" s="8"/>
      <c r="L175" s="8">
        <f t="shared" si="105"/>
        <v>0</v>
      </c>
      <c r="M175" s="129">
        <f t="shared" si="106"/>
        <v>0</v>
      </c>
      <c r="N175" s="129"/>
      <c r="O175" s="129">
        <f t="shared" si="99"/>
        <v>0</v>
      </c>
      <c r="P175" s="129"/>
      <c r="Q175" s="129">
        <f t="shared" si="107"/>
        <v>0</v>
      </c>
      <c r="R175" s="129">
        <f t="shared" si="108"/>
        <v>0</v>
      </c>
      <c r="S175" s="693">
        <f t="shared" si="109"/>
        <v>6</v>
      </c>
      <c r="T175" s="129">
        <f t="shared" si="127"/>
        <v>0</v>
      </c>
      <c r="U175" s="165">
        <f t="shared" si="110"/>
        <v>0</v>
      </c>
      <c r="V175" s="75"/>
      <c r="W175" s="131">
        <f t="shared" si="100"/>
        <v>4.1666666666666664E-2</v>
      </c>
      <c r="X175" s="126">
        <f t="shared" si="111"/>
        <v>0</v>
      </c>
      <c r="Y175" s="127">
        <f t="shared" si="131"/>
        <v>0.33333333333333331</v>
      </c>
      <c r="Z175" s="128">
        <f t="shared" si="132"/>
        <v>0</v>
      </c>
      <c r="AA175" s="76" t="str">
        <f t="shared" si="133"/>
        <v/>
      </c>
      <c r="AB175" s="216">
        <f t="shared" si="101"/>
        <v>0</v>
      </c>
      <c r="AC175" s="163" t="str">
        <f t="shared" si="134"/>
        <v/>
      </c>
      <c r="AD175" s="257">
        <f t="shared" si="118"/>
        <v>0</v>
      </c>
      <c r="AE175" s="138"/>
      <c r="AF175" s="138" t="str">
        <f t="shared" si="119"/>
        <v/>
      </c>
      <c r="AG175" s="77">
        <f t="shared" si="135"/>
        <v>0</v>
      </c>
      <c r="AH175" s="77">
        <f t="shared" si="136"/>
        <v>0</v>
      </c>
      <c r="AI175" s="77" t="str">
        <f t="shared" si="120"/>
        <v/>
      </c>
      <c r="AJ175" s="78">
        <f t="shared" si="102"/>
        <v>2</v>
      </c>
      <c r="AK175" s="139">
        <f>SUM($AC$6:AC175)</f>
        <v>0</v>
      </c>
      <c r="AL175" s="139">
        <f t="shared" ca="1" si="112"/>
        <v>0</v>
      </c>
      <c r="AM175" s="143">
        <f t="shared" si="121"/>
        <v>0</v>
      </c>
      <c r="AN175" s="143">
        <f t="shared" si="122"/>
        <v>0</v>
      </c>
      <c r="AO175" s="143">
        <f t="shared" si="123"/>
        <v>0</v>
      </c>
      <c r="AP175" s="142">
        <f t="shared" si="113"/>
        <v>30</v>
      </c>
      <c r="AQ175" s="142">
        <f t="shared" ca="1" si="114"/>
        <v>30</v>
      </c>
      <c r="AR175" s="154">
        <f t="shared" si="125"/>
        <v>0</v>
      </c>
      <c r="AS175" s="142">
        <f t="shared" si="115"/>
        <v>0</v>
      </c>
      <c r="AT175" t="b">
        <f>OR((F175&gt;0),(NOT(ISBLANK(H175))),SUM(H175:H$373),SUM(G175:G$373))</f>
        <v>0</v>
      </c>
      <c r="AU175" t="b">
        <f t="shared" ca="1" si="103"/>
        <v>0</v>
      </c>
    </row>
    <row r="176" spans="1:47">
      <c r="A176" s="349">
        <f t="shared" si="116"/>
        <v>41809</v>
      </c>
      <c r="B176" s="350">
        <f t="shared" si="117"/>
        <v>41809</v>
      </c>
      <c r="C176" s="351">
        <f t="shared" si="128"/>
        <v>25</v>
      </c>
      <c r="D176" s="352">
        <f t="shared" si="129"/>
        <v>41790</v>
      </c>
      <c r="E176" s="364" t="str">
        <f t="shared" si="104"/>
        <v/>
      </c>
      <c r="F176" s="6"/>
      <c r="G176" s="7" t="str">
        <f t="shared" si="130"/>
        <v/>
      </c>
      <c r="H176" s="8"/>
      <c r="I176" s="8">
        <f t="shared" si="126"/>
        <v>0</v>
      </c>
      <c r="J176" s="129">
        <f t="shared" si="124"/>
        <v>0</v>
      </c>
      <c r="K176" s="8"/>
      <c r="L176" s="8">
        <f t="shared" si="105"/>
        <v>0</v>
      </c>
      <c r="M176" s="129">
        <f t="shared" si="106"/>
        <v>0</v>
      </c>
      <c r="N176" s="129"/>
      <c r="O176" s="129">
        <f t="shared" si="99"/>
        <v>0</v>
      </c>
      <c r="P176" s="129"/>
      <c r="Q176" s="129">
        <f t="shared" si="107"/>
        <v>0</v>
      </c>
      <c r="R176" s="129">
        <f t="shared" si="108"/>
        <v>0</v>
      </c>
      <c r="S176" s="693">
        <f t="shared" si="109"/>
        <v>6</v>
      </c>
      <c r="T176" s="129">
        <f t="shared" si="127"/>
        <v>0</v>
      </c>
      <c r="U176" s="165">
        <f t="shared" si="110"/>
        <v>0</v>
      </c>
      <c r="V176" s="75"/>
      <c r="W176" s="131">
        <f t="shared" si="100"/>
        <v>4.1666666666666664E-2</v>
      </c>
      <c r="X176" s="126">
        <f t="shared" si="111"/>
        <v>0</v>
      </c>
      <c r="Y176" s="127">
        <f t="shared" si="131"/>
        <v>0.33333333333333331</v>
      </c>
      <c r="Z176" s="128">
        <f t="shared" si="132"/>
        <v>0</v>
      </c>
      <c r="AA176" s="76" t="str">
        <f t="shared" si="133"/>
        <v/>
      </c>
      <c r="AB176" s="216">
        <f t="shared" si="101"/>
        <v>0</v>
      </c>
      <c r="AC176" s="163" t="str">
        <f t="shared" si="134"/>
        <v/>
      </c>
      <c r="AD176" s="257">
        <f t="shared" si="118"/>
        <v>0</v>
      </c>
      <c r="AE176" s="138"/>
      <c r="AF176" s="138" t="str">
        <f t="shared" si="119"/>
        <v/>
      </c>
      <c r="AG176" s="77">
        <f t="shared" si="135"/>
        <v>0</v>
      </c>
      <c r="AH176" s="77">
        <f t="shared" si="136"/>
        <v>0</v>
      </c>
      <c r="AI176" s="77" t="str">
        <f t="shared" si="120"/>
        <v/>
      </c>
      <c r="AJ176" s="78">
        <f t="shared" si="102"/>
        <v>3</v>
      </c>
      <c r="AK176" s="139">
        <f>SUM($AC$6:AC176)</f>
        <v>0</v>
      </c>
      <c r="AL176" s="139">
        <f t="shared" ca="1" si="112"/>
        <v>0</v>
      </c>
      <c r="AM176" s="143">
        <f t="shared" si="121"/>
        <v>0</v>
      </c>
      <c r="AN176" s="143">
        <f t="shared" si="122"/>
        <v>0</v>
      </c>
      <c r="AO176" s="143">
        <f t="shared" si="123"/>
        <v>0</v>
      </c>
      <c r="AP176" s="142">
        <f t="shared" si="113"/>
        <v>30</v>
      </c>
      <c r="AQ176" s="142">
        <f t="shared" ca="1" si="114"/>
        <v>30</v>
      </c>
      <c r="AR176" s="154">
        <f t="shared" si="125"/>
        <v>0</v>
      </c>
      <c r="AS176" s="142">
        <f t="shared" si="115"/>
        <v>0</v>
      </c>
      <c r="AT176" t="b">
        <f>OR((F176&gt;0),(NOT(ISBLANK(H176))),SUM(H176:H$373),SUM(G176:G$373))</f>
        <v>0</v>
      </c>
      <c r="AU176" t="b">
        <f t="shared" ca="1" si="103"/>
        <v>0</v>
      </c>
    </row>
    <row r="177" spans="1:47">
      <c r="A177" s="349">
        <f t="shared" si="116"/>
        <v>41810</v>
      </c>
      <c r="B177" s="350">
        <f t="shared" si="117"/>
        <v>41810</v>
      </c>
      <c r="C177" s="351">
        <f t="shared" si="128"/>
        <v>25</v>
      </c>
      <c r="D177" s="352">
        <f t="shared" si="129"/>
        <v>41790</v>
      </c>
      <c r="E177" s="364" t="str">
        <f t="shared" si="104"/>
        <v/>
      </c>
      <c r="F177" s="6"/>
      <c r="G177" s="7" t="str">
        <f t="shared" si="130"/>
        <v/>
      </c>
      <c r="H177" s="8"/>
      <c r="I177" s="8">
        <f t="shared" si="126"/>
        <v>0</v>
      </c>
      <c r="J177" s="129">
        <f t="shared" si="124"/>
        <v>0</v>
      </c>
      <c r="K177" s="8"/>
      <c r="L177" s="8">
        <f t="shared" si="105"/>
        <v>0</v>
      </c>
      <c r="M177" s="129">
        <f t="shared" si="106"/>
        <v>0</v>
      </c>
      <c r="N177" s="129"/>
      <c r="O177" s="129">
        <f t="shared" si="99"/>
        <v>0</v>
      </c>
      <c r="P177" s="129"/>
      <c r="Q177" s="129">
        <f t="shared" si="107"/>
        <v>0</v>
      </c>
      <c r="R177" s="129">
        <f t="shared" si="108"/>
        <v>0</v>
      </c>
      <c r="S177" s="693">
        <f t="shared" si="109"/>
        <v>6</v>
      </c>
      <c r="T177" s="129">
        <f t="shared" si="127"/>
        <v>0</v>
      </c>
      <c r="U177" s="165">
        <f t="shared" si="110"/>
        <v>0</v>
      </c>
      <c r="V177" s="75"/>
      <c r="W177" s="131">
        <f t="shared" si="100"/>
        <v>4.1666666666666664E-2</v>
      </c>
      <c r="X177" s="126">
        <f t="shared" si="111"/>
        <v>0</v>
      </c>
      <c r="Y177" s="127">
        <f t="shared" si="131"/>
        <v>0.33333333333333331</v>
      </c>
      <c r="Z177" s="128">
        <f t="shared" si="132"/>
        <v>0</v>
      </c>
      <c r="AA177" s="76" t="str">
        <f t="shared" si="133"/>
        <v/>
      </c>
      <c r="AB177" s="216">
        <f t="shared" si="101"/>
        <v>0</v>
      </c>
      <c r="AC177" s="163" t="str">
        <f t="shared" si="134"/>
        <v/>
      </c>
      <c r="AD177" s="257">
        <f t="shared" si="118"/>
        <v>0</v>
      </c>
      <c r="AE177" s="138"/>
      <c r="AF177" s="138" t="str">
        <f t="shared" si="119"/>
        <v/>
      </c>
      <c r="AG177" s="77">
        <f t="shared" si="135"/>
        <v>0</v>
      </c>
      <c r="AH177" s="77">
        <f t="shared" si="136"/>
        <v>0</v>
      </c>
      <c r="AI177" s="77" t="str">
        <f t="shared" si="120"/>
        <v/>
      </c>
      <c r="AJ177" s="78">
        <f t="shared" si="102"/>
        <v>4</v>
      </c>
      <c r="AK177" s="139">
        <f>SUM($AC$6:AC177)</f>
        <v>0</v>
      </c>
      <c r="AL177" s="139">
        <f t="shared" ca="1" si="112"/>
        <v>0</v>
      </c>
      <c r="AM177" s="143">
        <f t="shared" si="121"/>
        <v>0</v>
      </c>
      <c r="AN177" s="143">
        <f t="shared" si="122"/>
        <v>0</v>
      </c>
      <c r="AO177" s="143">
        <f t="shared" si="123"/>
        <v>0</v>
      </c>
      <c r="AP177" s="142">
        <f t="shared" si="113"/>
        <v>30</v>
      </c>
      <c r="AQ177" s="142">
        <f t="shared" ca="1" si="114"/>
        <v>30</v>
      </c>
      <c r="AR177" s="154">
        <f t="shared" si="125"/>
        <v>0</v>
      </c>
      <c r="AS177" s="142">
        <f t="shared" si="115"/>
        <v>0</v>
      </c>
      <c r="AT177" t="b">
        <f>OR((F177&gt;0),(NOT(ISBLANK(H177))),SUM(H177:H$373),SUM(G177:G$373))</f>
        <v>0</v>
      </c>
      <c r="AU177" t="b">
        <f t="shared" ca="1" si="103"/>
        <v>0</v>
      </c>
    </row>
    <row r="178" spans="1:47">
      <c r="A178" s="349">
        <f t="shared" si="116"/>
        <v>41811</v>
      </c>
      <c r="B178" s="350">
        <f t="shared" si="117"/>
        <v>41811</v>
      </c>
      <c r="C178" s="351">
        <f t="shared" si="128"/>
        <v>25</v>
      </c>
      <c r="D178" s="352">
        <f t="shared" si="129"/>
        <v>41790</v>
      </c>
      <c r="E178" s="364" t="str">
        <f t="shared" si="104"/>
        <v/>
      </c>
      <c r="F178" s="6"/>
      <c r="G178" s="7" t="str">
        <f t="shared" si="130"/>
        <v/>
      </c>
      <c r="H178" s="8"/>
      <c r="I178" s="8">
        <f t="shared" si="126"/>
        <v>0</v>
      </c>
      <c r="J178" s="129">
        <f t="shared" si="124"/>
        <v>0</v>
      </c>
      <c r="K178" s="8"/>
      <c r="L178" s="8">
        <f t="shared" si="105"/>
        <v>0</v>
      </c>
      <c r="M178" s="129">
        <f t="shared" si="106"/>
        <v>0</v>
      </c>
      <c r="N178" s="129"/>
      <c r="O178" s="129">
        <f t="shared" si="99"/>
        <v>0</v>
      </c>
      <c r="P178" s="129"/>
      <c r="Q178" s="129">
        <f t="shared" si="107"/>
        <v>0</v>
      </c>
      <c r="R178" s="129">
        <f t="shared" si="108"/>
        <v>0</v>
      </c>
      <c r="S178" s="693">
        <f t="shared" si="109"/>
        <v>6</v>
      </c>
      <c r="T178" s="129">
        <f t="shared" si="127"/>
        <v>0</v>
      </c>
      <c r="U178" s="165">
        <f t="shared" si="110"/>
        <v>0</v>
      </c>
      <c r="V178" s="75"/>
      <c r="W178" s="131">
        <f t="shared" si="100"/>
        <v>4.1666666666666664E-2</v>
      </c>
      <c r="X178" s="126">
        <f t="shared" si="111"/>
        <v>0</v>
      </c>
      <c r="Y178" s="127">
        <f t="shared" si="131"/>
        <v>0.33333333333333331</v>
      </c>
      <c r="Z178" s="128">
        <f t="shared" si="132"/>
        <v>0</v>
      </c>
      <c r="AA178" s="76" t="str">
        <f t="shared" si="133"/>
        <v/>
      </c>
      <c r="AB178" s="216">
        <f t="shared" si="101"/>
        <v>0</v>
      </c>
      <c r="AC178" s="163" t="str">
        <f t="shared" si="134"/>
        <v/>
      </c>
      <c r="AD178" s="257">
        <f t="shared" si="118"/>
        <v>0</v>
      </c>
      <c r="AE178" s="138"/>
      <c r="AF178" s="138" t="str">
        <f t="shared" si="119"/>
        <v/>
      </c>
      <c r="AG178" s="77">
        <f t="shared" si="135"/>
        <v>0</v>
      </c>
      <c r="AH178" s="77">
        <f t="shared" si="136"/>
        <v>0</v>
      </c>
      <c r="AI178" s="77" t="str">
        <f t="shared" si="120"/>
        <v/>
      </c>
      <c r="AJ178" s="78">
        <f t="shared" si="102"/>
        <v>5</v>
      </c>
      <c r="AK178" s="139">
        <f>SUM($AC$6:AC178)</f>
        <v>0</v>
      </c>
      <c r="AL178" s="139">
        <f t="shared" ca="1" si="112"/>
        <v>0</v>
      </c>
      <c r="AM178" s="143">
        <f t="shared" si="121"/>
        <v>0</v>
      </c>
      <c r="AN178" s="143">
        <f t="shared" si="122"/>
        <v>0</v>
      </c>
      <c r="AO178" s="143">
        <f t="shared" si="123"/>
        <v>0</v>
      </c>
      <c r="AP178" s="142">
        <f t="shared" si="113"/>
        <v>30</v>
      </c>
      <c r="AQ178" s="142">
        <f t="shared" ca="1" si="114"/>
        <v>30</v>
      </c>
      <c r="AR178" s="154">
        <f t="shared" si="125"/>
        <v>0</v>
      </c>
      <c r="AS178" s="142">
        <f t="shared" si="115"/>
        <v>0</v>
      </c>
      <c r="AT178" t="b">
        <f>OR((F178&gt;0),(NOT(ISBLANK(H178))),SUM(H178:H$373),SUM(G178:G$373))</f>
        <v>0</v>
      </c>
      <c r="AU178" t="b">
        <f t="shared" ca="1" si="103"/>
        <v>0</v>
      </c>
    </row>
    <row r="179" spans="1:47">
      <c r="A179" s="349">
        <f t="shared" si="116"/>
        <v>41812</v>
      </c>
      <c r="B179" s="350">
        <f t="shared" si="117"/>
        <v>41812</v>
      </c>
      <c r="C179" s="351">
        <f t="shared" si="128"/>
        <v>25</v>
      </c>
      <c r="D179" s="352">
        <f t="shared" si="129"/>
        <v>41790</v>
      </c>
      <c r="E179" s="364" t="str">
        <f t="shared" si="104"/>
        <v/>
      </c>
      <c r="F179" s="6"/>
      <c r="G179" s="7" t="str">
        <f t="shared" si="130"/>
        <v/>
      </c>
      <c r="H179" s="8"/>
      <c r="I179" s="8">
        <f t="shared" si="126"/>
        <v>0</v>
      </c>
      <c r="J179" s="129">
        <f t="shared" si="124"/>
        <v>0</v>
      </c>
      <c r="K179" s="8"/>
      <c r="L179" s="8">
        <f t="shared" si="105"/>
        <v>0</v>
      </c>
      <c r="M179" s="129">
        <f t="shared" si="106"/>
        <v>0</v>
      </c>
      <c r="N179" s="129"/>
      <c r="O179" s="129">
        <f t="shared" si="99"/>
        <v>0</v>
      </c>
      <c r="P179" s="129"/>
      <c r="Q179" s="129">
        <f t="shared" si="107"/>
        <v>0</v>
      </c>
      <c r="R179" s="129">
        <f t="shared" si="108"/>
        <v>0</v>
      </c>
      <c r="S179" s="693">
        <f t="shared" si="109"/>
        <v>6</v>
      </c>
      <c r="T179" s="129">
        <f t="shared" si="127"/>
        <v>0</v>
      </c>
      <c r="U179" s="165">
        <f t="shared" si="110"/>
        <v>0</v>
      </c>
      <c r="V179" s="75"/>
      <c r="W179" s="131">
        <f t="shared" si="100"/>
        <v>4.1666666666666664E-2</v>
      </c>
      <c r="X179" s="126">
        <f t="shared" si="111"/>
        <v>0</v>
      </c>
      <c r="Y179" s="127">
        <f t="shared" si="131"/>
        <v>0</v>
      </c>
      <c r="Z179" s="128">
        <f t="shared" si="132"/>
        <v>0</v>
      </c>
      <c r="AA179" s="76" t="str">
        <f t="shared" si="133"/>
        <v/>
      </c>
      <c r="AB179" s="216">
        <f t="shared" si="101"/>
        <v>0</v>
      </c>
      <c r="AC179" s="163" t="str">
        <f t="shared" si="134"/>
        <v/>
      </c>
      <c r="AD179" s="257">
        <f t="shared" si="118"/>
        <v>0</v>
      </c>
      <c r="AE179" s="138"/>
      <c r="AF179" s="138" t="str">
        <f t="shared" si="119"/>
        <v/>
      </c>
      <c r="AG179" s="77">
        <f t="shared" si="135"/>
        <v>0</v>
      </c>
      <c r="AH179" s="77">
        <f t="shared" si="136"/>
        <v>0</v>
      </c>
      <c r="AI179" s="77" t="str">
        <f t="shared" si="120"/>
        <v/>
      </c>
      <c r="AJ179" s="78">
        <f t="shared" si="102"/>
        <v>6</v>
      </c>
      <c r="AK179" s="139">
        <f>SUM($AC$6:AC179)</f>
        <v>0</v>
      </c>
      <c r="AL179" s="139">
        <f t="shared" ca="1" si="112"/>
        <v>0</v>
      </c>
      <c r="AM179" s="143">
        <f t="shared" si="121"/>
        <v>0</v>
      </c>
      <c r="AN179" s="143">
        <f t="shared" si="122"/>
        <v>0</v>
      </c>
      <c r="AO179" s="143">
        <f t="shared" si="123"/>
        <v>0</v>
      </c>
      <c r="AP179" s="142">
        <f t="shared" si="113"/>
        <v>30</v>
      </c>
      <c r="AQ179" s="142">
        <f t="shared" ca="1" si="114"/>
        <v>30</v>
      </c>
      <c r="AR179" s="154">
        <f t="shared" si="125"/>
        <v>0</v>
      </c>
      <c r="AS179" s="142">
        <f t="shared" si="115"/>
        <v>7</v>
      </c>
      <c r="AT179" t="b">
        <f>OR((F179&gt;0),(NOT(ISBLANK(H179))),SUM(H179:H$373),SUM(G179:G$373))</f>
        <v>0</v>
      </c>
      <c r="AU179" t="b">
        <f t="shared" ca="1" si="103"/>
        <v>1</v>
      </c>
    </row>
    <row r="180" spans="1:47">
      <c r="A180" s="349">
        <f t="shared" si="116"/>
        <v>41813</v>
      </c>
      <c r="B180" s="350">
        <f t="shared" si="117"/>
        <v>41813</v>
      </c>
      <c r="C180" s="351">
        <f t="shared" si="128"/>
        <v>25</v>
      </c>
      <c r="D180" s="352">
        <f t="shared" si="129"/>
        <v>41790</v>
      </c>
      <c r="E180" s="364" t="str">
        <f t="shared" si="104"/>
        <v/>
      </c>
      <c r="F180" s="6"/>
      <c r="G180" s="7" t="str">
        <f t="shared" si="130"/>
        <v/>
      </c>
      <c r="H180" s="8"/>
      <c r="I180" s="8">
        <f t="shared" si="126"/>
        <v>0</v>
      </c>
      <c r="J180" s="129">
        <f t="shared" si="124"/>
        <v>0</v>
      </c>
      <c r="K180" s="8"/>
      <c r="L180" s="8">
        <f t="shared" si="105"/>
        <v>0</v>
      </c>
      <c r="M180" s="129">
        <f t="shared" si="106"/>
        <v>0</v>
      </c>
      <c r="N180" s="129"/>
      <c r="O180" s="129">
        <f t="shared" si="99"/>
        <v>0</v>
      </c>
      <c r="P180" s="129"/>
      <c r="Q180" s="129">
        <f t="shared" si="107"/>
        <v>0</v>
      </c>
      <c r="R180" s="129">
        <f t="shared" si="108"/>
        <v>0</v>
      </c>
      <c r="S180" s="693">
        <f t="shared" si="109"/>
        <v>6</v>
      </c>
      <c r="T180" s="129">
        <f t="shared" si="127"/>
        <v>0</v>
      </c>
      <c r="U180" s="165">
        <f t="shared" si="110"/>
        <v>0</v>
      </c>
      <c r="V180" s="75"/>
      <c r="W180" s="131">
        <f t="shared" si="100"/>
        <v>4.1666666666666664E-2</v>
      </c>
      <c r="X180" s="126">
        <f t="shared" si="111"/>
        <v>0</v>
      </c>
      <c r="Y180" s="127">
        <f t="shared" si="131"/>
        <v>0</v>
      </c>
      <c r="Z180" s="128">
        <f t="shared" si="132"/>
        <v>0</v>
      </c>
      <c r="AA180" s="76" t="str">
        <f t="shared" si="133"/>
        <v/>
      </c>
      <c r="AB180" s="216">
        <f t="shared" si="101"/>
        <v>0</v>
      </c>
      <c r="AC180" s="163" t="str">
        <f t="shared" si="134"/>
        <v/>
      </c>
      <c r="AD180" s="257">
        <f t="shared" si="118"/>
        <v>0</v>
      </c>
      <c r="AE180" s="138"/>
      <c r="AF180" s="138" t="str">
        <f t="shared" si="119"/>
        <v/>
      </c>
      <c r="AG180" s="77">
        <f t="shared" si="135"/>
        <v>0</v>
      </c>
      <c r="AH180" s="77">
        <f t="shared" si="136"/>
        <v>0</v>
      </c>
      <c r="AI180" s="77" t="str">
        <f t="shared" si="120"/>
        <v/>
      </c>
      <c r="AJ180" s="78">
        <f t="shared" si="102"/>
        <v>7</v>
      </c>
      <c r="AK180" s="139">
        <f>SUM($AC$6:AC180)</f>
        <v>0</v>
      </c>
      <c r="AL180" s="139">
        <f t="shared" ca="1" si="112"/>
        <v>0</v>
      </c>
      <c r="AM180" s="143">
        <f t="shared" si="121"/>
        <v>0</v>
      </c>
      <c r="AN180" s="143">
        <f t="shared" si="122"/>
        <v>0</v>
      </c>
      <c r="AO180" s="143">
        <f t="shared" si="123"/>
        <v>0</v>
      </c>
      <c r="AP180" s="142">
        <f t="shared" si="113"/>
        <v>30</v>
      </c>
      <c r="AQ180" s="142">
        <f t="shared" ca="1" si="114"/>
        <v>30</v>
      </c>
      <c r="AR180" s="154">
        <f t="shared" si="125"/>
        <v>0</v>
      </c>
      <c r="AS180" s="142">
        <f t="shared" si="115"/>
        <v>7</v>
      </c>
      <c r="AT180" t="b">
        <f>OR((F180&gt;0),(NOT(ISBLANK(H180))),SUM(H180:H$373),SUM(G180:G$373))</f>
        <v>0</v>
      </c>
      <c r="AU180" t="b">
        <f t="shared" ca="1" si="103"/>
        <v>1</v>
      </c>
    </row>
    <row r="181" spans="1:47">
      <c r="A181" s="349">
        <f t="shared" si="116"/>
        <v>41814</v>
      </c>
      <c r="B181" s="350">
        <f t="shared" si="117"/>
        <v>41814</v>
      </c>
      <c r="C181" s="351">
        <f t="shared" si="128"/>
        <v>26</v>
      </c>
      <c r="D181" s="352">
        <f t="shared" si="129"/>
        <v>41790</v>
      </c>
      <c r="E181" s="364" t="str">
        <f t="shared" si="104"/>
        <v/>
      </c>
      <c r="F181" s="6"/>
      <c r="G181" s="7" t="str">
        <f t="shared" si="130"/>
        <v/>
      </c>
      <c r="H181" s="8"/>
      <c r="I181" s="8">
        <f t="shared" si="126"/>
        <v>0</v>
      </c>
      <c r="J181" s="129">
        <f t="shared" si="124"/>
        <v>0</v>
      </c>
      <c r="K181" s="8"/>
      <c r="L181" s="8">
        <f t="shared" si="105"/>
        <v>0</v>
      </c>
      <c r="M181" s="129">
        <f t="shared" si="106"/>
        <v>0</v>
      </c>
      <c r="N181" s="129"/>
      <c r="O181" s="129">
        <f t="shared" si="99"/>
        <v>0</v>
      </c>
      <c r="P181" s="129"/>
      <c r="Q181" s="129">
        <f t="shared" si="107"/>
        <v>0</v>
      </c>
      <c r="R181" s="129">
        <f t="shared" si="108"/>
        <v>0</v>
      </c>
      <c r="S181" s="693">
        <f t="shared" si="109"/>
        <v>6</v>
      </c>
      <c r="T181" s="129">
        <f t="shared" si="127"/>
        <v>0</v>
      </c>
      <c r="U181" s="165">
        <f t="shared" si="110"/>
        <v>0</v>
      </c>
      <c r="V181" s="75"/>
      <c r="W181" s="131">
        <f t="shared" si="100"/>
        <v>4.1666666666666664E-2</v>
      </c>
      <c r="X181" s="126">
        <f t="shared" si="111"/>
        <v>0</v>
      </c>
      <c r="Y181" s="127">
        <f t="shared" si="131"/>
        <v>0.33333333333333331</v>
      </c>
      <c r="Z181" s="128">
        <f t="shared" si="132"/>
        <v>0</v>
      </c>
      <c r="AA181" s="76" t="str">
        <f t="shared" si="133"/>
        <v/>
      </c>
      <c r="AB181" s="216">
        <f t="shared" si="101"/>
        <v>0</v>
      </c>
      <c r="AC181" s="163" t="str">
        <f t="shared" si="134"/>
        <v/>
      </c>
      <c r="AD181" s="257">
        <f t="shared" si="118"/>
        <v>0</v>
      </c>
      <c r="AE181" s="138"/>
      <c r="AF181" s="138" t="str">
        <f t="shared" si="119"/>
        <v/>
      </c>
      <c r="AG181" s="77">
        <f t="shared" si="135"/>
        <v>0</v>
      </c>
      <c r="AH181" s="77">
        <f t="shared" si="136"/>
        <v>0</v>
      </c>
      <c r="AI181" s="77" t="str">
        <f t="shared" si="120"/>
        <v/>
      </c>
      <c r="AJ181" s="78">
        <f t="shared" si="102"/>
        <v>1</v>
      </c>
      <c r="AK181" s="139">
        <f>SUM($AC$6:AC181)</f>
        <v>0</v>
      </c>
      <c r="AL181" s="139">
        <f t="shared" ca="1" si="112"/>
        <v>0</v>
      </c>
      <c r="AM181" s="143">
        <f t="shared" si="121"/>
        <v>0</v>
      </c>
      <c r="AN181" s="143">
        <f t="shared" si="122"/>
        <v>0</v>
      </c>
      <c r="AO181" s="143">
        <f t="shared" si="123"/>
        <v>0</v>
      </c>
      <c r="AP181" s="142">
        <f t="shared" si="113"/>
        <v>30</v>
      </c>
      <c r="AQ181" s="142">
        <f t="shared" ca="1" si="114"/>
        <v>30</v>
      </c>
      <c r="AR181" s="154">
        <f t="shared" si="125"/>
        <v>0</v>
      </c>
      <c r="AS181" s="142">
        <f t="shared" si="115"/>
        <v>0</v>
      </c>
      <c r="AT181" t="b">
        <f>OR((F181&gt;0),(NOT(ISBLANK(H181))),SUM(H181:H$373),SUM(G181:G$373))</f>
        <v>0</v>
      </c>
      <c r="AU181" t="b">
        <f t="shared" ca="1" si="103"/>
        <v>0</v>
      </c>
    </row>
    <row r="182" spans="1:47">
      <c r="A182" s="349">
        <f t="shared" si="116"/>
        <v>41815</v>
      </c>
      <c r="B182" s="350">
        <f t="shared" si="117"/>
        <v>41815</v>
      </c>
      <c r="C182" s="351">
        <f t="shared" si="128"/>
        <v>26</v>
      </c>
      <c r="D182" s="352">
        <f t="shared" si="129"/>
        <v>41790</v>
      </c>
      <c r="E182" s="364" t="str">
        <f t="shared" si="104"/>
        <v/>
      </c>
      <c r="F182" s="6"/>
      <c r="G182" s="7" t="str">
        <f t="shared" si="130"/>
        <v/>
      </c>
      <c r="H182" s="8"/>
      <c r="I182" s="8">
        <f t="shared" si="126"/>
        <v>0</v>
      </c>
      <c r="J182" s="129">
        <f t="shared" si="124"/>
        <v>0</v>
      </c>
      <c r="K182" s="8"/>
      <c r="L182" s="8">
        <f t="shared" si="105"/>
        <v>0</v>
      </c>
      <c r="M182" s="129">
        <f t="shared" si="106"/>
        <v>0</v>
      </c>
      <c r="N182" s="129"/>
      <c r="O182" s="129">
        <f t="shared" si="99"/>
        <v>0</v>
      </c>
      <c r="P182" s="129"/>
      <c r="Q182" s="129">
        <f t="shared" si="107"/>
        <v>0</v>
      </c>
      <c r="R182" s="129">
        <f t="shared" si="108"/>
        <v>0</v>
      </c>
      <c r="S182" s="693">
        <f t="shared" si="109"/>
        <v>6</v>
      </c>
      <c r="T182" s="129">
        <f t="shared" si="127"/>
        <v>0</v>
      </c>
      <c r="U182" s="165">
        <f t="shared" si="110"/>
        <v>0</v>
      </c>
      <c r="V182" s="75"/>
      <c r="W182" s="131">
        <f t="shared" si="100"/>
        <v>4.1666666666666664E-2</v>
      </c>
      <c r="X182" s="126">
        <f t="shared" si="111"/>
        <v>0</v>
      </c>
      <c r="Y182" s="127">
        <f t="shared" si="131"/>
        <v>0.33333333333333331</v>
      </c>
      <c r="Z182" s="128">
        <f t="shared" si="132"/>
        <v>0</v>
      </c>
      <c r="AA182" s="76" t="str">
        <f t="shared" si="133"/>
        <v/>
      </c>
      <c r="AB182" s="216">
        <f t="shared" si="101"/>
        <v>0</v>
      </c>
      <c r="AC182" s="163" t="str">
        <f t="shared" si="134"/>
        <v/>
      </c>
      <c r="AD182" s="257">
        <f t="shared" si="118"/>
        <v>0</v>
      </c>
      <c r="AE182" s="138"/>
      <c r="AF182" s="138" t="str">
        <f t="shared" si="119"/>
        <v/>
      </c>
      <c r="AG182" s="77">
        <f t="shared" si="135"/>
        <v>0</v>
      </c>
      <c r="AH182" s="77">
        <f t="shared" si="136"/>
        <v>0</v>
      </c>
      <c r="AI182" s="77" t="str">
        <f t="shared" si="120"/>
        <v/>
      </c>
      <c r="AJ182" s="78">
        <f t="shared" si="102"/>
        <v>2</v>
      </c>
      <c r="AK182" s="139">
        <f>SUM($AC$6:AC182)</f>
        <v>0</v>
      </c>
      <c r="AL182" s="139">
        <f t="shared" ca="1" si="112"/>
        <v>0</v>
      </c>
      <c r="AM182" s="143">
        <f t="shared" si="121"/>
        <v>0</v>
      </c>
      <c r="AN182" s="143">
        <f t="shared" si="122"/>
        <v>0</v>
      </c>
      <c r="AO182" s="143">
        <f t="shared" si="123"/>
        <v>0</v>
      </c>
      <c r="AP182" s="142">
        <f t="shared" si="113"/>
        <v>30</v>
      </c>
      <c r="AQ182" s="142">
        <f t="shared" ca="1" si="114"/>
        <v>30</v>
      </c>
      <c r="AR182" s="154">
        <f t="shared" si="125"/>
        <v>0</v>
      </c>
      <c r="AS182" s="142">
        <f t="shared" si="115"/>
        <v>0</v>
      </c>
      <c r="AT182" t="b">
        <f>OR((F182&gt;0),(NOT(ISBLANK(H182))),SUM(H182:H$373),SUM(G182:G$373))</f>
        <v>0</v>
      </c>
      <c r="AU182" t="b">
        <f t="shared" ca="1" si="103"/>
        <v>0</v>
      </c>
    </row>
    <row r="183" spans="1:47">
      <c r="A183" s="349">
        <f t="shared" si="116"/>
        <v>41816</v>
      </c>
      <c r="B183" s="350">
        <f t="shared" si="117"/>
        <v>41816</v>
      </c>
      <c r="C183" s="351">
        <f t="shared" si="128"/>
        <v>26</v>
      </c>
      <c r="D183" s="352">
        <f t="shared" si="129"/>
        <v>41790</v>
      </c>
      <c r="E183" s="364" t="str">
        <f t="shared" si="104"/>
        <v/>
      </c>
      <c r="F183" s="6"/>
      <c r="G183" s="7" t="str">
        <f t="shared" si="130"/>
        <v/>
      </c>
      <c r="H183" s="8"/>
      <c r="I183" s="8">
        <f t="shared" si="126"/>
        <v>0</v>
      </c>
      <c r="J183" s="129">
        <f t="shared" si="124"/>
        <v>0</v>
      </c>
      <c r="K183" s="8"/>
      <c r="L183" s="8">
        <f t="shared" si="105"/>
        <v>0</v>
      </c>
      <c r="M183" s="129">
        <f t="shared" si="106"/>
        <v>0</v>
      </c>
      <c r="N183" s="129"/>
      <c r="O183" s="129">
        <f t="shared" si="99"/>
        <v>0</v>
      </c>
      <c r="P183" s="129"/>
      <c r="Q183" s="129">
        <f t="shared" si="107"/>
        <v>0</v>
      </c>
      <c r="R183" s="129">
        <f t="shared" si="108"/>
        <v>0</v>
      </c>
      <c r="S183" s="693">
        <f t="shared" si="109"/>
        <v>6</v>
      </c>
      <c r="T183" s="129">
        <f t="shared" si="127"/>
        <v>0</v>
      </c>
      <c r="U183" s="165">
        <f t="shared" si="110"/>
        <v>0</v>
      </c>
      <c r="V183" s="75"/>
      <c r="W183" s="131">
        <f t="shared" si="100"/>
        <v>4.1666666666666664E-2</v>
      </c>
      <c r="X183" s="126">
        <f t="shared" si="111"/>
        <v>0</v>
      </c>
      <c r="Y183" s="127">
        <f t="shared" si="131"/>
        <v>0.33333333333333331</v>
      </c>
      <c r="Z183" s="128">
        <f t="shared" si="132"/>
        <v>0</v>
      </c>
      <c r="AA183" s="76" t="str">
        <f t="shared" si="133"/>
        <v/>
      </c>
      <c r="AB183" s="216">
        <f t="shared" si="101"/>
        <v>0</v>
      </c>
      <c r="AC183" s="163" t="str">
        <f t="shared" si="134"/>
        <v/>
      </c>
      <c r="AD183" s="257">
        <f t="shared" si="118"/>
        <v>0</v>
      </c>
      <c r="AE183" s="138"/>
      <c r="AF183" s="138" t="str">
        <f t="shared" si="119"/>
        <v/>
      </c>
      <c r="AG183" s="77">
        <f t="shared" si="135"/>
        <v>0</v>
      </c>
      <c r="AH183" s="77">
        <f t="shared" si="136"/>
        <v>0</v>
      </c>
      <c r="AI183" s="77" t="str">
        <f t="shared" si="120"/>
        <v/>
      </c>
      <c r="AJ183" s="78">
        <f t="shared" si="102"/>
        <v>3</v>
      </c>
      <c r="AK183" s="139">
        <f>SUM($AC$6:AC183)</f>
        <v>0</v>
      </c>
      <c r="AL183" s="139">
        <f t="shared" ca="1" si="112"/>
        <v>0</v>
      </c>
      <c r="AM183" s="143">
        <f t="shared" si="121"/>
        <v>0</v>
      </c>
      <c r="AN183" s="143">
        <f t="shared" si="122"/>
        <v>0</v>
      </c>
      <c r="AO183" s="143">
        <f t="shared" si="123"/>
        <v>0</v>
      </c>
      <c r="AP183" s="142">
        <f t="shared" si="113"/>
        <v>30</v>
      </c>
      <c r="AQ183" s="142">
        <f t="shared" ca="1" si="114"/>
        <v>30</v>
      </c>
      <c r="AR183" s="154">
        <f t="shared" si="125"/>
        <v>0</v>
      </c>
      <c r="AS183" s="142">
        <f t="shared" si="115"/>
        <v>0</v>
      </c>
      <c r="AT183" t="b">
        <f>OR((F183&gt;0),(NOT(ISBLANK(H183))),SUM(H183:H$373),SUM(G183:G$373))</f>
        <v>0</v>
      </c>
      <c r="AU183" t="b">
        <f t="shared" ca="1" si="103"/>
        <v>0</v>
      </c>
    </row>
    <row r="184" spans="1:47">
      <c r="A184" s="349">
        <f t="shared" si="116"/>
        <v>41817</v>
      </c>
      <c r="B184" s="350">
        <f t="shared" si="117"/>
        <v>41817</v>
      </c>
      <c r="C184" s="351">
        <f t="shared" si="128"/>
        <v>26</v>
      </c>
      <c r="D184" s="352">
        <f t="shared" si="129"/>
        <v>41790</v>
      </c>
      <c r="E184" s="364" t="str">
        <f t="shared" si="104"/>
        <v/>
      </c>
      <c r="F184" s="6"/>
      <c r="G184" s="7" t="str">
        <f t="shared" si="130"/>
        <v/>
      </c>
      <c r="H184" s="8"/>
      <c r="I184" s="8">
        <f t="shared" si="126"/>
        <v>0</v>
      </c>
      <c r="J184" s="129">
        <f t="shared" si="124"/>
        <v>0</v>
      </c>
      <c r="K184" s="8"/>
      <c r="L184" s="8">
        <f t="shared" si="105"/>
        <v>0</v>
      </c>
      <c r="M184" s="129">
        <f t="shared" si="106"/>
        <v>0</v>
      </c>
      <c r="N184" s="129"/>
      <c r="O184" s="129">
        <f t="shared" si="99"/>
        <v>0</v>
      </c>
      <c r="P184" s="129"/>
      <c r="Q184" s="129">
        <f t="shared" si="107"/>
        <v>0</v>
      </c>
      <c r="R184" s="129">
        <f t="shared" si="108"/>
        <v>0</v>
      </c>
      <c r="S184" s="693">
        <f t="shared" si="109"/>
        <v>6</v>
      </c>
      <c r="T184" s="129">
        <f t="shared" si="127"/>
        <v>0</v>
      </c>
      <c r="U184" s="165">
        <f t="shared" si="110"/>
        <v>0</v>
      </c>
      <c r="V184" s="75"/>
      <c r="W184" s="131">
        <f t="shared" si="100"/>
        <v>4.1666666666666664E-2</v>
      </c>
      <c r="X184" s="126">
        <f t="shared" si="111"/>
        <v>0</v>
      </c>
      <c r="Y184" s="127">
        <f t="shared" si="131"/>
        <v>0.33333333333333331</v>
      </c>
      <c r="Z184" s="128">
        <f t="shared" si="132"/>
        <v>0</v>
      </c>
      <c r="AA184" s="76" t="str">
        <f t="shared" si="133"/>
        <v/>
      </c>
      <c r="AB184" s="216">
        <f t="shared" si="101"/>
        <v>0</v>
      </c>
      <c r="AC184" s="163" t="str">
        <f t="shared" si="134"/>
        <v/>
      </c>
      <c r="AD184" s="257">
        <f t="shared" si="118"/>
        <v>0</v>
      </c>
      <c r="AE184" s="138"/>
      <c r="AF184" s="138" t="str">
        <f t="shared" si="119"/>
        <v/>
      </c>
      <c r="AG184" s="77">
        <f t="shared" si="135"/>
        <v>0</v>
      </c>
      <c r="AH184" s="77">
        <f t="shared" si="136"/>
        <v>0</v>
      </c>
      <c r="AI184" s="77" t="str">
        <f t="shared" si="120"/>
        <v/>
      </c>
      <c r="AJ184" s="78">
        <f t="shared" si="102"/>
        <v>4</v>
      </c>
      <c r="AK184" s="139">
        <f>SUM($AC$6:AC184)</f>
        <v>0</v>
      </c>
      <c r="AL184" s="139">
        <f t="shared" ca="1" si="112"/>
        <v>0</v>
      </c>
      <c r="AM184" s="143">
        <f t="shared" si="121"/>
        <v>0</v>
      </c>
      <c r="AN184" s="143">
        <f t="shared" si="122"/>
        <v>0</v>
      </c>
      <c r="AO184" s="143">
        <f t="shared" si="123"/>
        <v>0</v>
      </c>
      <c r="AP184" s="142">
        <f t="shared" si="113"/>
        <v>30</v>
      </c>
      <c r="AQ184" s="142">
        <f t="shared" ca="1" si="114"/>
        <v>30</v>
      </c>
      <c r="AR184" s="154">
        <f t="shared" si="125"/>
        <v>0</v>
      </c>
      <c r="AS184" s="142">
        <f t="shared" si="115"/>
        <v>0</v>
      </c>
      <c r="AT184" t="b">
        <f>OR((F184&gt;0),(NOT(ISBLANK(H184))),SUM(H184:H$373),SUM(G184:G$373))</f>
        <v>0</v>
      </c>
      <c r="AU184" t="b">
        <f t="shared" ca="1" si="103"/>
        <v>0</v>
      </c>
    </row>
    <row r="185" spans="1:47">
      <c r="A185" s="349">
        <f t="shared" si="116"/>
        <v>41818</v>
      </c>
      <c r="B185" s="350">
        <f t="shared" si="117"/>
        <v>41818</v>
      </c>
      <c r="C185" s="351">
        <f t="shared" si="128"/>
        <v>26</v>
      </c>
      <c r="D185" s="352">
        <f t="shared" si="129"/>
        <v>41790</v>
      </c>
      <c r="E185" s="364" t="str">
        <f t="shared" si="104"/>
        <v/>
      </c>
      <c r="F185" s="6"/>
      <c r="G185" s="7" t="str">
        <f t="shared" si="130"/>
        <v/>
      </c>
      <c r="H185" s="8"/>
      <c r="I185" s="8">
        <f t="shared" si="126"/>
        <v>0</v>
      </c>
      <c r="J185" s="129">
        <f t="shared" si="124"/>
        <v>0</v>
      </c>
      <c r="K185" s="8"/>
      <c r="L185" s="8">
        <f t="shared" si="105"/>
        <v>0</v>
      </c>
      <c r="M185" s="129">
        <f t="shared" si="106"/>
        <v>0</v>
      </c>
      <c r="N185" s="129"/>
      <c r="O185" s="129">
        <f t="shared" si="99"/>
        <v>0</v>
      </c>
      <c r="P185" s="129"/>
      <c r="Q185" s="129">
        <f t="shared" si="107"/>
        <v>0</v>
      </c>
      <c r="R185" s="129">
        <f t="shared" si="108"/>
        <v>0</v>
      </c>
      <c r="S185" s="693">
        <f t="shared" si="109"/>
        <v>6</v>
      </c>
      <c r="T185" s="129">
        <f t="shared" si="127"/>
        <v>0</v>
      </c>
      <c r="U185" s="165">
        <f t="shared" si="110"/>
        <v>0</v>
      </c>
      <c r="V185" s="75"/>
      <c r="W185" s="131">
        <f t="shared" si="100"/>
        <v>4.1666666666666664E-2</v>
      </c>
      <c r="X185" s="126">
        <f t="shared" si="111"/>
        <v>0</v>
      </c>
      <c r="Y185" s="127">
        <f t="shared" si="131"/>
        <v>0.33333333333333331</v>
      </c>
      <c r="Z185" s="128">
        <f t="shared" si="132"/>
        <v>0</v>
      </c>
      <c r="AA185" s="76" t="str">
        <f t="shared" si="133"/>
        <v/>
      </c>
      <c r="AB185" s="216">
        <f t="shared" si="101"/>
        <v>0</v>
      </c>
      <c r="AC185" s="163" t="str">
        <f t="shared" si="134"/>
        <v/>
      </c>
      <c r="AD185" s="257">
        <f t="shared" si="118"/>
        <v>0</v>
      </c>
      <c r="AE185" s="138"/>
      <c r="AF185" s="138" t="str">
        <f t="shared" si="119"/>
        <v/>
      </c>
      <c r="AG185" s="77">
        <f t="shared" si="135"/>
        <v>0</v>
      </c>
      <c r="AH185" s="77">
        <f t="shared" si="136"/>
        <v>0</v>
      </c>
      <c r="AI185" s="77" t="str">
        <f t="shared" si="120"/>
        <v/>
      </c>
      <c r="AJ185" s="78">
        <f t="shared" si="102"/>
        <v>5</v>
      </c>
      <c r="AK185" s="139">
        <f>SUM($AC$6:AC185)</f>
        <v>0</v>
      </c>
      <c r="AL185" s="139">
        <f t="shared" ca="1" si="112"/>
        <v>0</v>
      </c>
      <c r="AM185" s="143">
        <f t="shared" si="121"/>
        <v>0</v>
      </c>
      <c r="AN185" s="143">
        <f t="shared" si="122"/>
        <v>0</v>
      </c>
      <c r="AO185" s="143">
        <f t="shared" si="123"/>
        <v>0</v>
      </c>
      <c r="AP185" s="142">
        <f t="shared" si="113"/>
        <v>30</v>
      </c>
      <c r="AQ185" s="142">
        <f t="shared" ca="1" si="114"/>
        <v>30</v>
      </c>
      <c r="AR185" s="154">
        <f t="shared" si="125"/>
        <v>0</v>
      </c>
      <c r="AS185" s="142">
        <f t="shared" si="115"/>
        <v>0</v>
      </c>
      <c r="AT185" t="b">
        <f>OR((F185&gt;0),(NOT(ISBLANK(H185))),SUM(H185:H$373),SUM(G185:G$373))</f>
        <v>0</v>
      </c>
      <c r="AU185" t="b">
        <f t="shared" ca="1" si="103"/>
        <v>0</v>
      </c>
    </row>
    <row r="186" spans="1:47">
      <c r="A186" s="349">
        <f t="shared" si="116"/>
        <v>41819</v>
      </c>
      <c r="B186" s="350">
        <f t="shared" si="117"/>
        <v>41819</v>
      </c>
      <c r="C186" s="351">
        <f t="shared" si="128"/>
        <v>26</v>
      </c>
      <c r="D186" s="352">
        <f t="shared" si="129"/>
        <v>41790</v>
      </c>
      <c r="E186" s="364" t="str">
        <f t="shared" si="104"/>
        <v/>
      </c>
      <c r="F186" s="6"/>
      <c r="G186" s="7" t="str">
        <f t="shared" si="130"/>
        <v/>
      </c>
      <c r="H186" s="8"/>
      <c r="I186" s="8">
        <f t="shared" si="126"/>
        <v>0</v>
      </c>
      <c r="J186" s="129">
        <f t="shared" si="124"/>
        <v>0</v>
      </c>
      <c r="K186" s="8"/>
      <c r="L186" s="8">
        <f t="shared" si="105"/>
        <v>0</v>
      </c>
      <c r="M186" s="129">
        <f t="shared" si="106"/>
        <v>0</v>
      </c>
      <c r="N186" s="129"/>
      <c r="O186" s="129">
        <f t="shared" si="99"/>
        <v>0</v>
      </c>
      <c r="P186" s="129"/>
      <c r="Q186" s="129">
        <f t="shared" si="107"/>
        <v>0</v>
      </c>
      <c r="R186" s="129">
        <f t="shared" si="108"/>
        <v>0</v>
      </c>
      <c r="S186" s="693">
        <f t="shared" si="109"/>
        <v>6</v>
      </c>
      <c r="T186" s="129">
        <f t="shared" si="127"/>
        <v>0</v>
      </c>
      <c r="U186" s="165">
        <f t="shared" si="110"/>
        <v>0</v>
      </c>
      <c r="V186" s="75"/>
      <c r="W186" s="131">
        <f t="shared" si="100"/>
        <v>4.1666666666666664E-2</v>
      </c>
      <c r="X186" s="126">
        <f t="shared" si="111"/>
        <v>0</v>
      </c>
      <c r="Y186" s="127">
        <f t="shared" si="131"/>
        <v>0</v>
      </c>
      <c r="Z186" s="128">
        <f t="shared" si="132"/>
        <v>0</v>
      </c>
      <c r="AA186" s="76" t="str">
        <f t="shared" si="133"/>
        <v/>
      </c>
      <c r="AB186" s="216">
        <f t="shared" si="101"/>
        <v>0</v>
      </c>
      <c r="AC186" s="163" t="str">
        <f t="shared" si="134"/>
        <v/>
      </c>
      <c r="AD186" s="257">
        <f t="shared" si="118"/>
        <v>0</v>
      </c>
      <c r="AE186" s="138"/>
      <c r="AF186" s="138" t="str">
        <f t="shared" si="119"/>
        <v/>
      </c>
      <c r="AG186" s="77">
        <f t="shared" si="135"/>
        <v>0</v>
      </c>
      <c r="AH186" s="77">
        <f t="shared" si="136"/>
        <v>0</v>
      </c>
      <c r="AI186" s="77" t="str">
        <f t="shared" si="120"/>
        <v/>
      </c>
      <c r="AJ186" s="78">
        <f t="shared" si="102"/>
        <v>6</v>
      </c>
      <c r="AK186" s="139">
        <f>SUM($AC$6:AC186)</f>
        <v>0</v>
      </c>
      <c r="AL186" s="139">
        <f t="shared" ca="1" si="112"/>
        <v>0</v>
      </c>
      <c r="AM186" s="143">
        <f t="shared" si="121"/>
        <v>0</v>
      </c>
      <c r="AN186" s="143">
        <f t="shared" si="122"/>
        <v>0</v>
      </c>
      <c r="AO186" s="143">
        <f t="shared" si="123"/>
        <v>0</v>
      </c>
      <c r="AP186" s="142">
        <f t="shared" si="113"/>
        <v>30</v>
      </c>
      <c r="AQ186" s="142">
        <f t="shared" ca="1" si="114"/>
        <v>30</v>
      </c>
      <c r="AR186" s="154">
        <f t="shared" si="125"/>
        <v>0</v>
      </c>
      <c r="AS186" s="142">
        <f t="shared" si="115"/>
        <v>7</v>
      </c>
      <c r="AT186" t="b">
        <f>OR((F186&gt;0),(NOT(ISBLANK(H186))),SUM(H186:H$373),SUM(G186:G$373))</f>
        <v>0</v>
      </c>
      <c r="AU186" t="b">
        <f t="shared" ca="1" si="103"/>
        <v>1</v>
      </c>
    </row>
    <row r="187" spans="1:47">
      <c r="A187" s="349">
        <f t="shared" si="116"/>
        <v>41820</v>
      </c>
      <c r="B187" s="350">
        <f t="shared" si="117"/>
        <v>41820</v>
      </c>
      <c r="C187" s="351">
        <f t="shared" si="128"/>
        <v>26</v>
      </c>
      <c r="D187" s="352">
        <f t="shared" si="129"/>
        <v>41820</v>
      </c>
      <c r="E187" s="364" t="str">
        <f t="shared" si="104"/>
        <v/>
      </c>
      <c r="F187" s="6"/>
      <c r="G187" s="7" t="str">
        <f t="shared" si="130"/>
        <v/>
      </c>
      <c r="H187" s="8"/>
      <c r="I187" s="8">
        <f t="shared" si="126"/>
        <v>0</v>
      </c>
      <c r="J187" s="129">
        <f t="shared" si="124"/>
        <v>0</v>
      </c>
      <c r="K187" s="8"/>
      <c r="L187" s="8">
        <f t="shared" si="105"/>
        <v>0</v>
      </c>
      <c r="M187" s="129">
        <f t="shared" si="106"/>
        <v>0</v>
      </c>
      <c r="N187" s="129"/>
      <c r="O187" s="129">
        <f t="shared" si="99"/>
        <v>0</v>
      </c>
      <c r="P187" s="129"/>
      <c r="Q187" s="129">
        <f t="shared" si="107"/>
        <v>0</v>
      </c>
      <c r="R187" s="129">
        <f t="shared" si="108"/>
        <v>0</v>
      </c>
      <c r="S187" s="693">
        <f t="shared" si="109"/>
        <v>6</v>
      </c>
      <c r="T187" s="129">
        <f t="shared" si="127"/>
        <v>0</v>
      </c>
      <c r="U187" s="165">
        <f t="shared" si="110"/>
        <v>0</v>
      </c>
      <c r="V187" s="75"/>
      <c r="W187" s="131">
        <f t="shared" si="100"/>
        <v>4.1666666666666664E-2</v>
      </c>
      <c r="X187" s="126">
        <f t="shared" si="111"/>
        <v>0</v>
      </c>
      <c r="Y187" s="127">
        <f t="shared" si="131"/>
        <v>0</v>
      </c>
      <c r="Z187" s="128">
        <f t="shared" si="132"/>
        <v>0</v>
      </c>
      <c r="AA187" s="76" t="str">
        <f t="shared" si="133"/>
        <v/>
      </c>
      <c r="AB187" s="216">
        <f t="shared" si="101"/>
        <v>0</v>
      </c>
      <c r="AC187" s="163" t="str">
        <f t="shared" si="134"/>
        <v/>
      </c>
      <c r="AD187" s="257">
        <f t="shared" si="118"/>
        <v>0</v>
      </c>
      <c r="AE187" s="138"/>
      <c r="AF187" s="138" t="str">
        <f t="shared" si="119"/>
        <v/>
      </c>
      <c r="AG187" s="77">
        <f t="shared" si="135"/>
        <v>0</v>
      </c>
      <c r="AH187" s="77">
        <f t="shared" si="136"/>
        <v>0</v>
      </c>
      <c r="AI187" s="77" t="str">
        <f t="shared" si="120"/>
        <v/>
      </c>
      <c r="AJ187" s="78">
        <f t="shared" si="102"/>
        <v>7</v>
      </c>
      <c r="AK187" s="139">
        <f>SUM($AC$6:AC187)</f>
        <v>0</v>
      </c>
      <c r="AL187" s="139">
        <f t="shared" ca="1" si="112"/>
        <v>0</v>
      </c>
      <c r="AM187" s="143">
        <f t="shared" si="121"/>
        <v>0</v>
      </c>
      <c r="AN187" s="143">
        <f t="shared" si="122"/>
        <v>0</v>
      </c>
      <c r="AO187" s="143">
        <f t="shared" si="123"/>
        <v>0</v>
      </c>
      <c r="AP187" s="142">
        <f t="shared" si="113"/>
        <v>30</v>
      </c>
      <c r="AQ187" s="142">
        <f t="shared" ca="1" si="114"/>
        <v>30</v>
      </c>
      <c r="AR187" s="154">
        <f t="shared" si="125"/>
        <v>0</v>
      </c>
      <c r="AS187" s="142">
        <f t="shared" si="115"/>
        <v>7</v>
      </c>
      <c r="AT187" t="b">
        <f>OR((F187&gt;0),(NOT(ISBLANK(H187))),SUM(H187:H$373),SUM(G187:G$373))</f>
        <v>0</v>
      </c>
      <c r="AU187" t="b">
        <f t="shared" ca="1" si="103"/>
        <v>1</v>
      </c>
    </row>
    <row r="188" spans="1:47">
      <c r="A188" s="349">
        <f t="shared" si="116"/>
        <v>41821</v>
      </c>
      <c r="B188" s="350">
        <f t="shared" si="117"/>
        <v>41821</v>
      </c>
      <c r="C188" s="351">
        <f t="shared" si="128"/>
        <v>27</v>
      </c>
      <c r="D188" s="352">
        <f t="shared" si="129"/>
        <v>41820</v>
      </c>
      <c r="E188" s="364" t="str">
        <f t="shared" si="104"/>
        <v/>
      </c>
      <c r="F188" s="6"/>
      <c r="G188" s="7" t="str">
        <f t="shared" si="130"/>
        <v/>
      </c>
      <c r="H188" s="8"/>
      <c r="I188" s="8">
        <f t="shared" si="126"/>
        <v>0</v>
      </c>
      <c r="J188" s="129">
        <f t="shared" si="124"/>
        <v>0</v>
      </c>
      <c r="K188" s="8"/>
      <c r="L188" s="8">
        <f t="shared" si="105"/>
        <v>0</v>
      </c>
      <c r="M188" s="129">
        <f t="shared" si="106"/>
        <v>0</v>
      </c>
      <c r="N188" s="129"/>
      <c r="O188" s="129">
        <f t="shared" si="99"/>
        <v>0</v>
      </c>
      <c r="P188" s="129"/>
      <c r="Q188" s="129">
        <f t="shared" si="107"/>
        <v>0</v>
      </c>
      <c r="R188" s="129">
        <f t="shared" si="108"/>
        <v>0</v>
      </c>
      <c r="S188" s="693">
        <f t="shared" si="109"/>
        <v>6</v>
      </c>
      <c r="T188" s="129">
        <f t="shared" si="127"/>
        <v>0</v>
      </c>
      <c r="U188" s="165">
        <f t="shared" si="110"/>
        <v>0</v>
      </c>
      <c r="V188" s="75"/>
      <c r="W188" s="131">
        <f t="shared" si="100"/>
        <v>4.1666666666666664E-2</v>
      </c>
      <c r="X188" s="126">
        <f t="shared" si="111"/>
        <v>0</v>
      </c>
      <c r="Y188" s="127">
        <f t="shared" si="131"/>
        <v>0.33333333333333331</v>
      </c>
      <c r="Z188" s="128">
        <f t="shared" si="132"/>
        <v>0</v>
      </c>
      <c r="AA188" s="76" t="str">
        <f t="shared" si="133"/>
        <v/>
      </c>
      <c r="AB188" s="216">
        <f t="shared" si="101"/>
        <v>0</v>
      </c>
      <c r="AC188" s="163" t="str">
        <f t="shared" si="134"/>
        <v/>
      </c>
      <c r="AD188" s="257">
        <f t="shared" si="118"/>
        <v>0</v>
      </c>
      <c r="AE188" s="138"/>
      <c r="AF188" s="138" t="str">
        <f t="shared" si="119"/>
        <v/>
      </c>
      <c r="AG188" s="77">
        <f t="shared" si="135"/>
        <v>0</v>
      </c>
      <c r="AH188" s="77">
        <f t="shared" si="136"/>
        <v>0</v>
      </c>
      <c r="AI188" s="77" t="str">
        <f t="shared" si="120"/>
        <v/>
      </c>
      <c r="AJ188" s="78">
        <f t="shared" si="102"/>
        <v>1</v>
      </c>
      <c r="AK188" s="139">
        <f>SUM($AC$6:AC188)</f>
        <v>0</v>
      </c>
      <c r="AL188" s="139">
        <f t="shared" ca="1" si="112"/>
        <v>0</v>
      </c>
      <c r="AM188" s="143">
        <f t="shared" si="121"/>
        <v>0</v>
      </c>
      <c r="AN188" s="143">
        <f t="shared" si="122"/>
        <v>0</v>
      </c>
      <c r="AO188" s="143">
        <f t="shared" si="123"/>
        <v>0</v>
      </c>
      <c r="AP188" s="142">
        <f t="shared" si="113"/>
        <v>30</v>
      </c>
      <c r="AQ188" s="142">
        <f t="shared" ca="1" si="114"/>
        <v>30</v>
      </c>
      <c r="AR188" s="154">
        <f t="shared" si="125"/>
        <v>0</v>
      </c>
      <c r="AS188" s="142">
        <f t="shared" si="115"/>
        <v>0</v>
      </c>
      <c r="AT188" t="b">
        <f>OR((F188&gt;0),(NOT(ISBLANK(H188))),SUM(H188:H$373),SUM(G188:G$373))</f>
        <v>0</v>
      </c>
      <c r="AU188" t="b">
        <f t="shared" ca="1" si="103"/>
        <v>0</v>
      </c>
    </row>
    <row r="189" spans="1:47">
      <c r="A189" s="349">
        <f t="shared" si="116"/>
        <v>41822</v>
      </c>
      <c r="B189" s="350">
        <f t="shared" si="117"/>
        <v>41822</v>
      </c>
      <c r="C189" s="351">
        <f t="shared" si="128"/>
        <v>27</v>
      </c>
      <c r="D189" s="352">
        <f t="shared" si="129"/>
        <v>41820</v>
      </c>
      <c r="E189" s="364" t="str">
        <f t="shared" si="104"/>
        <v/>
      </c>
      <c r="F189" s="6"/>
      <c r="G189" s="7" t="str">
        <f t="shared" si="130"/>
        <v/>
      </c>
      <c r="H189" s="8"/>
      <c r="I189" s="8">
        <f t="shared" si="126"/>
        <v>0</v>
      </c>
      <c r="J189" s="129">
        <f t="shared" si="124"/>
        <v>0</v>
      </c>
      <c r="K189" s="8"/>
      <c r="L189" s="8">
        <f t="shared" si="105"/>
        <v>0</v>
      </c>
      <c r="M189" s="129">
        <f t="shared" si="106"/>
        <v>0</v>
      </c>
      <c r="N189" s="129"/>
      <c r="O189" s="129">
        <f t="shared" si="99"/>
        <v>0</v>
      </c>
      <c r="P189" s="129"/>
      <c r="Q189" s="129">
        <f t="shared" si="107"/>
        <v>0</v>
      </c>
      <c r="R189" s="129">
        <f t="shared" si="108"/>
        <v>0</v>
      </c>
      <c r="S189" s="693">
        <f t="shared" si="109"/>
        <v>6</v>
      </c>
      <c r="T189" s="129">
        <f t="shared" si="127"/>
        <v>0</v>
      </c>
      <c r="U189" s="165">
        <f t="shared" si="110"/>
        <v>0</v>
      </c>
      <c r="V189" s="75"/>
      <c r="W189" s="131">
        <f t="shared" si="100"/>
        <v>4.1666666666666664E-2</v>
      </c>
      <c r="X189" s="126">
        <f t="shared" si="111"/>
        <v>0</v>
      </c>
      <c r="Y189" s="127">
        <f t="shared" si="131"/>
        <v>0.33333333333333331</v>
      </c>
      <c r="Z189" s="128">
        <f t="shared" si="132"/>
        <v>0</v>
      </c>
      <c r="AA189" s="76" t="str">
        <f t="shared" si="133"/>
        <v/>
      </c>
      <c r="AB189" s="216">
        <f t="shared" si="101"/>
        <v>0</v>
      </c>
      <c r="AC189" s="163" t="str">
        <f t="shared" si="134"/>
        <v/>
      </c>
      <c r="AD189" s="257">
        <f t="shared" si="118"/>
        <v>0</v>
      </c>
      <c r="AE189" s="138"/>
      <c r="AF189" s="138" t="str">
        <f t="shared" si="119"/>
        <v/>
      </c>
      <c r="AG189" s="77">
        <f t="shared" si="135"/>
        <v>0</v>
      </c>
      <c r="AH189" s="77">
        <f t="shared" si="136"/>
        <v>0</v>
      </c>
      <c r="AI189" s="77" t="str">
        <f t="shared" si="120"/>
        <v/>
      </c>
      <c r="AJ189" s="78">
        <f t="shared" si="102"/>
        <v>2</v>
      </c>
      <c r="AK189" s="139">
        <f>SUM($AC$6:AC189)</f>
        <v>0</v>
      </c>
      <c r="AL189" s="139">
        <f t="shared" ca="1" si="112"/>
        <v>0</v>
      </c>
      <c r="AM189" s="143">
        <f t="shared" si="121"/>
        <v>0</v>
      </c>
      <c r="AN189" s="143">
        <f t="shared" si="122"/>
        <v>0</v>
      </c>
      <c r="AO189" s="143">
        <f t="shared" si="123"/>
        <v>0</v>
      </c>
      <c r="AP189" s="142">
        <f t="shared" si="113"/>
        <v>30</v>
      </c>
      <c r="AQ189" s="142">
        <f t="shared" ca="1" si="114"/>
        <v>30</v>
      </c>
      <c r="AR189" s="154">
        <f t="shared" si="125"/>
        <v>0</v>
      </c>
      <c r="AS189" s="142">
        <f t="shared" si="115"/>
        <v>0</v>
      </c>
      <c r="AT189" t="b">
        <f>OR((F189&gt;0),(NOT(ISBLANK(H189))),SUM(H189:H$373),SUM(G189:G$373))</f>
        <v>0</v>
      </c>
      <c r="AU189" t="b">
        <f t="shared" ca="1" si="103"/>
        <v>0</v>
      </c>
    </row>
    <row r="190" spans="1:47">
      <c r="A190" s="349">
        <f t="shared" si="116"/>
        <v>41823</v>
      </c>
      <c r="B190" s="350">
        <f t="shared" si="117"/>
        <v>41823</v>
      </c>
      <c r="C190" s="351">
        <f t="shared" si="128"/>
        <v>27</v>
      </c>
      <c r="D190" s="352">
        <f t="shared" si="129"/>
        <v>41820</v>
      </c>
      <c r="E190" s="364" t="str">
        <f t="shared" si="104"/>
        <v/>
      </c>
      <c r="F190" s="6"/>
      <c r="G190" s="7" t="str">
        <f t="shared" si="130"/>
        <v/>
      </c>
      <c r="H190" s="8"/>
      <c r="I190" s="8">
        <f t="shared" si="126"/>
        <v>0</v>
      </c>
      <c r="J190" s="129">
        <f t="shared" si="124"/>
        <v>0</v>
      </c>
      <c r="K190" s="8"/>
      <c r="L190" s="8">
        <f t="shared" si="105"/>
        <v>0</v>
      </c>
      <c r="M190" s="129">
        <f t="shared" si="106"/>
        <v>0</v>
      </c>
      <c r="N190" s="129"/>
      <c r="O190" s="129">
        <f t="shared" si="99"/>
        <v>0</v>
      </c>
      <c r="P190" s="129"/>
      <c r="Q190" s="129">
        <f t="shared" si="107"/>
        <v>0</v>
      </c>
      <c r="R190" s="129">
        <f t="shared" si="108"/>
        <v>0</v>
      </c>
      <c r="S190" s="693">
        <f t="shared" si="109"/>
        <v>6</v>
      </c>
      <c r="T190" s="129">
        <f t="shared" si="127"/>
        <v>0</v>
      </c>
      <c r="U190" s="165">
        <f t="shared" si="110"/>
        <v>0</v>
      </c>
      <c r="V190" s="75"/>
      <c r="W190" s="131">
        <f t="shared" si="100"/>
        <v>4.1666666666666664E-2</v>
      </c>
      <c r="X190" s="126">
        <f t="shared" si="111"/>
        <v>0</v>
      </c>
      <c r="Y190" s="127">
        <f t="shared" si="131"/>
        <v>0.33333333333333331</v>
      </c>
      <c r="Z190" s="128">
        <f t="shared" si="132"/>
        <v>0</v>
      </c>
      <c r="AA190" s="76" t="str">
        <f t="shared" si="133"/>
        <v/>
      </c>
      <c r="AB190" s="216">
        <f t="shared" si="101"/>
        <v>0</v>
      </c>
      <c r="AC190" s="163" t="str">
        <f t="shared" si="134"/>
        <v/>
      </c>
      <c r="AD190" s="257">
        <f t="shared" si="118"/>
        <v>0</v>
      </c>
      <c r="AE190" s="138"/>
      <c r="AF190" s="138" t="str">
        <f t="shared" si="119"/>
        <v/>
      </c>
      <c r="AG190" s="77">
        <f t="shared" si="135"/>
        <v>0</v>
      </c>
      <c r="AH190" s="77">
        <f t="shared" si="136"/>
        <v>0</v>
      </c>
      <c r="AI190" s="77" t="str">
        <f t="shared" si="120"/>
        <v/>
      </c>
      <c r="AJ190" s="78">
        <f t="shared" si="102"/>
        <v>3</v>
      </c>
      <c r="AK190" s="139">
        <f>SUM($AC$6:AC190)</f>
        <v>0</v>
      </c>
      <c r="AL190" s="139">
        <f t="shared" ca="1" si="112"/>
        <v>0</v>
      </c>
      <c r="AM190" s="143">
        <f t="shared" si="121"/>
        <v>0</v>
      </c>
      <c r="AN190" s="143">
        <f t="shared" si="122"/>
        <v>0</v>
      </c>
      <c r="AO190" s="143">
        <f t="shared" si="123"/>
        <v>0</v>
      </c>
      <c r="AP190" s="142">
        <f t="shared" si="113"/>
        <v>30</v>
      </c>
      <c r="AQ190" s="142">
        <f t="shared" ca="1" si="114"/>
        <v>30</v>
      </c>
      <c r="AR190" s="154">
        <f t="shared" si="125"/>
        <v>0</v>
      </c>
      <c r="AS190" s="142">
        <f t="shared" si="115"/>
        <v>0</v>
      </c>
      <c r="AT190" t="b">
        <f>OR((F190&gt;0),(NOT(ISBLANK(H190))),SUM(H190:H$373),SUM(G190:G$373))</f>
        <v>0</v>
      </c>
      <c r="AU190" t="b">
        <f t="shared" ca="1" si="103"/>
        <v>0</v>
      </c>
    </row>
    <row r="191" spans="1:47">
      <c r="A191" s="349">
        <f t="shared" si="116"/>
        <v>41824</v>
      </c>
      <c r="B191" s="350">
        <f t="shared" si="117"/>
        <v>41824</v>
      </c>
      <c r="C191" s="351">
        <f t="shared" si="128"/>
        <v>27</v>
      </c>
      <c r="D191" s="352">
        <f t="shared" si="129"/>
        <v>41820</v>
      </c>
      <c r="E191" s="364" t="str">
        <f t="shared" si="104"/>
        <v/>
      </c>
      <c r="F191" s="6"/>
      <c r="G191" s="7" t="str">
        <f t="shared" si="130"/>
        <v/>
      </c>
      <c r="H191" s="8"/>
      <c r="I191" s="8">
        <f t="shared" si="126"/>
        <v>0</v>
      </c>
      <c r="J191" s="129">
        <f t="shared" si="124"/>
        <v>0</v>
      </c>
      <c r="K191" s="8"/>
      <c r="L191" s="8">
        <f t="shared" si="105"/>
        <v>0</v>
      </c>
      <c r="M191" s="129">
        <f t="shared" si="106"/>
        <v>0</v>
      </c>
      <c r="N191" s="129"/>
      <c r="O191" s="129">
        <f t="shared" si="99"/>
        <v>0</v>
      </c>
      <c r="P191" s="129"/>
      <c r="Q191" s="129">
        <f t="shared" si="107"/>
        <v>0</v>
      </c>
      <c r="R191" s="129">
        <f t="shared" si="108"/>
        <v>0</v>
      </c>
      <c r="S191" s="693">
        <f t="shared" si="109"/>
        <v>6</v>
      </c>
      <c r="T191" s="129">
        <f t="shared" si="127"/>
        <v>0</v>
      </c>
      <c r="U191" s="165">
        <f t="shared" si="110"/>
        <v>0</v>
      </c>
      <c r="V191" s="75"/>
      <c r="W191" s="131">
        <f t="shared" si="100"/>
        <v>4.1666666666666664E-2</v>
      </c>
      <c r="X191" s="126">
        <f t="shared" si="111"/>
        <v>0</v>
      </c>
      <c r="Y191" s="127">
        <f t="shared" si="131"/>
        <v>0.33333333333333331</v>
      </c>
      <c r="Z191" s="128">
        <f t="shared" si="132"/>
        <v>0</v>
      </c>
      <c r="AA191" s="76" t="str">
        <f t="shared" si="133"/>
        <v/>
      </c>
      <c r="AB191" s="216">
        <f t="shared" si="101"/>
        <v>0</v>
      </c>
      <c r="AC191" s="163" t="str">
        <f t="shared" si="134"/>
        <v/>
      </c>
      <c r="AD191" s="257">
        <f t="shared" si="118"/>
        <v>0</v>
      </c>
      <c r="AE191" s="138"/>
      <c r="AF191" s="138" t="str">
        <f t="shared" si="119"/>
        <v/>
      </c>
      <c r="AG191" s="77">
        <f t="shared" si="135"/>
        <v>0</v>
      </c>
      <c r="AH191" s="77">
        <f t="shared" si="136"/>
        <v>0</v>
      </c>
      <c r="AI191" s="77" t="str">
        <f t="shared" si="120"/>
        <v/>
      </c>
      <c r="AJ191" s="78">
        <f t="shared" si="102"/>
        <v>4</v>
      </c>
      <c r="AK191" s="139">
        <f>SUM($AC$6:AC191)</f>
        <v>0</v>
      </c>
      <c r="AL191" s="139">
        <f t="shared" ca="1" si="112"/>
        <v>0</v>
      </c>
      <c r="AM191" s="143">
        <f t="shared" si="121"/>
        <v>0</v>
      </c>
      <c r="AN191" s="143">
        <f t="shared" si="122"/>
        <v>0</v>
      </c>
      <c r="AO191" s="143">
        <f t="shared" si="123"/>
        <v>0</v>
      </c>
      <c r="AP191" s="142">
        <f t="shared" si="113"/>
        <v>30</v>
      </c>
      <c r="AQ191" s="142">
        <f t="shared" ca="1" si="114"/>
        <v>30</v>
      </c>
      <c r="AR191" s="154">
        <f t="shared" si="125"/>
        <v>0</v>
      </c>
      <c r="AS191" s="142">
        <f t="shared" si="115"/>
        <v>0</v>
      </c>
      <c r="AT191" t="b">
        <f>OR((F191&gt;0),(NOT(ISBLANK(H191))),SUM(H191:H$373),SUM(G191:G$373))</f>
        <v>0</v>
      </c>
      <c r="AU191" t="b">
        <f t="shared" ca="1" si="103"/>
        <v>0</v>
      </c>
    </row>
    <row r="192" spans="1:47">
      <c r="A192" s="349">
        <f t="shared" si="116"/>
        <v>41825</v>
      </c>
      <c r="B192" s="350">
        <f t="shared" si="117"/>
        <v>41825</v>
      </c>
      <c r="C192" s="351">
        <f t="shared" si="128"/>
        <v>27</v>
      </c>
      <c r="D192" s="352">
        <f t="shared" si="129"/>
        <v>41820</v>
      </c>
      <c r="E192" s="364" t="str">
        <f t="shared" si="104"/>
        <v/>
      </c>
      <c r="F192" s="6"/>
      <c r="G192" s="7" t="str">
        <f t="shared" si="130"/>
        <v/>
      </c>
      <c r="H192" s="8"/>
      <c r="I192" s="8">
        <f t="shared" si="126"/>
        <v>0</v>
      </c>
      <c r="J192" s="129">
        <f t="shared" si="124"/>
        <v>0</v>
      </c>
      <c r="K192" s="8"/>
      <c r="L192" s="8">
        <f t="shared" si="105"/>
        <v>0</v>
      </c>
      <c r="M192" s="129">
        <f t="shared" si="106"/>
        <v>0</v>
      </c>
      <c r="N192" s="129"/>
      <c r="O192" s="129">
        <f t="shared" si="99"/>
        <v>0</v>
      </c>
      <c r="P192" s="129"/>
      <c r="Q192" s="129">
        <f t="shared" si="107"/>
        <v>0</v>
      </c>
      <c r="R192" s="129">
        <f t="shared" si="108"/>
        <v>0</v>
      </c>
      <c r="S192" s="693">
        <f t="shared" si="109"/>
        <v>6</v>
      </c>
      <c r="T192" s="129">
        <f t="shared" si="127"/>
        <v>0</v>
      </c>
      <c r="U192" s="165">
        <f t="shared" si="110"/>
        <v>0</v>
      </c>
      <c r="V192" s="75"/>
      <c r="W192" s="131">
        <f t="shared" si="100"/>
        <v>4.1666666666666664E-2</v>
      </c>
      <c r="X192" s="126">
        <f t="shared" si="111"/>
        <v>0</v>
      </c>
      <c r="Y192" s="127">
        <f t="shared" si="131"/>
        <v>0.33333333333333331</v>
      </c>
      <c r="Z192" s="128">
        <f t="shared" si="132"/>
        <v>0</v>
      </c>
      <c r="AA192" s="76" t="str">
        <f t="shared" si="133"/>
        <v/>
      </c>
      <c r="AB192" s="216">
        <f t="shared" si="101"/>
        <v>0</v>
      </c>
      <c r="AC192" s="163" t="str">
        <f t="shared" si="134"/>
        <v/>
      </c>
      <c r="AD192" s="257">
        <f t="shared" si="118"/>
        <v>0</v>
      </c>
      <c r="AE192" s="138"/>
      <c r="AF192" s="138" t="str">
        <f t="shared" si="119"/>
        <v/>
      </c>
      <c r="AG192" s="77">
        <f t="shared" si="135"/>
        <v>0</v>
      </c>
      <c r="AH192" s="77">
        <f t="shared" si="136"/>
        <v>0</v>
      </c>
      <c r="AI192" s="77" t="str">
        <f t="shared" si="120"/>
        <v/>
      </c>
      <c r="AJ192" s="78">
        <f t="shared" si="102"/>
        <v>5</v>
      </c>
      <c r="AK192" s="139">
        <f>SUM($AC$6:AC192)</f>
        <v>0</v>
      </c>
      <c r="AL192" s="139">
        <f t="shared" ca="1" si="112"/>
        <v>0</v>
      </c>
      <c r="AM192" s="143">
        <f t="shared" si="121"/>
        <v>0</v>
      </c>
      <c r="AN192" s="143">
        <f t="shared" si="122"/>
        <v>0</v>
      </c>
      <c r="AO192" s="143">
        <f t="shared" si="123"/>
        <v>0</v>
      </c>
      <c r="AP192" s="142">
        <f t="shared" si="113"/>
        <v>30</v>
      </c>
      <c r="AQ192" s="142">
        <f t="shared" ca="1" si="114"/>
        <v>30</v>
      </c>
      <c r="AR192" s="154">
        <f t="shared" si="125"/>
        <v>0</v>
      </c>
      <c r="AS192" s="142">
        <f t="shared" si="115"/>
        <v>0</v>
      </c>
      <c r="AT192" t="b">
        <f>OR((F192&gt;0),(NOT(ISBLANK(H192))),SUM(H192:H$373),SUM(G192:G$373))</f>
        <v>0</v>
      </c>
      <c r="AU192" t="b">
        <f t="shared" ca="1" si="103"/>
        <v>0</v>
      </c>
    </row>
    <row r="193" spans="1:47">
      <c r="A193" s="349">
        <f t="shared" si="116"/>
        <v>41826</v>
      </c>
      <c r="B193" s="350">
        <f t="shared" si="117"/>
        <v>41826</v>
      </c>
      <c r="C193" s="351">
        <f t="shared" si="128"/>
        <v>27</v>
      </c>
      <c r="D193" s="352">
        <f t="shared" si="129"/>
        <v>41820</v>
      </c>
      <c r="E193" s="364" t="str">
        <f t="shared" si="104"/>
        <v/>
      </c>
      <c r="F193" s="6"/>
      <c r="G193" s="7" t="str">
        <f t="shared" si="130"/>
        <v/>
      </c>
      <c r="H193" s="8"/>
      <c r="I193" s="8">
        <f t="shared" si="126"/>
        <v>0</v>
      </c>
      <c r="J193" s="129">
        <f t="shared" si="124"/>
        <v>0</v>
      </c>
      <c r="K193" s="8"/>
      <c r="L193" s="8">
        <f t="shared" si="105"/>
        <v>0</v>
      </c>
      <c r="M193" s="129">
        <f t="shared" si="106"/>
        <v>0</v>
      </c>
      <c r="N193" s="129"/>
      <c r="O193" s="129">
        <f t="shared" si="99"/>
        <v>0</v>
      </c>
      <c r="P193" s="129"/>
      <c r="Q193" s="129">
        <f t="shared" si="107"/>
        <v>0</v>
      </c>
      <c r="R193" s="129">
        <f t="shared" si="108"/>
        <v>0</v>
      </c>
      <c r="S193" s="693">
        <f t="shared" si="109"/>
        <v>6</v>
      </c>
      <c r="T193" s="129">
        <f t="shared" si="127"/>
        <v>0</v>
      </c>
      <c r="U193" s="165">
        <f t="shared" si="110"/>
        <v>0</v>
      </c>
      <c r="V193" s="75"/>
      <c r="W193" s="131">
        <f t="shared" si="100"/>
        <v>4.1666666666666664E-2</v>
      </c>
      <c r="X193" s="126">
        <f t="shared" si="111"/>
        <v>0</v>
      </c>
      <c r="Y193" s="127">
        <f t="shared" si="131"/>
        <v>0</v>
      </c>
      <c r="Z193" s="128">
        <f t="shared" si="132"/>
        <v>0</v>
      </c>
      <c r="AA193" s="76" t="str">
        <f t="shared" si="133"/>
        <v/>
      </c>
      <c r="AB193" s="216">
        <f t="shared" si="101"/>
        <v>0</v>
      </c>
      <c r="AC193" s="163" t="str">
        <f t="shared" si="134"/>
        <v/>
      </c>
      <c r="AD193" s="257">
        <f t="shared" si="118"/>
        <v>0</v>
      </c>
      <c r="AE193" s="138"/>
      <c r="AF193" s="138" t="str">
        <f t="shared" si="119"/>
        <v/>
      </c>
      <c r="AG193" s="77">
        <f t="shared" si="135"/>
        <v>0</v>
      </c>
      <c r="AH193" s="77">
        <f t="shared" si="136"/>
        <v>0</v>
      </c>
      <c r="AI193" s="77" t="str">
        <f t="shared" si="120"/>
        <v/>
      </c>
      <c r="AJ193" s="78">
        <f t="shared" si="102"/>
        <v>6</v>
      </c>
      <c r="AK193" s="139">
        <f>SUM($AC$6:AC193)</f>
        <v>0</v>
      </c>
      <c r="AL193" s="139">
        <f t="shared" ca="1" si="112"/>
        <v>0</v>
      </c>
      <c r="AM193" s="143">
        <f t="shared" si="121"/>
        <v>0</v>
      </c>
      <c r="AN193" s="143">
        <f t="shared" si="122"/>
        <v>0</v>
      </c>
      <c r="AO193" s="143">
        <f t="shared" si="123"/>
        <v>0</v>
      </c>
      <c r="AP193" s="142">
        <f t="shared" si="113"/>
        <v>30</v>
      </c>
      <c r="AQ193" s="142">
        <f t="shared" ca="1" si="114"/>
        <v>30</v>
      </c>
      <c r="AR193" s="154">
        <f t="shared" si="125"/>
        <v>0</v>
      </c>
      <c r="AS193" s="142">
        <f t="shared" si="115"/>
        <v>7</v>
      </c>
      <c r="AT193" t="b">
        <f>OR((F193&gt;0),(NOT(ISBLANK(H193))),SUM(H193:H$373),SUM(G193:G$373))</f>
        <v>0</v>
      </c>
      <c r="AU193" t="b">
        <f t="shared" ca="1" si="103"/>
        <v>1</v>
      </c>
    </row>
    <row r="194" spans="1:47">
      <c r="A194" s="349">
        <f t="shared" si="116"/>
        <v>41827</v>
      </c>
      <c r="B194" s="350">
        <f t="shared" si="117"/>
        <v>41827</v>
      </c>
      <c r="C194" s="351">
        <f t="shared" si="128"/>
        <v>27</v>
      </c>
      <c r="D194" s="352">
        <f t="shared" si="129"/>
        <v>41820</v>
      </c>
      <c r="E194" s="364" t="str">
        <f t="shared" si="104"/>
        <v/>
      </c>
      <c r="F194" s="6"/>
      <c r="G194" s="7" t="str">
        <f t="shared" si="130"/>
        <v/>
      </c>
      <c r="H194" s="8"/>
      <c r="I194" s="8">
        <f t="shared" si="126"/>
        <v>0</v>
      </c>
      <c r="J194" s="129">
        <f t="shared" si="124"/>
        <v>0</v>
      </c>
      <c r="K194" s="8"/>
      <c r="L194" s="8">
        <f t="shared" si="105"/>
        <v>0</v>
      </c>
      <c r="M194" s="129">
        <f t="shared" si="106"/>
        <v>0</v>
      </c>
      <c r="N194" s="129"/>
      <c r="O194" s="129">
        <f t="shared" si="99"/>
        <v>0</v>
      </c>
      <c r="P194" s="129"/>
      <c r="Q194" s="129">
        <f t="shared" si="107"/>
        <v>0</v>
      </c>
      <c r="R194" s="129">
        <f t="shared" si="108"/>
        <v>0</v>
      </c>
      <c r="S194" s="693">
        <f t="shared" si="109"/>
        <v>6</v>
      </c>
      <c r="T194" s="129">
        <f t="shared" si="127"/>
        <v>0</v>
      </c>
      <c r="U194" s="165">
        <f t="shared" si="110"/>
        <v>0</v>
      </c>
      <c r="V194" s="75"/>
      <c r="W194" s="131">
        <f t="shared" si="100"/>
        <v>4.1666666666666664E-2</v>
      </c>
      <c r="X194" s="126">
        <f t="shared" si="111"/>
        <v>0</v>
      </c>
      <c r="Y194" s="127">
        <f t="shared" si="131"/>
        <v>0</v>
      </c>
      <c r="Z194" s="128">
        <f t="shared" si="132"/>
        <v>0</v>
      </c>
      <c r="AA194" s="76" t="str">
        <f t="shared" si="133"/>
        <v/>
      </c>
      <c r="AB194" s="216">
        <f t="shared" si="101"/>
        <v>0</v>
      </c>
      <c r="AC194" s="163" t="str">
        <f t="shared" si="134"/>
        <v/>
      </c>
      <c r="AD194" s="257">
        <f t="shared" si="118"/>
        <v>0</v>
      </c>
      <c r="AE194" s="138"/>
      <c r="AF194" s="138" t="str">
        <f t="shared" si="119"/>
        <v/>
      </c>
      <c r="AG194" s="77">
        <f t="shared" si="135"/>
        <v>0</v>
      </c>
      <c r="AH194" s="77">
        <f t="shared" si="136"/>
        <v>0</v>
      </c>
      <c r="AI194" s="77" t="str">
        <f t="shared" si="120"/>
        <v/>
      </c>
      <c r="AJ194" s="78">
        <f t="shared" si="102"/>
        <v>7</v>
      </c>
      <c r="AK194" s="139">
        <f>SUM($AC$6:AC194)</f>
        <v>0</v>
      </c>
      <c r="AL194" s="139">
        <f t="shared" ca="1" si="112"/>
        <v>0</v>
      </c>
      <c r="AM194" s="143">
        <f t="shared" si="121"/>
        <v>0</v>
      </c>
      <c r="AN194" s="143">
        <f t="shared" si="122"/>
        <v>0</v>
      </c>
      <c r="AO194" s="143">
        <f t="shared" si="123"/>
        <v>0</v>
      </c>
      <c r="AP194" s="142">
        <f t="shared" si="113"/>
        <v>30</v>
      </c>
      <c r="AQ194" s="142">
        <f t="shared" ca="1" si="114"/>
        <v>30</v>
      </c>
      <c r="AR194" s="154">
        <f t="shared" si="125"/>
        <v>0</v>
      </c>
      <c r="AS194" s="142">
        <f t="shared" si="115"/>
        <v>7</v>
      </c>
      <c r="AT194" t="b">
        <f>OR((F194&gt;0),(NOT(ISBLANK(H194))),SUM(H194:H$373),SUM(G194:G$373))</f>
        <v>0</v>
      </c>
      <c r="AU194" t="b">
        <f t="shared" ca="1" si="103"/>
        <v>1</v>
      </c>
    </row>
    <row r="195" spans="1:47">
      <c r="A195" s="349">
        <f t="shared" si="116"/>
        <v>41828</v>
      </c>
      <c r="B195" s="350">
        <f t="shared" si="117"/>
        <v>41828</v>
      </c>
      <c r="C195" s="351">
        <f t="shared" si="128"/>
        <v>28</v>
      </c>
      <c r="D195" s="352">
        <f t="shared" si="129"/>
        <v>41820</v>
      </c>
      <c r="E195" s="364" t="str">
        <f t="shared" si="104"/>
        <v/>
      </c>
      <c r="F195" s="6"/>
      <c r="G195" s="7" t="str">
        <f t="shared" si="130"/>
        <v/>
      </c>
      <c r="H195" s="8"/>
      <c r="I195" s="8">
        <f t="shared" si="126"/>
        <v>0</v>
      </c>
      <c r="J195" s="129">
        <f t="shared" si="124"/>
        <v>0</v>
      </c>
      <c r="K195" s="8"/>
      <c r="L195" s="8">
        <f t="shared" si="105"/>
        <v>0</v>
      </c>
      <c r="M195" s="129">
        <f t="shared" si="106"/>
        <v>0</v>
      </c>
      <c r="N195" s="129"/>
      <c r="O195" s="129">
        <f t="shared" si="99"/>
        <v>0</v>
      </c>
      <c r="P195" s="129"/>
      <c r="Q195" s="129">
        <f t="shared" si="107"/>
        <v>0</v>
      </c>
      <c r="R195" s="129">
        <f t="shared" si="108"/>
        <v>0</v>
      </c>
      <c r="S195" s="693">
        <f t="shared" si="109"/>
        <v>6</v>
      </c>
      <c r="T195" s="129">
        <f t="shared" si="127"/>
        <v>0</v>
      </c>
      <c r="U195" s="165">
        <f t="shared" si="110"/>
        <v>0</v>
      </c>
      <c r="V195" s="75"/>
      <c r="W195" s="131">
        <f t="shared" si="100"/>
        <v>4.1666666666666664E-2</v>
      </c>
      <c r="X195" s="126">
        <f t="shared" si="111"/>
        <v>0</v>
      </c>
      <c r="Y195" s="127">
        <f t="shared" si="131"/>
        <v>0.33333333333333331</v>
      </c>
      <c r="Z195" s="128">
        <f t="shared" si="132"/>
        <v>0</v>
      </c>
      <c r="AA195" s="76" t="str">
        <f t="shared" si="133"/>
        <v/>
      </c>
      <c r="AB195" s="216">
        <f t="shared" si="101"/>
        <v>0</v>
      </c>
      <c r="AC195" s="163" t="str">
        <f t="shared" si="134"/>
        <v/>
      </c>
      <c r="AD195" s="257">
        <f t="shared" si="118"/>
        <v>0</v>
      </c>
      <c r="AE195" s="138"/>
      <c r="AF195" s="138" t="str">
        <f t="shared" si="119"/>
        <v/>
      </c>
      <c r="AG195" s="77">
        <f t="shared" si="135"/>
        <v>0</v>
      </c>
      <c r="AH195" s="77">
        <f t="shared" si="136"/>
        <v>0</v>
      </c>
      <c r="AI195" s="77" t="str">
        <f t="shared" si="120"/>
        <v/>
      </c>
      <c r="AJ195" s="78">
        <f t="shared" si="102"/>
        <v>1</v>
      </c>
      <c r="AK195" s="139">
        <f>SUM($AC$6:AC195)</f>
        <v>0</v>
      </c>
      <c r="AL195" s="139">
        <f t="shared" ca="1" si="112"/>
        <v>0</v>
      </c>
      <c r="AM195" s="143">
        <f t="shared" si="121"/>
        <v>0</v>
      </c>
      <c r="AN195" s="143">
        <f t="shared" si="122"/>
        <v>0</v>
      </c>
      <c r="AO195" s="143">
        <f t="shared" si="123"/>
        <v>0</v>
      </c>
      <c r="AP195" s="142">
        <f t="shared" si="113"/>
        <v>30</v>
      </c>
      <c r="AQ195" s="142">
        <f t="shared" ca="1" si="114"/>
        <v>30</v>
      </c>
      <c r="AR195" s="154">
        <f t="shared" si="125"/>
        <v>0</v>
      </c>
      <c r="AS195" s="142">
        <f t="shared" si="115"/>
        <v>0</v>
      </c>
      <c r="AT195" t="b">
        <f>OR((F195&gt;0),(NOT(ISBLANK(H195))),SUM(H195:H$373),SUM(G195:G$373))</f>
        <v>0</v>
      </c>
      <c r="AU195" t="b">
        <f t="shared" ca="1" si="103"/>
        <v>0</v>
      </c>
    </row>
    <row r="196" spans="1:47">
      <c r="A196" s="349">
        <f t="shared" si="116"/>
        <v>41829</v>
      </c>
      <c r="B196" s="350">
        <f t="shared" si="117"/>
        <v>41829</v>
      </c>
      <c r="C196" s="351">
        <f t="shared" si="128"/>
        <v>28</v>
      </c>
      <c r="D196" s="352">
        <f t="shared" si="129"/>
        <v>41820</v>
      </c>
      <c r="E196" s="364" t="str">
        <f t="shared" si="104"/>
        <v/>
      </c>
      <c r="F196" s="6"/>
      <c r="G196" s="7" t="str">
        <f t="shared" si="130"/>
        <v/>
      </c>
      <c r="H196" s="8"/>
      <c r="I196" s="8">
        <f t="shared" si="126"/>
        <v>0</v>
      </c>
      <c r="J196" s="129">
        <f t="shared" si="124"/>
        <v>0</v>
      </c>
      <c r="K196" s="8"/>
      <c r="L196" s="8">
        <f t="shared" si="105"/>
        <v>0</v>
      </c>
      <c r="M196" s="129">
        <f t="shared" si="106"/>
        <v>0</v>
      </c>
      <c r="N196" s="129"/>
      <c r="O196" s="129">
        <f t="shared" si="99"/>
        <v>0</v>
      </c>
      <c r="P196" s="129"/>
      <c r="Q196" s="129">
        <f t="shared" si="107"/>
        <v>0</v>
      </c>
      <c r="R196" s="129">
        <f t="shared" si="108"/>
        <v>0</v>
      </c>
      <c r="S196" s="693">
        <f t="shared" si="109"/>
        <v>6</v>
      </c>
      <c r="T196" s="129">
        <f t="shared" si="127"/>
        <v>0</v>
      </c>
      <c r="U196" s="165">
        <f t="shared" si="110"/>
        <v>0</v>
      </c>
      <c r="V196" s="75"/>
      <c r="W196" s="131">
        <f t="shared" si="100"/>
        <v>4.1666666666666664E-2</v>
      </c>
      <c r="X196" s="126">
        <f t="shared" si="111"/>
        <v>0</v>
      </c>
      <c r="Y196" s="127">
        <f t="shared" si="131"/>
        <v>0.33333333333333331</v>
      </c>
      <c r="Z196" s="128">
        <f t="shared" si="132"/>
        <v>0</v>
      </c>
      <c r="AA196" s="76" t="str">
        <f t="shared" si="133"/>
        <v/>
      </c>
      <c r="AB196" s="216">
        <f t="shared" si="101"/>
        <v>0</v>
      </c>
      <c r="AC196" s="163" t="str">
        <f t="shared" si="134"/>
        <v/>
      </c>
      <c r="AD196" s="257">
        <f t="shared" si="118"/>
        <v>0</v>
      </c>
      <c r="AE196" s="138"/>
      <c r="AF196" s="138" t="str">
        <f t="shared" si="119"/>
        <v/>
      </c>
      <c r="AG196" s="77">
        <f t="shared" si="135"/>
        <v>0</v>
      </c>
      <c r="AH196" s="77">
        <f t="shared" si="136"/>
        <v>0</v>
      </c>
      <c r="AI196" s="77" t="str">
        <f t="shared" si="120"/>
        <v/>
      </c>
      <c r="AJ196" s="78">
        <f t="shared" si="102"/>
        <v>2</v>
      </c>
      <c r="AK196" s="139">
        <f>SUM($AC$6:AC196)</f>
        <v>0</v>
      </c>
      <c r="AL196" s="139">
        <f t="shared" ca="1" si="112"/>
        <v>0</v>
      </c>
      <c r="AM196" s="143">
        <f t="shared" si="121"/>
        <v>0</v>
      </c>
      <c r="AN196" s="143">
        <f t="shared" si="122"/>
        <v>0</v>
      </c>
      <c r="AO196" s="143">
        <f t="shared" si="123"/>
        <v>0</v>
      </c>
      <c r="AP196" s="142">
        <f t="shared" si="113"/>
        <v>30</v>
      </c>
      <c r="AQ196" s="142">
        <f t="shared" ca="1" si="114"/>
        <v>30</v>
      </c>
      <c r="AR196" s="154">
        <f t="shared" si="125"/>
        <v>0</v>
      </c>
      <c r="AS196" s="142">
        <f t="shared" si="115"/>
        <v>0</v>
      </c>
      <c r="AT196" t="b">
        <f>OR((F196&gt;0),(NOT(ISBLANK(H196))),SUM(H196:H$373),SUM(G196:G$373))</f>
        <v>0</v>
      </c>
      <c r="AU196" t="b">
        <f t="shared" ca="1" si="103"/>
        <v>0</v>
      </c>
    </row>
    <row r="197" spans="1:47">
      <c r="A197" s="349">
        <f t="shared" si="116"/>
        <v>41830</v>
      </c>
      <c r="B197" s="350">
        <f t="shared" si="117"/>
        <v>41830</v>
      </c>
      <c r="C197" s="351">
        <f t="shared" si="128"/>
        <v>28</v>
      </c>
      <c r="D197" s="352">
        <f t="shared" si="129"/>
        <v>41820</v>
      </c>
      <c r="E197" s="364" t="str">
        <f t="shared" si="104"/>
        <v/>
      </c>
      <c r="F197" s="6"/>
      <c r="G197" s="7" t="str">
        <f t="shared" si="130"/>
        <v/>
      </c>
      <c r="H197" s="8"/>
      <c r="I197" s="8">
        <f t="shared" si="126"/>
        <v>0</v>
      </c>
      <c r="J197" s="129">
        <f t="shared" si="124"/>
        <v>0</v>
      </c>
      <c r="K197" s="8"/>
      <c r="L197" s="8">
        <f t="shared" si="105"/>
        <v>0</v>
      </c>
      <c r="M197" s="129">
        <f t="shared" si="106"/>
        <v>0</v>
      </c>
      <c r="N197" s="129"/>
      <c r="O197" s="129">
        <f t="shared" ref="O197:O260" si="137">IF(N197&gt;0,N197+IF((J197-H197+M197-K197)&lt;X197,X197-(J197-H197+M197-K197),TIME(0,10,0))+IF((K197-J197+N197-M197)&gt;xNoWorkTime,0,xNoWorkTime-(K197-J197+N197-M197)),0)</f>
        <v>0</v>
      </c>
      <c r="P197" s="129"/>
      <c r="Q197" s="129">
        <f t="shared" si="107"/>
        <v>0</v>
      </c>
      <c r="R197" s="129">
        <f t="shared" si="108"/>
        <v>0</v>
      </c>
      <c r="S197" s="693">
        <f t="shared" si="109"/>
        <v>6</v>
      </c>
      <c r="T197" s="129">
        <f t="shared" si="127"/>
        <v>0</v>
      </c>
      <c r="U197" s="165">
        <f t="shared" si="110"/>
        <v>0</v>
      </c>
      <c r="V197" s="75"/>
      <c r="W197" s="131">
        <f t="shared" ref="W197:W260" si="138">xNoWorkTime</f>
        <v>4.1666666666666664E-2</v>
      </c>
      <c r="X197" s="126">
        <f t="shared" si="111"/>
        <v>0</v>
      </c>
      <c r="Y197" s="127">
        <f t="shared" si="131"/>
        <v>0.33333333333333331</v>
      </c>
      <c r="Z197" s="128">
        <f t="shared" si="132"/>
        <v>0</v>
      </c>
      <c r="AA197" s="76" t="str">
        <f t="shared" si="133"/>
        <v/>
      </c>
      <c r="AB197" s="216">
        <f t="shared" ref="AB197:AB260" si="139">xOverTime</f>
        <v>0</v>
      </c>
      <c r="AC197" s="163" t="str">
        <f t="shared" si="134"/>
        <v/>
      </c>
      <c r="AD197" s="257">
        <f t="shared" si="118"/>
        <v>0</v>
      </c>
      <c r="AE197" s="138"/>
      <c r="AF197" s="138" t="str">
        <f t="shared" si="119"/>
        <v/>
      </c>
      <c r="AG197" s="77">
        <f t="shared" si="135"/>
        <v>0</v>
      </c>
      <c r="AH197" s="77">
        <f t="shared" si="136"/>
        <v>0</v>
      </c>
      <c r="AI197" s="77" t="str">
        <f t="shared" si="120"/>
        <v/>
      </c>
      <c r="AJ197" s="78">
        <f t="shared" ref="AJ197:AJ260" si="140">IF(A197="",0,IF(ISERROR(VLOOKUP(A197,db_Feiertag,2,FALSE)),WEEKDAY(A197,2),Feiertag))</f>
        <v>3</v>
      </c>
      <c r="AK197" s="139">
        <f>SUM($AC$6:AC197)</f>
        <v>0</v>
      </c>
      <c r="AL197" s="139">
        <f t="shared" ca="1" si="112"/>
        <v>0</v>
      </c>
      <c r="AM197" s="143">
        <f t="shared" si="121"/>
        <v>0</v>
      </c>
      <c r="AN197" s="143">
        <f t="shared" si="122"/>
        <v>0</v>
      </c>
      <c r="AO197" s="143">
        <f t="shared" si="123"/>
        <v>0</v>
      </c>
      <c r="AP197" s="142">
        <f t="shared" si="113"/>
        <v>30</v>
      </c>
      <c r="AQ197" s="142">
        <f t="shared" ca="1" si="114"/>
        <v>30</v>
      </c>
      <c r="AR197" s="154">
        <f t="shared" si="125"/>
        <v>0</v>
      </c>
      <c r="AS197" s="142">
        <f t="shared" si="115"/>
        <v>0</v>
      </c>
      <c r="AT197" t="b">
        <f>OR((F197&gt;0),(NOT(ISBLANK(H197))),SUM(H197:H$373),SUM(G197:G$373))</f>
        <v>0</v>
      </c>
      <c r="AU197" t="b">
        <f t="shared" ref="AU197:AU260" ca="1" si="141">INDIRECT(ADDRESS(ROW(),COLUMN(xDay)))&gt;5</f>
        <v>0</v>
      </c>
    </row>
    <row r="198" spans="1:47">
      <c r="A198" s="349">
        <f t="shared" si="116"/>
        <v>41831</v>
      </c>
      <c r="B198" s="350">
        <f t="shared" si="117"/>
        <v>41831</v>
      </c>
      <c r="C198" s="351">
        <f t="shared" si="128"/>
        <v>28</v>
      </c>
      <c r="D198" s="352">
        <f t="shared" si="129"/>
        <v>41820</v>
      </c>
      <c r="E198" s="364" t="str">
        <f t="shared" ref="E198:E261" si="142">IF((R198-T198)&gt;XWorkTimeMax,$Y$4,IF(AS198=Feiertag,VLOOKUP(B198,db_Feiertag,2,FALSE),""))</f>
        <v/>
      </c>
      <c r="F198" s="6"/>
      <c r="G198" s="7" t="str">
        <f t="shared" si="130"/>
        <v/>
      </c>
      <c r="H198" s="8"/>
      <c r="I198" s="8">
        <f t="shared" si="126"/>
        <v>0</v>
      </c>
      <c r="J198" s="129">
        <f t="shared" si="124"/>
        <v>0</v>
      </c>
      <c r="K198" s="8"/>
      <c r="L198" s="8">
        <f t="shared" ref="L198:L261" si="143">IF(K198&gt;0,K198+IF((J198-H198)&lt;X198,X198-(J198-H198),TIME(0,10,0))+IF((K198-J198)&gt;xNoWorkTime,0,xNoWorkTime-(K198-J198)),0)</f>
        <v>0</v>
      </c>
      <c r="M198" s="129">
        <f t="shared" ref="M198:M261" si="144">IF(L198&lt;K198,L198+1,L198)</f>
        <v>0</v>
      </c>
      <c r="N198" s="129"/>
      <c r="O198" s="129">
        <f t="shared" si="137"/>
        <v>0</v>
      </c>
      <c r="P198" s="129"/>
      <c r="Q198" s="129">
        <f t="shared" ref="Q198:Q261" si="145">IF(O198&lt;N198,O198+1,O198)</f>
        <v>0</v>
      </c>
      <c r="R198" s="129">
        <f t="shared" ref="R198:R261" si="146">J198-H198+M198-K198+Q198-N198</f>
        <v>0</v>
      </c>
      <c r="S198" s="693">
        <f t="shared" ref="S198:S261" si="147">XPauseNach*24</f>
        <v>6</v>
      </c>
      <c r="T198" s="129">
        <f t="shared" si="127"/>
        <v>0</v>
      </c>
      <c r="U198" s="165">
        <f t="shared" ref="U198:U261" si="148">IF(F198="S",Y198,(IF((R198-T198)&gt;XWorkTimeMax,XWorkTimeMax,IF((R198-T198)&gt;0,R198-T198,0))))</f>
        <v>0</v>
      </c>
      <c r="V198" s="75"/>
      <c r="W198" s="131">
        <f t="shared" si="138"/>
        <v>4.1666666666666664E-2</v>
      </c>
      <c r="X198" s="126">
        <f t="shared" ref="X198:X261" si="149">IF(AND((AJ198&lt;Feiertag),(G198&lt;&gt;85)),IF(OR(F198="B",F198="G",F198="S",H198&gt;0),H198-H198+Y198,0),0)</f>
        <v>0</v>
      </c>
      <c r="Y198" s="127">
        <f t="shared" si="131"/>
        <v>0.33333333333333331</v>
      </c>
      <c r="Z198" s="128">
        <f t="shared" si="132"/>
        <v>0</v>
      </c>
      <c r="AA198" s="76" t="str">
        <f t="shared" si="133"/>
        <v/>
      </c>
      <c r="AB198" s="216">
        <f t="shared" si="139"/>
        <v>0</v>
      </c>
      <c r="AC198" s="163" t="str">
        <f t="shared" si="134"/>
        <v/>
      </c>
      <c r="AD198" s="257">
        <f t="shared" si="118"/>
        <v>0</v>
      </c>
      <c r="AE198" s="138"/>
      <c r="AF198" s="138" t="str">
        <f t="shared" si="119"/>
        <v/>
      </c>
      <c r="AG198" s="77">
        <f t="shared" si="135"/>
        <v>0</v>
      </c>
      <c r="AH198" s="77">
        <f t="shared" si="136"/>
        <v>0</v>
      </c>
      <c r="AI198" s="77" t="str">
        <f t="shared" si="120"/>
        <v/>
      </c>
      <c r="AJ198" s="78">
        <f t="shared" si="140"/>
        <v>4</v>
      </c>
      <c r="AK198" s="139">
        <f>SUM($AC$6:AC198)</f>
        <v>0</v>
      </c>
      <c r="AL198" s="139">
        <f t="shared" ref="AL198:AL261" ca="1" si="150">IF(D198=D197,AL197,OFFSET(AL198,-1,COLUMN(db_jSaldoGes)-COLUMN()))</f>
        <v>0</v>
      </c>
      <c r="AM198" s="143">
        <f t="shared" si="121"/>
        <v>0</v>
      </c>
      <c r="AN198" s="143">
        <f t="shared" si="122"/>
        <v>0</v>
      </c>
      <c r="AO198" s="143">
        <f t="shared" si="123"/>
        <v>0</v>
      </c>
      <c r="AP198" s="142">
        <f t="shared" ref="AP198:AP261" si="151">IF(A198="","",AP197-IF(F198=Urlaub,1,0)+IF(AND(MONTH(A198)=1,DAY(A198)=1),B_UrlaubNeu,0))</f>
        <v>30</v>
      </c>
      <c r="AQ198" s="142">
        <f t="shared" ref="AQ198:AQ261" ca="1" si="152">IF(A198="","",IF(D198=D197,AQ197,OFFSET(AQ198,-1,COLUMN(db_jUrlRest)-COLUMN()))+IF(AND(MONTH(A198)=1,DAY(A198)=1),B_UrlaubNeu,0))</f>
        <v>30</v>
      </c>
      <c r="AR198" s="154">
        <f t="shared" si="125"/>
        <v>0</v>
      </c>
      <c r="AS198" s="142">
        <f t="shared" ref="AS198:AS261" si="153">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41"/>
        <v>0</v>
      </c>
    </row>
    <row r="199" spans="1:47">
      <c r="A199" s="349">
        <f t="shared" ref="A199:A262" si="154">IF(A198="","",IF((A198+1)&gt;=DATE(YEAR(xJahr)+1,MONTH(xJahr),DAY(xJahr)),"",A198+1))</f>
        <v>41832</v>
      </c>
      <c r="B199" s="350">
        <f t="shared" ref="B199:B262" si="155">IF(A199="","",A199)</f>
        <v>41832</v>
      </c>
      <c r="C199" s="351">
        <f t="shared" si="128"/>
        <v>28</v>
      </c>
      <c r="D199" s="352">
        <f t="shared" si="129"/>
        <v>41820</v>
      </c>
      <c r="E199" s="364" t="str">
        <f t="shared" si="142"/>
        <v/>
      </c>
      <c r="F199" s="6"/>
      <c r="G199" s="7" t="str">
        <f t="shared" si="130"/>
        <v/>
      </c>
      <c r="H199" s="8"/>
      <c r="I199" s="8">
        <f t="shared" si="126"/>
        <v>0</v>
      </c>
      <c r="J199" s="129">
        <f t="shared" si="124"/>
        <v>0</v>
      </c>
      <c r="K199" s="8"/>
      <c r="L199" s="8">
        <f t="shared" si="143"/>
        <v>0</v>
      </c>
      <c r="M199" s="129">
        <f t="shared" si="144"/>
        <v>0</v>
      </c>
      <c r="N199" s="129"/>
      <c r="O199" s="129">
        <f t="shared" si="137"/>
        <v>0</v>
      </c>
      <c r="P199" s="129"/>
      <c r="Q199" s="129">
        <f t="shared" si="145"/>
        <v>0</v>
      </c>
      <c r="R199" s="129">
        <f t="shared" si="146"/>
        <v>0</v>
      </c>
      <c r="S199" s="693">
        <f t="shared" si="147"/>
        <v>6</v>
      </c>
      <c r="T199" s="129">
        <f t="shared" si="127"/>
        <v>0</v>
      </c>
      <c r="U199" s="165">
        <f t="shared" si="148"/>
        <v>0</v>
      </c>
      <c r="V199" s="75"/>
      <c r="W199" s="131">
        <f t="shared" si="138"/>
        <v>4.1666666666666664E-2</v>
      </c>
      <c r="X199" s="126">
        <f t="shared" si="149"/>
        <v>0</v>
      </c>
      <c r="Y199" s="127">
        <f t="shared" si="131"/>
        <v>0.33333333333333331</v>
      </c>
      <c r="Z199" s="128">
        <f t="shared" si="132"/>
        <v>0</v>
      </c>
      <c r="AA199" s="76" t="str">
        <f t="shared" si="133"/>
        <v/>
      </c>
      <c r="AB199" s="216">
        <f t="shared" si="139"/>
        <v>0</v>
      </c>
      <c r="AC199" s="163" t="str">
        <f t="shared" si="134"/>
        <v/>
      </c>
      <c r="AD199" s="257">
        <f t="shared" ref="AD199:AD262" si="156">IF(AT199,(AD198+SUM(Z199)-AE199),)</f>
        <v>0</v>
      </c>
      <c r="AE199" s="138"/>
      <c r="AF199" s="138" t="str">
        <f t="shared" ref="AF199:AF262" si="157">IF(AND(AE199&lt;&gt;"",AE199&lt;=U199),U199-AE199,"")</f>
        <v/>
      </c>
      <c r="AG199" s="77">
        <f t="shared" si="135"/>
        <v>0</v>
      </c>
      <c r="AH199" s="77">
        <f t="shared" si="136"/>
        <v>0</v>
      </c>
      <c r="AI199" s="77" t="str">
        <f t="shared" ref="AI199:AI262" si="158">IF( AND(ISNUMBER( U199 ),ISNUMBER( X199 )), IF( U199 &gt;= X199, "", X199 - U199 ), "" )</f>
        <v/>
      </c>
      <c r="AJ199" s="78">
        <f t="shared" si="140"/>
        <v>5</v>
      </c>
      <c r="AK199" s="139">
        <f>SUM($AC$6:AC199)</f>
        <v>0</v>
      </c>
      <c r="AL199" s="139">
        <f t="shared" ca="1" si="150"/>
        <v>0</v>
      </c>
      <c r="AM199" s="143">
        <f t="shared" ref="AM199:AM262" si="159">IF(OR($G199=-1,$G199=82),-1,IF(OR($G199=0,$G199=83),1,0))</f>
        <v>0</v>
      </c>
      <c r="AN199" s="143">
        <f t="shared" ref="AN199:AN262" si="160">IF($F199=Krank,1,IF($F199="J",-1,0))</f>
        <v>0</v>
      </c>
      <c r="AO199" s="143">
        <f t="shared" ref="AO199:AO262" si="161">IF($F199=Urlaub,1,IF($F199="T",-1,0))</f>
        <v>0</v>
      </c>
      <c r="AP199" s="142">
        <f t="shared" si="151"/>
        <v>30</v>
      </c>
      <c r="AQ199" s="142">
        <f t="shared" ca="1" si="152"/>
        <v>30</v>
      </c>
      <c r="AR199" s="154">
        <f t="shared" si="125"/>
        <v>0</v>
      </c>
      <c r="AS199" s="142">
        <f t="shared" si="153"/>
        <v>0</v>
      </c>
      <c r="AT199" t="b">
        <f>OR((F199&gt;0),(NOT(ISBLANK(H199))),SUM(H199:H$373),SUM(G199:G$373))</f>
        <v>0</v>
      </c>
      <c r="AU199" t="b">
        <f t="shared" ca="1" si="141"/>
        <v>0</v>
      </c>
    </row>
    <row r="200" spans="1:47">
      <c r="A200" s="349">
        <f t="shared" si="154"/>
        <v>41833</v>
      </c>
      <c r="B200" s="350">
        <f t="shared" si="155"/>
        <v>41833</v>
      </c>
      <c r="C200" s="351">
        <f t="shared" si="128"/>
        <v>28</v>
      </c>
      <c r="D200" s="352">
        <f t="shared" si="129"/>
        <v>41820</v>
      </c>
      <c r="E200" s="364" t="str">
        <f t="shared" si="142"/>
        <v/>
      </c>
      <c r="F200" s="6"/>
      <c r="G200" s="7" t="str">
        <f t="shared" si="130"/>
        <v/>
      </c>
      <c r="H200" s="8"/>
      <c r="I200" s="8">
        <f t="shared" si="126"/>
        <v>0</v>
      </c>
      <c r="J200" s="129">
        <f t="shared" ref="J200:J263" si="162">IF(I200&lt;H200,I200+1,I200)</f>
        <v>0</v>
      </c>
      <c r="K200" s="8"/>
      <c r="L200" s="8">
        <f t="shared" si="143"/>
        <v>0</v>
      </c>
      <c r="M200" s="129">
        <f t="shared" si="144"/>
        <v>0</v>
      </c>
      <c r="N200" s="129"/>
      <c r="O200" s="129">
        <f t="shared" si="137"/>
        <v>0</v>
      </c>
      <c r="P200" s="129"/>
      <c r="Q200" s="129">
        <f t="shared" si="145"/>
        <v>0</v>
      </c>
      <c r="R200" s="129">
        <f t="shared" si="146"/>
        <v>0</v>
      </c>
      <c r="S200" s="693">
        <f t="shared" si="147"/>
        <v>6</v>
      </c>
      <c r="T200" s="129">
        <f t="shared" si="127"/>
        <v>0</v>
      </c>
      <c r="U200" s="165">
        <f t="shared" si="148"/>
        <v>0</v>
      </c>
      <c r="V200" s="75"/>
      <c r="W200" s="131">
        <f t="shared" si="138"/>
        <v>4.1666666666666664E-2</v>
      </c>
      <c r="X200" s="126">
        <f t="shared" si="149"/>
        <v>0</v>
      </c>
      <c r="Y200" s="127">
        <f t="shared" si="131"/>
        <v>0</v>
      </c>
      <c r="Z200" s="128">
        <f t="shared" si="132"/>
        <v>0</v>
      </c>
      <c r="AA200" s="76" t="str">
        <f t="shared" si="133"/>
        <v/>
      </c>
      <c r="AB200" s="216">
        <f t="shared" si="139"/>
        <v>0</v>
      </c>
      <c r="AC200" s="163" t="str">
        <f t="shared" si="134"/>
        <v/>
      </c>
      <c r="AD200" s="257">
        <f t="shared" si="156"/>
        <v>0</v>
      </c>
      <c r="AE200" s="138"/>
      <c r="AF200" s="138" t="str">
        <f t="shared" si="157"/>
        <v/>
      </c>
      <c r="AG200" s="77">
        <f t="shared" si="135"/>
        <v>0</v>
      </c>
      <c r="AH200" s="77">
        <f t="shared" si="136"/>
        <v>0</v>
      </c>
      <c r="AI200" s="77" t="str">
        <f t="shared" si="158"/>
        <v/>
      </c>
      <c r="AJ200" s="78">
        <f t="shared" si="140"/>
        <v>6</v>
      </c>
      <c r="AK200" s="139">
        <f>SUM($AC$6:AC200)</f>
        <v>0</v>
      </c>
      <c r="AL200" s="139">
        <f t="shared" ca="1" si="150"/>
        <v>0</v>
      </c>
      <c r="AM200" s="143">
        <f t="shared" si="159"/>
        <v>0</v>
      </c>
      <c r="AN200" s="143">
        <f t="shared" si="160"/>
        <v>0</v>
      </c>
      <c r="AO200" s="143">
        <f t="shared" si="161"/>
        <v>0</v>
      </c>
      <c r="AP200" s="142">
        <f t="shared" si="151"/>
        <v>30</v>
      </c>
      <c r="AQ200" s="142">
        <f t="shared" ca="1" si="152"/>
        <v>30</v>
      </c>
      <c r="AR200" s="154">
        <f t="shared" si="125"/>
        <v>0</v>
      </c>
      <c r="AS200" s="142">
        <f t="shared" si="153"/>
        <v>7</v>
      </c>
      <c r="AT200" t="b">
        <f>OR((F200&gt;0),(NOT(ISBLANK(H200))),SUM(H200:H$373),SUM(G200:G$373))</f>
        <v>0</v>
      </c>
      <c r="AU200" t="b">
        <f t="shared" ca="1" si="141"/>
        <v>1</v>
      </c>
    </row>
    <row r="201" spans="1:47">
      <c r="A201" s="349">
        <f t="shared" si="154"/>
        <v>41834</v>
      </c>
      <c r="B201" s="350">
        <f t="shared" si="155"/>
        <v>41834</v>
      </c>
      <c r="C201" s="351">
        <f t="shared" si="128"/>
        <v>28</v>
      </c>
      <c r="D201" s="352">
        <f t="shared" si="129"/>
        <v>41820</v>
      </c>
      <c r="E201" s="364" t="str">
        <f t="shared" si="142"/>
        <v/>
      </c>
      <c r="F201" s="6"/>
      <c r="G201" s="7" t="str">
        <f t="shared" si="130"/>
        <v/>
      </c>
      <c r="H201" s="8"/>
      <c r="I201" s="8">
        <f t="shared" si="126"/>
        <v>0</v>
      </c>
      <c r="J201" s="129">
        <f t="shared" si="162"/>
        <v>0</v>
      </c>
      <c r="K201" s="8"/>
      <c r="L201" s="8">
        <f t="shared" si="143"/>
        <v>0</v>
      </c>
      <c r="M201" s="129">
        <f t="shared" si="144"/>
        <v>0</v>
      </c>
      <c r="N201" s="129"/>
      <c r="O201" s="129">
        <f t="shared" si="137"/>
        <v>0</v>
      </c>
      <c r="P201" s="129"/>
      <c r="Q201" s="129">
        <f t="shared" si="145"/>
        <v>0</v>
      </c>
      <c r="R201" s="129">
        <f t="shared" si="146"/>
        <v>0</v>
      </c>
      <c r="S201" s="693">
        <f t="shared" si="147"/>
        <v>6</v>
      </c>
      <c r="T201" s="129">
        <f t="shared" si="127"/>
        <v>0</v>
      </c>
      <c r="U201" s="165">
        <f t="shared" si="148"/>
        <v>0</v>
      </c>
      <c r="V201" s="75"/>
      <c r="W201" s="131">
        <f t="shared" si="138"/>
        <v>4.1666666666666664E-2</v>
      </c>
      <c r="X201" s="126">
        <f t="shared" si="149"/>
        <v>0</v>
      </c>
      <c r="Y201" s="127">
        <f t="shared" si="131"/>
        <v>0</v>
      </c>
      <c r="Z201" s="128">
        <f t="shared" si="132"/>
        <v>0</v>
      </c>
      <c r="AA201" s="76" t="str">
        <f t="shared" si="133"/>
        <v/>
      </c>
      <c r="AB201" s="216">
        <f t="shared" si="139"/>
        <v>0</v>
      </c>
      <c r="AC201" s="163" t="str">
        <f t="shared" si="134"/>
        <v/>
      </c>
      <c r="AD201" s="257">
        <f t="shared" si="156"/>
        <v>0</v>
      </c>
      <c r="AE201" s="138"/>
      <c r="AF201" s="138" t="str">
        <f t="shared" si="157"/>
        <v/>
      </c>
      <c r="AG201" s="77">
        <f t="shared" si="135"/>
        <v>0</v>
      </c>
      <c r="AH201" s="77">
        <f t="shared" si="136"/>
        <v>0</v>
      </c>
      <c r="AI201" s="77" t="str">
        <f t="shared" si="158"/>
        <v/>
      </c>
      <c r="AJ201" s="78">
        <f t="shared" si="140"/>
        <v>7</v>
      </c>
      <c r="AK201" s="139">
        <f>SUM($AC$6:AC201)</f>
        <v>0</v>
      </c>
      <c r="AL201" s="139">
        <f t="shared" ca="1" si="150"/>
        <v>0</v>
      </c>
      <c r="AM201" s="143">
        <f t="shared" si="159"/>
        <v>0</v>
      </c>
      <c r="AN201" s="143">
        <f t="shared" si="160"/>
        <v>0</v>
      </c>
      <c r="AO201" s="143">
        <f t="shared" si="161"/>
        <v>0</v>
      </c>
      <c r="AP201" s="142">
        <f t="shared" si="151"/>
        <v>30</v>
      </c>
      <c r="AQ201" s="142">
        <f t="shared" ca="1" si="152"/>
        <v>30</v>
      </c>
      <c r="AR201" s="154">
        <f t="shared" si="125"/>
        <v>0</v>
      </c>
      <c r="AS201" s="142">
        <f t="shared" si="153"/>
        <v>7</v>
      </c>
      <c r="AT201" t="b">
        <f>OR((F201&gt;0),(NOT(ISBLANK(H201))),SUM(H201:H$373),SUM(G201:G$373))</f>
        <v>0</v>
      </c>
      <c r="AU201" t="b">
        <f t="shared" ca="1" si="141"/>
        <v>1</v>
      </c>
    </row>
    <row r="202" spans="1:47">
      <c r="A202" s="349">
        <f t="shared" si="154"/>
        <v>41835</v>
      </c>
      <c r="B202" s="350">
        <f t="shared" si="155"/>
        <v>41835</v>
      </c>
      <c r="C202" s="351">
        <f t="shared" si="128"/>
        <v>29</v>
      </c>
      <c r="D202" s="352">
        <f t="shared" si="129"/>
        <v>41820</v>
      </c>
      <c r="E202" s="364" t="str">
        <f t="shared" si="142"/>
        <v/>
      </c>
      <c r="F202" s="6"/>
      <c r="G202" s="7" t="str">
        <f t="shared" si="130"/>
        <v/>
      </c>
      <c r="H202" s="8"/>
      <c r="I202" s="8">
        <f t="shared" si="126"/>
        <v>0</v>
      </c>
      <c r="J202" s="129">
        <f t="shared" si="162"/>
        <v>0</v>
      </c>
      <c r="K202" s="8"/>
      <c r="L202" s="8">
        <f t="shared" si="143"/>
        <v>0</v>
      </c>
      <c r="M202" s="129">
        <f t="shared" si="144"/>
        <v>0</v>
      </c>
      <c r="N202" s="129"/>
      <c r="O202" s="129">
        <f t="shared" si="137"/>
        <v>0</v>
      </c>
      <c r="P202" s="129"/>
      <c r="Q202" s="129">
        <f t="shared" si="145"/>
        <v>0</v>
      </c>
      <c r="R202" s="129">
        <f t="shared" si="146"/>
        <v>0</v>
      </c>
      <c r="S202" s="693">
        <f t="shared" si="147"/>
        <v>6</v>
      </c>
      <c r="T202" s="129">
        <f t="shared" si="127"/>
        <v>0</v>
      </c>
      <c r="U202" s="165">
        <f t="shared" si="148"/>
        <v>0</v>
      </c>
      <c r="V202" s="75"/>
      <c r="W202" s="131">
        <f t="shared" si="138"/>
        <v>4.1666666666666664E-2</v>
      </c>
      <c r="X202" s="126">
        <f t="shared" si="149"/>
        <v>0</v>
      </c>
      <c r="Y202" s="127">
        <f t="shared" si="131"/>
        <v>0.33333333333333331</v>
      </c>
      <c r="Z202" s="128">
        <f t="shared" si="132"/>
        <v>0</v>
      </c>
      <c r="AA202" s="76" t="str">
        <f t="shared" si="133"/>
        <v/>
      </c>
      <c r="AB202" s="216">
        <f t="shared" si="139"/>
        <v>0</v>
      </c>
      <c r="AC202" s="163" t="str">
        <f t="shared" si="134"/>
        <v/>
      </c>
      <c r="AD202" s="257">
        <f t="shared" si="156"/>
        <v>0</v>
      </c>
      <c r="AE202" s="138"/>
      <c r="AF202" s="138" t="str">
        <f t="shared" si="157"/>
        <v/>
      </c>
      <c r="AG202" s="77">
        <f t="shared" si="135"/>
        <v>0</v>
      </c>
      <c r="AH202" s="77">
        <f t="shared" si="136"/>
        <v>0</v>
      </c>
      <c r="AI202" s="77" t="str">
        <f t="shared" si="158"/>
        <v/>
      </c>
      <c r="AJ202" s="78">
        <f t="shared" si="140"/>
        <v>1</v>
      </c>
      <c r="AK202" s="139">
        <f>SUM($AC$6:AC202)</f>
        <v>0</v>
      </c>
      <c r="AL202" s="139">
        <f t="shared" ca="1" si="150"/>
        <v>0</v>
      </c>
      <c r="AM202" s="143">
        <f t="shared" si="159"/>
        <v>0</v>
      </c>
      <c r="AN202" s="143">
        <f t="shared" si="160"/>
        <v>0</v>
      </c>
      <c r="AO202" s="143">
        <f t="shared" si="161"/>
        <v>0</v>
      </c>
      <c r="AP202" s="142">
        <f t="shared" si="151"/>
        <v>30</v>
      </c>
      <c r="AQ202" s="142">
        <f t="shared" ca="1" si="152"/>
        <v>30</v>
      </c>
      <c r="AR202" s="154">
        <f t="shared" si="125"/>
        <v>0</v>
      </c>
      <c r="AS202" s="142">
        <f t="shared" si="153"/>
        <v>0</v>
      </c>
      <c r="AT202" t="b">
        <f>OR((F202&gt;0),(NOT(ISBLANK(H202))),SUM(H202:H$373),SUM(G202:G$373))</f>
        <v>0</v>
      </c>
      <c r="AU202" t="b">
        <f t="shared" ca="1" si="141"/>
        <v>0</v>
      </c>
    </row>
    <row r="203" spans="1:47">
      <c r="A203" s="349">
        <f t="shared" si="154"/>
        <v>41836</v>
      </c>
      <c r="B203" s="350">
        <f t="shared" si="155"/>
        <v>41836</v>
      </c>
      <c r="C203" s="351">
        <f t="shared" si="128"/>
        <v>29</v>
      </c>
      <c r="D203" s="352">
        <f t="shared" si="129"/>
        <v>41820</v>
      </c>
      <c r="E203" s="364" t="str">
        <f t="shared" si="142"/>
        <v/>
      </c>
      <c r="F203" s="6"/>
      <c r="G203" s="7" t="str">
        <f t="shared" si="130"/>
        <v/>
      </c>
      <c r="H203" s="8"/>
      <c r="I203" s="8">
        <f t="shared" si="126"/>
        <v>0</v>
      </c>
      <c r="J203" s="129">
        <f t="shared" si="162"/>
        <v>0</v>
      </c>
      <c r="K203" s="8"/>
      <c r="L203" s="8">
        <f t="shared" si="143"/>
        <v>0</v>
      </c>
      <c r="M203" s="129">
        <f t="shared" si="144"/>
        <v>0</v>
      </c>
      <c r="N203" s="129"/>
      <c r="O203" s="129">
        <f t="shared" si="137"/>
        <v>0</v>
      </c>
      <c r="P203" s="129"/>
      <c r="Q203" s="129">
        <f t="shared" si="145"/>
        <v>0</v>
      </c>
      <c r="R203" s="129">
        <f t="shared" si="146"/>
        <v>0</v>
      </c>
      <c r="S203" s="693">
        <f t="shared" si="147"/>
        <v>6</v>
      </c>
      <c r="T203" s="129">
        <f t="shared" si="127"/>
        <v>0</v>
      </c>
      <c r="U203" s="165">
        <f t="shared" si="148"/>
        <v>0</v>
      </c>
      <c r="V203" s="75"/>
      <c r="W203" s="131">
        <f t="shared" si="138"/>
        <v>4.1666666666666664E-2</v>
      </c>
      <c r="X203" s="126">
        <f t="shared" si="149"/>
        <v>0</v>
      </c>
      <c r="Y203" s="127">
        <f t="shared" si="131"/>
        <v>0.33333333333333331</v>
      </c>
      <c r="Z203" s="128">
        <f t="shared" si="132"/>
        <v>0</v>
      </c>
      <c r="AA203" s="76" t="str">
        <f t="shared" si="133"/>
        <v/>
      </c>
      <c r="AB203" s="216">
        <f t="shared" si="139"/>
        <v>0</v>
      </c>
      <c r="AC203" s="163" t="str">
        <f t="shared" si="134"/>
        <v/>
      </c>
      <c r="AD203" s="257">
        <f t="shared" si="156"/>
        <v>0</v>
      </c>
      <c r="AE203" s="138"/>
      <c r="AF203" s="138" t="str">
        <f t="shared" si="157"/>
        <v/>
      </c>
      <c r="AG203" s="77">
        <f t="shared" si="135"/>
        <v>0</v>
      </c>
      <c r="AH203" s="77">
        <f t="shared" si="136"/>
        <v>0</v>
      </c>
      <c r="AI203" s="77" t="str">
        <f t="shared" si="158"/>
        <v/>
      </c>
      <c r="AJ203" s="78">
        <f t="shared" si="140"/>
        <v>2</v>
      </c>
      <c r="AK203" s="139">
        <f>SUM($AC$6:AC203)</f>
        <v>0</v>
      </c>
      <c r="AL203" s="139">
        <f t="shared" ca="1" si="150"/>
        <v>0</v>
      </c>
      <c r="AM203" s="143">
        <f t="shared" si="159"/>
        <v>0</v>
      </c>
      <c r="AN203" s="143">
        <f t="shared" si="160"/>
        <v>0</v>
      </c>
      <c r="AO203" s="143">
        <f t="shared" si="161"/>
        <v>0</v>
      </c>
      <c r="AP203" s="142">
        <f t="shared" si="151"/>
        <v>30</v>
      </c>
      <c r="AQ203" s="142">
        <f t="shared" ca="1" si="152"/>
        <v>30</v>
      </c>
      <c r="AR203" s="154">
        <f t="shared" si="125"/>
        <v>0</v>
      </c>
      <c r="AS203" s="142">
        <f t="shared" si="153"/>
        <v>0</v>
      </c>
      <c r="AT203" t="b">
        <f>OR((F203&gt;0),(NOT(ISBLANK(H203))),SUM(H203:H$373),SUM(G203:G$373))</f>
        <v>0</v>
      </c>
      <c r="AU203" t="b">
        <f t="shared" ca="1" si="141"/>
        <v>0</v>
      </c>
    </row>
    <row r="204" spans="1:47">
      <c r="A204" s="349">
        <f t="shared" si="154"/>
        <v>41837</v>
      </c>
      <c r="B204" s="350">
        <f t="shared" si="155"/>
        <v>41837</v>
      </c>
      <c r="C204" s="351">
        <f t="shared" si="128"/>
        <v>29</v>
      </c>
      <c r="D204" s="352">
        <f t="shared" si="129"/>
        <v>41820</v>
      </c>
      <c r="E204" s="364" t="str">
        <f t="shared" si="142"/>
        <v/>
      </c>
      <c r="F204" s="6"/>
      <c r="G204" s="7" t="str">
        <f t="shared" si="130"/>
        <v/>
      </c>
      <c r="H204" s="8"/>
      <c r="I204" s="8">
        <f t="shared" si="126"/>
        <v>0</v>
      </c>
      <c r="J204" s="129">
        <f t="shared" si="162"/>
        <v>0</v>
      </c>
      <c r="K204" s="8"/>
      <c r="L204" s="8">
        <f t="shared" si="143"/>
        <v>0</v>
      </c>
      <c r="M204" s="129">
        <f t="shared" si="144"/>
        <v>0</v>
      </c>
      <c r="N204" s="129"/>
      <c r="O204" s="129">
        <f t="shared" si="137"/>
        <v>0</v>
      </c>
      <c r="P204" s="129"/>
      <c r="Q204" s="129">
        <f t="shared" si="145"/>
        <v>0</v>
      </c>
      <c r="R204" s="129">
        <f t="shared" si="146"/>
        <v>0</v>
      </c>
      <c r="S204" s="693">
        <f t="shared" si="147"/>
        <v>6</v>
      </c>
      <c r="T204" s="129">
        <f t="shared" si="127"/>
        <v>0</v>
      </c>
      <c r="U204" s="165">
        <f t="shared" si="148"/>
        <v>0</v>
      </c>
      <c r="V204" s="75"/>
      <c r="W204" s="131">
        <f t="shared" si="138"/>
        <v>4.1666666666666664E-2</v>
      </c>
      <c r="X204" s="126">
        <f t="shared" si="149"/>
        <v>0</v>
      </c>
      <c r="Y204" s="127">
        <f t="shared" si="131"/>
        <v>0.33333333333333331</v>
      </c>
      <c r="Z204" s="128">
        <f t="shared" si="132"/>
        <v>0</v>
      </c>
      <c r="AA204" s="76" t="str">
        <f t="shared" si="133"/>
        <v/>
      </c>
      <c r="AB204" s="216">
        <f t="shared" si="139"/>
        <v>0</v>
      </c>
      <c r="AC204" s="163" t="str">
        <f t="shared" si="134"/>
        <v/>
      </c>
      <c r="AD204" s="257">
        <f t="shared" si="156"/>
        <v>0</v>
      </c>
      <c r="AE204" s="138"/>
      <c r="AF204" s="138" t="str">
        <f t="shared" si="157"/>
        <v/>
      </c>
      <c r="AG204" s="77">
        <f t="shared" si="135"/>
        <v>0</v>
      </c>
      <c r="AH204" s="77">
        <f t="shared" si="136"/>
        <v>0</v>
      </c>
      <c r="AI204" s="77" t="str">
        <f t="shared" si="158"/>
        <v/>
      </c>
      <c r="AJ204" s="78">
        <f t="shared" si="140"/>
        <v>3</v>
      </c>
      <c r="AK204" s="139">
        <f>SUM($AC$6:AC204)</f>
        <v>0</v>
      </c>
      <c r="AL204" s="139">
        <f t="shared" ca="1" si="150"/>
        <v>0</v>
      </c>
      <c r="AM204" s="143">
        <f t="shared" si="159"/>
        <v>0</v>
      </c>
      <c r="AN204" s="143">
        <f t="shared" si="160"/>
        <v>0</v>
      </c>
      <c r="AO204" s="143">
        <f t="shared" si="161"/>
        <v>0</v>
      </c>
      <c r="AP204" s="142">
        <f t="shared" si="151"/>
        <v>30</v>
      </c>
      <c r="AQ204" s="142">
        <f t="shared" ca="1" si="152"/>
        <v>30</v>
      </c>
      <c r="AR204" s="154">
        <f t="shared" si="125"/>
        <v>0</v>
      </c>
      <c r="AS204" s="142">
        <f t="shared" si="153"/>
        <v>0</v>
      </c>
      <c r="AT204" t="b">
        <f>OR((F204&gt;0),(NOT(ISBLANK(H204))),SUM(H204:H$373),SUM(G204:G$373))</f>
        <v>0</v>
      </c>
      <c r="AU204" t="b">
        <f t="shared" ca="1" si="141"/>
        <v>0</v>
      </c>
    </row>
    <row r="205" spans="1:47">
      <c r="A205" s="349">
        <f t="shared" si="154"/>
        <v>41838</v>
      </c>
      <c r="B205" s="350">
        <f t="shared" si="155"/>
        <v>41838</v>
      </c>
      <c r="C205" s="351">
        <f t="shared" si="128"/>
        <v>29</v>
      </c>
      <c r="D205" s="352">
        <f t="shared" si="129"/>
        <v>41820</v>
      </c>
      <c r="E205" s="364" t="str">
        <f t="shared" si="142"/>
        <v/>
      </c>
      <c r="F205" s="6"/>
      <c r="G205" s="7" t="str">
        <f t="shared" si="130"/>
        <v/>
      </c>
      <c r="H205" s="8"/>
      <c r="I205" s="8">
        <f t="shared" si="126"/>
        <v>0</v>
      </c>
      <c r="J205" s="129">
        <f t="shared" si="162"/>
        <v>0</v>
      </c>
      <c r="K205" s="8"/>
      <c r="L205" s="8">
        <f t="shared" si="143"/>
        <v>0</v>
      </c>
      <c r="M205" s="129">
        <f t="shared" si="144"/>
        <v>0</v>
      </c>
      <c r="N205" s="129"/>
      <c r="O205" s="129">
        <f t="shared" si="137"/>
        <v>0</v>
      </c>
      <c r="P205" s="129"/>
      <c r="Q205" s="129">
        <f t="shared" si="145"/>
        <v>0</v>
      </c>
      <c r="R205" s="129">
        <f t="shared" si="146"/>
        <v>0</v>
      </c>
      <c r="S205" s="693">
        <f t="shared" si="147"/>
        <v>6</v>
      </c>
      <c r="T205" s="129">
        <f t="shared" si="127"/>
        <v>0</v>
      </c>
      <c r="U205" s="165">
        <f t="shared" si="148"/>
        <v>0</v>
      </c>
      <c r="V205" s="75"/>
      <c r="W205" s="131">
        <f t="shared" si="138"/>
        <v>4.1666666666666664E-2</v>
      </c>
      <c r="X205" s="126">
        <f t="shared" si="149"/>
        <v>0</v>
      </c>
      <c r="Y205" s="127">
        <f t="shared" si="131"/>
        <v>0.33333333333333331</v>
      </c>
      <c r="Z205" s="128">
        <f t="shared" si="132"/>
        <v>0</v>
      </c>
      <c r="AA205" s="76" t="str">
        <f t="shared" si="133"/>
        <v/>
      </c>
      <c r="AB205" s="216">
        <f t="shared" si="139"/>
        <v>0</v>
      </c>
      <c r="AC205" s="163" t="str">
        <f t="shared" si="134"/>
        <v/>
      </c>
      <c r="AD205" s="257">
        <f t="shared" si="156"/>
        <v>0</v>
      </c>
      <c r="AE205" s="138"/>
      <c r="AF205" s="138" t="str">
        <f t="shared" si="157"/>
        <v/>
      </c>
      <c r="AG205" s="77">
        <f t="shared" si="135"/>
        <v>0</v>
      </c>
      <c r="AH205" s="77">
        <f t="shared" si="136"/>
        <v>0</v>
      </c>
      <c r="AI205" s="77" t="str">
        <f t="shared" si="158"/>
        <v/>
      </c>
      <c r="AJ205" s="78">
        <f t="shared" si="140"/>
        <v>4</v>
      </c>
      <c r="AK205" s="139">
        <f>SUM($AC$6:AC205)</f>
        <v>0</v>
      </c>
      <c r="AL205" s="139">
        <f t="shared" ca="1" si="150"/>
        <v>0</v>
      </c>
      <c r="AM205" s="143">
        <f t="shared" si="159"/>
        <v>0</v>
      </c>
      <c r="AN205" s="143">
        <f t="shared" si="160"/>
        <v>0</v>
      </c>
      <c r="AO205" s="143">
        <f t="shared" si="161"/>
        <v>0</v>
      </c>
      <c r="AP205" s="142">
        <f t="shared" si="151"/>
        <v>30</v>
      </c>
      <c r="AQ205" s="142">
        <f t="shared" ca="1" si="152"/>
        <v>30</v>
      </c>
      <c r="AR205" s="154">
        <f t="shared" si="125"/>
        <v>0</v>
      </c>
      <c r="AS205" s="142">
        <f t="shared" si="153"/>
        <v>0</v>
      </c>
      <c r="AT205" t="b">
        <f>OR((F205&gt;0),(NOT(ISBLANK(H205))),SUM(H205:H$373),SUM(G205:G$373))</f>
        <v>0</v>
      </c>
      <c r="AU205" t="b">
        <f t="shared" ca="1" si="141"/>
        <v>0</v>
      </c>
    </row>
    <row r="206" spans="1:47">
      <c r="A206" s="349">
        <f t="shared" si="154"/>
        <v>41839</v>
      </c>
      <c r="B206" s="350">
        <f t="shared" si="155"/>
        <v>41839</v>
      </c>
      <c r="C206" s="351">
        <f t="shared" si="128"/>
        <v>29</v>
      </c>
      <c r="D206" s="352">
        <f t="shared" si="129"/>
        <v>41820</v>
      </c>
      <c r="E206" s="364" t="str">
        <f t="shared" si="142"/>
        <v/>
      </c>
      <c r="F206" s="6"/>
      <c r="G206" s="7" t="str">
        <f t="shared" si="130"/>
        <v/>
      </c>
      <c r="H206" s="8"/>
      <c r="I206" s="8">
        <f t="shared" si="126"/>
        <v>0</v>
      </c>
      <c r="J206" s="129">
        <f t="shared" si="162"/>
        <v>0</v>
      </c>
      <c r="K206" s="8"/>
      <c r="L206" s="8">
        <f t="shared" si="143"/>
        <v>0</v>
      </c>
      <c r="M206" s="129">
        <f t="shared" si="144"/>
        <v>0</v>
      </c>
      <c r="N206" s="129"/>
      <c r="O206" s="129">
        <f t="shared" si="137"/>
        <v>0</v>
      </c>
      <c r="P206" s="129"/>
      <c r="Q206" s="129">
        <f t="shared" si="145"/>
        <v>0</v>
      </c>
      <c r="R206" s="129">
        <f t="shared" si="146"/>
        <v>0</v>
      </c>
      <c r="S206" s="693">
        <f t="shared" si="147"/>
        <v>6</v>
      </c>
      <c r="T206" s="129">
        <f t="shared" si="127"/>
        <v>0</v>
      </c>
      <c r="U206" s="165">
        <f t="shared" si="148"/>
        <v>0</v>
      </c>
      <c r="V206" s="75"/>
      <c r="W206" s="131">
        <f t="shared" si="138"/>
        <v>4.1666666666666664E-2</v>
      </c>
      <c r="X206" s="126">
        <f t="shared" si="149"/>
        <v>0</v>
      </c>
      <c r="Y206" s="127">
        <f t="shared" si="131"/>
        <v>0.33333333333333331</v>
      </c>
      <c r="Z206" s="128">
        <f t="shared" si="132"/>
        <v>0</v>
      </c>
      <c r="AA206" s="76" t="str">
        <f t="shared" si="133"/>
        <v/>
      </c>
      <c r="AB206" s="216">
        <f t="shared" si="139"/>
        <v>0</v>
      </c>
      <c r="AC206" s="163" t="str">
        <f t="shared" si="134"/>
        <v/>
      </c>
      <c r="AD206" s="257">
        <f t="shared" si="156"/>
        <v>0</v>
      </c>
      <c r="AE206" s="138"/>
      <c r="AF206" s="138" t="str">
        <f t="shared" si="157"/>
        <v/>
      </c>
      <c r="AG206" s="77">
        <f t="shared" si="135"/>
        <v>0</v>
      </c>
      <c r="AH206" s="77">
        <f t="shared" si="136"/>
        <v>0</v>
      </c>
      <c r="AI206" s="77" t="str">
        <f t="shared" si="158"/>
        <v/>
      </c>
      <c r="AJ206" s="78">
        <f t="shared" si="140"/>
        <v>5</v>
      </c>
      <c r="AK206" s="139">
        <f>SUM($AC$6:AC206)</f>
        <v>0</v>
      </c>
      <c r="AL206" s="139">
        <f t="shared" ca="1" si="150"/>
        <v>0</v>
      </c>
      <c r="AM206" s="143">
        <f t="shared" si="159"/>
        <v>0</v>
      </c>
      <c r="AN206" s="143">
        <f t="shared" si="160"/>
        <v>0</v>
      </c>
      <c r="AO206" s="143">
        <f t="shared" si="161"/>
        <v>0</v>
      </c>
      <c r="AP206" s="142">
        <f t="shared" si="151"/>
        <v>30</v>
      </c>
      <c r="AQ206" s="142">
        <f t="shared" ca="1" si="152"/>
        <v>30</v>
      </c>
      <c r="AR206" s="154">
        <f t="shared" ref="AR206:AR269" si="163">(IF(ISNUMBER(U206),U206,0)+IF(ISNUMBER(AC206),AC206,0))*24</f>
        <v>0</v>
      </c>
      <c r="AS206" s="142">
        <f t="shared" si="153"/>
        <v>0</v>
      </c>
      <c r="AT206" t="b">
        <f>OR((F206&gt;0),(NOT(ISBLANK(H206))),SUM(H206:H$373),SUM(G206:G$373))</f>
        <v>0</v>
      </c>
      <c r="AU206" t="b">
        <f t="shared" ca="1" si="141"/>
        <v>0</v>
      </c>
    </row>
    <row r="207" spans="1:47">
      <c r="A207" s="349">
        <f t="shared" si="154"/>
        <v>41840</v>
      </c>
      <c r="B207" s="350">
        <f t="shared" si="155"/>
        <v>41840</v>
      </c>
      <c r="C207" s="351">
        <f t="shared" si="128"/>
        <v>29</v>
      </c>
      <c r="D207" s="352">
        <f t="shared" si="129"/>
        <v>41820</v>
      </c>
      <c r="E207" s="364" t="str">
        <f t="shared" si="142"/>
        <v/>
      </c>
      <c r="F207" s="6"/>
      <c r="G207" s="7" t="str">
        <f t="shared" si="130"/>
        <v/>
      </c>
      <c r="H207" s="8"/>
      <c r="I207" s="8">
        <f t="shared" si="126"/>
        <v>0</v>
      </c>
      <c r="J207" s="129">
        <f t="shared" si="162"/>
        <v>0</v>
      </c>
      <c r="K207" s="8"/>
      <c r="L207" s="8">
        <f t="shared" si="143"/>
        <v>0</v>
      </c>
      <c r="M207" s="129">
        <f t="shared" si="144"/>
        <v>0</v>
      </c>
      <c r="N207" s="129"/>
      <c r="O207" s="129">
        <f t="shared" si="137"/>
        <v>0</v>
      </c>
      <c r="P207" s="129"/>
      <c r="Q207" s="129">
        <f t="shared" si="145"/>
        <v>0</v>
      </c>
      <c r="R207" s="129">
        <f t="shared" si="146"/>
        <v>0</v>
      </c>
      <c r="S207" s="693">
        <f t="shared" si="147"/>
        <v>6</v>
      </c>
      <c r="T207" s="129">
        <f t="shared" si="127"/>
        <v>0</v>
      </c>
      <c r="U207" s="165">
        <f t="shared" si="148"/>
        <v>0</v>
      </c>
      <c r="V207" s="75"/>
      <c r="W207" s="131">
        <f t="shared" si="138"/>
        <v>4.1666666666666664E-2</v>
      </c>
      <c r="X207" s="126">
        <f t="shared" si="149"/>
        <v>0</v>
      </c>
      <c r="Y207" s="127">
        <f t="shared" si="131"/>
        <v>0</v>
      </c>
      <c r="Z207" s="128">
        <f t="shared" si="132"/>
        <v>0</v>
      </c>
      <c r="AA207" s="76" t="str">
        <f t="shared" si="133"/>
        <v/>
      </c>
      <c r="AB207" s="216">
        <f t="shared" si="139"/>
        <v>0</v>
      </c>
      <c r="AC207" s="163" t="str">
        <f t="shared" si="134"/>
        <v/>
      </c>
      <c r="AD207" s="257">
        <f t="shared" si="156"/>
        <v>0</v>
      </c>
      <c r="AE207" s="138"/>
      <c r="AF207" s="138" t="str">
        <f t="shared" si="157"/>
        <v/>
      </c>
      <c r="AG207" s="77">
        <f t="shared" si="135"/>
        <v>0</v>
      </c>
      <c r="AH207" s="77">
        <f t="shared" si="136"/>
        <v>0</v>
      </c>
      <c r="AI207" s="77" t="str">
        <f t="shared" si="158"/>
        <v/>
      </c>
      <c r="AJ207" s="78">
        <f t="shared" si="140"/>
        <v>6</v>
      </c>
      <c r="AK207" s="139">
        <f>SUM($AC$6:AC207)</f>
        <v>0</v>
      </c>
      <c r="AL207" s="139">
        <f t="shared" ca="1" si="150"/>
        <v>0</v>
      </c>
      <c r="AM207" s="143">
        <f t="shared" si="159"/>
        <v>0</v>
      </c>
      <c r="AN207" s="143">
        <f t="shared" si="160"/>
        <v>0</v>
      </c>
      <c r="AO207" s="143">
        <f t="shared" si="161"/>
        <v>0</v>
      </c>
      <c r="AP207" s="142">
        <f t="shared" si="151"/>
        <v>30</v>
      </c>
      <c r="AQ207" s="142">
        <f t="shared" ca="1" si="152"/>
        <v>30</v>
      </c>
      <c r="AR207" s="154">
        <f t="shared" si="163"/>
        <v>0</v>
      </c>
      <c r="AS207" s="142">
        <f t="shared" si="153"/>
        <v>7</v>
      </c>
      <c r="AT207" t="b">
        <f>OR((F207&gt;0),(NOT(ISBLANK(H207))),SUM(H207:H$373),SUM(G207:G$373))</f>
        <v>0</v>
      </c>
      <c r="AU207" t="b">
        <f t="shared" ca="1" si="141"/>
        <v>1</v>
      </c>
    </row>
    <row r="208" spans="1:47">
      <c r="A208" s="349">
        <f t="shared" si="154"/>
        <v>41841</v>
      </c>
      <c r="B208" s="350">
        <f t="shared" si="155"/>
        <v>41841</v>
      </c>
      <c r="C208" s="351">
        <f t="shared" si="128"/>
        <v>29</v>
      </c>
      <c r="D208" s="352">
        <f t="shared" si="129"/>
        <v>41820</v>
      </c>
      <c r="E208" s="364" t="str">
        <f t="shared" si="142"/>
        <v/>
      </c>
      <c r="F208" s="6"/>
      <c r="G208" s="7" t="str">
        <f t="shared" si="130"/>
        <v/>
      </c>
      <c r="H208" s="8"/>
      <c r="I208" s="8">
        <f t="shared" si="126"/>
        <v>0</v>
      </c>
      <c r="J208" s="129">
        <f t="shared" si="162"/>
        <v>0</v>
      </c>
      <c r="K208" s="8"/>
      <c r="L208" s="8">
        <f t="shared" si="143"/>
        <v>0</v>
      </c>
      <c r="M208" s="129">
        <f t="shared" si="144"/>
        <v>0</v>
      </c>
      <c r="N208" s="129"/>
      <c r="O208" s="129">
        <f t="shared" si="137"/>
        <v>0</v>
      </c>
      <c r="P208" s="129"/>
      <c r="Q208" s="129">
        <f t="shared" si="145"/>
        <v>0</v>
      </c>
      <c r="R208" s="129">
        <f t="shared" si="146"/>
        <v>0</v>
      </c>
      <c r="S208" s="693">
        <f t="shared" si="147"/>
        <v>6</v>
      </c>
      <c r="T208" s="129">
        <f t="shared" si="127"/>
        <v>0</v>
      </c>
      <c r="U208" s="165">
        <f t="shared" si="148"/>
        <v>0</v>
      </c>
      <c r="V208" s="75"/>
      <c r="W208" s="131">
        <f t="shared" si="138"/>
        <v>4.1666666666666664E-2</v>
      </c>
      <c r="X208" s="126">
        <f t="shared" si="149"/>
        <v>0</v>
      </c>
      <c r="Y208" s="127">
        <f t="shared" si="131"/>
        <v>0</v>
      </c>
      <c r="Z208" s="128">
        <f t="shared" si="132"/>
        <v>0</v>
      </c>
      <c r="AA208" s="76" t="str">
        <f t="shared" si="133"/>
        <v/>
      </c>
      <c r="AB208" s="216">
        <f t="shared" si="139"/>
        <v>0</v>
      </c>
      <c r="AC208" s="163" t="str">
        <f t="shared" si="134"/>
        <v/>
      </c>
      <c r="AD208" s="257">
        <f t="shared" si="156"/>
        <v>0</v>
      </c>
      <c r="AE208" s="138"/>
      <c r="AF208" s="138" t="str">
        <f t="shared" si="157"/>
        <v/>
      </c>
      <c r="AG208" s="77">
        <f t="shared" si="135"/>
        <v>0</v>
      </c>
      <c r="AH208" s="77">
        <f t="shared" si="136"/>
        <v>0</v>
      </c>
      <c r="AI208" s="77" t="str">
        <f t="shared" si="158"/>
        <v/>
      </c>
      <c r="AJ208" s="78">
        <f t="shared" si="140"/>
        <v>7</v>
      </c>
      <c r="AK208" s="139">
        <f>SUM($AC$6:AC208)</f>
        <v>0</v>
      </c>
      <c r="AL208" s="139">
        <f t="shared" ca="1" si="150"/>
        <v>0</v>
      </c>
      <c r="AM208" s="143">
        <f t="shared" si="159"/>
        <v>0</v>
      </c>
      <c r="AN208" s="143">
        <f t="shared" si="160"/>
        <v>0</v>
      </c>
      <c r="AO208" s="143">
        <f t="shared" si="161"/>
        <v>0</v>
      </c>
      <c r="AP208" s="142">
        <f t="shared" si="151"/>
        <v>30</v>
      </c>
      <c r="AQ208" s="142">
        <f t="shared" ca="1" si="152"/>
        <v>30</v>
      </c>
      <c r="AR208" s="154">
        <f t="shared" si="163"/>
        <v>0</v>
      </c>
      <c r="AS208" s="142">
        <f t="shared" si="153"/>
        <v>7</v>
      </c>
      <c r="AT208" t="b">
        <f>OR((F208&gt;0),(NOT(ISBLANK(H208))),SUM(H208:H$373),SUM(G208:G$373))</f>
        <v>0</v>
      </c>
      <c r="AU208" t="b">
        <f t="shared" ca="1" si="141"/>
        <v>1</v>
      </c>
    </row>
    <row r="209" spans="1:47">
      <c r="A209" s="349">
        <f t="shared" si="154"/>
        <v>41842</v>
      </c>
      <c r="B209" s="350">
        <f t="shared" si="155"/>
        <v>41842</v>
      </c>
      <c r="C209" s="351">
        <f t="shared" si="128"/>
        <v>30</v>
      </c>
      <c r="D209" s="352">
        <f t="shared" si="129"/>
        <v>41820</v>
      </c>
      <c r="E209" s="364" t="str">
        <f t="shared" si="142"/>
        <v/>
      </c>
      <c r="F209" s="6"/>
      <c r="G209" s="7" t="str">
        <f t="shared" si="130"/>
        <v/>
      </c>
      <c r="H209" s="8"/>
      <c r="I209" s="8">
        <f t="shared" si="126"/>
        <v>0</v>
      </c>
      <c r="J209" s="129">
        <f t="shared" si="162"/>
        <v>0</v>
      </c>
      <c r="K209" s="8"/>
      <c r="L209" s="8">
        <f t="shared" si="143"/>
        <v>0</v>
      </c>
      <c r="M209" s="129">
        <f t="shared" si="144"/>
        <v>0</v>
      </c>
      <c r="N209" s="129"/>
      <c r="O209" s="129">
        <f t="shared" si="137"/>
        <v>0</v>
      </c>
      <c r="P209" s="129"/>
      <c r="Q209" s="129">
        <f t="shared" si="145"/>
        <v>0</v>
      </c>
      <c r="R209" s="129">
        <f t="shared" si="146"/>
        <v>0</v>
      </c>
      <c r="S209" s="693">
        <f t="shared" si="147"/>
        <v>6</v>
      </c>
      <c r="T209" s="129">
        <f t="shared" si="127"/>
        <v>0</v>
      </c>
      <c r="U209" s="165">
        <f t="shared" si="148"/>
        <v>0</v>
      </c>
      <c r="V209" s="75"/>
      <c r="W209" s="131">
        <f t="shared" si="138"/>
        <v>4.1666666666666664E-2</v>
      </c>
      <c r="X209" s="126">
        <f t="shared" si="149"/>
        <v>0</v>
      </c>
      <c r="Y209" s="127">
        <f t="shared" si="131"/>
        <v>0.33333333333333331</v>
      </c>
      <c r="Z209" s="128">
        <f t="shared" si="132"/>
        <v>0</v>
      </c>
      <c r="AA209" s="76" t="str">
        <f t="shared" si="133"/>
        <v/>
      </c>
      <c r="AB209" s="216">
        <f t="shared" si="139"/>
        <v>0</v>
      </c>
      <c r="AC209" s="163" t="str">
        <f t="shared" si="134"/>
        <v/>
      </c>
      <c r="AD209" s="257">
        <f t="shared" si="156"/>
        <v>0</v>
      </c>
      <c r="AE209" s="138"/>
      <c r="AF209" s="138" t="str">
        <f t="shared" si="157"/>
        <v/>
      </c>
      <c r="AG209" s="77">
        <f t="shared" si="135"/>
        <v>0</v>
      </c>
      <c r="AH209" s="77">
        <f t="shared" si="136"/>
        <v>0</v>
      </c>
      <c r="AI209" s="77" t="str">
        <f t="shared" si="158"/>
        <v/>
      </c>
      <c r="AJ209" s="78">
        <f t="shared" si="140"/>
        <v>1</v>
      </c>
      <c r="AK209" s="139">
        <f>SUM($AC$6:AC209)</f>
        <v>0</v>
      </c>
      <c r="AL209" s="139">
        <f t="shared" ca="1" si="150"/>
        <v>0</v>
      </c>
      <c r="AM209" s="143">
        <f t="shared" si="159"/>
        <v>0</v>
      </c>
      <c r="AN209" s="143">
        <f t="shared" si="160"/>
        <v>0</v>
      </c>
      <c r="AO209" s="143">
        <f t="shared" si="161"/>
        <v>0</v>
      </c>
      <c r="AP209" s="142">
        <f t="shared" si="151"/>
        <v>30</v>
      </c>
      <c r="AQ209" s="142">
        <f t="shared" ca="1" si="152"/>
        <v>30</v>
      </c>
      <c r="AR209" s="154">
        <f t="shared" si="163"/>
        <v>0</v>
      </c>
      <c r="AS209" s="142">
        <f t="shared" si="153"/>
        <v>0</v>
      </c>
      <c r="AT209" t="b">
        <f>OR((F209&gt;0),(NOT(ISBLANK(H209))),SUM(H209:H$373),SUM(G209:G$373))</f>
        <v>0</v>
      </c>
      <c r="AU209" t="b">
        <f t="shared" ca="1" si="141"/>
        <v>0</v>
      </c>
    </row>
    <row r="210" spans="1:47">
      <c r="A210" s="349">
        <f t="shared" si="154"/>
        <v>41843</v>
      </c>
      <c r="B210" s="350">
        <f t="shared" si="155"/>
        <v>41843</v>
      </c>
      <c r="C210" s="351">
        <f t="shared" si="128"/>
        <v>30</v>
      </c>
      <c r="D210" s="352">
        <f t="shared" si="129"/>
        <v>41820</v>
      </c>
      <c r="E210" s="364" t="str">
        <f t="shared" si="142"/>
        <v/>
      </c>
      <c r="F210" s="6"/>
      <c r="G210" s="7" t="str">
        <f t="shared" si="130"/>
        <v/>
      </c>
      <c r="H210" s="8"/>
      <c r="I210" s="8">
        <f t="shared" ref="I210:I273" si="164">IF(H210&gt;0,H210+X210+W210+AB210,0)</f>
        <v>0</v>
      </c>
      <c r="J210" s="129">
        <f t="shared" si="162"/>
        <v>0</v>
      </c>
      <c r="K210" s="8"/>
      <c r="L210" s="8">
        <f t="shared" si="143"/>
        <v>0</v>
      </c>
      <c r="M210" s="129">
        <f t="shared" si="144"/>
        <v>0</v>
      </c>
      <c r="N210" s="129"/>
      <c r="O210" s="129">
        <f t="shared" si="137"/>
        <v>0</v>
      </c>
      <c r="P210" s="129"/>
      <c r="Q210" s="129">
        <f t="shared" si="145"/>
        <v>0</v>
      </c>
      <c r="R210" s="129">
        <f t="shared" si="146"/>
        <v>0</v>
      </c>
      <c r="S210" s="693">
        <f t="shared" si="147"/>
        <v>6</v>
      </c>
      <c r="T210" s="129">
        <f t="shared" ref="T210:T273" si="165">IF((J210-H210)&gt;=TIME(S210,0,1),W210,(IF(OR(R210&lt;TIME(S210,0,1),AND(K210&lt;&gt;0,(K210-J210)&gt;=W210)),0,IF(AND(K210&lt;&gt;0,(K210-J210)&lt;W210),W210-(K210-J210),W210))))</f>
        <v>0</v>
      </c>
      <c r="U210" s="165">
        <f t="shared" si="148"/>
        <v>0</v>
      </c>
      <c r="V210" s="75"/>
      <c r="W210" s="131">
        <f t="shared" si="138"/>
        <v>4.1666666666666664E-2</v>
      </c>
      <c r="X210" s="126">
        <f t="shared" si="149"/>
        <v>0</v>
      </c>
      <c r="Y210" s="127">
        <f t="shared" si="131"/>
        <v>0.33333333333333331</v>
      </c>
      <c r="Z210" s="128">
        <f t="shared" si="132"/>
        <v>0</v>
      </c>
      <c r="AA210" s="76" t="str">
        <f t="shared" si="133"/>
        <v/>
      </c>
      <c r="AB210" s="216">
        <f t="shared" si="139"/>
        <v>0</v>
      </c>
      <c r="AC210" s="163" t="str">
        <f t="shared" si="134"/>
        <v/>
      </c>
      <c r="AD210" s="257">
        <f t="shared" si="156"/>
        <v>0</v>
      </c>
      <c r="AE210" s="138"/>
      <c r="AF210" s="138" t="str">
        <f t="shared" si="157"/>
        <v/>
      </c>
      <c r="AG210" s="77">
        <f t="shared" si="135"/>
        <v>0</v>
      </c>
      <c r="AH210" s="77">
        <f t="shared" si="136"/>
        <v>0</v>
      </c>
      <c r="AI210" s="77" t="str">
        <f t="shared" si="158"/>
        <v/>
      </c>
      <c r="AJ210" s="78">
        <f t="shared" si="140"/>
        <v>2</v>
      </c>
      <c r="AK210" s="139">
        <f>SUM($AC$6:AC210)</f>
        <v>0</v>
      </c>
      <c r="AL210" s="139">
        <f t="shared" ca="1" si="150"/>
        <v>0</v>
      </c>
      <c r="AM210" s="143">
        <f t="shared" si="159"/>
        <v>0</v>
      </c>
      <c r="AN210" s="143">
        <f t="shared" si="160"/>
        <v>0</v>
      </c>
      <c r="AO210" s="143">
        <f t="shared" si="161"/>
        <v>0</v>
      </c>
      <c r="AP210" s="142">
        <f t="shared" si="151"/>
        <v>30</v>
      </c>
      <c r="AQ210" s="142">
        <f t="shared" ca="1" si="152"/>
        <v>30</v>
      </c>
      <c r="AR210" s="154">
        <f t="shared" si="163"/>
        <v>0</v>
      </c>
      <c r="AS210" s="142">
        <f t="shared" si="153"/>
        <v>0</v>
      </c>
      <c r="AT210" t="b">
        <f>OR((F210&gt;0),(NOT(ISBLANK(H210))),SUM(H210:H$373),SUM(G210:G$373))</f>
        <v>0</v>
      </c>
      <c r="AU210" t="b">
        <f t="shared" ca="1" si="141"/>
        <v>0</v>
      </c>
    </row>
    <row r="211" spans="1:47">
      <c r="A211" s="349">
        <f t="shared" si="154"/>
        <v>41844</v>
      </c>
      <c r="B211" s="350">
        <f t="shared" si="155"/>
        <v>41844</v>
      </c>
      <c r="C211" s="351">
        <f t="shared" si="128"/>
        <v>30</v>
      </c>
      <c r="D211" s="352">
        <f t="shared" si="129"/>
        <v>41820</v>
      </c>
      <c r="E211" s="364" t="str">
        <f t="shared" si="142"/>
        <v/>
      </c>
      <c r="F211" s="6"/>
      <c r="G211" s="7" t="str">
        <f t="shared" si="130"/>
        <v/>
      </c>
      <c r="H211" s="8"/>
      <c r="I211" s="8">
        <f t="shared" si="164"/>
        <v>0</v>
      </c>
      <c r="J211" s="129">
        <f t="shared" si="162"/>
        <v>0</v>
      </c>
      <c r="K211" s="8"/>
      <c r="L211" s="8">
        <f t="shared" si="143"/>
        <v>0</v>
      </c>
      <c r="M211" s="129">
        <f t="shared" si="144"/>
        <v>0</v>
      </c>
      <c r="N211" s="129"/>
      <c r="O211" s="129">
        <f t="shared" si="137"/>
        <v>0</v>
      </c>
      <c r="P211" s="129"/>
      <c r="Q211" s="129">
        <f t="shared" si="145"/>
        <v>0</v>
      </c>
      <c r="R211" s="129">
        <f t="shared" si="146"/>
        <v>0</v>
      </c>
      <c r="S211" s="693">
        <f t="shared" si="147"/>
        <v>6</v>
      </c>
      <c r="T211" s="129">
        <f t="shared" si="165"/>
        <v>0</v>
      </c>
      <c r="U211" s="165">
        <f t="shared" si="148"/>
        <v>0</v>
      </c>
      <c r="V211" s="75"/>
      <c r="W211" s="131">
        <f t="shared" si="138"/>
        <v>4.1666666666666664E-2</v>
      </c>
      <c r="X211" s="126">
        <f t="shared" si="149"/>
        <v>0</v>
      </c>
      <c r="Y211" s="127">
        <f t="shared" si="131"/>
        <v>0.33333333333333331</v>
      </c>
      <c r="Z211" s="128">
        <f t="shared" si="132"/>
        <v>0</v>
      </c>
      <c r="AA211" s="76" t="str">
        <f t="shared" si="133"/>
        <v/>
      </c>
      <c r="AB211" s="216">
        <f t="shared" si="139"/>
        <v>0</v>
      </c>
      <c r="AC211" s="163" t="str">
        <f t="shared" si="134"/>
        <v/>
      </c>
      <c r="AD211" s="257">
        <f t="shared" si="156"/>
        <v>0</v>
      </c>
      <c r="AE211" s="138"/>
      <c r="AF211" s="138" t="str">
        <f t="shared" si="157"/>
        <v/>
      </c>
      <c r="AG211" s="77">
        <f t="shared" si="135"/>
        <v>0</v>
      </c>
      <c r="AH211" s="77">
        <f t="shared" si="136"/>
        <v>0</v>
      </c>
      <c r="AI211" s="77" t="str">
        <f t="shared" si="158"/>
        <v/>
      </c>
      <c r="AJ211" s="78">
        <f t="shared" si="140"/>
        <v>3</v>
      </c>
      <c r="AK211" s="139">
        <f>SUM($AC$6:AC211)</f>
        <v>0</v>
      </c>
      <c r="AL211" s="139">
        <f t="shared" ca="1" si="150"/>
        <v>0</v>
      </c>
      <c r="AM211" s="143">
        <f t="shared" si="159"/>
        <v>0</v>
      </c>
      <c r="AN211" s="143">
        <f t="shared" si="160"/>
        <v>0</v>
      </c>
      <c r="AO211" s="143">
        <f t="shared" si="161"/>
        <v>0</v>
      </c>
      <c r="AP211" s="142">
        <f t="shared" si="151"/>
        <v>30</v>
      </c>
      <c r="AQ211" s="142">
        <f t="shared" ca="1" si="152"/>
        <v>30</v>
      </c>
      <c r="AR211" s="154">
        <f t="shared" si="163"/>
        <v>0</v>
      </c>
      <c r="AS211" s="142">
        <f t="shared" si="153"/>
        <v>0</v>
      </c>
      <c r="AT211" t="b">
        <f>OR((F211&gt;0),(NOT(ISBLANK(H211))),SUM(H211:H$373),SUM(G211:G$373))</f>
        <v>0</v>
      </c>
      <c r="AU211" t="b">
        <f t="shared" ca="1" si="141"/>
        <v>0</v>
      </c>
    </row>
    <row r="212" spans="1:47">
      <c r="A212" s="349">
        <f t="shared" si="154"/>
        <v>41845</v>
      </c>
      <c r="B212" s="350">
        <f t="shared" si="155"/>
        <v>41845</v>
      </c>
      <c r="C212" s="351">
        <f t="shared" ref="C212:C275" si="166">IF(A212="","",NumberOfWeek(A212))</f>
        <v>30</v>
      </c>
      <c r="D212" s="352">
        <f t="shared" ref="D212:D275" si="167">IF(A212="","",DATE(YEAR(A212),MONTH(A212),1))</f>
        <v>41820</v>
      </c>
      <c r="E212" s="364" t="str">
        <f t="shared" si="142"/>
        <v/>
      </c>
      <c r="F212" s="6"/>
      <c r="G212" s="7" t="str">
        <f t="shared" ref="G212:G275" si="168">IF(ISBLANK(F212),IF(ISBLANK(H212),"",0),CODE(UPPER(F212)))</f>
        <v/>
      </c>
      <c r="H212" s="8"/>
      <c r="I212" s="8">
        <f t="shared" si="164"/>
        <v>0</v>
      </c>
      <c r="J212" s="129">
        <f t="shared" si="162"/>
        <v>0</v>
      </c>
      <c r="K212" s="8"/>
      <c r="L212" s="8">
        <f t="shared" si="143"/>
        <v>0</v>
      </c>
      <c r="M212" s="129">
        <f t="shared" si="144"/>
        <v>0</v>
      </c>
      <c r="N212" s="129"/>
      <c r="O212" s="129">
        <f t="shared" si="137"/>
        <v>0</v>
      </c>
      <c r="P212" s="129"/>
      <c r="Q212" s="129">
        <f t="shared" si="145"/>
        <v>0</v>
      </c>
      <c r="R212" s="129">
        <f t="shared" si="146"/>
        <v>0</v>
      </c>
      <c r="S212" s="693">
        <f t="shared" si="147"/>
        <v>6</v>
      </c>
      <c r="T212" s="129">
        <f t="shared" si="165"/>
        <v>0</v>
      </c>
      <c r="U212" s="165">
        <f t="shared" si="148"/>
        <v>0</v>
      </c>
      <c r="V212" s="75"/>
      <c r="W212" s="131">
        <f t="shared" si="138"/>
        <v>4.1666666666666664E-2</v>
      </c>
      <c r="X212" s="126">
        <f t="shared" si="149"/>
        <v>0</v>
      </c>
      <c r="Y212" s="127">
        <f t="shared" ref="Y212:Y275" si="169">IF(AND(AJ212&gt;0,AJ212&lt;Feiertag),INDEX(Arbeitszeit,AJ212),"")</f>
        <v>0.33333333333333331</v>
      </c>
      <c r="Z212" s="128">
        <f t="shared" ref="Z212:Z275" si="170">U212-X212</f>
        <v>0</v>
      </c>
      <c r="AA212" s="76" t="str">
        <f t="shared" ref="AA212:AA275" si="171">IF((U212-X212)&lt;0,"*","")</f>
        <v/>
      </c>
      <c r="AB212" s="216">
        <f t="shared" si="139"/>
        <v>0</v>
      </c>
      <c r="AC212" s="163" t="str">
        <f t="shared" ref="AC212:AC275" si="172">IF((R212-T212)&gt;XWorkTimeMax,(R212-T212-XWorkTimeMax),"")</f>
        <v/>
      </c>
      <c r="AD212" s="257">
        <f t="shared" si="156"/>
        <v>0</v>
      </c>
      <c r="AE212" s="138"/>
      <c r="AF212" s="138" t="str">
        <f t="shared" si="157"/>
        <v/>
      </c>
      <c r="AG212" s="77">
        <f t="shared" si="135"/>
        <v>0</v>
      </c>
      <c r="AH212" s="77">
        <f t="shared" si="136"/>
        <v>0</v>
      </c>
      <c r="AI212" s="77" t="str">
        <f t="shared" si="158"/>
        <v/>
      </c>
      <c r="AJ212" s="78">
        <f t="shared" si="140"/>
        <v>4</v>
      </c>
      <c r="AK212" s="139">
        <f>SUM($AC$6:AC212)</f>
        <v>0</v>
      </c>
      <c r="AL212" s="139">
        <f t="shared" ca="1" si="150"/>
        <v>0</v>
      </c>
      <c r="AM212" s="143">
        <f t="shared" si="159"/>
        <v>0</v>
      </c>
      <c r="AN212" s="143">
        <f t="shared" si="160"/>
        <v>0</v>
      </c>
      <c r="AO212" s="143">
        <f t="shared" si="161"/>
        <v>0</v>
      </c>
      <c r="AP212" s="142">
        <f t="shared" si="151"/>
        <v>30</v>
      </c>
      <c r="AQ212" s="142">
        <f t="shared" ca="1" si="152"/>
        <v>30</v>
      </c>
      <c r="AR212" s="154">
        <f t="shared" si="163"/>
        <v>0</v>
      </c>
      <c r="AS212" s="142">
        <f t="shared" si="153"/>
        <v>0</v>
      </c>
      <c r="AT212" t="b">
        <f>OR((F212&gt;0),(NOT(ISBLANK(H212))),SUM(H212:H$373),SUM(G212:G$373))</f>
        <v>0</v>
      </c>
      <c r="AU212" t="b">
        <f t="shared" ca="1" si="141"/>
        <v>0</v>
      </c>
    </row>
    <row r="213" spans="1:47">
      <c r="A213" s="349">
        <f t="shared" si="154"/>
        <v>41846</v>
      </c>
      <c r="B213" s="350">
        <f t="shared" si="155"/>
        <v>41846</v>
      </c>
      <c r="C213" s="351">
        <f t="shared" si="166"/>
        <v>30</v>
      </c>
      <c r="D213" s="352">
        <f t="shared" si="167"/>
        <v>41820</v>
      </c>
      <c r="E213" s="364" t="str">
        <f t="shared" si="142"/>
        <v/>
      </c>
      <c r="F213" s="6"/>
      <c r="G213" s="7" t="str">
        <f t="shared" si="168"/>
        <v/>
      </c>
      <c r="H213" s="8"/>
      <c r="I213" s="8">
        <f t="shared" si="164"/>
        <v>0</v>
      </c>
      <c r="J213" s="129">
        <f t="shared" si="162"/>
        <v>0</v>
      </c>
      <c r="K213" s="8"/>
      <c r="L213" s="8">
        <f t="shared" si="143"/>
        <v>0</v>
      </c>
      <c r="M213" s="129">
        <f t="shared" si="144"/>
        <v>0</v>
      </c>
      <c r="N213" s="129"/>
      <c r="O213" s="129">
        <f t="shared" si="137"/>
        <v>0</v>
      </c>
      <c r="P213" s="129"/>
      <c r="Q213" s="129">
        <f t="shared" si="145"/>
        <v>0</v>
      </c>
      <c r="R213" s="129">
        <f t="shared" si="146"/>
        <v>0</v>
      </c>
      <c r="S213" s="693">
        <f t="shared" si="147"/>
        <v>6</v>
      </c>
      <c r="T213" s="129">
        <f t="shared" si="165"/>
        <v>0</v>
      </c>
      <c r="U213" s="165">
        <f t="shared" si="148"/>
        <v>0</v>
      </c>
      <c r="V213" s="75"/>
      <c r="W213" s="131">
        <f t="shared" si="138"/>
        <v>4.1666666666666664E-2</v>
      </c>
      <c r="X213" s="126">
        <f t="shared" si="149"/>
        <v>0</v>
      </c>
      <c r="Y213" s="127">
        <f t="shared" si="169"/>
        <v>0.33333333333333331</v>
      </c>
      <c r="Z213" s="128">
        <f t="shared" si="170"/>
        <v>0</v>
      </c>
      <c r="AA213" s="76" t="str">
        <f t="shared" si="171"/>
        <v/>
      </c>
      <c r="AB213" s="216">
        <f t="shared" si="139"/>
        <v>0</v>
      </c>
      <c r="AC213" s="163" t="str">
        <f t="shared" si="172"/>
        <v/>
      </c>
      <c r="AD213" s="257">
        <f t="shared" si="156"/>
        <v>0</v>
      </c>
      <c r="AE213" s="138"/>
      <c r="AF213" s="138" t="str">
        <f t="shared" si="157"/>
        <v/>
      </c>
      <c r="AG213" s="77">
        <f t="shared" si="135"/>
        <v>0</v>
      </c>
      <c r="AH213" s="77">
        <f t="shared" si="136"/>
        <v>0</v>
      </c>
      <c r="AI213" s="77" t="str">
        <f t="shared" si="158"/>
        <v/>
      </c>
      <c r="AJ213" s="78">
        <f t="shared" si="140"/>
        <v>5</v>
      </c>
      <c r="AK213" s="139">
        <f>SUM($AC$6:AC213)</f>
        <v>0</v>
      </c>
      <c r="AL213" s="139">
        <f t="shared" ca="1" si="150"/>
        <v>0</v>
      </c>
      <c r="AM213" s="143">
        <f t="shared" si="159"/>
        <v>0</v>
      </c>
      <c r="AN213" s="143">
        <f t="shared" si="160"/>
        <v>0</v>
      </c>
      <c r="AO213" s="143">
        <f t="shared" si="161"/>
        <v>0</v>
      </c>
      <c r="AP213" s="142">
        <f t="shared" si="151"/>
        <v>30</v>
      </c>
      <c r="AQ213" s="142">
        <f t="shared" ca="1" si="152"/>
        <v>30</v>
      </c>
      <c r="AR213" s="154">
        <f t="shared" si="163"/>
        <v>0</v>
      </c>
      <c r="AS213" s="142">
        <f t="shared" si="153"/>
        <v>0</v>
      </c>
      <c r="AT213" t="b">
        <f>OR((F213&gt;0),(NOT(ISBLANK(H213))),SUM(H213:H$373),SUM(G213:G$373))</f>
        <v>0</v>
      </c>
      <c r="AU213" t="b">
        <f t="shared" ca="1" si="141"/>
        <v>0</v>
      </c>
    </row>
    <row r="214" spans="1:47">
      <c r="A214" s="349">
        <f t="shared" si="154"/>
        <v>41847</v>
      </c>
      <c r="B214" s="350">
        <f t="shared" si="155"/>
        <v>41847</v>
      </c>
      <c r="C214" s="351">
        <f t="shared" si="166"/>
        <v>30</v>
      </c>
      <c r="D214" s="352">
        <f t="shared" si="167"/>
        <v>41820</v>
      </c>
      <c r="E214" s="364" t="str">
        <f t="shared" si="142"/>
        <v/>
      </c>
      <c r="F214" s="6"/>
      <c r="G214" s="7" t="str">
        <f t="shared" si="168"/>
        <v/>
      </c>
      <c r="H214" s="8"/>
      <c r="I214" s="8">
        <f t="shared" si="164"/>
        <v>0</v>
      </c>
      <c r="J214" s="129">
        <f t="shared" si="162"/>
        <v>0</v>
      </c>
      <c r="K214" s="8"/>
      <c r="L214" s="8">
        <f t="shared" si="143"/>
        <v>0</v>
      </c>
      <c r="M214" s="129">
        <f t="shared" si="144"/>
        <v>0</v>
      </c>
      <c r="N214" s="129"/>
      <c r="O214" s="129">
        <f t="shared" si="137"/>
        <v>0</v>
      </c>
      <c r="P214" s="129"/>
      <c r="Q214" s="129">
        <f t="shared" si="145"/>
        <v>0</v>
      </c>
      <c r="R214" s="129">
        <f t="shared" si="146"/>
        <v>0</v>
      </c>
      <c r="S214" s="693">
        <f t="shared" si="147"/>
        <v>6</v>
      </c>
      <c r="T214" s="129">
        <f t="shared" si="165"/>
        <v>0</v>
      </c>
      <c r="U214" s="165">
        <f t="shared" si="148"/>
        <v>0</v>
      </c>
      <c r="V214" s="75"/>
      <c r="W214" s="131">
        <f t="shared" si="138"/>
        <v>4.1666666666666664E-2</v>
      </c>
      <c r="X214" s="126">
        <f t="shared" si="149"/>
        <v>0</v>
      </c>
      <c r="Y214" s="127">
        <f t="shared" si="169"/>
        <v>0</v>
      </c>
      <c r="Z214" s="128">
        <f t="shared" si="170"/>
        <v>0</v>
      </c>
      <c r="AA214" s="76" t="str">
        <f t="shared" si="171"/>
        <v/>
      </c>
      <c r="AB214" s="216">
        <f t="shared" si="139"/>
        <v>0</v>
      </c>
      <c r="AC214" s="163" t="str">
        <f t="shared" si="172"/>
        <v/>
      </c>
      <c r="AD214" s="257">
        <f t="shared" si="156"/>
        <v>0</v>
      </c>
      <c r="AE214" s="138"/>
      <c r="AF214" s="138" t="str">
        <f t="shared" si="157"/>
        <v/>
      </c>
      <c r="AG214" s="77">
        <f t="shared" si="135"/>
        <v>0</v>
      </c>
      <c r="AH214" s="77">
        <f t="shared" si="136"/>
        <v>0</v>
      </c>
      <c r="AI214" s="77" t="str">
        <f t="shared" si="158"/>
        <v/>
      </c>
      <c r="AJ214" s="78">
        <f t="shared" si="140"/>
        <v>6</v>
      </c>
      <c r="AK214" s="139">
        <f>SUM($AC$6:AC214)</f>
        <v>0</v>
      </c>
      <c r="AL214" s="139">
        <f t="shared" ca="1" si="150"/>
        <v>0</v>
      </c>
      <c r="AM214" s="143">
        <f t="shared" si="159"/>
        <v>0</v>
      </c>
      <c r="AN214" s="143">
        <f t="shared" si="160"/>
        <v>0</v>
      </c>
      <c r="AO214" s="143">
        <f t="shared" si="161"/>
        <v>0</v>
      </c>
      <c r="AP214" s="142">
        <f t="shared" si="151"/>
        <v>30</v>
      </c>
      <c r="AQ214" s="142">
        <f t="shared" ca="1" si="152"/>
        <v>30</v>
      </c>
      <c r="AR214" s="154">
        <f t="shared" si="163"/>
        <v>0</v>
      </c>
      <c r="AS214" s="142">
        <f t="shared" si="153"/>
        <v>7</v>
      </c>
      <c r="AT214" t="b">
        <f>OR((F214&gt;0),(NOT(ISBLANK(H214))),SUM(H214:H$373),SUM(G214:G$373))</f>
        <v>0</v>
      </c>
      <c r="AU214" t="b">
        <f t="shared" ca="1" si="141"/>
        <v>1</v>
      </c>
    </row>
    <row r="215" spans="1:47">
      <c r="A215" s="349">
        <f t="shared" si="154"/>
        <v>41848</v>
      </c>
      <c r="B215" s="350">
        <f t="shared" si="155"/>
        <v>41848</v>
      </c>
      <c r="C215" s="351">
        <f t="shared" si="166"/>
        <v>30</v>
      </c>
      <c r="D215" s="352">
        <f t="shared" si="167"/>
        <v>41820</v>
      </c>
      <c r="E215" s="364" t="str">
        <f t="shared" si="142"/>
        <v/>
      </c>
      <c r="F215" s="6"/>
      <c r="G215" s="7" t="str">
        <f t="shared" si="168"/>
        <v/>
      </c>
      <c r="H215" s="8"/>
      <c r="I215" s="8">
        <f t="shared" si="164"/>
        <v>0</v>
      </c>
      <c r="J215" s="129">
        <f t="shared" si="162"/>
        <v>0</v>
      </c>
      <c r="K215" s="8"/>
      <c r="L215" s="8">
        <f t="shared" si="143"/>
        <v>0</v>
      </c>
      <c r="M215" s="129">
        <f t="shared" si="144"/>
        <v>0</v>
      </c>
      <c r="N215" s="129"/>
      <c r="O215" s="129">
        <f t="shared" si="137"/>
        <v>0</v>
      </c>
      <c r="P215" s="129"/>
      <c r="Q215" s="129">
        <f t="shared" si="145"/>
        <v>0</v>
      </c>
      <c r="R215" s="129">
        <f t="shared" si="146"/>
        <v>0</v>
      </c>
      <c r="S215" s="693">
        <f t="shared" si="147"/>
        <v>6</v>
      </c>
      <c r="T215" s="129">
        <f t="shared" si="165"/>
        <v>0</v>
      </c>
      <c r="U215" s="165">
        <f t="shared" si="148"/>
        <v>0</v>
      </c>
      <c r="V215" s="75"/>
      <c r="W215" s="131">
        <f t="shared" si="138"/>
        <v>4.1666666666666664E-2</v>
      </c>
      <c r="X215" s="126">
        <f t="shared" si="149"/>
        <v>0</v>
      </c>
      <c r="Y215" s="127">
        <f t="shared" si="169"/>
        <v>0</v>
      </c>
      <c r="Z215" s="128">
        <f t="shared" si="170"/>
        <v>0</v>
      </c>
      <c r="AA215" s="76" t="str">
        <f t="shared" si="171"/>
        <v/>
      </c>
      <c r="AB215" s="216">
        <f t="shared" si="139"/>
        <v>0</v>
      </c>
      <c r="AC215" s="163" t="str">
        <f t="shared" si="172"/>
        <v/>
      </c>
      <c r="AD215" s="257">
        <f t="shared" si="156"/>
        <v>0</v>
      </c>
      <c r="AE215" s="138"/>
      <c r="AF215" s="138" t="str">
        <f t="shared" si="157"/>
        <v/>
      </c>
      <c r="AG215" s="77">
        <f t="shared" ref="AG215:AG278" si="173">IF(ISNUMBER(U215 ), IF( U215 &gt;= X215, X215, U215 ),"")</f>
        <v>0</v>
      </c>
      <c r="AH215" s="77">
        <f t="shared" ref="AH215:AH278" si="174">IF( ISNUMBER( U215 ), IF( U215 &gt;= X215, U215 - X215, "" ), "" )</f>
        <v>0</v>
      </c>
      <c r="AI215" s="77" t="str">
        <f t="shared" si="158"/>
        <v/>
      </c>
      <c r="AJ215" s="78">
        <f t="shared" si="140"/>
        <v>7</v>
      </c>
      <c r="AK215" s="139">
        <f>SUM($AC$6:AC215)</f>
        <v>0</v>
      </c>
      <c r="AL215" s="139">
        <f t="shared" ca="1" si="150"/>
        <v>0</v>
      </c>
      <c r="AM215" s="143">
        <f t="shared" si="159"/>
        <v>0</v>
      </c>
      <c r="AN215" s="143">
        <f t="shared" si="160"/>
        <v>0</v>
      </c>
      <c r="AO215" s="143">
        <f t="shared" si="161"/>
        <v>0</v>
      </c>
      <c r="AP215" s="142">
        <f t="shared" si="151"/>
        <v>30</v>
      </c>
      <c r="AQ215" s="142">
        <f t="shared" ca="1" si="152"/>
        <v>30</v>
      </c>
      <c r="AR215" s="154">
        <f t="shared" si="163"/>
        <v>0</v>
      </c>
      <c r="AS215" s="142">
        <f t="shared" si="153"/>
        <v>7</v>
      </c>
      <c r="AT215" t="b">
        <f>OR((F215&gt;0),(NOT(ISBLANK(H215))),SUM(H215:H$373),SUM(G215:G$373))</f>
        <v>0</v>
      </c>
      <c r="AU215" t="b">
        <f t="shared" ca="1" si="141"/>
        <v>1</v>
      </c>
    </row>
    <row r="216" spans="1:47">
      <c r="A216" s="349">
        <f t="shared" si="154"/>
        <v>41849</v>
      </c>
      <c r="B216" s="350">
        <f t="shared" si="155"/>
        <v>41849</v>
      </c>
      <c r="C216" s="351">
        <f t="shared" si="166"/>
        <v>31</v>
      </c>
      <c r="D216" s="352">
        <f t="shared" si="167"/>
        <v>41820</v>
      </c>
      <c r="E216" s="364" t="str">
        <f t="shared" si="142"/>
        <v/>
      </c>
      <c r="F216" s="6"/>
      <c r="G216" s="7" t="str">
        <f t="shared" si="168"/>
        <v/>
      </c>
      <c r="H216" s="8"/>
      <c r="I216" s="8">
        <f t="shared" si="164"/>
        <v>0</v>
      </c>
      <c r="J216" s="129">
        <f t="shared" si="162"/>
        <v>0</v>
      </c>
      <c r="K216" s="8"/>
      <c r="L216" s="8">
        <f t="shared" si="143"/>
        <v>0</v>
      </c>
      <c r="M216" s="129">
        <f t="shared" si="144"/>
        <v>0</v>
      </c>
      <c r="N216" s="129"/>
      <c r="O216" s="129">
        <f t="shared" si="137"/>
        <v>0</v>
      </c>
      <c r="P216" s="129"/>
      <c r="Q216" s="129">
        <f t="shared" si="145"/>
        <v>0</v>
      </c>
      <c r="R216" s="129">
        <f t="shared" si="146"/>
        <v>0</v>
      </c>
      <c r="S216" s="693">
        <f t="shared" si="147"/>
        <v>6</v>
      </c>
      <c r="T216" s="129">
        <f t="shared" si="165"/>
        <v>0</v>
      </c>
      <c r="U216" s="165">
        <f t="shared" si="148"/>
        <v>0</v>
      </c>
      <c r="V216" s="75"/>
      <c r="W216" s="131">
        <f t="shared" si="138"/>
        <v>4.1666666666666664E-2</v>
      </c>
      <c r="X216" s="126">
        <f t="shared" si="149"/>
        <v>0</v>
      </c>
      <c r="Y216" s="127">
        <f t="shared" si="169"/>
        <v>0.33333333333333331</v>
      </c>
      <c r="Z216" s="128">
        <f t="shared" si="170"/>
        <v>0</v>
      </c>
      <c r="AA216" s="76" t="str">
        <f t="shared" si="171"/>
        <v/>
      </c>
      <c r="AB216" s="216">
        <f t="shared" si="139"/>
        <v>0</v>
      </c>
      <c r="AC216" s="163" t="str">
        <f t="shared" si="172"/>
        <v/>
      </c>
      <c r="AD216" s="257">
        <f t="shared" si="156"/>
        <v>0</v>
      </c>
      <c r="AE216" s="138"/>
      <c r="AF216" s="138" t="str">
        <f t="shared" si="157"/>
        <v/>
      </c>
      <c r="AG216" s="77">
        <f t="shared" si="173"/>
        <v>0</v>
      </c>
      <c r="AH216" s="77">
        <f t="shared" si="174"/>
        <v>0</v>
      </c>
      <c r="AI216" s="77" t="str">
        <f t="shared" si="158"/>
        <v/>
      </c>
      <c r="AJ216" s="78">
        <f t="shared" si="140"/>
        <v>1</v>
      </c>
      <c r="AK216" s="139">
        <f>SUM($AC$6:AC216)</f>
        <v>0</v>
      </c>
      <c r="AL216" s="139">
        <f t="shared" ca="1" si="150"/>
        <v>0</v>
      </c>
      <c r="AM216" s="143">
        <f t="shared" si="159"/>
        <v>0</v>
      </c>
      <c r="AN216" s="143">
        <f t="shared" si="160"/>
        <v>0</v>
      </c>
      <c r="AO216" s="143">
        <f t="shared" si="161"/>
        <v>0</v>
      </c>
      <c r="AP216" s="142">
        <f t="shared" si="151"/>
        <v>30</v>
      </c>
      <c r="AQ216" s="142">
        <f t="shared" ca="1" si="152"/>
        <v>30</v>
      </c>
      <c r="AR216" s="154">
        <f t="shared" si="163"/>
        <v>0</v>
      </c>
      <c r="AS216" s="142">
        <f t="shared" si="153"/>
        <v>0</v>
      </c>
      <c r="AT216" t="b">
        <f>OR((F216&gt;0),(NOT(ISBLANK(H216))),SUM(H216:H$373),SUM(G216:G$373))</f>
        <v>0</v>
      </c>
      <c r="AU216" t="b">
        <f t="shared" ca="1" si="141"/>
        <v>0</v>
      </c>
    </row>
    <row r="217" spans="1:47">
      <c r="A217" s="349">
        <f t="shared" si="154"/>
        <v>41850</v>
      </c>
      <c r="B217" s="350">
        <f t="shared" si="155"/>
        <v>41850</v>
      </c>
      <c r="C217" s="351">
        <f t="shared" si="166"/>
        <v>31</v>
      </c>
      <c r="D217" s="352">
        <f t="shared" si="167"/>
        <v>41820</v>
      </c>
      <c r="E217" s="364" t="str">
        <f t="shared" si="142"/>
        <v/>
      </c>
      <c r="F217" s="6"/>
      <c r="G217" s="7" t="str">
        <f t="shared" si="168"/>
        <v/>
      </c>
      <c r="H217" s="8"/>
      <c r="I217" s="8">
        <f t="shared" si="164"/>
        <v>0</v>
      </c>
      <c r="J217" s="129">
        <f t="shared" si="162"/>
        <v>0</v>
      </c>
      <c r="K217" s="8"/>
      <c r="L217" s="8">
        <f t="shared" si="143"/>
        <v>0</v>
      </c>
      <c r="M217" s="129">
        <f t="shared" si="144"/>
        <v>0</v>
      </c>
      <c r="N217" s="129"/>
      <c r="O217" s="129">
        <f t="shared" si="137"/>
        <v>0</v>
      </c>
      <c r="P217" s="129"/>
      <c r="Q217" s="129">
        <f t="shared" si="145"/>
        <v>0</v>
      </c>
      <c r="R217" s="129">
        <f t="shared" si="146"/>
        <v>0</v>
      </c>
      <c r="S217" s="693">
        <f t="shared" si="147"/>
        <v>6</v>
      </c>
      <c r="T217" s="129">
        <f t="shared" si="165"/>
        <v>0</v>
      </c>
      <c r="U217" s="165">
        <f t="shared" si="148"/>
        <v>0</v>
      </c>
      <c r="V217" s="75"/>
      <c r="W217" s="131">
        <f t="shared" si="138"/>
        <v>4.1666666666666664E-2</v>
      </c>
      <c r="X217" s="126">
        <f t="shared" si="149"/>
        <v>0</v>
      </c>
      <c r="Y217" s="127">
        <f t="shared" si="169"/>
        <v>0.33333333333333331</v>
      </c>
      <c r="Z217" s="128">
        <f t="shared" si="170"/>
        <v>0</v>
      </c>
      <c r="AA217" s="76" t="str">
        <f t="shared" si="171"/>
        <v/>
      </c>
      <c r="AB217" s="216">
        <f t="shared" si="139"/>
        <v>0</v>
      </c>
      <c r="AC217" s="163" t="str">
        <f t="shared" si="172"/>
        <v/>
      </c>
      <c r="AD217" s="257">
        <f t="shared" si="156"/>
        <v>0</v>
      </c>
      <c r="AE217" s="138"/>
      <c r="AF217" s="138" t="str">
        <f t="shared" si="157"/>
        <v/>
      </c>
      <c r="AG217" s="77">
        <f t="shared" si="173"/>
        <v>0</v>
      </c>
      <c r="AH217" s="77">
        <f t="shared" si="174"/>
        <v>0</v>
      </c>
      <c r="AI217" s="77" t="str">
        <f t="shared" si="158"/>
        <v/>
      </c>
      <c r="AJ217" s="78">
        <f t="shared" si="140"/>
        <v>2</v>
      </c>
      <c r="AK217" s="139">
        <f>SUM($AC$6:AC217)</f>
        <v>0</v>
      </c>
      <c r="AL217" s="139">
        <f t="shared" ca="1" si="150"/>
        <v>0</v>
      </c>
      <c r="AM217" s="143">
        <f t="shared" si="159"/>
        <v>0</v>
      </c>
      <c r="AN217" s="143">
        <f t="shared" si="160"/>
        <v>0</v>
      </c>
      <c r="AO217" s="143">
        <f t="shared" si="161"/>
        <v>0</v>
      </c>
      <c r="AP217" s="142">
        <f t="shared" si="151"/>
        <v>30</v>
      </c>
      <c r="AQ217" s="142">
        <f t="shared" ca="1" si="152"/>
        <v>30</v>
      </c>
      <c r="AR217" s="154">
        <f t="shared" si="163"/>
        <v>0</v>
      </c>
      <c r="AS217" s="142">
        <f t="shared" si="153"/>
        <v>0</v>
      </c>
      <c r="AT217" t="b">
        <f>OR((F217&gt;0),(NOT(ISBLANK(H217))),SUM(H217:H$373),SUM(G217:G$373))</f>
        <v>0</v>
      </c>
      <c r="AU217" t="b">
        <f t="shared" ca="1" si="141"/>
        <v>0</v>
      </c>
    </row>
    <row r="218" spans="1:47">
      <c r="A218" s="349">
        <f t="shared" si="154"/>
        <v>41851</v>
      </c>
      <c r="B218" s="350">
        <f t="shared" si="155"/>
        <v>41851</v>
      </c>
      <c r="C218" s="351">
        <f t="shared" si="166"/>
        <v>31</v>
      </c>
      <c r="D218" s="352">
        <f t="shared" si="167"/>
        <v>41851</v>
      </c>
      <c r="E218" s="364" t="str">
        <f t="shared" si="142"/>
        <v/>
      </c>
      <c r="F218" s="6"/>
      <c r="G218" s="7" t="str">
        <f t="shared" si="168"/>
        <v/>
      </c>
      <c r="H218" s="8"/>
      <c r="I218" s="8">
        <f t="shared" si="164"/>
        <v>0</v>
      </c>
      <c r="J218" s="129">
        <f t="shared" si="162"/>
        <v>0</v>
      </c>
      <c r="K218" s="8"/>
      <c r="L218" s="8">
        <f t="shared" si="143"/>
        <v>0</v>
      </c>
      <c r="M218" s="129">
        <f t="shared" si="144"/>
        <v>0</v>
      </c>
      <c r="N218" s="129"/>
      <c r="O218" s="129">
        <f t="shared" si="137"/>
        <v>0</v>
      </c>
      <c r="P218" s="129"/>
      <c r="Q218" s="129">
        <f t="shared" si="145"/>
        <v>0</v>
      </c>
      <c r="R218" s="129">
        <f t="shared" si="146"/>
        <v>0</v>
      </c>
      <c r="S218" s="693">
        <f t="shared" si="147"/>
        <v>6</v>
      </c>
      <c r="T218" s="129">
        <f t="shared" si="165"/>
        <v>0</v>
      </c>
      <c r="U218" s="165">
        <f t="shared" si="148"/>
        <v>0</v>
      </c>
      <c r="V218" s="75"/>
      <c r="W218" s="131">
        <f t="shared" si="138"/>
        <v>4.1666666666666664E-2</v>
      </c>
      <c r="X218" s="126">
        <f t="shared" si="149"/>
        <v>0</v>
      </c>
      <c r="Y218" s="127">
        <f t="shared" si="169"/>
        <v>0.33333333333333331</v>
      </c>
      <c r="Z218" s="128">
        <f t="shared" si="170"/>
        <v>0</v>
      </c>
      <c r="AA218" s="76" t="str">
        <f t="shared" si="171"/>
        <v/>
      </c>
      <c r="AB218" s="216">
        <f t="shared" si="139"/>
        <v>0</v>
      </c>
      <c r="AC218" s="163" t="str">
        <f t="shared" si="172"/>
        <v/>
      </c>
      <c r="AD218" s="257">
        <f t="shared" si="156"/>
        <v>0</v>
      </c>
      <c r="AE218" s="138"/>
      <c r="AF218" s="138" t="str">
        <f t="shared" si="157"/>
        <v/>
      </c>
      <c r="AG218" s="77">
        <f t="shared" si="173"/>
        <v>0</v>
      </c>
      <c r="AH218" s="77">
        <f t="shared" si="174"/>
        <v>0</v>
      </c>
      <c r="AI218" s="77" t="str">
        <f t="shared" si="158"/>
        <v/>
      </c>
      <c r="AJ218" s="78">
        <f t="shared" si="140"/>
        <v>3</v>
      </c>
      <c r="AK218" s="139">
        <f>SUM($AC$6:AC218)</f>
        <v>0</v>
      </c>
      <c r="AL218" s="139">
        <f t="shared" ca="1" si="150"/>
        <v>0</v>
      </c>
      <c r="AM218" s="143">
        <f t="shared" si="159"/>
        <v>0</v>
      </c>
      <c r="AN218" s="143">
        <f t="shared" si="160"/>
        <v>0</v>
      </c>
      <c r="AO218" s="143">
        <f t="shared" si="161"/>
        <v>0</v>
      </c>
      <c r="AP218" s="142">
        <f t="shared" si="151"/>
        <v>30</v>
      </c>
      <c r="AQ218" s="142">
        <f t="shared" ca="1" si="152"/>
        <v>30</v>
      </c>
      <c r="AR218" s="154">
        <f t="shared" si="163"/>
        <v>0</v>
      </c>
      <c r="AS218" s="142">
        <f t="shared" si="153"/>
        <v>0</v>
      </c>
      <c r="AT218" t="b">
        <f>OR((F218&gt;0),(NOT(ISBLANK(H218))),SUM(H218:H$373),SUM(G218:G$373))</f>
        <v>0</v>
      </c>
      <c r="AU218" t="b">
        <f t="shared" ca="1" si="141"/>
        <v>0</v>
      </c>
    </row>
    <row r="219" spans="1:47">
      <c r="A219" s="349">
        <f t="shared" si="154"/>
        <v>41852</v>
      </c>
      <c r="B219" s="350">
        <f t="shared" si="155"/>
        <v>41852</v>
      </c>
      <c r="C219" s="351">
        <f t="shared" si="166"/>
        <v>31</v>
      </c>
      <c r="D219" s="352">
        <f t="shared" si="167"/>
        <v>41851</v>
      </c>
      <c r="E219" s="364" t="str">
        <f t="shared" si="142"/>
        <v/>
      </c>
      <c r="F219" s="6"/>
      <c r="G219" s="7" t="str">
        <f t="shared" si="168"/>
        <v/>
      </c>
      <c r="H219" s="8"/>
      <c r="I219" s="8">
        <f t="shared" si="164"/>
        <v>0</v>
      </c>
      <c r="J219" s="129">
        <f t="shared" si="162"/>
        <v>0</v>
      </c>
      <c r="K219" s="8"/>
      <c r="L219" s="8">
        <f t="shared" si="143"/>
        <v>0</v>
      </c>
      <c r="M219" s="129">
        <f t="shared" si="144"/>
        <v>0</v>
      </c>
      <c r="N219" s="129"/>
      <c r="O219" s="129">
        <f t="shared" si="137"/>
        <v>0</v>
      </c>
      <c r="P219" s="129"/>
      <c r="Q219" s="129">
        <f t="shared" si="145"/>
        <v>0</v>
      </c>
      <c r="R219" s="129">
        <f t="shared" si="146"/>
        <v>0</v>
      </c>
      <c r="S219" s="693">
        <f t="shared" si="147"/>
        <v>6</v>
      </c>
      <c r="T219" s="129">
        <f t="shared" si="165"/>
        <v>0</v>
      </c>
      <c r="U219" s="165">
        <f t="shared" si="148"/>
        <v>0</v>
      </c>
      <c r="V219" s="75"/>
      <c r="W219" s="131">
        <f t="shared" si="138"/>
        <v>4.1666666666666664E-2</v>
      </c>
      <c r="X219" s="126">
        <f t="shared" si="149"/>
        <v>0</v>
      </c>
      <c r="Y219" s="127">
        <f t="shared" si="169"/>
        <v>0.33333333333333331</v>
      </c>
      <c r="Z219" s="128">
        <f t="shared" si="170"/>
        <v>0</v>
      </c>
      <c r="AA219" s="76" t="str">
        <f t="shared" si="171"/>
        <v/>
      </c>
      <c r="AB219" s="216">
        <f t="shared" si="139"/>
        <v>0</v>
      </c>
      <c r="AC219" s="163" t="str">
        <f t="shared" si="172"/>
        <v/>
      </c>
      <c r="AD219" s="257">
        <f t="shared" si="156"/>
        <v>0</v>
      </c>
      <c r="AE219" s="138"/>
      <c r="AF219" s="138" t="str">
        <f t="shared" si="157"/>
        <v/>
      </c>
      <c r="AG219" s="77">
        <f t="shared" si="173"/>
        <v>0</v>
      </c>
      <c r="AH219" s="77">
        <f t="shared" si="174"/>
        <v>0</v>
      </c>
      <c r="AI219" s="77" t="str">
        <f t="shared" si="158"/>
        <v/>
      </c>
      <c r="AJ219" s="78">
        <f t="shared" si="140"/>
        <v>4</v>
      </c>
      <c r="AK219" s="139">
        <f>SUM($AC$6:AC219)</f>
        <v>0</v>
      </c>
      <c r="AL219" s="139">
        <f t="shared" ca="1" si="150"/>
        <v>0</v>
      </c>
      <c r="AM219" s="143">
        <f t="shared" si="159"/>
        <v>0</v>
      </c>
      <c r="AN219" s="143">
        <f t="shared" si="160"/>
        <v>0</v>
      </c>
      <c r="AO219" s="143">
        <f t="shared" si="161"/>
        <v>0</v>
      </c>
      <c r="AP219" s="142">
        <f t="shared" si="151"/>
        <v>30</v>
      </c>
      <c r="AQ219" s="142">
        <f t="shared" ca="1" si="152"/>
        <v>30</v>
      </c>
      <c r="AR219" s="154">
        <f t="shared" si="163"/>
        <v>0</v>
      </c>
      <c r="AS219" s="142">
        <f t="shared" si="153"/>
        <v>0</v>
      </c>
      <c r="AT219" t="b">
        <f>OR((F219&gt;0),(NOT(ISBLANK(H219))),SUM(H219:H$373),SUM(G219:G$373))</f>
        <v>0</v>
      </c>
      <c r="AU219" t="b">
        <f t="shared" ca="1" si="141"/>
        <v>0</v>
      </c>
    </row>
    <row r="220" spans="1:47">
      <c r="A220" s="349">
        <f t="shared" si="154"/>
        <v>41853</v>
      </c>
      <c r="B220" s="350">
        <f t="shared" si="155"/>
        <v>41853</v>
      </c>
      <c r="C220" s="351">
        <f t="shared" si="166"/>
        <v>31</v>
      </c>
      <c r="D220" s="352">
        <f t="shared" si="167"/>
        <v>41851</v>
      </c>
      <c r="E220" s="364" t="str">
        <f t="shared" si="142"/>
        <v/>
      </c>
      <c r="F220" s="6"/>
      <c r="G220" s="7" t="str">
        <f t="shared" si="168"/>
        <v/>
      </c>
      <c r="H220" s="8"/>
      <c r="I220" s="8">
        <f t="shared" si="164"/>
        <v>0</v>
      </c>
      <c r="J220" s="129">
        <f t="shared" si="162"/>
        <v>0</v>
      </c>
      <c r="K220" s="8"/>
      <c r="L220" s="8">
        <f t="shared" si="143"/>
        <v>0</v>
      </c>
      <c r="M220" s="129">
        <f t="shared" si="144"/>
        <v>0</v>
      </c>
      <c r="N220" s="129"/>
      <c r="O220" s="129">
        <f t="shared" si="137"/>
        <v>0</v>
      </c>
      <c r="P220" s="129"/>
      <c r="Q220" s="129">
        <f t="shared" si="145"/>
        <v>0</v>
      </c>
      <c r="R220" s="129">
        <f t="shared" si="146"/>
        <v>0</v>
      </c>
      <c r="S220" s="693">
        <f t="shared" si="147"/>
        <v>6</v>
      </c>
      <c r="T220" s="129">
        <f t="shared" si="165"/>
        <v>0</v>
      </c>
      <c r="U220" s="165">
        <f t="shared" si="148"/>
        <v>0</v>
      </c>
      <c r="V220" s="75"/>
      <c r="W220" s="131">
        <f t="shared" si="138"/>
        <v>4.1666666666666664E-2</v>
      </c>
      <c r="X220" s="126">
        <f t="shared" si="149"/>
        <v>0</v>
      </c>
      <c r="Y220" s="127">
        <f t="shared" si="169"/>
        <v>0.33333333333333331</v>
      </c>
      <c r="Z220" s="128">
        <f t="shared" si="170"/>
        <v>0</v>
      </c>
      <c r="AA220" s="76" t="str">
        <f t="shared" si="171"/>
        <v/>
      </c>
      <c r="AB220" s="216">
        <f t="shared" si="139"/>
        <v>0</v>
      </c>
      <c r="AC220" s="163" t="str">
        <f t="shared" si="172"/>
        <v/>
      </c>
      <c r="AD220" s="257">
        <f t="shared" si="156"/>
        <v>0</v>
      </c>
      <c r="AE220" s="138"/>
      <c r="AF220" s="138" t="str">
        <f t="shared" si="157"/>
        <v/>
      </c>
      <c r="AG220" s="77">
        <f t="shared" si="173"/>
        <v>0</v>
      </c>
      <c r="AH220" s="77">
        <f t="shared" si="174"/>
        <v>0</v>
      </c>
      <c r="AI220" s="77" t="str">
        <f t="shared" si="158"/>
        <v/>
      </c>
      <c r="AJ220" s="78">
        <f t="shared" si="140"/>
        <v>5</v>
      </c>
      <c r="AK220" s="139">
        <f>SUM($AC$6:AC220)</f>
        <v>0</v>
      </c>
      <c r="AL220" s="139">
        <f t="shared" ca="1" si="150"/>
        <v>0</v>
      </c>
      <c r="AM220" s="143">
        <f t="shared" si="159"/>
        <v>0</v>
      </c>
      <c r="AN220" s="143">
        <f t="shared" si="160"/>
        <v>0</v>
      </c>
      <c r="AO220" s="143">
        <f t="shared" si="161"/>
        <v>0</v>
      </c>
      <c r="AP220" s="142">
        <f t="shared" si="151"/>
        <v>30</v>
      </c>
      <c r="AQ220" s="142">
        <f t="shared" ca="1" si="152"/>
        <v>30</v>
      </c>
      <c r="AR220" s="154">
        <f t="shared" si="163"/>
        <v>0</v>
      </c>
      <c r="AS220" s="142">
        <f t="shared" si="153"/>
        <v>0</v>
      </c>
      <c r="AT220" t="b">
        <f>OR((F220&gt;0),(NOT(ISBLANK(H220))),SUM(H220:H$373),SUM(G220:G$373))</f>
        <v>0</v>
      </c>
      <c r="AU220" t="b">
        <f t="shared" ca="1" si="141"/>
        <v>0</v>
      </c>
    </row>
    <row r="221" spans="1:47">
      <c r="A221" s="349">
        <f t="shared" si="154"/>
        <v>41854</v>
      </c>
      <c r="B221" s="350">
        <f t="shared" si="155"/>
        <v>41854</v>
      </c>
      <c r="C221" s="351">
        <f t="shared" si="166"/>
        <v>31</v>
      </c>
      <c r="D221" s="352">
        <f t="shared" si="167"/>
        <v>41851</v>
      </c>
      <c r="E221" s="364" t="str">
        <f t="shared" si="142"/>
        <v/>
      </c>
      <c r="F221" s="6"/>
      <c r="G221" s="7" t="str">
        <f t="shared" si="168"/>
        <v/>
      </c>
      <c r="H221" s="8"/>
      <c r="I221" s="8">
        <f t="shared" si="164"/>
        <v>0</v>
      </c>
      <c r="J221" s="129">
        <f t="shared" si="162"/>
        <v>0</v>
      </c>
      <c r="K221" s="8"/>
      <c r="L221" s="8">
        <f t="shared" si="143"/>
        <v>0</v>
      </c>
      <c r="M221" s="129">
        <f t="shared" si="144"/>
        <v>0</v>
      </c>
      <c r="N221" s="129"/>
      <c r="O221" s="129">
        <f t="shared" si="137"/>
        <v>0</v>
      </c>
      <c r="P221" s="129"/>
      <c r="Q221" s="129">
        <f t="shared" si="145"/>
        <v>0</v>
      </c>
      <c r="R221" s="129">
        <f t="shared" si="146"/>
        <v>0</v>
      </c>
      <c r="S221" s="693">
        <f t="shared" si="147"/>
        <v>6</v>
      </c>
      <c r="T221" s="129">
        <f t="shared" si="165"/>
        <v>0</v>
      </c>
      <c r="U221" s="165">
        <f t="shared" si="148"/>
        <v>0</v>
      </c>
      <c r="V221" s="75"/>
      <c r="W221" s="131">
        <f t="shared" si="138"/>
        <v>4.1666666666666664E-2</v>
      </c>
      <c r="X221" s="126">
        <f t="shared" si="149"/>
        <v>0</v>
      </c>
      <c r="Y221" s="127">
        <f t="shared" si="169"/>
        <v>0</v>
      </c>
      <c r="Z221" s="128">
        <f t="shared" si="170"/>
        <v>0</v>
      </c>
      <c r="AA221" s="76" t="str">
        <f t="shared" si="171"/>
        <v/>
      </c>
      <c r="AB221" s="216">
        <f t="shared" si="139"/>
        <v>0</v>
      </c>
      <c r="AC221" s="163" t="str">
        <f t="shared" si="172"/>
        <v/>
      </c>
      <c r="AD221" s="257">
        <f t="shared" si="156"/>
        <v>0</v>
      </c>
      <c r="AE221" s="138"/>
      <c r="AF221" s="138" t="str">
        <f t="shared" si="157"/>
        <v/>
      </c>
      <c r="AG221" s="77">
        <f t="shared" si="173"/>
        <v>0</v>
      </c>
      <c r="AH221" s="77">
        <f t="shared" si="174"/>
        <v>0</v>
      </c>
      <c r="AI221" s="77" t="str">
        <f t="shared" si="158"/>
        <v/>
      </c>
      <c r="AJ221" s="78">
        <f t="shared" si="140"/>
        <v>6</v>
      </c>
      <c r="AK221" s="139">
        <f>SUM($AC$6:AC221)</f>
        <v>0</v>
      </c>
      <c r="AL221" s="139">
        <f t="shared" ca="1" si="150"/>
        <v>0</v>
      </c>
      <c r="AM221" s="143">
        <f t="shared" si="159"/>
        <v>0</v>
      </c>
      <c r="AN221" s="143">
        <f t="shared" si="160"/>
        <v>0</v>
      </c>
      <c r="AO221" s="143">
        <f t="shared" si="161"/>
        <v>0</v>
      </c>
      <c r="AP221" s="142">
        <f t="shared" si="151"/>
        <v>30</v>
      </c>
      <c r="AQ221" s="142">
        <f t="shared" ca="1" si="152"/>
        <v>30</v>
      </c>
      <c r="AR221" s="154">
        <f t="shared" si="163"/>
        <v>0</v>
      </c>
      <c r="AS221" s="142">
        <f t="shared" si="153"/>
        <v>7</v>
      </c>
      <c r="AT221" t="b">
        <f>OR((F221&gt;0),(NOT(ISBLANK(H221))),SUM(H221:H$373),SUM(G221:G$373))</f>
        <v>0</v>
      </c>
      <c r="AU221" t="b">
        <f t="shared" ca="1" si="141"/>
        <v>1</v>
      </c>
    </row>
    <row r="222" spans="1:47">
      <c r="A222" s="349">
        <f t="shared" si="154"/>
        <v>41855</v>
      </c>
      <c r="B222" s="350">
        <f t="shared" si="155"/>
        <v>41855</v>
      </c>
      <c r="C222" s="351">
        <f t="shared" si="166"/>
        <v>31</v>
      </c>
      <c r="D222" s="352">
        <f t="shared" si="167"/>
        <v>41851</v>
      </c>
      <c r="E222" s="364" t="str">
        <f t="shared" si="142"/>
        <v/>
      </c>
      <c r="F222" s="6"/>
      <c r="G222" s="7" t="str">
        <f t="shared" si="168"/>
        <v/>
      </c>
      <c r="H222" s="8"/>
      <c r="I222" s="8">
        <f t="shared" si="164"/>
        <v>0</v>
      </c>
      <c r="J222" s="129">
        <f t="shared" si="162"/>
        <v>0</v>
      </c>
      <c r="K222" s="8"/>
      <c r="L222" s="8">
        <f t="shared" si="143"/>
        <v>0</v>
      </c>
      <c r="M222" s="129">
        <f t="shared" si="144"/>
        <v>0</v>
      </c>
      <c r="N222" s="129"/>
      <c r="O222" s="129">
        <f t="shared" si="137"/>
        <v>0</v>
      </c>
      <c r="P222" s="129"/>
      <c r="Q222" s="129">
        <f t="shared" si="145"/>
        <v>0</v>
      </c>
      <c r="R222" s="129">
        <f t="shared" si="146"/>
        <v>0</v>
      </c>
      <c r="S222" s="693">
        <f t="shared" si="147"/>
        <v>6</v>
      </c>
      <c r="T222" s="129">
        <f t="shared" si="165"/>
        <v>0</v>
      </c>
      <c r="U222" s="165">
        <f t="shared" si="148"/>
        <v>0</v>
      </c>
      <c r="V222" s="75"/>
      <c r="W222" s="131">
        <f t="shared" si="138"/>
        <v>4.1666666666666664E-2</v>
      </c>
      <c r="X222" s="126">
        <f t="shared" si="149"/>
        <v>0</v>
      </c>
      <c r="Y222" s="127">
        <f t="shared" si="169"/>
        <v>0</v>
      </c>
      <c r="Z222" s="128">
        <f t="shared" si="170"/>
        <v>0</v>
      </c>
      <c r="AA222" s="76" t="str">
        <f t="shared" si="171"/>
        <v/>
      </c>
      <c r="AB222" s="216">
        <f t="shared" si="139"/>
        <v>0</v>
      </c>
      <c r="AC222" s="163" t="str">
        <f t="shared" si="172"/>
        <v/>
      </c>
      <c r="AD222" s="257">
        <f t="shared" si="156"/>
        <v>0</v>
      </c>
      <c r="AE222" s="138"/>
      <c r="AF222" s="138" t="str">
        <f t="shared" si="157"/>
        <v/>
      </c>
      <c r="AG222" s="77">
        <f t="shared" si="173"/>
        <v>0</v>
      </c>
      <c r="AH222" s="77">
        <f t="shared" si="174"/>
        <v>0</v>
      </c>
      <c r="AI222" s="77" t="str">
        <f t="shared" si="158"/>
        <v/>
      </c>
      <c r="AJ222" s="78">
        <f t="shared" si="140"/>
        <v>7</v>
      </c>
      <c r="AK222" s="139">
        <f>SUM($AC$6:AC222)</f>
        <v>0</v>
      </c>
      <c r="AL222" s="139">
        <f t="shared" ca="1" si="150"/>
        <v>0</v>
      </c>
      <c r="AM222" s="143">
        <f t="shared" si="159"/>
        <v>0</v>
      </c>
      <c r="AN222" s="143">
        <f t="shared" si="160"/>
        <v>0</v>
      </c>
      <c r="AO222" s="143">
        <f t="shared" si="161"/>
        <v>0</v>
      </c>
      <c r="AP222" s="142">
        <f t="shared" si="151"/>
        <v>30</v>
      </c>
      <c r="AQ222" s="142">
        <f t="shared" ca="1" si="152"/>
        <v>30</v>
      </c>
      <c r="AR222" s="154">
        <f t="shared" si="163"/>
        <v>0</v>
      </c>
      <c r="AS222" s="142">
        <f t="shared" si="153"/>
        <v>7</v>
      </c>
      <c r="AT222" t="b">
        <f>OR((F222&gt;0),(NOT(ISBLANK(H222))),SUM(H222:H$373),SUM(G222:G$373))</f>
        <v>0</v>
      </c>
      <c r="AU222" t="b">
        <f t="shared" ca="1" si="141"/>
        <v>1</v>
      </c>
    </row>
    <row r="223" spans="1:47">
      <c r="A223" s="349">
        <f t="shared" si="154"/>
        <v>41856</v>
      </c>
      <c r="B223" s="350">
        <f t="shared" si="155"/>
        <v>41856</v>
      </c>
      <c r="C223" s="351">
        <f t="shared" si="166"/>
        <v>32</v>
      </c>
      <c r="D223" s="352">
        <f t="shared" si="167"/>
        <v>41851</v>
      </c>
      <c r="E223" s="364" t="str">
        <f t="shared" si="142"/>
        <v/>
      </c>
      <c r="F223" s="6"/>
      <c r="G223" s="7" t="str">
        <f t="shared" si="168"/>
        <v/>
      </c>
      <c r="H223" s="8"/>
      <c r="I223" s="8">
        <f t="shared" si="164"/>
        <v>0</v>
      </c>
      <c r="J223" s="129">
        <f t="shared" si="162"/>
        <v>0</v>
      </c>
      <c r="K223" s="8"/>
      <c r="L223" s="8">
        <f t="shared" si="143"/>
        <v>0</v>
      </c>
      <c r="M223" s="129">
        <f t="shared" si="144"/>
        <v>0</v>
      </c>
      <c r="N223" s="129"/>
      <c r="O223" s="129">
        <f t="shared" si="137"/>
        <v>0</v>
      </c>
      <c r="P223" s="129"/>
      <c r="Q223" s="129">
        <f t="shared" si="145"/>
        <v>0</v>
      </c>
      <c r="R223" s="129">
        <f t="shared" si="146"/>
        <v>0</v>
      </c>
      <c r="S223" s="693">
        <f t="shared" si="147"/>
        <v>6</v>
      </c>
      <c r="T223" s="129">
        <f t="shared" si="165"/>
        <v>0</v>
      </c>
      <c r="U223" s="165">
        <f t="shared" si="148"/>
        <v>0</v>
      </c>
      <c r="V223" s="75"/>
      <c r="W223" s="131">
        <f t="shared" si="138"/>
        <v>4.1666666666666664E-2</v>
      </c>
      <c r="X223" s="126">
        <f t="shared" si="149"/>
        <v>0</v>
      </c>
      <c r="Y223" s="127">
        <f t="shared" si="169"/>
        <v>0.33333333333333331</v>
      </c>
      <c r="Z223" s="128">
        <f t="shared" si="170"/>
        <v>0</v>
      </c>
      <c r="AA223" s="76" t="str">
        <f t="shared" si="171"/>
        <v/>
      </c>
      <c r="AB223" s="216">
        <f t="shared" si="139"/>
        <v>0</v>
      </c>
      <c r="AC223" s="163" t="str">
        <f t="shared" si="172"/>
        <v/>
      </c>
      <c r="AD223" s="257">
        <f t="shared" si="156"/>
        <v>0</v>
      </c>
      <c r="AE223" s="138"/>
      <c r="AF223" s="138" t="str">
        <f t="shared" si="157"/>
        <v/>
      </c>
      <c r="AG223" s="77">
        <f t="shared" si="173"/>
        <v>0</v>
      </c>
      <c r="AH223" s="77">
        <f t="shared" si="174"/>
        <v>0</v>
      </c>
      <c r="AI223" s="77" t="str">
        <f t="shared" si="158"/>
        <v/>
      </c>
      <c r="AJ223" s="78">
        <f t="shared" si="140"/>
        <v>1</v>
      </c>
      <c r="AK223" s="139">
        <f>SUM($AC$6:AC223)</f>
        <v>0</v>
      </c>
      <c r="AL223" s="139">
        <f t="shared" ca="1" si="150"/>
        <v>0</v>
      </c>
      <c r="AM223" s="143">
        <f t="shared" si="159"/>
        <v>0</v>
      </c>
      <c r="AN223" s="143">
        <f t="shared" si="160"/>
        <v>0</v>
      </c>
      <c r="AO223" s="143">
        <f t="shared" si="161"/>
        <v>0</v>
      </c>
      <c r="AP223" s="142">
        <f t="shared" si="151"/>
        <v>30</v>
      </c>
      <c r="AQ223" s="142">
        <f t="shared" ca="1" si="152"/>
        <v>30</v>
      </c>
      <c r="AR223" s="154">
        <f t="shared" si="163"/>
        <v>0</v>
      </c>
      <c r="AS223" s="142">
        <f t="shared" si="153"/>
        <v>0</v>
      </c>
      <c r="AT223" t="b">
        <f>OR((F223&gt;0),(NOT(ISBLANK(H223))),SUM(H223:H$373),SUM(G223:G$373))</f>
        <v>0</v>
      </c>
      <c r="AU223" t="b">
        <f t="shared" ca="1" si="141"/>
        <v>0</v>
      </c>
    </row>
    <row r="224" spans="1:47">
      <c r="A224" s="349">
        <f t="shared" si="154"/>
        <v>41857</v>
      </c>
      <c r="B224" s="350">
        <f t="shared" si="155"/>
        <v>41857</v>
      </c>
      <c r="C224" s="351">
        <f t="shared" si="166"/>
        <v>32</v>
      </c>
      <c r="D224" s="352">
        <f t="shared" si="167"/>
        <v>41851</v>
      </c>
      <c r="E224" s="364" t="str">
        <f t="shared" si="142"/>
        <v/>
      </c>
      <c r="F224" s="6"/>
      <c r="G224" s="7" t="str">
        <f t="shared" si="168"/>
        <v/>
      </c>
      <c r="H224" s="8"/>
      <c r="I224" s="8">
        <f t="shared" si="164"/>
        <v>0</v>
      </c>
      <c r="J224" s="129">
        <f t="shared" si="162"/>
        <v>0</v>
      </c>
      <c r="K224" s="8"/>
      <c r="L224" s="8">
        <f t="shared" si="143"/>
        <v>0</v>
      </c>
      <c r="M224" s="129">
        <f t="shared" si="144"/>
        <v>0</v>
      </c>
      <c r="N224" s="129"/>
      <c r="O224" s="129">
        <f t="shared" si="137"/>
        <v>0</v>
      </c>
      <c r="P224" s="129"/>
      <c r="Q224" s="129">
        <f t="shared" si="145"/>
        <v>0</v>
      </c>
      <c r="R224" s="129">
        <f t="shared" si="146"/>
        <v>0</v>
      </c>
      <c r="S224" s="693">
        <f t="shared" si="147"/>
        <v>6</v>
      </c>
      <c r="T224" s="129">
        <f t="shared" si="165"/>
        <v>0</v>
      </c>
      <c r="U224" s="165">
        <f t="shared" si="148"/>
        <v>0</v>
      </c>
      <c r="V224" s="75"/>
      <c r="W224" s="131">
        <f t="shared" si="138"/>
        <v>4.1666666666666664E-2</v>
      </c>
      <c r="X224" s="126">
        <f t="shared" si="149"/>
        <v>0</v>
      </c>
      <c r="Y224" s="127">
        <f t="shared" si="169"/>
        <v>0.33333333333333331</v>
      </c>
      <c r="Z224" s="128">
        <f t="shared" si="170"/>
        <v>0</v>
      </c>
      <c r="AA224" s="76" t="str">
        <f t="shared" si="171"/>
        <v/>
      </c>
      <c r="AB224" s="216">
        <f t="shared" si="139"/>
        <v>0</v>
      </c>
      <c r="AC224" s="163" t="str">
        <f t="shared" si="172"/>
        <v/>
      </c>
      <c r="AD224" s="257">
        <f t="shared" si="156"/>
        <v>0</v>
      </c>
      <c r="AE224" s="138"/>
      <c r="AF224" s="138" t="str">
        <f t="shared" si="157"/>
        <v/>
      </c>
      <c r="AG224" s="77">
        <f t="shared" si="173"/>
        <v>0</v>
      </c>
      <c r="AH224" s="77">
        <f t="shared" si="174"/>
        <v>0</v>
      </c>
      <c r="AI224" s="77" t="str">
        <f t="shared" si="158"/>
        <v/>
      </c>
      <c r="AJ224" s="78">
        <f t="shared" si="140"/>
        <v>2</v>
      </c>
      <c r="AK224" s="139">
        <f>SUM($AC$6:AC224)</f>
        <v>0</v>
      </c>
      <c r="AL224" s="139">
        <f t="shared" ca="1" si="150"/>
        <v>0</v>
      </c>
      <c r="AM224" s="143">
        <f t="shared" si="159"/>
        <v>0</v>
      </c>
      <c r="AN224" s="143">
        <f t="shared" si="160"/>
        <v>0</v>
      </c>
      <c r="AO224" s="143">
        <f t="shared" si="161"/>
        <v>0</v>
      </c>
      <c r="AP224" s="142">
        <f t="shared" si="151"/>
        <v>30</v>
      </c>
      <c r="AQ224" s="142">
        <f t="shared" ca="1" si="152"/>
        <v>30</v>
      </c>
      <c r="AR224" s="154">
        <f t="shared" si="163"/>
        <v>0</v>
      </c>
      <c r="AS224" s="142">
        <f t="shared" si="153"/>
        <v>0</v>
      </c>
      <c r="AT224" t="b">
        <f>OR((F224&gt;0),(NOT(ISBLANK(H224))),SUM(H224:H$373),SUM(G224:G$373))</f>
        <v>0</v>
      </c>
      <c r="AU224" t="b">
        <f t="shared" ca="1" si="141"/>
        <v>0</v>
      </c>
    </row>
    <row r="225" spans="1:47">
      <c r="A225" s="349">
        <f t="shared" si="154"/>
        <v>41858</v>
      </c>
      <c r="B225" s="350">
        <f t="shared" si="155"/>
        <v>41858</v>
      </c>
      <c r="C225" s="351">
        <f t="shared" si="166"/>
        <v>32</v>
      </c>
      <c r="D225" s="352">
        <f t="shared" si="167"/>
        <v>41851</v>
      </c>
      <c r="E225" s="364" t="str">
        <f t="shared" si="142"/>
        <v/>
      </c>
      <c r="F225" s="6"/>
      <c r="G225" s="7" t="str">
        <f t="shared" si="168"/>
        <v/>
      </c>
      <c r="H225" s="8"/>
      <c r="I225" s="8">
        <f t="shared" si="164"/>
        <v>0</v>
      </c>
      <c r="J225" s="129">
        <f t="shared" si="162"/>
        <v>0</v>
      </c>
      <c r="K225" s="8"/>
      <c r="L225" s="8">
        <f t="shared" si="143"/>
        <v>0</v>
      </c>
      <c r="M225" s="129">
        <f t="shared" si="144"/>
        <v>0</v>
      </c>
      <c r="N225" s="129"/>
      <c r="O225" s="129">
        <f t="shared" si="137"/>
        <v>0</v>
      </c>
      <c r="P225" s="129"/>
      <c r="Q225" s="129">
        <f t="shared" si="145"/>
        <v>0</v>
      </c>
      <c r="R225" s="129">
        <f t="shared" si="146"/>
        <v>0</v>
      </c>
      <c r="S225" s="693">
        <f t="shared" si="147"/>
        <v>6</v>
      </c>
      <c r="T225" s="129">
        <f t="shared" si="165"/>
        <v>0</v>
      </c>
      <c r="U225" s="165">
        <f t="shared" si="148"/>
        <v>0</v>
      </c>
      <c r="V225" s="75"/>
      <c r="W225" s="131">
        <f t="shared" si="138"/>
        <v>4.1666666666666664E-2</v>
      </c>
      <c r="X225" s="126">
        <f t="shared" si="149"/>
        <v>0</v>
      </c>
      <c r="Y225" s="127">
        <f t="shared" si="169"/>
        <v>0.33333333333333331</v>
      </c>
      <c r="Z225" s="128">
        <f t="shared" si="170"/>
        <v>0</v>
      </c>
      <c r="AA225" s="76" t="str">
        <f t="shared" si="171"/>
        <v/>
      </c>
      <c r="AB225" s="216">
        <f t="shared" si="139"/>
        <v>0</v>
      </c>
      <c r="AC225" s="163" t="str">
        <f t="shared" si="172"/>
        <v/>
      </c>
      <c r="AD225" s="257">
        <f t="shared" si="156"/>
        <v>0</v>
      </c>
      <c r="AE225" s="138"/>
      <c r="AF225" s="138" t="str">
        <f t="shared" si="157"/>
        <v/>
      </c>
      <c r="AG225" s="77">
        <f t="shared" si="173"/>
        <v>0</v>
      </c>
      <c r="AH225" s="77">
        <f t="shared" si="174"/>
        <v>0</v>
      </c>
      <c r="AI225" s="77" t="str">
        <f t="shared" si="158"/>
        <v/>
      </c>
      <c r="AJ225" s="78">
        <f t="shared" si="140"/>
        <v>3</v>
      </c>
      <c r="AK225" s="139">
        <f>SUM($AC$6:AC225)</f>
        <v>0</v>
      </c>
      <c r="AL225" s="139">
        <f t="shared" ca="1" si="150"/>
        <v>0</v>
      </c>
      <c r="AM225" s="143">
        <f t="shared" si="159"/>
        <v>0</v>
      </c>
      <c r="AN225" s="143">
        <f t="shared" si="160"/>
        <v>0</v>
      </c>
      <c r="AO225" s="143">
        <f t="shared" si="161"/>
        <v>0</v>
      </c>
      <c r="AP225" s="142">
        <f t="shared" si="151"/>
        <v>30</v>
      </c>
      <c r="AQ225" s="142">
        <f t="shared" ca="1" si="152"/>
        <v>30</v>
      </c>
      <c r="AR225" s="154">
        <f t="shared" si="163"/>
        <v>0</v>
      </c>
      <c r="AS225" s="142">
        <f t="shared" si="153"/>
        <v>0</v>
      </c>
      <c r="AT225" t="b">
        <f>OR((F225&gt;0),(NOT(ISBLANK(H225))),SUM(H225:H$373),SUM(G225:G$373))</f>
        <v>0</v>
      </c>
      <c r="AU225" t="b">
        <f t="shared" ca="1" si="141"/>
        <v>0</v>
      </c>
    </row>
    <row r="226" spans="1:47">
      <c r="A226" s="349">
        <f t="shared" si="154"/>
        <v>41859</v>
      </c>
      <c r="B226" s="350">
        <f t="shared" si="155"/>
        <v>41859</v>
      </c>
      <c r="C226" s="351">
        <f t="shared" si="166"/>
        <v>32</v>
      </c>
      <c r="D226" s="352">
        <f t="shared" si="167"/>
        <v>41851</v>
      </c>
      <c r="E226" s="364" t="str">
        <f t="shared" si="142"/>
        <v/>
      </c>
      <c r="F226" s="6"/>
      <c r="G226" s="7" t="str">
        <f t="shared" si="168"/>
        <v/>
      </c>
      <c r="H226" s="8"/>
      <c r="I226" s="8">
        <f t="shared" si="164"/>
        <v>0</v>
      </c>
      <c r="J226" s="129">
        <f t="shared" si="162"/>
        <v>0</v>
      </c>
      <c r="K226" s="8"/>
      <c r="L226" s="8">
        <f t="shared" si="143"/>
        <v>0</v>
      </c>
      <c r="M226" s="129">
        <f t="shared" si="144"/>
        <v>0</v>
      </c>
      <c r="N226" s="129"/>
      <c r="O226" s="129">
        <f t="shared" si="137"/>
        <v>0</v>
      </c>
      <c r="P226" s="129"/>
      <c r="Q226" s="129">
        <f t="shared" si="145"/>
        <v>0</v>
      </c>
      <c r="R226" s="129">
        <f t="shared" si="146"/>
        <v>0</v>
      </c>
      <c r="S226" s="693">
        <f t="shared" si="147"/>
        <v>6</v>
      </c>
      <c r="T226" s="129">
        <f t="shared" si="165"/>
        <v>0</v>
      </c>
      <c r="U226" s="165">
        <f t="shared" si="148"/>
        <v>0</v>
      </c>
      <c r="V226" s="75"/>
      <c r="W226" s="131">
        <f t="shared" si="138"/>
        <v>4.1666666666666664E-2</v>
      </c>
      <c r="X226" s="126">
        <f t="shared" si="149"/>
        <v>0</v>
      </c>
      <c r="Y226" s="127">
        <f t="shared" si="169"/>
        <v>0.33333333333333331</v>
      </c>
      <c r="Z226" s="128">
        <f t="shared" si="170"/>
        <v>0</v>
      </c>
      <c r="AA226" s="76" t="str">
        <f t="shared" si="171"/>
        <v/>
      </c>
      <c r="AB226" s="216">
        <f t="shared" si="139"/>
        <v>0</v>
      </c>
      <c r="AC226" s="163" t="str">
        <f t="shared" si="172"/>
        <v/>
      </c>
      <c r="AD226" s="257">
        <f t="shared" si="156"/>
        <v>0</v>
      </c>
      <c r="AE226" s="138"/>
      <c r="AF226" s="138" t="str">
        <f t="shared" si="157"/>
        <v/>
      </c>
      <c r="AG226" s="77">
        <f t="shared" si="173"/>
        <v>0</v>
      </c>
      <c r="AH226" s="77">
        <f t="shared" si="174"/>
        <v>0</v>
      </c>
      <c r="AI226" s="77" t="str">
        <f t="shared" si="158"/>
        <v/>
      </c>
      <c r="AJ226" s="78">
        <f t="shared" si="140"/>
        <v>4</v>
      </c>
      <c r="AK226" s="139">
        <f>SUM($AC$6:AC226)</f>
        <v>0</v>
      </c>
      <c r="AL226" s="139">
        <f t="shared" ca="1" si="150"/>
        <v>0</v>
      </c>
      <c r="AM226" s="143">
        <f t="shared" si="159"/>
        <v>0</v>
      </c>
      <c r="AN226" s="143">
        <f t="shared" si="160"/>
        <v>0</v>
      </c>
      <c r="AO226" s="143">
        <f t="shared" si="161"/>
        <v>0</v>
      </c>
      <c r="AP226" s="142">
        <f t="shared" si="151"/>
        <v>30</v>
      </c>
      <c r="AQ226" s="142">
        <f t="shared" ca="1" si="152"/>
        <v>30</v>
      </c>
      <c r="AR226" s="154">
        <f t="shared" si="163"/>
        <v>0</v>
      </c>
      <c r="AS226" s="142">
        <f t="shared" si="153"/>
        <v>0</v>
      </c>
      <c r="AT226" t="b">
        <f>OR((F226&gt;0),(NOT(ISBLANK(H226))),SUM(H226:H$373),SUM(G226:G$373))</f>
        <v>0</v>
      </c>
      <c r="AU226" t="b">
        <f t="shared" ca="1" si="141"/>
        <v>0</v>
      </c>
    </row>
    <row r="227" spans="1:47">
      <c r="A227" s="349">
        <f t="shared" si="154"/>
        <v>41860</v>
      </c>
      <c r="B227" s="350">
        <f t="shared" si="155"/>
        <v>41860</v>
      </c>
      <c r="C227" s="351">
        <f t="shared" si="166"/>
        <v>32</v>
      </c>
      <c r="D227" s="352">
        <f t="shared" si="167"/>
        <v>41851</v>
      </c>
      <c r="E227" s="364" t="str">
        <f t="shared" si="142"/>
        <v/>
      </c>
      <c r="F227" s="6"/>
      <c r="G227" s="7" t="str">
        <f t="shared" si="168"/>
        <v/>
      </c>
      <c r="H227" s="8"/>
      <c r="I227" s="8">
        <f t="shared" si="164"/>
        <v>0</v>
      </c>
      <c r="J227" s="129">
        <f t="shared" si="162"/>
        <v>0</v>
      </c>
      <c r="K227" s="8"/>
      <c r="L227" s="8">
        <f t="shared" si="143"/>
        <v>0</v>
      </c>
      <c r="M227" s="129">
        <f t="shared" si="144"/>
        <v>0</v>
      </c>
      <c r="N227" s="129"/>
      <c r="O227" s="129">
        <f t="shared" si="137"/>
        <v>0</v>
      </c>
      <c r="P227" s="129"/>
      <c r="Q227" s="129">
        <f t="shared" si="145"/>
        <v>0</v>
      </c>
      <c r="R227" s="129">
        <f t="shared" si="146"/>
        <v>0</v>
      </c>
      <c r="S227" s="693">
        <f t="shared" si="147"/>
        <v>6</v>
      </c>
      <c r="T227" s="129">
        <f t="shared" si="165"/>
        <v>0</v>
      </c>
      <c r="U227" s="165">
        <f t="shared" si="148"/>
        <v>0</v>
      </c>
      <c r="V227" s="75"/>
      <c r="W227" s="131">
        <f t="shared" si="138"/>
        <v>4.1666666666666664E-2</v>
      </c>
      <c r="X227" s="126">
        <f t="shared" si="149"/>
        <v>0</v>
      </c>
      <c r="Y227" s="127">
        <f t="shared" si="169"/>
        <v>0.33333333333333331</v>
      </c>
      <c r="Z227" s="128">
        <f t="shared" si="170"/>
        <v>0</v>
      </c>
      <c r="AA227" s="76" t="str">
        <f t="shared" si="171"/>
        <v/>
      </c>
      <c r="AB227" s="216">
        <f t="shared" si="139"/>
        <v>0</v>
      </c>
      <c r="AC227" s="163" t="str">
        <f t="shared" si="172"/>
        <v/>
      </c>
      <c r="AD227" s="257">
        <f t="shared" si="156"/>
        <v>0</v>
      </c>
      <c r="AE227" s="138"/>
      <c r="AF227" s="138" t="str">
        <f t="shared" si="157"/>
        <v/>
      </c>
      <c r="AG227" s="77">
        <f t="shared" si="173"/>
        <v>0</v>
      </c>
      <c r="AH227" s="77">
        <f t="shared" si="174"/>
        <v>0</v>
      </c>
      <c r="AI227" s="77" t="str">
        <f t="shared" si="158"/>
        <v/>
      </c>
      <c r="AJ227" s="78">
        <f t="shared" si="140"/>
        <v>5</v>
      </c>
      <c r="AK227" s="139">
        <f>SUM($AC$6:AC227)</f>
        <v>0</v>
      </c>
      <c r="AL227" s="139">
        <f t="shared" ca="1" si="150"/>
        <v>0</v>
      </c>
      <c r="AM227" s="143">
        <f t="shared" si="159"/>
        <v>0</v>
      </c>
      <c r="AN227" s="143">
        <f t="shared" si="160"/>
        <v>0</v>
      </c>
      <c r="AO227" s="143">
        <f t="shared" si="161"/>
        <v>0</v>
      </c>
      <c r="AP227" s="142">
        <f t="shared" si="151"/>
        <v>30</v>
      </c>
      <c r="AQ227" s="142">
        <f t="shared" ca="1" si="152"/>
        <v>30</v>
      </c>
      <c r="AR227" s="154">
        <f t="shared" si="163"/>
        <v>0</v>
      </c>
      <c r="AS227" s="142">
        <f t="shared" si="153"/>
        <v>0</v>
      </c>
      <c r="AT227" t="b">
        <f>OR((F227&gt;0),(NOT(ISBLANK(H227))),SUM(H227:H$373),SUM(G227:G$373))</f>
        <v>0</v>
      </c>
      <c r="AU227" t="b">
        <f t="shared" ca="1" si="141"/>
        <v>0</v>
      </c>
    </row>
    <row r="228" spans="1:47">
      <c r="A228" s="349">
        <f t="shared" si="154"/>
        <v>41861</v>
      </c>
      <c r="B228" s="350">
        <f t="shared" si="155"/>
        <v>41861</v>
      </c>
      <c r="C228" s="351">
        <f t="shared" si="166"/>
        <v>32</v>
      </c>
      <c r="D228" s="352">
        <f t="shared" si="167"/>
        <v>41851</v>
      </c>
      <c r="E228" s="364" t="str">
        <f t="shared" si="142"/>
        <v/>
      </c>
      <c r="F228" s="6"/>
      <c r="G228" s="7" t="str">
        <f t="shared" si="168"/>
        <v/>
      </c>
      <c r="H228" s="8"/>
      <c r="I228" s="8">
        <f t="shared" si="164"/>
        <v>0</v>
      </c>
      <c r="J228" s="129">
        <f t="shared" si="162"/>
        <v>0</v>
      </c>
      <c r="K228" s="8"/>
      <c r="L228" s="8">
        <f t="shared" si="143"/>
        <v>0</v>
      </c>
      <c r="M228" s="129">
        <f t="shared" si="144"/>
        <v>0</v>
      </c>
      <c r="N228" s="129"/>
      <c r="O228" s="129">
        <f t="shared" si="137"/>
        <v>0</v>
      </c>
      <c r="P228" s="129"/>
      <c r="Q228" s="129">
        <f t="shared" si="145"/>
        <v>0</v>
      </c>
      <c r="R228" s="129">
        <f t="shared" si="146"/>
        <v>0</v>
      </c>
      <c r="S228" s="693">
        <f t="shared" si="147"/>
        <v>6</v>
      </c>
      <c r="T228" s="129">
        <f t="shared" si="165"/>
        <v>0</v>
      </c>
      <c r="U228" s="165">
        <f t="shared" si="148"/>
        <v>0</v>
      </c>
      <c r="V228" s="75"/>
      <c r="W228" s="131">
        <f t="shared" si="138"/>
        <v>4.1666666666666664E-2</v>
      </c>
      <c r="X228" s="126">
        <f t="shared" si="149"/>
        <v>0</v>
      </c>
      <c r="Y228" s="127">
        <f t="shared" si="169"/>
        <v>0</v>
      </c>
      <c r="Z228" s="128">
        <f t="shared" si="170"/>
        <v>0</v>
      </c>
      <c r="AA228" s="76" t="str">
        <f t="shared" si="171"/>
        <v/>
      </c>
      <c r="AB228" s="216">
        <f t="shared" si="139"/>
        <v>0</v>
      </c>
      <c r="AC228" s="163" t="str">
        <f t="shared" si="172"/>
        <v/>
      </c>
      <c r="AD228" s="257">
        <f t="shared" si="156"/>
        <v>0</v>
      </c>
      <c r="AE228" s="138"/>
      <c r="AF228" s="138" t="str">
        <f t="shared" si="157"/>
        <v/>
      </c>
      <c r="AG228" s="77">
        <f t="shared" si="173"/>
        <v>0</v>
      </c>
      <c r="AH228" s="77">
        <f t="shared" si="174"/>
        <v>0</v>
      </c>
      <c r="AI228" s="77" t="str">
        <f t="shared" si="158"/>
        <v/>
      </c>
      <c r="AJ228" s="78">
        <f t="shared" si="140"/>
        <v>6</v>
      </c>
      <c r="AK228" s="139">
        <f>SUM($AC$6:AC228)</f>
        <v>0</v>
      </c>
      <c r="AL228" s="139">
        <f t="shared" ca="1" si="150"/>
        <v>0</v>
      </c>
      <c r="AM228" s="143">
        <f t="shared" si="159"/>
        <v>0</v>
      </c>
      <c r="AN228" s="143">
        <f t="shared" si="160"/>
        <v>0</v>
      </c>
      <c r="AO228" s="143">
        <f t="shared" si="161"/>
        <v>0</v>
      </c>
      <c r="AP228" s="142">
        <f t="shared" si="151"/>
        <v>30</v>
      </c>
      <c r="AQ228" s="142">
        <f t="shared" ca="1" si="152"/>
        <v>30</v>
      </c>
      <c r="AR228" s="154">
        <f t="shared" si="163"/>
        <v>0</v>
      </c>
      <c r="AS228" s="142">
        <f t="shared" si="153"/>
        <v>7</v>
      </c>
      <c r="AT228" t="b">
        <f>OR((F228&gt;0),(NOT(ISBLANK(H228))),SUM(H228:H$373),SUM(G228:G$373))</f>
        <v>0</v>
      </c>
      <c r="AU228" t="b">
        <f t="shared" ca="1" si="141"/>
        <v>1</v>
      </c>
    </row>
    <row r="229" spans="1:47">
      <c r="A229" s="349">
        <f t="shared" si="154"/>
        <v>41862</v>
      </c>
      <c r="B229" s="350">
        <f t="shared" si="155"/>
        <v>41862</v>
      </c>
      <c r="C229" s="351">
        <f t="shared" si="166"/>
        <v>32</v>
      </c>
      <c r="D229" s="352">
        <f t="shared" si="167"/>
        <v>41851</v>
      </c>
      <c r="E229" s="364" t="str">
        <f t="shared" si="142"/>
        <v/>
      </c>
      <c r="F229" s="6"/>
      <c r="G229" s="7" t="str">
        <f t="shared" si="168"/>
        <v/>
      </c>
      <c r="H229" s="8"/>
      <c r="I229" s="8">
        <f t="shared" si="164"/>
        <v>0</v>
      </c>
      <c r="J229" s="129">
        <f t="shared" si="162"/>
        <v>0</v>
      </c>
      <c r="K229" s="8"/>
      <c r="L229" s="8">
        <f t="shared" si="143"/>
        <v>0</v>
      </c>
      <c r="M229" s="129">
        <f t="shared" si="144"/>
        <v>0</v>
      </c>
      <c r="N229" s="129"/>
      <c r="O229" s="129">
        <f t="shared" si="137"/>
        <v>0</v>
      </c>
      <c r="P229" s="129"/>
      <c r="Q229" s="129">
        <f t="shared" si="145"/>
        <v>0</v>
      </c>
      <c r="R229" s="129">
        <f t="shared" si="146"/>
        <v>0</v>
      </c>
      <c r="S229" s="693">
        <f t="shared" si="147"/>
        <v>6</v>
      </c>
      <c r="T229" s="129">
        <f t="shared" si="165"/>
        <v>0</v>
      </c>
      <c r="U229" s="165">
        <f t="shared" si="148"/>
        <v>0</v>
      </c>
      <c r="V229" s="75"/>
      <c r="W229" s="131">
        <f t="shared" si="138"/>
        <v>4.1666666666666664E-2</v>
      </c>
      <c r="X229" s="126">
        <f t="shared" si="149"/>
        <v>0</v>
      </c>
      <c r="Y229" s="127">
        <f t="shared" si="169"/>
        <v>0</v>
      </c>
      <c r="Z229" s="128">
        <f t="shared" si="170"/>
        <v>0</v>
      </c>
      <c r="AA229" s="76" t="str">
        <f t="shared" si="171"/>
        <v/>
      </c>
      <c r="AB229" s="216">
        <f t="shared" si="139"/>
        <v>0</v>
      </c>
      <c r="AC229" s="163" t="str">
        <f t="shared" si="172"/>
        <v/>
      </c>
      <c r="AD229" s="257">
        <f t="shared" si="156"/>
        <v>0</v>
      </c>
      <c r="AE229" s="138"/>
      <c r="AF229" s="138" t="str">
        <f t="shared" si="157"/>
        <v/>
      </c>
      <c r="AG229" s="77">
        <f t="shared" si="173"/>
        <v>0</v>
      </c>
      <c r="AH229" s="77">
        <f t="shared" si="174"/>
        <v>0</v>
      </c>
      <c r="AI229" s="77" t="str">
        <f t="shared" si="158"/>
        <v/>
      </c>
      <c r="AJ229" s="78">
        <f t="shared" si="140"/>
        <v>7</v>
      </c>
      <c r="AK229" s="139">
        <f>SUM($AC$6:AC229)</f>
        <v>0</v>
      </c>
      <c r="AL229" s="139">
        <f t="shared" ca="1" si="150"/>
        <v>0</v>
      </c>
      <c r="AM229" s="143">
        <f t="shared" si="159"/>
        <v>0</v>
      </c>
      <c r="AN229" s="143">
        <f t="shared" si="160"/>
        <v>0</v>
      </c>
      <c r="AO229" s="143">
        <f t="shared" si="161"/>
        <v>0</v>
      </c>
      <c r="AP229" s="142">
        <f t="shared" si="151"/>
        <v>30</v>
      </c>
      <c r="AQ229" s="142">
        <f t="shared" ca="1" si="152"/>
        <v>30</v>
      </c>
      <c r="AR229" s="154">
        <f t="shared" si="163"/>
        <v>0</v>
      </c>
      <c r="AS229" s="142">
        <f t="shared" si="153"/>
        <v>7</v>
      </c>
      <c r="AT229" t="b">
        <f>OR((F229&gt;0),(NOT(ISBLANK(H229))),SUM(H229:H$373),SUM(G229:G$373))</f>
        <v>0</v>
      </c>
      <c r="AU229" t="b">
        <f t="shared" ca="1" si="141"/>
        <v>1</v>
      </c>
    </row>
    <row r="230" spans="1:47">
      <c r="A230" s="349">
        <f t="shared" si="154"/>
        <v>41863</v>
      </c>
      <c r="B230" s="350">
        <f t="shared" si="155"/>
        <v>41863</v>
      </c>
      <c r="C230" s="351">
        <f t="shared" si="166"/>
        <v>33</v>
      </c>
      <c r="D230" s="352">
        <f t="shared" si="167"/>
        <v>41851</v>
      </c>
      <c r="E230" s="364" t="str">
        <f t="shared" si="142"/>
        <v/>
      </c>
      <c r="F230" s="6"/>
      <c r="G230" s="7" t="str">
        <f t="shared" si="168"/>
        <v/>
      </c>
      <c r="H230" s="8"/>
      <c r="I230" s="8">
        <f t="shared" si="164"/>
        <v>0</v>
      </c>
      <c r="J230" s="129">
        <f t="shared" si="162"/>
        <v>0</v>
      </c>
      <c r="K230" s="8"/>
      <c r="L230" s="8">
        <f t="shared" si="143"/>
        <v>0</v>
      </c>
      <c r="M230" s="129">
        <f t="shared" si="144"/>
        <v>0</v>
      </c>
      <c r="N230" s="129"/>
      <c r="O230" s="129">
        <f t="shared" si="137"/>
        <v>0</v>
      </c>
      <c r="P230" s="129"/>
      <c r="Q230" s="129">
        <f t="shared" si="145"/>
        <v>0</v>
      </c>
      <c r="R230" s="129">
        <f t="shared" si="146"/>
        <v>0</v>
      </c>
      <c r="S230" s="693">
        <f t="shared" si="147"/>
        <v>6</v>
      </c>
      <c r="T230" s="129">
        <f t="shared" si="165"/>
        <v>0</v>
      </c>
      <c r="U230" s="165">
        <f t="shared" si="148"/>
        <v>0</v>
      </c>
      <c r="V230" s="75"/>
      <c r="W230" s="131">
        <f t="shared" si="138"/>
        <v>4.1666666666666664E-2</v>
      </c>
      <c r="X230" s="126">
        <f t="shared" si="149"/>
        <v>0</v>
      </c>
      <c r="Y230" s="127">
        <f t="shared" si="169"/>
        <v>0.33333333333333331</v>
      </c>
      <c r="Z230" s="128">
        <f t="shared" si="170"/>
        <v>0</v>
      </c>
      <c r="AA230" s="76" t="str">
        <f t="shared" si="171"/>
        <v/>
      </c>
      <c r="AB230" s="216">
        <f t="shared" si="139"/>
        <v>0</v>
      </c>
      <c r="AC230" s="163" t="str">
        <f t="shared" si="172"/>
        <v/>
      </c>
      <c r="AD230" s="257">
        <f t="shared" si="156"/>
        <v>0</v>
      </c>
      <c r="AE230" s="138"/>
      <c r="AF230" s="138" t="str">
        <f t="shared" si="157"/>
        <v/>
      </c>
      <c r="AG230" s="77">
        <f t="shared" si="173"/>
        <v>0</v>
      </c>
      <c r="AH230" s="77">
        <f t="shared" si="174"/>
        <v>0</v>
      </c>
      <c r="AI230" s="77" t="str">
        <f t="shared" si="158"/>
        <v/>
      </c>
      <c r="AJ230" s="78">
        <f t="shared" si="140"/>
        <v>1</v>
      </c>
      <c r="AK230" s="139">
        <f>SUM($AC$6:AC230)</f>
        <v>0</v>
      </c>
      <c r="AL230" s="139">
        <f t="shared" ca="1" si="150"/>
        <v>0</v>
      </c>
      <c r="AM230" s="143">
        <f t="shared" si="159"/>
        <v>0</v>
      </c>
      <c r="AN230" s="143">
        <f t="shared" si="160"/>
        <v>0</v>
      </c>
      <c r="AO230" s="143">
        <f t="shared" si="161"/>
        <v>0</v>
      </c>
      <c r="AP230" s="142">
        <f t="shared" si="151"/>
        <v>30</v>
      </c>
      <c r="AQ230" s="142">
        <f t="shared" ca="1" si="152"/>
        <v>30</v>
      </c>
      <c r="AR230" s="154">
        <f t="shared" si="163"/>
        <v>0</v>
      </c>
      <c r="AS230" s="142">
        <f t="shared" si="153"/>
        <v>0</v>
      </c>
      <c r="AT230" t="b">
        <f>OR((F230&gt;0),(NOT(ISBLANK(H230))),SUM(H230:H$373),SUM(G230:G$373))</f>
        <v>0</v>
      </c>
      <c r="AU230" t="b">
        <f t="shared" ca="1" si="141"/>
        <v>0</v>
      </c>
    </row>
    <row r="231" spans="1:47">
      <c r="A231" s="349">
        <f t="shared" si="154"/>
        <v>41864</v>
      </c>
      <c r="B231" s="350">
        <f t="shared" si="155"/>
        <v>41864</v>
      </c>
      <c r="C231" s="351">
        <f t="shared" si="166"/>
        <v>33</v>
      </c>
      <c r="D231" s="352">
        <f t="shared" si="167"/>
        <v>41851</v>
      </c>
      <c r="E231" s="364" t="str">
        <f t="shared" si="142"/>
        <v/>
      </c>
      <c r="F231" s="6"/>
      <c r="G231" s="7" t="str">
        <f t="shared" si="168"/>
        <v/>
      </c>
      <c r="H231" s="8"/>
      <c r="I231" s="8">
        <f t="shared" si="164"/>
        <v>0</v>
      </c>
      <c r="J231" s="129">
        <f t="shared" si="162"/>
        <v>0</v>
      </c>
      <c r="K231" s="8"/>
      <c r="L231" s="8">
        <f t="shared" si="143"/>
        <v>0</v>
      </c>
      <c r="M231" s="129">
        <f t="shared" si="144"/>
        <v>0</v>
      </c>
      <c r="N231" s="129"/>
      <c r="O231" s="129">
        <f t="shared" si="137"/>
        <v>0</v>
      </c>
      <c r="P231" s="129"/>
      <c r="Q231" s="129">
        <f t="shared" si="145"/>
        <v>0</v>
      </c>
      <c r="R231" s="129">
        <f t="shared" si="146"/>
        <v>0</v>
      </c>
      <c r="S231" s="693">
        <f t="shared" si="147"/>
        <v>6</v>
      </c>
      <c r="T231" s="129">
        <f t="shared" si="165"/>
        <v>0</v>
      </c>
      <c r="U231" s="165">
        <f t="shared" si="148"/>
        <v>0</v>
      </c>
      <c r="V231" s="75"/>
      <c r="W231" s="131">
        <f t="shared" si="138"/>
        <v>4.1666666666666664E-2</v>
      </c>
      <c r="X231" s="126">
        <f t="shared" si="149"/>
        <v>0</v>
      </c>
      <c r="Y231" s="127">
        <f t="shared" si="169"/>
        <v>0.33333333333333331</v>
      </c>
      <c r="Z231" s="128">
        <f t="shared" si="170"/>
        <v>0</v>
      </c>
      <c r="AA231" s="76" t="str">
        <f t="shared" si="171"/>
        <v/>
      </c>
      <c r="AB231" s="216">
        <f t="shared" si="139"/>
        <v>0</v>
      </c>
      <c r="AC231" s="163" t="str">
        <f t="shared" si="172"/>
        <v/>
      </c>
      <c r="AD231" s="257">
        <f t="shared" si="156"/>
        <v>0</v>
      </c>
      <c r="AE231" s="138"/>
      <c r="AF231" s="138" t="str">
        <f t="shared" si="157"/>
        <v/>
      </c>
      <c r="AG231" s="77">
        <f t="shared" si="173"/>
        <v>0</v>
      </c>
      <c r="AH231" s="77">
        <f t="shared" si="174"/>
        <v>0</v>
      </c>
      <c r="AI231" s="77" t="str">
        <f t="shared" si="158"/>
        <v/>
      </c>
      <c r="AJ231" s="78">
        <f t="shared" si="140"/>
        <v>2</v>
      </c>
      <c r="AK231" s="139">
        <f>SUM($AC$6:AC231)</f>
        <v>0</v>
      </c>
      <c r="AL231" s="139">
        <f t="shared" ca="1" si="150"/>
        <v>0</v>
      </c>
      <c r="AM231" s="143">
        <f t="shared" si="159"/>
        <v>0</v>
      </c>
      <c r="AN231" s="143">
        <f t="shared" si="160"/>
        <v>0</v>
      </c>
      <c r="AO231" s="143">
        <f t="shared" si="161"/>
        <v>0</v>
      </c>
      <c r="AP231" s="142">
        <f t="shared" si="151"/>
        <v>30</v>
      </c>
      <c r="AQ231" s="142">
        <f t="shared" ca="1" si="152"/>
        <v>30</v>
      </c>
      <c r="AR231" s="154">
        <f t="shared" si="163"/>
        <v>0</v>
      </c>
      <c r="AS231" s="142">
        <f t="shared" si="153"/>
        <v>0</v>
      </c>
      <c r="AT231" t="b">
        <f>OR((F231&gt;0),(NOT(ISBLANK(H231))),SUM(H231:H$373),SUM(G231:G$373))</f>
        <v>0</v>
      </c>
      <c r="AU231" t="b">
        <f t="shared" ca="1" si="141"/>
        <v>0</v>
      </c>
    </row>
    <row r="232" spans="1:47">
      <c r="A232" s="349">
        <f t="shared" si="154"/>
        <v>41865</v>
      </c>
      <c r="B232" s="350">
        <f t="shared" si="155"/>
        <v>41865</v>
      </c>
      <c r="C232" s="351">
        <f t="shared" si="166"/>
        <v>33</v>
      </c>
      <c r="D232" s="352">
        <f t="shared" si="167"/>
        <v>41851</v>
      </c>
      <c r="E232" s="364" t="str">
        <f t="shared" si="142"/>
        <v/>
      </c>
      <c r="F232" s="6"/>
      <c r="G232" s="7" t="str">
        <f t="shared" si="168"/>
        <v/>
      </c>
      <c r="H232" s="8"/>
      <c r="I232" s="8">
        <f t="shared" si="164"/>
        <v>0</v>
      </c>
      <c r="J232" s="129">
        <f t="shared" si="162"/>
        <v>0</v>
      </c>
      <c r="K232" s="8"/>
      <c r="L232" s="8">
        <f t="shared" si="143"/>
        <v>0</v>
      </c>
      <c r="M232" s="129">
        <f t="shared" si="144"/>
        <v>0</v>
      </c>
      <c r="N232" s="129"/>
      <c r="O232" s="129">
        <f t="shared" si="137"/>
        <v>0</v>
      </c>
      <c r="P232" s="129"/>
      <c r="Q232" s="129">
        <f t="shared" si="145"/>
        <v>0</v>
      </c>
      <c r="R232" s="129">
        <f t="shared" si="146"/>
        <v>0</v>
      </c>
      <c r="S232" s="693">
        <f t="shared" si="147"/>
        <v>6</v>
      </c>
      <c r="T232" s="129">
        <f t="shared" si="165"/>
        <v>0</v>
      </c>
      <c r="U232" s="165">
        <f t="shared" si="148"/>
        <v>0</v>
      </c>
      <c r="V232" s="75"/>
      <c r="W232" s="131">
        <f t="shared" si="138"/>
        <v>4.1666666666666664E-2</v>
      </c>
      <c r="X232" s="126">
        <f t="shared" si="149"/>
        <v>0</v>
      </c>
      <c r="Y232" s="127">
        <f t="shared" si="169"/>
        <v>0.33333333333333331</v>
      </c>
      <c r="Z232" s="128">
        <f t="shared" si="170"/>
        <v>0</v>
      </c>
      <c r="AA232" s="76" t="str">
        <f t="shared" si="171"/>
        <v/>
      </c>
      <c r="AB232" s="216">
        <f t="shared" si="139"/>
        <v>0</v>
      </c>
      <c r="AC232" s="163" t="str">
        <f t="shared" si="172"/>
        <v/>
      </c>
      <c r="AD232" s="257">
        <f t="shared" si="156"/>
        <v>0</v>
      </c>
      <c r="AE232" s="138"/>
      <c r="AF232" s="138" t="str">
        <f t="shared" si="157"/>
        <v/>
      </c>
      <c r="AG232" s="77">
        <f t="shared" si="173"/>
        <v>0</v>
      </c>
      <c r="AH232" s="77">
        <f t="shared" si="174"/>
        <v>0</v>
      </c>
      <c r="AI232" s="77" t="str">
        <f t="shared" si="158"/>
        <v/>
      </c>
      <c r="AJ232" s="78">
        <f t="shared" si="140"/>
        <v>3</v>
      </c>
      <c r="AK232" s="139">
        <f>SUM($AC$6:AC232)</f>
        <v>0</v>
      </c>
      <c r="AL232" s="139">
        <f t="shared" ca="1" si="150"/>
        <v>0</v>
      </c>
      <c r="AM232" s="143">
        <f t="shared" si="159"/>
        <v>0</v>
      </c>
      <c r="AN232" s="143">
        <f t="shared" si="160"/>
        <v>0</v>
      </c>
      <c r="AO232" s="143">
        <f t="shared" si="161"/>
        <v>0</v>
      </c>
      <c r="AP232" s="142">
        <f t="shared" si="151"/>
        <v>30</v>
      </c>
      <c r="AQ232" s="142">
        <f t="shared" ca="1" si="152"/>
        <v>30</v>
      </c>
      <c r="AR232" s="154">
        <f t="shared" si="163"/>
        <v>0</v>
      </c>
      <c r="AS232" s="142">
        <f t="shared" si="153"/>
        <v>0</v>
      </c>
      <c r="AT232" t="b">
        <f>OR((F232&gt;0),(NOT(ISBLANK(H232))),SUM(H232:H$373),SUM(G232:G$373))</f>
        <v>0</v>
      </c>
      <c r="AU232" t="b">
        <f t="shared" ca="1" si="141"/>
        <v>0</v>
      </c>
    </row>
    <row r="233" spans="1:47">
      <c r="A233" s="349">
        <f t="shared" si="154"/>
        <v>41866</v>
      </c>
      <c r="B233" s="350">
        <f t="shared" si="155"/>
        <v>41866</v>
      </c>
      <c r="C233" s="351">
        <f t="shared" si="166"/>
        <v>33</v>
      </c>
      <c r="D233" s="352">
        <f t="shared" si="167"/>
        <v>41851</v>
      </c>
      <c r="E233" s="364" t="str">
        <f t="shared" si="142"/>
        <v/>
      </c>
      <c r="F233" s="6"/>
      <c r="G233" s="7" t="str">
        <f t="shared" si="168"/>
        <v/>
      </c>
      <c r="H233" s="8"/>
      <c r="I233" s="8">
        <f t="shared" si="164"/>
        <v>0</v>
      </c>
      <c r="J233" s="129">
        <f t="shared" si="162"/>
        <v>0</v>
      </c>
      <c r="K233" s="8"/>
      <c r="L233" s="8">
        <f t="shared" si="143"/>
        <v>0</v>
      </c>
      <c r="M233" s="129">
        <f t="shared" si="144"/>
        <v>0</v>
      </c>
      <c r="N233" s="129"/>
      <c r="O233" s="129">
        <f t="shared" si="137"/>
        <v>0</v>
      </c>
      <c r="P233" s="129"/>
      <c r="Q233" s="129">
        <f t="shared" si="145"/>
        <v>0</v>
      </c>
      <c r="R233" s="129">
        <f t="shared" si="146"/>
        <v>0</v>
      </c>
      <c r="S233" s="693">
        <f t="shared" si="147"/>
        <v>6</v>
      </c>
      <c r="T233" s="129">
        <f t="shared" si="165"/>
        <v>0</v>
      </c>
      <c r="U233" s="165">
        <f t="shared" si="148"/>
        <v>0</v>
      </c>
      <c r="V233" s="75"/>
      <c r="W233" s="131">
        <f t="shared" si="138"/>
        <v>4.1666666666666664E-2</v>
      </c>
      <c r="X233" s="126">
        <f t="shared" si="149"/>
        <v>0</v>
      </c>
      <c r="Y233" s="127">
        <f t="shared" si="169"/>
        <v>0.33333333333333331</v>
      </c>
      <c r="Z233" s="128">
        <f t="shared" si="170"/>
        <v>0</v>
      </c>
      <c r="AA233" s="76" t="str">
        <f t="shared" si="171"/>
        <v/>
      </c>
      <c r="AB233" s="216">
        <f t="shared" si="139"/>
        <v>0</v>
      </c>
      <c r="AC233" s="163" t="str">
        <f t="shared" si="172"/>
        <v/>
      </c>
      <c r="AD233" s="257">
        <f t="shared" si="156"/>
        <v>0</v>
      </c>
      <c r="AE233" s="138"/>
      <c r="AF233" s="138" t="str">
        <f t="shared" si="157"/>
        <v/>
      </c>
      <c r="AG233" s="77">
        <f t="shared" si="173"/>
        <v>0</v>
      </c>
      <c r="AH233" s="77">
        <f t="shared" si="174"/>
        <v>0</v>
      </c>
      <c r="AI233" s="77" t="str">
        <f t="shared" si="158"/>
        <v/>
      </c>
      <c r="AJ233" s="78">
        <f t="shared" si="140"/>
        <v>4</v>
      </c>
      <c r="AK233" s="139">
        <f>SUM($AC$6:AC233)</f>
        <v>0</v>
      </c>
      <c r="AL233" s="139">
        <f t="shared" ca="1" si="150"/>
        <v>0</v>
      </c>
      <c r="AM233" s="143">
        <f t="shared" si="159"/>
        <v>0</v>
      </c>
      <c r="AN233" s="143">
        <f t="shared" si="160"/>
        <v>0</v>
      </c>
      <c r="AO233" s="143">
        <f t="shared" si="161"/>
        <v>0</v>
      </c>
      <c r="AP233" s="142">
        <f t="shared" si="151"/>
        <v>30</v>
      </c>
      <c r="AQ233" s="142">
        <f t="shared" ca="1" si="152"/>
        <v>30</v>
      </c>
      <c r="AR233" s="154">
        <f t="shared" si="163"/>
        <v>0</v>
      </c>
      <c r="AS233" s="142">
        <f t="shared" si="153"/>
        <v>0</v>
      </c>
      <c r="AT233" t="b">
        <f>OR((F233&gt;0),(NOT(ISBLANK(H233))),SUM(H233:H$373),SUM(G233:G$373))</f>
        <v>0</v>
      </c>
      <c r="AU233" t="b">
        <f t="shared" ca="1" si="141"/>
        <v>0</v>
      </c>
    </row>
    <row r="234" spans="1:47">
      <c r="A234" s="349">
        <f t="shared" si="154"/>
        <v>41867</v>
      </c>
      <c r="B234" s="350">
        <f t="shared" si="155"/>
        <v>41867</v>
      </c>
      <c r="C234" s="351">
        <f t="shared" si="166"/>
        <v>33</v>
      </c>
      <c r="D234" s="352">
        <f t="shared" si="167"/>
        <v>41851</v>
      </c>
      <c r="E234" s="364" t="str">
        <f t="shared" si="142"/>
        <v/>
      </c>
      <c r="F234" s="6"/>
      <c r="G234" s="7" t="str">
        <f t="shared" si="168"/>
        <v/>
      </c>
      <c r="H234" s="8"/>
      <c r="I234" s="8">
        <f t="shared" si="164"/>
        <v>0</v>
      </c>
      <c r="J234" s="129">
        <f t="shared" si="162"/>
        <v>0</v>
      </c>
      <c r="K234" s="8"/>
      <c r="L234" s="8">
        <f t="shared" si="143"/>
        <v>0</v>
      </c>
      <c r="M234" s="129">
        <f t="shared" si="144"/>
        <v>0</v>
      </c>
      <c r="N234" s="129"/>
      <c r="O234" s="129">
        <f t="shared" si="137"/>
        <v>0</v>
      </c>
      <c r="P234" s="129"/>
      <c r="Q234" s="129">
        <f t="shared" si="145"/>
        <v>0</v>
      </c>
      <c r="R234" s="129">
        <f t="shared" si="146"/>
        <v>0</v>
      </c>
      <c r="S234" s="693">
        <f t="shared" si="147"/>
        <v>6</v>
      </c>
      <c r="T234" s="129">
        <f t="shared" si="165"/>
        <v>0</v>
      </c>
      <c r="U234" s="165">
        <f t="shared" si="148"/>
        <v>0</v>
      </c>
      <c r="V234" s="75"/>
      <c r="W234" s="131">
        <f t="shared" si="138"/>
        <v>4.1666666666666664E-2</v>
      </c>
      <c r="X234" s="126">
        <f t="shared" si="149"/>
        <v>0</v>
      </c>
      <c r="Y234" s="127">
        <f t="shared" si="169"/>
        <v>0.33333333333333331</v>
      </c>
      <c r="Z234" s="128">
        <f t="shared" si="170"/>
        <v>0</v>
      </c>
      <c r="AA234" s="76" t="str">
        <f t="shared" si="171"/>
        <v/>
      </c>
      <c r="AB234" s="216">
        <f t="shared" si="139"/>
        <v>0</v>
      </c>
      <c r="AC234" s="163" t="str">
        <f t="shared" si="172"/>
        <v/>
      </c>
      <c r="AD234" s="257">
        <f t="shared" si="156"/>
        <v>0</v>
      </c>
      <c r="AE234" s="138"/>
      <c r="AF234" s="138" t="str">
        <f t="shared" si="157"/>
        <v/>
      </c>
      <c r="AG234" s="77">
        <f t="shared" si="173"/>
        <v>0</v>
      </c>
      <c r="AH234" s="77">
        <f t="shared" si="174"/>
        <v>0</v>
      </c>
      <c r="AI234" s="77" t="str">
        <f t="shared" si="158"/>
        <v/>
      </c>
      <c r="AJ234" s="78">
        <f t="shared" si="140"/>
        <v>5</v>
      </c>
      <c r="AK234" s="139">
        <f>SUM($AC$6:AC234)</f>
        <v>0</v>
      </c>
      <c r="AL234" s="139">
        <f t="shared" ca="1" si="150"/>
        <v>0</v>
      </c>
      <c r="AM234" s="143">
        <f t="shared" si="159"/>
        <v>0</v>
      </c>
      <c r="AN234" s="143">
        <f t="shared" si="160"/>
        <v>0</v>
      </c>
      <c r="AO234" s="143">
        <f t="shared" si="161"/>
        <v>0</v>
      </c>
      <c r="AP234" s="142">
        <f t="shared" si="151"/>
        <v>30</v>
      </c>
      <c r="AQ234" s="142">
        <f t="shared" ca="1" si="152"/>
        <v>30</v>
      </c>
      <c r="AR234" s="154">
        <f t="shared" si="163"/>
        <v>0</v>
      </c>
      <c r="AS234" s="142">
        <f t="shared" si="153"/>
        <v>0</v>
      </c>
      <c r="AT234" t="b">
        <f>OR((F234&gt;0),(NOT(ISBLANK(H234))),SUM(H234:H$373),SUM(G234:G$373))</f>
        <v>0</v>
      </c>
      <c r="AU234" t="b">
        <f t="shared" ca="1" si="141"/>
        <v>0</v>
      </c>
    </row>
    <row r="235" spans="1:47">
      <c r="A235" s="349">
        <f t="shared" si="154"/>
        <v>41868</v>
      </c>
      <c r="B235" s="350">
        <f t="shared" si="155"/>
        <v>41868</v>
      </c>
      <c r="C235" s="351">
        <f t="shared" si="166"/>
        <v>33</v>
      </c>
      <c r="D235" s="352">
        <f t="shared" si="167"/>
        <v>41851</v>
      </c>
      <c r="E235" s="364" t="str">
        <f t="shared" si="142"/>
        <v/>
      </c>
      <c r="F235" s="6"/>
      <c r="G235" s="7" t="str">
        <f t="shared" si="168"/>
        <v/>
      </c>
      <c r="H235" s="8"/>
      <c r="I235" s="8">
        <f t="shared" si="164"/>
        <v>0</v>
      </c>
      <c r="J235" s="129">
        <f t="shared" si="162"/>
        <v>0</v>
      </c>
      <c r="K235" s="8"/>
      <c r="L235" s="8">
        <f t="shared" si="143"/>
        <v>0</v>
      </c>
      <c r="M235" s="129">
        <f t="shared" si="144"/>
        <v>0</v>
      </c>
      <c r="N235" s="129"/>
      <c r="O235" s="129">
        <f t="shared" si="137"/>
        <v>0</v>
      </c>
      <c r="P235" s="129"/>
      <c r="Q235" s="129">
        <f t="shared" si="145"/>
        <v>0</v>
      </c>
      <c r="R235" s="129">
        <f t="shared" si="146"/>
        <v>0</v>
      </c>
      <c r="S235" s="693">
        <f t="shared" si="147"/>
        <v>6</v>
      </c>
      <c r="T235" s="129">
        <f t="shared" si="165"/>
        <v>0</v>
      </c>
      <c r="U235" s="165">
        <f t="shared" si="148"/>
        <v>0</v>
      </c>
      <c r="V235" s="75"/>
      <c r="W235" s="131">
        <f t="shared" si="138"/>
        <v>4.1666666666666664E-2</v>
      </c>
      <c r="X235" s="126">
        <f t="shared" si="149"/>
        <v>0</v>
      </c>
      <c r="Y235" s="127">
        <f t="shared" si="169"/>
        <v>0</v>
      </c>
      <c r="Z235" s="128">
        <f t="shared" si="170"/>
        <v>0</v>
      </c>
      <c r="AA235" s="76" t="str">
        <f t="shared" si="171"/>
        <v/>
      </c>
      <c r="AB235" s="216">
        <f t="shared" si="139"/>
        <v>0</v>
      </c>
      <c r="AC235" s="163" t="str">
        <f t="shared" si="172"/>
        <v/>
      </c>
      <c r="AD235" s="257">
        <f t="shared" si="156"/>
        <v>0</v>
      </c>
      <c r="AE235" s="138"/>
      <c r="AF235" s="138" t="str">
        <f t="shared" si="157"/>
        <v/>
      </c>
      <c r="AG235" s="77">
        <f t="shared" si="173"/>
        <v>0</v>
      </c>
      <c r="AH235" s="77">
        <f t="shared" si="174"/>
        <v>0</v>
      </c>
      <c r="AI235" s="77" t="str">
        <f t="shared" si="158"/>
        <v/>
      </c>
      <c r="AJ235" s="78">
        <f t="shared" si="140"/>
        <v>6</v>
      </c>
      <c r="AK235" s="139">
        <f>SUM($AC$6:AC235)</f>
        <v>0</v>
      </c>
      <c r="AL235" s="139">
        <f t="shared" ca="1" si="150"/>
        <v>0</v>
      </c>
      <c r="AM235" s="143">
        <f t="shared" si="159"/>
        <v>0</v>
      </c>
      <c r="AN235" s="143">
        <f t="shared" si="160"/>
        <v>0</v>
      </c>
      <c r="AO235" s="143">
        <f t="shared" si="161"/>
        <v>0</v>
      </c>
      <c r="AP235" s="142">
        <f t="shared" si="151"/>
        <v>30</v>
      </c>
      <c r="AQ235" s="142">
        <f t="shared" ca="1" si="152"/>
        <v>30</v>
      </c>
      <c r="AR235" s="154">
        <f t="shared" si="163"/>
        <v>0</v>
      </c>
      <c r="AS235" s="142">
        <f t="shared" si="153"/>
        <v>7</v>
      </c>
      <c r="AT235" t="b">
        <f>OR((F235&gt;0),(NOT(ISBLANK(H235))),SUM(H235:H$373),SUM(G235:G$373))</f>
        <v>0</v>
      </c>
      <c r="AU235" t="b">
        <f t="shared" ca="1" si="141"/>
        <v>1</v>
      </c>
    </row>
    <row r="236" spans="1:47">
      <c r="A236" s="349">
        <f t="shared" si="154"/>
        <v>41869</v>
      </c>
      <c r="B236" s="350">
        <f t="shared" si="155"/>
        <v>41869</v>
      </c>
      <c r="C236" s="351">
        <f t="shared" si="166"/>
        <v>33</v>
      </c>
      <c r="D236" s="352">
        <f t="shared" si="167"/>
        <v>41851</v>
      </c>
      <c r="E236" s="364" t="str">
        <f t="shared" si="142"/>
        <v/>
      </c>
      <c r="F236" s="6"/>
      <c r="G236" s="7" t="str">
        <f t="shared" si="168"/>
        <v/>
      </c>
      <c r="H236" s="8"/>
      <c r="I236" s="8">
        <f t="shared" si="164"/>
        <v>0</v>
      </c>
      <c r="J236" s="129">
        <f t="shared" si="162"/>
        <v>0</v>
      </c>
      <c r="K236" s="8"/>
      <c r="L236" s="8">
        <f t="shared" si="143"/>
        <v>0</v>
      </c>
      <c r="M236" s="129">
        <f t="shared" si="144"/>
        <v>0</v>
      </c>
      <c r="N236" s="129"/>
      <c r="O236" s="129">
        <f t="shared" si="137"/>
        <v>0</v>
      </c>
      <c r="P236" s="129"/>
      <c r="Q236" s="129">
        <f t="shared" si="145"/>
        <v>0</v>
      </c>
      <c r="R236" s="129">
        <f t="shared" si="146"/>
        <v>0</v>
      </c>
      <c r="S236" s="693">
        <f t="shared" si="147"/>
        <v>6</v>
      </c>
      <c r="T236" s="129">
        <f t="shared" si="165"/>
        <v>0</v>
      </c>
      <c r="U236" s="165">
        <f t="shared" si="148"/>
        <v>0</v>
      </c>
      <c r="V236" s="75"/>
      <c r="W236" s="131">
        <f t="shared" si="138"/>
        <v>4.1666666666666664E-2</v>
      </c>
      <c r="X236" s="126">
        <f t="shared" si="149"/>
        <v>0</v>
      </c>
      <c r="Y236" s="127">
        <f t="shared" si="169"/>
        <v>0</v>
      </c>
      <c r="Z236" s="128">
        <f t="shared" si="170"/>
        <v>0</v>
      </c>
      <c r="AA236" s="76" t="str">
        <f t="shared" si="171"/>
        <v/>
      </c>
      <c r="AB236" s="216">
        <f t="shared" si="139"/>
        <v>0</v>
      </c>
      <c r="AC236" s="163" t="str">
        <f t="shared" si="172"/>
        <v/>
      </c>
      <c r="AD236" s="257">
        <f t="shared" si="156"/>
        <v>0</v>
      </c>
      <c r="AE236" s="138"/>
      <c r="AF236" s="138" t="str">
        <f t="shared" si="157"/>
        <v/>
      </c>
      <c r="AG236" s="77">
        <f t="shared" si="173"/>
        <v>0</v>
      </c>
      <c r="AH236" s="77">
        <f t="shared" si="174"/>
        <v>0</v>
      </c>
      <c r="AI236" s="77" t="str">
        <f t="shared" si="158"/>
        <v/>
      </c>
      <c r="AJ236" s="78">
        <f t="shared" si="140"/>
        <v>7</v>
      </c>
      <c r="AK236" s="139">
        <f>SUM($AC$6:AC236)</f>
        <v>0</v>
      </c>
      <c r="AL236" s="139">
        <f t="shared" ca="1" si="150"/>
        <v>0</v>
      </c>
      <c r="AM236" s="143">
        <f t="shared" si="159"/>
        <v>0</v>
      </c>
      <c r="AN236" s="143">
        <f t="shared" si="160"/>
        <v>0</v>
      </c>
      <c r="AO236" s="143">
        <f t="shared" si="161"/>
        <v>0</v>
      </c>
      <c r="AP236" s="142">
        <f t="shared" si="151"/>
        <v>30</v>
      </c>
      <c r="AQ236" s="142">
        <f t="shared" ca="1" si="152"/>
        <v>30</v>
      </c>
      <c r="AR236" s="154">
        <f t="shared" si="163"/>
        <v>0</v>
      </c>
      <c r="AS236" s="142">
        <f t="shared" si="153"/>
        <v>7</v>
      </c>
      <c r="AT236" t="b">
        <f>OR((F236&gt;0),(NOT(ISBLANK(H236))),SUM(H236:H$373),SUM(G236:G$373))</f>
        <v>0</v>
      </c>
      <c r="AU236" t="b">
        <f t="shared" ca="1" si="141"/>
        <v>1</v>
      </c>
    </row>
    <row r="237" spans="1:47">
      <c r="A237" s="349">
        <f t="shared" si="154"/>
        <v>41870</v>
      </c>
      <c r="B237" s="350">
        <f t="shared" si="155"/>
        <v>41870</v>
      </c>
      <c r="C237" s="351">
        <f t="shared" si="166"/>
        <v>34</v>
      </c>
      <c r="D237" s="352">
        <f t="shared" si="167"/>
        <v>41851</v>
      </c>
      <c r="E237" s="364" t="str">
        <f t="shared" si="142"/>
        <v/>
      </c>
      <c r="F237" s="6"/>
      <c r="G237" s="7" t="str">
        <f t="shared" si="168"/>
        <v/>
      </c>
      <c r="H237" s="8"/>
      <c r="I237" s="8">
        <f t="shared" si="164"/>
        <v>0</v>
      </c>
      <c r="J237" s="129">
        <f t="shared" si="162"/>
        <v>0</v>
      </c>
      <c r="K237" s="8"/>
      <c r="L237" s="8">
        <f t="shared" si="143"/>
        <v>0</v>
      </c>
      <c r="M237" s="129">
        <f t="shared" si="144"/>
        <v>0</v>
      </c>
      <c r="N237" s="129"/>
      <c r="O237" s="129">
        <f t="shared" si="137"/>
        <v>0</v>
      </c>
      <c r="P237" s="129"/>
      <c r="Q237" s="129">
        <f t="shared" si="145"/>
        <v>0</v>
      </c>
      <c r="R237" s="129">
        <f t="shared" si="146"/>
        <v>0</v>
      </c>
      <c r="S237" s="693">
        <f t="shared" si="147"/>
        <v>6</v>
      </c>
      <c r="T237" s="129">
        <f t="shared" si="165"/>
        <v>0</v>
      </c>
      <c r="U237" s="165">
        <f t="shared" si="148"/>
        <v>0</v>
      </c>
      <c r="V237" s="75"/>
      <c r="W237" s="131">
        <f t="shared" si="138"/>
        <v>4.1666666666666664E-2</v>
      </c>
      <c r="X237" s="126">
        <f t="shared" si="149"/>
        <v>0</v>
      </c>
      <c r="Y237" s="127">
        <f t="shared" si="169"/>
        <v>0.33333333333333331</v>
      </c>
      <c r="Z237" s="128">
        <f t="shared" si="170"/>
        <v>0</v>
      </c>
      <c r="AA237" s="76" t="str">
        <f t="shared" si="171"/>
        <v/>
      </c>
      <c r="AB237" s="216">
        <f t="shared" si="139"/>
        <v>0</v>
      </c>
      <c r="AC237" s="163" t="str">
        <f t="shared" si="172"/>
        <v/>
      </c>
      <c r="AD237" s="257">
        <f t="shared" si="156"/>
        <v>0</v>
      </c>
      <c r="AE237" s="138"/>
      <c r="AF237" s="138" t="str">
        <f t="shared" si="157"/>
        <v/>
      </c>
      <c r="AG237" s="77">
        <f t="shared" si="173"/>
        <v>0</v>
      </c>
      <c r="AH237" s="77">
        <f t="shared" si="174"/>
        <v>0</v>
      </c>
      <c r="AI237" s="77" t="str">
        <f t="shared" si="158"/>
        <v/>
      </c>
      <c r="AJ237" s="78">
        <f t="shared" si="140"/>
        <v>1</v>
      </c>
      <c r="AK237" s="139">
        <f>SUM($AC$6:AC237)</f>
        <v>0</v>
      </c>
      <c r="AL237" s="139">
        <f t="shared" ca="1" si="150"/>
        <v>0</v>
      </c>
      <c r="AM237" s="143">
        <f t="shared" si="159"/>
        <v>0</v>
      </c>
      <c r="AN237" s="143">
        <f t="shared" si="160"/>
        <v>0</v>
      </c>
      <c r="AO237" s="143">
        <f t="shared" si="161"/>
        <v>0</v>
      </c>
      <c r="AP237" s="142">
        <f t="shared" si="151"/>
        <v>30</v>
      </c>
      <c r="AQ237" s="142">
        <f t="shared" ca="1" si="152"/>
        <v>30</v>
      </c>
      <c r="AR237" s="154">
        <f t="shared" si="163"/>
        <v>0</v>
      </c>
      <c r="AS237" s="142">
        <f t="shared" si="153"/>
        <v>0</v>
      </c>
      <c r="AT237" t="b">
        <f>OR((F237&gt;0),(NOT(ISBLANK(H237))),SUM(H237:H$373),SUM(G237:G$373))</f>
        <v>0</v>
      </c>
      <c r="AU237" t="b">
        <f t="shared" ca="1" si="141"/>
        <v>0</v>
      </c>
    </row>
    <row r="238" spans="1:47">
      <c r="A238" s="349">
        <f t="shared" si="154"/>
        <v>41871</v>
      </c>
      <c r="B238" s="350">
        <f t="shared" si="155"/>
        <v>41871</v>
      </c>
      <c r="C238" s="351">
        <f t="shared" si="166"/>
        <v>34</v>
      </c>
      <c r="D238" s="352">
        <f t="shared" si="167"/>
        <v>41851</v>
      </c>
      <c r="E238" s="364" t="str">
        <f t="shared" si="142"/>
        <v/>
      </c>
      <c r="F238" s="6"/>
      <c r="G238" s="7" t="str">
        <f t="shared" si="168"/>
        <v/>
      </c>
      <c r="H238" s="8"/>
      <c r="I238" s="8">
        <f t="shared" si="164"/>
        <v>0</v>
      </c>
      <c r="J238" s="129">
        <f t="shared" si="162"/>
        <v>0</v>
      </c>
      <c r="K238" s="8"/>
      <c r="L238" s="8">
        <f t="shared" si="143"/>
        <v>0</v>
      </c>
      <c r="M238" s="129">
        <f t="shared" si="144"/>
        <v>0</v>
      </c>
      <c r="N238" s="129"/>
      <c r="O238" s="129">
        <f t="shared" si="137"/>
        <v>0</v>
      </c>
      <c r="P238" s="129"/>
      <c r="Q238" s="129">
        <f t="shared" si="145"/>
        <v>0</v>
      </c>
      <c r="R238" s="129">
        <f t="shared" si="146"/>
        <v>0</v>
      </c>
      <c r="S238" s="693">
        <f t="shared" si="147"/>
        <v>6</v>
      </c>
      <c r="T238" s="129">
        <f t="shared" si="165"/>
        <v>0</v>
      </c>
      <c r="U238" s="165">
        <f t="shared" si="148"/>
        <v>0</v>
      </c>
      <c r="V238" s="75"/>
      <c r="W238" s="131">
        <f t="shared" si="138"/>
        <v>4.1666666666666664E-2</v>
      </c>
      <c r="X238" s="126">
        <f t="shared" si="149"/>
        <v>0</v>
      </c>
      <c r="Y238" s="127">
        <f t="shared" si="169"/>
        <v>0.33333333333333331</v>
      </c>
      <c r="Z238" s="128">
        <f t="shared" si="170"/>
        <v>0</v>
      </c>
      <c r="AA238" s="76" t="str">
        <f t="shared" si="171"/>
        <v/>
      </c>
      <c r="AB238" s="216">
        <f t="shared" si="139"/>
        <v>0</v>
      </c>
      <c r="AC238" s="163" t="str">
        <f t="shared" si="172"/>
        <v/>
      </c>
      <c r="AD238" s="257">
        <f t="shared" si="156"/>
        <v>0</v>
      </c>
      <c r="AE238" s="138"/>
      <c r="AF238" s="138" t="str">
        <f t="shared" si="157"/>
        <v/>
      </c>
      <c r="AG238" s="77">
        <f t="shared" si="173"/>
        <v>0</v>
      </c>
      <c r="AH238" s="77">
        <f t="shared" si="174"/>
        <v>0</v>
      </c>
      <c r="AI238" s="77" t="str">
        <f t="shared" si="158"/>
        <v/>
      </c>
      <c r="AJ238" s="78">
        <f t="shared" si="140"/>
        <v>2</v>
      </c>
      <c r="AK238" s="139">
        <f>SUM($AC$6:AC238)</f>
        <v>0</v>
      </c>
      <c r="AL238" s="139">
        <f t="shared" ca="1" si="150"/>
        <v>0</v>
      </c>
      <c r="AM238" s="143">
        <f t="shared" si="159"/>
        <v>0</v>
      </c>
      <c r="AN238" s="143">
        <f t="shared" si="160"/>
        <v>0</v>
      </c>
      <c r="AO238" s="143">
        <f t="shared" si="161"/>
        <v>0</v>
      </c>
      <c r="AP238" s="142">
        <f t="shared" si="151"/>
        <v>30</v>
      </c>
      <c r="AQ238" s="142">
        <f t="shared" ca="1" si="152"/>
        <v>30</v>
      </c>
      <c r="AR238" s="154">
        <f t="shared" si="163"/>
        <v>0</v>
      </c>
      <c r="AS238" s="142">
        <f t="shared" si="153"/>
        <v>0</v>
      </c>
      <c r="AT238" t="b">
        <f>OR((F238&gt;0),(NOT(ISBLANK(H238))),SUM(H238:H$373),SUM(G238:G$373))</f>
        <v>0</v>
      </c>
      <c r="AU238" t="b">
        <f t="shared" ca="1" si="141"/>
        <v>0</v>
      </c>
    </row>
    <row r="239" spans="1:47">
      <c r="A239" s="349">
        <f t="shared" si="154"/>
        <v>41872</v>
      </c>
      <c r="B239" s="350">
        <f t="shared" si="155"/>
        <v>41872</v>
      </c>
      <c r="C239" s="351">
        <f t="shared" si="166"/>
        <v>34</v>
      </c>
      <c r="D239" s="352">
        <f t="shared" si="167"/>
        <v>41851</v>
      </c>
      <c r="E239" s="364" t="str">
        <f t="shared" si="142"/>
        <v/>
      </c>
      <c r="F239" s="6"/>
      <c r="G239" s="7" t="str">
        <f t="shared" si="168"/>
        <v/>
      </c>
      <c r="H239" s="8"/>
      <c r="I239" s="8">
        <f t="shared" si="164"/>
        <v>0</v>
      </c>
      <c r="J239" s="129">
        <f t="shared" si="162"/>
        <v>0</v>
      </c>
      <c r="K239" s="8"/>
      <c r="L239" s="8">
        <f t="shared" si="143"/>
        <v>0</v>
      </c>
      <c r="M239" s="129">
        <f t="shared" si="144"/>
        <v>0</v>
      </c>
      <c r="N239" s="129"/>
      <c r="O239" s="129">
        <f t="shared" si="137"/>
        <v>0</v>
      </c>
      <c r="P239" s="129"/>
      <c r="Q239" s="129">
        <f t="shared" si="145"/>
        <v>0</v>
      </c>
      <c r="R239" s="129">
        <f t="shared" si="146"/>
        <v>0</v>
      </c>
      <c r="S239" s="693">
        <f t="shared" si="147"/>
        <v>6</v>
      </c>
      <c r="T239" s="129">
        <f t="shared" si="165"/>
        <v>0</v>
      </c>
      <c r="U239" s="165">
        <f t="shared" si="148"/>
        <v>0</v>
      </c>
      <c r="V239" s="75"/>
      <c r="W239" s="131">
        <f t="shared" si="138"/>
        <v>4.1666666666666664E-2</v>
      </c>
      <c r="X239" s="126">
        <f t="shared" si="149"/>
        <v>0</v>
      </c>
      <c r="Y239" s="127">
        <f t="shared" si="169"/>
        <v>0.33333333333333331</v>
      </c>
      <c r="Z239" s="128">
        <f t="shared" si="170"/>
        <v>0</v>
      </c>
      <c r="AA239" s="76" t="str">
        <f t="shared" si="171"/>
        <v/>
      </c>
      <c r="AB239" s="216">
        <f t="shared" si="139"/>
        <v>0</v>
      </c>
      <c r="AC239" s="163" t="str">
        <f t="shared" si="172"/>
        <v/>
      </c>
      <c r="AD239" s="257">
        <f t="shared" si="156"/>
        <v>0</v>
      </c>
      <c r="AE239" s="138"/>
      <c r="AF239" s="138" t="str">
        <f t="shared" si="157"/>
        <v/>
      </c>
      <c r="AG239" s="77">
        <f t="shared" si="173"/>
        <v>0</v>
      </c>
      <c r="AH239" s="77">
        <f t="shared" si="174"/>
        <v>0</v>
      </c>
      <c r="AI239" s="77" t="str">
        <f t="shared" si="158"/>
        <v/>
      </c>
      <c r="AJ239" s="78">
        <f t="shared" si="140"/>
        <v>3</v>
      </c>
      <c r="AK239" s="139">
        <f>SUM($AC$6:AC239)</f>
        <v>0</v>
      </c>
      <c r="AL239" s="139">
        <f t="shared" ca="1" si="150"/>
        <v>0</v>
      </c>
      <c r="AM239" s="143">
        <f t="shared" si="159"/>
        <v>0</v>
      </c>
      <c r="AN239" s="143">
        <f t="shared" si="160"/>
        <v>0</v>
      </c>
      <c r="AO239" s="143">
        <f t="shared" si="161"/>
        <v>0</v>
      </c>
      <c r="AP239" s="142">
        <f t="shared" si="151"/>
        <v>30</v>
      </c>
      <c r="AQ239" s="142">
        <f t="shared" ca="1" si="152"/>
        <v>30</v>
      </c>
      <c r="AR239" s="154">
        <f t="shared" si="163"/>
        <v>0</v>
      </c>
      <c r="AS239" s="142">
        <f t="shared" si="153"/>
        <v>0</v>
      </c>
      <c r="AT239" t="b">
        <f>OR((F239&gt;0),(NOT(ISBLANK(H239))),SUM(H239:H$373),SUM(G239:G$373))</f>
        <v>0</v>
      </c>
      <c r="AU239" t="b">
        <f t="shared" ca="1" si="141"/>
        <v>0</v>
      </c>
    </row>
    <row r="240" spans="1:47">
      <c r="A240" s="349">
        <f t="shared" si="154"/>
        <v>41873</v>
      </c>
      <c r="B240" s="350">
        <f t="shared" si="155"/>
        <v>41873</v>
      </c>
      <c r="C240" s="351">
        <f t="shared" si="166"/>
        <v>34</v>
      </c>
      <c r="D240" s="352">
        <f t="shared" si="167"/>
        <v>41851</v>
      </c>
      <c r="E240" s="364" t="str">
        <f t="shared" si="142"/>
        <v/>
      </c>
      <c r="F240" s="6"/>
      <c r="G240" s="7" t="str">
        <f t="shared" si="168"/>
        <v/>
      </c>
      <c r="H240" s="8"/>
      <c r="I240" s="8">
        <f t="shared" si="164"/>
        <v>0</v>
      </c>
      <c r="J240" s="129">
        <f t="shared" si="162"/>
        <v>0</v>
      </c>
      <c r="K240" s="8"/>
      <c r="L240" s="8">
        <f t="shared" si="143"/>
        <v>0</v>
      </c>
      <c r="M240" s="129">
        <f t="shared" si="144"/>
        <v>0</v>
      </c>
      <c r="N240" s="129"/>
      <c r="O240" s="129">
        <f t="shared" si="137"/>
        <v>0</v>
      </c>
      <c r="P240" s="129"/>
      <c r="Q240" s="129">
        <f t="shared" si="145"/>
        <v>0</v>
      </c>
      <c r="R240" s="129">
        <f t="shared" si="146"/>
        <v>0</v>
      </c>
      <c r="S240" s="693">
        <f t="shared" si="147"/>
        <v>6</v>
      </c>
      <c r="T240" s="129">
        <f t="shared" si="165"/>
        <v>0</v>
      </c>
      <c r="U240" s="165">
        <f t="shared" si="148"/>
        <v>0</v>
      </c>
      <c r="V240" s="75"/>
      <c r="W240" s="131">
        <f t="shared" si="138"/>
        <v>4.1666666666666664E-2</v>
      </c>
      <c r="X240" s="126">
        <f t="shared" si="149"/>
        <v>0</v>
      </c>
      <c r="Y240" s="127">
        <f t="shared" si="169"/>
        <v>0.33333333333333331</v>
      </c>
      <c r="Z240" s="128">
        <f t="shared" si="170"/>
        <v>0</v>
      </c>
      <c r="AA240" s="76" t="str">
        <f t="shared" si="171"/>
        <v/>
      </c>
      <c r="AB240" s="216">
        <f t="shared" si="139"/>
        <v>0</v>
      </c>
      <c r="AC240" s="163" t="str">
        <f t="shared" si="172"/>
        <v/>
      </c>
      <c r="AD240" s="257">
        <f t="shared" si="156"/>
        <v>0</v>
      </c>
      <c r="AE240" s="138"/>
      <c r="AF240" s="138" t="str">
        <f t="shared" si="157"/>
        <v/>
      </c>
      <c r="AG240" s="77">
        <f t="shared" si="173"/>
        <v>0</v>
      </c>
      <c r="AH240" s="77">
        <f t="shared" si="174"/>
        <v>0</v>
      </c>
      <c r="AI240" s="77" t="str">
        <f t="shared" si="158"/>
        <v/>
      </c>
      <c r="AJ240" s="78">
        <f t="shared" si="140"/>
        <v>4</v>
      </c>
      <c r="AK240" s="139">
        <f>SUM($AC$6:AC240)</f>
        <v>0</v>
      </c>
      <c r="AL240" s="139">
        <f t="shared" ca="1" si="150"/>
        <v>0</v>
      </c>
      <c r="AM240" s="143">
        <f t="shared" si="159"/>
        <v>0</v>
      </c>
      <c r="AN240" s="143">
        <f t="shared" si="160"/>
        <v>0</v>
      </c>
      <c r="AO240" s="143">
        <f t="shared" si="161"/>
        <v>0</v>
      </c>
      <c r="AP240" s="142">
        <f t="shared" si="151"/>
        <v>30</v>
      </c>
      <c r="AQ240" s="142">
        <f t="shared" ca="1" si="152"/>
        <v>30</v>
      </c>
      <c r="AR240" s="154">
        <f t="shared" si="163"/>
        <v>0</v>
      </c>
      <c r="AS240" s="142">
        <f t="shared" si="153"/>
        <v>0</v>
      </c>
      <c r="AT240" t="b">
        <f>OR((F240&gt;0),(NOT(ISBLANK(H240))),SUM(H240:H$373),SUM(G240:G$373))</f>
        <v>0</v>
      </c>
      <c r="AU240" t="b">
        <f t="shared" ca="1" si="141"/>
        <v>0</v>
      </c>
    </row>
    <row r="241" spans="1:47">
      <c r="A241" s="349">
        <f t="shared" si="154"/>
        <v>41874</v>
      </c>
      <c r="B241" s="350">
        <f t="shared" si="155"/>
        <v>41874</v>
      </c>
      <c r="C241" s="351">
        <f t="shared" si="166"/>
        <v>34</v>
      </c>
      <c r="D241" s="352">
        <f t="shared" si="167"/>
        <v>41851</v>
      </c>
      <c r="E241" s="364" t="str">
        <f t="shared" si="142"/>
        <v/>
      </c>
      <c r="F241" s="6"/>
      <c r="G241" s="7" t="str">
        <f t="shared" si="168"/>
        <v/>
      </c>
      <c r="H241" s="8"/>
      <c r="I241" s="8">
        <f t="shared" si="164"/>
        <v>0</v>
      </c>
      <c r="J241" s="129">
        <f t="shared" si="162"/>
        <v>0</v>
      </c>
      <c r="K241" s="8"/>
      <c r="L241" s="8">
        <f t="shared" si="143"/>
        <v>0</v>
      </c>
      <c r="M241" s="129">
        <f t="shared" si="144"/>
        <v>0</v>
      </c>
      <c r="N241" s="129"/>
      <c r="O241" s="129">
        <f t="shared" si="137"/>
        <v>0</v>
      </c>
      <c r="P241" s="129"/>
      <c r="Q241" s="129">
        <f t="shared" si="145"/>
        <v>0</v>
      </c>
      <c r="R241" s="129">
        <f t="shared" si="146"/>
        <v>0</v>
      </c>
      <c r="S241" s="693">
        <f t="shared" si="147"/>
        <v>6</v>
      </c>
      <c r="T241" s="129">
        <f t="shared" si="165"/>
        <v>0</v>
      </c>
      <c r="U241" s="165">
        <f t="shared" si="148"/>
        <v>0</v>
      </c>
      <c r="V241" s="75"/>
      <c r="W241" s="131">
        <f t="shared" si="138"/>
        <v>4.1666666666666664E-2</v>
      </c>
      <c r="X241" s="126">
        <f t="shared" si="149"/>
        <v>0</v>
      </c>
      <c r="Y241" s="127">
        <f t="shared" si="169"/>
        <v>0.33333333333333331</v>
      </c>
      <c r="Z241" s="128">
        <f t="shared" si="170"/>
        <v>0</v>
      </c>
      <c r="AA241" s="76" t="str">
        <f t="shared" si="171"/>
        <v/>
      </c>
      <c r="AB241" s="216">
        <f t="shared" si="139"/>
        <v>0</v>
      </c>
      <c r="AC241" s="163" t="str">
        <f t="shared" si="172"/>
        <v/>
      </c>
      <c r="AD241" s="257">
        <f t="shared" si="156"/>
        <v>0</v>
      </c>
      <c r="AE241" s="138"/>
      <c r="AF241" s="138" t="str">
        <f t="shared" si="157"/>
        <v/>
      </c>
      <c r="AG241" s="77">
        <f t="shared" si="173"/>
        <v>0</v>
      </c>
      <c r="AH241" s="77">
        <f t="shared" si="174"/>
        <v>0</v>
      </c>
      <c r="AI241" s="77" t="str">
        <f t="shared" si="158"/>
        <v/>
      </c>
      <c r="AJ241" s="78">
        <f t="shared" si="140"/>
        <v>5</v>
      </c>
      <c r="AK241" s="139">
        <f>SUM($AC$6:AC241)</f>
        <v>0</v>
      </c>
      <c r="AL241" s="139">
        <f t="shared" ca="1" si="150"/>
        <v>0</v>
      </c>
      <c r="AM241" s="143">
        <f t="shared" si="159"/>
        <v>0</v>
      </c>
      <c r="AN241" s="143">
        <f t="shared" si="160"/>
        <v>0</v>
      </c>
      <c r="AO241" s="143">
        <f t="shared" si="161"/>
        <v>0</v>
      </c>
      <c r="AP241" s="142">
        <f t="shared" si="151"/>
        <v>30</v>
      </c>
      <c r="AQ241" s="142">
        <f t="shared" ca="1" si="152"/>
        <v>30</v>
      </c>
      <c r="AR241" s="154">
        <f t="shared" si="163"/>
        <v>0</v>
      </c>
      <c r="AS241" s="142">
        <f t="shared" si="153"/>
        <v>0</v>
      </c>
      <c r="AT241" t="b">
        <f>OR((F241&gt;0),(NOT(ISBLANK(H241))),SUM(H241:H$373),SUM(G241:G$373))</f>
        <v>0</v>
      </c>
      <c r="AU241" t="b">
        <f t="shared" ca="1" si="141"/>
        <v>0</v>
      </c>
    </row>
    <row r="242" spans="1:47">
      <c r="A242" s="349">
        <f t="shared" si="154"/>
        <v>41875</v>
      </c>
      <c r="B242" s="350">
        <f t="shared" si="155"/>
        <v>41875</v>
      </c>
      <c r="C242" s="351">
        <f t="shared" si="166"/>
        <v>34</v>
      </c>
      <c r="D242" s="352">
        <f t="shared" si="167"/>
        <v>41851</v>
      </c>
      <c r="E242" s="364" t="str">
        <f t="shared" si="142"/>
        <v/>
      </c>
      <c r="F242" s="6"/>
      <c r="G242" s="7" t="str">
        <f t="shared" si="168"/>
        <v/>
      </c>
      <c r="H242" s="8"/>
      <c r="I242" s="8">
        <f t="shared" si="164"/>
        <v>0</v>
      </c>
      <c r="J242" s="129">
        <f t="shared" si="162"/>
        <v>0</v>
      </c>
      <c r="K242" s="8"/>
      <c r="L242" s="8">
        <f t="shared" si="143"/>
        <v>0</v>
      </c>
      <c r="M242" s="129">
        <f t="shared" si="144"/>
        <v>0</v>
      </c>
      <c r="N242" s="129"/>
      <c r="O242" s="129">
        <f t="shared" si="137"/>
        <v>0</v>
      </c>
      <c r="P242" s="129"/>
      <c r="Q242" s="129">
        <f t="shared" si="145"/>
        <v>0</v>
      </c>
      <c r="R242" s="129">
        <f t="shared" si="146"/>
        <v>0</v>
      </c>
      <c r="S242" s="693">
        <f t="shared" si="147"/>
        <v>6</v>
      </c>
      <c r="T242" s="129">
        <f t="shared" si="165"/>
        <v>0</v>
      </c>
      <c r="U242" s="165">
        <f t="shared" si="148"/>
        <v>0</v>
      </c>
      <c r="V242" s="75"/>
      <c r="W242" s="131">
        <f t="shared" si="138"/>
        <v>4.1666666666666664E-2</v>
      </c>
      <c r="X242" s="126">
        <f t="shared" si="149"/>
        <v>0</v>
      </c>
      <c r="Y242" s="127">
        <f t="shared" si="169"/>
        <v>0</v>
      </c>
      <c r="Z242" s="128">
        <f t="shared" si="170"/>
        <v>0</v>
      </c>
      <c r="AA242" s="76" t="str">
        <f t="shared" si="171"/>
        <v/>
      </c>
      <c r="AB242" s="216">
        <f t="shared" si="139"/>
        <v>0</v>
      </c>
      <c r="AC242" s="163" t="str">
        <f t="shared" si="172"/>
        <v/>
      </c>
      <c r="AD242" s="257">
        <f t="shared" si="156"/>
        <v>0</v>
      </c>
      <c r="AE242" s="138"/>
      <c r="AF242" s="138" t="str">
        <f t="shared" si="157"/>
        <v/>
      </c>
      <c r="AG242" s="77">
        <f t="shared" si="173"/>
        <v>0</v>
      </c>
      <c r="AH242" s="77">
        <f t="shared" si="174"/>
        <v>0</v>
      </c>
      <c r="AI242" s="77" t="str">
        <f t="shared" si="158"/>
        <v/>
      </c>
      <c r="AJ242" s="78">
        <f t="shared" si="140"/>
        <v>6</v>
      </c>
      <c r="AK242" s="139">
        <f>SUM($AC$6:AC242)</f>
        <v>0</v>
      </c>
      <c r="AL242" s="139">
        <f t="shared" ca="1" si="150"/>
        <v>0</v>
      </c>
      <c r="AM242" s="143">
        <f t="shared" si="159"/>
        <v>0</v>
      </c>
      <c r="AN242" s="143">
        <f t="shared" si="160"/>
        <v>0</v>
      </c>
      <c r="AO242" s="143">
        <f t="shared" si="161"/>
        <v>0</v>
      </c>
      <c r="AP242" s="142">
        <f t="shared" si="151"/>
        <v>30</v>
      </c>
      <c r="AQ242" s="142">
        <f t="shared" ca="1" si="152"/>
        <v>30</v>
      </c>
      <c r="AR242" s="154">
        <f t="shared" si="163"/>
        <v>0</v>
      </c>
      <c r="AS242" s="142">
        <f t="shared" si="153"/>
        <v>7</v>
      </c>
      <c r="AT242" t="b">
        <f>OR((F242&gt;0),(NOT(ISBLANK(H242))),SUM(H242:H$373),SUM(G242:G$373))</f>
        <v>0</v>
      </c>
      <c r="AU242" t="b">
        <f t="shared" ca="1" si="141"/>
        <v>1</v>
      </c>
    </row>
    <row r="243" spans="1:47">
      <c r="A243" s="349">
        <f t="shared" si="154"/>
        <v>41876</v>
      </c>
      <c r="B243" s="350">
        <f t="shared" si="155"/>
        <v>41876</v>
      </c>
      <c r="C243" s="351">
        <f t="shared" si="166"/>
        <v>34</v>
      </c>
      <c r="D243" s="352">
        <f t="shared" si="167"/>
        <v>41851</v>
      </c>
      <c r="E243" s="364" t="str">
        <f t="shared" si="142"/>
        <v/>
      </c>
      <c r="F243" s="6"/>
      <c r="G243" s="7" t="str">
        <f t="shared" si="168"/>
        <v/>
      </c>
      <c r="H243" s="8"/>
      <c r="I243" s="8">
        <f t="shared" si="164"/>
        <v>0</v>
      </c>
      <c r="J243" s="129">
        <f t="shared" si="162"/>
        <v>0</v>
      </c>
      <c r="K243" s="8"/>
      <c r="L243" s="8">
        <f t="shared" si="143"/>
        <v>0</v>
      </c>
      <c r="M243" s="129">
        <f t="shared" si="144"/>
        <v>0</v>
      </c>
      <c r="N243" s="129"/>
      <c r="O243" s="129">
        <f t="shared" si="137"/>
        <v>0</v>
      </c>
      <c r="P243" s="129"/>
      <c r="Q243" s="129">
        <f t="shared" si="145"/>
        <v>0</v>
      </c>
      <c r="R243" s="129">
        <f t="shared" si="146"/>
        <v>0</v>
      </c>
      <c r="S243" s="693">
        <f t="shared" si="147"/>
        <v>6</v>
      </c>
      <c r="T243" s="129">
        <f t="shared" si="165"/>
        <v>0</v>
      </c>
      <c r="U243" s="165">
        <f t="shared" si="148"/>
        <v>0</v>
      </c>
      <c r="V243" s="75"/>
      <c r="W243" s="131">
        <f t="shared" si="138"/>
        <v>4.1666666666666664E-2</v>
      </c>
      <c r="X243" s="126">
        <f t="shared" si="149"/>
        <v>0</v>
      </c>
      <c r="Y243" s="127">
        <f t="shared" si="169"/>
        <v>0</v>
      </c>
      <c r="Z243" s="128">
        <f t="shared" si="170"/>
        <v>0</v>
      </c>
      <c r="AA243" s="76" t="str">
        <f t="shared" si="171"/>
        <v/>
      </c>
      <c r="AB243" s="216">
        <f t="shared" si="139"/>
        <v>0</v>
      </c>
      <c r="AC243" s="163" t="str">
        <f t="shared" si="172"/>
        <v/>
      </c>
      <c r="AD243" s="257">
        <f t="shared" si="156"/>
        <v>0</v>
      </c>
      <c r="AE243" s="138"/>
      <c r="AF243" s="138" t="str">
        <f t="shared" si="157"/>
        <v/>
      </c>
      <c r="AG243" s="77">
        <f t="shared" si="173"/>
        <v>0</v>
      </c>
      <c r="AH243" s="77">
        <f t="shared" si="174"/>
        <v>0</v>
      </c>
      <c r="AI243" s="77" t="str">
        <f t="shared" si="158"/>
        <v/>
      </c>
      <c r="AJ243" s="78">
        <f t="shared" si="140"/>
        <v>7</v>
      </c>
      <c r="AK243" s="139">
        <f>SUM($AC$6:AC243)</f>
        <v>0</v>
      </c>
      <c r="AL243" s="139">
        <f t="shared" ca="1" si="150"/>
        <v>0</v>
      </c>
      <c r="AM243" s="143">
        <f t="shared" si="159"/>
        <v>0</v>
      </c>
      <c r="AN243" s="143">
        <f t="shared" si="160"/>
        <v>0</v>
      </c>
      <c r="AO243" s="143">
        <f t="shared" si="161"/>
        <v>0</v>
      </c>
      <c r="AP243" s="142">
        <f t="shared" si="151"/>
        <v>30</v>
      </c>
      <c r="AQ243" s="142">
        <f t="shared" ca="1" si="152"/>
        <v>30</v>
      </c>
      <c r="AR243" s="154">
        <f t="shared" si="163"/>
        <v>0</v>
      </c>
      <c r="AS243" s="142">
        <f t="shared" si="153"/>
        <v>7</v>
      </c>
      <c r="AT243" t="b">
        <f>OR((F243&gt;0),(NOT(ISBLANK(H243))),SUM(H243:H$373),SUM(G243:G$373))</f>
        <v>0</v>
      </c>
      <c r="AU243" t="b">
        <f t="shared" ca="1" si="141"/>
        <v>1</v>
      </c>
    </row>
    <row r="244" spans="1:47">
      <c r="A244" s="349">
        <f t="shared" si="154"/>
        <v>41877</v>
      </c>
      <c r="B244" s="350">
        <f t="shared" si="155"/>
        <v>41877</v>
      </c>
      <c r="C244" s="351">
        <f t="shared" si="166"/>
        <v>35</v>
      </c>
      <c r="D244" s="352">
        <f t="shared" si="167"/>
        <v>41851</v>
      </c>
      <c r="E244" s="364" t="str">
        <f t="shared" si="142"/>
        <v/>
      </c>
      <c r="F244" s="6"/>
      <c r="G244" s="7" t="str">
        <f t="shared" si="168"/>
        <v/>
      </c>
      <c r="H244" s="8"/>
      <c r="I244" s="8">
        <f t="shared" si="164"/>
        <v>0</v>
      </c>
      <c r="J244" s="129">
        <f t="shared" si="162"/>
        <v>0</v>
      </c>
      <c r="K244" s="8"/>
      <c r="L244" s="8">
        <f t="shared" si="143"/>
        <v>0</v>
      </c>
      <c r="M244" s="129">
        <f t="shared" si="144"/>
        <v>0</v>
      </c>
      <c r="N244" s="129"/>
      <c r="O244" s="129">
        <f t="shared" si="137"/>
        <v>0</v>
      </c>
      <c r="P244" s="129"/>
      <c r="Q244" s="129">
        <f t="shared" si="145"/>
        <v>0</v>
      </c>
      <c r="R244" s="129">
        <f t="shared" si="146"/>
        <v>0</v>
      </c>
      <c r="S244" s="693">
        <f t="shared" si="147"/>
        <v>6</v>
      </c>
      <c r="T244" s="129">
        <f t="shared" si="165"/>
        <v>0</v>
      </c>
      <c r="U244" s="165">
        <f t="shared" si="148"/>
        <v>0</v>
      </c>
      <c r="V244" s="75"/>
      <c r="W244" s="131">
        <f t="shared" si="138"/>
        <v>4.1666666666666664E-2</v>
      </c>
      <c r="X244" s="126">
        <f t="shared" si="149"/>
        <v>0</v>
      </c>
      <c r="Y244" s="127">
        <f t="shared" si="169"/>
        <v>0.33333333333333331</v>
      </c>
      <c r="Z244" s="128">
        <f t="shared" si="170"/>
        <v>0</v>
      </c>
      <c r="AA244" s="76" t="str">
        <f t="shared" si="171"/>
        <v/>
      </c>
      <c r="AB244" s="216">
        <f t="shared" si="139"/>
        <v>0</v>
      </c>
      <c r="AC244" s="163" t="str">
        <f t="shared" si="172"/>
        <v/>
      </c>
      <c r="AD244" s="257">
        <f t="shared" si="156"/>
        <v>0</v>
      </c>
      <c r="AE244" s="138"/>
      <c r="AF244" s="138" t="str">
        <f t="shared" si="157"/>
        <v/>
      </c>
      <c r="AG244" s="77">
        <f t="shared" si="173"/>
        <v>0</v>
      </c>
      <c r="AH244" s="77">
        <f t="shared" si="174"/>
        <v>0</v>
      </c>
      <c r="AI244" s="77" t="str">
        <f t="shared" si="158"/>
        <v/>
      </c>
      <c r="AJ244" s="78">
        <f t="shared" si="140"/>
        <v>1</v>
      </c>
      <c r="AK244" s="139">
        <f>SUM($AC$6:AC244)</f>
        <v>0</v>
      </c>
      <c r="AL244" s="139">
        <f t="shared" ca="1" si="150"/>
        <v>0</v>
      </c>
      <c r="AM244" s="143">
        <f t="shared" si="159"/>
        <v>0</v>
      </c>
      <c r="AN244" s="143">
        <f t="shared" si="160"/>
        <v>0</v>
      </c>
      <c r="AO244" s="143">
        <f t="shared" si="161"/>
        <v>0</v>
      </c>
      <c r="AP244" s="142">
        <f t="shared" si="151"/>
        <v>30</v>
      </c>
      <c r="AQ244" s="142">
        <f t="shared" ca="1" si="152"/>
        <v>30</v>
      </c>
      <c r="AR244" s="154">
        <f t="shared" si="163"/>
        <v>0</v>
      </c>
      <c r="AS244" s="142">
        <f t="shared" si="153"/>
        <v>0</v>
      </c>
      <c r="AT244" t="b">
        <f>OR((F244&gt;0),(NOT(ISBLANK(H244))),SUM(H244:H$373),SUM(G244:G$373))</f>
        <v>0</v>
      </c>
      <c r="AU244" t="b">
        <f t="shared" ca="1" si="141"/>
        <v>0</v>
      </c>
    </row>
    <row r="245" spans="1:47">
      <c r="A245" s="349">
        <f t="shared" si="154"/>
        <v>41878</v>
      </c>
      <c r="B245" s="350">
        <f t="shared" si="155"/>
        <v>41878</v>
      </c>
      <c r="C245" s="351">
        <f t="shared" si="166"/>
        <v>35</v>
      </c>
      <c r="D245" s="352">
        <f t="shared" si="167"/>
        <v>41851</v>
      </c>
      <c r="E245" s="364" t="str">
        <f t="shared" si="142"/>
        <v/>
      </c>
      <c r="F245" s="6"/>
      <c r="G245" s="7" t="str">
        <f t="shared" si="168"/>
        <v/>
      </c>
      <c r="H245" s="8"/>
      <c r="I245" s="8">
        <f t="shared" si="164"/>
        <v>0</v>
      </c>
      <c r="J245" s="129">
        <f t="shared" si="162"/>
        <v>0</v>
      </c>
      <c r="K245" s="8"/>
      <c r="L245" s="8">
        <f t="shared" si="143"/>
        <v>0</v>
      </c>
      <c r="M245" s="129">
        <f t="shared" si="144"/>
        <v>0</v>
      </c>
      <c r="N245" s="129"/>
      <c r="O245" s="129">
        <f t="shared" si="137"/>
        <v>0</v>
      </c>
      <c r="P245" s="129"/>
      <c r="Q245" s="129">
        <f t="shared" si="145"/>
        <v>0</v>
      </c>
      <c r="R245" s="129">
        <f t="shared" si="146"/>
        <v>0</v>
      </c>
      <c r="S245" s="693">
        <f t="shared" si="147"/>
        <v>6</v>
      </c>
      <c r="T245" s="129">
        <f t="shared" si="165"/>
        <v>0</v>
      </c>
      <c r="U245" s="165">
        <f t="shared" si="148"/>
        <v>0</v>
      </c>
      <c r="V245" s="75"/>
      <c r="W245" s="131">
        <f t="shared" si="138"/>
        <v>4.1666666666666664E-2</v>
      </c>
      <c r="X245" s="126">
        <f t="shared" si="149"/>
        <v>0</v>
      </c>
      <c r="Y245" s="127">
        <f t="shared" si="169"/>
        <v>0.33333333333333331</v>
      </c>
      <c r="Z245" s="128">
        <f t="shared" si="170"/>
        <v>0</v>
      </c>
      <c r="AA245" s="76" t="str">
        <f t="shared" si="171"/>
        <v/>
      </c>
      <c r="AB245" s="216">
        <f t="shared" si="139"/>
        <v>0</v>
      </c>
      <c r="AC245" s="163" t="str">
        <f t="shared" si="172"/>
        <v/>
      </c>
      <c r="AD245" s="257">
        <f t="shared" si="156"/>
        <v>0</v>
      </c>
      <c r="AE245" s="138"/>
      <c r="AF245" s="138" t="str">
        <f t="shared" si="157"/>
        <v/>
      </c>
      <c r="AG245" s="77">
        <f t="shared" si="173"/>
        <v>0</v>
      </c>
      <c r="AH245" s="77">
        <f t="shared" si="174"/>
        <v>0</v>
      </c>
      <c r="AI245" s="77" t="str">
        <f t="shared" si="158"/>
        <v/>
      </c>
      <c r="AJ245" s="78">
        <f t="shared" si="140"/>
        <v>2</v>
      </c>
      <c r="AK245" s="139">
        <f>SUM($AC$6:AC245)</f>
        <v>0</v>
      </c>
      <c r="AL245" s="139">
        <f t="shared" ca="1" si="150"/>
        <v>0</v>
      </c>
      <c r="AM245" s="143">
        <f t="shared" si="159"/>
        <v>0</v>
      </c>
      <c r="AN245" s="143">
        <f t="shared" si="160"/>
        <v>0</v>
      </c>
      <c r="AO245" s="143">
        <f t="shared" si="161"/>
        <v>0</v>
      </c>
      <c r="AP245" s="142">
        <f t="shared" si="151"/>
        <v>30</v>
      </c>
      <c r="AQ245" s="142">
        <f t="shared" ca="1" si="152"/>
        <v>30</v>
      </c>
      <c r="AR245" s="154">
        <f t="shared" si="163"/>
        <v>0</v>
      </c>
      <c r="AS245" s="142">
        <f t="shared" si="153"/>
        <v>0</v>
      </c>
      <c r="AT245" t="b">
        <f>OR((F245&gt;0),(NOT(ISBLANK(H245))),SUM(H245:H$373),SUM(G245:G$373))</f>
        <v>0</v>
      </c>
      <c r="AU245" t="b">
        <f t="shared" ca="1" si="141"/>
        <v>0</v>
      </c>
    </row>
    <row r="246" spans="1:47">
      <c r="A246" s="349">
        <f t="shared" si="154"/>
        <v>41879</v>
      </c>
      <c r="B246" s="350">
        <f t="shared" si="155"/>
        <v>41879</v>
      </c>
      <c r="C246" s="351">
        <f t="shared" si="166"/>
        <v>35</v>
      </c>
      <c r="D246" s="352">
        <f t="shared" si="167"/>
        <v>41851</v>
      </c>
      <c r="E246" s="364" t="str">
        <f t="shared" si="142"/>
        <v/>
      </c>
      <c r="F246" s="6"/>
      <c r="G246" s="7" t="str">
        <f t="shared" si="168"/>
        <v/>
      </c>
      <c r="H246" s="8"/>
      <c r="I246" s="8">
        <f t="shared" si="164"/>
        <v>0</v>
      </c>
      <c r="J246" s="129">
        <f t="shared" si="162"/>
        <v>0</v>
      </c>
      <c r="K246" s="8"/>
      <c r="L246" s="8">
        <f t="shared" si="143"/>
        <v>0</v>
      </c>
      <c r="M246" s="129">
        <f t="shared" si="144"/>
        <v>0</v>
      </c>
      <c r="N246" s="129"/>
      <c r="O246" s="129">
        <f t="shared" si="137"/>
        <v>0</v>
      </c>
      <c r="P246" s="129"/>
      <c r="Q246" s="129">
        <f t="shared" si="145"/>
        <v>0</v>
      </c>
      <c r="R246" s="129">
        <f t="shared" si="146"/>
        <v>0</v>
      </c>
      <c r="S246" s="693">
        <f t="shared" si="147"/>
        <v>6</v>
      </c>
      <c r="T246" s="129">
        <f t="shared" si="165"/>
        <v>0</v>
      </c>
      <c r="U246" s="165">
        <f t="shared" si="148"/>
        <v>0</v>
      </c>
      <c r="V246" s="75"/>
      <c r="W246" s="131">
        <f t="shared" si="138"/>
        <v>4.1666666666666664E-2</v>
      </c>
      <c r="X246" s="126">
        <f t="shared" si="149"/>
        <v>0</v>
      </c>
      <c r="Y246" s="127">
        <f t="shared" si="169"/>
        <v>0.33333333333333331</v>
      </c>
      <c r="Z246" s="128">
        <f t="shared" si="170"/>
        <v>0</v>
      </c>
      <c r="AA246" s="76" t="str">
        <f t="shared" si="171"/>
        <v/>
      </c>
      <c r="AB246" s="216">
        <f t="shared" si="139"/>
        <v>0</v>
      </c>
      <c r="AC246" s="163" t="str">
        <f t="shared" si="172"/>
        <v/>
      </c>
      <c r="AD246" s="257">
        <f t="shared" si="156"/>
        <v>0</v>
      </c>
      <c r="AE246" s="138"/>
      <c r="AF246" s="138" t="str">
        <f t="shared" si="157"/>
        <v/>
      </c>
      <c r="AG246" s="77">
        <f t="shared" si="173"/>
        <v>0</v>
      </c>
      <c r="AH246" s="77">
        <f t="shared" si="174"/>
        <v>0</v>
      </c>
      <c r="AI246" s="77" t="str">
        <f t="shared" si="158"/>
        <v/>
      </c>
      <c r="AJ246" s="78">
        <f t="shared" si="140"/>
        <v>3</v>
      </c>
      <c r="AK246" s="139">
        <f>SUM($AC$6:AC246)</f>
        <v>0</v>
      </c>
      <c r="AL246" s="139">
        <f t="shared" ca="1" si="150"/>
        <v>0</v>
      </c>
      <c r="AM246" s="143">
        <f t="shared" si="159"/>
        <v>0</v>
      </c>
      <c r="AN246" s="143">
        <f t="shared" si="160"/>
        <v>0</v>
      </c>
      <c r="AO246" s="143">
        <f t="shared" si="161"/>
        <v>0</v>
      </c>
      <c r="AP246" s="142">
        <f t="shared" si="151"/>
        <v>30</v>
      </c>
      <c r="AQ246" s="142">
        <f t="shared" ca="1" si="152"/>
        <v>30</v>
      </c>
      <c r="AR246" s="154">
        <f t="shared" si="163"/>
        <v>0</v>
      </c>
      <c r="AS246" s="142">
        <f t="shared" si="153"/>
        <v>0</v>
      </c>
      <c r="AT246" t="b">
        <f>OR((F246&gt;0),(NOT(ISBLANK(H246))),SUM(H246:H$373),SUM(G246:G$373))</f>
        <v>0</v>
      </c>
      <c r="AU246" t="b">
        <f t="shared" ca="1" si="141"/>
        <v>0</v>
      </c>
    </row>
    <row r="247" spans="1:47">
      <c r="A247" s="349">
        <f t="shared" si="154"/>
        <v>41880</v>
      </c>
      <c r="B247" s="350">
        <f t="shared" si="155"/>
        <v>41880</v>
      </c>
      <c r="C247" s="351">
        <f t="shared" si="166"/>
        <v>35</v>
      </c>
      <c r="D247" s="352">
        <f t="shared" si="167"/>
        <v>41851</v>
      </c>
      <c r="E247" s="364" t="str">
        <f t="shared" si="142"/>
        <v/>
      </c>
      <c r="F247" s="6"/>
      <c r="G247" s="7" t="str">
        <f t="shared" si="168"/>
        <v/>
      </c>
      <c r="H247" s="8"/>
      <c r="I247" s="8">
        <f t="shared" si="164"/>
        <v>0</v>
      </c>
      <c r="J247" s="129">
        <f t="shared" si="162"/>
        <v>0</v>
      </c>
      <c r="K247" s="8"/>
      <c r="L247" s="8">
        <f t="shared" si="143"/>
        <v>0</v>
      </c>
      <c r="M247" s="129">
        <f t="shared" si="144"/>
        <v>0</v>
      </c>
      <c r="N247" s="129"/>
      <c r="O247" s="129">
        <f t="shared" si="137"/>
        <v>0</v>
      </c>
      <c r="P247" s="129"/>
      <c r="Q247" s="129">
        <f t="shared" si="145"/>
        <v>0</v>
      </c>
      <c r="R247" s="129">
        <f t="shared" si="146"/>
        <v>0</v>
      </c>
      <c r="S247" s="693">
        <f t="shared" si="147"/>
        <v>6</v>
      </c>
      <c r="T247" s="129">
        <f t="shared" si="165"/>
        <v>0</v>
      </c>
      <c r="U247" s="165">
        <f t="shared" si="148"/>
        <v>0</v>
      </c>
      <c r="V247" s="75"/>
      <c r="W247" s="131">
        <f t="shared" si="138"/>
        <v>4.1666666666666664E-2</v>
      </c>
      <c r="X247" s="126">
        <f t="shared" si="149"/>
        <v>0</v>
      </c>
      <c r="Y247" s="127">
        <f t="shared" si="169"/>
        <v>0.33333333333333331</v>
      </c>
      <c r="Z247" s="128">
        <f t="shared" si="170"/>
        <v>0</v>
      </c>
      <c r="AA247" s="76" t="str">
        <f t="shared" si="171"/>
        <v/>
      </c>
      <c r="AB247" s="216">
        <f t="shared" si="139"/>
        <v>0</v>
      </c>
      <c r="AC247" s="163" t="str">
        <f t="shared" si="172"/>
        <v/>
      </c>
      <c r="AD247" s="257">
        <f t="shared" si="156"/>
        <v>0</v>
      </c>
      <c r="AE247" s="138"/>
      <c r="AF247" s="138" t="str">
        <f t="shared" si="157"/>
        <v/>
      </c>
      <c r="AG247" s="77">
        <f t="shared" si="173"/>
        <v>0</v>
      </c>
      <c r="AH247" s="77">
        <f t="shared" si="174"/>
        <v>0</v>
      </c>
      <c r="AI247" s="77" t="str">
        <f t="shared" si="158"/>
        <v/>
      </c>
      <c r="AJ247" s="78">
        <f t="shared" si="140"/>
        <v>4</v>
      </c>
      <c r="AK247" s="139">
        <f>SUM($AC$6:AC247)</f>
        <v>0</v>
      </c>
      <c r="AL247" s="139">
        <f t="shared" ca="1" si="150"/>
        <v>0</v>
      </c>
      <c r="AM247" s="143">
        <f t="shared" si="159"/>
        <v>0</v>
      </c>
      <c r="AN247" s="143">
        <f t="shared" si="160"/>
        <v>0</v>
      </c>
      <c r="AO247" s="143">
        <f t="shared" si="161"/>
        <v>0</v>
      </c>
      <c r="AP247" s="142">
        <f t="shared" si="151"/>
        <v>30</v>
      </c>
      <c r="AQ247" s="142">
        <f t="shared" ca="1" si="152"/>
        <v>30</v>
      </c>
      <c r="AR247" s="154">
        <f t="shared" si="163"/>
        <v>0</v>
      </c>
      <c r="AS247" s="142">
        <f t="shared" si="153"/>
        <v>0</v>
      </c>
      <c r="AT247" t="b">
        <f>OR((F247&gt;0),(NOT(ISBLANK(H247))),SUM(H247:H$373),SUM(G247:G$373))</f>
        <v>0</v>
      </c>
      <c r="AU247" t="b">
        <f t="shared" ca="1" si="141"/>
        <v>0</v>
      </c>
    </row>
    <row r="248" spans="1:47">
      <c r="A248" s="349">
        <f t="shared" si="154"/>
        <v>41881</v>
      </c>
      <c r="B248" s="350">
        <f t="shared" si="155"/>
        <v>41881</v>
      </c>
      <c r="C248" s="351">
        <f t="shared" si="166"/>
        <v>35</v>
      </c>
      <c r="D248" s="352">
        <f t="shared" si="167"/>
        <v>41851</v>
      </c>
      <c r="E248" s="364" t="str">
        <f t="shared" si="142"/>
        <v/>
      </c>
      <c r="F248" s="6"/>
      <c r="G248" s="7" t="str">
        <f t="shared" si="168"/>
        <v/>
      </c>
      <c r="H248" s="8"/>
      <c r="I248" s="8">
        <f t="shared" si="164"/>
        <v>0</v>
      </c>
      <c r="J248" s="129">
        <f t="shared" si="162"/>
        <v>0</v>
      </c>
      <c r="K248" s="8"/>
      <c r="L248" s="8">
        <f t="shared" si="143"/>
        <v>0</v>
      </c>
      <c r="M248" s="129">
        <f t="shared" si="144"/>
        <v>0</v>
      </c>
      <c r="N248" s="129"/>
      <c r="O248" s="129">
        <f t="shared" si="137"/>
        <v>0</v>
      </c>
      <c r="P248" s="129"/>
      <c r="Q248" s="129">
        <f t="shared" si="145"/>
        <v>0</v>
      </c>
      <c r="R248" s="129">
        <f t="shared" si="146"/>
        <v>0</v>
      </c>
      <c r="S248" s="693">
        <f t="shared" si="147"/>
        <v>6</v>
      </c>
      <c r="T248" s="129">
        <f t="shared" si="165"/>
        <v>0</v>
      </c>
      <c r="U248" s="165">
        <f t="shared" si="148"/>
        <v>0</v>
      </c>
      <c r="V248" s="75"/>
      <c r="W248" s="131">
        <f t="shared" si="138"/>
        <v>4.1666666666666664E-2</v>
      </c>
      <c r="X248" s="126">
        <f t="shared" si="149"/>
        <v>0</v>
      </c>
      <c r="Y248" s="127">
        <f t="shared" si="169"/>
        <v>0.33333333333333331</v>
      </c>
      <c r="Z248" s="128">
        <f t="shared" si="170"/>
        <v>0</v>
      </c>
      <c r="AA248" s="76" t="str">
        <f t="shared" si="171"/>
        <v/>
      </c>
      <c r="AB248" s="216">
        <f t="shared" si="139"/>
        <v>0</v>
      </c>
      <c r="AC248" s="163" t="str">
        <f t="shared" si="172"/>
        <v/>
      </c>
      <c r="AD248" s="257">
        <f t="shared" si="156"/>
        <v>0</v>
      </c>
      <c r="AE248" s="138"/>
      <c r="AF248" s="138" t="str">
        <f t="shared" si="157"/>
        <v/>
      </c>
      <c r="AG248" s="77">
        <f t="shared" si="173"/>
        <v>0</v>
      </c>
      <c r="AH248" s="77">
        <f t="shared" si="174"/>
        <v>0</v>
      </c>
      <c r="AI248" s="77" t="str">
        <f t="shared" si="158"/>
        <v/>
      </c>
      <c r="AJ248" s="78">
        <f t="shared" si="140"/>
        <v>5</v>
      </c>
      <c r="AK248" s="139">
        <f>SUM($AC$6:AC248)</f>
        <v>0</v>
      </c>
      <c r="AL248" s="139">
        <f t="shared" ca="1" si="150"/>
        <v>0</v>
      </c>
      <c r="AM248" s="143">
        <f t="shared" si="159"/>
        <v>0</v>
      </c>
      <c r="AN248" s="143">
        <f t="shared" si="160"/>
        <v>0</v>
      </c>
      <c r="AO248" s="143">
        <f t="shared" si="161"/>
        <v>0</v>
      </c>
      <c r="AP248" s="142">
        <f t="shared" si="151"/>
        <v>30</v>
      </c>
      <c r="AQ248" s="142">
        <f t="shared" ca="1" si="152"/>
        <v>30</v>
      </c>
      <c r="AR248" s="154">
        <f t="shared" si="163"/>
        <v>0</v>
      </c>
      <c r="AS248" s="142">
        <f t="shared" si="153"/>
        <v>0</v>
      </c>
      <c r="AT248" t="b">
        <f>OR((F248&gt;0),(NOT(ISBLANK(H248))),SUM(H248:H$373),SUM(G248:G$373))</f>
        <v>0</v>
      </c>
      <c r="AU248" t="b">
        <f t="shared" ca="1" si="141"/>
        <v>0</v>
      </c>
    </row>
    <row r="249" spans="1:47">
      <c r="A249" s="349">
        <f t="shared" si="154"/>
        <v>41882</v>
      </c>
      <c r="B249" s="350">
        <f t="shared" si="155"/>
        <v>41882</v>
      </c>
      <c r="C249" s="351">
        <f t="shared" si="166"/>
        <v>35</v>
      </c>
      <c r="D249" s="352">
        <f t="shared" si="167"/>
        <v>41882</v>
      </c>
      <c r="E249" s="364" t="str">
        <f t="shared" si="142"/>
        <v/>
      </c>
      <c r="F249" s="6"/>
      <c r="G249" s="7" t="str">
        <f t="shared" si="168"/>
        <v/>
      </c>
      <c r="H249" s="8"/>
      <c r="I249" s="8">
        <f t="shared" si="164"/>
        <v>0</v>
      </c>
      <c r="J249" s="129">
        <f t="shared" si="162"/>
        <v>0</v>
      </c>
      <c r="K249" s="8"/>
      <c r="L249" s="8">
        <f t="shared" si="143"/>
        <v>0</v>
      </c>
      <c r="M249" s="129">
        <f t="shared" si="144"/>
        <v>0</v>
      </c>
      <c r="N249" s="129"/>
      <c r="O249" s="129">
        <f t="shared" si="137"/>
        <v>0</v>
      </c>
      <c r="P249" s="129"/>
      <c r="Q249" s="129">
        <f t="shared" si="145"/>
        <v>0</v>
      </c>
      <c r="R249" s="129">
        <f t="shared" si="146"/>
        <v>0</v>
      </c>
      <c r="S249" s="693">
        <f t="shared" si="147"/>
        <v>6</v>
      </c>
      <c r="T249" s="129">
        <f t="shared" si="165"/>
        <v>0</v>
      </c>
      <c r="U249" s="165">
        <f t="shared" si="148"/>
        <v>0</v>
      </c>
      <c r="V249" s="75"/>
      <c r="W249" s="131">
        <f t="shared" si="138"/>
        <v>4.1666666666666664E-2</v>
      </c>
      <c r="X249" s="126">
        <f t="shared" si="149"/>
        <v>0</v>
      </c>
      <c r="Y249" s="127">
        <f t="shared" si="169"/>
        <v>0</v>
      </c>
      <c r="Z249" s="128">
        <f t="shared" si="170"/>
        <v>0</v>
      </c>
      <c r="AA249" s="76" t="str">
        <f t="shared" si="171"/>
        <v/>
      </c>
      <c r="AB249" s="216">
        <f t="shared" si="139"/>
        <v>0</v>
      </c>
      <c r="AC249" s="163" t="str">
        <f t="shared" si="172"/>
        <v/>
      </c>
      <c r="AD249" s="257">
        <f t="shared" si="156"/>
        <v>0</v>
      </c>
      <c r="AE249" s="138"/>
      <c r="AF249" s="138" t="str">
        <f t="shared" si="157"/>
        <v/>
      </c>
      <c r="AG249" s="77">
        <f t="shared" si="173"/>
        <v>0</v>
      </c>
      <c r="AH249" s="77">
        <f t="shared" si="174"/>
        <v>0</v>
      </c>
      <c r="AI249" s="77" t="str">
        <f t="shared" si="158"/>
        <v/>
      </c>
      <c r="AJ249" s="78">
        <f t="shared" si="140"/>
        <v>6</v>
      </c>
      <c r="AK249" s="139">
        <f>SUM($AC$6:AC249)</f>
        <v>0</v>
      </c>
      <c r="AL249" s="139">
        <f t="shared" ca="1" si="150"/>
        <v>0</v>
      </c>
      <c r="AM249" s="143">
        <f t="shared" si="159"/>
        <v>0</v>
      </c>
      <c r="AN249" s="143">
        <f t="shared" si="160"/>
        <v>0</v>
      </c>
      <c r="AO249" s="143">
        <f t="shared" si="161"/>
        <v>0</v>
      </c>
      <c r="AP249" s="142">
        <f t="shared" si="151"/>
        <v>30</v>
      </c>
      <c r="AQ249" s="142">
        <f t="shared" ca="1" si="152"/>
        <v>30</v>
      </c>
      <c r="AR249" s="154">
        <f t="shared" si="163"/>
        <v>0</v>
      </c>
      <c r="AS249" s="142">
        <f t="shared" si="153"/>
        <v>7</v>
      </c>
      <c r="AT249" t="b">
        <f>OR((F249&gt;0),(NOT(ISBLANK(H249))),SUM(H249:H$373),SUM(G249:G$373))</f>
        <v>0</v>
      </c>
      <c r="AU249" t="b">
        <f t="shared" ca="1" si="141"/>
        <v>1</v>
      </c>
    </row>
    <row r="250" spans="1:47">
      <c r="A250" s="349">
        <f t="shared" si="154"/>
        <v>41883</v>
      </c>
      <c r="B250" s="350">
        <f t="shared" si="155"/>
        <v>41883</v>
      </c>
      <c r="C250" s="351">
        <f t="shared" si="166"/>
        <v>35</v>
      </c>
      <c r="D250" s="352">
        <f t="shared" si="167"/>
        <v>41882</v>
      </c>
      <c r="E250" s="364" t="str">
        <f t="shared" si="142"/>
        <v/>
      </c>
      <c r="F250" s="6"/>
      <c r="G250" s="7" t="str">
        <f t="shared" si="168"/>
        <v/>
      </c>
      <c r="H250" s="8"/>
      <c r="I250" s="8">
        <f t="shared" si="164"/>
        <v>0</v>
      </c>
      <c r="J250" s="129">
        <f t="shared" si="162"/>
        <v>0</v>
      </c>
      <c r="K250" s="8"/>
      <c r="L250" s="8">
        <f t="shared" si="143"/>
        <v>0</v>
      </c>
      <c r="M250" s="129">
        <f t="shared" si="144"/>
        <v>0</v>
      </c>
      <c r="N250" s="129"/>
      <c r="O250" s="129">
        <f t="shared" si="137"/>
        <v>0</v>
      </c>
      <c r="P250" s="129"/>
      <c r="Q250" s="129">
        <f t="shared" si="145"/>
        <v>0</v>
      </c>
      <c r="R250" s="129">
        <f t="shared" si="146"/>
        <v>0</v>
      </c>
      <c r="S250" s="693">
        <f t="shared" si="147"/>
        <v>6</v>
      </c>
      <c r="T250" s="129">
        <f t="shared" si="165"/>
        <v>0</v>
      </c>
      <c r="U250" s="165">
        <f t="shared" si="148"/>
        <v>0</v>
      </c>
      <c r="V250" s="75"/>
      <c r="W250" s="131">
        <f t="shared" si="138"/>
        <v>4.1666666666666664E-2</v>
      </c>
      <c r="X250" s="126">
        <f t="shared" si="149"/>
        <v>0</v>
      </c>
      <c r="Y250" s="127">
        <f t="shared" si="169"/>
        <v>0</v>
      </c>
      <c r="Z250" s="128">
        <f t="shared" si="170"/>
        <v>0</v>
      </c>
      <c r="AA250" s="76" t="str">
        <f t="shared" si="171"/>
        <v/>
      </c>
      <c r="AB250" s="216">
        <f t="shared" si="139"/>
        <v>0</v>
      </c>
      <c r="AC250" s="163" t="str">
        <f t="shared" si="172"/>
        <v/>
      </c>
      <c r="AD250" s="257">
        <f t="shared" si="156"/>
        <v>0</v>
      </c>
      <c r="AE250" s="138"/>
      <c r="AF250" s="138" t="str">
        <f t="shared" si="157"/>
        <v/>
      </c>
      <c r="AG250" s="77">
        <f t="shared" si="173"/>
        <v>0</v>
      </c>
      <c r="AH250" s="77">
        <f t="shared" si="174"/>
        <v>0</v>
      </c>
      <c r="AI250" s="77" t="str">
        <f t="shared" si="158"/>
        <v/>
      </c>
      <c r="AJ250" s="78">
        <f t="shared" si="140"/>
        <v>7</v>
      </c>
      <c r="AK250" s="139">
        <f>SUM($AC$6:AC250)</f>
        <v>0</v>
      </c>
      <c r="AL250" s="139">
        <f t="shared" ca="1" si="150"/>
        <v>0</v>
      </c>
      <c r="AM250" s="143">
        <f t="shared" si="159"/>
        <v>0</v>
      </c>
      <c r="AN250" s="143">
        <f t="shared" si="160"/>
        <v>0</v>
      </c>
      <c r="AO250" s="143">
        <f t="shared" si="161"/>
        <v>0</v>
      </c>
      <c r="AP250" s="142">
        <f t="shared" si="151"/>
        <v>30</v>
      </c>
      <c r="AQ250" s="142">
        <f t="shared" ca="1" si="152"/>
        <v>30</v>
      </c>
      <c r="AR250" s="154">
        <f t="shared" si="163"/>
        <v>0</v>
      </c>
      <c r="AS250" s="142">
        <f t="shared" si="153"/>
        <v>7</v>
      </c>
      <c r="AT250" t="b">
        <f>OR((F250&gt;0),(NOT(ISBLANK(H250))),SUM(H250:H$373),SUM(G250:G$373))</f>
        <v>0</v>
      </c>
      <c r="AU250" t="b">
        <f t="shared" ca="1" si="141"/>
        <v>1</v>
      </c>
    </row>
    <row r="251" spans="1:47">
      <c r="A251" s="349">
        <f t="shared" si="154"/>
        <v>41884</v>
      </c>
      <c r="B251" s="350">
        <f t="shared" si="155"/>
        <v>41884</v>
      </c>
      <c r="C251" s="351">
        <f t="shared" si="166"/>
        <v>36</v>
      </c>
      <c r="D251" s="352">
        <f t="shared" si="167"/>
        <v>41882</v>
      </c>
      <c r="E251" s="364" t="str">
        <f t="shared" si="142"/>
        <v/>
      </c>
      <c r="F251" s="6"/>
      <c r="G251" s="7" t="str">
        <f t="shared" si="168"/>
        <v/>
      </c>
      <c r="H251" s="8"/>
      <c r="I251" s="8">
        <f t="shared" si="164"/>
        <v>0</v>
      </c>
      <c r="J251" s="129">
        <f t="shared" si="162"/>
        <v>0</v>
      </c>
      <c r="K251" s="8"/>
      <c r="L251" s="8">
        <f t="shared" si="143"/>
        <v>0</v>
      </c>
      <c r="M251" s="129">
        <f t="shared" si="144"/>
        <v>0</v>
      </c>
      <c r="N251" s="129"/>
      <c r="O251" s="129">
        <f t="shared" si="137"/>
        <v>0</v>
      </c>
      <c r="P251" s="129"/>
      <c r="Q251" s="129">
        <f t="shared" si="145"/>
        <v>0</v>
      </c>
      <c r="R251" s="129">
        <f t="shared" si="146"/>
        <v>0</v>
      </c>
      <c r="S251" s="693">
        <f t="shared" si="147"/>
        <v>6</v>
      </c>
      <c r="T251" s="129">
        <f t="shared" si="165"/>
        <v>0</v>
      </c>
      <c r="U251" s="165">
        <f t="shared" si="148"/>
        <v>0</v>
      </c>
      <c r="V251" s="75"/>
      <c r="W251" s="131">
        <f t="shared" si="138"/>
        <v>4.1666666666666664E-2</v>
      </c>
      <c r="X251" s="126">
        <f t="shared" si="149"/>
        <v>0</v>
      </c>
      <c r="Y251" s="127">
        <f t="shared" si="169"/>
        <v>0.33333333333333331</v>
      </c>
      <c r="Z251" s="128">
        <f t="shared" si="170"/>
        <v>0</v>
      </c>
      <c r="AA251" s="76" t="str">
        <f t="shared" si="171"/>
        <v/>
      </c>
      <c r="AB251" s="216">
        <f t="shared" si="139"/>
        <v>0</v>
      </c>
      <c r="AC251" s="163" t="str">
        <f t="shared" si="172"/>
        <v/>
      </c>
      <c r="AD251" s="257">
        <f t="shared" si="156"/>
        <v>0</v>
      </c>
      <c r="AE251" s="138"/>
      <c r="AF251" s="138" t="str">
        <f t="shared" si="157"/>
        <v/>
      </c>
      <c r="AG251" s="77">
        <f t="shared" si="173"/>
        <v>0</v>
      </c>
      <c r="AH251" s="77">
        <f t="shared" si="174"/>
        <v>0</v>
      </c>
      <c r="AI251" s="77" t="str">
        <f t="shared" si="158"/>
        <v/>
      </c>
      <c r="AJ251" s="78">
        <f t="shared" si="140"/>
        <v>1</v>
      </c>
      <c r="AK251" s="139">
        <f>SUM($AC$6:AC251)</f>
        <v>0</v>
      </c>
      <c r="AL251" s="139">
        <f t="shared" ca="1" si="150"/>
        <v>0</v>
      </c>
      <c r="AM251" s="143">
        <f t="shared" si="159"/>
        <v>0</v>
      </c>
      <c r="AN251" s="143">
        <f t="shared" si="160"/>
        <v>0</v>
      </c>
      <c r="AO251" s="143">
        <f t="shared" si="161"/>
        <v>0</v>
      </c>
      <c r="AP251" s="142">
        <f t="shared" si="151"/>
        <v>30</v>
      </c>
      <c r="AQ251" s="142">
        <f t="shared" ca="1" si="152"/>
        <v>30</v>
      </c>
      <c r="AR251" s="154">
        <f t="shared" si="163"/>
        <v>0</v>
      </c>
      <c r="AS251" s="142">
        <f t="shared" si="153"/>
        <v>0</v>
      </c>
      <c r="AT251" t="b">
        <f>OR((F251&gt;0),(NOT(ISBLANK(H251))),SUM(H251:H$373),SUM(G251:G$373))</f>
        <v>0</v>
      </c>
      <c r="AU251" t="b">
        <f t="shared" ca="1" si="141"/>
        <v>0</v>
      </c>
    </row>
    <row r="252" spans="1:47">
      <c r="A252" s="349">
        <f t="shared" si="154"/>
        <v>41885</v>
      </c>
      <c r="B252" s="350">
        <f t="shared" si="155"/>
        <v>41885</v>
      </c>
      <c r="C252" s="351">
        <f t="shared" si="166"/>
        <v>36</v>
      </c>
      <c r="D252" s="352">
        <f t="shared" si="167"/>
        <v>41882</v>
      </c>
      <c r="E252" s="364" t="str">
        <f t="shared" si="142"/>
        <v/>
      </c>
      <c r="F252" s="6"/>
      <c r="G252" s="7" t="str">
        <f t="shared" si="168"/>
        <v/>
      </c>
      <c r="H252" s="8"/>
      <c r="I252" s="8">
        <f t="shared" si="164"/>
        <v>0</v>
      </c>
      <c r="J252" s="129">
        <f t="shared" si="162"/>
        <v>0</v>
      </c>
      <c r="K252" s="8"/>
      <c r="L252" s="8">
        <f t="shared" si="143"/>
        <v>0</v>
      </c>
      <c r="M252" s="129">
        <f t="shared" si="144"/>
        <v>0</v>
      </c>
      <c r="N252" s="129"/>
      <c r="O252" s="129">
        <f t="shared" si="137"/>
        <v>0</v>
      </c>
      <c r="P252" s="129"/>
      <c r="Q252" s="129">
        <f t="shared" si="145"/>
        <v>0</v>
      </c>
      <c r="R252" s="129">
        <f t="shared" si="146"/>
        <v>0</v>
      </c>
      <c r="S252" s="693">
        <f t="shared" si="147"/>
        <v>6</v>
      </c>
      <c r="T252" s="129">
        <f t="shared" si="165"/>
        <v>0</v>
      </c>
      <c r="U252" s="165">
        <f t="shared" si="148"/>
        <v>0</v>
      </c>
      <c r="V252" s="75"/>
      <c r="W252" s="131">
        <f t="shared" si="138"/>
        <v>4.1666666666666664E-2</v>
      </c>
      <c r="X252" s="126">
        <f t="shared" si="149"/>
        <v>0</v>
      </c>
      <c r="Y252" s="127">
        <f t="shared" si="169"/>
        <v>0.33333333333333331</v>
      </c>
      <c r="Z252" s="128">
        <f t="shared" si="170"/>
        <v>0</v>
      </c>
      <c r="AA252" s="76" t="str">
        <f t="shared" si="171"/>
        <v/>
      </c>
      <c r="AB252" s="216">
        <f t="shared" si="139"/>
        <v>0</v>
      </c>
      <c r="AC252" s="163" t="str">
        <f t="shared" si="172"/>
        <v/>
      </c>
      <c r="AD252" s="257">
        <f t="shared" si="156"/>
        <v>0</v>
      </c>
      <c r="AE252" s="138"/>
      <c r="AF252" s="138" t="str">
        <f t="shared" si="157"/>
        <v/>
      </c>
      <c r="AG252" s="77">
        <f t="shared" si="173"/>
        <v>0</v>
      </c>
      <c r="AH252" s="77">
        <f t="shared" si="174"/>
        <v>0</v>
      </c>
      <c r="AI252" s="77" t="str">
        <f t="shared" si="158"/>
        <v/>
      </c>
      <c r="AJ252" s="78">
        <f t="shared" si="140"/>
        <v>2</v>
      </c>
      <c r="AK252" s="139">
        <f>SUM($AC$6:AC252)</f>
        <v>0</v>
      </c>
      <c r="AL252" s="139">
        <f t="shared" ca="1" si="150"/>
        <v>0</v>
      </c>
      <c r="AM252" s="143">
        <f t="shared" si="159"/>
        <v>0</v>
      </c>
      <c r="AN252" s="143">
        <f t="shared" si="160"/>
        <v>0</v>
      </c>
      <c r="AO252" s="143">
        <f t="shared" si="161"/>
        <v>0</v>
      </c>
      <c r="AP252" s="142">
        <f t="shared" si="151"/>
        <v>30</v>
      </c>
      <c r="AQ252" s="142">
        <f t="shared" ca="1" si="152"/>
        <v>30</v>
      </c>
      <c r="AR252" s="154">
        <f t="shared" si="163"/>
        <v>0</v>
      </c>
      <c r="AS252" s="142">
        <f t="shared" si="153"/>
        <v>0</v>
      </c>
      <c r="AT252" t="b">
        <f>OR((F252&gt;0),(NOT(ISBLANK(H252))),SUM(H252:H$373),SUM(G252:G$373))</f>
        <v>0</v>
      </c>
      <c r="AU252" t="b">
        <f t="shared" ca="1" si="141"/>
        <v>0</v>
      </c>
    </row>
    <row r="253" spans="1:47">
      <c r="A253" s="349">
        <f t="shared" si="154"/>
        <v>41886</v>
      </c>
      <c r="B253" s="350">
        <f t="shared" si="155"/>
        <v>41886</v>
      </c>
      <c r="C253" s="351">
        <f t="shared" si="166"/>
        <v>36</v>
      </c>
      <c r="D253" s="352">
        <f t="shared" si="167"/>
        <v>41882</v>
      </c>
      <c r="E253" s="364" t="str">
        <f t="shared" si="142"/>
        <v/>
      </c>
      <c r="F253" s="6"/>
      <c r="G253" s="7" t="str">
        <f t="shared" si="168"/>
        <v/>
      </c>
      <c r="H253" s="8"/>
      <c r="I253" s="8">
        <f t="shared" si="164"/>
        <v>0</v>
      </c>
      <c r="J253" s="129">
        <f t="shared" si="162"/>
        <v>0</v>
      </c>
      <c r="K253" s="8"/>
      <c r="L253" s="8">
        <f t="shared" si="143"/>
        <v>0</v>
      </c>
      <c r="M253" s="129">
        <f t="shared" si="144"/>
        <v>0</v>
      </c>
      <c r="N253" s="129"/>
      <c r="O253" s="129">
        <f t="shared" si="137"/>
        <v>0</v>
      </c>
      <c r="P253" s="129"/>
      <c r="Q253" s="129">
        <f t="shared" si="145"/>
        <v>0</v>
      </c>
      <c r="R253" s="129">
        <f t="shared" si="146"/>
        <v>0</v>
      </c>
      <c r="S253" s="693">
        <f t="shared" si="147"/>
        <v>6</v>
      </c>
      <c r="T253" s="129">
        <f t="shared" si="165"/>
        <v>0</v>
      </c>
      <c r="U253" s="165">
        <f t="shared" si="148"/>
        <v>0</v>
      </c>
      <c r="V253" s="75"/>
      <c r="W253" s="131">
        <f t="shared" si="138"/>
        <v>4.1666666666666664E-2</v>
      </c>
      <c r="X253" s="126">
        <f t="shared" si="149"/>
        <v>0</v>
      </c>
      <c r="Y253" s="127">
        <f t="shared" si="169"/>
        <v>0.33333333333333331</v>
      </c>
      <c r="Z253" s="128">
        <f t="shared" si="170"/>
        <v>0</v>
      </c>
      <c r="AA253" s="76" t="str">
        <f t="shared" si="171"/>
        <v/>
      </c>
      <c r="AB253" s="216">
        <f t="shared" si="139"/>
        <v>0</v>
      </c>
      <c r="AC253" s="163" t="str">
        <f t="shared" si="172"/>
        <v/>
      </c>
      <c r="AD253" s="257">
        <f t="shared" si="156"/>
        <v>0</v>
      </c>
      <c r="AE253" s="138"/>
      <c r="AF253" s="138" t="str">
        <f t="shared" si="157"/>
        <v/>
      </c>
      <c r="AG253" s="77">
        <f t="shared" si="173"/>
        <v>0</v>
      </c>
      <c r="AH253" s="77">
        <f t="shared" si="174"/>
        <v>0</v>
      </c>
      <c r="AI253" s="77" t="str">
        <f t="shared" si="158"/>
        <v/>
      </c>
      <c r="AJ253" s="78">
        <f t="shared" si="140"/>
        <v>3</v>
      </c>
      <c r="AK253" s="139">
        <f>SUM($AC$6:AC253)</f>
        <v>0</v>
      </c>
      <c r="AL253" s="139">
        <f t="shared" ca="1" si="150"/>
        <v>0</v>
      </c>
      <c r="AM253" s="143">
        <f t="shared" si="159"/>
        <v>0</v>
      </c>
      <c r="AN253" s="143">
        <f t="shared" si="160"/>
        <v>0</v>
      </c>
      <c r="AO253" s="143">
        <f t="shared" si="161"/>
        <v>0</v>
      </c>
      <c r="AP253" s="142">
        <f t="shared" si="151"/>
        <v>30</v>
      </c>
      <c r="AQ253" s="142">
        <f t="shared" ca="1" si="152"/>
        <v>30</v>
      </c>
      <c r="AR253" s="154">
        <f t="shared" si="163"/>
        <v>0</v>
      </c>
      <c r="AS253" s="142">
        <f t="shared" si="153"/>
        <v>0</v>
      </c>
      <c r="AT253" t="b">
        <f>OR((F253&gt;0),(NOT(ISBLANK(H253))),SUM(H253:H$373),SUM(G253:G$373))</f>
        <v>0</v>
      </c>
      <c r="AU253" t="b">
        <f t="shared" ca="1" si="141"/>
        <v>0</v>
      </c>
    </row>
    <row r="254" spans="1:47">
      <c r="A254" s="349">
        <f t="shared" si="154"/>
        <v>41887</v>
      </c>
      <c r="B254" s="350">
        <f t="shared" si="155"/>
        <v>41887</v>
      </c>
      <c r="C254" s="351">
        <f t="shared" si="166"/>
        <v>36</v>
      </c>
      <c r="D254" s="352">
        <f t="shared" si="167"/>
        <v>41882</v>
      </c>
      <c r="E254" s="364" t="str">
        <f t="shared" si="142"/>
        <v/>
      </c>
      <c r="F254" s="6"/>
      <c r="G254" s="7" t="str">
        <f t="shared" si="168"/>
        <v/>
      </c>
      <c r="H254" s="8"/>
      <c r="I254" s="8">
        <f t="shared" si="164"/>
        <v>0</v>
      </c>
      <c r="J254" s="129">
        <f t="shared" si="162"/>
        <v>0</v>
      </c>
      <c r="K254" s="8"/>
      <c r="L254" s="8">
        <f t="shared" si="143"/>
        <v>0</v>
      </c>
      <c r="M254" s="129">
        <f t="shared" si="144"/>
        <v>0</v>
      </c>
      <c r="N254" s="129"/>
      <c r="O254" s="129">
        <f t="shared" si="137"/>
        <v>0</v>
      </c>
      <c r="P254" s="129"/>
      <c r="Q254" s="129">
        <f t="shared" si="145"/>
        <v>0</v>
      </c>
      <c r="R254" s="129">
        <f t="shared" si="146"/>
        <v>0</v>
      </c>
      <c r="S254" s="693">
        <f t="shared" si="147"/>
        <v>6</v>
      </c>
      <c r="T254" s="129">
        <f t="shared" si="165"/>
        <v>0</v>
      </c>
      <c r="U254" s="165">
        <f t="shared" si="148"/>
        <v>0</v>
      </c>
      <c r="V254" s="75"/>
      <c r="W254" s="131">
        <f t="shared" si="138"/>
        <v>4.1666666666666664E-2</v>
      </c>
      <c r="X254" s="126">
        <f t="shared" si="149"/>
        <v>0</v>
      </c>
      <c r="Y254" s="127">
        <f t="shared" si="169"/>
        <v>0.33333333333333331</v>
      </c>
      <c r="Z254" s="128">
        <f t="shared" si="170"/>
        <v>0</v>
      </c>
      <c r="AA254" s="76" t="str">
        <f t="shared" si="171"/>
        <v/>
      </c>
      <c r="AB254" s="216">
        <f t="shared" si="139"/>
        <v>0</v>
      </c>
      <c r="AC254" s="163" t="str">
        <f t="shared" si="172"/>
        <v/>
      </c>
      <c r="AD254" s="257">
        <f t="shared" si="156"/>
        <v>0</v>
      </c>
      <c r="AE254" s="138"/>
      <c r="AF254" s="138" t="str">
        <f t="shared" si="157"/>
        <v/>
      </c>
      <c r="AG254" s="77">
        <f t="shared" si="173"/>
        <v>0</v>
      </c>
      <c r="AH254" s="77">
        <f t="shared" si="174"/>
        <v>0</v>
      </c>
      <c r="AI254" s="77" t="str">
        <f t="shared" si="158"/>
        <v/>
      </c>
      <c r="AJ254" s="78">
        <f t="shared" si="140"/>
        <v>4</v>
      </c>
      <c r="AK254" s="139">
        <f>SUM($AC$6:AC254)</f>
        <v>0</v>
      </c>
      <c r="AL254" s="139">
        <f t="shared" ca="1" si="150"/>
        <v>0</v>
      </c>
      <c r="AM254" s="143">
        <f t="shared" si="159"/>
        <v>0</v>
      </c>
      <c r="AN254" s="143">
        <f t="shared" si="160"/>
        <v>0</v>
      </c>
      <c r="AO254" s="143">
        <f t="shared" si="161"/>
        <v>0</v>
      </c>
      <c r="AP254" s="142">
        <f t="shared" si="151"/>
        <v>30</v>
      </c>
      <c r="AQ254" s="142">
        <f t="shared" ca="1" si="152"/>
        <v>30</v>
      </c>
      <c r="AR254" s="154">
        <f t="shared" si="163"/>
        <v>0</v>
      </c>
      <c r="AS254" s="142">
        <f t="shared" si="153"/>
        <v>0</v>
      </c>
      <c r="AT254" t="b">
        <f>OR((F254&gt;0),(NOT(ISBLANK(H254))),SUM(H254:H$373),SUM(G254:G$373))</f>
        <v>0</v>
      </c>
      <c r="AU254" t="b">
        <f t="shared" ca="1" si="141"/>
        <v>0</v>
      </c>
    </row>
    <row r="255" spans="1:47">
      <c r="A255" s="349">
        <f t="shared" si="154"/>
        <v>41888</v>
      </c>
      <c r="B255" s="350">
        <f t="shared" si="155"/>
        <v>41888</v>
      </c>
      <c r="C255" s="351">
        <f t="shared" si="166"/>
        <v>36</v>
      </c>
      <c r="D255" s="352">
        <f t="shared" si="167"/>
        <v>41882</v>
      </c>
      <c r="E255" s="364" t="str">
        <f t="shared" si="142"/>
        <v/>
      </c>
      <c r="F255" s="6"/>
      <c r="G255" s="7" t="str">
        <f t="shared" si="168"/>
        <v/>
      </c>
      <c r="H255" s="8"/>
      <c r="I255" s="8">
        <f t="shared" si="164"/>
        <v>0</v>
      </c>
      <c r="J255" s="129">
        <f t="shared" si="162"/>
        <v>0</v>
      </c>
      <c r="K255" s="8"/>
      <c r="L255" s="8">
        <f t="shared" si="143"/>
        <v>0</v>
      </c>
      <c r="M255" s="129">
        <f t="shared" si="144"/>
        <v>0</v>
      </c>
      <c r="N255" s="129"/>
      <c r="O255" s="129">
        <f t="shared" si="137"/>
        <v>0</v>
      </c>
      <c r="P255" s="129"/>
      <c r="Q255" s="129">
        <f t="shared" si="145"/>
        <v>0</v>
      </c>
      <c r="R255" s="129">
        <f t="shared" si="146"/>
        <v>0</v>
      </c>
      <c r="S255" s="693">
        <f t="shared" si="147"/>
        <v>6</v>
      </c>
      <c r="T255" s="129">
        <f t="shared" si="165"/>
        <v>0</v>
      </c>
      <c r="U255" s="165">
        <f t="shared" si="148"/>
        <v>0</v>
      </c>
      <c r="V255" s="75"/>
      <c r="W255" s="131">
        <f t="shared" si="138"/>
        <v>4.1666666666666664E-2</v>
      </c>
      <c r="X255" s="126">
        <f t="shared" si="149"/>
        <v>0</v>
      </c>
      <c r="Y255" s="127">
        <f t="shared" si="169"/>
        <v>0.33333333333333331</v>
      </c>
      <c r="Z255" s="128">
        <f t="shared" si="170"/>
        <v>0</v>
      </c>
      <c r="AA255" s="76" t="str">
        <f t="shared" si="171"/>
        <v/>
      </c>
      <c r="AB255" s="216">
        <f t="shared" si="139"/>
        <v>0</v>
      </c>
      <c r="AC255" s="163" t="str">
        <f t="shared" si="172"/>
        <v/>
      </c>
      <c r="AD255" s="257">
        <f t="shared" si="156"/>
        <v>0</v>
      </c>
      <c r="AE255" s="138"/>
      <c r="AF255" s="138" t="str">
        <f t="shared" si="157"/>
        <v/>
      </c>
      <c r="AG255" s="77">
        <f t="shared" si="173"/>
        <v>0</v>
      </c>
      <c r="AH255" s="77">
        <f t="shared" si="174"/>
        <v>0</v>
      </c>
      <c r="AI255" s="77" t="str">
        <f t="shared" si="158"/>
        <v/>
      </c>
      <c r="AJ255" s="78">
        <f t="shared" si="140"/>
        <v>5</v>
      </c>
      <c r="AK255" s="139">
        <f>SUM($AC$6:AC255)</f>
        <v>0</v>
      </c>
      <c r="AL255" s="139">
        <f t="shared" ca="1" si="150"/>
        <v>0</v>
      </c>
      <c r="AM255" s="143">
        <f t="shared" si="159"/>
        <v>0</v>
      </c>
      <c r="AN255" s="143">
        <f t="shared" si="160"/>
        <v>0</v>
      </c>
      <c r="AO255" s="143">
        <f t="shared" si="161"/>
        <v>0</v>
      </c>
      <c r="AP255" s="142">
        <f t="shared" si="151"/>
        <v>30</v>
      </c>
      <c r="AQ255" s="142">
        <f t="shared" ca="1" si="152"/>
        <v>30</v>
      </c>
      <c r="AR255" s="154">
        <f t="shared" si="163"/>
        <v>0</v>
      </c>
      <c r="AS255" s="142">
        <f t="shared" si="153"/>
        <v>0</v>
      </c>
      <c r="AT255" t="b">
        <f>OR((F255&gt;0),(NOT(ISBLANK(H255))),SUM(H255:H$373),SUM(G255:G$373))</f>
        <v>0</v>
      </c>
      <c r="AU255" t="b">
        <f t="shared" ca="1" si="141"/>
        <v>0</v>
      </c>
    </row>
    <row r="256" spans="1:47">
      <c r="A256" s="349">
        <f t="shared" si="154"/>
        <v>41889</v>
      </c>
      <c r="B256" s="350">
        <f t="shared" si="155"/>
        <v>41889</v>
      </c>
      <c r="C256" s="351">
        <f t="shared" si="166"/>
        <v>36</v>
      </c>
      <c r="D256" s="352">
        <f t="shared" si="167"/>
        <v>41882</v>
      </c>
      <c r="E256" s="364" t="str">
        <f t="shared" si="142"/>
        <v/>
      </c>
      <c r="F256" s="6"/>
      <c r="G256" s="7" t="str">
        <f t="shared" si="168"/>
        <v/>
      </c>
      <c r="H256" s="8"/>
      <c r="I256" s="8">
        <f t="shared" si="164"/>
        <v>0</v>
      </c>
      <c r="J256" s="129">
        <f t="shared" si="162"/>
        <v>0</v>
      </c>
      <c r="K256" s="8"/>
      <c r="L256" s="8">
        <f t="shared" si="143"/>
        <v>0</v>
      </c>
      <c r="M256" s="129">
        <f t="shared" si="144"/>
        <v>0</v>
      </c>
      <c r="N256" s="129"/>
      <c r="O256" s="129">
        <f t="shared" si="137"/>
        <v>0</v>
      </c>
      <c r="P256" s="129"/>
      <c r="Q256" s="129">
        <f t="shared" si="145"/>
        <v>0</v>
      </c>
      <c r="R256" s="129">
        <f t="shared" si="146"/>
        <v>0</v>
      </c>
      <c r="S256" s="693">
        <f t="shared" si="147"/>
        <v>6</v>
      </c>
      <c r="T256" s="129">
        <f t="shared" si="165"/>
        <v>0</v>
      </c>
      <c r="U256" s="165">
        <f t="shared" si="148"/>
        <v>0</v>
      </c>
      <c r="V256" s="75"/>
      <c r="W256" s="131">
        <f t="shared" si="138"/>
        <v>4.1666666666666664E-2</v>
      </c>
      <c r="X256" s="126">
        <f t="shared" si="149"/>
        <v>0</v>
      </c>
      <c r="Y256" s="127">
        <f t="shared" si="169"/>
        <v>0</v>
      </c>
      <c r="Z256" s="128">
        <f t="shared" si="170"/>
        <v>0</v>
      </c>
      <c r="AA256" s="76" t="str">
        <f t="shared" si="171"/>
        <v/>
      </c>
      <c r="AB256" s="216">
        <f t="shared" si="139"/>
        <v>0</v>
      </c>
      <c r="AC256" s="163" t="str">
        <f t="shared" si="172"/>
        <v/>
      </c>
      <c r="AD256" s="257">
        <f t="shared" si="156"/>
        <v>0</v>
      </c>
      <c r="AE256" s="138"/>
      <c r="AF256" s="138" t="str">
        <f t="shared" si="157"/>
        <v/>
      </c>
      <c r="AG256" s="77">
        <f t="shared" si="173"/>
        <v>0</v>
      </c>
      <c r="AH256" s="77">
        <f t="shared" si="174"/>
        <v>0</v>
      </c>
      <c r="AI256" s="77" t="str">
        <f t="shared" si="158"/>
        <v/>
      </c>
      <c r="AJ256" s="78">
        <f t="shared" si="140"/>
        <v>6</v>
      </c>
      <c r="AK256" s="139">
        <f>SUM($AC$6:AC256)</f>
        <v>0</v>
      </c>
      <c r="AL256" s="139">
        <f t="shared" ca="1" si="150"/>
        <v>0</v>
      </c>
      <c r="AM256" s="143">
        <f t="shared" si="159"/>
        <v>0</v>
      </c>
      <c r="AN256" s="143">
        <f t="shared" si="160"/>
        <v>0</v>
      </c>
      <c r="AO256" s="143">
        <f t="shared" si="161"/>
        <v>0</v>
      </c>
      <c r="AP256" s="142">
        <f t="shared" si="151"/>
        <v>30</v>
      </c>
      <c r="AQ256" s="142">
        <f t="shared" ca="1" si="152"/>
        <v>30</v>
      </c>
      <c r="AR256" s="154">
        <f t="shared" si="163"/>
        <v>0</v>
      </c>
      <c r="AS256" s="142">
        <f t="shared" si="153"/>
        <v>7</v>
      </c>
      <c r="AT256" t="b">
        <f>OR((F256&gt;0),(NOT(ISBLANK(H256))),SUM(H256:H$373),SUM(G256:G$373))</f>
        <v>0</v>
      </c>
      <c r="AU256" t="b">
        <f t="shared" ca="1" si="141"/>
        <v>1</v>
      </c>
    </row>
    <row r="257" spans="1:47">
      <c r="A257" s="349">
        <f t="shared" si="154"/>
        <v>41890</v>
      </c>
      <c r="B257" s="350">
        <f t="shared" si="155"/>
        <v>41890</v>
      </c>
      <c r="C257" s="351">
        <f t="shared" si="166"/>
        <v>36</v>
      </c>
      <c r="D257" s="352">
        <f t="shared" si="167"/>
        <v>41882</v>
      </c>
      <c r="E257" s="364" t="str">
        <f t="shared" si="142"/>
        <v/>
      </c>
      <c r="F257" s="6"/>
      <c r="G257" s="7" t="str">
        <f t="shared" si="168"/>
        <v/>
      </c>
      <c r="H257" s="8"/>
      <c r="I257" s="8">
        <f t="shared" si="164"/>
        <v>0</v>
      </c>
      <c r="J257" s="129">
        <f t="shared" si="162"/>
        <v>0</v>
      </c>
      <c r="K257" s="8"/>
      <c r="L257" s="8">
        <f t="shared" si="143"/>
        <v>0</v>
      </c>
      <c r="M257" s="129">
        <f t="shared" si="144"/>
        <v>0</v>
      </c>
      <c r="N257" s="129"/>
      <c r="O257" s="129">
        <f t="shared" si="137"/>
        <v>0</v>
      </c>
      <c r="P257" s="129"/>
      <c r="Q257" s="129">
        <f t="shared" si="145"/>
        <v>0</v>
      </c>
      <c r="R257" s="129">
        <f t="shared" si="146"/>
        <v>0</v>
      </c>
      <c r="S257" s="693">
        <f t="shared" si="147"/>
        <v>6</v>
      </c>
      <c r="T257" s="129">
        <f t="shared" si="165"/>
        <v>0</v>
      </c>
      <c r="U257" s="165">
        <f t="shared" si="148"/>
        <v>0</v>
      </c>
      <c r="V257" s="75"/>
      <c r="W257" s="131">
        <f t="shared" si="138"/>
        <v>4.1666666666666664E-2</v>
      </c>
      <c r="X257" s="126">
        <f t="shared" si="149"/>
        <v>0</v>
      </c>
      <c r="Y257" s="127">
        <f t="shared" si="169"/>
        <v>0</v>
      </c>
      <c r="Z257" s="128">
        <f t="shared" si="170"/>
        <v>0</v>
      </c>
      <c r="AA257" s="76" t="str">
        <f t="shared" si="171"/>
        <v/>
      </c>
      <c r="AB257" s="216">
        <f t="shared" si="139"/>
        <v>0</v>
      </c>
      <c r="AC257" s="163" t="str">
        <f t="shared" si="172"/>
        <v/>
      </c>
      <c r="AD257" s="257">
        <f t="shared" si="156"/>
        <v>0</v>
      </c>
      <c r="AE257" s="138"/>
      <c r="AF257" s="138" t="str">
        <f t="shared" si="157"/>
        <v/>
      </c>
      <c r="AG257" s="77">
        <f t="shared" si="173"/>
        <v>0</v>
      </c>
      <c r="AH257" s="77">
        <f t="shared" si="174"/>
        <v>0</v>
      </c>
      <c r="AI257" s="77" t="str">
        <f t="shared" si="158"/>
        <v/>
      </c>
      <c r="AJ257" s="78">
        <f t="shared" si="140"/>
        <v>7</v>
      </c>
      <c r="AK257" s="139">
        <f>SUM($AC$6:AC257)</f>
        <v>0</v>
      </c>
      <c r="AL257" s="139">
        <f t="shared" ca="1" si="150"/>
        <v>0</v>
      </c>
      <c r="AM257" s="143">
        <f t="shared" si="159"/>
        <v>0</v>
      </c>
      <c r="AN257" s="143">
        <f t="shared" si="160"/>
        <v>0</v>
      </c>
      <c r="AO257" s="143">
        <f t="shared" si="161"/>
        <v>0</v>
      </c>
      <c r="AP257" s="142">
        <f t="shared" si="151"/>
        <v>30</v>
      </c>
      <c r="AQ257" s="142">
        <f t="shared" ca="1" si="152"/>
        <v>30</v>
      </c>
      <c r="AR257" s="154">
        <f t="shared" si="163"/>
        <v>0</v>
      </c>
      <c r="AS257" s="142">
        <f t="shared" si="153"/>
        <v>7</v>
      </c>
      <c r="AT257" t="b">
        <f>OR((F257&gt;0),(NOT(ISBLANK(H257))),SUM(H257:H$373),SUM(G257:G$373))</f>
        <v>0</v>
      </c>
      <c r="AU257" t="b">
        <f t="shared" ca="1" si="141"/>
        <v>1</v>
      </c>
    </row>
    <row r="258" spans="1:47">
      <c r="A258" s="349">
        <f t="shared" si="154"/>
        <v>41891</v>
      </c>
      <c r="B258" s="350">
        <f t="shared" si="155"/>
        <v>41891</v>
      </c>
      <c r="C258" s="351">
        <f t="shared" si="166"/>
        <v>37</v>
      </c>
      <c r="D258" s="352">
        <f t="shared" si="167"/>
        <v>41882</v>
      </c>
      <c r="E258" s="364" t="str">
        <f t="shared" si="142"/>
        <v/>
      </c>
      <c r="F258" s="6"/>
      <c r="G258" s="7" t="str">
        <f t="shared" si="168"/>
        <v/>
      </c>
      <c r="H258" s="8"/>
      <c r="I258" s="8">
        <f t="shared" si="164"/>
        <v>0</v>
      </c>
      <c r="J258" s="129">
        <f t="shared" si="162"/>
        <v>0</v>
      </c>
      <c r="K258" s="8"/>
      <c r="L258" s="8">
        <f t="shared" si="143"/>
        <v>0</v>
      </c>
      <c r="M258" s="129">
        <f t="shared" si="144"/>
        <v>0</v>
      </c>
      <c r="N258" s="129"/>
      <c r="O258" s="129">
        <f t="shared" si="137"/>
        <v>0</v>
      </c>
      <c r="P258" s="129"/>
      <c r="Q258" s="129">
        <f t="shared" si="145"/>
        <v>0</v>
      </c>
      <c r="R258" s="129">
        <f t="shared" si="146"/>
        <v>0</v>
      </c>
      <c r="S258" s="693">
        <f t="shared" si="147"/>
        <v>6</v>
      </c>
      <c r="T258" s="129">
        <f t="shared" si="165"/>
        <v>0</v>
      </c>
      <c r="U258" s="165">
        <f t="shared" si="148"/>
        <v>0</v>
      </c>
      <c r="V258" s="75"/>
      <c r="W258" s="131">
        <f t="shared" si="138"/>
        <v>4.1666666666666664E-2</v>
      </c>
      <c r="X258" s="126">
        <f t="shared" si="149"/>
        <v>0</v>
      </c>
      <c r="Y258" s="127">
        <f t="shared" si="169"/>
        <v>0.33333333333333331</v>
      </c>
      <c r="Z258" s="128">
        <f t="shared" si="170"/>
        <v>0</v>
      </c>
      <c r="AA258" s="76" t="str">
        <f t="shared" si="171"/>
        <v/>
      </c>
      <c r="AB258" s="216">
        <f t="shared" si="139"/>
        <v>0</v>
      </c>
      <c r="AC258" s="163" t="str">
        <f t="shared" si="172"/>
        <v/>
      </c>
      <c r="AD258" s="257">
        <f t="shared" si="156"/>
        <v>0</v>
      </c>
      <c r="AE258" s="138"/>
      <c r="AF258" s="138" t="str">
        <f t="shared" si="157"/>
        <v/>
      </c>
      <c r="AG258" s="77">
        <f t="shared" si="173"/>
        <v>0</v>
      </c>
      <c r="AH258" s="77">
        <f t="shared" si="174"/>
        <v>0</v>
      </c>
      <c r="AI258" s="77" t="str">
        <f t="shared" si="158"/>
        <v/>
      </c>
      <c r="AJ258" s="78">
        <f t="shared" si="140"/>
        <v>1</v>
      </c>
      <c r="AK258" s="139">
        <f>SUM($AC$6:AC258)</f>
        <v>0</v>
      </c>
      <c r="AL258" s="139">
        <f t="shared" ca="1" si="150"/>
        <v>0</v>
      </c>
      <c r="AM258" s="143">
        <f t="shared" si="159"/>
        <v>0</v>
      </c>
      <c r="AN258" s="143">
        <f t="shared" si="160"/>
        <v>0</v>
      </c>
      <c r="AO258" s="143">
        <f t="shared" si="161"/>
        <v>0</v>
      </c>
      <c r="AP258" s="142">
        <f t="shared" si="151"/>
        <v>30</v>
      </c>
      <c r="AQ258" s="142">
        <f t="shared" ca="1" si="152"/>
        <v>30</v>
      </c>
      <c r="AR258" s="154">
        <f t="shared" si="163"/>
        <v>0</v>
      </c>
      <c r="AS258" s="142">
        <f t="shared" si="153"/>
        <v>0</v>
      </c>
      <c r="AT258" t="b">
        <f>OR((F258&gt;0),(NOT(ISBLANK(H258))),SUM(H258:H$373),SUM(G258:G$373))</f>
        <v>0</v>
      </c>
      <c r="AU258" t="b">
        <f t="shared" ca="1" si="141"/>
        <v>0</v>
      </c>
    </row>
    <row r="259" spans="1:47">
      <c r="A259" s="349">
        <f t="shared" si="154"/>
        <v>41892</v>
      </c>
      <c r="B259" s="350">
        <f t="shared" si="155"/>
        <v>41892</v>
      </c>
      <c r="C259" s="351">
        <f t="shared" si="166"/>
        <v>37</v>
      </c>
      <c r="D259" s="352">
        <f t="shared" si="167"/>
        <v>41882</v>
      </c>
      <c r="E259" s="364" t="str">
        <f t="shared" si="142"/>
        <v/>
      </c>
      <c r="F259" s="6"/>
      <c r="G259" s="7" t="str">
        <f t="shared" si="168"/>
        <v/>
      </c>
      <c r="H259" s="8"/>
      <c r="I259" s="8">
        <f t="shared" si="164"/>
        <v>0</v>
      </c>
      <c r="J259" s="129">
        <f t="shared" si="162"/>
        <v>0</v>
      </c>
      <c r="K259" s="8"/>
      <c r="L259" s="8">
        <f t="shared" si="143"/>
        <v>0</v>
      </c>
      <c r="M259" s="129">
        <f t="shared" si="144"/>
        <v>0</v>
      </c>
      <c r="N259" s="129"/>
      <c r="O259" s="129">
        <f t="shared" si="137"/>
        <v>0</v>
      </c>
      <c r="P259" s="129"/>
      <c r="Q259" s="129">
        <f t="shared" si="145"/>
        <v>0</v>
      </c>
      <c r="R259" s="129">
        <f t="shared" si="146"/>
        <v>0</v>
      </c>
      <c r="S259" s="693">
        <f t="shared" si="147"/>
        <v>6</v>
      </c>
      <c r="T259" s="129">
        <f t="shared" si="165"/>
        <v>0</v>
      </c>
      <c r="U259" s="165">
        <f t="shared" si="148"/>
        <v>0</v>
      </c>
      <c r="V259" s="75"/>
      <c r="W259" s="131">
        <f t="shared" si="138"/>
        <v>4.1666666666666664E-2</v>
      </c>
      <c r="X259" s="126">
        <f t="shared" si="149"/>
        <v>0</v>
      </c>
      <c r="Y259" s="127">
        <f t="shared" si="169"/>
        <v>0.33333333333333331</v>
      </c>
      <c r="Z259" s="128">
        <f t="shared" si="170"/>
        <v>0</v>
      </c>
      <c r="AA259" s="76" t="str">
        <f t="shared" si="171"/>
        <v/>
      </c>
      <c r="AB259" s="216">
        <f t="shared" si="139"/>
        <v>0</v>
      </c>
      <c r="AC259" s="163" t="str">
        <f t="shared" si="172"/>
        <v/>
      </c>
      <c r="AD259" s="257">
        <f t="shared" si="156"/>
        <v>0</v>
      </c>
      <c r="AE259" s="138"/>
      <c r="AF259" s="138" t="str">
        <f t="shared" si="157"/>
        <v/>
      </c>
      <c r="AG259" s="77">
        <f t="shared" si="173"/>
        <v>0</v>
      </c>
      <c r="AH259" s="77">
        <f t="shared" si="174"/>
        <v>0</v>
      </c>
      <c r="AI259" s="77" t="str">
        <f t="shared" si="158"/>
        <v/>
      </c>
      <c r="AJ259" s="78">
        <f t="shared" si="140"/>
        <v>2</v>
      </c>
      <c r="AK259" s="139">
        <f>SUM($AC$6:AC259)</f>
        <v>0</v>
      </c>
      <c r="AL259" s="139">
        <f t="shared" ca="1" si="150"/>
        <v>0</v>
      </c>
      <c r="AM259" s="143">
        <f t="shared" si="159"/>
        <v>0</v>
      </c>
      <c r="AN259" s="143">
        <f t="shared" si="160"/>
        <v>0</v>
      </c>
      <c r="AO259" s="143">
        <f t="shared" si="161"/>
        <v>0</v>
      </c>
      <c r="AP259" s="142">
        <f t="shared" si="151"/>
        <v>30</v>
      </c>
      <c r="AQ259" s="142">
        <f t="shared" ca="1" si="152"/>
        <v>30</v>
      </c>
      <c r="AR259" s="154">
        <f t="shared" si="163"/>
        <v>0</v>
      </c>
      <c r="AS259" s="142">
        <f t="shared" si="153"/>
        <v>0</v>
      </c>
      <c r="AT259" t="b">
        <f>OR((F259&gt;0),(NOT(ISBLANK(H259))),SUM(H259:H$373),SUM(G259:G$373))</f>
        <v>0</v>
      </c>
      <c r="AU259" t="b">
        <f t="shared" ca="1" si="141"/>
        <v>0</v>
      </c>
    </row>
    <row r="260" spans="1:47">
      <c r="A260" s="349">
        <f t="shared" si="154"/>
        <v>41893</v>
      </c>
      <c r="B260" s="350">
        <f t="shared" si="155"/>
        <v>41893</v>
      </c>
      <c r="C260" s="351">
        <f t="shared" si="166"/>
        <v>37</v>
      </c>
      <c r="D260" s="352">
        <f t="shared" si="167"/>
        <v>41882</v>
      </c>
      <c r="E260" s="364" t="str">
        <f t="shared" si="142"/>
        <v/>
      </c>
      <c r="F260" s="6"/>
      <c r="G260" s="7" t="str">
        <f t="shared" si="168"/>
        <v/>
      </c>
      <c r="H260" s="8"/>
      <c r="I260" s="8">
        <f t="shared" si="164"/>
        <v>0</v>
      </c>
      <c r="J260" s="129">
        <f t="shared" si="162"/>
        <v>0</v>
      </c>
      <c r="K260" s="8"/>
      <c r="L260" s="8">
        <f t="shared" si="143"/>
        <v>0</v>
      </c>
      <c r="M260" s="129">
        <f t="shared" si="144"/>
        <v>0</v>
      </c>
      <c r="N260" s="129"/>
      <c r="O260" s="129">
        <f t="shared" si="137"/>
        <v>0</v>
      </c>
      <c r="P260" s="129"/>
      <c r="Q260" s="129">
        <f t="shared" si="145"/>
        <v>0</v>
      </c>
      <c r="R260" s="129">
        <f t="shared" si="146"/>
        <v>0</v>
      </c>
      <c r="S260" s="693">
        <f t="shared" si="147"/>
        <v>6</v>
      </c>
      <c r="T260" s="129">
        <f t="shared" si="165"/>
        <v>0</v>
      </c>
      <c r="U260" s="165">
        <f t="shared" si="148"/>
        <v>0</v>
      </c>
      <c r="V260" s="75"/>
      <c r="W260" s="131">
        <f t="shared" si="138"/>
        <v>4.1666666666666664E-2</v>
      </c>
      <c r="X260" s="126">
        <f t="shared" si="149"/>
        <v>0</v>
      </c>
      <c r="Y260" s="127">
        <f t="shared" si="169"/>
        <v>0.33333333333333331</v>
      </c>
      <c r="Z260" s="128">
        <f t="shared" si="170"/>
        <v>0</v>
      </c>
      <c r="AA260" s="76" t="str">
        <f t="shared" si="171"/>
        <v/>
      </c>
      <c r="AB260" s="216">
        <f t="shared" si="139"/>
        <v>0</v>
      </c>
      <c r="AC260" s="163" t="str">
        <f t="shared" si="172"/>
        <v/>
      </c>
      <c r="AD260" s="257">
        <f t="shared" si="156"/>
        <v>0</v>
      </c>
      <c r="AE260" s="138"/>
      <c r="AF260" s="138" t="str">
        <f t="shared" si="157"/>
        <v/>
      </c>
      <c r="AG260" s="77">
        <f t="shared" si="173"/>
        <v>0</v>
      </c>
      <c r="AH260" s="77">
        <f t="shared" si="174"/>
        <v>0</v>
      </c>
      <c r="AI260" s="77" t="str">
        <f t="shared" si="158"/>
        <v/>
      </c>
      <c r="AJ260" s="78">
        <f t="shared" si="140"/>
        <v>3</v>
      </c>
      <c r="AK260" s="139">
        <f>SUM($AC$6:AC260)</f>
        <v>0</v>
      </c>
      <c r="AL260" s="139">
        <f t="shared" ca="1" si="150"/>
        <v>0</v>
      </c>
      <c r="AM260" s="143">
        <f t="shared" si="159"/>
        <v>0</v>
      </c>
      <c r="AN260" s="143">
        <f t="shared" si="160"/>
        <v>0</v>
      </c>
      <c r="AO260" s="143">
        <f t="shared" si="161"/>
        <v>0</v>
      </c>
      <c r="AP260" s="142">
        <f t="shared" si="151"/>
        <v>30</v>
      </c>
      <c r="AQ260" s="142">
        <f t="shared" ca="1" si="152"/>
        <v>30</v>
      </c>
      <c r="AR260" s="154">
        <f t="shared" si="163"/>
        <v>0</v>
      </c>
      <c r="AS260" s="142">
        <f t="shared" si="153"/>
        <v>0</v>
      </c>
      <c r="AT260" t="b">
        <f>OR((F260&gt;0),(NOT(ISBLANK(H260))),SUM(H260:H$373),SUM(G260:G$373))</f>
        <v>0</v>
      </c>
      <c r="AU260" t="b">
        <f t="shared" ca="1" si="141"/>
        <v>0</v>
      </c>
    </row>
    <row r="261" spans="1:47">
      <c r="A261" s="349">
        <f t="shared" si="154"/>
        <v>41894</v>
      </c>
      <c r="B261" s="350">
        <f t="shared" si="155"/>
        <v>41894</v>
      </c>
      <c r="C261" s="351">
        <f t="shared" si="166"/>
        <v>37</v>
      </c>
      <c r="D261" s="352">
        <f t="shared" si="167"/>
        <v>41882</v>
      </c>
      <c r="E261" s="364" t="str">
        <f t="shared" si="142"/>
        <v/>
      </c>
      <c r="F261" s="6"/>
      <c r="G261" s="7" t="str">
        <f t="shared" si="168"/>
        <v/>
      </c>
      <c r="H261" s="8"/>
      <c r="I261" s="8">
        <f t="shared" si="164"/>
        <v>0</v>
      </c>
      <c r="J261" s="129">
        <f t="shared" si="162"/>
        <v>0</v>
      </c>
      <c r="K261" s="8"/>
      <c r="L261" s="8">
        <f t="shared" si="143"/>
        <v>0</v>
      </c>
      <c r="M261" s="129">
        <f t="shared" si="144"/>
        <v>0</v>
      </c>
      <c r="N261" s="129"/>
      <c r="O261" s="129">
        <f t="shared" ref="O261:O324" si="175">IF(N261&gt;0,N261+IF((J261-H261+M261-K261)&lt;X261,X261-(J261-H261+M261-K261),TIME(0,10,0))+IF((K261-J261+N261-M261)&gt;xNoWorkTime,0,xNoWorkTime-(K261-J261+N261-M261)),0)</f>
        <v>0</v>
      </c>
      <c r="P261" s="129"/>
      <c r="Q261" s="129">
        <f t="shared" si="145"/>
        <v>0</v>
      </c>
      <c r="R261" s="129">
        <f t="shared" si="146"/>
        <v>0</v>
      </c>
      <c r="S261" s="693">
        <f t="shared" si="147"/>
        <v>6</v>
      </c>
      <c r="T261" s="129">
        <f t="shared" si="165"/>
        <v>0</v>
      </c>
      <c r="U261" s="165">
        <f t="shared" si="148"/>
        <v>0</v>
      </c>
      <c r="V261" s="75"/>
      <c r="W261" s="131">
        <f t="shared" ref="W261:W324" si="176">xNoWorkTime</f>
        <v>4.1666666666666664E-2</v>
      </c>
      <c r="X261" s="126">
        <f t="shared" si="149"/>
        <v>0</v>
      </c>
      <c r="Y261" s="127">
        <f t="shared" si="169"/>
        <v>0.33333333333333331</v>
      </c>
      <c r="Z261" s="128">
        <f t="shared" si="170"/>
        <v>0</v>
      </c>
      <c r="AA261" s="76" t="str">
        <f t="shared" si="171"/>
        <v/>
      </c>
      <c r="AB261" s="216">
        <f t="shared" ref="AB261:AB324" si="177">xOverTime</f>
        <v>0</v>
      </c>
      <c r="AC261" s="163" t="str">
        <f t="shared" si="172"/>
        <v/>
      </c>
      <c r="AD261" s="257">
        <f t="shared" si="156"/>
        <v>0</v>
      </c>
      <c r="AE261" s="138"/>
      <c r="AF261" s="138" t="str">
        <f t="shared" si="157"/>
        <v/>
      </c>
      <c r="AG261" s="77">
        <f t="shared" si="173"/>
        <v>0</v>
      </c>
      <c r="AH261" s="77">
        <f t="shared" si="174"/>
        <v>0</v>
      </c>
      <c r="AI261" s="77" t="str">
        <f t="shared" si="158"/>
        <v/>
      </c>
      <c r="AJ261" s="78">
        <f t="shared" ref="AJ261:AJ324" si="178">IF(A261="",0,IF(ISERROR(VLOOKUP(A261,db_Feiertag,2,FALSE)),WEEKDAY(A261,2),Feiertag))</f>
        <v>4</v>
      </c>
      <c r="AK261" s="139">
        <f>SUM($AC$6:AC261)</f>
        <v>0</v>
      </c>
      <c r="AL261" s="139">
        <f t="shared" ca="1" si="150"/>
        <v>0</v>
      </c>
      <c r="AM261" s="143">
        <f t="shared" si="159"/>
        <v>0</v>
      </c>
      <c r="AN261" s="143">
        <f t="shared" si="160"/>
        <v>0</v>
      </c>
      <c r="AO261" s="143">
        <f t="shared" si="161"/>
        <v>0</v>
      </c>
      <c r="AP261" s="142">
        <f t="shared" si="151"/>
        <v>30</v>
      </c>
      <c r="AQ261" s="142">
        <f t="shared" ca="1" si="152"/>
        <v>30</v>
      </c>
      <c r="AR261" s="154">
        <f t="shared" si="163"/>
        <v>0</v>
      </c>
      <c r="AS261" s="142">
        <f t="shared" si="153"/>
        <v>0</v>
      </c>
      <c r="AT261" t="b">
        <f>OR((F261&gt;0),(NOT(ISBLANK(H261))),SUM(H261:H$373),SUM(G261:G$373))</f>
        <v>0</v>
      </c>
      <c r="AU261" t="b">
        <f t="shared" ref="AU261:AU324" ca="1" si="179">INDIRECT(ADDRESS(ROW(),COLUMN(xDay)))&gt;5</f>
        <v>0</v>
      </c>
    </row>
    <row r="262" spans="1:47">
      <c r="A262" s="349">
        <f t="shared" si="154"/>
        <v>41895</v>
      </c>
      <c r="B262" s="350">
        <f t="shared" si="155"/>
        <v>41895</v>
      </c>
      <c r="C262" s="351">
        <f t="shared" si="166"/>
        <v>37</v>
      </c>
      <c r="D262" s="352">
        <f t="shared" si="167"/>
        <v>41882</v>
      </c>
      <c r="E262" s="364" t="str">
        <f t="shared" ref="E262:E325" si="180">IF((R262-T262)&gt;XWorkTimeMax,$Y$4,IF(AS262=Feiertag,VLOOKUP(B262,db_Feiertag,2,FALSE),""))</f>
        <v/>
      </c>
      <c r="F262" s="6"/>
      <c r="G262" s="7" t="str">
        <f t="shared" si="168"/>
        <v/>
      </c>
      <c r="H262" s="8"/>
      <c r="I262" s="8">
        <f t="shared" si="164"/>
        <v>0</v>
      </c>
      <c r="J262" s="129">
        <f t="shared" si="162"/>
        <v>0</v>
      </c>
      <c r="K262" s="8"/>
      <c r="L262" s="8">
        <f t="shared" ref="L262:L325" si="181">IF(K262&gt;0,K262+IF((J262-H262)&lt;X262,X262-(J262-H262),TIME(0,10,0))+IF((K262-J262)&gt;xNoWorkTime,0,xNoWorkTime-(K262-J262)),0)</f>
        <v>0</v>
      </c>
      <c r="M262" s="129">
        <f t="shared" ref="M262:M325" si="182">IF(L262&lt;K262,L262+1,L262)</f>
        <v>0</v>
      </c>
      <c r="N262" s="129"/>
      <c r="O262" s="129">
        <f t="shared" si="175"/>
        <v>0</v>
      </c>
      <c r="P262" s="129"/>
      <c r="Q262" s="129">
        <f t="shared" ref="Q262:Q325" si="183">IF(O262&lt;N262,O262+1,O262)</f>
        <v>0</v>
      </c>
      <c r="R262" s="129">
        <f t="shared" ref="R262:R325" si="184">J262-H262+M262-K262+Q262-N262</f>
        <v>0</v>
      </c>
      <c r="S262" s="693">
        <f t="shared" ref="S262:S325" si="185">XPauseNach*24</f>
        <v>6</v>
      </c>
      <c r="T262" s="129">
        <f t="shared" si="165"/>
        <v>0</v>
      </c>
      <c r="U262" s="165">
        <f t="shared" ref="U262:U325" si="186">IF(F262="S",Y262,(IF((R262-T262)&gt;XWorkTimeMax,XWorkTimeMax,IF((R262-T262)&gt;0,R262-T262,0))))</f>
        <v>0</v>
      </c>
      <c r="V262" s="75"/>
      <c r="W262" s="131">
        <f t="shared" si="176"/>
        <v>4.1666666666666664E-2</v>
      </c>
      <c r="X262" s="126">
        <f t="shared" ref="X262:X325" si="187">IF(AND((AJ262&lt;Feiertag),(G262&lt;&gt;85)),IF(OR(F262="B",F262="G",F262="S",H262&gt;0),H262-H262+Y262,0),0)</f>
        <v>0</v>
      </c>
      <c r="Y262" s="127">
        <f t="shared" si="169"/>
        <v>0.33333333333333331</v>
      </c>
      <c r="Z262" s="128">
        <f t="shared" si="170"/>
        <v>0</v>
      </c>
      <c r="AA262" s="76" t="str">
        <f t="shared" si="171"/>
        <v/>
      </c>
      <c r="AB262" s="216">
        <f t="shared" si="177"/>
        <v>0</v>
      </c>
      <c r="AC262" s="163" t="str">
        <f t="shared" si="172"/>
        <v/>
      </c>
      <c r="AD262" s="257">
        <f t="shared" si="156"/>
        <v>0</v>
      </c>
      <c r="AE262" s="138"/>
      <c r="AF262" s="138" t="str">
        <f t="shared" si="157"/>
        <v/>
      </c>
      <c r="AG262" s="77">
        <f t="shared" si="173"/>
        <v>0</v>
      </c>
      <c r="AH262" s="77">
        <f t="shared" si="174"/>
        <v>0</v>
      </c>
      <c r="AI262" s="77" t="str">
        <f t="shared" si="158"/>
        <v/>
      </c>
      <c r="AJ262" s="78">
        <f t="shared" si="178"/>
        <v>5</v>
      </c>
      <c r="AK262" s="139">
        <f>SUM($AC$6:AC262)</f>
        <v>0</v>
      </c>
      <c r="AL262" s="139">
        <f t="shared" ref="AL262:AL325" ca="1" si="188">IF(D262=D261,AL261,OFFSET(AL262,-1,COLUMN(db_jSaldoGes)-COLUMN()))</f>
        <v>0</v>
      </c>
      <c r="AM262" s="143">
        <f t="shared" si="159"/>
        <v>0</v>
      </c>
      <c r="AN262" s="143">
        <f t="shared" si="160"/>
        <v>0</v>
      </c>
      <c r="AO262" s="143">
        <f t="shared" si="161"/>
        <v>0</v>
      </c>
      <c r="AP262" s="142">
        <f t="shared" ref="AP262:AP325" si="189">IF(A262="","",AP261-IF(F262=Urlaub,1,0)+IF(AND(MONTH(A262)=1,DAY(A262)=1),B_UrlaubNeu,0))</f>
        <v>30</v>
      </c>
      <c r="AQ262" s="142">
        <f t="shared" ref="AQ262:AQ325" ca="1" si="190">IF(A262="","",IF(D262=D261,AQ261,OFFSET(AQ262,-1,COLUMN(db_jUrlRest)-COLUMN()))+IF(AND(MONTH(A262)=1,DAY(A262)=1),B_UrlaubNeu,0))</f>
        <v>30</v>
      </c>
      <c r="AR262" s="154">
        <f t="shared" si="163"/>
        <v>0</v>
      </c>
      <c r="AS262" s="142">
        <f t="shared" ref="AS262:AS325" si="191">IF(ISNUMBER(AC262),K_ArbeitOverMax,IF(AND(ISNUMBER(Z262),Z262&gt;0),K_ArbeitOverTime,IF(AND(ISNUMBER(U262),U262&gt;0),K_ArbeitNormal,IF(F262=Krank,K_Krank,IF(F262=Urlaub,K_Urlaub,IF(AJ262=Feiertag,K_Feiertag,IF(OR(AJ262=6,AJ262=7),K_Wochenende,0)))))))+IF(F262=Gleittag,K_Gleittag,0)</f>
        <v>0</v>
      </c>
      <c r="AT262" t="b">
        <f>OR((F262&gt;0),(NOT(ISBLANK(H262))),SUM(H262:H$373),SUM(G262:G$373))</f>
        <v>0</v>
      </c>
      <c r="AU262" t="b">
        <f t="shared" ca="1" si="179"/>
        <v>0</v>
      </c>
    </row>
    <row r="263" spans="1:47">
      <c r="A263" s="349">
        <f t="shared" ref="A263:A326" si="192">IF(A262="","",IF((A262+1)&gt;=DATE(YEAR(xJahr)+1,MONTH(xJahr),DAY(xJahr)),"",A262+1))</f>
        <v>41896</v>
      </c>
      <c r="B263" s="350">
        <f t="shared" ref="B263:B326" si="193">IF(A263="","",A263)</f>
        <v>41896</v>
      </c>
      <c r="C263" s="351">
        <f t="shared" si="166"/>
        <v>37</v>
      </c>
      <c r="D263" s="352">
        <f t="shared" si="167"/>
        <v>41882</v>
      </c>
      <c r="E263" s="364" t="str">
        <f t="shared" si="180"/>
        <v/>
      </c>
      <c r="F263" s="6"/>
      <c r="G263" s="7" t="str">
        <f t="shared" si="168"/>
        <v/>
      </c>
      <c r="H263" s="8"/>
      <c r="I263" s="8">
        <f t="shared" si="164"/>
        <v>0</v>
      </c>
      <c r="J263" s="129">
        <f t="shared" si="162"/>
        <v>0</v>
      </c>
      <c r="K263" s="8"/>
      <c r="L263" s="8">
        <f t="shared" si="181"/>
        <v>0</v>
      </c>
      <c r="M263" s="129">
        <f t="shared" si="182"/>
        <v>0</v>
      </c>
      <c r="N263" s="129"/>
      <c r="O263" s="129">
        <f t="shared" si="175"/>
        <v>0</v>
      </c>
      <c r="P263" s="129"/>
      <c r="Q263" s="129">
        <f t="shared" si="183"/>
        <v>0</v>
      </c>
      <c r="R263" s="129">
        <f t="shared" si="184"/>
        <v>0</v>
      </c>
      <c r="S263" s="693">
        <f t="shared" si="185"/>
        <v>6</v>
      </c>
      <c r="T263" s="129">
        <f t="shared" si="165"/>
        <v>0</v>
      </c>
      <c r="U263" s="165">
        <f t="shared" si="186"/>
        <v>0</v>
      </c>
      <c r="V263" s="75"/>
      <c r="W263" s="131">
        <f t="shared" si="176"/>
        <v>4.1666666666666664E-2</v>
      </c>
      <c r="X263" s="126">
        <f t="shared" si="187"/>
        <v>0</v>
      </c>
      <c r="Y263" s="127">
        <f t="shared" si="169"/>
        <v>0</v>
      </c>
      <c r="Z263" s="128">
        <f t="shared" si="170"/>
        <v>0</v>
      </c>
      <c r="AA263" s="76" t="str">
        <f t="shared" si="171"/>
        <v/>
      </c>
      <c r="AB263" s="216">
        <f t="shared" si="177"/>
        <v>0</v>
      </c>
      <c r="AC263" s="163" t="str">
        <f t="shared" si="172"/>
        <v/>
      </c>
      <c r="AD263" s="257">
        <f t="shared" ref="AD263:AD326" si="194">IF(AT263,(AD262+SUM(Z263)-AE263),)</f>
        <v>0</v>
      </c>
      <c r="AE263" s="138"/>
      <c r="AF263" s="138" t="str">
        <f t="shared" ref="AF263:AF326" si="195">IF(AND(AE263&lt;&gt;"",AE263&lt;=U263),U263-AE263,"")</f>
        <v/>
      </c>
      <c r="AG263" s="77">
        <f t="shared" si="173"/>
        <v>0</v>
      </c>
      <c r="AH263" s="77">
        <f t="shared" si="174"/>
        <v>0</v>
      </c>
      <c r="AI263" s="77" t="str">
        <f t="shared" ref="AI263:AI326" si="196">IF( AND(ISNUMBER( U263 ),ISNUMBER( X263 )), IF( U263 &gt;= X263, "", X263 - U263 ), "" )</f>
        <v/>
      </c>
      <c r="AJ263" s="78">
        <f t="shared" si="178"/>
        <v>6</v>
      </c>
      <c r="AK263" s="139">
        <f>SUM($AC$6:AC263)</f>
        <v>0</v>
      </c>
      <c r="AL263" s="139">
        <f t="shared" ca="1" si="188"/>
        <v>0</v>
      </c>
      <c r="AM263" s="143">
        <f t="shared" ref="AM263:AM326" si="197">IF(OR($G263=-1,$G263=82),-1,IF(OR($G263=0,$G263=83),1,0))</f>
        <v>0</v>
      </c>
      <c r="AN263" s="143">
        <f t="shared" ref="AN263:AN326" si="198">IF($F263=Krank,1,IF($F263="J",-1,0))</f>
        <v>0</v>
      </c>
      <c r="AO263" s="143">
        <f t="shared" ref="AO263:AO326" si="199">IF($F263=Urlaub,1,IF($F263="T",-1,0))</f>
        <v>0</v>
      </c>
      <c r="AP263" s="142">
        <f t="shared" si="189"/>
        <v>30</v>
      </c>
      <c r="AQ263" s="142">
        <f t="shared" ca="1" si="190"/>
        <v>30</v>
      </c>
      <c r="AR263" s="154">
        <f t="shared" si="163"/>
        <v>0</v>
      </c>
      <c r="AS263" s="142">
        <f t="shared" si="191"/>
        <v>7</v>
      </c>
      <c r="AT263" t="b">
        <f>OR((F263&gt;0),(NOT(ISBLANK(H263))),SUM(H263:H$373),SUM(G263:G$373))</f>
        <v>0</v>
      </c>
      <c r="AU263" t="b">
        <f t="shared" ca="1" si="179"/>
        <v>1</v>
      </c>
    </row>
    <row r="264" spans="1:47">
      <c r="A264" s="349">
        <f t="shared" si="192"/>
        <v>41897</v>
      </c>
      <c r="B264" s="350">
        <f t="shared" si="193"/>
        <v>41897</v>
      </c>
      <c r="C264" s="351">
        <f t="shared" si="166"/>
        <v>37</v>
      </c>
      <c r="D264" s="352">
        <f t="shared" si="167"/>
        <v>41882</v>
      </c>
      <c r="E264" s="364" t="str">
        <f t="shared" si="180"/>
        <v/>
      </c>
      <c r="F264" s="6"/>
      <c r="G264" s="7" t="str">
        <f t="shared" si="168"/>
        <v/>
      </c>
      <c r="H264" s="8"/>
      <c r="I264" s="8">
        <f t="shared" si="164"/>
        <v>0</v>
      </c>
      <c r="J264" s="129">
        <f t="shared" ref="J264:J327" si="200">IF(I264&lt;H264,I264+1,I264)</f>
        <v>0</v>
      </c>
      <c r="K264" s="8"/>
      <c r="L264" s="8">
        <f t="shared" si="181"/>
        <v>0</v>
      </c>
      <c r="M264" s="129">
        <f t="shared" si="182"/>
        <v>0</v>
      </c>
      <c r="N264" s="129"/>
      <c r="O264" s="129">
        <f t="shared" si="175"/>
        <v>0</v>
      </c>
      <c r="P264" s="129"/>
      <c r="Q264" s="129">
        <f t="shared" si="183"/>
        <v>0</v>
      </c>
      <c r="R264" s="129">
        <f t="shared" si="184"/>
        <v>0</v>
      </c>
      <c r="S264" s="693">
        <f t="shared" si="185"/>
        <v>6</v>
      </c>
      <c r="T264" s="129">
        <f t="shared" si="165"/>
        <v>0</v>
      </c>
      <c r="U264" s="165">
        <f t="shared" si="186"/>
        <v>0</v>
      </c>
      <c r="V264" s="75"/>
      <c r="W264" s="131">
        <f t="shared" si="176"/>
        <v>4.1666666666666664E-2</v>
      </c>
      <c r="X264" s="126">
        <f t="shared" si="187"/>
        <v>0</v>
      </c>
      <c r="Y264" s="127">
        <f t="shared" si="169"/>
        <v>0</v>
      </c>
      <c r="Z264" s="128">
        <f t="shared" si="170"/>
        <v>0</v>
      </c>
      <c r="AA264" s="76" t="str">
        <f t="shared" si="171"/>
        <v/>
      </c>
      <c r="AB264" s="216">
        <f t="shared" si="177"/>
        <v>0</v>
      </c>
      <c r="AC264" s="163" t="str">
        <f t="shared" si="172"/>
        <v/>
      </c>
      <c r="AD264" s="257">
        <f t="shared" si="194"/>
        <v>0</v>
      </c>
      <c r="AE264" s="138"/>
      <c r="AF264" s="138" t="str">
        <f t="shared" si="195"/>
        <v/>
      </c>
      <c r="AG264" s="77">
        <f t="shared" si="173"/>
        <v>0</v>
      </c>
      <c r="AH264" s="77">
        <f t="shared" si="174"/>
        <v>0</v>
      </c>
      <c r="AI264" s="77" t="str">
        <f t="shared" si="196"/>
        <v/>
      </c>
      <c r="AJ264" s="78">
        <f t="shared" si="178"/>
        <v>7</v>
      </c>
      <c r="AK264" s="139">
        <f>SUM($AC$6:AC264)</f>
        <v>0</v>
      </c>
      <c r="AL264" s="139">
        <f t="shared" ca="1" si="188"/>
        <v>0</v>
      </c>
      <c r="AM264" s="143">
        <f t="shared" si="197"/>
        <v>0</v>
      </c>
      <c r="AN264" s="143">
        <f t="shared" si="198"/>
        <v>0</v>
      </c>
      <c r="AO264" s="143">
        <f t="shared" si="199"/>
        <v>0</v>
      </c>
      <c r="AP264" s="142">
        <f t="shared" si="189"/>
        <v>30</v>
      </c>
      <c r="AQ264" s="142">
        <f t="shared" ca="1" si="190"/>
        <v>30</v>
      </c>
      <c r="AR264" s="154">
        <f t="shared" si="163"/>
        <v>0</v>
      </c>
      <c r="AS264" s="142">
        <f t="shared" si="191"/>
        <v>7</v>
      </c>
      <c r="AT264" t="b">
        <f>OR((F264&gt;0),(NOT(ISBLANK(H264))),SUM(H264:H$373),SUM(G264:G$373))</f>
        <v>0</v>
      </c>
      <c r="AU264" t="b">
        <f t="shared" ca="1" si="179"/>
        <v>1</v>
      </c>
    </row>
    <row r="265" spans="1:47">
      <c r="A265" s="349">
        <f t="shared" si="192"/>
        <v>41898</v>
      </c>
      <c r="B265" s="350">
        <f t="shared" si="193"/>
        <v>41898</v>
      </c>
      <c r="C265" s="351">
        <f t="shared" si="166"/>
        <v>38</v>
      </c>
      <c r="D265" s="352">
        <f t="shared" si="167"/>
        <v>41882</v>
      </c>
      <c r="E265" s="364" t="str">
        <f t="shared" si="180"/>
        <v/>
      </c>
      <c r="F265" s="6"/>
      <c r="G265" s="7" t="str">
        <f t="shared" si="168"/>
        <v/>
      </c>
      <c r="H265" s="8"/>
      <c r="I265" s="8">
        <f t="shared" si="164"/>
        <v>0</v>
      </c>
      <c r="J265" s="129">
        <f t="shared" si="200"/>
        <v>0</v>
      </c>
      <c r="K265" s="8"/>
      <c r="L265" s="8">
        <f t="shared" si="181"/>
        <v>0</v>
      </c>
      <c r="M265" s="129">
        <f t="shared" si="182"/>
        <v>0</v>
      </c>
      <c r="N265" s="129"/>
      <c r="O265" s="129">
        <f t="shared" si="175"/>
        <v>0</v>
      </c>
      <c r="P265" s="129"/>
      <c r="Q265" s="129">
        <f t="shared" si="183"/>
        <v>0</v>
      </c>
      <c r="R265" s="129">
        <f t="shared" si="184"/>
        <v>0</v>
      </c>
      <c r="S265" s="693">
        <f t="shared" si="185"/>
        <v>6</v>
      </c>
      <c r="T265" s="129">
        <f t="shared" si="165"/>
        <v>0</v>
      </c>
      <c r="U265" s="165">
        <f t="shared" si="186"/>
        <v>0</v>
      </c>
      <c r="V265" s="75"/>
      <c r="W265" s="131">
        <f t="shared" si="176"/>
        <v>4.1666666666666664E-2</v>
      </c>
      <c r="X265" s="126">
        <f t="shared" si="187"/>
        <v>0</v>
      </c>
      <c r="Y265" s="127">
        <f t="shared" si="169"/>
        <v>0.33333333333333331</v>
      </c>
      <c r="Z265" s="128">
        <f t="shared" si="170"/>
        <v>0</v>
      </c>
      <c r="AA265" s="76" t="str">
        <f t="shared" si="171"/>
        <v/>
      </c>
      <c r="AB265" s="216">
        <f t="shared" si="177"/>
        <v>0</v>
      </c>
      <c r="AC265" s="163" t="str">
        <f t="shared" si="172"/>
        <v/>
      </c>
      <c r="AD265" s="257">
        <f t="shared" si="194"/>
        <v>0</v>
      </c>
      <c r="AE265" s="138"/>
      <c r="AF265" s="138" t="str">
        <f t="shared" si="195"/>
        <v/>
      </c>
      <c r="AG265" s="77">
        <f t="shared" si="173"/>
        <v>0</v>
      </c>
      <c r="AH265" s="77">
        <f t="shared" si="174"/>
        <v>0</v>
      </c>
      <c r="AI265" s="77" t="str">
        <f t="shared" si="196"/>
        <v/>
      </c>
      <c r="AJ265" s="78">
        <f t="shared" si="178"/>
        <v>1</v>
      </c>
      <c r="AK265" s="139">
        <f>SUM($AC$6:AC265)</f>
        <v>0</v>
      </c>
      <c r="AL265" s="139">
        <f t="shared" ca="1" si="188"/>
        <v>0</v>
      </c>
      <c r="AM265" s="143">
        <f t="shared" si="197"/>
        <v>0</v>
      </c>
      <c r="AN265" s="143">
        <f t="shared" si="198"/>
        <v>0</v>
      </c>
      <c r="AO265" s="143">
        <f t="shared" si="199"/>
        <v>0</v>
      </c>
      <c r="AP265" s="142">
        <f t="shared" si="189"/>
        <v>30</v>
      </c>
      <c r="AQ265" s="142">
        <f t="shared" ca="1" si="190"/>
        <v>30</v>
      </c>
      <c r="AR265" s="154">
        <f t="shared" si="163"/>
        <v>0</v>
      </c>
      <c r="AS265" s="142">
        <f t="shared" si="191"/>
        <v>0</v>
      </c>
      <c r="AT265" t="b">
        <f>OR((F265&gt;0),(NOT(ISBLANK(H265))),SUM(H265:H$373),SUM(G265:G$373))</f>
        <v>0</v>
      </c>
      <c r="AU265" t="b">
        <f t="shared" ca="1" si="179"/>
        <v>0</v>
      </c>
    </row>
    <row r="266" spans="1:47">
      <c r="A266" s="349">
        <f t="shared" si="192"/>
        <v>41899</v>
      </c>
      <c r="B266" s="350">
        <f t="shared" si="193"/>
        <v>41899</v>
      </c>
      <c r="C266" s="351">
        <f t="shared" si="166"/>
        <v>38</v>
      </c>
      <c r="D266" s="352">
        <f t="shared" si="167"/>
        <v>41882</v>
      </c>
      <c r="E266" s="364" t="str">
        <f t="shared" si="180"/>
        <v/>
      </c>
      <c r="F266" s="6"/>
      <c r="G266" s="7" t="str">
        <f t="shared" si="168"/>
        <v/>
      </c>
      <c r="H266" s="8"/>
      <c r="I266" s="8">
        <f t="shared" si="164"/>
        <v>0</v>
      </c>
      <c r="J266" s="129">
        <f t="shared" si="200"/>
        <v>0</v>
      </c>
      <c r="K266" s="8"/>
      <c r="L266" s="8">
        <f t="shared" si="181"/>
        <v>0</v>
      </c>
      <c r="M266" s="129">
        <f t="shared" si="182"/>
        <v>0</v>
      </c>
      <c r="N266" s="129"/>
      <c r="O266" s="129">
        <f t="shared" si="175"/>
        <v>0</v>
      </c>
      <c r="P266" s="129"/>
      <c r="Q266" s="129">
        <f t="shared" si="183"/>
        <v>0</v>
      </c>
      <c r="R266" s="129">
        <f t="shared" si="184"/>
        <v>0</v>
      </c>
      <c r="S266" s="693">
        <f t="shared" si="185"/>
        <v>6</v>
      </c>
      <c r="T266" s="129">
        <f t="shared" si="165"/>
        <v>0</v>
      </c>
      <c r="U266" s="165">
        <f t="shared" si="186"/>
        <v>0</v>
      </c>
      <c r="V266" s="75"/>
      <c r="W266" s="131">
        <f t="shared" si="176"/>
        <v>4.1666666666666664E-2</v>
      </c>
      <c r="X266" s="126">
        <f t="shared" si="187"/>
        <v>0</v>
      </c>
      <c r="Y266" s="127">
        <f t="shared" si="169"/>
        <v>0.33333333333333331</v>
      </c>
      <c r="Z266" s="128">
        <f t="shared" si="170"/>
        <v>0</v>
      </c>
      <c r="AA266" s="76" t="str">
        <f t="shared" si="171"/>
        <v/>
      </c>
      <c r="AB266" s="216">
        <f t="shared" si="177"/>
        <v>0</v>
      </c>
      <c r="AC266" s="163" t="str">
        <f t="shared" si="172"/>
        <v/>
      </c>
      <c r="AD266" s="257">
        <f t="shared" si="194"/>
        <v>0</v>
      </c>
      <c r="AE266" s="138"/>
      <c r="AF266" s="138" t="str">
        <f t="shared" si="195"/>
        <v/>
      </c>
      <c r="AG266" s="77">
        <f t="shared" si="173"/>
        <v>0</v>
      </c>
      <c r="AH266" s="77">
        <f t="shared" si="174"/>
        <v>0</v>
      </c>
      <c r="AI266" s="77" t="str">
        <f t="shared" si="196"/>
        <v/>
      </c>
      <c r="AJ266" s="78">
        <f t="shared" si="178"/>
        <v>2</v>
      </c>
      <c r="AK266" s="139">
        <f>SUM($AC$6:AC266)</f>
        <v>0</v>
      </c>
      <c r="AL266" s="139">
        <f t="shared" ca="1" si="188"/>
        <v>0</v>
      </c>
      <c r="AM266" s="143">
        <f t="shared" si="197"/>
        <v>0</v>
      </c>
      <c r="AN266" s="143">
        <f t="shared" si="198"/>
        <v>0</v>
      </c>
      <c r="AO266" s="143">
        <f t="shared" si="199"/>
        <v>0</v>
      </c>
      <c r="AP266" s="142">
        <f t="shared" si="189"/>
        <v>30</v>
      </c>
      <c r="AQ266" s="142">
        <f t="shared" ca="1" si="190"/>
        <v>30</v>
      </c>
      <c r="AR266" s="154">
        <f t="shared" si="163"/>
        <v>0</v>
      </c>
      <c r="AS266" s="142">
        <f t="shared" si="191"/>
        <v>0</v>
      </c>
      <c r="AT266" t="b">
        <f>OR((F266&gt;0),(NOT(ISBLANK(H266))),SUM(H266:H$373),SUM(G266:G$373))</f>
        <v>0</v>
      </c>
      <c r="AU266" t="b">
        <f t="shared" ca="1" si="179"/>
        <v>0</v>
      </c>
    </row>
    <row r="267" spans="1:47">
      <c r="A267" s="349">
        <f t="shared" si="192"/>
        <v>41900</v>
      </c>
      <c r="B267" s="350">
        <f t="shared" si="193"/>
        <v>41900</v>
      </c>
      <c r="C267" s="351">
        <f t="shared" si="166"/>
        <v>38</v>
      </c>
      <c r="D267" s="352">
        <f t="shared" si="167"/>
        <v>41882</v>
      </c>
      <c r="E267" s="364" t="str">
        <f t="shared" si="180"/>
        <v/>
      </c>
      <c r="F267" s="6"/>
      <c r="G267" s="7" t="str">
        <f t="shared" si="168"/>
        <v/>
      </c>
      <c r="H267" s="8"/>
      <c r="I267" s="8">
        <f t="shared" si="164"/>
        <v>0</v>
      </c>
      <c r="J267" s="129">
        <f t="shared" si="200"/>
        <v>0</v>
      </c>
      <c r="K267" s="8"/>
      <c r="L267" s="8">
        <f t="shared" si="181"/>
        <v>0</v>
      </c>
      <c r="M267" s="129">
        <f t="shared" si="182"/>
        <v>0</v>
      </c>
      <c r="N267" s="129"/>
      <c r="O267" s="129">
        <f t="shared" si="175"/>
        <v>0</v>
      </c>
      <c r="P267" s="129"/>
      <c r="Q267" s="129">
        <f t="shared" si="183"/>
        <v>0</v>
      </c>
      <c r="R267" s="129">
        <f t="shared" si="184"/>
        <v>0</v>
      </c>
      <c r="S267" s="693">
        <f t="shared" si="185"/>
        <v>6</v>
      </c>
      <c r="T267" s="129">
        <f t="shared" si="165"/>
        <v>0</v>
      </c>
      <c r="U267" s="165">
        <f t="shared" si="186"/>
        <v>0</v>
      </c>
      <c r="V267" s="75"/>
      <c r="W267" s="131">
        <f t="shared" si="176"/>
        <v>4.1666666666666664E-2</v>
      </c>
      <c r="X267" s="126">
        <f t="shared" si="187"/>
        <v>0</v>
      </c>
      <c r="Y267" s="127">
        <f t="shared" si="169"/>
        <v>0.33333333333333331</v>
      </c>
      <c r="Z267" s="128">
        <f t="shared" si="170"/>
        <v>0</v>
      </c>
      <c r="AA267" s="76" t="str">
        <f t="shared" si="171"/>
        <v/>
      </c>
      <c r="AB267" s="216">
        <f t="shared" si="177"/>
        <v>0</v>
      </c>
      <c r="AC267" s="163" t="str">
        <f t="shared" si="172"/>
        <v/>
      </c>
      <c r="AD267" s="257">
        <f t="shared" si="194"/>
        <v>0</v>
      </c>
      <c r="AE267" s="138"/>
      <c r="AF267" s="138" t="str">
        <f t="shared" si="195"/>
        <v/>
      </c>
      <c r="AG267" s="77">
        <f t="shared" si="173"/>
        <v>0</v>
      </c>
      <c r="AH267" s="77">
        <f t="shared" si="174"/>
        <v>0</v>
      </c>
      <c r="AI267" s="77" t="str">
        <f t="shared" si="196"/>
        <v/>
      </c>
      <c r="AJ267" s="78">
        <f t="shared" si="178"/>
        <v>3</v>
      </c>
      <c r="AK267" s="139">
        <f>SUM($AC$6:AC267)</f>
        <v>0</v>
      </c>
      <c r="AL267" s="139">
        <f t="shared" ca="1" si="188"/>
        <v>0</v>
      </c>
      <c r="AM267" s="143">
        <f t="shared" si="197"/>
        <v>0</v>
      </c>
      <c r="AN267" s="143">
        <f t="shared" si="198"/>
        <v>0</v>
      </c>
      <c r="AO267" s="143">
        <f t="shared" si="199"/>
        <v>0</v>
      </c>
      <c r="AP267" s="142">
        <f t="shared" si="189"/>
        <v>30</v>
      </c>
      <c r="AQ267" s="142">
        <f t="shared" ca="1" si="190"/>
        <v>30</v>
      </c>
      <c r="AR267" s="154">
        <f t="shared" si="163"/>
        <v>0</v>
      </c>
      <c r="AS267" s="142">
        <f t="shared" si="191"/>
        <v>0</v>
      </c>
      <c r="AT267" t="b">
        <f>OR((F267&gt;0),(NOT(ISBLANK(H267))),SUM(H267:H$373),SUM(G267:G$373))</f>
        <v>0</v>
      </c>
      <c r="AU267" t="b">
        <f t="shared" ca="1" si="179"/>
        <v>0</v>
      </c>
    </row>
    <row r="268" spans="1:47">
      <c r="A268" s="349">
        <f t="shared" si="192"/>
        <v>41901</v>
      </c>
      <c r="B268" s="350">
        <f t="shared" si="193"/>
        <v>41901</v>
      </c>
      <c r="C268" s="351">
        <f t="shared" si="166"/>
        <v>38</v>
      </c>
      <c r="D268" s="352">
        <f t="shared" si="167"/>
        <v>41882</v>
      </c>
      <c r="E268" s="364" t="str">
        <f t="shared" si="180"/>
        <v/>
      </c>
      <c r="F268" s="6"/>
      <c r="G268" s="7" t="str">
        <f t="shared" si="168"/>
        <v/>
      </c>
      <c r="H268" s="8"/>
      <c r="I268" s="8">
        <f t="shared" si="164"/>
        <v>0</v>
      </c>
      <c r="J268" s="129">
        <f t="shared" si="200"/>
        <v>0</v>
      </c>
      <c r="K268" s="8"/>
      <c r="L268" s="8">
        <f t="shared" si="181"/>
        <v>0</v>
      </c>
      <c r="M268" s="129">
        <f t="shared" si="182"/>
        <v>0</v>
      </c>
      <c r="N268" s="129"/>
      <c r="O268" s="129">
        <f t="shared" si="175"/>
        <v>0</v>
      </c>
      <c r="P268" s="129"/>
      <c r="Q268" s="129">
        <f t="shared" si="183"/>
        <v>0</v>
      </c>
      <c r="R268" s="129">
        <f t="shared" si="184"/>
        <v>0</v>
      </c>
      <c r="S268" s="693">
        <f t="shared" si="185"/>
        <v>6</v>
      </c>
      <c r="T268" s="129">
        <f t="shared" si="165"/>
        <v>0</v>
      </c>
      <c r="U268" s="165">
        <f t="shared" si="186"/>
        <v>0</v>
      </c>
      <c r="V268" s="75"/>
      <c r="W268" s="131">
        <f t="shared" si="176"/>
        <v>4.1666666666666664E-2</v>
      </c>
      <c r="X268" s="126">
        <f t="shared" si="187"/>
        <v>0</v>
      </c>
      <c r="Y268" s="127">
        <f t="shared" si="169"/>
        <v>0.33333333333333331</v>
      </c>
      <c r="Z268" s="128">
        <f t="shared" si="170"/>
        <v>0</v>
      </c>
      <c r="AA268" s="76" t="str">
        <f t="shared" si="171"/>
        <v/>
      </c>
      <c r="AB268" s="216">
        <f t="shared" si="177"/>
        <v>0</v>
      </c>
      <c r="AC268" s="163" t="str">
        <f t="shared" si="172"/>
        <v/>
      </c>
      <c r="AD268" s="257">
        <f t="shared" si="194"/>
        <v>0</v>
      </c>
      <c r="AE268" s="138"/>
      <c r="AF268" s="138" t="str">
        <f t="shared" si="195"/>
        <v/>
      </c>
      <c r="AG268" s="77">
        <f t="shared" si="173"/>
        <v>0</v>
      </c>
      <c r="AH268" s="77">
        <f t="shared" si="174"/>
        <v>0</v>
      </c>
      <c r="AI268" s="77" t="str">
        <f t="shared" si="196"/>
        <v/>
      </c>
      <c r="AJ268" s="78">
        <f t="shared" si="178"/>
        <v>4</v>
      </c>
      <c r="AK268" s="139">
        <f>SUM($AC$6:AC268)</f>
        <v>0</v>
      </c>
      <c r="AL268" s="139">
        <f t="shared" ca="1" si="188"/>
        <v>0</v>
      </c>
      <c r="AM268" s="143">
        <f t="shared" si="197"/>
        <v>0</v>
      </c>
      <c r="AN268" s="143">
        <f t="shared" si="198"/>
        <v>0</v>
      </c>
      <c r="AO268" s="143">
        <f t="shared" si="199"/>
        <v>0</v>
      </c>
      <c r="AP268" s="142">
        <f t="shared" si="189"/>
        <v>30</v>
      </c>
      <c r="AQ268" s="142">
        <f t="shared" ca="1" si="190"/>
        <v>30</v>
      </c>
      <c r="AR268" s="154">
        <f t="shared" si="163"/>
        <v>0</v>
      </c>
      <c r="AS268" s="142">
        <f t="shared" si="191"/>
        <v>0</v>
      </c>
      <c r="AT268" t="b">
        <f>OR((F268&gt;0),(NOT(ISBLANK(H268))),SUM(H268:H$373),SUM(G268:G$373))</f>
        <v>0</v>
      </c>
      <c r="AU268" t="b">
        <f t="shared" ca="1" si="179"/>
        <v>0</v>
      </c>
    </row>
    <row r="269" spans="1:47">
      <c r="A269" s="349">
        <f t="shared" si="192"/>
        <v>41902</v>
      </c>
      <c r="B269" s="350">
        <f t="shared" si="193"/>
        <v>41902</v>
      </c>
      <c r="C269" s="351">
        <f t="shared" si="166"/>
        <v>38</v>
      </c>
      <c r="D269" s="352">
        <f t="shared" si="167"/>
        <v>41882</v>
      </c>
      <c r="E269" s="364" t="str">
        <f t="shared" si="180"/>
        <v/>
      </c>
      <c r="F269" s="6"/>
      <c r="G269" s="7" t="str">
        <f t="shared" si="168"/>
        <v/>
      </c>
      <c r="H269" s="8"/>
      <c r="I269" s="8">
        <f t="shared" si="164"/>
        <v>0</v>
      </c>
      <c r="J269" s="129">
        <f t="shared" si="200"/>
        <v>0</v>
      </c>
      <c r="K269" s="8"/>
      <c r="L269" s="8">
        <f t="shared" si="181"/>
        <v>0</v>
      </c>
      <c r="M269" s="129">
        <f t="shared" si="182"/>
        <v>0</v>
      </c>
      <c r="N269" s="129"/>
      <c r="O269" s="129">
        <f t="shared" si="175"/>
        <v>0</v>
      </c>
      <c r="P269" s="129"/>
      <c r="Q269" s="129">
        <f t="shared" si="183"/>
        <v>0</v>
      </c>
      <c r="R269" s="129">
        <f t="shared" si="184"/>
        <v>0</v>
      </c>
      <c r="S269" s="693">
        <f t="shared" si="185"/>
        <v>6</v>
      </c>
      <c r="T269" s="129">
        <f t="shared" si="165"/>
        <v>0</v>
      </c>
      <c r="U269" s="165">
        <f t="shared" si="186"/>
        <v>0</v>
      </c>
      <c r="V269" s="75"/>
      <c r="W269" s="131">
        <f t="shared" si="176"/>
        <v>4.1666666666666664E-2</v>
      </c>
      <c r="X269" s="126">
        <f t="shared" si="187"/>
        <v>0</v>
      </c>
      <c r="Y269" s="127">
        <f t="shared" si="169"/>
        <v>0.33333333333333331</v>
      </c>
      <c r="Z269" s="128">
        <f t="shared" si="170"/>
        <v>0</v>
      </c>
      <c r="AA269" s="76" t="str">
        <f t="shared" si="171"/>
        <v/>
      </c>
      <c r="AB269" s="216">
        <f t="shared" si="177"/>
        <v>0</v>
      </c>
      <c r="AC269" s="163" t="str">
        <f t="shared" si="172"/>
        <v/>
      </c>
      <c r="AD269" s="257">
        <f t="shared" si="194"/>
        <v>0</v>
      </c>
      <c r="AE269" s="138"/>
      <c r="AF269" s="138" t="str">
        <f t="shared" si="195"/>
        <v/>
      </c>
      <c r="AG269" s="77">
        <f t="shared" si="173"/>
        <v>0</v>
      </c>
      <c r="AH269" s="77">
        <f t="shared" si="174"/>
        <v>0</v>
      </c>
      <c r="AI269" s="77" t="str">
        <f t="shared" si="196"/>
        <v/>
      </c>
      <c r="AJ269" s="78">
        <f t="shared" si="178"/>
        <v>5</v>
      </c>
      <c r="AK269" s="139">
        <f>SUM($AC$6:AC269)</f>
        <v>0</v>
      </c>
      <c r="AL269" s="139">
        <f t="shared" ca="1" si="188"/>
        <v>0</v>
      </c>
      <c r="AM269" s="143">
        <f t="shared" si="197"/>
        <v>0</v>
      </c>
      <c r="AN269" s="143">
        <f t="shared" si="198"/>
        <v>0</v>
      </c>
      <c r="AO269" s="143">
        <f t="shared" si="199"/>
        <v>0</v>
      </c>
      <c r="AP269" s="142">
        <f t="shared" si="189"/>
        <v>30</v>
      </c>
      <c r="AQ269" s="142">
        <f t="shared" ca="1" si="190"/>
        <v>30</v>
      </c>
      <c r="AR269" s="154">
        <f t="shared" si="163"/>
        <v>0</v>
      </c>
      <c r="AS269" s="142">
        <f t="shared" si="191"/>
        <v>0</v>
      </c>
      <c r="AT269" t="b">
        <f>OR((F269&gt;0),(NOT(ISBLANK(H269))),SUM(H269:H$373),SUM(G269:G$373))</f>
        <v>0</v>
      </c>
      <c r="AU269" t="b">
        <f t="shared" ca="1" si="179"/>
        <v>0</v>
      </c>
    </row>
    <row r="270" spans="1:47">
      <c r="A270" s="349">
        <f t="shared" si="192"/>
        <v>41903</v>
      </c>
      <c r="B270" s="350">
        <f t="shared" si="193"/>
        <v>41903</v>
      </c>
      <c r="C270" s="351">
        <f t="shared" si="166"/>
        <v>38</v>
      </c>
      <c r="D270" s="352">
        <f t="shared" si="167"/>
        <v>41882</v>
      </c>
      <c r="E270" s="364" t="str">
        <f t="shared" si="180"/>
        <v/>
      </c>
      <c r="F270" s="6"/>
      <c r="G270" s="7" t="str">
        <f t="shared" si="168"/>
        <v/>
      </c>
      <c r="H270" s="8"/>
      <c r="I270" s="8">
        <f t="shared" si="164"/>
        <v>0</v>
      </c>
      <c r="J270" s="129">
        <f t="shared" si="200"/>
        <v>0</v>
      </c>
      <c r="K270" s="8"/>
      <c r="L270" s="8">
        <f t="shared" si="181"/>
        <v>0</v>
      </c>
      <c r="M270" s="129">
        <f t="shared" si="182"/>
        <v>0</v>
      </c>
      <c r="N270" s="129"/>
      <c r="O270" s="129">
        <f t="shared" si="175"/>
        <v>0</v>
      </c>
      <c r="P270" s="129"/>
      <c r="Q270" s="129">
        <f t="shared" si="183"/>
        <v>0</v>
      </c>
      <c r="R270" s="129">
        <f t="shared" si="184"/>
        <v>0</v>
      </c>
      <c r="S270" s="693">
        <f t="shared" si="185"/>
        <v>6</v>
      </c>
      <c r="T270" s="129">
        <f t="shared" si="165"/>
        <v>0</v>
      </c>
      <c r="U270" s="165">
        <f t="shared" si="186"/>
        <v>0</v>
      </c>
      <c r="V270" s="75"/>
      <c r="W270" s="131">
        <f t="shared" si="176"/>
        <v>4.1666666666666664E-2</v>
      </c>
      <c r="X270" s="126">
        <f t="shared" si="187"/>
        <v>0</v>
      </c>
      <c r="Y270" s="127">
        <f t="shared" si="169"/>
        <v>0</v>
      </c>
      <c r="Z270" s="128">
        <f t="shared" si="170"/>
        <v>0</v>
      </c>
      <c r="AA270" s="76" t="str">
        <f t="shared" si="171"/>
        <v/>
      </c>
      <c r="AB270" s="216">
        <f t="shared" si="177"/>
        <v>0</v>
      </c>
      <c r="AC270" s="163" t="str">
        <f t="shared" si="172"/>
        <v/>
      </c>
      <c r="AD270" s="257">
        <f t="shared" si="194"/>
        <v>0</v>
      </c>
      <c r="AE270" s="138"/>
      <c r="AF270" s="138" t="str">
        <f t="shared" si="195"/>
        <v/>
      </c>
      <c r="AG270" s="77">
        <f t="shared" si="173"/>
        <v>0</v>
      </c>
      <c r="AH270" s="77">
        <f t="shared" si="174"/>
        <v>0</v>
      </c>
      <c r="AI270" s="77" t="str">
        <f t="shared" si="196"/>
        <v/>
      </c>
      <c r="AJ270" s="78">
        <f t="shared" si="178"/>
        <v>6</v>
      </c>
      <c r="AK270" s="139">
        <f>SUM($AC$6:AC270)</f>
        <v>0</v>
      </c>
      <c r="AL270" s="139">
        <f t="shared" ca="1" si="188"/>
        <v>0</v>
      </c>
      <c r="AM270" s="143">
        <f t="shared" si="197"/>
        <v>0</v>
      </c>
      <c r="AN270" s="143">
        <f t="shared" si="198"/>
        <v>0</v>
      </c>
      <c r="AO270" s="143">
        <f t="shared" si="199"/>
        <v>0</v>
      </c>
      <c r="AP270" s="142">
        <f t="shared" si="189"/>
        <v>30</v>
      </c>
      <c r="AQ270" s="142">
        <f t="shared" ca="1" si="190"/>
        <v>30</v>
      </c>
      <c r="AR270" s="154">
        <f t="shared" ref="AR270:AR333" si="201">(IF(ISNUMBER(U270),U270,0)+IF(ISNUMBER(AC270),AC270,0))*24</f>
        <v>0</v>
      </c>
      <c r="AS270" s="142">
        <f t="shared" si="191"/>
        <v>7</v>
      </c>
      <c r="AT270" t="b">
        <f>OR((F270&gt;0),(NOT(ISBLANK(H270))),SUM(H270:H$373),SUM(G270:G$373))</f>
        <v>0</v>
      </c>
      <c r="AU270" t="b">
        <f t="shared" ca="1" si="179"/>
        <v>1</v>
      </c>
    </row>
    <row r="271" spans="1:47">
      <c r="A271" s="349">
        <f t="shared" si="192"/>
        <v>41904</v>
      </c>
      <c r="B271" s="350">
        <f t="shared" si="193"/>
        <v>41904</v>
      </c>
      <c r="C271" s="351">
        <f t="shared" si="166"/>
        <v>38</v>
      </c>
      <c r="D271" s="352">
        <f t="shared" si="167"/>
        <v>41882</v>
      </c>
      <c r="E271" s="364" t="str">
        <f t="shared" si="180"/>
        <v/>
      </c>
      <c r="F271" s="6"/>
      <c r="G271" s="7" t="str">
        <f t="shared" si="168"/>
        <v/>
      </c>
      <c r="H271" s="8"/>
      <c r="I271" s="8">
        <f t="shared" si="164"/>
        <v>0</v>
      </c>
      <c r="J271" s="129">
        <f t="shared" si="200"/>
        <v>0</v>
      </c>
      <c r="K271" s="8"/>
      <c r="L271" s="8">
        <f t="shared" si="181"/>
        <v>0</v>
      </c>
      <c r="M271" s="129">
        <f t="shared" si="182"/>
        <v>0</v>
      </c>
      <c r="N271" s="129"/>
      <c r="O271" s="129">
        <f t="shared" si="175"/>
        <v>0</v>
      </c>
      <c r="P271" s="129"/>
      <c r="Q271" s="129">
        <f t="shared" si="183"/>
        <v>0</v>
      </c>
      <c r="R271" s="129">
        <f t="shared" si="184"/>
        <v>0</v>
      </c>
      <c r="S271" s="693">
        <f t="shared" si="185"/>
        <v>6</v>
      </c>
      <c r="T271" s="129">
        <f t="shared" si="165"/>
        <v>0</v>
      </c>
      <c r="U271" s="165">
        <f t="shared" si="186"/>
        <v>0</v>
      </c>
      <c r="V271" s="75"/>
      <c r="W271" s="131">
        <f t="shared" si="176"/>
        <v>4.1666666666666664E-2</v>
      </c>
      <c r="X271" s="126">
        <f t="shared" si="187"/>
        <v>0</v>
      </c>
      <c r="Y271" s="127">
        <f t="shared" si="169"/>
        <v>0</v>
      </c>
      <c r="Z271" s="128">
        <f t="shared" si="170"/>
        <v>0</v>
      </c>
      <c r="AA271" s="76" t="str">
        <f t="shared" si="171"/>
        <v/>
      </c>
      <c r="AB271" s="216">
        <f t="shared" si="177"/>
        <v>0</v>
      </c>
      <c r="AC271" s="163" t="str">
        <f t="shared" si="172"/>
        <v/>
      </c>
      <c r="AD271" s="257">
        <f t="shared" si="194"/>
        <v>0</v>
      </c>
      <c r="AE271" s="138"/>
      <c r="AF271" s="138" t="str">
        <f t="shared" si="195"/>
        <v/>
      </c>
      <c r="AG271" s="77">
        <f t="shared" si="173"/>
        <v>0</v>
      </c>
      <c r="AH271" s="77">
        <f t="shared" si="174"/>
        <v>0</v>
      </c>
      <c r="AI271" s="77" t="str">
        <f t="shared" si="196"/>
        <v/>
      </c>
      <c r="AJ271" s="78">
        <f t="shared" si="178"/>
        <v>7</v>
      </c>
      <c r="AK271" s="139">
        <f>SUM($AC$6:AC271)</f>
        <v>0</v>
      </c>
      <c r="AL271" s="139">
        <f t="shared" ca="1" si="188"/>
        <v>0</v>
      </c>
      <c r="AM271" s="143">
        <f t="shared" si="197"/>
        <v>0</v>
      </c>
      <c r="AN271" s="143">
        <f t="shared" si="198"/>
        <v>0</v>
      </c>
      <c r="AO271" s="143">
        <f t="shared" si="199"/>
        <v>0</v>
      </c>
      <c r="AP271" s="142">
        <f t="shared" si="189"/>
        <v>30</v>
      </c>
      <c r="AQ271" s="142">
        <f t="shared" ca="1" si="190"/>
        <v>30</v>
      </c>
      <c r="AR271" s="154">
        <f t="shared" si="201"/>
        <v>0</v>
      </c>
      <c r="AS271" s="142">
        <f t="shared" si="191"/>
        <v>7</v>
      </c>
      <c r="AT271" t="b">
        <f>OR((F271&gt;0),(NOT(ISBLANK(H271))),SUM(H271:H$373),SUM(G271:G$373))</f>
        <v>0</v>
      </c>
      <c r="AU271" t="b">
        <f t="shared" ca="1" si="179"/>
        <v>1</v>
      </c>
    </row>
    <row r="272" spans="1:47">
      <c r="A272" s="349">
        <f t="shared" si="192"/>
        <v>41905</v>
      </c>
      <c r="B272" s="350">
        <f t="shared" si="193"/>
        <v>41905</v>
      </c>
      <c r="C272" s="351">
        <f t="shared" si="166"/>
        <v>39</v>
      </c>
      <c r="D272" s="352">
        <f t="shared" si="167"/>
        <v>41882</v>
      </c>
      <c r="E272" s="364" t="str">
        <f t="shared" si="180"/>
        <v/>
      </c>
      <c r="F272" s="6"/>
      <c r="G272" s="7" t="str">
        <f t="shared" si="168"/>
        <v/>
      </c>
      <c r="H272" s="8"/>
      <c r="I272" s="8">
        <f t="shared" si="164"/>
        <v>0</v>
      </c>
      <c r="J272" s="129">
        <f t="shared" si="200"/>
        <v>0</v>
      </c>
      <c r="K272" s="8"/>
      <c r="L272" s="8">
        <f t="shared" si="181"/>
        <v>0</v>
      </c>
      <c r="M272" s="129">
        <f t="shared" si="182"/>
        <v>0</v>
      </c>
      <c r="N272" s="129"/>
      <c r="O272" s="129">
        <f t="shared" si="175"/>
        <v>0</v>
      </c>
      <c r="P272" s="129"/>
      <c r="Q272" s="129">
        <f t="shared" si="183"/>
        <v>0</v>
      </c>
      <c r="R272" s="129">
        <f t="shared" si="184"/>
        <v>0</v>
      </c>
      <c r="S272" s="693">
        <f t="shared" si="185"/>
        <v>6</v>
      </c>
      <c r="T272" s="129">
        <f t="shared" si="165"/>
        <v>0</v>
      </c>
      <c r="U272" s="165">
        <f t="shared" si="186"/>
        <v>0</v>
      </c>
      <c r="V272" s="75"/>
      <c r="W272" s="131">
        <f t="shared" si="176"/>
        <v>4.1666666666666664E-2</v>
      </c>
      <c r="X272" s="126">
        <f t="shared" si="187"/>
        <v>0</v>
      </c>
      <c r="Y272" s="127">
        <f t="shared" si="169"/>
        <v>0.33333333333333331</v>
      </c>
      <c r="Z272" s="128">
        <f t="shared" si="170"/>
        <v>0</v>
      </c>
      <c r="AA272" s="76" t="str">
        <f t="shared" si="171"/>
        <v/>
      </c>
      <c r="AB272" s="216">
        <f t="shared" si="177"/>
        <v>0</v>
      </c>
      <c r="AC272" s="163" t="str">
        <f t="shared" si="172"/>
        <v/>
      </c>
      <c r="AD272" s="257">
        <f t="shared" si="194"/>
        <v>0</v>
      </c>
      <c r="AE272" s="138"/>
      <c r="AF272" s="138" t="str">
        <f t="shared" si="195"/>
        <v/>
      </c>
      <c r="AG272" s="77">
        <f t="shared" si="173"/>
        <v>0</v>
      </c>
      <c r="AH272" s="77">
        <f t="shared" si="174"/>
        <v>0</v>
      </c>
      <c r="AI272" s="77" t="str">
        <f t="shared" si="196"/>
        <v/>
      </c>
      <c r="AJ272" s="78">
        <f t="shared" si="178"/>
        <v>1</v>
      </c>
      <c r="AK272" s="139">
        <f>SUM($AC$6:AC272)</f>
        <v>0</v>
      </c>
      <c r="AL272" s="139">
        <f t="shared" ca="1" si="188"/>
        <v>0</v>
      </c>
      <c r="AM272" s="143">
        <f t="shared" si="197"/>
        <v>0</v>
      </c>
      <c r="AN272" s="143">
        <f t="shared" si="198"/>
        <v>0</v>
      </c>
      <c r="AO272" s="143">
        <f t="shared" si="199"/>
        <v>0</v>
      </c>
      <c r="AP272" s="142">
        <f t="shared" si="189"/>
        <v>30</v>
      </c>
      <c r="AQ272" s="142">
        <f t="shared" ca="1" si="190"/>
        <v>30</v>
      </c>
      <c r="AR272" s="154">
        <f t="shared" si="201"/>
        <v>0</v>
      </c>
      <c r="AS272" s="142">
        <f t="shared" si="191"/>
        <v>0</v>
      </c>
      <c r="AT272" t="b">
        <f>OR((F272&gt;0),(NOT(ISBLANK(H272))),SUM(H272:H$373),SUM(G272:G$373))</f>
        <v>0</v>
      </c>
      <c r="AU272" t="b">
        <f t="shared" ca="1" si="179"/>
        <v>0</v>
      </c>
    </row>
    <row r="273" spans="1:47">
      <c r="A273" s="349">
        <f t="shared" si="192"/>
        <v>41906</v>
      </c>
      <c r="B273" s="350">
        <f t="shared" si="193"/>
        <v>41906</v>
      </c>
      <c r="C273" s="351">
        <f t="shared" si="166"/>
        <v>39</v>
      </c>
      <c r="D273" s="352">
        <f t="shared" si="167"/>
        <v>41882</v>
      </c>
      <c r="E273" s="364" t="str">
        <f t="shared" si="180"/>
        <v/>
      </c>
      <c r="F273" s="6"/>
      <c r="G273" s="7" t="str">
        <f t="shared" si="168"/>
        <v/>
      </c>
      <c r="H273" s="8"/>
      <c r="I273" s="8">
        <f t="shared" si="164"/>
        <v>0</v>
      </c>
      <c r="J273" s="129">
        <f t="shared" si="200"/>
        <v>0</v>
      </c>
      <c r="K273" s="8"/>
      <c r="L273" s="8">
        <f t="shared" si="181"/>
        <v>0</v>
      </c>
      <c r="M273" s="129">
        <f t="shared" si="182"/>
        <v>0</v>
      </c>
      <c r="N273" s="129"/>
      <c r="O273" s="129">
        <f t="shared" si="175"/>
        <v>0</v>
      </c>
      <c r="P273" s="129"/>
      <c r="Q273" s="129">
        <f t="shared" si="183"/>
        <v>0</v>
      </c>
      <c r="R273" s="129">
        <f t="shared" si="184"/>
        <v>0</v>
      </c>
      <c r="S273" s="693">
        <f t="shared" si="185"/>
        <v>6</v>
      </c>
      <c r="T273" s="129">
        <f t="shared" si="165"/>
        <v>0</v>
      </c>
      <c r="U273" s="165">
        <f t="shared" si="186"/>
        <v>0</v>
      </c>
      <c r="V273" s="75"/>
      <c r="W273" s="131">
        <f t="shared" si="176"/>
        <v>4.1666666666666664E-2</v>
      </c>
      <c r="X273" s="126">
        <f t="shared" si="187"/>
        <v>0</v>
      </c>
      <c r="Y273" s="127">
        <f t="shared" si="169"/>
        <v>0.33333333333333331</v>
      </c>
      <c r="Z273" s="128">
        <f t="shared" si="170"/>
        <v>0</v>
      </c>
      <c r="AA273" s="76" t="str">
        <f t="shared" si="171"/>
        <v/>
      </c>
      <c r="AB273" s="216">
        <f t="shared" si="177"/>
        <v>0</v>
      </c>
      <c r="AC273" s="163" t="str">
        <f t="shared" si="172"/>
        <v/>
      </c>
      <c r="AD273" s="257">
        <f t="shared" si="194"/>
        <v>0</v>
      </c>
      <c r="AE273" s="138"/>
      <c r="AF273" s="138" t="str">
        <f t="shared" si="195"/>
        <v/>
      </c>
      <c r="AG273" s="77">
        <f t="shared" si="173"/>
        <v>0</v>
      </c>
      <c r="AH273" s="77">
        <f t="shared" si="174"/>
        <v>0</v>
      </c>
      <c r="AI273" s="77" t="str">
        <f t="shared" si="196"/>
        <v/>
      </c>
      <c r="AJ273" s="78">
        <f t="shared" si="178"/>
        <v>2</v>
      </c>
      <c r="AK273" s="139">
        <f>SUM($AC$6:AC273)</f>
        <v>0</v>
      </c>
      <c r="AL273" s="139">
        <f t="shared" ca="1" si="188"/>
        <v>0</v>
      </c>
      <c r="AM273" s="143">
        <f t="shared" si="197"/>
        <v>0</v>
      </c>
      <c r="AN273" s="143">
        <f t="shared" si="198"/>
        <v>0</v>
      </c>
      <c r="AO273" s="143">
        <f t="shared" si="199"/>
        <v>0</v>
      </c>
      <c r="AP273" s="142">
        <f t="shared" si="189"/>
        <v>30</v>
      </c>
      <c r="AQ273" s="142">
        <f t="shared" ca="1" si="190"/>
        <v>30</v>
      </c>
      <c r="AR273" s="154">
        <f t="shared" si="201"/>
        <v>0</v>
      </c>
      <c r="AS273" s="142">
        <f t="shared" si="191"/>
        <v>0</v>
      </c>
      <c r="AT273" t="b">
        <f>OR((F273&gt;0),(NOT(ISBLANK(H273))),SUM(H273:H$373),SUM(G273:G$373))</f>
        <v>0</v>
      </c>
      <c r="AU273" t="b">
        <f t="shared" ca="1" si="179"/>
        <v>0</v>
      </c>
    </row>
    <row r="274" spans="1:47">
      <c r="A274" s="349">
        <f t="shared" si="192"/>
        <v>41907</v>
      </c>
      <c r="B274" s="350">
        <f t="shared" si="193"/>
        <v>41907</v>
      </c>
      <c r="C274" s="351">
        <f t="shared" si="166"/>
        <v>39</v>
      </c>
      <c r="D274" s="352">
        <f t="shared" si="167"/>
        <v>41882</v>
      </c>
      <c r="E274" s="364" t="str">
        <f t="shared" si="180"/>
        <v/>
      </c>
      <c r="F274" s="6"/>
      <c r="G274" s="7" t="str">
        <f t="shared" si="168"/>
        <v/>
      </c>
      <c r="H274" s="8"/>
      <c r="I274" s="8">
        <f t="shared" ref="I274:I337" si="202">IF(H274&gt;0,H274+X274+W274+AB274,0)</f>
        <v>0</v>
      </c>
      <c r="J274" s="129">
        <f t="shared" si="200"/>
        <v>0</v>
      </c>
      <c r="K274" s="8"/>
      <c r="L274" s="8">
        <f t="shared" si="181"/>
        <v>0</v>
      </c>
      <c r="M274" s="129">
        <f t="shared" si="182"/>
        <v>0</v>
      </c>
      <c r="N274" s="129"/>
      <c r="O274" s="129">
        <f t="shared" si="175"/>
        <v>0</v>
      </c>
      <c r="P274" s="129"/>
      <c r="Q274" s="129">
        <f t="shared" si="183"/>
        <v>0</v>
      </c>
      <c r="R274" s="129">
        <f t="shared" si="184"/>
        <v>0</v>
      </c>
      <c r="S274" s="693">
        <f t="shared" si="185"/>
        <v>6</v>
      </c>
      <c r="T274" s="129">
        <f t="shared" ref="T274:T337" si="203">IF((J274-H274)&gt;=TIME(S274,0,1),W274,(IF(OR(R274&lt;TIME(S274,0,1),AND(K274&lt;&gt;0,(K274-J274)&gt;=W274)),0,IF(AND(K274&lt;&gt;0,(K274-J274)&lt;W274),W274-(K274-J274),W274))))</f>
        <v>0</v>
      </c>
      <c r="U274" s="165">
        <f t="shared" si="186"/>
        <v>0</v>
      </c>
      <c r="V274" s="75"/>
      <c r="W274" s="131">
        <f t="shared" si="176"/>
        <v>4.1666666666666664E-2</v>
      </c>
      <c r="X274" s="126">
        <f t="shared" si="187"/>
        <v>0</v>
      </c>
      <c r="Y274" s="127">
        <f t="shared" si="169"/>
        <v>0.33333333333333331</v>
      </c>
      <c r="Z274" s="128">
        <f t="shared" si="170"/>
        <v>0</v>
      </c>
      <c r="AA274" s="76" t="str">
        <f t="shared" si="171"/>
        <v/>
      </c>
      <c r="AB274" s="216">
        <f t="shared" si="177"/>
        <v>0</v>
      </c>
      <c r="AC274" s="163" t="str">
        <f t="shared" si="172"/>
        <v/>
      </c>
      <c r="AD274" s="257">
        <f t="shared" si="194"/>
        <v>0</v>
      </c>
      <c r="AE274" s="138"/>
      <c r="AF274" s="138" t="str">
        <f t="shared" si="195"/>
        <v/>
      </c>
      <c r="AG274" s="77">
        <f t="shared" si="173"/>
        <v>0</v>
      </c>
      <c r="AH274" s="77">
        <f t="shared" si="174"/>
        <v>0</v>
      </c>
      <c r="AI274" s="77" t="str">
        <f t="shared" si="196"/>
        <v/>
      </c>
      <c r="AJ274" s="78">
        <f t="shared" si="178"/>
        <v>3</v>
      </c>
      <c r="AK274" s="139">
        <f>SUM($AC$6:AC274)</f>
        <v>0</v>
      </c>
      <c r="AL274" s="139">
        <f t="shared" ca="1" si="188"/>
        <v>0</v>
      </c>
      <c r="AM274" s="143">
        <f t="shared" si="197"/>
        <v>0</v>
      </c>
      <c r="AN274" s="143">
        <f t="shared" si="198"/>
        <v>0</v>
      </c>
      <c r="AO274" s="143">
        <f t="shared" si="199"/>
        <v>0</v>
      </c>
      <c r="AP274" s="142">
        <f t="shared" si="189"/>
        <v>30</v>
      </c>
      <c r="AQ274" s="142">
        <f t="shared" ca="1" si="190"/>
        <v>30</v>
      </c>
      <c r="AR274" s="154">
        <f t="shared" si="201"/>
        <v>0</v>
      </c>
      <c r="AS274" s="142">
        <f t="shared" si="191"/>
        <v>0</v>
      </c>
      <c r="AT274" t="b">
        <f>OR((F274&gt;0),(NOT(ISBLANK(H274))),SUM(H274:H$373),SUM(G274:G$373))</f>
        <v>0</v>
      </c>
      <c r="AU274" t="b">
        <f t="shared" ca="1" si="179"/>
        <v>0</v>
      </c>
    </row>
    <row r="275" spans="1:47">
      <c r="A275" s="349">
        <f t="shared" si="192"/>
        <v>41908</v>
      </c>
      <c r="B275" s="350">
        <f t="shared" si="193"/>
        <v>41908</v>
      </c>
      <c r="C275" s="351">
        <f t="shared" si="166"/>
        <v>39</v>
      </c>
      <c r="D275" s="352">
        <f t="shared" si="167"/>
        <v>41882</v>
      </c>
      <c r="E275" s="364" t="str">
        <f t="shared" si="180"/>
        <v/>
      </c>
      <c r="F275" s="6"/>
      <c r="G275" s="7" t="str">
        <f t="shared" si="168"/>
        <v/>
      </c>
      <c r="H275" s="8"/>
      <c r="I275" s="8">
        <f t="shared" si="202"/>
        <v>0</v>
      </c>
      <c r="J275" s="129">
        <f t="shared" si="200"/>
        <v>0</v>
      </c>
      <c r="K275" s="8"/>
      <c r="L275" s="8">
        <f t="shared" si="181"/>
        <v>0</v>
      </c>
      <c r="M275" s="129">
        <f t="shared" si="182"/>
        <v>0</v>
      </c>
      <c r="N275" s="129"/>
      <c r="O275" s="129">
        <f t="shared" si="175"/>
        <v>0</v>
      </c>
      <c r="P275" s="129"/>
      <c r="Q275" s="129">
        <f t="shared" si="183"/>
        <v>0</v>
      </c>
      <c r="R275" s="129">
        <f t="shared" si="184"/>
        <v>0</v>
      </c>
      <c r="S275" s="693">
        <f t="shared" si="185"/>
        <v>6</v>
      </c>
      <c r="T275" s="129">
        <f t="shared" si="203"/>
        <v>0</v>
      </c>
      <c r="U275" s="165">
        <f t="shared" si="186"/>
        <v>0</v>
      </c>
      <c r="V275" s="75"/>
      <c r="W275" s="131">
        <f t="shared" si="176"/>
        <v>4.1666666666666664E-2</v>
      </c>
      <c r="X275" s="126">
        <f t="shared" si="187"/>
        <v>0</v>
      </c>
      <c r="Y275" s="127">
        <f t="shared" si="169"/>
        <v>0.33333333333333331</v>
      </c>
      <c r="Z275" s="128">
        <f t="shared" si="170"/>
        <v>0</v>
      </c>
      <c r="AA275" s="76" t="str">
        <f t="shared" si="171"/>
        <v/>
      </c>
      <c r="AB275" s="216">
        <f t="shared" si="177"/>
        <v>0</v>
      </c>
      <c r="AC275" s="163" t="str">
        <f t="shared" si="172"/>
        <v/>
      </c>
      <c r="AD275" s="257">
        <f t="shared" si="194"/>
        <v>0</v>
      </c>
      <c r="AE275" s="138"/>
      <c r="AF275" s="138" t="str">
        <f t="shared" si="195"/>
        <v/>
      </c>
      <c r="AG275" s="77">
        <f t="shared" si="173"/>
        <v>0</v>
      </c>
      <c r="AH275" s="77">
        <f t="shared" si="174"/>
        <v>0</v>
      </c>
      <c r="AI275" s="77" t="str">
        <f t="shared" si="196"/>
        <v/>
      </c>
      <c r="AJ275" s="78">
        <f t="shared" si="178"/>
        <v>4</v>
      </c>
      <c r="AK275" s="139">
        <f>SUM($AC$6:AC275)</f>
        <v>0</v>
      </c>
      <c r="AL275" s="139">
        <f t="shared" ca="1" si="188"/>
        <v>0</v>
      </c>
      <c r="AM275" s="143">
        <f t="shared" si="197"/>
        <v>0</v>
      </c>
      <c r="AN275" s="143">
        <f t="shared" si="198"/>
        <v>0</v>
      </c>
      <c r="AO275" s="143">
        <f t="shared" si="199"/>
        <v>0</v>
      </c>
      <c r="AP275" s="142">
        <f t="shared" si="189"/>
        <v>30</v>
      </c>
      <c r="AQ275" s="142">
        <f t="shared" ca="1" si="190"/>
        <v>30</v>
      </c>
      <c r="AR275" s="154">
        <f t="shared" si="201"/>
        <v>0</v>
      </c>
      <c r="AS275" s="142">
        <f t="shared" si="191"/>
        <v>0</v>
      </c>
      <c r="AT275" t="b">
        <f>OR((F275&gt;0),(NOT(ISBLANK(H275))),SUM(H275:H$373),SUM(G275:G$373))</f>
        <v>0</v>
      </c>
      <c r="AU275" t="b">
        <f t="shared" ca="1" si="179"/>
        <v>0</v>
      </c>
    </row>
    <row r="276" spans="1:47">
      <c r="A276" s="349">
        <f t="shared" si="192"/>
        <v>41909</v>
      </c>
      <c r="B276" s="350">
        <f t="shared" si="193"/>
        <v>41909</v>
      </c>
      <c r="C276" s="351">
        <f t="shared" ref="C276:C339" si="204">IF(A276="","",NumberOfWeek(A276))</f>
        <v>39</v>
      </c>
      <c r="D276" s="352">
        <f t="shared" ref="D276:D339" si="205">IF(A276="","",DATE(YEAR(A276),MONTH(A276),1))</f>
        <v>41882</v>
      </c>
      <c r="E276" s="364" t="str">
        <f t="shared" si="180"/>
        <v/>
      </c>
      <c r="F276" s="6"/>
      <c r="G276" s="7" t="str">
        <f t="shared" ref="G276:G339" si="206">IF(ISBLANK(F276),IF(ISBLANK(H276),"",0),CODE(UPPER(F276)))</f>
        <v/>
      </c>
      <c r="H276" s="8"/>
      <c r="I276" s="8">
        <f t="shared" si="202"/>
        <v>0</v>
      </c>
      <c r="J276" s="129">
        <f t="shared" si="200"/>
        <v>0</v>
      </c>
      <c r="K276" s="8"/>
      <c r="L276" s="8">
        <f t="shared" si="181"/>
        <v>0</v>
      </c>
      <c r="M276" s="129">
        <f t="shared" si="182"/>
        <v>0</v>
      </c>
      <c r="N276" s="129"/>
      <c r="O276" s="129">
        <f t="shared" si="175"/>
        <v>0</v>
      </c>
      <c r="P276" s="129"/>
      <c r="Q276" s="129">
        <f t="shared" si="183"/>
        <v>0</v>
      </c>
      <c r="R276" s="129">
        <f t="shared" si="184"/>
        <v>0</v>
      </c>
      <c r="S276" s="693">
        <f t="shared" si="185"/>
        <v>6</v>
      </c>
      <c r="T276" s="129">
        <f t="shared" si="203"/>
        <v>0</v>
      </c>
      <c r="U276" s="165">
        <f t="shared" si="186"/>
        <v>0</v>
      </c>
      <c r="V276" s="75"/>
      <c r="W276" s="131">
        <f t="shared" si="176"/>
        <v>4.1666666666666664E-2</v>
      </c>
      <c r="X276" s="126">
        <f t="shared" si="187"/>
        <v>0</v>
      </c>
      <c r="Y276" s="127">
        <f t="shared" ref="Y276:Y339" si="207">IF(AND(AJ276&gt;0,AJ276&lt;Feiertag),INDEX(Arbeitszeit,AJ276),"")</f>
        <v>0.33333333333333331</v>
      </c>
      <c r="Z276" s="128">
        <f t="shared" ref="Z276:Z339" si="208">U276-X276</f>
        <v>0</v>
      </c>
      <c r="AA276" s="76" t="str">
        <f t="shared" ref="AA276:AA339" si="209">IF((U276-X276)&lt;0,"*","")</f>
        <v/>
      </c>
      <c r="AB276" s="216">
        <f t="shared" si="177"/>
        <v>0</v>
      </c>
      <c r="AC276" s="163" t="str">
        <f t="shared" ref="AC276:AC339" si="210">IF((R276-T276)&gt;XWorkTimeMax,(R276-T276-XWorkTimeMax),"")</f>
        <v/>
      </c>
      <c r="AD276" s="257">
        <f t="shared" si="194"/>
        <v>0</v>
      </c>
      <c r="AE276" s="138"/>
      <c r="AF276" s="138" t="str">
        <f t="shared" si="195"/>
        <v/>
      </c>
      <c r="AG276" s="77">
        <f t="shared" si="173"/>
        <v>0</v>
      </c>
      <c r="AH276" s="77">
        <f t="shared" si="174"/>
        <v>0</v>
      </c>
      <c r="AI276" s="77" t="str">
        <f t="shared" si="196"/>
        <v/>
      </c>
      <c r="AJ276" s="78">
        <f t="shared" si="178"/>
        <v>5</v>
      </c>
      <c r="AK276" s="139">
        <f>SUM($AC$6:AC276)</f>
        <v>0</v>
      </c>
      <c r="AL276" s="139">
        <f t="shared" ca="1" si="188"/>
        <v>0</v>
      </c>
      <c r="AM276" s="143">
        <f t="shared" si="197"/>
        <v>0</v>
      </c>
      <c r="AN276" s="143">
        <f t="shared" si="198"/>
        <v>0</v>
      </c>
      <c r="AO276" s="143">
        <f t="shared" si="199"/>
        <v>0</v>
      </c>
      <c r="AP276" s="142">
        <f t="shared" si="189"/>
        <v>30</v>
      </c>
      <c r="AQ276" s="142">
        <f t="shared" ca="1" si="190"/>
        <v>30</v>
      </c>
      <c r="AR276" s="154">
        <f t="shared" si="201"/>
        <v>0</v>
      </c>
      <c r="AS276" s="142">
        <f t="shared" si="191"/>
        <v>0</v>
      </c>
      <c r="AT276" t="b">
        <f>OR((F276&gt;0),(NOT(ISBLANK(H276))),SUM(H276:H$373),SUM(G276:G$373))</f>
        <v>0</v>
      </c>
      <c r="AU276" t="b">
        <f t="shared" ca="1" si="179"/>
        <v>0</v>
      </c>
    </row>
    <row r="277" spans="1:47">
      <c r="A277" s="349">
        <f t="shared" si="192"/>
        <v>41910</v>
      </c>
      <c r="B277" s="350">
        <f t="shared" si="193"/>
        <v>41910</v>
      </c>
      <c r="C277" s="351">
        <f t="shared" si="204"/>
        <v>39</v>
      </c>
      <c r="D277" s="352">
        <f t="shared" si="205"/>
        <v>41882</v>
      </c>
      <c r="E277" s="364" t="str">
        <f t="shared" si="180"/>
        <v/>
      </c>
      <c r="F277" s="6"/>
      <c r="G277" s="7" t="str">
        <f t="shared" si="206"/>
        <v/>
      </c>
      <c r="H277" s="8"/>
      <c r="I277" s="8">
        <f t="shared" si="202"/>
        <v>0</v>
      </c>
      <c r="J277" s="129">
        <f t="shared" si="200"/>
        <v>0</v>
      </c>
      <c r="K277" s="8"/>
      <c r="L277" s="8">
        <f t="shared" si="181"/>
        <v>0</v>
      </c>
      <c r="M277" s="129">
        <f t="shared" si="182"/>
        <v>0</v>
      </c>
      <c r="N277" s="129"/>
      <c r="O277" s="129">
        <f t="shared" si="175"/>
        <v>0</v>
      </c>
      <c r="P277" s="129"/>
      <c r="Q277" s="129">
        <f t="shared" si="183"/>
        <v>0</v>
      </c>
      <c r="R277" s="129">
        <f t="shared" si="184"/>
        <v>0</v>
      </c>
      <c r="S277" s="693">
        <f t="shared" si="185"/>
        <v>6</v>
      </c>
      <c r="T277" s="129">
        <f t="shared" si="203"/>
        <v>0</v>
      </c>
      <c r="U277" s="165">
        <f t="shared" si="186"/>
        <v>0</v>
      </c>
      <c r="V277" s="75"/>
      <c r="W277" s="131">
        <f t="shared" si="176"/>
        <v>4.1666666666666664E-2</v>
      </c>
      <c r="X277" s="126">
        <f t="shared" si="187"/>
        <v>0</v>
      </c>
      <c r="Y277" s="127">
        <f t="shared" si="207"/>
        <v>0</v>
      </c>
      <c r="Z277" s="128">
        <f t="shared" si="208"/>
        <v>0</v>
      </c>
      <c r="AA277" s="76" t="str">
        <f t="shared" si="209"/>
        <v/>
      </c>
      <c r="AB277" s="216">
        <f t="shared" si="177"/>
        <v>0</v>
      </c>
      <c r="AC277" s="163" t="str">
        <f t="shared" si="210"/>
        <v/>
      </c>
      <c r="AD277" s="257">
        <f t="shared" si="194"/>
        <v>0</v>
      </c>
      <c r="AE277" s="138"/>
      <c r="AF277" s="138" t="str">
        <f t="shared" si="195"/>
        <v/>
      </c>
      <c r="AG277" s="77">
        <f t="shared" si="173"/>
        <v>0</v>
      </c>
      <c r="AH277" s="77">
        <f t="shared" si="174"/>
        <v>0</v>
      </c>
      <c r="AI277" s="77" t="str">
        <f t="shared" si="196"/>
        <v/>
      </c>
      <c r="AJ277" s="78">
        <f t="shared" si="178"/>
        <v>6</v>
      </c>
      <c r="AK277" s="139">
        <f>SUM($AC$6:AC277)</f>
        <v>0</v>
      </c>
      <c r="AL277" s="139">
        <f t="shared" ca="1" si="188"/>
        <v>0</v>
      </c>
      <c r="AM277" s="143">
        <f t="shared" si="197"/>
        <v>0</v>
      </c>
      <c r="AN277" s="143">
        <f t="shared" si="198"/>
        <v>0</v>
      </c>
      <c r="AO277" s="143">
        <f t="shared" si="199"/>
        <v>0</v>
      </c>
      <c r="AP277" s="142">
        <f t="shared" si="189"/>
        <v>30</v>
      </c>
      <c r="AQ277" s="142">
        <f t="shared" ca="1" si="190"/>
        <v>30</v>
      </c>
      <c r="AR277" s="154">
        <f t="shared" si="201"/>
        <v>0</v>
      </c>
      <c r="AS277" s="142">
        <f t="shared" si="191"/>
        <v>7</v>
      </c>
      <c r="AT277" t="b">
        <f>OR((F277&gt;0),(NOT(ISBLANK(H277))),SUM(H277:H$373),SUM(G277:G$373))</f>
        <v>0</v>
      </c>
      <c r="AU277" t="b">
        <f t="shared" ca="1" si="179"/>
        <v>1</v>
      </c>
    </row>
    <row r="278" spans="1:47">
      <c r="A278" s="349">
        <f t="shared" si="192"/>
        <v>41911</v>
      </c>
      <c r="B278" s="350">
        <f t="shared" si="193"/>
        <v>41911</v>
      </c>
      <c r="C278" s="351">
        <f t="shared" si="204"/>
        <v>39</v>
      </c>
      <c r="D278" s="352">
        <f t="shared" si="205"/>
        <v>41882</v>
      </c>
      <c r="E278" s="364" t="str">
        <f t="shared" si="180"/>
        <v/>
      </c>
      <c r="F278" s="6"/>
      <c r="G278" s="7" t="str">
        <f t="shared" si="206"/>
        <v/>
      </c>
      <c r="H278" s="8"/>
      <c r="I278" s="8">
        <f t="shared" si="202"/>
        <v>0</v>
      </c>
      <c r="J278" s="129">
        <f t="shared" si="200"/>
        <v>0</v>
      </c>
      <c r="K278" s="8"/>
      <c r="L278" s="8">
        <f t="shared" si="181"/>
        <v>0</v>
      </c>
      <c r="M278" s="129">
        <f t="shared" si="182"/>
        <v>0</v>
      </c>
      <c r="N278" s="129"/>
      <c r="O278" s="129">
        <f t="shared" si="175"/>
        <v>0</v>
      </c>
      <c r="P278" s="129"/>
      <c r="Q278" s="129">
        <f t="shared" si="183"/>
        <v>0</v>
      </c>
      <c r="R278" s="129">
        <f t="shared" si="184"/>
        <v>0</v>
      </c>
      <c r="S278" s="693">
        <f t="shared" si="185"/>
        <v>6</v>
      </c>
      <c r="T278" s="129">
        <f t="shared" si="203"/>
        <v>0</v>
      </c>
      <c r="U278" s="165">
        <f t="shared" si="186"/>
        <v>0</v>
      </c>
      <c r="V278" s="75"/>
      <c r="W278" s="131">
        <f t="shared" si="176"/>
        <v>4.1666666666666664E-2</v>
      </c>
      <c r="X278" s="126">
        <f t="shared" si="187"/>
        <v>0</v>
      </c>
      <c r="Y278" s="127">
        <f t="shared" si="207"/>
        <v>0</v>
      </c>
      <c r="Z278" s="128">
        <f t="shared" si="208"/>
        <v>0</v>
      </c>
      <c r="AA278" s="76" t="str">
        <f t="shared" si="209"/>
        <v/>
      </c>
      <c r="AB278" s="216">
        <f t="shared" si="177"/>
        <v>0</v>
      </c>
      <c r="AC278" s="163" t="str">
        <f t="shared" si="210"/>
        <v/>
      </c>
      <c r="AD278" s="257">
        <f t="shared" si="194"/>
        <v>0</v>
      </c>
      <c r="AE278" s="138"/>
      <c r="AF278" s="138" t="str">
        <f t="shared" si="195"/>
        <v/>
      </c>
      <c r="AG278" s="77">
        <f t="shared" si="173"/>
        <v>0</v>
      </c>
      <c r="AH278" s="77">
        <f t="shared" si="174"/>
        <v>0</v>
      </c>
      <c r="AI278" s="77" t="str">
        <f t="shared" si="196"/>
        <v/>
      </c>
      <c r="AJ278" s="78">
        <f t="shared" si="178"/>
        <v>7</v>
      </c>
      <c r="AK278" s="139">
        <f>SUM($AC$6:AC278)</f>
        <v>0</v>
      </c>
      <c r="AL278" s="139">
        <f t="shared" ca="1" si="188"/>
        <v>0</v>
      </c>
      <c r="AM278" s="143">
        <f t="shared" si="197"/>
        <v>0</v>
      </c>
      <c r="AN278" s="143">
        <f t="shared" si="198"/>
        <v>0</v>
      </c>
      <c r="AO278" s="143">
        <f t="shared" si="199"/>
        <v>0</v>
      </c>
      <c r="AP278" s="142">
        <f t="shared" si="189"/>
        <v>30</v>
      </c>
      <c r="AQ278" s="142">
        <f t="shared" ca="1" si="190"/>
        <v>30</v>
      </c>
      <c r="AR278" s="154">
        <f t="shared" si="201"/>
        <v>0</v>
      </c>
      <c r="AS278" s="142">
        <f t="shared" si="191"/>
        <v>7</v>
      </c>
      <c r="AT278" t="b">
        <f>OR((F278&gt;0),(NOT(ISBLANK(H278))),SUM(H278:H$373),SUM(G278:G$373))</f>
        <v>0</v>
      </c>
      <c r="AU278" t="b">
        <f t="shared" ca="1" si="179"/>
        <v>1</v>
      </c>
    </row>
    <row r="279" spans="1:47">
      <c r="A279" s="349">
        <f t="shared" si="192"/>
        <v>41912</v>
      </c>
      <c r="B279" s="350">
        <f t="shared" si="193"/>
        <v>41912</v>
      </c>
      <c r="C279" s="351">
        <f t="shared" si="204"/>
        <v>40</v>
      </c>
      <c r="D279" s="352">
        <f t="shared" si="205"/>
        <v>41912</v>
      </c>
      <c r="E279" s="364" t="str">
        <f t="shared" si="180"/>
        <v/>
      </c>
      <c r="F279" s="6"/>
      <c r="G279" s="7" t="str">
        <f t="shared" si="206"/>
        <v/>
      </c>
      <c r="H279" s="8"/>
      <c r="I279" s="8">
        <f t="shared" si="202"/>
        <v>0</v>
      </c>
      <c r="J279" s="129">
        <f t="shared" si="200"/>
        <v>0</v>
      </c>
      <c r="K279" s="8"/>
      <c r="L279" s="8">
        <f t="shared" si="181"/>
        <v>0</v>
      </c>
      <c r="M279" s="129">
        <f t="shared" si="182"/>
        <v>0</v>
      </c>
      <c r="N279" s="129"/>
      <c r="O279" s="129">
        <f t="shared" si="175"/>
        <v>0</v>
      </c>
      <c r="P279" s="129"/>
      <c r="Q279" s="129">
        <f t="shared" si="183"/>
        <v>0</v>
      </c>
      <c r="R279" s="129">
        <f t="shared" si="184"/>
        <v>0</v>
      </c>
      <c r="S279" s="693">
        <f t="shared" si="185"/>
        <v>6</v>
      </c>
      <c r="T279" s="129">
        <f t="shared" si="203"/>
        <v>0</v>
      </c>
      <c r="U279" s="165">
        <f t="shared" si="186"/>
        <v>0</v>
      </c>
      <c r="V279" s="75"/>
      <c r="W279" s="131">
        <f t="shared" si="176"/>
        <v>4.1666666666666664E-2</v>
      </c>
      <c r="X279" s="126">
        <f t="shared" si="187"/>
        <v>0</v>
      </c>
      <c r="Y279" s="127">
        <f t="shared" si="207"/>
        <v>0.33333333333333331</v>
      </c>
      <c r="Z279" s="128">
        <f t="shared" si="208"/>
        <v>0</v>
      </c>
      <c r="AA279" s="76" t="str">
        <f t="shared" si="209"/>
        <v/>
      </c>
      <c r="AB279" s="216">
        <f t="shared" si="177"/>
        <v>0</v>
      </c>
      <c r="AC279" s="163" t="str">
        <f t="shared" si="210"/>
        <v/>
      </c>
      <c r="AD279" s="257">
        <f t="shared" si="194"/>
        <v>0</v>
      </c>
      <c r="AE279" s="138"/>
      <c r="AF279" s="138" t="str">
        <f t="shared" si="195"/>
        <v/>
      </c>
      <c r="AG279" s="77">
        <f t="shared" ref="AG279:AG334" si="211">IF(ISNUMBER(U279 ), IF( U279 &gt;= X279, X279, U279 ),"")</f>
        <v>0</v>
      </c>
      <c r="AH279" s="77">
        <f t="shared" ref="AH279:AH334" si="212">IF( ISNUMBER( U279 ), IF( U279 &gt;= X279, U279 - X279, "" ), "" )</f>
        <v>0</v>
      </c>
      <c r="AI279" s="77" t="str">
        <f t="shared" si="196"/>
        <v/>
      </c>
      <c r="AJ279" s="78">
        <f t="shared" si="178"/>
        <v>1</v>
      </c>
      <c r="AK279" s="139">
        <f>SUM($AC$6:AC279)</f>
        <v>0</v>
      </c>
      <c r="AL279" s="139">
        <f t="shared" ca="1" si="188"/>
        <v>0</v>
      </c>
      <c r="AM279" s="143">
        <f t="shared" si="197"/>
        <v>0</v>
      </c>
      <c r="AN279" s="143">
        <f t="shared" si="198"/>
        <v>0</v>
      </c>
      <c r="AO279" s="143">
        <f t="shared" si="199"/>
        <v>0</v>
      </c>
      <c r="AP279" s="142">
        <f t="shared" si="189"/>
        <v>30</v>
      </c>
      <c r="AQ279" s="142">
        <f t="shared" ca="1" si="190"/>
        <v>30</v>
      </c>
      <c r="AR279" s="154">
        <f t="shared" si="201"/>
        <v>0</v>
      </c>
      <c r="AS279" s="142">
        <f t="shared" si="191"/>
        <v>0</v>
      </c>
      <c r="AT279" t="b">
        <f>OR((F279&gt;0),(NOT(ISBLANK(H279))),SUM(H279:H$373),SUM(G279:G$373))</f>
        <v>0</v>
      </c>
      <c r="AU279" t="b">
        <f t="shared" ca="1" si="179"/>
        <v>0</v>
      </c>
    </row>
    <row r="280" spans="1:47">
      <c r="A280" s="349">
        <f t="shared" si="192"/>
        <v>41913</v>
      </c>
      <c r="B280" s="350">
        <f t="shared" si="193"/>
        <v>41913</v>
      </c>
      <c r="C280" s="351">
        <f t="shared" si="204"/>
        <v>40</v>
      </c>
      <c r="D280" s="352">
        <f t="shared" si="205"/>
        <v>41912</v>
      </c>
      <c r="E280" s="364" t="str">
        <f t="shared" si="180"/>
        <v/>
      </c>
      <c r="F280" s="6"/>
      <c r="G280" s="7" t="str">
        <f t="shared" si="206"/>
        <v/>
      </c>
      <c r="H280" s="8"/>
      <c r="I280" s="8">
        <f t="shared" si="202"/>
        <v>0</v>
      </c>
      <c r="J280" s="129">
        <f t="shared" si="200"/>
        <v>0</v>
      </c>
      <c r="K280" s="8"/>
      <c r="L280" s="8">
        <f t="shared" si="181"/>
        <v>0</v>
      </c>
      <c r="M280" s="129">
        <f t="shared" si="182"/>
        <v>0</v>
      </c>
      <c r="N280" s="129"/>
      <c r="O280" s="129">
        <f t="shared" si="175"/>
        <v>0</v>
      </c>
      <c r="P280" s="129"/>
      <c r="Q280" s="129">
        <f t="shared" si="183"/>
        <v>0</v>
      </c>
      <c r="R280" s="129">
        <f t="shared" si="184"/>
        <v>0</v>
      </c>
      <c r="S280" s="693">
        <f t="shared" si="185"/>
        <v>6</v>
      </c>
      <c r="T280" s="129">
        <f t="shared" si="203"/>
        <v>0</v>
      </c>
      <c r="U280" s="165">
        <f t="shared" si="186"/>
        <v>0</v>
      </c>
      <c r="V280" s="75"/>
      <c r="W280" s="131">
        <f t="shared" si="176"/>
        <v>4.1666666666666664E-2</v>
      </c>
      <c r="X280" s="126">
        <f t="shared" si="187"/>
        <v>0</v>
      </c>
      <c r="Y280" s="127">
        <f t="shared" si="207"/>
        <v>0.33333333333333331</v>
      </c>
      <c r="Z280" s="128">
        <f t="shared" si="208"/>
        <v>0</v>
      </c>
      <c r="AA280" s="76" t="str">
        <f t="shared" si="209"/>
        <v/>
      </c>
      <c r="AB280" s="216">
        <f t="shared" si="177"/>
        <v>0</v>
      </c>
      <c r="AC280" s="163" t="str">
        <f t="shared" si="210"/>
        <v/>
      </c>
      <c r="AD280" s="257">
        <f t="shared" si="194"/>
        <v>0</v>
      </c>
      <c r="AE280" s="138"/>
      <c r="AF280" s="138" t="str">
        <f t="shared" si="195"/>
        <v/>
      </c>
      <c r="AG280" s="77">
        <f t="shared" si="211"/>
        <v>0</v>
      </c>
      <c r="AH280" s="77">
        <f t="shared" si="212"/>
        <v>0</v>
      </c>
      <c r="AI280" s="77" t="str">
        <f t="shared" si="196"/>
        <v/>
      </c>
      <c r="AJ280" s="78">
        <f t="shared" si="178"/>
        <v>2</v>
      </c>
      <c r="AK280" s="139">
        <f>SUM($AC$6:AC280)</f>
        <v>0</v>
      </c>
      <c r="AL280" s="139">
        <f t="shared" ca="1" si="188"/>
        <v>0</v>
      </c>
      <c r="AM280" s="143">
        <f t="shared" si="197"/>
        <v>0</v>
      </c>
      <c r="AN280" s="143">
        <f t="shared" si="198"/>
        <v>0</v>
      </c>
      <c r="AO280" s="143">
        <f t="shared" si="199"/>
        <v>0</v>
      </c>
      <c r="AP280" s="142">
        <f t="shared" si="189"/>
        <v>30</v>
      </c>
      <c r="AQ280" s="142">
        <f t="shared" ca="1" si="190"/>
        <v>30</v>
      </c>
      <c r="AR280" s="154">
        <f t="shared" si="201"/>
        <v>0</v>
      </c>
      <c r="AS280" s="142">
        <f t="shared" si="191"/>
        <v>0</v>
      </c>
      <c r="AT280" t="b">
        <f>OR((F280&gt;0),(NOT(ISBLANK(H280))),SUM(H280:H$373),SUM(G280:G$373))</f>
        <v>0</v>
      </c>
      <c r="AU280" t="b">
        <f t="shared" ca="1" si="179"/>
        <v>0</v>
      </c>
    </row>
    <row r="281" spans="1:47">
      <c r="A281" s="349">
        <f t="shared" si="192"/>
        <v>41914</v>
      </c>
      <c r="B281" s="350">
        <f t="shared" si="193"/>
        <v>41914</v>
      </c>
      <c r="C281" s="351">
        <f t="shared" si="204"/>
        <v>40</v>
      </c>
      <c r="D281" s="352">
        <f t="shared" si="205"/>
        <v>41912</v>
      </c>
      <c r="E281" s="364" t="str">
        <f t="shared" si="180"/>
        <v>Tag der Deutschen Einheit</v>
      </c>
      <c r="F281" s="6"/>
      <c r="G281" s="7" t="str">
        <f t="shared" si="206"/>
        <v/>
      </c>
      <c r="H281" s="8"/>
      <c r="I281" s="8">
        <f t="shared" si="202"/>
        <v>0</v>
      </c>
      <c r="J281" s="129">
        <f t="shared" si="200"/>
        <v>0</v>
      </c>
      <c r="K281" s="8"/>
      <c r="L281" s="8">
        <f t="shared" si="181"/>
        <v>0</v>
      </c>
      <c r="M281" s="129">
        <f t="shared" si="182"/>
        <v>0</v>
      </c>
      <c r="N281" s="129"/>
      <c r="O281" s="129">
        <f t="shared" si="175"/>
        <v>0</v>
      </c>
      <c r="P281" s="129"/>
      <c r="Q281" s="129">
        <f t="shared" si="183"/>
        <v>0</v>
      </c>
      <c r="R281" s="129">
        <f t="shared" si="184"/>
        <v>0</v>
      </c>
      <c r="S281" s="693">
        <f t="shared" si="185"/>
        <v>6</v>
      </c>
      <c r="T281" s="129">
        <f t="shared" si="203"/>
        <v>0</v>
      </c>
      <c r="U281" s="165">
        <f t="shared" si="186"/>
        <v>0</v>
      </c>
      <c r="V281" s="75"/>
      <c r="W281" s="131">
        <f t="shared" si="176"/>
        <v>4.1666666666666664E-2</v>
      </c>
      <c r="X281" s="126">
        <f t="shared" si="187"/>
        <v>0</v>
      </c>
      <c r="Y281" s="127" t="str">
        <f t="shared" si="207"/>
        <v/>
      </c>
      <c r="Z281" s="128">
        <f t="shared" si="208"/>
        <v>0</v>
      </c>
      <c r="AA281" s="76" t="str">
        <f t="shared" si="209"/>
        <v/>
      </c>
      <c r="AB281" s="216">
        <f t="shared" si="177"/>
        <v>0</v>
      </c>
      <c r="AC281" s="163" t="str">
        <f t="shared" si="210"/>
        <v/>
      </c>
      <c r="AD281" s="257">
        <f t="shared" si="194"/>
        <v>0</v>
      </c>
      <c r="AE281" s="138"/>
      <c r="AF281" s="138" t="str">
        <f t="shared" si="195"/>
        <v/>
      </c>
      <c r="AG281" s="77">
        <f t="shared" si="211"/>
        <v>0</v>
      </c>
      <c r="AH281" s="77">
        <f t="shared" si="212"/>
        <v>0</v>
      </c>
      <c r="AI281" s="77" t="str">
        <f t="shared" si="196"/>
        <v/>
      </c>
      <c r="AJ281" s="78">
        <f t="shared" si="178"/>
        <v>8</v>
      </c>
      <c r="AK281" s="139">
        <f>SUM($AC$6:AC281)</f>
        <v>0</v>
      </c>
      <c r="AL281" s="139">
        <f t="shared" ca="1" si="188"/>
        <v>0</v>
      </c>
      <c r="AM281" s="143">
        <f t="shared" si="197"/>
        <v>0</v>
      </c>
      <c r="AN281" s="143">
        <f t="shared" si="198"/>
        <v>0</v>
      </c>
      <c r="AO281" s="143">
        <f t="shared" si="199"/>
        <v>0</v>
      </c>
      <c r="AP281" s="142">
        <f t="shared" si="189"/>
        <v>30</v>
      </c>
      <c r="AQ281" s="142">
        <f t="shared" ca="1" si="190"/>
        <v>30</v>
      </c>
      <c r="AR281" s="154">
        <f t="shared" si="201"/>
        <v>0</v>
      </c>
      <c r="AS281" s="142">
        <f t="shared" si="191"/>
        <v>8</v>
      </c>
      <c r="AT281" t="b">
        <f>OR((F281&gt;0),(NOT(ISBLANK(H281))),SUM(H281:H$373),SUM(G281:G$373))</f>
        <v>0</v>
      </c>
      <c r="AU281" t="b">
        <f t="shared" ca="1" si="179"/>
        <v>1</v>
      </c>
    </row>
    <row r="282" spans="1:47">
      <c r="A282" s="349">
        <f t="shared" si="192"/>
        <v>41915</v>
      </c>
      <c r="B282" s="350">
        <f t="shared" si="193"/>
        <v>41915</v>
      </c>
      <c r="C282" s="351">
        <f t="shared" si="204"/>
        <v>40</v>
      </c>
      <c r="D282" s="352">
        <f t="shared" si="205"/>
        <v>41912</v>
      </c>
      <c r="E282" s="364" t="str">
        <f t="shared" si="180"/>
        <v/>
      </c>
      <c r="F282" s="6"/>
      <c r="G282" s="7" t="str">
        <f t="shared" si="206"/>
        <v/>
      </c>
      <c r="H282" s="8"/>
      <c r="I282" s="8">
        <f t="shared" si="202"/>
        <v>0</v>
      </c>
      <c r="J282" s="129">
        <f t="shared" si="200"/>
        <v>0</v>
      </c>
      <c r="K282" s="8"/>
      <c r="L282" s="8">
        <f t="shared" si="181"/>
        <v>0</v>
      </c>
      <c r="M282" s="129">
        <f t="shared" si="182"/>
        <v>0</v>
      </c>
      <c r="N282" s="129"/>
      <c r="O282" s="129">
        <f t="shared" si="175"/>
        <v>0</v>
      </c>
      <c r="P282" s="129"/>
      <c r="Q282" s="129">
        <f t="shared" si="183"/>
        <v>0</v>
      </c>
      <c r="R282" s="129">
        <f t="shared" si="184"/>
        <v>0</v>
      </c>
      <c r="S282" s="693">
        <f t="shared" si="185"/>
        <v>6</v>
      </c>
      <c r="T282" s="129">
        <f t="shared" si="203"/>
        <v>0</v>
      </c>
      <c r="U282" s="165">
        <f t="shared" si="186"/>
        <v>0</v>
      </c>
      <c r="V282" s="75"/>
      <c r="W282" s="131">
        <f t="shared" si="176"/>
        <v>4.1666666666666664E-2</v>
      </c>
      <c r="X282" s="126">
        <f t="shared" si="187"/>
        <v>0</v>
      </c>
      <c r="Y282" s="127">
        <f t="shared" si="207"/>
        <v>0.33333333333333331</v>
      </c>
      <c r="Z282" s="128">
        <f t="shared" si="208"/>
        <v>0</v>
      </c>
      <c r="AA282" s="76" t="str">
        <f t="shared" si="209"/>
        <v/>
      </c>
      <c r="AB282" s="216">
        <f t="shared" si="177"/>
        <v>0</v>
      </c>
      <c r="AC282" s="163" t="str">
        <f t="shared" si="210"/>
        <v/>
      </c>
      <c r="AD282" s="257">
        <f t="shared" si="194"/>
        <v>0</v>
      </c>
      <c r="AE282" s="138"/>
      <c r="AF282" s="138" t="str">
        <f t="shared" si="195"/>
        <v/>
      </c>
      <c r="AG282" s="77">
        <f t="shared" si="211"/>
        <v>0</v>
      </c>
      <c r="AH282" s="77">
        <f t="shared" si="212"/>
        <v>0</v>
      </c>
      <c r="AI282" s="77" t="str">
        <f t="shared" si="196"/>
        <v/>
      </c>
      <c r="AJ282" s="78">
        <f t="shared" si="178"/>
        <v>4</v>
      </c>
      <c r="AK282" s="139">
        <f>SUM($AC$6:AC282)</f>
        <v>0</v>
      </c>
      <c r="AL282" s="139">
        <f t="shared" ca="1" si="188"/>
        <v>0</v>
      </c>
      <c r="AM282" s="143">
        <f t="shared" si="197"/>
        <v>0</v>
      </c>
      <c r="AN282" s="143">
        <f t="shared" si="198"/>
        <v>0</v>
      </c>
      <c r="AO282" s="143">
        <f t="shared" si="199"/>
        <v>0</v>
      </c>
      <c r="AP282" s="142">
        <f t="shared" si="189"/>
        <v>30</v>
      </c>
      <c r="AQ282" s="142">
        <f t="shared" ca="1" si="190"/>
        <v>30</v>
      </c>
      <c r="AR282" s="154">
        <f t="shared" si="201"/>
        <v>0</v>
      </c>
      <c r="AS282" s="142">
        <f t="shared" si="191"/>
        <v>0</v>
      </c>
      <c r="AT282" t="b">
        <f>OR((F282&gt;0),(NOT(ISBLANK(H282))),SUM(H282:H$373),SUM(G282:G$373))</f>
        <v>0</v>
      </c>
      <c r="AU282" t="b">
        <f t="shared" ca="1" si="179"/>
        <v>0</v>
      </c>
    </row>
    <row r="283" spans="1:47">
      <c r="A283" s="349">
        <f t="shared" si="192"/>
        <v>41916</v>
      </c>
      <c r="B283" s="350">
        <f t="shared" si="193"/>
        <v>41916</v>
      </c>
      <c r="C283" s="351">
        <f t="shared" si="204"/>
        <v>40</v>
      </c>
      <c r="D283" s="352">
        <f t="shared" si="205"/>
        <v>41912</v>
      </c>
      <c r="E283" s="364" t="str">
        <f t="shared" si="180"/>
        <v/>
      </c>
      <c r="F283" s="6"/>
      <c r="G283" s="7" t="str">
        <f t="shared" si="206"/>
        <v/>
      </c>
      <c r="H283" s="8"/>
      <c r="I283" s="8">
        <f t="shared" si="202"/>
        <v>0</v>
      </c>
      <c r="J283" s="129">
        <f t="shared" si="200"/>
        <v>0</v>
      </c>
      <c r="K283" s="8"/>
      <c r="L283" s="8">
        <f t="shared" si="181"/>
        <v>0</v>
      </c>
      <c r="M283" s="129">
        <f t="shared" si="182"/>
        <v>0</v>
      </c>
      <c r="N283" s="129"/>
      <c r="O283" s="129">
        <f t="shared" si="175"/>
        <v>0</v>
      </c>
      <c r="P283" s="129"/>
      <c r="Q283" s="129">
        <f t="shared" si="183"/>
        <v>0</v>
      </c>
      <c r="R283" s="129">
        <f t="shared" si="184"/>
        <v>0</v>
      </c>
      <c r="S283" s="693">
        <f t="shared" si="185"/>
        <v>6</v>
      </c>
      <c r="T283" s="129">
        <f t="shared" si="203"/>
        <v>0</v>
      </c>
      <c r="U283" s="165">
        <f t="shared" si="186"/>
        <v>0</v>
      </c>
      <c r="V283" s="75"/>
      <c r="W283" s="131">
        <f t="shared" si="176"/>
        <v>4.1666666666666664E-2</v>
      </c>
      <c r="X283" s="126">
        <f t="shared" si="187"/>
        <v>0</v>
      </c>
      <c r="Y283" s="127">
        <f t="shared" si="207"/>
        <v>0.33333333333333331</v>
      </c>
      <c r="Z283" s="128">
        <f t="shared" si="208"/>
        <v>0</v>
      </c>
      <c r="AA283" s="76" t="str">
        <f t="shared" si="209"/>
        <v/>
      </c>
      <c r="AB283" s="216">
        <f t="shared" si="177"/>
        <v>0</v>
      </c>
      <c r="AC283" s="163" t="str">
        <f t="shared" si="210"/>
        <v/>
      </c>
      <c r="AD283" s="257">
        <f t="shared" si="194"/>
        <v>0</v>
      </c>
      <c r="AE283" s="138"/>
      <c r="AF283" s="138" t="str">
        <f t="shared" si="195"/>
        <v/>
      </c>
      <c r="AG283" s="77">
        <f t="shared" si="211"/>
        <v>0</v>
      </c>
      <c r="AH283" s="77">
        <f t="shared" si="212"/>
        <v>0</v>
      </c>
      <c r="AI283" s="77" t="str">
        <f t="shared" si="196"/>
        <v/>
      </c>
      <c r="AJ283" s="78">
        <f t="shared" si="178"/>
        <v>5</v>
      </c>
      <c r="AK283" s="139">
        <f>SUM($AC$6:AC283)</f>
        <v>0</v>
      </c>
      <c r="AL283" s="139">
        <f t="shared" ca="1" si="188"/>
        <v>0</v>
      </c>
      <c r="AM283" s="143">
        <f t="shared" si="197"/>
        <v>0</v>
      </c>
      <c r="AN283" s="143">
        <f t="shared" si="198"/>
        <v>0</v>
      </c>
      <c r="AO283" s="143">
        <f t="shared" si="199"/>
        <v>0</v>
      </c>
      <c r="AP283" s="142">
        <f t="shared" si="189"/>
        <v>30</v>
      </c>
      <c r="AQ283" s="142">
        <f t="shared" ca="1" si="190"/>
        <v>30</v>
      </c>
      <c r="AR283" s="154">
        <f t="shared" si="201"/>
        <v>0</v>
      </c>
      <c r="AS283" s="142">
        <f t="shared" si="191"/>
        <v>0</v>
      </c>
      <c r="AT283" t="b">
        <f>OR((F283&gt;0),(NOT(ISBLANK(H283))),SUM(H283:H$373),SUM(G283:G$373))</f>
        <v>0</v>
      </c>
      <c r="AU283" t="b">
        <f t="shared" ca="1" si="179"/>
        <v>0</v>
      </c>
    </row>
    <row r="284" spans="1:47">
      <c r="A284" s="349">
        <f t="shared" si="192"/>
        <v>41917</v>
      </c>
      <c r="B284" s="350">
        <f t="shared" si="193"/>
        <v>41917</v>
      </c>
      <c r="C284" s="351">
        <f t="shared" si="204"/>
        <v>40</v>
      </c>
      <c r="D284" s="352">
        <f t="shared" si="205"/>
        <v>41912</v>
      </c>
      <c r="E284" s="364" t="str">
        <f t="shared" si="180"/>
        <v/>
      </c>
      <c r="F284" s="6"/>
      <c r="G284" s="7" t="str">
        <f t="shared" si="206"/>
        <v/>
      </c>
      <c r="H284" s="8"/>
      <c r="I284" s="8">
        <f t="shared" si="202"/>
        <v>0</v>
      </c>
      <c r="J284" s="129">
        <f t="shared" si="200"/>
        <v>0</v>
      </c>
      <c r="K284" s="8"/>
      <c r="L284" s="8">
        <f t="shared" si="181"/>
        <v>0</v>
      </c>
      <c r="M284" s="129">
        <f t="shared" si="182"/>
        <v>0</v>
      </c>
      <c r="N284" s="129"/>
      <c r="O284" s="129">
        <f t="shared" si="175"/>
        <v>0</v>
      </c>
      <c r="P284" s="129"/>
      <c r="Q284" s="129">
        <f t="shared" si="183"/>
        <v>0</v>
      </c>
      <c r="R284" s="129">
        <f t="shared" si="184"/>
        <v>0</v>
      </c>
      <c r="S284" s="693">
        <f t="shared" si="185"/>
        <v>6</v>
      </c>
      <c r="T284" s="129">
        <f t="shared" si="203"/>
        <v>0</v>
      </c>
      <c r="U284" s="165">
        <f t="shared" si="186"/>
        <v>0</v>
      </c>
      <c r="V284" s="75"/>
      <c r="W284" s="131">
        <f t="shared" si="176"/>
        <v>4.1666666666666664E-2</v>
      </c>
      <c r="X284" s="126">
        <f t="shared" si="187"/>
        <v>0</v>
      </c>
      <c r="Y284" s="127">
        <f t="shared" si="207"/>
        <v>0</v>
      </c>
      <c r="Z284" s="128">
        <f t="shared" si="208"/>
        <v>0</v>
      </c>
      <c r="AA284" s="76" t="str">
        <f t="shared" si="209"/>
        <v/>
      </c>
      <c r="AB284" s="216">
        <f t="shared" si="177"/>
        <v>0</v>
      </c>
      <c r="AC284" s="163" t="str">
        <f t="shared" si="210"/>
        <v/>
      </c>
      <c r="AD284" s="257">
        <f t="shared" si="194"/>
        <v>0</v>
      </c>
      <c r="AE284" s="138"/>
      <c r="AF284" s="138" t="str">
        <f t="shared" si="195"/>
        <v/>
      </c>
      <c r="AG284" s="77">
        <f t="shared" si="211"/>
        <v>0</v>
      </c>
      <c r="AH284" s="77">
        <f t="shared" si="212"/>
        <v>0</v>
      </c>
      <c r="AI284" s="77" t="str">
        <f t="shared" si="196"/>
        <v/>
      </c>
      <c r="AJ284" s="78">
        <f t="shared" si="178"/>
        <v>6</v>
      </c>
      <c r="AK284" s="139">
        <f>SUM($AC$6:AC284)</f>
        <v>0</v>
      </c>
      <c r="AL284" s="139">
        <f t="shared" ca="1" si="188"/>
        <v>0</v>
      </c>
      <c r="AM284" s="143">
        <f t="shared" si="197"/>
        <v>0</v>
      </c>
      <c r="AN284" s="143">
        <f t="shared" si="198"/>
        <v>0</v>
      </c>
      <c r="AO284" s="143">
        <f t="shared" si="199"/>
        <v>0</v>
      </c>
      <c r="AP284" s="142">
        <f t="shared" si="189"/>
        <v>30</v>
      </c>
      <c r="AQ284" s="142">
        <f t="shared" ca="1" si="190"/>
        <v>30</v>
      </c>
      <c r="AR284" s="154">
        <f t="shared" si="201"/>
        <v>0</v>
      </c>
      <c r="AS284" s="142">
        <f t="shared" si="191"/>
        <v>7</v>
      </c>
      <c r="AT284" t="b">
        <f>OR((F284&gt;0),(NOT(ISBLANK(H284))),SUM(H284:H$373),SUM(G284:G$373))</f>
        <v>0</v>
      </c>
      <c r="AU284" t="b">
        <f t="shared" ca="1" si="179"/>
        <v>1</v>
      </c>
    </row>
    <row r="285" spans="1:47">
      <c r="A285" s="349">
        <f t="shared" si="192"/>
        <v>41918</v>
      </c>
      <c r="B285" s="350">
        <f t="shared" si="193"/>
        <v>41918</v>
      </c>
      <c r="C285" s="351">
        <f t="shared" si="204"/>
        <v>40</v>
      </c>
      <c r="D285" s="352">
        <f t="shared" si="205"/>
        <v>41912</v>
      </c>
      <c r="E285" s="364" t="str">
        <f t="shared" si="180"/>
        <v/>
      </c>
      <c r="F285" s="6"/>
      <c r="G285" s="7" t="str">
        <f t="shared" si="206"/>
        <v/>
      </c>
      <c r="H285" s="8"/>
      <c r="I285" s="8">
        <f t="shared" si="202"/>
        <v>0</v>
      </c>
      <c r="J285" s="129">
        <f t="shared" si="200"/>
        <v>0</v>
      </c>
      <c r="K285" s="8"/>
      <c r="L285" s="8">
        <f t="shared" si="181"/>
        <v>0</v>
      </c>
      <c r="M285" s="129">
        <f t="shared" si="182"/>
        <v>0</v>
      </c>
      <c r="N285" s="129"/>
      <c r="O285" s="129">
        <f t="shared" si="175"/>
        <v>0</v>
      </c>
      <c r="P285" s="129"/>
      <c r="Q285" s="129">
        <f t="shared" si="183"/>
        <v>0</v>
      </c>
      <c r="R285" s="129">
        <f t="shared" si="184"/>
        <v>0</v>
      </c>
      <c r="S285" s="693">
        <f t="shared" si="185"/>
        <v>6</v>
      </c>
      <c r="T285" s="129">
        <f t="shared" si="203"/>
        <v>0</v>
      </c>
      <c r="U285" s="165">
        <f t="shared" si="186"/>
        <v>0</v>
      </c>
      <c r="V285" s="75"/>
      <c r="W285" s="131">
        <f t="shared" si="176"/>
        <v>4.1666666666666664E-2</v>
      </c>
      <c r="X285" s="126">
        <f t="shared" si="187"/>
        <v>0</v>
      </c>
      <c r="Y285" s="127">
        <f t="shared" si="207"/>
        <v>0</v>
      </c>
      <c r="Z285" s="128">
        <f t="shared" si="208"/>
        <v>0</v>
      </c>
      <c r="AA285" s="76" t="str">
        <f t="shared" si="209"/>
        <v/>
      </c>
      <c r="AB285" s="216">
        <f t="shared" si="177"/>
        <v>0</v>
      </c>
      <c r="AC285" s="163" t="str">
        <f t="shared" si="210"/>
        <v/>
      </c>
      <c r="AD285" s="257">
        <f t="shared" si="194"/>
        <v>0</v>
      </c>
      <c r="AE285" s="138"/>
      <c r="AF285" s="138" t="str">
        <f t="shared" si="195"/>
        <v/>
      </c>
      <c r="AG285" s="77">
        <f t="shared" si="211"/>
        <v>0</v>
      </c>
      <c r="AH285" s="77">
        <f t="shared" si="212"/>
        <v>0</v>
      </c>
      <c r="AI285" s="77" t="str">
        <f t="shared" si="196"/>
        <v/>
      </c>
      <c r="AJ285" s="78">
        <f t="shared" si="178"/>
        <v>7</v>
      </c>
      <c r="AK285" s="139">
        <f>SUM($AC$6:AC285)</f>
        <v>0</v>
      </c>
      <c r="AL285" s="139">
        <f t="shared" ca="1" si="188"/>
        <v>0</v>
      </c>
      <c r="AM285" s="143">
        <f t="shared" si="197"/>
        <v>0</v>
      </c>
      <c r="AN285" s="143">
        <f t="shared" si="198"/>
        <v>0</v>
      </c>
      <c r="AO285" s="143">
        <f t="shared" si="199"/>
        <v>0</v>
      </c>
      <c r="AP285" s="142">
        <f t="shared" si="189"/>
        <v>30</v>
      </c>
      <c r="AQ285" s="142">
        <f t="shared" ca="1" si="190"/>
        <v>30</v>
      </c>
      <c r="AR285" s="154">
        <f t="shared" si="201"/>
        <v>0</v>
      </c>
      <c r="AS285" s="142">
        <f t="shared" si="191"/>
        <v>7</v>
      </c>
      <c r="AT285" t="b">
        <f>OR((F285&gt;0),(NOT(ISBLANK(H285))),SUM(H285:H$373),SUM(G285:G$373))</f>
        <v>0</v>
      </c>
      <c r="AU285" t="b">
        <f t="shared" ca="1" si="179"/>
        <v>1</v>
      </c>
    </row>
    <row r="286" spans="1:47">
      <c r="A286" s="349">
        <f t="shared" si="192"/>
        <v>41919</v>
      </c>
      <c r="B286" s="350">
        <f t="shared" si="193"/>
        <v>41919</v>
      </c>
      <c r="C286" s="351">
        <f t="shared" si="204"/>
        <v>41</v>
      </c>
      <c r="D286" s="352">
        <f t="shared" si="205"/>
        <v>41912</v>
      </c>
      <c r="E286" s="364" t="str">
        <f t="shared" si="180"/>
        <v/>
      </c>
      <c r="F286" s="6"/>
      <c r="G286" s="7" t="str">
        <f t="shared" si="206"/>
        <v/>
      </c>
      <c r="H286" s="8"/>
      <c r="I286" s="8">
        <f t="shared" si="202"/>
        <v>0</v>
      </c>
      <c r="J286" s="129">
        <f t="shared" si="200"/>
        <v>0</v>
      </c>
      <c r="K286" s="8"/>
      <c r="L286" s="8">
        <f t="shared" si="181"/>
        <v>0</v>
      </c>
      <c r="M286" s="129">
        <f t="shared" si="182"/>
        <v>0</v>
      </c>
      <c r="N286" s="129"/>
      <c r="O286" s="129">
        <f t="shared" si="175"/>
        <v>0</v>
      </c>
      <c r="P286" s="129"/>
      <c r="Q286" s="129">
        <f t="shared" si="183"/>
        <v>0</v>
      </c>
      <c r="R286" s="129">
        <f t="shared" si="184"/>
        <v>0</v>
      </c>
      <c r="S286" s="693">
        <f t="shared" si="185"/>
        <v>6</v>
      </c>
      <c r="T286" s="129">
        <f t="shared" si="203"/>
        <v>0</v>
      </c>
      <c r="U286" s="165">
        <f t="shared" si="186"/>
        <v>0</v>
      </c>
      <c r="V286" s="75"/>
      <c r="W286" s="131">
        <f t="shared" si="176"/>
        <v>4.1666666666666664E-2</v>
      </c>
      <c r="X286" s="126">
        <f t="shared" si="187"/>
        <v>0</v>
      </c>
      <c r="Y286" s="127">
        <f t="shared" si="207"/>
        <v>0.33333333333333331</v>
      </c>
      <c r="Z286" s="128">
        <f t="shared" si="208"/>
        <v>0</v>
      </c>
      <c r="AA286" s="76" t="str">
        <f t="shared" si="209"/>
        <v/>
      </c>
      <c r="AB286" s="216">
        <f t="shared" si="177"/>
        <v>0</v>
      </c>
      <c r="AC286" s="163" t="str">
        <f t="shared" si="210"/>
        <v/>
      </c>
      <c r="AD286" s="257">
        <f t="shared" si="194"/>
        <v>0</v>
      </c>
      <c r="AE286" s="138"/>
      <c r="AF286" s="138" t="str">
        <f t="shared" si="195"/>
        <v/>
      </c>
      <c r="AG286" s="77">
        <f t="shared" si="211"/>
        <v>0</v>
      </c>
      <c r="AH286" s="77">
        <f t="shared" si="212"/>
        <v>0</v>
      </c>
      <c r="AI286" s="77" t="str">
        <f t="shared" si="196"/>
        <v/>
      </c>
      <c r="AJ286" s="78">
        <f t="shared" si="178"/>
        <v>1</v>
      </c>
      <c r="AK286" s="139">
        <f>SUM($AC$6:AC286)</f>
        <v>0</v>
      </c>
      <c r="AL286" s="139">
        <f t="shared" ca="1" si="188"/>
        <v>0</v>
      </c>
      <c r="AM286" s="143">
        <f t="shared" si="197"/>
        <v>0</v>
      </c>
      <c r="AN286" s="143">
        <f t="shared" si="198"/>
        <v>0</v>
      </c>
      <c r="AO286" s="143">
        <f t="shared" si="199"/>
        <v>0</v>
      </c>
      <c r="AP286" s="142">
        <f t="shared" si="189"/>
        <v>30</v>
      </c>
      <c r="AQ286" s="142">
        <f t="shared" ca="1" si="190"/>
        <v>30</v>
      </c>
      <c r="AR286" s="154">
        <f t="shared" si="201"/>
        <v>0</v>
      </c>
      <c r="AS286" s="142">
        <f t="shared" si="191"/>
        <v>0</v>
      </c>
      <c r="AT286" t="b">
        <f>OR((F286&gt;0),(NOT(ISBLANK(H286))),SUM(H286:H$373),SUM(G286:G$373))</f>
        <v>0</v>
      </c>
      <c r="AU286" t="b">
        <f t="shared" ca="1" si="179"/>
        <v>0</v>
      </c>
    </row>
    <row r="287" spans="1:47">
      <c r="A287" s="349">
        <f t="shared" si="192"/>
        <v>41920</v>
      </c>
      <c r="B287" s="350">
        <f t="shared" si="193"/>
        <v>41920</v>
      </c>
      <c r="C287" s="351">
        <f t="shared" si="204"/>
        <v>41</v>
      </c>
      <c r="D287" s="352">
        <f t="shared" si="205"/>
        <v>41912</v>
      </c>
      <c r="E287" s="364" t="str">
        <f t="shared" si="180"/>
        <v/>
      </c>
      <c r="F287" s="6"/>
      <c r="G287" s="7" t="str">
        <f t="shared" si="206"/>
        <v/>
      </c>
      <c r="H287" s="8"/>
      <c r="I287" s="8">
        <f t="shared" si="202"/>
        <v>0</v>
      </c>
      <c r="J287" s="129">
        <f t="shared" si="200"/>
        <v>0</v>
      </c>
      <c r="K287" s="8"/>
      <c r="L287" s="8">
        <f t="shared" si="181"/>
        <v>0</v>
      </c>
      <c r="M287" s="129">
        <f t="shared" si="182"/>
        <v>0</v>
      </c>
      <c r="N287" s="129"/>
      <c r="O287" s="129">
        <f t="shared" si="175"/>
        <v>0</v>
      </c>
      <c r="P287" s="129"/>
      <c r="Q287" s="129">
        <f t="shared" si="183"/>
        <v>0</v>
      </c>
      <c r="R287" s="129">
        <f t="shared" si="184"/>
        <v>0</v>
      </c>
      <c r="S287" s="693">
        <f t="shared" si="185"/>
        <v>6</v>
      </c>
      <c r="T287" s="129">
        <f t="shared" si="203"/>
        <v>0</v>
      </c>
      <c r="U287" s="165">
        <f t="shared" si="186"/>
        <v>0</v>
      </c>
      <c r="V287" s="75"/>
      <c r="W287" s="131">
        <f t="shared" si="176"/>
        <v>4.1666666666666664E-2</v>
      </c>
      <c r="X287" s="126">
        <f t="shared" si="187"/>
        <v>0</v>
      </c>
      <c r="Y287" s="127">
        <f t="shared" si="207"/>
        <v>0.33333333333333331</v>
      </c>
      <c r="Z287" s="128">
        <f t="shared" si="208"/>
        <v>0</v>
      </c>
      <c r="AA287" s="76" t="str">
        <f t="shared" si="209"/>
        <v/>
      </c>
      <c r="AB287" s="216">
        <f t="shared" si="177"/>
        <v>0</v>
      </c>
      <c r="AC287" s="163" t="str">
        <f t="shared" si="210"/>
        <v/>
      </c>
      <c r="AD287" s="257">
        <f t="shared" si="194"/>
        <v>0</v>
      </c>
      <c r="AE287" s="138"/>
      <c r="AF287" s="138" t="str">
        <f t="shared" si="195"/>
        <v/>
      </c>
      <c r="AG287" s="77">
        <f t="shared" si="211"/>
        <v>0</v>
      </c>
      <c r="AH287" s="77">
        <f t="shared" si="212"/>
        <v>0</v>
      </c>
      <c r="AI287" s="77" t="str">
        <f t="shared" si="196"/>
        <v/>
      </c>
      <c r="AJ287" s="78">
        <f t="shared" si="178"/>
        <v>2</v>
      </c>
      <c r="AK287" s="139">
        <f>SUM($AC$6:AC287)</f>
        <v>0</v>
      </c>
      <c r="AL287" s="139">
        <f t="shared" ca="1" si="188"/>
        <v>0</v>
      </c>
      <c r="AM287" s="143">
        <f t="shared" si="197"/>
        <v>0</v>
      </c>
      <c r="AN287" s="143">
        <f t="shared" si="198"/>
        <v>0</v>
      </c>
      <c r="AO287" s="143">
        <f t="shared" si="199"/>
        <v>0</v>
      </c>
      <c r="AP287" s="142">
        <f t="shared" si="189"/>
        <v>30</v>
      </c>
      <c r="AQ287" s="142">
        <f t="shared" ca="1" si="190"/>
        <v>30</v>
      </c>
      <c r="AR287" s="154">
        <f t="shared" si="201"/>
        <v>0</v>
      </c>
      <c r="AS287" s="142">
        <f t="shared" si="191"/>
        <v>0</v>
      </c>
      <c r="AT287" t="b">
        <f>OR((F287&gt;0),(NOT(ISBLANK(H287))),SUM(H287:H$373),SUM(G287:G$373))</f>
        <v>0</v>
      </c>
      <c r="AU287" t="b">
        <f t="shared" ca="1" si="179"/>
        <v>0</v>
      </c>
    </row>
    <row r="288" spans="1:47">
      <c r="A288" s="349">
        <f t="shared" si="192"/>
        <v>41921</v>
      </c>
      <c r="B288" s="350">
        <f t="shared" si="193"/>
        <v>41921</v>
      </c>
      <c r="C288" s="351">
        <f t="shared" si="204"/>
        <v>41</v>
      </c>
      <c r="D288" s="352">
        <f t="shared" si="205"/>
        <v>41912</v>
      </c>
      <c r="E288" s="364" t="str">
        <f t="shared" si="180"/>
        <v/>
      </c>
      <c r="F288" s="6"/>
      <c r="G288" s="7" t="str">
        <f t="shared" si="206"/>
        <v/>
      </c>
      <c r="H288" s="8"/>
      <c r="I288" s="8">
        <f t="shared" si="202"/>
        <v>0</v>
      </c>
      <c r="J288" s="129">
        <f t="shared" si="200"/>
        <v>0</v>
      </c>
      <c r="K288" s="8"/>
      <c r="L288" s="8">
        <f t="shared" si="181"/>
        <v>0</v>
      </c>
      <c r="M288" s="129">
        <f t="shared" si="182"/>
        <v>0</v>
      </c>
      <c r="N288" s="129"/>
      <c r="O288" s="129">
        <f t="shared" si="175"/>
        <v>0</v>
      </c>
      <c r="P288" s="129"/>
      <c r="Q288" s="129">
        <f t="shared" si="183"/>
        <v>0</v>
      </c>
      <c r="R288" s="129">
        <f t="shared" si="184"/>
        <v>0</v>
      </c>
      <c r="S288" s="693">
        <f t="shared" si="185"/>
        <v>6</v>
      </c>
      <c r="T288" s="129">
        <f t="shared" si="203"/>
        <v>0</v>
      </c>
      <c r="U288" s="165">
        <f t="shared" si="186"/>
        <v>0</v>
      </c>
      <c r="V288" s="75"/>
      <c r="W288" s="131">
        <f t="shared" si="176"/>
        <v>4.1666666666666664E-2</v>
      </c>
      <c r="X288" s="126">
        <f t="shared" si="187"/>
        <v>0</v>
      </c>
      <c r="Y288" s="127">
        <f t="shared" si="207"/>
        <v>0.33333333333333331</v>
      </c>
      <c r="Z288" s="128">
        <f t="shared" si="208"/>
        <v>0</v>
      </c>
      <c r="AA288" s="76" t="str">
        <f t="shared" si="209"/>
        <v/>
      </c>
      <c r="AB288" s="216">
        <f t="shared" si="177"/>
        <v>0</v>
      </c>
      <c r="AC288" s="163" t="str">
        <f t="shared" si="210"/>
        <v/>
      </c>
      <c r="AD288" s="257">
        <f t="shared" si="194"/>
        <v>0</v>
      </c>
      <c r="AE288" s="138"/>
      <c r="AF288" s="138" t="str">
        <f t="shared" si="195"/>
        <v/>
      </c>
      <c r="AG288" s="77">
        <f t="shared" si="211"/>
        <v>0</v>
      </c>
      <c r="AH288" s="77">
        <f t="shared" si="212"/>
        <v>0</v>
      </c>
      <c r="AI288" s="77" t="str">
        <f t="shared" si="196"/>
        <v/>
      </c>
      <c r="AJ288" s="78">
        <f t="shared" si="178"/>
        <v>3</v>
      </c>
      <c r="AK288" s="139">
        <f>SUM($AC$6:AC288)</f>
        <v>0</v>
      </c>
      <c r="AL288" s="139">
        <f t="shared" ca="1" si="188"/>
        <v>0</v>
      </c>
      <c r="AM288" s="143">
        <f t="shared" si="197"/>
        <v>0</v>
      </c>
      <c r="AN288" s="143">
        <f t="shared" si="198"/>
        <v>0</v>
      </c>
      <c r="AO288" s="143">
        <f t="shared" si="199"/>
        <v>0</v>
      </c>
      <c r="AP288" s="142">
        <f t="shared" si="189"/>
        <v>30</v>
      </c>
      <c r="AQ288" s="142">
        <f t="shared" ca="1" si="190"/>
        <v>30</v>
      </c>
      <c r="AR288" s="154">
        <f t="shared" si="201"/>
        <v>0</v>
      </c>
      <c r="AS288" s="142">
        <f t="shared" si="191"/>
        <v>0</v>
      </c>
      <c r="AT288" t="b">
        <f>OR((F288&gt;0),(NOT(ISBLANK(H288))),SUM(H288:H$373),SUM(G288:G$373))</f>
        <v>0</v>
      </c>
      <c r="AU288" t="b">
        <f t="shared" ca="1" si="179"/>
        <v>0</v>
      </c>
    </row>
    <row r="289" spans="1:47">
      <c r="A289" s="349">
        <f t="shared" si="192"/>
        <v>41922</v>
      </c>
      <c r="B289" s="350">
        <f t="shared" si="193"/>
        <v>41922</v>
      </c>
      <c r="C289" s="351">
        <f t="shared" si="204"/>
        <v>41</v>
      </c>
      <c r="D289" s="352">
        <f t="shared" si="205"/>
        <v>41912</v>
      </c>
      <c r="E289" s="364" t="str">
        <f t="shared" si="180"/>
        <v/>
      </c>
      <c r="F289" s="6"/>
      <c r="G289" s="7" t="str">
        <f t="shared" si="206"/>
        <v/>
      </c>
      <c r="H289" s="8"/>
      <c r="I289" s="8">
        <f t="shared" si="202"/>
        <v>0</v>
      </c>
      <c r="J289" s="129">
        <f t="shared" si="200"/>
        <v>0</v>
      </c>
      <c r="K289" s="8"/>
      <c r="L289" s="8">
        <f t="shared" si="181"/>
        <v>0</v>
      </c>
      <c r="M289" s="129">
        <f t="shared" si="182"/>
        <v>0</v>
      </c>
      <c r="N289" s="129"/>
      <c r="O289" s="129">
        <f t="shared" si="175"/>
        <v>0</v>
      </c>
      <c r="P289" s="129"/>
      <c r="Q289" s="129">
        <f t="shared" si="183"/>
        <v>0</v>
      </c>
      <c r="R289" s="129">
        <f t="shared" si="184"/>
        <v>0</v>
      </c>
      <c r="S289" s="693">
        <f t="shared" si="185"/>
        <v>6</v>
      </c>
      <c r="T289" s="129">
        <f t="shared" si="203"/>
        <v>0</v>
      </c>
      <c r="U289" s="165">
        <f t="shared" si="186"/>
        <v>0</v>
      </c>
      <c r="V289" s="75"/>
      <c r="W289" s="131">
        <f t="shared" si="176"/>
        <v>4.1666666666666664E-2</v>
      </c>
      <c r="X289" s="126">
        <f t="shared" si="187"/>
        <v>0</v>
      </c>
      <c r="Y289" s="127">
        <f t="shared" si="207"/>
        <v>0.33333333333333331</v>
      </c>
      <c r="Z289" s="128">
        <f t="shared" si="208"/>
        <v>0</v>
      </c>
      <c r="AA289" s="76" t="str">
        <f t="shared" si="209"/>
        <v/>
      </c>
      <c r="AB289" s="216">
        <f t="shared" si="177"/>
        <v>0</v>
      </c>
      <c r="AC289" s="163" t="str">
        <f t="shared" si="210"/>
        <v/>
      </c>
      <c r="AD289" s="257">
        <f t="shared" si="194"/>
        <v>0</v>
      </c>
      <c r="AE289" s="138"/>
      <c r="AF289" s="138" t="str">
        <f t="shared" si="195"/>
        <v/>
      </c>
      <c r="AG289" s="77">
        <f t="shared" si="211"/>
        <v>0</v>
      </c>
      <c r="AH289" s="77">
        <f t="shared" si="212"/>
        <v>0</v>
      </c>
      <c r="AI289" s="77" t="str">
        <f t="shared" si="196"/>
        <v/>
      </c>
      <c r="AJ289" s="78">
        <f t="shared" si="178"/>
        <v>4</v>
      </c>
      <c r="AK289" s="139">
        <f>SUM($AC$6:AC289)</f>
        <v>0</v>
      </c>
      <c r="AL289" s="139">
        <f t="shared" ca="1" si="188"/>
        <v>0</v>
      </c>
      <c r="AM289" s="143">
        <f t="shared" si="197"/>
        <v>0</v>
      </c>
      <c r="AN289" s="143">
        <f t="shared" si="198"/>
        <v>0</v>
      </c>
      <c r="AO289" s="143">
        <f t="shared" si="199"/>
        <v>0</v>
      </c>
      <c r="AP289" s="142">
        <f t="shared" si="189"/>
        <v>30</v>
      </c>
      <c r="AQ289" s="142">
        <f t="shared" ca="1" si="190"/>
        <v>30</v>
      </c>
      <c r="AR289" s="154">
        <f t="shared" si="201"/>
        <v>0</v>
      </c>
      <c r="AS289" s="142">
        <f t="shared" si="191"/>
        <v>0</v>
      </c>
      <c r="AT289" t="b">
        <f>OR((F289&gt;0),(NOT(ISBLANK(H289))),SUM(H289:H$373),SUM(G289:G$373))</f>
        <v>0</v>
      </c>
      <c r="AU289" t="b">
        <f t="shared" ca="1" si="179"/>
        <v>0</v>
      </c>
    </row>
    <row r="290" spans="1:47">
      <c r="A290" s="349">
        <f t="shared" si="192"/>
        <v>41923</v>
      </c>
      <c r="B290" s="350">
        <f t="shared" si="193"/>
        <v>41923</v>
      </c>
      <c r="C290" s="351">
        <f t="shared" si="204"/>
        <v>41</v>
      </c>
      <c r="D290" s="352">
        <f t="shared" si="205"/>
        <v>41912</v>
      </c>
      <c r="E290" s="364" t="str">
        <f t="shared" si="180"/>
        <v/>
      </c>
      <c r="F290" s="6"/>
      <c r="G290" s="7" t="str">
        <f t="shared" si="206"/>
        <v/>
      </c>
      <c r="H290" s="8"/>
      <c r="I290" s="8">
        <f t="shared" si="202"/>
        <v>0</v>
      </c>
      <c r="J290" s="129">
        <f t="shared" si="200"/>
        <v>0</v>
      </c>
      <c r="K290" s="8"/>
      <c r="L290" s="8">
        <f t="shared" si="181"/>
        <v>0</v>
      </c>
      <c r="M290" s="129">
        <f t="shared" si="182"/>
        <v>0</v>
      </c>
      <c r="N290" s="129"/>
      <c r="O290" s="129">
        <f t="shared" si="175"/>
        <v>0</v>
      </c>
      <c r="P290" s="129"/>
      <c r="Q290" s="129">
        <f t="shared" si="183"/>
        <v>0</v>
      </c>
      <c r="R290" s="129">
        <f t="shared" si="184"/>
        <v>0</v>
      </c>
      <c r="S290" s="693">
        <f t="shared" si="185"/>
        <v>6</v>
      </c>
      <c r="T290" s="129">
        <f t="shared" si="203"/>
        <v>0</v>
      </c>
      <c r="U290" s="165">
        <f t="shared" si="186"/>
        <v>0</v>
      </c>
      <c r="V290" s="75"/>
      <c r="W290" s="131">
        <f t="shared" si="176"/>
        <v>4.1666666666666664E-2</v>
      </c>
      <c r="X290" s="126">
        <f t="shared" si="187"/>
        <v>0</v>
      </c>
      <c r="Y290" s="127">
        <f t="shared" si="207"/>
        <v>0.33333333333333331</v>
      </c>
      <c r="Z290" s="128">
        <f t="shared" si="208"/>
        <v>0</v>
      </c>
      <c r="AA290" s="76" t="str">
        <f t="shared" si="209"/>
        <v/>
      </c>
      <c r="AB290" s="216">
        <f t="shared" si="177"/>
        <v>0</v>
      </c>
      <c r="AC290" s="163" t="str">
        <f t="shared" si="210"/>
        <v/>
      </c>
      <c r="AD290" s="257">
        <f t="shared" si="194"/>
        <v>0</v>
      </c>
      <c r="AE290" s="138"/>
      <c r="AF290" s="138" t="str">
        <f t="shared" si="195"/>
        <v/>
      </c>
      <c r="AG290" s="77">
        <f t="shared" si="211"/>
        <v>0</v>
      </c>
      <c r="AH290" s="77">
        <f t="shared" si="212"/>
        <v>0</v>
      </c>
      <c r="AI290" s="77" t="str">
        <f t="shared" si="196"/>
        <v/>
      </c>
      <c r="AJ290" s="78">
        <f t="shared" si="178"/>
        <v>5</v>
      </c>
      <c r="AK290" s="139">
        <f>SUM($AC$6:AC290)</f>
        <v>0</v>
      </c>
      <c r="AL290" s="139">
        <f t="shared" ca="1" si="188"/>
        <v>0</v>
      </c>
      <c r="AM290" s="143">
        <f t="shared" si="197"/>
        <v>0</v>
      </c>
      <c r="AN290" s="143">
        <f t="shared" si="198"/>
        <v>0</v>
      </c>
      <c r="AO290" s="143">
        <f t="shared" si="199"/>
        <v>0</v>
      </c>
      <c r="AP290" s="142">
        <f t="shared" si="189"/>
        <v>30</v>
      </c>
      <c r="AQ290" s="142">
        <f t="shared" ca="1" si="190"/>
        <v>30</v>
      </c>
      <c r="AR290" s="154">
        <f t="shared" si="201"/>
        <v>0</v>
      </c>
      <c r="AS290" s="142">
        <f t="shared" si="191"/>
        <v>0</v>
      </c>
      <c r="AT290" t="b">
        <f>OR((F290&gt;0),(NOT(ISBLANK(H290))),SUM(H290:H$373),SUM(G290:G$373))</f>
        <v>0</v>
      </c>
      <c r="AU290" t="b">
        <f t="shared" ca="1" si="179"/>
        <v>0</v>
      </c>
    </row>
    <row r="291" spans="1:47">
      <c r="A291" s="349">
        <f t="shared" si="192"/>
        <v>41924</v>
      </c>
      <c r="B291" s="350">
        <f t="shared" si="193"/>
        <v>41924</v>
      </c>
      <c r="C291" s="351">
        <f t="shared" si="204"/>
        <v>41</v>
      </c>
      <c r="D291" s="352">
        <f t="shared" si="205"/>
        <v>41912</v>
      </c>
      <c r="E291" s="364" t="str">
        <f t="shared" si="180"/>
        <v/>
      </c>
      <c r="F291" s="6"/>
      <c r="G291" s="7" t="str">
        <f t="shared" si="206"/>
        <v/>
      </c>
      <c r="H291" s="8"/>
      <c r="I291" s="8">
        <f t="shared" si="202"/>
        <v>0</v>
      </c>
      <c r="J291" s="129">
        <f t="shared" si="200"/>
        <v>0</v>
      </c>
      <c r="K291" s="8"/>
      <c r="L291" s="8">
        <f t="shared" si="181"/>
        <v>0</v>
      </c>
      <c r="M291" s="129">
        <f t="shared" si="182"/>
        <v>0</v>
      </c>
      <c r="N291" s="129"/>
      <c r="O291" s="129">
        <f t="shared" si="175"/>
        <v>0</v>
      </c>
      <c r="P291" s="129"/>
      <c r="Q291" s="129">
        <f t="shared" si="183"/>
        <v>0</v>
      </c>
      <c r="R291" s="129">
        <f t="shared" si="184"/>
        <v>0</v>
      </c>
      <c r="S291" s="693">
        <f t="shared" si="185"/>
        <v>6</v>
      </c>
      <c r="T291" s="129">
        <f t="shared" si="203"/>
        <v>0</v>
      </c>
      <c r="U291" s="165">
        <f t="shared" si="186"/>
        <v>0</v>
      </c>
      <c r="V291" s="75"/>
      <c r="W291" s="131">
        <f t="shared" si="176"/>
        <v>4.1666666666666664E-2</v>
      </c>
      <c r="X291" s="126">
        <f t="shared" si="187"/>
        <v>0</v>
      </c>
      <c r="Y291" s="127">
        <f t="shared" si="207"/>
        <v>0</v>
      </c>
      <c r="Z291" s="128">
        <f t="shared" si="208"/>
        <v>0</v>
      </c>
      <c r="AA291" s="76" t="str">
        <f t="shared" si="209"/>
        <v/>
      </c>
      <c r="AB291" s="216">
        <f t="shared" si="177"/>
        <v>0</v>
      </c>
      <c r="AC291" s="163" t="str">
        <f t="shared" si="210"/>
        <v/>
      </c>
      <c r="AD291" s="257">
        <f t="shared" si="194"/>
        <v>0</v>
      </c>
      <c r="AE291" s="138"/>
      <c r="AF291" s="138" t="str">
        <f t="shared" si="195"/>
        <v/>
      </c>
      <c r="AG291" s="77">
        <f t="shared" si="211"/>
        <v>0</v>
      </c>
      <c r="AH291" s="77">
        <f t="shared" si="212"/>
        <v>0</v>
      </c>
      <c r="AI291" s="77" t="str">
        <f t="shared" si="196"/>
        <v/>
      </c>
      <c r="AJ291" s="78">
        <f t="shared" si="178"/>
        <v>6</v>
      </c>
      <c r="AK291" s="139">
        <f>SUM($AC$6:AC291)</f>
        <v>0</v>
      </c>
      <c r="AL291" s="139">
        <f t="shared" ca="1" si="188"/>
        <v>0</v>
      </c>
      <c r="AM291" s="143">
        <f t="shared" si="197"/>
        <v>0</v>
      </c>
      <c r="AN291" s="143">
        <f t="shared" si="198"/>
        <v>0</v>
      </c>
      <c r="AO291" s="143">
        <f t="shared" si="199"/>
        <v>0</v>
      </c>
      <c r="AP291" s="142">
        <f t="shared" si="189"/>
        <v>30</v>
      </c>
      <c r="AQ291" s="142">
        <f t="shared" ca="1" si="190"/>
        <v>30</v>
      </c>
      <c r="AR291" s="154">
        <f t="shared" si="201"/>
        <v>0</v>
      </c>
      <c r="AS291" s="142">
        <f t="shared" si="191"/>
        <v>7</v>
      </c>
      <c r="AT291" t="b">
        <f>OR((F291&gt;0),(NOT(ISBLANK(H291))),SUM(H291:H$373),SUM(G291:G$373))</f>
        <v>0</v>
      </c>
      <c r="AU291" t="b">
        <f t="shared" ca="1" si="179"/>
        <v>1</v>
      </c>
    </row>
    <row r="292" spans="1:47">
      <c r="A292" s="349">
        <f t="shared" si="192"/>
        <v>41925</v>
      </c>
      <c r="B292" s="350">
        <f t="shared" si="193"/>
        <v>41925</v>
      </c>
      <c r="C292" s="351">
        <f t="shared" si="204"/>
        <v>41</v>
      </c>
      <c r="D292" s="352">
        <f t="shared" si="205"/>
        <v>41912</v>
      </c>
      <c r="E292" s="364" t="str">
        <f t="shared" si="180"/>
        <v/>
      </c>
      <c r="F292" s="6"/>
      <c r="G292" s="7" t="str">
        <f t="shared" si="206"/>
        <v/>
      </c>
      <c r="H292" s="8"/>
      <c r="I292" s="8">
        <f t="shared" si="202"/>
        <v>0</v>
      </c>
      <c r="J292" s="129">
        <f t="shared" si="200"/>
        <v>0</v>
      </c>
      <c r="K292" s="8"/>
      <c r="L292" s="8">
        <f t="shared" si="181"/>
        <v>0</v>
      </c>
      <c r="M292" s="129">
        <f t="shared" si="182"/>
        <v>0</v>
      </c>
      <c r="N292" s="129"/>
      <c r="O292" s="129">
        <f t="shared" si="175"/>
        <v>0</v>
      </c>
      <c r="P292" s="129"/>
      <c r="Q292" s="129">
        <f t="shared" si="183"/>
        <v>0</v>
      </c>
      <c r="R292" s="129">
        <f t="shared" si="184"/>
        <v>0</v>
      </c>
      <c r="S292" s="693">
        <f t="shared" si="185"/>
        <v>6</v>
      </c>
      <c r="T292" s="129">
        <f t="shared" si="203"/>
        <v>0</v>
      </c>
      <c r="U292" s="165">
        <f t="shared" si="186"/>
        <v>0</v>
      </c>
      <c r="V292" s="75"/>
      <c r="W292" s="131">
        <f t="shared" si="176"/>
        <v>4.1666666666666664E-2</v>
      </c>
      <c r="X292" s="126">
        <f t="shared" si="187"/>
        <v>0</v>
      </c>
      <c r="Y292" s="127">
        <f t="shared" si="207"/>
        <v>0</v>
      </c>
      <c r="Z292" s="128">
        <f t="shared" si="208"/>
        <v>0</v>
      </c>
      <c r="AA292" s="76" t="str">
        <f t="shared" si="209"/>
        <v/>
      </c>
      <c r="AB292" s="216">
        <f t="shared" si="177"/>
        <v>0</v>
      </c>
      <c r="AC292" s="163" t="str">
        <f t="shared" si="210"/>
        <v/>
      </c>
      <c r="AD292" s="257">
        <f t="shared" si="194"/>
        <v>0</v>
      </c>
      <c r="AE292" s="138"/>
      <c r="AF292" s="138" t="str">
        <f t="shared" si="195"/>
        <v/>
      </c>
      <c r="AG292" s="77">
        <f t="shared" si="211"/>
        <v>0</v>
      </c>
      <c r="AH292" s="77">
        <f t="shared" si="212"/>
        <v>0</v>
      </c>
      <c r="AI292" s="77" t="str">
        <f t="shared" si="196"/>
        <v/>
      </c>
      <c r="AJ292" s="78">
        <f t="shared" si="178"/>
        <v>7</v>
      </c>
      <c r="AK292" s="139">
        <f>SUM($AC$6:AC292)</f>
        <v>0</v>
      </c>
      <c r="AL292" s="139">
        <f t="shared" ca="1" si="188"/>
        <v>0</v>
      </c>
      <c r="AM292" s="143">
        <f t="shared" si="197"/>
        <v>0</v>
      </c>
      <c r="AN292" s="143">
        <f t="shared" si="198"/>
        <v>0</v>
      </c>
      <c r="AO292" s="143">
        <f t="shared" si="199"/>
        <v>0</v>
      </c>
      <c r="AP292" s="142">
        <f t="shared" si="189"/>
        <v>30</v>
      </c>
      <c r="AQ292" s="142">
        <f t="shared" ca="1" si="190"/>
        <v>30</v>
      </c>
      <c r="AR292" s="154">
        <f t="shared" si="201"/>
        <v>0</v>
      </c>
      <c r="AS292" s="142">
        <f t="shared" si="191"/>
        <v>7</v>
      </c>
      <c r="AT292" t="b">
        <f>OR((F292&gt;0),(NOT(ISBLANK(H292))),SUM(H292:H$373),SUM(G292:G$373))</f>
        <v>0</v>
      </c>
      <c r="AU292" t="b">
        <f t="shared" ca="1" si="179"/>
        <v>1</v>
      </c>
    </row>
    <row r="293" spans="1:47">
      <c r="A293" s="349">
        <f t="shared" si="192"/>
        <v>41926</v>
      </c>
      <c r="B293" s="350">
        <f t="shared" si="193"/>
        <v>41926</v>
      </c>
      <c r="C293" s="351">
        <f t="shared" si="204"/>
        <v>42</v>
      </c>
      <c r="D293" s="352">
        <f t="shared" si="205"/>
        <v>41912</v>
      </c>
      <c r="E293" s="364" t="str">
        <f t="shared" si="180"/>
        <v/>
      </c>
      <c r="F293" s="6"/>
      <c r="G293" s="7" t="str">
        <f t="shared" si="206"/>
        <v/>
      </c>
      <c r="H293" s="8"/>
      <c r="I293" s="8">
        <f t="shared" si="202"/>
        <v>0</v>
      </c>
      <c r="J293" s="129">
        <f t="shared" si="200"/>
        <v>0</v>
      </c>
      <c r="K293" s="8"/>
      <c r="L293" s="8">
        <f t="shared" si="181"/>
        <v>0</v>
      </c>
      <c r="M293" s="129">
        <f t="shared" si="182"/>
        <v>0</v>
      </c>
      <c r="N293" s="129"/>
      <c r="O293" s="129">
        <f t="shared" si="175"/>
        <v>0</v>
      </c>
      <c r="P293" s="129"/>
      <c r="Q293" s="129">
        <f t="shared" si="183"/>
        <v>0</v>
      </c>
      <c r="R293" s="129">
        <f t="shared" si="184"/>
        <v>0</v>
      </c>
      <c r="S293" s="693">
        <f t="shared" si="185"/>
        <v>6</v>
      </c>
      <c r="T293" s="129">
        <f t="shared" si="203"/>
        <v>0</v>
      </c>
      <c r="U293" s="165">
        <f t="shared" si="186"/>
        <v>0</v>
      </c>
      <c r="V293" s="75"/>
      <c r="W293" s="131">
        <f t="shared" si="176"/>
        <v>4.1666666666666664E-2</v>
      </c>
      <c r="X293" s="126">
        <f t="shared" si="187"/>
        <v>0</v>
      </c>
      <c r="Y293" s="127">
        <f t="shared" si="207"/>
        <v>0.33333333333333331</v>
      </c>
      <c r="Z293" s="128">
        <f t="shared" si="208"/>
        <v>0</v>
      </c>
      <c r="AA293" s="76" t="str">
        <f t="shared" si="209"/>
        <v/>
      </c>
      <c r="AB293" s="216">
        <f t="shared" si="177"/>
        <v>0</v>
      </c>
      <c r="AC293" s="163" t="str">
        <f t="shared" si="210"/>
        <v/>
      </c>
      <c r="AD293" s="257">
        <f t="shared" si="194"/>
        <v>0</v>
      </c>
      <c r="AE293" s="138"/>
      <c r="AF293" s="138" t="str">
        <f t="shared" si="195"/>
        <v/>
      </c>
      <c r="AG293" s="77">
        <f t="shared" si="211"/>
        <v>0</v>
      </c>
      <c r="AH293" s="77">
        <f t="shared" si="212"/>
        <v>0</v>
      </c>
      <c r="AI293" s="77" t="str">
        <f t="shared" si="196"/>
        <v/>
      </c>
      <c r="AJ293" s="78">
        <f t="shared" si="178"/>
        <v>1</v>
      </c>
      <c r="AK293" s="139">
        <f>SUM($AC$6:AC293)</f>
        <v>0</v>
      </c>
      <c r="AL293" s="139">
        <f t="shared" ca="1" si="188"/>
        <v>0</v>
      </c>
      <c r="AM293" s="143">
        <f t="shared" si="197"/>
        <v>0</v>
      </c>
      <c r="AN293" s="143">
        <f t="shared" si="198"/>
        <v>0</v>
      </c>
      <c r="AO293" s="143">
        <f t="shared" si="199"/>
        <v>0</v>
      </c>
      <c r="AP293" s="142">
        <f t="shared" si="189"/>
        <v>30</v>
      </c>
      <c r="AQ293" s="142">
        <f t="shared" ca="1" si="190"/>
        <v>30</v>
      </c>
      <c r="AR293" s="154">
        <f t="shared" si="201"/>
        <v>0</v>
      </c>
      <c r="AS293" s="142">
        <f t="shared" si="191"/>
        <v>0</v>
      </c>
      <c r="AT293" t="b">
        <f>OR((F293&gt;0),(NOT(ISBLANK(H293))),SUM(H293:H$373),SUM(G293:G$373))</f>
        <v>0</v>
      </c>
      <c r="AU293" t="b">
        <f t="shared" ca="1" si="179"/>
        <v>0</v>
      </c>
    </row>
    <row r="294" spans="1:47">
      <c r="A294" s="349">
        <f t="shared" si="192"/>
        <v>41927</v>
      </c>
      <c r="B294" s="350">
        <f t="shared" si="193"/>
        <v>41927</v>
      </c>
      <c r="C294" s="351">
        <f t="shared" si="204"/>
        <v>42</v>
      </c>
      <c r="D294" s="352">
        <f t="shared" si="205"/>
        <v>41912</v>
      </c>
      <c r="E294" s="364" t="str">
        <f t="shared" si="180"/>
        <v/>
      </c>
      <c r="F294" s="6"/>
      <c r="G294" s="7" t="str">
        <f t="shared" si="206"/>
        <v/>
      </c>
      <c r="H294" s="8"/>
      <c r="I294" s="8">
        <f t="shared" si="202"/>
        <v>0</v>
      </c>
      <c r="J294" s="129">
        <f t="shared" si="200"/>
        <v>0</v>
      </c>
      <c r="K294" s="8"/>
      <c r="L294" s="8">
        <f t="shared" si="181"/>
        <v>0</v>
      </c>
      <c r="M294" s="129">
        <f t="shared" si="182"/>
        <v>0</v>
      </c>
      <c r="N294" s="129"/>
      <c r="O294" s="129">
        <f t="shared" si="175"/>
        <v>0</v>
      </c>
      <c r="P294" s="129"/>
      <c r="Q294" s="129">
        <f t="shared" si="183"/>
        <v>0</v>
      </c>
      <c r="R294" s="129">
        <f t="shared" si="184"/>
        <v>0</v>
      </c>
      <c r="S294" s="693">
        <f t="shared" si="185"/>
        <v>6</v>
      </c>
      <c r="T294" s="129">
        <f t="shared" si="203"/>
        <v>0</v>
      </c>
      <c r="U294" s="165">
        <f t="shared" si="186"/>
        <v>0</v>
      </c>
      <c r="V294" s="75"/>
      <c r="W294" s="131">
        <f t="shared" si="176"/>
        <v>4.1666666666666664E-2</v>
      </c>
      <c r="X294" s="126">
        <f t="shared" si="187"/>
        <v>0</v>
      </c>
      <c r="Y294" s="127">
        <f t="shared" si="207"/>
        <v>0.33333333333333331</v>
      </c>
      <c r="Z294" s="128">
        <f t="shared" si="208"/>
        <v>0</v>
      </c>
      <c r="AA294" s="76" t="str">
        <f t="shared" si="209"/>
        <v/>
      </c>
      <c r="AB294" s="216">
        <f t="shared" si="177"/>
        <v>0</v>
      </c>
      <c r="AC294" s="163" t="str">
        <f t="shared" si="210"/>
        <v/>
      </c>
      <c r="AD294" s="257">
        <f t="shared" si="194"/>
        <v>0</v>
      </c>
      <c r="AE294" s="138"/>
      <c r="AF294" s="138" t="str">
        <f t="shared" si="195"/>
        <v/>
      </c>
      <c r="AG294" s="77">
        <f t="shared" si="211"/>
        <v>0</v>
      </c>
      <c r="AH294" s="77">
        <f t="shared" si="212"/>
        <v>0</v>
      </c>
      <c r="AI294" s="77" t="str">
        <f t="shared" si="196"/>
        <v/>
      </c>
      <c r="AJ294" s="78">
        <f t="shared" si="178"/>
        <v>2</v>
      </c>
      <c r="AK294" s="139">
        <f>SUM($AC$6:AC294)</f>
        <v>0</v>
      </c>
      <c r="AL294" s="139">
        <f t="shared" ca="1" si="188"/>
        <v>0</v>
      </c>
      <c r="AM294" s="143">
        <f t="shared" si="197"/>
        <v>0</v>
      </c>
      <c r="AN294" s="143">
        <f t="shared" si="198"/>
        <v>0</v>
      </c>
      <c r="AO294" s="143">
        <f t="shared" si="199"/>
        <v>0</v>
      </c>
      <c r="AP294" s="142">
        <f t="shared" si="189"/>
        <v>30</v>
      </c>
      <c r="AQ294" s="142">
        <f t="shared" ca="1" si="190"/>
        <v>30</v>
      </c>
      <c r="AR294" s="154">
        <f t="shared" si="201"/>
        <v>0</v>
      </c>
      <c r="AS294" s="142">
        <f t="shared" si="191"/>
        <v>0</v>
      </c>
      <c r="AT294" t="b">
        <f>OR((F294&gt;0),(NOT(ISBLANK(H294))),SUM(H294:H$373),SUM(G294:G$373))</f>
        <v>0</v>
      </c>
      <c r="AU294" t="b">
        <f t="shared" ca="1" si="179"/>
        <v>0</v>
      </c>
    </row>
    <row r="295" spans="1:47">
      <c r="A295" s="349">
        <f t="shared" si="192"/>
        <v>41928</v>
      </c>
      <c r="B295" s="350">
        <f t="shared" si="193"/>
        <v>41928</v>
      </c>
      <c r="C295" s="351">
        <f t="shared" si="204"/>
        <v>42</v>
      </c>
      <c r="D295" s="352">
        <f t="shared" si="205"/>
        <v>41912</v>
      </c>
      <c r="E295" s="364" t="str">
        <f t="shared" si="180"/>
        <v/>
      </c>
      <c r="F295" s="6"/>
      <c r="G295" s="7" t="str">
        <f t="shared" si="206"/>
        <v/>
      </c>
      <c r="H295" s="8"/>
      <c r="I295" s="8">
        <f t="shared" si="202"/>
        <v>0</v>
      </c>
      <c r="J295" s="129">
        <f t="shared" si="200"/>
        <v>0</v>
      </c>
      <c r="K295" s="8"/>
      <c r="L295" s="8">
        <f t="shared" si="181"/>
        <v>0</v>
      </c>
      <c r="M295" s="129">
        <f t="shared" si="182"/>
        <v>0</v>
      </c>
      <c r="N295" s="129"/>
      <c r="O295" s="129">
        <f t="shared" si="175"/>
        <v>0</v>
      </c>
      <c r="P295" s="129"/>
      <c r="Q295" s="129">
        <f t="shared" si="183"/>
        <v>0</v>
      </c>
      <c r="R295" s="129">
        <f t="shared" si="184"/>
        <v>0</v>
      </c>
      <c r="S295" s="693">
        <f t="shared" si="185"/>
        <v>6</v>
      </c>
      <c r="T295" s="129">
        <f t="shared" si="203"/>
        <v>0</v>
      </c>
      <c r="U295" s="165">
        <f t="shared" si="186"/>
        <v>0</v>
      </c>
      <c r="V295" s="75"/>
      <c r="W295" s="131">
        <f t="shared" si="176"/>
        <v>4.1666666666666664E-2</v>
      </c>
      <c r="X295" s="126">
        <f t="shared" si="187"/>
        <v>0</v>
      </c>
      <c r="Y295" s="127">
        <f t="shared" si="207"/>
        <v>0.33333333333333331</v>
      </c>
      <c r="Z295" s="128">
        <f t="shared" si="208"/>
        <v>0</v>
      </c>
      <c r="AA295" s="76" t="str">
        <f t="shared" si="209"/>
        <v/>
      </c>
      <c r="AB295" s="216">
        <f t="shared" si="177"/>
        <v>0</v>
      </c>
      <c r="AC295" s="163" t="str">
        <f t="shared" si="210"/>
        <v/>
      </c>
      <c r="AD295" s="257">
        <f t="shared" si="194"/>
        <v>0</v>
      </c>
      <c r="AE295" s="138"/>
      <c r="AF295" s="138" t="str">
        <f t="shared" si="195"/>
        <v/>
      </c>
      <c r="AG295" s="77">
        <f t="shared" si="211"/>
        <v>0</v>
      </c>
      <c r="AH295" s="77">
        <f t="shared" si="212"/>
        <v>0</v>
      </c>
      <c r="AI295" s="77" t="str">
        <f t="shared" si="196"/>
        <v/>
      </c>
      <c r="AJ295" s="78">
        <f t="shared" si="178"/>
        <v>3</v>
      </c>
      <c r="AK295" s="139">
        <f>SUM($AC$6:AC295)</f>
        <v>0</v>
      </c>
      <c r="AL295" s="139">
        <f t="shared" ca="1" si="188"/>
        <v>0</v>
      </c>
      <c r="AM295" s="143">
        <f t="shared" si="197"/>
        <v>0</v>
      </c>
      <c r="AN295" s="143">
        <f t="shared" si="198"/>
        <v>0</v>
      </c>
      <c r="AO295" s="143">
        <f t="shared" si="199"/>
        <v>0</v>
      </c>
      <c r="AP295" s="142">
        <f t="shared" si="189"/>
        <v>30</v>
      </c>
      <c r="AQ295" s="142">
        <f t="shared" ca="1" si="190"/>
        <v>30</v>
      </c>
      <c r="AR295" s="154">
        <f t="shared" si="201"/>
        <v>0</v>
      </c>
      <c r="AS295" s="142">
        <f t="shared" si="191"/>
        <v>0</v>
      </c>
      <c r="AT295" t="b">
        <f>OR((F295&gt;0),(NOT(ISBLANK(H295))),SUM(H295:H$373),SUM(G295:G$373))</f>
        <v>0</v>
      </c>
      <c r="AU295" t="b">
        <f t="shared" ca="1" si="179"/>
        <v>0</v>
      </c>
    </row>
    <row r="296" spans="1:47">
      <c r="A296" s="349">
        <f t="shared" si="192"/>
        <v>41929</v>
      </c>
      <c r="B296" s="350">
        <f t="shared" si="193"/>
        <v>41929</v>
      </c>
      <c r="C296" s="351">
        <f t="shared" si="204"/>
        <v>42</v>
      </c>
      <c r="D296" s="352">
        <f t="shared" si="205"/>
        <v>41912</v>
      </c>
      <c r="E296" s="364" t="str">
        <f t="shared" si="180"/>
        <v/>
      </c>
      <c r="F296" s="6"/>
      <c r="G296" s="7" t="str">
        <f t="shared" si="206"/>
        <v/>
      </c>
      <c r="H296" s="8"/>
      <c r="I296" s="8">
        <f t="shared" si="202"/>
        <v>0</v>
      </c>
      <c r="J296" s="129">
        <f t="shared" si="200"/>
        <v>0</v>
      </c>
      <c r="K296" s="8"/>
      <c r="L296" s="8">
        <f t="shared" si="181"/>
        <v>0</v>
      </c>
      <c r="M296" s="129">
        <f t="shared" si="182"/>
        <v>0</v>
      </c>
      <c r="N296" s="129"/>
      <c r="O296" s="129">
        <f t="shared" si="175"/>
        <v>0</v>
      </c>
      <c r="P296" s="129"/>
      <c r="Q296" s="129">
        <f t="shared" si="183"/>
        <v>0</v>
      </c>
      <c r="R296" s="129">
        <f t="shared" si="184"/>
        <v>0</v>
      </c>
      <c r="S296" s="693">
        <f t="shared" si="185"/>
        <v>6</v>
      </c>
      <c r="T296" s="129">
        <f t="shared" si="203"/>
        <v>0</v>
      </c>
      <c r="U296" s="165">
        <f t="shared" si="186"/>
        <v>0</v>
      </c>
      <c r="V296" s="75"/>
      <c r="W296" s="131">
        <f t="shared" si="176"/>
        <v>4.1666666666666664E-2</v>
      </c>
      <c r="X296" s="126">
        <f t="shared" si="187"/>
        <v>0</v>
      </c>
      <c r="Y296" s="127">
        <f t="shared" si="207"/>
        <v>0.33333333333333331</v>
      </c>
      <c r="Z296" s="128">
        <f t="shared" si="208"/>
        <v>0</v>
      </c>
      <c r="AA296" s="76" t="str">
        <f t="shared" si="209"/>
        <v/>
      </c>
      <c r="AB296" s="216">
        <f t="shared" si="177"/>
        <v>0</v>
      </c>
      <c r="AC296" s="163" t="str">
        <f t="shared" si="210"/>
        <v/>
      </c>
      <c r="AD296" s="257">
        <f t="shared" si="194"/>
        <v>0</v>
      </c>
      <c r="AE296" s="138"/>
      <c r="AF296" s="138" t="str">
        <f t="shared" si="195"/>
        <v/>
      </c>
      <c r="AG296" s="77">
        <f t="shared" si="211"/>
        <v>0</v>
      </c>
      <c r="AH296" s="77">
        <f t="shared" si="212"/>
        <v>0</v>
      </c>
      <c r="AI296" s="77" t="str">
        <f t="shared" si="196"/>
        <v/>
      </c>
      <c r="AJ296" s="78">
        <f t="shared" si="178"/>
        <v>4</v>
      </c>
      <c r="AK296" s="139">
        <f>SUM($AC$6:AC296)</f>
        <v>0</v>
      </c>
      <c r="AL296" s="139">
        <f t="shared" ca="1" si="188"/>
        <v>0</v>
      </c>
      <c r="AM296" s="143">
        <f t="shared" si="197"/>
        <v>0</v>
      </c>
      <c r="AN296" s="143">
        <f t="shared" si="198"/>
        <v>0</v>
      </c>
      <c r="AO296" s="143">
        <f t="shared" si="199"/>
        <v>0</v>
      </c>
      <c r="AP296" s="142">
        <f t="shared" si="189"/>
        <v>30</v>
      </c>
      <c r="AQ296" s="142">
        <f t="shared" ca="1" si="190"/>
        <v>30</v>
      </c>
      <c r="AR296" s="154">
        <f t="shared" si="201"/>
        <v>0</v>
      </c>
      <c r="AS296" s="142">
        <f t="shared" si="191"/>
        <v>0</v>
      </c>
      <c r="AT296" t="b">
        <f>OR((F296&gt;0),(NOT(ISBLANK(H296))),SUM(H296:H$373),SUM(G296:G$373))</f>
        <v>0</v>
      </c>
      <c r="AU296" t="b">
        <f t="shared" ca="1" si="179"/>
        <v>0</v>
      </c>
    </row>
    <row r="297" spans="1:47">
      <c r="A297" s="349">
        <f t="shared" si="192"/>
        <v>41930</v>
      </c>
      <c r="B297" s="350">
        <f t="shared" si="193"/>
        <v>41930</v>
      </c>
      <c r="C297" s="351">
        <f t="shared" si="204"/>
        <v>42</v>
      </c>
      <c r="D297" s="352">
        <f t="shared" si="205"/>
        <v>41912</v>
      </c>
      <c r="E297" s="364" t="str">
        <f t="shared" si="180"/>
        <v/>
      </c>
      <c r="F297" s="6"/>
      <c r="G297" s="7" t="str">
        <f t="shared" si="206"/>
        <v/>
      </c>
      <c r="H297" s="8"/>
      <c r="I297" s="8">
        <f t="shared" si="202"/>
        <v>0</v>
      </c>
      <c r="J297" s="129">
        <f t="shared" si="200"/>
        <v>0</v>
      </c>
      <c r="K297" s="8"/>
      <c r="L297" s="8">
        <f t="shared" si="181"/>
        <v>0</v>
      </c>
      <c r="M297" s="129">
        <f t="shared" si="182"/>
        <v>0</v>
      </c>
      <c r="N297" s="129"/>
      <c r="O297" s="129">
        <f t="shared" si="175"/>
        <v>0</v>
      </c>
      <c r="P297" s="129"/>
      <c r="Q297" s="129">
        <f t="shared" si="183"/>
        <v>0</v>
      </c>
      <c r="R297" s="129">
        <f t="shared" si="184"/>
        <v>0</v>
      </c>
      <c r="S297" s="693">
        <f t="shared" si="185"/>
        <v>6</v>
      </c>
      <c r="T297" s="129">
        <f t="shared" si="203"/>
        <v>0</v>
      </c>
      <c r="U297" s="165">
        <f t="shared" si="186"/>
        <v>0</v>
      </c>
      <c r="V297" s="75"/>
      <c r="W297" s="131">
        <f t="shared" si="176"/>
        <v>4.1666666666666664E-2</v>
      </c>
      <c r="X297" s="126">
        <f t="shared" si="187"/>
        <v>0</v>
      </c>
      <c r="Y297" s="127">
        <f t="shared" si="207"/>
        <v>0.33333333333333331</v>
      </c>
      <c r="Z297" s="128">
        <f t="shared" si="208"/>
        <v>0</v>
      </c>
      <c r="AA297" s="76" t="str">
        <f t="shared" si="209"/>
        <v/>
      </c>
      <c r="AB297" s="216">
        <f t="shared" si="177"/>
        <v>0</v>
      </c>
      <c r="AC297" s="163" t="str">
        <f t="shared" si="210"/>
        <v/>
      </c>
      <c r="AD297" s="257">
        <f t="shared" si="194"/>
        <v>0</v>
      </c>
      <c r="AE297" s="138"/>
      <c r="AF297" s="138" t="str">
        <f t="shared" si="195"/>
        <v/>
      </c>
      <c r="AG297" s="77">
        <f t="shared" si="211"/>
        <v>0</v>
      </c>
      <c r="AH297" s="77">
        <f t="shared" si="212"/>
        <v>0</v>
      </c>
      <c r="AI297" s="77" t="str">
        <f t="shared" si="196"/>
        <v/>
      </c>
      <c r="AJ297" s="78">
        <f t="shared" si="178"/>
        <v>5</v>
      </c>
      <c r="AK297" s="139">
        <f>SUM($AC$6:AC297)</f>
        <v>0</v>
      </c>
      <c r="AL297" s="139">
        <f t="shared" ca="1" si="188"/>
        <v>0</v>
      </c>
      <c r="AM297" s="143">
        <f t="shared" si="197"/>
        <v>0</v>
      </c>
      <c r="AN297" s="143">
        <f t="shared" si="198"/>
        <v>0</v>
      </c>
      <c r="AO297" s="143">
        <f t="shared" si="199"/>
        <v>0</v>
      </c>
      <c r="AP297" s="142">
        <f t="shared" si="189"/>
        <v>30</v>
      </c>
      <c r="AQ297" s="142">
        <f t="shared" ca="1" si="190"/>
        <v>30</v>
      </c>
      <c r="AR297" s="154">
        <f t="shared" si="201"/>
        <v>0</v>
      </c>
      <c r="AS297" s="142">
        <f t="shared" si="191"/>
        <v>0</v>
      </c>
      <c r="AT297" t="b">
        <f>OR((F297&gt;0),(NOT(ISBLANK(H297))),SUM(H297:H$373),SUM(G297:G$373))</f>
        <v>0</v>
      </c>
      <c r="AU297" t="b">
        <f t="shared" ca="1" si="179"/>
        <v>0</v>
      </c>
    </row>
    <row r="298" spans="1:47">
      <c r="A298" s="349">
        <f t="shared" si="192"/>
        <v>41931</v>
      </c>
      <c r="B298" s="350">
        <f t="shared" si="193"/>
        <v>41931</v>
      </c>
      <c r="C298" s="351">
        <f t="shared" si="204"/>
        <v>42</v>
      </c>
      <c r="D298" s="352">
        <f t="shared" si="205"/>
        <v>41912</v>
      </c>
      <c r="E298" s="364" t="str">
        <f t="shared" si="180"/>
        <v/>
      </c>
      <c r="F298" s="6"/>
      <c r="G298" s="7" t="str">
        <f t="shared" si="206"/>
        <v/>
      </c>
      <c r="H298" s="8"/>
      <c r="I298" s="8">
        <f t="shared" si="202"/>
        <v>0</v>
      </c>
      <c r="J298" s="129">
        <f t="shared" si="200"/>
        <v>0</v>
      </c>
      <c r="K298" s="8"/>
      <c r="L298" s="8">
        <f t="shared" si="181"/>
        <v>0</v>
      </c>
      <c r="M298" s="129">
        <f t="shared" si="182"/>
        <v>0</v>
      </c>
      <c r="N298" s="129"/>
      <c r="O298" s="129">
        <f t="shared" si="175"/>
        <v>0</v>
      </c>
      <c r="P298" s="129"/>
      <c r="Q298" s="129">
        <f t="shared" si="183"/>
        <v>0</v>
      </c>
      <c r="R298" s="129">
        <f t="shared" si="184"/>
        <v>0</v>
      </c>
      <c r="S298" s="693">
        <f t="shared" si="185"/>
        <v>6</v>
      </c>
      <c r="T298" s="129">
        <f t="shared" si="203"/>
        <v>0</v>
      </c>
      <c r="U298" s="165">
        <f t="shared" si="186"/>
        <v>0</v>
      </c>
      <c r="V298" s="75"/>
      <c r="W298" s="131">
        <f t="shared" si="176"/>
        <v>4.1666666666666664E-2</v>
      </c>
      <c r="X298" s="126">
        <f t="shared" si="187"/>
        <v>0</v>
      </c>
      <c r="Y298" s="127">
        <f t="shared" si="207"/>
        <v>0</v>
      </c>
      <c r="Z298" s="128">
        <f t="shared" si="208"/>
        <v>0</v>
      </c>
      <c r="AA298" s="76" t="str">
        <f t="shared" si="209"/>
        <v/>
      </c>
      <c r="AB298" s="216">
        <f t="shared" si="177"/>
        <v>0</v>
      </c>
      <c r="AC298" s="163" t="str">
        <f t="shared" si="210"/>
        <v/>
      </c>
      <c r="AD298" s="257">
        <f t="shared" si="194"/>
        <v>0</v>
      </c>
      <c r="AE298" s="138"/>
      <c r="AF298" s="138" t="str">
        <f t="shared" si="195"/>
        <v/>
      </c>
      <c r="AG298" s="77">
        <f t="shared" si="211"/>
        <v>0</v>
      </c>
      <c r="AH298" s="77">
        <f t="shared" si="212"/>
        <v>0</v>
      </c>
      <c r="AI298" s="77" t="str">
        <f t="shared" si="196"/>
        <v/>
      </c>
      <c r="AJ298" s="78">
        <f t="shared" si="178"/>
        <v>6</v>
      </c>
      <c r="AK298" s="139">
        <f>SUM($AC$6:AC298)</f>
        <v>0</v>
      </c>
      <c r="AL298" s="139">
        <f t="shared" ca="1" si="188"/>
        <v>0</v>
      </c>
      <c r="AM298" s="143">
        <f t="shared" si="197"/>
        <v>0</v>
      </c>
      <c r="AN298" s="143">
        <f t="shared" si="198"/>
        <v>0</v>
      </c>
      <c r="AO298" s="143">
        <f t="shared" si="199"/>
        <v>0</v>
      </c>
      <c r="AP298" s="142">
        <f t="shared" si="189"/>
        <v>30</v>
      </c>
      <c r="AQ298" s="142">
        <f t="shared" ca="1" si="190"/>
        <v>30</v>
      </c>
      <c r="AR298" s="154">
        <f t="shared" si="201"/>
        <v>0</v>
      </c>
      <c r="AS298" s="142">
        <f t="shared" si="191"/>
        <v>7</v>
      </c>
      <c r="AT298" t="b">
        <f>OR((F298&gt;0),(NOT(ISBLANK(H298))),SUM(H298:H$373),SUM(G298:G$373))</f>
        <v>0</v>
      </c>
      <c r="AU298" t="b">
        <f t="shared" ca="1" si="179"/>
        <v>1</v>
      </c>
    </row>
    <row r="299" spans="1:47">
      <c r="A299" s="349">
        <f t="shared" si="192"/>
        <v>41932</v>
      </c>
      <c r="B299" s="350">
        <f t="shared" si="193"/>
        <v>41932</v>
      </c>
      <c r="C299" s="351">
        <f t="shared" si="204"/>
        <v>42</v>
      </c>
      <c r="D299" s="352">
        <f t="shared" si="205"/>
        <v>41912</v>
      </c>
      <c r="E299" s="364" t="str">
        <f t="shared" si="180"/>
        <v/>
      </c>
      <c r="F299" s="6"/>
      <c r="G299" s="7" t="str">
        <f t="shared" si="206"/>
        <v/>
      </c>
      <c r="H299" s="8"/>
      <c r="I299" s="8">
        <f t="shared" si="202"/>
        <v>0</v>
      </c>
      <c r="J299" s="129">
        <f t="shared" si="200"/>
        <v>0</v>
      </c>
      <c r="K299" s="8"/>
      <c r="L299" s="8">
        <f t="shared" si="181"/>
        <v>0</v>
      </c>
      <c r="M299" s="129">
        <f t="shared" si="182"/>
        <v>0</v>
      </c>
      <c r="N299" s="129"/>
      <c r="O299" s="129">
        <f t="shared" si="175"/>
        <v>0</v>
      </c>
      <c r="P299" s="129"/>
      <c r="Q299" s="129">
        <f t="shared" si="183"/>
        <v>0</v>
      </c>
      <c r="R299" s="129">
        <f t="shared" si="184"/>
        <v>0</v>
      </c>
      <c r="S299" s="693">
        <f t="shared" si="185"/>
        <v>6</v>
      </c>
      <c r="T299" s="129">
        <f t="shared" si="203"/>
        <v>0</v>
      </c>
      <c r="U299" s="165">
        <f t="shared" si="186"/>
        <v>0</v>
      </c>
      <c r="V299" s="75"/>
      <c r="W299" s="131">
        <f t="shared" si="176"/>
        <v>4.1666666666666664E-2</v>
      </c>
      <c r="X299" s="126">
        <f t="shared" si="187"/>
        <v>0</v>
      </c>
      <c r="Y299" s="127">
        <f t="shared" si="207"/>
        <v>0</v>
      </c>
      <c r="Z299" s="128">
        <f t="shared" si="208"/>
        <v>0</v>
      </c>
      <c r="AA299" s="76" t="str">
        <f t="shared" si="209"/>
        <v/>
      </c>
      <c r="AB299" s="216">
        <f t="shared" si="177"/>
        <v>0</v>
      </c>
      <c r="AC299" s="163" t="str">
        <f t="shared" si="210"/>
        <v/>
      </c>
      <c r="AD299" s="257">
        <f t="shared" si="194"/>
        <v>0</v>
      </c>
      <c r="AE299" s="138"/>
      <c r="AF299" s="138" t="str">
        <f t="shared" si="195"/>
        <v/>
      </c>
      <c r="AG299" s="77">
        <f t="shared" si="211"/>
        <v>0</v>
      </c>
      <c r="AH299" s="77">
        <f t="shared" si="212"/>
        <v>0</v>
      </c>
      <c r="AI299" s="77" t="str">
        <f t="shared" si="196"/>
        <v/>
      </c>
      <c r="AJ299" s="78">
        <f t="shared" si="178"/>
        <v>7</v>
      </c>
      <c r="AK299" s="139">
        <f>SUM($AC$6:AC299)</f>
        <v>0</v>
      </c>
      <c r="AL299" s="139">
        <f t="shared" ca="1" si="188"/>
        <v>0</v>
      </c>
      <c r="AM299" s="143">
        <f t="shared" si="197"/>
        <v>0</v>
      </c>
      <c r="AN299" s="143">
        <f t="shared" si="198"/>
        <v>0</v>
      </c>
      <c r="AO299" s="143">
        <f t="shared" si="199"/>
        <v>0</v>
      </c>
      <c r="AP299" s="142">
        <f t="shared" si="189"/>
        <v>30</v>
      </c>
      <c r="AQ299" s="142">
        <f t="shared" ca="1" si="190"/>
        <v>30</v>
      </c>
      <c r="AR299" s="154">
        <f t="shared" si="201"/>
        <v>0</v>
      </c>
      <c r="AS299" s="142">
        <f t="shared" si="191"/>
        <v>7</v>
      </c>
      <c r="AT299" t="b">
        <f>OR((F299&gt;0),(NOT(ISBLANK(H299))),SUM(H299:H$373),SUM(G299:G$373))</f>
        <v>0</v>
      </c>
      <c r="AU299" t="b">
        <f t="shared" ca="1" si="179"/>
        <v>1</v>
      </c>
    </row>
    <row r="300" spans="1:47">
      <c r="A300" s="349">
        <f t="shared" si="192"/>
        <v>41933</v>
      </c>
      <c r="B300" s="350">
        <f t="shared" si="193"/>
        <v>41933</v>
      </c>
      <c r="C300" s="351">
        <f t="shared" si="204"/>
        <v>43</v>
      </c>
      <c r="D300" s="352">
        <f t="shared" si="205"/>
        <v>41912</v>
      </c>
      <c r="E300" s="364" t="str">
        <f t="shared" si="180"/>
        <v/>
      </c>
      <c r="F300" s="6"/>
      <c r="G300" s="7" t="str">
        <f t="shared" si="206"/>
        <v/>
      </c>
      <c r="H300" s="8"/>
      <c r="I300" s="8">
        <f t="shared" si="202"/>
        <v>0</v>
      </c>
      <c r="J300" s="129">
        <f t="shared" si="200"/>
        <v>0</v>
      </c>
      <c r="K300" s="8"/>
      <c r="L300" s="8">
        <f t="shared" si="181"/>
        <v>0</v>
      </c>
      <c r="M300" s="129">
        <f t="shared" si="182"/>
        <v>0</v>
      </c>
      <c r="N300" s="129"/>
      <c r="O300" s="129">
        <f t="shared" si="175"/>
        <v>0</v>
      </c>
      <c r="P300" s="129"/>
      <c r="Q300" s="129">
        <f t="shared" si="183"/>
        <v>0</v>
      </c>
      <c r="R300" s="129">
        <f t="shared" si="184"/>
        <v>0</v>
      </c>
      <c r="S300" s="693">
        <f t="shared" si="185"/>
        <v>6</v>
      </c>
      <c r="T300" s="129">
        <f t="shared" si="203"/>
        <v>0</v>
      </c>
      <c r="U300" s="165">
        <f t="shared" si="186"/>
        <v>0</v>
      </c>
      <c r="V300" s="75"/>
      <c r="W300" s="131">
        <f t="shared" si="176"/>
        <v>4.1666666666666664E-2</v>
      </c>
      <c r="X300" s="126">
        <f t="shared" si="187"/>
        <v>0</v>
      </c>
      <c r="Y300" s="127">
        <f t="shared" si="207"/>
        <v>0.33333333333333331</v>
      </c>
      <c r="Z300" s="128">
        <f t="shared" si="208"/>
        <v>0</v>
      </c>
      <c r="AA300" s="76" t="str">
        <f t="shared" si="209"/>
        <v/>
      </c>
      <c r="AB300" s="216">
        <f t="shared" si="177"/>
        <v>0</v>
      </c>
      <c r="AC300" s="163" t="str">
        <f t="shared" si="210"/>
        <v/>
      </c>
      <c r="AD300" s="257">
        <f t="shared" si="194"/>
        <v>0</v>
      </c>
      <c r="AE300" s="138"/>
      <c r="AF300" s="138" t="str">
        <f t="shared" si="195"/>
        <v/>
      </c>
      <c r="AG300" s="77">
        <f t="shared" si="211"/>
        <v>0</v>
      </c>
      <c r="AH300" s="77">
        <f t="shared" si="212"/>
        <v>0</v>
      </c>
      <c r="AI300" s="77" t="str">
        <f t="shared" si="196"/>
        <v/>
      </c>
      <c r="AJ300" s="78">
        <f t="shared" si="178"/>
        <v>1</v>
      </c>
      <c r="AK300" s="139">
        <f>SUM($AC$6:AC300)</f>
        <v>0</v>
      </c>
      <c r="AL300" s="139">
        <f t="shared" ca="1" si="188"/>
        <v>0</v>
      </c>
      <c r="AM300" s="143">
        <f t="shared" si="197"/>
        <v>0</v>
      </c>
      <c r="AN300" s="143">
        <f t="shared" si="198"/>
        <v>0</v>
      </c>
      <c r="AO300" s="143">
        <f t="shared" si="199"/>
        <v>0</v>
      </c>
      <c r="AP300" s="142">
        <f t="shared" si="189"/>
        <v>30</v>
      </c>
      <c r="AQ300" s="142">
        <f t="shared" ca="1" si="190"/>
        <v>30</v>
      </c>
      <c r="AR300" s="154">
        <f t="shared" si="201"/>
        <v>0</v>
      </c>
      <c r="AS300" s="142">
        <f t="shared" si="191"/>
        <v>0</v>
      </c>
      <c r="AT300" t="b">
        <f>OR((F300&gt;0),(NOT(ISBLANK(H300))),SUM(H300:H$373),SUM(G300:G$373))</f>
        <v>0</v>
      </c>
      <c r="AU300" t="b">
        <f t="shared" ca="1" si="179"/>
        <v>0</v>
      </c>
    </row>
    <row r="301" spans="1:47">
      <c r="A301" s="349">
        <f t="shared" si="192"/>
        <v>41934</v>
      </c>
      <c r="B301" s="350">
        <f t="shared" si="193"/>
        <v>41934</v>
      </c>
      <c r="C301" s="351">
        <f t="shared" si="204"/>
        <v>43</v>
      </c>
      <c r="D301" s="352">
        <f t="shared" si="205"/>
        <v>41912</v>
      </c>
      <c r="E301" s="364" t="str">
        <f t="shared" si="180"/>
        <v/>
      </c>
      <c r="F301" s="6"/>
      <c r="G301" s="7" t="str">
        <f t="shared" si="206"/>
        <v/>
      </c>
      <c r="H301" s="8"/>
      <c r="I301" s="8">
        <f t="shared" si="202"/>
        <v>0</v>
      </c>
      <c r="J301" s="129">
        <f t="shared" si="200"/>
        <v>0</v>
      </c>
      <c r="K301" s="8"/>
      <c r="L301" s="8">
        <f t="shared" si="181"/>
        <v>0</v>
      </c>
      <c r="M301" s="129">
        <f t="shared" si="182"/>
        <v>0</v>
      </c>
      <c r="N301" s="129"/>
      <c r="O301" s="129">
        <f t="shared" si="175"/>
        <v>0</v>
      </c>
      <c r="P301" s="129"/>
      <c r="Q301" s="129">
        <f t="shared" si="183"/>
        <v>0</v>
      </c>
      <c r="R301" s="129">
        <f t="shared" si="184"/>
        <v>0</v>
      </c>
      <c r="S301" s="693">
        <f t="shared" si="185"/>
        <v>6</v>
      </c>
      <c r="T301" s="129">
        <f t="shared" si="203"/>
        <v>0</v>
      </c>
      <c r="U301" s="165">
        <f t="shared" si="186"/>
        <v>0</v>
      </c>
      <c r="V301" s="75"/>
      <c r="W301" s="131">
        <f t="shared" si="176"/>
        <v>4.1666666666666664E-2</v>
      </c>
      <c r="X301" s="126">
        <f t="shared" si="187"/>
        <v>0</v>
      </c>
      <c r="Y301" s="127">
        <f t="shared" si="207"/>
        <v>0.33333333333333331</v>
      </c>
      <c r="Z301" s="128">
        <f t="shared" si="208"/>
        <v>0</v>
      </c>
      <c r="AA301" s="76" t="str">
        <f t="shared" si="209"/>
        <v/>
      </c>
      <c r="AB301" s="216">
        <f t="shared" si="177"/>
        <v>0</v>
      </c>
      <c r="AC301" s="163" t="str">
        <f t="shared" si="210"/>
        <v/>
      </c>
      <c r="AD301" s="257">
        <f t="shared" si="194"/>
        <v>0</v>
      </c>
      <c r="AE301" s="138"/>
      <c r="AF301" s="138" t="str">
        <f t="shared" si="195"/>
        <v/>
      </c>
      <c r="AG301" s="77">
        <f t="shared" si="211"/>
        <v>0</v>
      </c>
      <c r="AH301" s="77">
        <f t="shared" si="212"/>
        <v>0</v>
      </c>
      <c r="AI301" s="77" t="str">
        <f t="shared" si="196"/>
        <v/>
      </c>
      <c r="AJ301" s="78">
        <f t="shared" si="178"/>
        <v>2</v>
      </c>
      <c r="AK301" s="139">
        <f>SUM($AC$6:AC301)</f>
        <v>0</v>
      </c>
      <c r="AL301" s="139">
        <f t="shared" ca="1" si="188"/>
        <v>0</v>
      </c>
      <c r="AM301" s="143">
        <f t="shared" si="197"/>
        <v>0</v>
      </c>
      <c r="AN301" s="143">
        <f t="shared" si="198"/>
        <v>0</v>
      </c>
      <c r="AO301" s="143">
        <f t="shared" si="199"/>
        <v>0</v>
      </c>
      <c r="AP301" s="142">
        <f t="shared" si="189"/>
        <v>30</v>
      </c>
      <c r="AQ301" s="142">
        <f t="shared" ca="1" si="190"/>
        <v>30</v>
      </c>
      <c r="AR301" s="154">
        <f t="shared" si="201"/>
        <v>0</v>
      </c>
      <c r="AS301" s="142">
        <f t="shared" si="191"/>
        <v>0</v>
      </c>
      <c r="AT301" t="b">
        <f>OR((F301&gt;0),(NOT(ISBLANK(H301))),SUM(H301:H$373),SUM(G301:G$373))</f>
        <v>0</v>
      </c>
      <c r="AU301" t="b">
        <f t="shared" ca="1" si="179"/>
        <v>0</v>
      </c>
    </row>
    <row r="302" spans="1:47">
      <c r="A302" s="349">
        <f t="shared" si="192"/>
        <v>41935</v>
      </c>
      <c r="B302" s="350">
        <f t="shared" si="193"/>
        <v>41935</v>
      </c>
      <c r="C302" s="351">
        <f t="shared" si="204"/>
        <v>43</v>
      </c>
      <c r="D302" s="352">
        <f t="shared" si="205"/>
        <v>41912</v>
      </c>
      <c r="E302" s="364" t="str">
        <f t="shared" si="180"/>
        <v/>
      </c>
      <c r="F302" s="6"/>
      <c r="G302" s="7" t="str">
        <f t="shared" si="206"/>
        <v/>
      </c>
      <c r="H302" s="8"/>
      <c r="I302" s="8">
        <f t="shared" si="202"/>
        <v>0</v>
      </c>
      <c r="J302" s="129">
        <f t="shared" si="200"/>
        <v>0</v>
      </c>
      <c r="K302" s="8"/>
      <c r="L302" s="8">
        <f t="shared" si="181"/>
        <v>0</v>
      </c>
      <c r="M302" s="129">
        <f t="shared" si="182"/>
        <v>0</v>
      </c>
      <c r="N302" s="129"/>
      <c r="O302" s="129">
        <f t="shared" si="175"/>
        <v>0</v>
      </c>
      <c r="P302" s="129"/>
      <c r="Q302" s="129">
        <f t="shared" si="183"/>
        <v>0</v>
      </c>
      <c r="R302" s="129">
        <f t="shared" si="184"/>
        <v>0</v>
      </c>
      <c r="S302" s="693">
        <f t="shared" si="185"/>
        <v>6</v>
      </c>
      <c r="T302" s="129">
        <f t="shared" si="203"/>
        <v>0</v>
      </c>
      <c r="U302" s="165">
        <f t="shared" si="186"/>
        <v>0</v>
      </c>
      <c r="V302" s="75"/>
      <c r="W302" s="131">
        <f t="shared" si="176"/>
        <v>4.1666666666666664E-2</v>
      </c>
      <c r="X302" s="126">
        <f t="shared" si="187"/>
        <v>0</v>
      </c>
      <c r="Y302" s="127">
        <f t="shared" si="207"/>
        <v>0.33333333333333331</v>
      </c>
      <c r="Z302" s="128">
        <f t="shared" si="208"/>
        <v>0</v>
      </c>
      <c r="AA302" s="76" t="str">
        <f t="shared" si="209"/>
        <v/>
      </c>
      <c r="AB302" s="216">
        <f t="shared" si="177"/>
        <v>0</v>
      </c>
      <c r="AC302" s="163" t="str">
        <f t="shared" si="210"/>
        <v/>
      </c>
      <c r="AD302" s="257">
        <f t="shared" si="194"/>
        <v>0</v>
      </c>
      <c r="AE302" s="138"/>
      <c r="AF302" s="138" t="str">
        <f t="shared" si="195"/>
        <v/>
      </c>
      <c r="AG302" s="77">
        <f t="shared" si="211"/>
        <v>0</v>
      </c>
      <c r="AH302" s="77">
        <f t="shared" si="212"/>
        <v>0</v>
      </c>
      <c r="AI302" s="77" t="str">
        <f t="shared" si="196"/>
        <v/>
      </c>
      <c r="AJ302" s="78">
        <f t="shared" si="178"/>
        <v>3</v>
      </c>
      <c r="AK302" s="139">
        <f>SUM($AC$6:AC302)</f>
        <v>0</v>
      </c>
      <c r="AL302" s="139">
        <f t="shared" ca="1" si="188"/>
        <v>0</v>
      </c>
      <c r="AM302" s="143">
        <f t="shared" si="197"/>
        <v>0</v>
      </c>
      <c r="AN302" s="143">
        <f t="shared" si="198"/>
        <v>0</v>
      </c>
      <c r="AO302" s="143">
        <f t="shared" si="199"/>
        <v>0</v>
      </c>
      <c r="AP302" s="142">
        <f t="shared" si="189"/>
        <v>30</v>
      </c>
      <c r="AQ302" s="142">
        <f t="shared" ca="1" si="190"/>
        <v>30</v>
      </c>
      <c r="AR302" s="154">
        <f t="shared" si="201"/>
        <v>0</v>
      </c>
      <c r="AS302" s="142">
        <f t="shared" si="191"/>
        <v>0</v>
      </c>
      <c r="AT302" t="b">
        <f>OR((F302&gt;0),(NOT(ISBLANK(H302))),SUM(H302:H$373),SUM(G302:G$373))</f>
        <v>0</v>
      </c>
      <c r="AU302" t="b">
        <f t="shared" ca="1" si="179"/>
        <v>0</v>
      </c>
    </row>
    <row r="303" spans="1:47">
      <c r="A303" s="349">
        <f t="shared" si="192"/>
        <v>41936</v>
      </c>
      <c r="B303" s="350">
        <f t="shared" si="193"/>
        <v>41936</v>
      </c>
      <c r="C303" s="351">
        <f t="shared" si="204"/>
        <v>43</v>
      </c>
      <c r="D303" s="352">
        <f t="shared" si="205"/>
        <v>41912</v>
      </c>
      <c r="E303" s="364" t="str">
        <f t="shared" si="180"/>
        <v/>
      </c>
      <c r="F303" s="6"/>
      <c r="G303" s="7" t="str">
        <f t="shared" si="206"/>
        <v/>
      </c>
      <c r="H303" s="8"/>
      <c r="I303" s="8">
        <f t="shared" si="202"/>
        <v>0</v>
      </c>
      <c r="J303" s="129">
        <f t="shared" si="200"/>
        <v>0</v>
      </c>
      <c r="K303" s="8"/>
      <c r="L303" s="8">
        <f t="shared" si="181"/>
        <v>0</v>
      </c>
      <c r="M303" s="129">
        <f t="shared" si="182"/>
        <v>0</v>
      </c>
      <c r="N303" s="129"/>
      <c r="O303" s="129">
        <f t="shared" si="175"/>
        <v>0</v>
      </c>
      <c r="P303" s="129"/>
      <c r="Q303" s="129">
        <f t="shared" si="183"/>
        <v>0</v>
      </c>
      <c r="R303" s="129">
        <f t="shared" si="184"/>
        <v>0</v>
      </c>
      <c r="S303" s="693">
        <f t="shared" si="185"/>
        <v>6</v>
      </c>
      <c r="T303" s="129">
        <f t="shared" si="203"/>
        <v>0</v>
      </c>
      <c r="U303" s="165">
        <f t="shared" si="186"/>
        <v>0</v>
      </c>
      <c r="V303" s="75"/>
      <c r="W303" s="131">
        <f t="shared" si="176"/>
        <v>4.1666666666666664E-2</v>
      </c>
      <c r="X303" s="126">
        <f t="shared" si="187"/>
        <v>0</v>
      </c>
      <c r="Y303" s="127">
        <f t="shared" si="207"/>
        <v>0.33333333333333331</v>
      </c>
      <c r="Z303" s="128">
        <f t="shared" si="208"/>
        <v>0</v>
      </c>
      <c r="AA303" s="76" t="str">
        <f t="shared" si="209"/>
        <v/>
      </c>
      <c r="AB303" s="216">
        <f t="shared" si="177"/>
        <v>0</v>
      </c>
      <c r="AC303" s="163" t="str">
        <f t="shared" si="210"/>
        <v/>
      </c>
      <c r="AD303" s="257">
        <f t="shared" si="194"/>
        <v>0</v>
      </c>
      <c r="AE303" s="138"/>
      <c r="AF303" s="138" t="str">
        <f t="shared" si="195"/>
        <v/>
      </c>
      <c r="AG303" s="77">
        <f t="shared" si="211"/>
        <v>0</v>
      </c>
      <c r="AH303" s="77">
        <f t="shared" si="212"/>
        <v>0</v>
      </c>
      <c r="AI303" s="77" t="str">
        <f t="shared" si="196"/>
        <v/>
      </c>
      <c r="AJ303" s="78">
        <f t="shared" si="178"/>
        <v>4</v>
      </c>
      <c r="AK303" s="139">
        <f>SUM($AC$6:AC303)</f>
        <v>0</v>
      </c>
      <c r="AL303" s="139">
        <f t="shared" ca="1" si="188"/>
        <v>0</v>
      </c>
      <c r="AM303" s="143">
        <f t="shared" si="197"/>
        <v>0</v>
      </c>
      <c r="AN303" s="143">
        <f t="shared" si="198"/>
        <v>0</v>
      </c>
      <c r="AO303" s="143">
        <f t="shared" si="199"/>
        <v>0</v>
      </c>
      <c r="AP303" s="142">
        <f t="shared" si="189"/>
        <v>30</v>
      </c>
      <c r="AQ303" s="142">
        <f t="shared" ca="1" si="190"/>
        <v>30</v>
      </c>
      <c r="AR303" s="154">
        <f t="shared" si="201"/>
        <v>0</v>
      </c>
      <c r="AS303" s="142">
        <f t="shared" si="191"/>
        <v>0</v>
      </c>
      <c r="AT303" t="b">
        <f>OR((F303&gt;0),(NOT(ISBLANK(H303))),SUM(H303:H$373),SUM(G303:G$373))</f>
        <v>0</v>
      </c>
      <c r="AU303" t="b">
        <f t="shared" ca="1" si="179"/>
        <v>0</v>
      </c>
    </row>
    <row r="304" spans="1:47">
      <c r="A304" s="349">
        <f t="shared" si="192"/>
        <v>41937</v>
      </c>
      <c r="B304" s="350">
        <f t="shared" si="193"/>
        <v>41937</v>
      </c>
      <c r="C304" s="351">
        <f t="shared" si="204"/>
        <v>43</v>
      </c>
      <c r="D304" s="352">
        <f t="shared" si="205"/>
        <v>41912</v>
      </c>
      <c r="E304" s="364" t="str">
        <f t="shared" si="180"/>
        <v/>
      </c>
      <c r="F304" s="6"/>
      <c r="G304" s="7" t="str">
        <f t="shared" si="206"/>
        <v/>
      </c>
      <c r="H304" s="8"/>
      <c r="I304" s="8">
        <f t="shared" si="202"/>
        <v>0</v>
      </c>
      <c r="J304" s="129">
        <f t="shared" si="200"/>
        <v>0</v>
      </c>
      <c r="K304" s="8"/>
      <c r="L304" s="8">
        <f t="shared" si="181"/>
        <v>0</v>
      </c>
      <c r="M304" s="129">
        <f t="shared" si="182"/>
        <v>0</v>
      </c>
      <c r="N304" s="129"/>
      <c r="O304" s="129">
        <f t="shared" si="175"/>
        <v>0</v>
      </c>
      <c r="P304" s="129"/>
      <c r="Q304" s="129">
        <f t="shared" si="183"/>
        <v>0</v>
      </c>
      <c r="R304" s="129">
        <f t="shared" si="184"/>
        <v>0</v>
      </c>
      <c r="S304" s="693">
        <f t="shared" si="185"/>
        <v>6</v>
      </c>
      <c r="T304" s="129">
        <f t="shared" si="203"/>
        <v>0</v>
      </c>
      <c r="U304" s="165">
        <f t="shared" si="186"/>
        <v>0</v>
      </c>
      <c r="V304" s="75"/>
      <c r="W304" s="131">
        <f t="shared" si="176"/>
        <v>4.1666666666666664E-2</v>
      </c>
      <c r="X304" s="126">
        <f t="shared" si="187"/>
        <v>0</v>
      </c>
      <c r="Y304" s="127">
        <f t="shared" si="207"/>
        <v>0.33333333333333331</v>
      </c>
      <c r="Z304" s="128">
        <f t="shared" si="208"/>
        <v>0</v>
      </c>
      <c r="AA304" s="76" t="str">
        <f t="shared" si="209"/>
        <v/>
      </c>
      <c r="AB304" s="216">
        <f t="shared" si="177"/>
        <v>0</v>
      </c>
      <c r="AC304" s="163" t="str">
        <f t="shared" si="210"/>
        <v/>
      </c>
      <c r="AD304" s="257">
        <f t="shared" si="194"/>
        <v>0</v>
      </c>
      <c r="AE304" s="138"/>
      <c r="AF304" s="138" t="str">
        <f t="shared" si="195"/>
        <v/>
      </c>
      <c r="AG304" s="77">
        <f t="shared" si="211"/>
        <v>0</v>
      </c>
      <c r="AH304" s="77">
        <f t="shared" si="212"/>
        <v>0</v>
      </c>
      <c r="AI304" s="77" t="str">
        <f t="shared" si="196"/>
        <v/>
      </c>
      <c r="AJ304" s="78">
        <f t="shared" si="178"/>
        <v>5</v>
      </c>
      <c r="AK304" s="139">
        <f>SUM($AC$6:AC304)</f>
        <v>0</v>
      </c>
      <c r="AL304" s="139">
        <f t="shared" ca="1" si="188"/>
        <v>0</v>
      </c>
      <c r="AM304" s="143">
        <f t="shared" si="197"/>
        <v>0</v>
      </c>
      <c r="AN304" s="143">
        <f t="shared" si="198"/>
        <v>0</v>
      </c>
      <c r="AO304" s="143">
        <f t="shared" si="199"/>
        <v>0</v>
      </c>
      <c r="AP304" s="142">
        <f t="shared" si="189"/>
        <v>30</v>
      </c>
      <c r="AQ304" s="142">
        <f t="shared" ca="1" si="190"/>
        <v>30</v>
      </c>
      <c r="AR304" s="154">
        <f t="shared" si="201"/>
        <v>0</v>
      </c>
      <c r="AS304" s="142">
        <f t="shared" si="191"/>
        <v>0</v>
      </c>
      <c r="AT304" t="b">
        <f>OR((F304&gt;0),(NOT(ISBLANK(H304))),SUM(H304:H$373),SUM(G304:G$373))</f>
        <v>0</v>
      </c>
      <c r="AU304" t="b">
        <f t="shared" ca="1" si="179"/>
        <v>0</v>
      </c>
    </row>
    <row r="305" spans="1:47">
      <c r="A305" s="349">
        <f t="shared" si="192"/>
        <v>41938</v>
      </c>
      <c r="B305" s="350">
        <f t="shared" si="193"/>
        <v>41938</v>
      </c>
      <c r="C305" s="351">
        <f t="shared" si="204"/>
        <v>43</v>
      </c>
      <c r="D305" s="352">
        <f t="shared" si="205"/>
        <v>41912</v>
      </c>
      <c r="E305" s="364" t="str">
        <f t="shared" si="180"/>
        <v/>
      </c>
      <c r="F305" s="6"/>
      <c r="G305" s="7" t="str">
        <f t="shared" si="206"/>
        <v/>
      </c>
      <c r="H305" s="8"/>
      <c r="I305" s="8">
        <f t="shared" si="202"/>
        <v>0</v>
      </c>
      <c r="J305" s="129">
        <f t="shared" si="200"/>
        <v>0</v>
      </c>
      <c r="K305" s="8"/>
      <c r="L305" s="8">
        <f t="shared" si="181"/>
        <v>0</v>
      </c>
      <c r="M305" s="129">
        <f t="shared" si="182"/>
        <v>0</v>
      </c>
      <c r="N305" s="129"/>
      <c r="O305" s="129">
        <f t="shared" si="175"/>
        <v>0</v>
      </c>
      <c r="P305" s="129"/>
      <c r="Q305" s="129">
        <f t="shared" si="183"/>
        <v>0</v>
      </c>
      <c r="R305" s="129">
        <f t="shared" si="184"/>
        <v>0</v>
      </c>
      <c r="S305" s="693">
        <f t="shared" si="185"/>
        <v>6</v>
      </c>
      <c r="T305" s="129">
        <f t="shared" si="203"/>
        <v>0</v>
      </c>
      <c r="U305" s="165">
        <f t="shared" si="186"/>
        <v>0</v>
      </c>
      <c r="V305" s="75"/>
      <c r="W305" s="131">
        <f t="shared" si="176"/>
        <v>4.1666666666666664E-2</v>
      </c>
      <c r="X305" s="126">
        <f t="shared" si="187"/>
        <v>0</v>
      </c>
      <c r="Y305" s="127">
        <f t="shared" si="207"/>
        <v>0</v>
      </c>
      <c r="Z305" s="128">
        <f t="shared" si="208"/>
        <v>0</v>
      </c>
      <c r="AA305" s="76" t="str">
        <f t="shared" si="209"/>
        <v/>
      </c>
      <c r="AB305" s="216">
        <f t="shared" si="177"/>
        <v>0</v>
      </c>
      <c r="AC305" s="163" t="str">
        <f t="shared" si="210"/>
        <v/>
      </c>
      <c r="AD305" s="257">
        <f t="shared" si="194"/>
        <v>0</v>
      </c>
      <c r="AE305" s="138"/>
      <c r="AF305" s="138" t="str">
        <f t="shared" si="195"/>
        <v/>
      </c>
      <c r="AG305" s="77">
        <f t="shared" si="211"/>
        <v>0</v>
      </c>
      <c r="AH305" s="77">
        <f t="shared" si="212"/>
        <v>0</v>
      </c>
      <c r="AI305" s="77" t="str">
        <f t="shared" si="196"/>
        <v/>
      </c>
      <c r="AJ305" s="78">
        <f t="shared" si="178"/>
        <v>6</v>
      </c>
      <c r="AK305" s="139">
        <f>SUM($AC$6:AC305)</f>
        <v>0</v>
      </c>
      <c r="AL305" s="139">
        <f t="shared" ca="1" si="188"/>
        <v>0</v>
      </c>
      <c r="AM305" s="143">
        <f t="shared" si="197"/>
        <v>0</v>
      </c>
      <c r="AN305" s="143">
        <f t="shared" si="198"/>
        <v>0</v>
      </c>
      <c r="AO305" s="143">
        <f t="shared" si="199"/>
        <v>0</v>
      </c>
      <c r="AP305" s="142">
        <f t="shared" si="189"/>
        <v>30</v>
      </c>
      <c r="AQ305" s="142">
        <f t="shared" ca="1" si="190"/>
        <v>30</v>
      </c>
      <c r="AR305" s="154">
        <f t="shared" si="201"/>
        <v>0</v>
      </c>
      <c r="AS305" s="142">
        <f t="shared" si="191"/>
        <v>7</v>
      </c>
      <c r="AT305" t="b">
        <f>OR((F305&gt;0),(NOT(ISBLANK(H305))),SUM(H305:H$373),SUM(G305:G$373))</f>
        <v>0</v>
      </c>
      <c r="AU305" t="b">
        <f t="shared" ca="1" si="179"/>
        <v>1</v>
      </c>
    </row>
    <row r="306" spans="1:47">
      <c r="A306" s="349">
        <f t="shared" si="192"/>
        <v>41939</v>
      </c>
      <c r="B306" s="350">
        <f t="shared" si="193"/>
        <v>41939</v>
      </c>
      <c r="C306" s="351">
        <f t="shared" si="204"/>
        <v>43</v>
      </c>
      <c r="D306" s="352">
        <f t="shared" si="205"/>
        <v>41912</v>
      </c>
      <c r="E306" s="364" t="str">
        <f t="shared" si="180"/>
        <v/>
      </c>
      <c r="F306" s="6"/>
      <c r="G306" s="7" t="str">
        <f t="shared" si="206"/>
        <v/>
      </c>
      <c r="H306" s="8"/>
      <c r="I306" s="8">
        <f t="shared" si="202"/>
        <v>0</v>
      </c>
      <c r="J306" s="129">
        <f t="shared" si="200"/>
        <v>0</v>
      </c>
      <c r="K306" s="8"/>
      <c r="L306" s="8">
        <f t="shared" si="181"/>
        <v>0</v>
      </c>
      <c r="M306" s="129">
        <f t="shared" si="182"/>
        <v>0</v>
      </c>
      <c r="N306" s="129"/>
      <c r="O306" s="129">
        <f t="shared" si="175"/>
        <v>0</v>
      </c>
      <c r="P306" s="129"/>
      <c r="Q306" s="129">
        <f t="shared" si="183"/>
        <v>0</v>
      </c>
      <c r="R306" s="129">
        <f t="shared" si="184"/>
        <v>0</v>
      </c>
      <c r="S306" s="693">
        <f t="shared" si="185"/>
        <v>6</v>
      </c>
      <c r="T306" s="129">
        <f t="shared" si="203"/>
        <v>0</v>
      </c>
      <c r="U306" s="165">
        <f t="shared" si="186"/>
        <v>0</v>
      </c>
      <c r="V306" s="75"/>
      <c r="W306" s="131">
        <f t="shared" si="176"/>
        <v>4.1666666666666664E-2</v>
      </c>
      <c r="X306" s="126">
        <f t="shared" si="187"/>
        <v>0</v>
      </c>
      <c r="Y306" s="127">
        <f t="shared" si="207"/>
        <v>0</v>
      </c>
      <c r="Z306" s="128">
        <f t="shared" si="208"/>
        <v>0</v>
      </c>
      <c r="AA306" s="76" t="str">
        <f t="shared" si="209"/>
        <v/>
      </c>
      <c r="AB306" s="216">
        <f t="shared" si="177"/>
        <v>0</v>
      </c>
      <c r="AC306" s="163" t="str">
        <f t="shared" si="210"/>
        <v/>
      </c>
      <c r="AD306" s="257">
        <f t="shared" si="194"/>
        <v>0</v>
      </c>
      <c r="AE306" s="138"/>
      <c r="AF306" s="138" t="str">
        <f t="shared" si="195"/>
        <v/>
      </c>
      <c r="AG306" s="77">
        <f t="shared" si="211"/>
        <v>0</v>
      </c>
      <c r="AH306" s="77">
        <f t="shared" si="212"/>
        <v>0</v>
      </c>
      <c r="AI306" s="77" t="str">
        <f t="shared" si="196"/>
        <v/>
      </c>
      <c r="AJ306" s="78">
        <f t="shared" si="178"/>
        <v>7</v>
      </c>
      <c r="AK306" s="139">
        <f>SUM($AC$6:AC306)</f>
        <v>0</v>
      </c>
      <c r="AL306" s="139">
        <f t="shared" ca="1" si="188"/>
        <v>0</v>
      </c>
      <c r="AM306" s="143">
        <f t="shared" si="197"/>
        <v>0</v>
      </c>
      <c r="AN306" s="143">
        <f t="shared" si="198"/>
        <v>0</v>
      </c>
      <c r="AO306" s="143">
        <f t="shared" si="199"/>
        <v>0</v>
      </c>
      <c r="AP306" s="142">
        <f t="shared" si="189"/>
        <v>30</v>
      </c>
      <c r="AQ306" s="142">
        <f t="shared" ca="1" si="190"/>
        <v>30</v>
      </c>
      <c r="AR306" s="154">
        <f t="shared" si="201"/>
        <v>0</v>
      </c>
      <c r="AS306" s="142">
        <f t="shared" si="191"/>
        <v>7</v>
      </c>
      <c r="AT306" t="b">
        <f>OR((F306&gt;0),(NOT(ISBLANK(H306))),SUM(H306:H$373),SUM(G306:G$373))</f>
        <v>0</v>
      </c>
      <c r="AU306" t="b">
        <f t="shared" ca="1" si="179"/>
        <v>1</v>
      </c>
    </row>
    <row r="307" spans="1:47">
      <c r="A307" s="349">
        <f t="shared" si="192"/>
        <v>41940</v>
      </c>
      <c r="B307" s="350">
        <f t="shared" si="193"/>
        <v>41940</v>
      </c>
      <c r="C307" s="351">
        <f t="shared" si="204"/>
        <v>44</v>
      </c>
      <c r="D307" s="352">
        <f t="shared" si="205"/>
        <v>41912</v>
      </c>
      <c r="E307" s="364" t="str">
        <f t="shared" si="180"/>
        <v/>
      </c>
      <c r="F307" s="6"/>
      <c r="G307" s="7" t="str">
        <f t="shared" si="206"/>
        <v/>
      </c>
      <c r="H307" s="8"/>
      <c r="I307" s="8">
        <f t="shared" si="202"/>
        <v>0</v>
      </c>
      <c r="J307" s="129">
        <f t="shared" si="200"/>
        <v>0</v>
      </c>
      <c r="K307" s="8"/>
      <c r="L307" s="8">
        <f t="shared" si="181"/>
        <v>0</v>
      </c>
      <c r="M307" s="129">
        <f t="shared" si="182"/>
        <v>0</v>
      </c>
      <c r="N307" s="129"/>
      <c r="O307" s="129">
        <f t="shared" si="175"/>
        <v>0</v>
      </c>
      <c r="P307" s="129"/>
      <c r="Q307" s="129">
        <f t="shared" si="183"/>
        <v>0</v>
      </c>
      <c r="R307" s="129">
        <f t="shared" si="184"/>
        <v>0</v>
      </c>
      <c r="S307" s="693">
        <f t="shared" si="185"/>
        <v>6</v>
      </c>
      <c r="T307" s="129">
        <f t="shared" si="203"/>
        <v>0</v>
      </c>
      <c r="U307" s="165">
        <f t="shared" si="186"/>
        <v>0</v>
      </c>
      <c r="V307" s="75"/>
      <c r="W307" s="131">
        <f t="shared" si="176"/>
        <v>4.1666666666666664E-2</v>
      </c>
      <c r="X307" s="126">
        <f t="shared" si="187"/>
        <v>0</v>
      </c>
      <c r="Y307" s="127">
        <f t="shared" si="207"/>
        <v>0.33333333333333331</v>
      </c>
      <c r="Z307" s="128">
        <f t="shared" si="208"/>
        <v>0</v>
      </c>
      <c r="AA307" s="76" t="str">
        <f t="shared" si="209"/>
        <v/>
      </c>
      <c r="AB307" s="216">
        <f t="shared" si="177"/>
        <v>0</v>
      </c>
      <c r="AC307" s="163" t="str">
        <f t="shared" si="210"/>
        <v/>
      </c>
      <c r="AD307" s="257">
        <f t="shared" si="194"/>
        <v>0</v>
      </c>
      <c r="AE307" s="138"/>
      <c r="AF307" s="138" t="str">
        <f t="shared" si="195"/>
        <v/>
      </c>
      <c r="AG307" s="77">
        <f t="shared" si="211"/>
        <v>0</v>
      </c>
      <c r="AH307" s="77">
        <f t="shared" si="212"/>
        <v>0</v>
      </c>
      <c r="AI307" s="77" t="str">
        <f t="shared" si="196"/>
        <v/>
      </c>
      <c r="AJ307" s="78">
        <f t="shared" si="178"/>
        <v>1</v>
      </c>
      <c r="AK307" s="139">
        <f>SUM($AC$6:AC307)</f>
        <v>0</v>
      </c>
      <c r="AL307" s="139">
        <f t="shared" ca="1" si="188"/>
        <v>0</v>
      </c>
      <c r="AM307" s="143">
        <f t="shared" si="197"/>
        <v>0</v>
      </c>
      <c r="AN307" s="143">
        <f t="shared" si="198"/>
        <v>0</v>
      </c>
      <c r="AO307" s="143">
        <f t="shared" si="199"/>
        <v>0</v>
      </c>
      <c r="AP307" s="142">
        <f t="shared" si="189"/>
        <v>30</v>
      </c>
      <c r="AQ307" s="142">
        <f t="shared" ca="1" si="190"/>
        <v>30</v>
      </c>
      <c r="AR307" s="154">
        <f t="shared" si="201"/>
        <v>0</v>
      </c>
      <c r="AS307" s="142">
        <f t="shared" si="191"/>
        <v>0</v>
      </c>
      <c r="AT307" t="b">
        <f>OR((F307&gt;0),(NOT(ISBLANK(H307))),SUM(H307:H$373),SUM(G307:G$373))</f>
        <v>0</v>
      </c>
      <c r="AU307" t="b">
        <f t="shared" ca="1" si="179"/>
        <v>0</v>
      </c>
    </row>
    <row r="308" spans="1:47">
      <c r="A308" s="349">
        <f t="shared" si="192"/>
        <v>41941</v>
      </c>
      <c r="B308" s="350">
        <f t="shared" si="193"/>
        <v>41941</v>
      </c>
      <c r="C308" s="351">
        <f t="shared" si="204"/>
        <v>44</v>
      </c>
      <c r="D308" s="352">
        <f t="shared" si="205"/>
        <v>41912</v>
      </c>
      <c r="E308" s="364" t="str">
        <f t="shared" si="180"/>
        <v/>
      </c>
      <c r="F308" s="6"/>
      <c r="G308" s="7" t="str">
        <f t="shared" si="206"/>
        <v/>
      </c>
      <c r="H308" s="8"/>
      <c r="I308" s="8">
        <f t="shared" si="202"/>
        <v>0</v>
      </c>
      <c r="J308" s="129">
        <f t="shared" si="200"/>
        <v>0</v>
      </c>
      <c r="K308" s="8"/>
      <c r="L308" s="8">
        <f t="shared" si="181"/>
        <v>0</v>
      </c>
      <c r="M308" s="129">
        <f t="shared" si="182"/>
        <v>0</v>
      </c>
      <c r="N308" s="129"/>
      <c r="O308" s="129">
        <f t="shared" si="175"/>
        <v>0</v>
      </c>
      <c r="P308" s="129"/>
      <c r="Q308" s="129">
        <f t="shared" si="183"/>
        <v>0</v>
      </c>
      <c r="R308" s="129">
        <f t="shared" si="184"/>
        <v>0</v>
      </c>
      <c r="S308" s="693">
        <f t="shared" si="185"/>
        <v>6</v>
      </c>
      <c r="T308" s="129">
        <f t="shared" si="203"/>
        <v>0</v>
      </c>
      <c r="U308" s="165">
        <f t="shared" si="186"/>
        <v>0</v>
      </c>
      <c r="V308" s="75"/>
      <c r="W308" s="131">
        <f t="shared" si="176"/>
        <v>4.1666666666666664E-2</v>
      </c>
      <c r="X308" s="126">
        <f t="shared" si="187"/>
        <v>0</v>
      </c>
      <c r="Y308" s="127">
        <f t="shared" si="207"/>
        <v>0.33333333333333331</v>
      </c>
      <c r="Z308" s="128">
        <f t="shared" si="208"/>
        <v>0</v>
      </c>
      <c r="AA308" s="76" t="str">
        <f t="shared" si="209"/>
        <v/>
      </c>
      <c r="AB308" s="216">
        <f t="shared" si="177"/>
        <v>0</v>
      </c>
      <c r="AC308" s="163" t="str">
        <f t="shared" si="210"/>
        <v/>
      </c>
      <c r="AD308" s="257">
        <f t="shared" si="194"/>
        <v>0</v>
      </c>
      <c r="AE308" s="138"/>
      <c r="AF308" s="138" t="str">
        <f t="shared" si="195"/>
        <v/>
      </c>
      <c r="AG308" s="77">
        <f t="shared" si="211"/>
        <v>0</v>
      </c>
      <c r="AH308" s="77">
        <f t="shared" si="212"/>
        <v>0</v>
      </c>
      <c r="AI308" s="77" t="str">
        <f t="shared" si="196"/>
        <v/>
      </c>
      <c r="AJ308" s="78">
        <f t="shared" si="178"/>
        <v>2</v>
      </c>
      <c r="AK308" s="139">
        <f>SUM($AC$6:AC308)</f>
        <v>0</v>
      </c>
      <c r="AL308" s="139">
        <f t="shared" ca="1" si="188"/>
        <v>0</v>
      </c>
      <c r="AM308" s="143">
        <f t="shared" si="197"/>
        <v>0</v>
      </c>
      <c r="AN308" s="143">
        <f t="shared" si="198"/>
        <v>0</v>
      </c>
      <c r="AO308" s="143">
        <f t="shared" si="199"/>
        <v>0</v>
      </c>
      <c r="AP308" s="142">
        <f t="shared" si="189"/>
        <v>30</v>
      </c>
      <c r="AQ308" s="142">
        <f t="shared" ca="1" si="190"/>
        <v>30</v>
      </c>
      <c r="AR308" s="154">
        <f t="shared" si="201"/>
        <v>0</v>
      </c>
      <c r="AS308" s="142">
        <f t="shared" si="191"/>
        <v>0</v>
      </c>
      <c r="AT308" t="b">
        <f>OR((F308&gt;0),(NOT(ISBLANK(H308))),SUM(H308:H$373),SUM(G308:G$373))</f>
        <v>0</v>
      </c>
      <c r="AU308" t="b">
        <f t="shared" ca="1" si="179"/>
        <v>0</v>
      </c>
    </row>
    <row r="309" spans="1:47">
      <c r="A309" s="349">
        <f t="shared" si="192"/>
        <v>41942</v>
      </c>
      <c r="B309" s="350">
        <f t="shared" si="193"/>
        <v>41942</v>
      </c>
      <c r="C309" s="351">
        <f t="shared" si="204"/>
        <v>44</v>
      </c>
      <c r="D309" s="352">
        <f t="shared" si="205"/>
        <v>41912</v>
      </c>
      <c r="E309" s="364" t="str">
        <f t="shared" si="180"/>
        <v/>
      </c>
      <c r="F309" s="6"/>
      <c r="G309" s="7" t="str">
        <f t="shared" si="206"/>
        <v/>
      </c>
      <c r="H309" s="8"/>
      <c r="I309" s="8">
        <f t="shared" si="202"/>
        <v>0</v>
      </c>
      <c r="J309" s="129">
        <f t="shared" si="200"/>
        <v>0</v>
      </c>
      <c r="K309" s="8"/>
      <c r="L309" s="8">
        <f t="shared" si="181"/>
        <v>0</v>
      </c>
      <c r="M309" s="129">
        <f t="shared" si="182"/>
        <v>0</v>
      </c>
      <c r="N309" s="129"/>
      <c r="O309" s="129">
        <f t="shared" si="175"/>
        <v>0</v>
      </c>
      <c r="P309" s="129"/>
      <c r="Q309" s="129">
        <f t="shared" si="183"/>
        <v>0</v>
      </c>
      <c r="R309" s="129">
        <f t="shared" si="184"/>
        <v>0</v>
      </c>
      <c r="S309" s="693">
        <f t="shared" si="185"/>
        <v>6</v>
      </c>
      <c r="T309" s="129">
        <f t="shared" si="203"/>
        <v>0</v>
      </c>
      <c r="U309" s="165">
        <f t="shared" si="186"/>
        <v>0</v>
      </c>
      <c r="V309" s="75"/>
      <c r="W309" s="131">
        <f t="shared" si="176"/>
        <v>4.1666666666666664E-2</v>
      </c>
      <c r="X309" s="126">
        <f t="shared" si="187"/>
        <v>0</v>
      </c>
      <c r="Y309" s="127">
        <f t="shared" si="207"/>
        <v>0.33333333333333331</v>
      </c>
      <c r="Z309" s="128">
        <f t="shared" si="208"/>
        <v>0</v>
      </c>
      <c r="AA309" s="76" t="str">
        <f t="shared" si="209"/>
        <v/>
      </c>
      <c r="AB309" s="216">
        <f t="shared" si="177"/>
        <v>0</v>
      </c>
      <c r="AC309" s="163" t="str">
        <f t="shared" si="210"/>
        <v/>
      </c>
      <c r="AD309" s="257">
        <f t="shared" si="194"/>
        <v>0</v>
      </c>
      <c r="AE309" s="138"/>
      <c r="AF309" s="138" t="str">
        <f t="shared" si="195"/>
        <v/>
      </c>
      <c r="AG309" s="77">
        <f t="shared" si="211"/>
        <v>0</v>
      </c>
      <c r="AH309" s="77">
        <f t="shared" si="212"/>
        <v>0</v>
      </c>
      <c r="AI309" s="77" t="str">
        <f t="shared" si="196"/>
        <v/>
      </c>
      <c r="AJ309" s="78">
        <f t="shared" si="178"/>
        <v>3</v>
      </c>
      <c r="AK309" s="139">
        <f>SUM($AC$6:AC309)</f>
        <v>0</v>
      </c>
      <c r="AL309" s="139">
        <f t="shared" ca="1" si="188"/>
        <v>0</v>
      </c>
      <c r="AM309" s="143">
        <f t="shared" si="197"/>
        <v>0</v>
      </c>
      <c r="AN309" s="143">
        <f t="shared" si="198"/>
        <v>0</v>
      </c>
      <c r="AO309" s="143">
        <f t="shared" si="199"/>
        <v>0</v>
      </c>
      <c r="AP309" s="142">
        <f t="shared" si="189"/>
        <v>30</v>
      </c>
      <c r="AQ309" s="142">
        <f t="shared" ca="1" si="190"/>
        <v>30</v>
      </c>
      <c r="AR309" s="154">
        <f t="shared" si="201"/>
        <v>0</v>
      </c>
      <c r="AS309" s="142">
        <f t="shared" si="191"/>
        <v>0</v>
      </c>
      <c r="AT309" t="b">
        <f>OR((F309&gt;0),(NOT(ISBLANK(H309))),SUM(H309:H$373),SUM(G309:G$373))</f>
        <v>0</v>
      </c>
      <c r="AU309" t="b">
        <f t="shared" ca="1" si="179"/>
        <v>0</v>
      </c>
    </row>
    <row r="310" spans="1:47">
      <c r="A310" s="349">
        <f t="shared" si="192"/>
        <v>41943</v>
      </c>
      <c r="B310" s="350">
        <f t="shared" si="193"/>
        <v>41943</v>
      </c>
      <c r="C310" s="351">
        <f t="shared" si="204"/>
        <v>44</v>
      </c>
      <c r="D310" s="352">
        <f t="shared" si="205"/>
        <v>41943</v>
      </c>
      <c r="E310" s="364" t="str">
        <f t="shared" si="180"/>
        <v>Allerheiligen</v>
      </c>
      <c r="F310" s="6"/>
      <c r="G310" s="7" t="str">
        <f t="shared" si="206"/>
        <v/>
      </c>
      <c r="H310" s="8"/>
      <c r="I310" s="8">
        <f t="shared" si="202"/>
        <v>0</v>
      </c>
      <c r="J310" s="129">
        <f t="shared" si="200"/>
        <v>0</v>
      </c>
      <c r="K310" s="8"/>
      <c r="L310" s="8">
        <f t="shared" si="181"/>
        <v>0</v>
      </c>
      <c r="M310" s="129">
        <f t="shared" si="182"/>
        <v>0</v>
      </c>
      <c r="N310" s="129"/>
      <c r="O310" s="129">
        <f t="shared" si="175"/>
        <v>0</v>
      </c>
      <c r="P310" s="129"/>
      <c r="Q310" s="129">
        <f t="shared" si="183"/>
        <v>0</v>
      </c>
      <c r="R310" s="129">
        <f t="shared" si="184"/>
        <v>0</v>
      </c>
      <c r="S310" s="693">
        <f t="shared" si="185"/>
        <v>6</v>
      </c>
      <c r="T310" s="129">
        <f t="shared" si="203"/>
        <v>0</v>
      </c>
      <c r="U310" s="165">
        <f t="shared" si="186"/>
        <v>0</v>
      </c>
      <c r="V310" s="75"/>
      <c r="W310" s="131">
        <f t="shared" si="176"/>
        <v>4.1666666666666664E-2</v>
      </c>
      <c r="X310" s="126">
        <f t="shared" si="187"/>
        <v>0</v>
      </c>
      <c r="Y310" s="127" t="str">
        <f t="shared" si="207"/>
        <v/>
      </c>
      <c r="Z310" s="128">
        <f t="shared" si="208"/>
        <v>0</v>
      </c>
      <c r="AA310" s="76" t="str">
        <f t="shared" si="209"/>
        <v/>
      </c>
      <c r="AB310" s="216">
        <f t="shared" si="177"/>
        <v>0</v>
      </c>
      <c r="AC310" s="163" t="str">
        <f t="shared" si="210"/>
        <v/>
      </c>
      <c r="AD310" s="257">
        <f t="shared" si="194"/>
        <v>0</v>
      </c>
      <c r="AE310" s="138"/>
      <c r="AF310" s="138" t="str">
        <f t="shared" si="195"/>
        <v/>
      </c>
      <c r="AG310" s="77">
        <f t="shared" si="211"/>
        <v>0</v>
      </c>
      <c r="AH310" s="77">
        <f t="shared" si="212"/>
        <v>0</v>
      </c>
      <c r="AI310" s="77" t="str">
        <f t="shared" si="196"/>
        <v/>
      </c>
      <c r="AJ310" s="78">
        <f t="shared" si="178"/>
        <v>8</v>
      </c>
      <c r="AK310" s="139">
        <f>SUM($AC$6:AC310)</f>
        <v>0</v>
      </c>
      <c r="AL310" s="139">
        <f t="shared" ca="1" si="188"/>
        <v>0</v>
      </c>
      <c r="AM310" s="143">
        <f t="shared" si="197"/>
        <v>0</v>
      </c>
      <c r="AN310" s="143">
        <f t="shared" si="198"/>
        <v>0</v>
      </c>
      <c r="AO310" s="143">
        <f t="shared" si="199"/>
        <v>0</v>
      </c>
      <c r="AP310" s="142">
        <f t="shared" si="189"/>
        <v>30</v>
      </c>
      <c r="AQ310" s="142">
        <f t="shared" ca="1" si="190"/>
        <v>30</v>
      </c>
      <c r="AR310" s="154">
        <f t="shared" si="201"/>
        <v>0</v>
      </c>
      <c r="AS310" s="142">
        <f t="shared" si="191"/>
        <v>8</v>
      </c>
      <c r="AT310" t="b">
        <f>OR((F310&gt;0),(NOT(ISBLANK(H310))),SUM(H310:H$373),SUM(G310:G$373))</f>
        <v>0</v>
      </c>
      <c r="AU310" t="b">
        <f t="shared" ca="1" si="179"/>
        <v>1</v>
      </c>
    </row>
    <row r="311" spans="1:47">
      <c r="A311" s="349">
        <f t="shared" si="192"/>
        <v>41944</v>
      </c>
      <c r="B311" s="350">
        <f t="shared" si="193"/>
        <v>41944</v>
      </c>
      <c r="C311" s="351">
        <f t="shared" si="204"/>
        <v>44</v>
      </c>
      <c r="D311" s="352">
        <f t="shared" si="205"/>
        <v>41943</v>
      </c>
      <c r="E311" s="364" t="str">
        <f t="shared" si="180"/>
        <v/>
      </c>
      <c r="F311" s="6"/>
      <c r="G311" s="7" t="str">
        <f t="shared" si="206"/>
        <v/>
      </c>
      <c r="H311" s="8"/>
      <c r="I311" s="8">
        <f t="shared" si="202"/>
        <v>0</v>
      </c>
      <c r="J311" s="129">
        <f t="shared" si="200"/>
        <v>0</v>
      </c>
      <c r="K311" s="8"/>
      <c r="L311" s="8">
        <f t="shared" si="181"/>
        <v>0</v>
      </c>
      <c r="M311" s="129">
        <f t="shared" si="182"/>
        <v>0</v>
      </c>
      <c r="N311" s="129"/>
      <c r="O311" s="129">
        <f t="shared" si="175"/>
        <v>0</v>
      </c>
      <c r="P311" s="129"/>
      <c r="Q311" s="129">
        <f t="shared" si="183"/>
        <v>0</v>
      </c>
      <c r="R311" s="129">
        <f t="shared" si="184"/>
        <v>0</v>
      </c>
      <c r="S311" s="693">
        <f t="shared" si="185"/>
        <v>6</v>
      </c>
      <c r="T311" s="129">
        <f t="shared" si="203"/>
        <v>0</v>
      </c>
      <c r="U311" s="165">
        <f t="shared" si="186"/>
        <v>0</v>
      </c>
      <c r="V311" s="75"/>
      <c r="W311" s="131">
        <f t="shared" si="176"/>
        <v>4.1666666666666664E-2</v>
      </c>
      <c r="X311" s="126">
        <f t="shared" si="187"/>
        <v>0</v>
      </c>
      <c r="Y311" s="127">
        <f t="shared" si="207"/>
        <v>0.33333333333333331</v>
      </c>
      <c r="Z311" s="128">
        <f t="shared" si="208"/>
        <v>0</v>
      </c>
      <c r="AA311" s="76" t="str">
        <f t="shared" si="209"/>
        <v/>
      </c>
      <c r="AB311" s="216">
        <f t="shared" si="177"/>
        <v>0</v>
      </c>
      <c r="AC311" s="163" t="str">
        <f t="shared" si="210"/>
        <v/>
      </c>
      <c r="AD311" s="257">
        <f t="shared" si="194"/>
        <v>0</v>
      </c>
      <c r="AE311" s="138"/>
      <c r="AF311" s="138" t="str">
        <f t="shared" si="195"/>
        <v/>
      </c>
      <c r="AG311" s="77">
        <f t="shared" si="211"/>
        <v>0</v>
      </c>
      <c r="AH311" s="77">
        <f t="shared" si="212"/>
        <v>0</v>
      </c>
      <c r="AI311" s="77" t="str">
        <f t="shared" si="196"/>
        <v/>
      </c>
      <c r="AJ311" s="78">
        <f t="shared" si="178"/>
        <v>5</v>
      </c>
      <c r="AK311" s="139">
        <f>SUM($AC$6:AC311)</f>
        <v>0</v>
      </c>
      <c r="AL311" s="139">
        <f t="shared" ca="1" si="188"/>
        <v>0</v>
      </c>
      <c r="AM311" s="143">
        <f t="shared" si="197"/>
        <v>0</v>
      </c>
      <c r="AN311" s="143">
        <f t="shared" si="198"/>
        <v>0</v>
      </c>
      <c r="AO311" s="143">
        <f t="shared" si="199"/>
        <v>0</v>
      </c>
      <c r="AP311" s="142">
        <f t="shared" si="189"/>
        <v>30</v>
      </c>
      <c r="AQ311" s="142">
        <f t="shared" ca="1" si="190"/>
        <v>30</v>
      </c>
      <c r="AR311" s="154">
        <f t="shared" si="201"/>
        <v>0</v>
      </c>
      <c r="AS311" s="142">
        <f t="shared" si="191"/>
        <v>0</v>
      </c>
      <c r="AT311" t="b">
        <f>OR((F311&gt;0),(NOT(ISBLANK(H311))),SUM(H311:H$373),SUM(G311:G$373))</f>
        <v>0</v>
      </c>
      <c r="AU311" t="b">
        <f t="shared" ca="1" si="179"/>
        <v>0</v>
      </c>
    </row>
    <row r="312" spans="1:47">
      <c r="A312" s="349">
        <f t="shared" si="192"/>
        <v>41945</v>
      </c>
      <c r="B312" s="350">
        <f t="shared" si="193"/>
        <v>41945</v>
      </c>
      <c r="C312" s="351">
        <f t="shared" si="204"/>
        <v>44</v>
      </c>
      <c r="D312" s="352">
        <f t="shared" si="205"/>
        <v>41943</v>
      </c>
      <c r="E312" s="364" t="str">
        <f t="shared" si="180"/>
        <v/>
      </c>
      <c r="F312" s="6"/>
      <c r="G312" s="7" t="str">
        <f t="shared" si="206"/>
        <v/>
      </c>
      <c r="H312" s="8"/>
      <c r="I312" s="8">
        <f t="shared" si="202"/>
        <v>0</v>
      </c>
      <c r="J312" s="129">
        <f t="shared" si="200"/>
        <v>0</v>
      </c>
      <c r="K312" s="8"/>
      <c r="L312" s="8">
        <f t="shared" si="181"/>
        <v>0</v>
      </c>
      <c r="M312" s="129">
        <f t="shared" si="182"/>
        <v>0</v>
      </c>
      <c r="N312" s="129"/>
      <c r="O312" s="129">
        <f t="shared" si="175"/>
        <v>0</v>
      </c>
      <c r="P312" s="129"/>
      <c r="Q312" s="129">
        <f t="shared" si="183"/>
        <v>0</v>
      </c>
      <c r="R312" s="129">
        <f t="shared" si="184"/>
        <v>0</v>
      </c>
      <c r="S312" s="693">
        <f t="shared" si="185"/>
        <v>6</v>
      </c>
      <c r="T312" s="129">
        <f t="shared" si="203"/>
        <v>0</v>
      </c>
      <c r="U312" s="165">
        <f t="shared" si="186"/>
        <v>0</v>
      </c>
      <c r="V312" s="75"/>
      <c r="W312" s="131">
        <f t="shared" si="176"/>
        <v>4.1666666666666664E-2</v>
      </c>
      <c r="X312" s="126">
        <f t="shared" si="187"/>
        <v>0</v>
      </c>
      <c r="Y312" s="127">
        <f t="shared" si="207"/>
        <v>0</v>
      </c>
      <c r="Z312" s="128">
        <f t="shared" si="208"/>
        <v>0</v>
      </c>
      <c r="AA312" s="76" t="str">
        <f t="shared" si="209"/>
        <v/>
      </c>
      <c r="AB312" s="216">
        <f t="shared" si="177"/>
        <v>0</v>
      </c>
      <c r="AC312" s="163" t="str">
        <f t="shared" si="210"/>
        <v/>
      </c>
      <c r="AD312" s="257">
        <f t="shared" si="194"/>
        <v>0</v>
      </c>
      <c r="AE312" s="138"/>
      <c r="AF312" s="138" t="str">
        <f t="shared" si="195"/>
        <v/>
      </c>
      <c r="AG312" s="77">
        <f t="shared" si="211"/>
        <v>0</v>
      </c>
      <c r="AH312" s="77">
        <f t="shared" si="212"/>
        <v>0</v>
      </c>
      <c r="AI312" s="77" t="str">
        <f t="shared" si="196"/>
        <v/>
      </c>
      <c r="AJ312" s="78">
        <f t="shared" si="178"/>
        <v>6</v>
      </c>
      <c r="AK312" s="139">
        <f>SUM($AC$6:AC312)</f>
        <v>0</v>
      </c>
      <c r="AL312" s="139">
        <f t="shared" ca="1" si="188"/>
        <v>0</v>
      </c>
      <c r="AM312" s="143">
        <f t="shared" si="197"/>
        <v>0</v>
      </c>
      <c r="AN312" s="143">
        <f t="shared" si="198"/>
        <v>0</v>
      </c>
      <c r="AO312" s="143">
        <f t="shared" si="199"/>
        <v>0</v>
      </c>
      <c r="AP312" s="142">
        <f t="shared" si="189"/>
        <v>30</v>
      </c>
      <c r="AQ312" s="142">
        <f t="shared" ca="1" si="190"/>
        <v>30</v>
      </c>
      <c r="AR312" s="154">
        <f t="shared" si="201"/>
        <v>0</v>
      </c>
      <c r="AS312" s="142">
        <f t="shared" si="191"/>
        <v>7</v>
      </c>
      <c r="AT312" t="b">
        <f>OR((F312&gt;0),(NOT(ISBLANK(H312))),SUM(H312:H$373),SUM(G312:G$373))</f>
        <v>0</v>
      </c>
      <c r="AU312" t="b">
        <f t="shared" ca="1" si="179"/>
        <v>1</v>
      </c>
    </row>
    <row r="313" spans="1:47">
      <c r="A313" s="349">
        <f t="shared" si="192"/>
        <v>41946</v>
      </c>
      <c r="B313" s="350">
        <f t="shared" si="193"/>
        <v>41946</v>
      </c>
      <c r="C313" s="351">
        <f t="shared" si="204"/>
        <v>44</v>
      </c>
      <c r="D313" s="352">
        <f t="shared" si="205"/>
        <v>41943</v>
      </c>
      <c r="E313" s="364" t="str">
        <f t="shared" si="180"/>
        <v/>
      </c>
      <c r="F313" s="6"/>
      <c r="G313" s="7" t="str">
        <f t="shared" si="206"/>
        <v/>
      </c>
      <c r="H313" s="8"/>
      <c r="I313" s="8">
        <f t="shared" si="202"/>
        <v>0</v>
      </c>
      <c r="J313" s="129">
        <f t="shared" si="200"/>
        <v>0</v>
      </c>
      <c r="K313" s="8"/>
      <c r="L313" s="8">
        <f t="shared" si="181"/>
        <v>0</v>
      </c>
      <c r="M313" s="129">
        <f t="shared" si="182"/>
        <v>0</v>
      </c>
      <c r="N313" s="129"/>
      <c r="O313" s="129">
        <f t="shared" si="175"/>
        <v>0</v>
      </c>
      <c r="P313" s="129"/>
      <c r="Q313" s="129">
        <f t="shared" si="183"/>
        <v>0</v>
      </c>
      <c r="R313" s="129">
        <f t="shared" si="184"/>
        <v>0</v>
      </c>
      <c r="S313" s="693">
        <f t="shared" si="185"/>
        <v>6</v>
      </c>
      <c r="T313" s="129">
        <f t="shared" si="203"/>
        <v>0</v>
      </c>
      <c r="U313" s="165">
        <f t="shared" si="186"/>
        <v>0</v>
      </c>
      <c r="V313" s="75"/>
      <c r="W313" s="131">
        <f t="shared" si="176"/>
        <v>4.1666666666666664E-2</v>
      </c>
      <c r="X313" s="126">
        <f t="shared" si="187"/>
        <v>0</v>
      </c>
      <c r="Y313" s="127">
        <f t="shared" si="207"/>
        <v>0</v>
      </c>
      <c r="Z313" s="128">
        <f t="shared" si="208"/>
        <v>0</v>
      </c>
      <c r="AA313" s="76" t="str">
        <f t="shared" si="209"/>
        <v/>
      </c>
      <c r="AB313" s="216">
        <f t="shared" si="177"/>
        <v>0</v>
      </c>
      <c r="AC313" s="163" t="str">
        <f t="shared" si="210"/>
        <v/>
      </c>
      <c r="AD313" s="257">
        <f t="shared" si="194"/>
        <v>0</v>
      </c>
      <c r="AE313" s="138"/>
      <c r="AF313" s="138" t="str">
        <f t="shared" si="195"/>
        <v/>
      </c>
      <c r="AG313" s="77">
        <f t="shared" si="211"/>
        <v>0</v>
      </c>
      <c r="AH313" s="77">
        <f t="shared" si="212"/>
        <v>0</v>
      </c>
      <c r="AI313" s="77" t="str">
        <f t="shared" si="196"/>
        <v/>
      </c>
      <c r="AJ313" s="78">
        <f t="shared" si="178"/>
        <v>7</v>
      </c>
      <c r="AK313" s="139">
        <f>SUM($AC$6:AC313)</f>
        <v>0</v>
      </c>
      <c r="AL313" s="139">
        <f t="shared" ca="1" si="188"/>
        <v>0</v>
      </c>
      <c r="AM313" s="143">
        <f t="shared" si="197"/>
        <v>0</v>
      </c>
      <c r="AN313" s="143">
        <f t="shared" si="198"/>
        <v>0</v>
      </c>
      <c r="AO313" s="143">
        <f t="shared" si="199"/>
        <v>0</v>
      </c>
      <c r="AP313" s="142">
        <f t="shared" si="189"/>
        <v>30</v>
      </c>
      <c r="AQ313" s="142">
        <f t="shared" ca="1" si="190"/>
        <v>30</v>
      </c>
      <c r="AR313" s="154">
        <f t="shared" si="201"/>
        <v>0</v>
      </c>
      <c r="AS313" s="142">
        <f t="shared" si="191"/>
        <v>7</v>
      </c>
      <c r="AT313" t="b">
        <f>OR((F313&gt;0),(NOT(ISBLANK(H313))),SUM(H313:H$373),SUM(G313:G$373))</f>
        <v>0</v>
      </c>
      <c r="AU313" t="b">
        <f t="shared" ca="1" si="179"/>
        <v>1</v>
      </c>
    </row>
    <row r="314" spans="1:47">
      <c r="A314" s="349">
        <f t="shared" si="192"/>
        <v>41947</v>
      </c>
      <c r="B314" s="350">
        <f t="shared" si="193"/>
        <v>41947</v>
      </c>
      <c r="C314" s="351">
        <f t="shared" si="204"/>
        <v>45</v>
      </c>
      <c r="D314" s="352">
        <f t="shared" si="205"/>
        <v>41943</v>
      </c>
      <c r="E314" s="364" t="str">
        <f t="shared" si="180"/>
        <v/>
      </c>
      <c r="F314" s="6"/>
      <c r="G314" s="7" t="str">
        <f t="shared" si="206"/>
        <v/>
      </c>
      <c r="H314" s="8"/>
      <c r="I314" s="8">
        <f t="shared" si="202"/>
        <v>0</v>
      </c>
      <c r="J314" s="129">
        <f t="shared" si="200"/>
        <v>0</v>
      </c>
      <c r="K314" s="8"/>
      <c r="L314" s="8">
        <f t="shared" si="181"/>
        <v>0</v>
      </c>
      <c r="M314" s="129">
        <f t="shared" si="182"/>
        <v>0</v>
      </c>
      <c r="N314" s="129"/>
      <c r="O314" s="129">
        <f t="shared" si="175"/>
        <v>0</v>
      </c>
      <c r="P314" s="129"/>
      <c r="Q314" s="129">
        <f t="shared" si="183"/>
        <v>0</v>
      </c>
      <c r="R314" s="129">
        <f t="shared" si="184"/>
        <v>0</v>
      </c>
      <c r="S314" s="693">
        <f t="shared" si="185"/>
        <v>6</v>
      </c>
      <c r="T314" s="129">
        <f t="shared" si="203"/>
        <v>0</v>
      </c>
      <c r="U314" s="165">
        <f t="shared" si="186"/>
        <v>0</v>
      </c>
      <c r="V314" s="75"/>
      <c r="W314" s="131">
        <f t="shared" si="176"/>
        <v>4.1666666666666664E-2</v>
      </c>
      <c r="X314" s="126">
        <f t="shared" si="187"/>
        <v>0</v>
      </c>
      <c r="Y314" s="127">
        <f t="shared" si="207"/>
        <v>0.33333333333333331</v>
      </c>
      <c r="Z314" s="128">
        <f t="shared" si="208"/>
        <v>0</v>
      </c>
      <c r="AA314" s="76" t="str">
        <f t="shared" si="209"/>
        <v/>
      </c>
      <c r="AB314" s="216">
        <f t="shared" si="177"/>
        <v>0</v>
      </c>
      <c r="AC314" s="163" t="str">
        <f t="shared" si="210"/>
        <v/>
      </c>
      <c r="AD314" s="257">
        <f t="shared" si="194"/>
        <v>0</v>
      </c>
      <c r="AE314" s="138"/>
      <c r="AF314" s="138" t="str">
        <f t="shared" si="195"/>
        <v/>
      </c>
      <c r="AG314" s="77">
        <f t="shared" si="211"/>
        <v>0</v>
      </c>
      <c r="AH314" s="77">
        <f t="shared" si="212"/>
        <v>0</v>
      </c>
      <c r="AI314" s="77" t="str">
        <f t="shared" si="196"/>
        <v/>
      </c>
      <c r="AJ314" s="78">
        <f t="shared" si="178"/>
        <v>1</v>
      </c>
      <c r="AK314" s="139">
        <f>SUM($AC$6:AC314)</f>
        <v>0</v>
      </c>
      <c r="AL314" s="139">
        <f t="shared" ca="1" si="188"/>
        <v>0</v>
      </c>
      <c r="AM314" s="143">
        <f t="shared" si="197"/>
        <v>0</v>
      </c>
      <c r="AN314" s="143">
        <f t="shared" si="198"/>
        <v>0</v>
      </c>
      <c r="AO314" s="143">
        <f t="shared" si="199"/>
        <v>0</v>
      </c>
      <c r="AP314" s="142">
        <f t="shared" si="189"/>
        <v>30</v>
      </c>
      <c r="AQ314" s="142">
        <f t="shared" ca="1" si="190"/>
        <v>30</v>
      </c>
      <c r="AR314" s="154">
        <f t="shared" si="201"/>
        <v>0</v>
      </c>
      <c r="AS314" s="142">
        <f t="shared" si="191"/>
        <v>0</v>
      </c>
      <c r="AT314" t="b">
        <f>OR((F314&gt;0),(NOT(ISBLANK(H314))),SUM(H314:H$373),SUM(G314:G$373))</f>
        <v>0</v>
      </c>
      <c r="AU314" t="b">
        <f t="shared" ca="1" si="179"/>
        <v>0</v>
      </c>
    </row>
    <row r="315" spans="1:47">
      <c r="A315" s="349">
        <f t="shared" si="192"/>
        <v>41948</v>
      </c>
      <c r="B315" s="350">
        <f t="shared" si="193"/>
        <v>41948</v>
      </c>
      <c r="C315" s="351">
        <f t="shared" si="204"/>
        <v>45</v>
      </c>
      <c r="D315" s="352">
        <f t="shared" si="205"/>
        <v>41943</v>
      </c>
      <c r="E315" s="364" t="str">
        <f t="shared" si="180"/>
        <v/>
      </c>
      <c r="F315" s="6"/>
      <c r="G315" s="7" t="str">
        <f t="shared" si="206"/>
        <v/>
      </c>
      <c r="H315" s="8"/>
      <c r="I315" s="8">
        <f t="shared" si="202"/>
        <v>0</v>
      </c>
      <c r="J315" s="129">
        <f t="shared" si="200"/>
        <v>0</v>
      </c>
      <c r="K315" s="8"/>
      <c r="L315" s="8">
        <f t="shared" si="181"/>
        <v>0</v>
      </c>
      <c r="M315" s="129">
        <f t="shared" si="182"/>
        <v>0</v>
      </c>
      <c r="N315" s="129"/>
      <c r="O315" s="129">
        <f t="shared" si="175"/>
        <v>0</v>
      </c>
      <c r="P315" s="129"/>
      <c r="Q315" s="129">
        <f t="shared" si="183"/>
        <v>0</v>
      </c>
      <c r="R315" s="129">
        <f t="shared" si="184"/>
        <v>0</v>
      </c>
      <c r="S315" s="693">
        <f t="shared" si="185"/>
        <v>6</v>
      </c>
      <c r="T315" s="129">
        <f t="shared" si="203"/>
        <v>0</v>
      </c>
      <c r="U315" s="165">
        <f t="shared" si="186"/>
        <v>0</v>
      </c>
      <c r="V315" s="75"/>
      <c r="W315" s="131">
        <f t="shared" si="176"/>
        <v>4.1666666666666664E-2</v>
      </c>
      <c r="X315" s="126">
        <f t="shared" si="187"/>
        <v>0</v>
      </c>
      <c r="Y315" s="127">
        <f t="shared" si="207"/>
        <v>0.33333333333333331</v>
      </c>
      <c r="Z315" s="128">
        <f t="shared" si="208"/>
        <v>0</v>
      </c>
      <c r="AA315" s="76" t="str">
        <f t="shared" si="209"/>
        <v/>
      </c>
      <c r="AB315" s="216">
        <f t="shared" si="177"/>
        <v>0</v>
      </c>
      <c r="AC315" s="163" t="str">
        <f t="shared" si="210"/>
        <v/>
      </c>
      <c r="AD315" s="257">
        <f t="shared" si="194"/>
        <v>0</v>
      </c>
      <c r="AE315" s="138"/>
      <c r="AF315" s="138" t="str">
        <f t="shared" si="195"/>
        <v/>
      </c>
      <c r="AG315" s="77">
        <f t="shared" si="211"/>
        <v>0</v>
      </c>
      <c r="AH315" s="77">
        <f t="shared" si="212"/>
        <v>0</v>
      </c>
      <c r="AI315" s="77" t="str">
        <f t="shared" si="196"/>
        <v/>
      </c>
      <c r="AJ315" s="78">
        <f t="shared" si="178"/>
        <v>2</v>
      </c>
      <c r="AK315" s="139">
        <f>SUM($AC$6:AC315)</f>
        <v>0</v>
      </c>
      <c r="AL315" s="139">
        <f t="shared" ca="1" si="188"/>
        <v>0</v>
      </c>
      <c r="AM315" s="143">
        <f t="shared" si="197"/>
        <v>0</v>
      </c>
      <c r="AN315" s="143">
        <f t="shared" si="198"/>
        <v>0</v>
      </c>
      <c r="AO315" s="143">
        <f t="shared" si="199"/>
        <v>0</v>
      </c>
      <c r="AP315" s="142">
        <f t="shared" si="189"/>
        <v>30</v>
      </c>
      <c r="AQ315" s="142">
        <f t="shared" ca="1" si="190"/>
        <v>30</v>
      </c>
      <c r="AR315" s="154">
        <f t="shared" si="201"/>
        <v>0</v>
      </c>
      <c r="AS315" s="142">
        <f t="shared" si="191"/>
        <v>0</v>
      </c>
      <c r="AT315" t="b">
        <f>OR((F315&gt;0),(NOT(ISBLANK(H315))),SUM(H315:H$373),SUM(G315:G$373))</f>
        <v>0</v>
      </c>
      <c r="AU315" t="b">
        <f t="shared" ca="1" si="179"/>
        <v>0</v>
      </c>
    </row>
    <row r="316" spans="1:47">
      <c r="A316" s="349">
        <f t="shared" si="192"/>
        <v>41949</v>
      </c>
      <c r="B316" s="350">
        <f t="shared" si="193"/>
        <v>41949</v>
      </c>
      <c r="C316" s="351">
        <f t="shared" si="204"/>
        <v>45</v>
      </c>
      <c r="D316" s="352">
        <f t="shared" si="205"/>
        <v>41943</v>
      </c>
      <c r="E316" s="364" t="str">
        <f t="shared" si="180"/>
        <v/>
      </c>
      <c r="F316" s="6"/>
      <c r="G316" s="7" t="str">
        <f t="shared" si="206"/>
        <v/>
      </c>
      <c r="H316" s="8"/>
      <c r="I316" s="8">
        <f t="shared" si="202"/>
        <v>0</v>
      </c>
      <c r="J316" s="129">
        <f t="shared" si="200"/>
        <v>0</v>
      </c>
      <c r="K316" s="8"/>
      <c r="L316" s="8">
        <f t="shared" si="181"/>
        <v>0</v>
      </c>
      <c r="M316" s="129">
        <f t="shared" si="182"/>
        <v>0</v>
      </c>
      <c r="N316" s="129"/>
      <c r="O316" s="129">
        <f t="shared" si="175"/>
        <v>0</v>
      </c>
      <c r="P316" s="129"/>
      <c r="Q316" s="129">
        <f t="shared" si="183"/>
        <v>0</v>
      </c>
      <c r="R316" s="129">
        <f t="shared" si="184"/>
        <v>0</v>
      </c>
      <c r="S316" s="693">
        <f t="shared" si="185"/>
        <v>6</v>
      </c>
      <c r="T316" s="129">
        <f t="shared" si="203"/>
        <v>0</v>
      </c>
      <c r="U316" s="165">
        <f t="shared" si="186"/>
        <v>0</v>
      </c>
      <c r="V316" s="75"/>
      <c r="W316" s="131">
        <f t="shared" si="176"/>
        <v>4.1666666666666664E-2</v>
      </c>
      <c r="X316" s="126">
        <f t="shared" si="187"/>
        <v>0</v>
      </c>
      <c r="Y316" s="127">
        <f t="shared" si="207"/>
        <v>0.33333333333333331</v>
      </c>
      <c r="Z316" s="128">
        <f t="shared" si="208"/>
        <v>0</v>
      </c>
      <c r="AA316" s="76" t="str">
        <f t="shared" si="209"/>
        <v/>
      </c>
      <c r="AB316" s="216">
        <f t="shared" si="177"/>
        <v>0</v>
      </c>
      <c r="AC316" s="163" t="str">
        <f t="shared" si="210"/>
        <v/>
      </c>
      <c r="AD316" s="257">
        <f t="shared" si="194"/>
        <v>0</v>
      </c>
      <c r="AE316" s="138"/>
      <c r="AF316" s="138" t="str">
        <f t="shared" si="195"/>
        <v/>
      </c>
      <c r="AG316" s="77">
        <f t="shared" si="211"/>
        <v>0</v>
      </c>
      <c r="AH316" s="77">
        <f t="shared" si="212"/>
        <v>0</v>
      </c>
      <c r="AI316" s="77" t="str">
        <f t="shared" si="196"/>
        <v/>
      </c>
      <c r="AJ316" s="78">
        <f t="shared" si="178"/>
        <v>3</v>
      </c>
      <c r="AK316" s="139">
        <f>SUM($AC$6:AC316)</f>
        <v>0</v>
      </c>
      <c r="AL316" s="139">
        <f t="shared" ca="1" si="188"/>
        <v>0</v>
      </c>
      <c r="AM316" s="143">
        <f t="shared" si="197"/>
        <v>0</v>
      </c>
      <c r="AN316" s="143">
        <f t="shared" si="198"/>
        <v>0</v>
      </c>
      <c r="AO316" s="143">
        <f t="shared" si="199"/>
        <v>0</v>
      </c>
      <c r="AP316" s="142">
        <f t="shared" si="189"/>
        <v>30</v>
      </c>
      <c r="AQ316" s="142">
        <f t="shared" ca="1" si="190"/>
        <v>30</v>
      </c>
      <c r="AR316" s="154">
        <f t="shared" si="201"/>
        <v>0</v>
      </c>
      <c r="AS316" s="142">
        <f t="shared" si="191"/>
        <v>0</v>
      </c>
      <c r="AT316" t="b">
        <f>OR((F316&gt;0),(NOT(ISBLANK(H316))),SUM(H316:H$373),SUM(G316:G$373))</f>
        <v>0</v>
      </c>
      <c r="AU316" t="b">
        <f t="shared" ca="1" si="179"/>
        <v>0</v>
      </c>
    </row>
    <row r="317" spans="1:47">
      <c r="A317" s="349">
        <f t="shared" si="192"/>
        <v>41950</v>
      </c>
      <c r="B317" s="350">
        <f t="shared" si="193"/>
        <v>41950</v>
      </c>
      <c r="C317" s="351">
        <f t="shared" si="204"/>
        <v>45</v>
      </c>
      <c r="D317" s="352">
        <f t="shared" si="205"/>
        <v>41943</v>
      </c>
      <c r="E317" s="364" t="str">
        <f t="shared" si="180"/>
        <v/>
      </c>
      <c r="F317" s="6"/>
      <c r="G317" s="7" t="str">
        <f t="shared" si="206"/>
        <v/>
      </c>
      <c r="H317" s="8"/>
      <c r="I317" s="8">
        <f t="shared" si="202"/>
        <v>0</v>
      </c>
      <c r="J317" s="129">
        <f t="shared" si="200"/>
        <v>0</v>
      </c>
      <c r="K317" s="8"/>
      <c r="L317" s="8">
        <f t="shared" si="181"/>
        <v>0</v>
      </c>
      <c r="M317" s="129">
        <f t="shared" si="182"/>
        <v>0</v>
      </c>
      <c r="N317" s="129"/>
      <c r="O317" s="129">
        <f t="shared" si="175"/>
        <v>0</v>
      </c>
      <c r="P317" s="129"/>
      <c r="Q317" s="129">
        <f t="shared" si="183"/>
        <v>0</v>
      </c>
      <c r="R317" s="129">
        <f t="shared" si="184"/>
        <v>0</v>
      </c>
      <c r="S317" s="693">
        <f t="shared" si="185"/>
        <v>6</v>
      </c>
      <c r="T317" s="129">
        <f t="shared" si="203"/>
        <v>0</v>
      </c>
      <c r="U317" s="165">
        <f t="shared" si="186"/>
        <v>0</v>
      </c>
      <c r="V317" s="75"/>
      <c r="W317" s="131">
        <f t="shared" si="176"/>
        <v>4.1666666666666664E-2</v>
      </c>
      <c r="X317" s="126">
        <f t="shared" si="187"/>
        <v>0</v>
      </c>
      <c r="Y317" s="127">
        <f t="shared" si="207"/>
        <v>0.33333333333333331</v>
      </c>
      <c r="Z317" s="128">
        <f t="shared" si="208"/>
        <v>0</v>
      </c>
      <c r="AA317" s="76" t="str">
        <f t="shared" si="209"/>
        <v/>
      </c>
      <c r="AB317" s="216">
        <f t="shared" si="177"/>
        <v>0</v>
      </c>
      <c r="AC317" s="163" t="str">
        <f t="shared" si="210"/>
        <v/>
      </c>
      <c r="AD317" s="257">
        <f t="shared" si="194"/>
        <v>0</v>
      </c>
      <c r="AE317" s="138"/>
      <c r="AF317" s="138" t="str">
        <f t="shared" si="195"/>
        <v/>
      </c>
      <c r="AG317" s="77">
        <f t="shared" si="211"/>
        <v>0</v>
      </c>
      <c r="AH317" s="77">
        <f t="shared" si="212"/>
        <v>0</v>
      </c>
      <c r="AI317" s="77" t="str">
        <f t="shared" si="196"/>
        <v/>
      </c>
      <c r="AJ317" s="78">
        <f t="shared" si="178"/>
        <v>4</v>
      </c>
      <c r="AK317" s="139">
        <f>SUM($AC$6:AC317)</f>
        <v>0</v>
      </c>
      <c r="AL317" s="139">
        <f t="shared" ca="1" si="188"/>
        <v>0</v>
      </c>
      <c r="AM317" s="143">
        <f t="shared" si="197"/>
        <v>0</v>
      </c>
      <c r="AN317" s="143">
        <f t="shared" si="198"/>
        <v>0</v>
      </c>
      <c r="AO317" s="143">
        <f t="shared" si="199"/>
        <v>0</v>
      </c>
      <c r="AP317" s="142">
        <f t="shared" si="189"/>
        <v>30</v>
      </c>
      <c r="AQ317" s="142">
        <f t="shared" ca="1" si="190"/>
        <v>30</v>
      </c>
      <c r="AR317" s="154">
        <f t="shared" si="201"/>
        <v>0</v>
      </c>
      <c r="AS317" s="142">
        <f t="shared" si="191"/>
        <v>0</v>
      </c>
      <c r="AT317" t="b">
        <f>OR((F317&gt;0),(NOT(ISBLANK(H317))),SUM(H317:H$373),SUM(G317:G$373))</f>
        <v>0</v>
      </c>
      <c r="AU317" t="b">
        <f t="shared" ca="1" si="179"/>
        <v>0</v>
      </c>
    </row>
    <row r="318" spans="1:47">
      <c r="A318" s="349">
        <f t="shared" si="192"/>
        <v>41951</v>
      </c>
      <c r="B318" s="350">
        <f t="shared" si="193"/>
        <v>41951</v>
      </c>
      <c r="C318" s="351">
        <f t="shared" si="204"/>
        <v>45</v>
      </c>
      <c r="D318" s="352">
        <f t="shared" si="205"/>
        <v>41943</v>
      </c>
      <c r="E318" s="364" t="str">
        <f t="shared" si="180"/>
        <v/>
      </c>
      <c r="F318" s="6"/>
      <c r="G318" s="7" t="str">
        <f t="shared" si="206"/>
        <v/>
      </c>
      <c r="H318" s="8"/>
      <c r="I318" s="8">
        <f t="shared" si="202"/>
        <v>0</v>
      </c>
      <c r="J318" s="129">
        <f t="shared" si="200"/>
        <v>0</v>
      </c>
      <c r="K318" s="8"/>
      <c r="L318" s="8">
        <f t="shared" si="181"/>
        <v>0</v>
      </c>
      <c r="M318" s="129">
        <f t="shared" si="182"/>
        <v>0</v>
      </c>
      <c r="N318" s="129"/>
      <c r="O318" s="129">
        <f t="shared" si="175"/>
        <v>0</v>
      </c>
      <c r="P318" s="129"/>
      <c r="Q318" s="129">
        <f t="shared" si="183"/>
        <v>0</v>
      </c>
      <c r="R318" s="129">
        <f t="shared" si="184"/>
        <v>0</v>
      </c>
      <c r="S318" s="693">
        <f t="shared" si="185"/>
        <v>6</v>
      </c>
      <c r="T318" s="129">
        <f t="shared" si="203"/>
        <v>0</v>
      </c>
      <c r="U318" s="165">
        <f t="shared" si="186"/>
        <v>0</v>
      </c>
      <c r="V318" s="75"/>
      <c r="W318" s="131">
        <f t="shared" si="176"/>
        <v>4.1666666666666664E-2</v>
      </c>
      <c r="X318" s="126">
        <f t="shared" si="187"/>
        <v>0</v>
      </c>
      <c r="Y318" s="127">
        <f t="shared" si="207"/>
        <v>0.33333333333333331</v>
      </c>
      <c r="Z318" s="128">
        <f t="shared" si="208"/>
        <v>0</v>
      </c>
      <c r="AA318" s="76" t="str">
        <f t="shared" si="209"/>
        <v/>
      </c>
      <c r="AB318" s="216">
        <f t="shared" si="177"/>
        <v>0</v>
      </c>
      <c r="AC318" s="163" t="str">
        <f t="shared" si="210"/>
        <v/>
      </c>
      <c r="AD318" s="257">
        <f t="shared" si="194"/>
        <v>0</v>
      </c>
      <c r="AE318" s="138"/>
      <c r="AF318" s="138" t="str">
        <f t="shared" si="195"/>
        <v/>
      </c>
      <c r="AG318" s="77">
        <f t="shared" si="211"/>
        <v>0</v>
      </c>
      <c r="AH318" s="77">
        <f t="shared" si="212"/>
        <v>0</v>
      </c>
      <c r="AI318" s="77" t="str">
        <f t="shared" si="196"/>
        <v/>
      </c>
      <c r="AJ318" s="78">
        <f t="shared" si="178"/>
        <v>5</v>
      </c>
      <c r="AK318" s="139">
        <f>SUM($AC$6:AC318)</f>
        <v>0</v>
      </c>
      <c r="AL318" s="139">
        <f t="shared" ca="1" si="188"/>
        <v>0</v>
      </c>
      <c r="AM318" s="143">
        <f t="shared" si="197"/>
        <v>0</v>
      </c>
      <c r="AN318" s="143">
        <f t="shared" si="198"/>
        <v>0</v>
      </c>
      <c r="AO318" s="143">
        <f t="shared" si="199"/>
        <v>0</v>
      </c>
      <c r="AP318" s="142">
        <f t="shared" si="189"/>
        <v>30</v>
      </c>
      <c r="AQ318" s="142">
        <f t="shared" ca="1" si="190"/>
        <v>30</v>
      </c>
      <c r="AR318" s="154">
        <f t="shared" si="201"/>
        <v>0</v>
      </c>
      <c r="AS318" s="142">
        <f t="shared" si="191"/>
        <v>0</v>
      </c>
      <c r="AT318" t="b">
        <f>OR((F318&gt;0),(NOT(ISBLANK(H318))),SUM(H318:H$373),SUM(G318:G$373))</f>
        <v>0</v>
      </c>
      <c r="AU318" t="b">
        <f t="shared" ca="1" si="179"/>
        <v>0</v>
      </c>
    </row>
    <row r="319" spans="1:47">
      <c r="A319" s="349">
        <f t="shared" si="192"/>
        <v>41952</v>
      </c>
      <c r="B319" s="350">
        <f t="shared" si="193"/>
        <v>41952</v>
      </c>
      <c r="C319" s="351">
        <f t="shared" si="204"/>
        <v>45</v>
      </c>
      <c r="D319" s="352">
        <f t="shared" si="205"/>
        <v>41943</v>
      </c>
      <c r="E319" s="364" t="str">
        <f t="shared" si="180"/>
        <v/>
      </c>
      <c r="F319" s="6"/>
      <c r="G319" s="7" t="str">
        <f t="shared" si="206"/>
        <v/>
      </c>
      <c r="H319" s="8"/>
      <c r="I319" s="8">
        <f t="shared" si="202"/>
        <v>0</v>
      </c>
      <c r="J319" s="129">
        <f t="shared" si="200"/>
        <v>0</v>
      </c>
      <c r="K319" s="8"/>
      <c r="L319" s="8">
        <f t="shared" si="181"/>
        <v>0</v>
      </c>
      <c r="M319" s="129">
        <f t="shared" si="182"/>
        <v>0</v>
      </c>
      <c r="N319" s="129"/>
      <c r="O319" s="129">
        <f t="shared" si="175"/>
        <v>0</v>
      </c>
      <c r="P319" s="129"/>
      <c r="Q319" s="129">
        <f t="shared" si="183"/>
        <v>0</v>
      </c>
      <c r="R319" s="129">
        <f t="shared" si="184"/>
        <v>0</v>
      </c>
      <c r="S319" s="693">
        <f t="shared" si="185"/>
        <v>6</v>
      </c>
      <c r="T319" s="129">
        <f t="shared" si="203"/>
        <v>0</v>
      </c>
      <c r="U319" s="165">
        <f t="shared" si="186"/>
        <v>0</v>
      </c>
      <c r="V319" s="75"/>
      <c r="W319" s="131">
        <f t="shared" si="176"/>
        <v>4.1666666666666664E-2</v>
      </c>
      <c r="X319" s="126">
        <f t="shared" si="187"/>
        <v>0</v>
      </c>
      <c r="Y319" s="127">
        <f t="shared" si="207"/>
        <v>0</v>
      </c>
      <c r="Z319" s="128">
        <f t="shared" si="208"/>
        <v>0</v>
      </c>
      <c r="AA319" s="76" t="str">
        <f t="shared" si="209"/>
        <v/>
      </c>
      <c r="AB319" s="216">
        <f t="shared" si="177"/>
        <v>0</v>
      </c>
      <c r="AC319" s="163" t="str">
        <f t="shared" si="210"/>
        <v/>
      </c>
      <c r="AD319" s="257">
        <f t="shared" si="194"/>
        <v>0</v>
      </c>
      <c r="AE319" s="138"/>
      <c r="AF319" s="138" t="str">
        <f t="shared" si="195"/>
        <v/>
      </c>
      <c r="AG319" s="77">
        <f t="shared" si="211"/>
        <v>0</v>
      </c>
      <c r="AH319" s="77">
        <f t="shared" si="212"/>
        <v>0</v>
      </c>
      <c r="AI319" s="77" t="str">
        <f t="shared" si="196"/>
        <v/>
      </c>
      <c r="AJ319" s="78">
        <f t="shared" si="178"/>
        <v>6</v>
      </c>
      <c r="AK319" s="139">
        <f>SUM($AC$6:AC319)</f>
        <v>0</v>
      </c>
      <c r="AL319" s="139">
        <f t="shared" ca="1" si="188"/>
        <v>0</v>
      </c>
      <c r="AM319" s="143">
        <f t="shared" si="197"/>
        <v>0</v>
      </c>
      <c r="AN319" s="143">
        <f t="shared" si="198"/>
        <v>0</v>
      </c>
      <c r="AO319" s="143">
        <f t="shared" si="199"/>
        <v>0</v>
      </c>
      <c r="AP319" s="142">
        <f t="shared" si="189"/>
        <v>30</v>
      </c>
      <c r="AQ319" s="142">
        <f t="shared" ca="1" si="190"/>
        <v>30</v>
      </c>
      <c r="AR319" s="154">
        <f t="shared" si="201"/>
        <v>0</v>
      </c>
      <c r="AS319" s="142">
        <f t="shared" si="191"/>
        <v>7</v>
      </c>
      <c r="AT319" t="b">
        <f>OR((F319&gt;0),(NOT(ISBLANK(H319))),SUM(H319:H$373),SUM(G319:G$373))</f>
        <v>0</v>
      </c>
      <c r="AU319" t="b">
        <f t="shared" ca="1" si="179"/>
        <v>1</v>
      </c>
    </row>
    <row r="320" spans="1:47">
      <c r="A320" s="349">
        <f t="shared" si="192"/>
        <v>41953</v>
      </c>
      <c r="B320" s="350">
        <f t="shared" si="193"/>
        <v>41953</v>
      </c>
      <c r="C320" s="351">
        <f t="shared" si="204"/>
        <v>45</v>
      </c>
      <c r="D320" s="352">
        <f t="shared" si="205"/>
        <v>41943</v>
      </c>
      <c r="E320" s="364" t="str">
        <f t="shared" si="180"/>
        <v/>
      </c>
      <c r="F320" s="6"/>
      <c r="G320" s="7" t="str">
        <f t="shared" si="206"/>
        <v/>
      </c>
      <c r="H320" s="8"/>
      <c r="I320" s="8">
        <f t="shared" si="202"/>
        <v>0</v>
      </c>
      <c r="J320" s="129">
        <f t="shared" si="200"/>
        <v>0</v>
      </c>
      <c r="K320" s="8"/>
      <c r="L320" s="8">
        <f t="shared" si="181"/>
        <v>0</v>
      </c>
      <c r="M320" s="129">
        <f t="shared" si="182"/>
        <v>0</v>
      </c>
      <c r="N320" s="129"/>
      <c r="O320" s="129">
        <f t="shared" si="175"/>
        <v>0</v>
      </c>
      <c r="P320" s="129"/>
      <c r="Q320" s="129">
        <f t="shared" si="183"/>
        <v>0</v>
      </c>
      <c r="R320" s="129">
        <f t="shared" si="184"/>
        <v>0</v>
      </c>
      <c r="S320" s="693">
        <f t="shared" si="185"/>
        <v>6</v>
      </c>
      <c r="T320" s="129">
        <f t="shared" si="203"/>
        <v>0</v>
      </c>
      <c r="U320" s="165">
        <f t="shared" si="186"/>
        <v>0</v>
      </c>
      <c r="V320" s="75"/>
      <c r="W320" s="131">
        <f t="shared" si="176"/>
        <v>4.1666666666666664E-2</v>
      </c>
      <c r="X320" s="126">
        <f t="shared" si="187"/>
        <v>0</v>
      </c>
      <c r="Y320" s="127">
        <f t="shared" si="207"/>
        <v>0</v>
      </c>
      <c r="Z320" s="128">
        <f t="shared" si="208"/>
        <v>0</v>
      </c>
      <c r="AA320" s="76" t="str">
        <f t="shared" si="209"/>
        <v/>
      </c>
      <c r="AB320" s="216">
        <f t="shared" si="177"/>
        <v>0</v>
      </c>
      <c r="AC320" s="163" t="str">
        <f t="shared" si="210"/>
        <v/>
      </c>
      <c r="AD320" s="257">
        <f t="shared" si="194"/>
        <v>0</v>
      </c>
      <c r="AE320" s="138"/>
      <c r="AF320" s="138" t="str">
        <f t="shared" si="195"/>
        <v/>
      </c>
      <c r="AG320" s="77">
        <f t="shared" si="211"/>
        <v>0</v>
      </c>
      <c r="AH320" s="77">
        <f t="shared" si="212"/>
        <v>0</v>
      </c>
      <c r="AI320" s="77" t="str">
        <f t="shared" si="196"/>
        <v/>
      </c>
      <c r="AJ320" s="78">
        <f t="shared" si="178"/>
        <v>7</v>
      </c>
      <c r="AK320" s="139">
        <f>SUM($AC$6:AC320)</f>
        <v>0</v>
      </c>
      <c r="AL320" s="139">
        <f t="shared" ca="1" si="188"/>
        <v>0</v>
      </c>
      <c r="AM320" s="143">
        <f t="shared" si="197"/>
        <v>0</v>
      </c>
      <c r="AN320" s="143">
        <f t="shared" si="198"/>
        <v>0</v>
      </c>
      <c r="AO320" s="143">
        <f t="shared" si="199"/>
        <v>0</v>
      </c>
      <c r="AP320" s="142">
        <f t="shared" si="189"/>
        <v>30</v>
      </c>
      <c r="AQ320" s="142">
        <f t="shared" ca="1" si="190"/>
        <v>30</v>
      </c>
      <c r="AR320" s="154">
        <f t="shared" si="201"/>
        <v>0</v>
      </c>
      <c r="AS320" s="142">
        <f t="shared" si="191"/>
        <v>7</v>
      </c>
      <c r="AT320" t="b">
        <f>OR((F320&gt;0),(NOT(ISBLANK(H320))),SUM(H320:H$373),SUM(G320:G$373))</f>
        <v>0</v>
      </c>
      <c r="AU320" t="b">
        <f t="shared" ca="1" si="179"/>
        <v>1</v>
      </c>
    </row>
    <row r="321" spans="1:47">
      <c r="A321" s="349">
        <f t="shared" si="192"/>
        <v>41954</v>
      </c>
      <c r="B321" s="350">
        <f t="shared" si="193"/>
        <v>41954</v>
      </c>
      <c r="C321" s="351">
        <f t="shared" si="204"/>
        <v>46</v>
      </c>
      <c r="D321" s="352">
        <f t="shared" si="205"/>
        <v>41943</v>
      </c>
      <c r="E321" s="364" t="str">
        <f t="shared" si="180"/>
        <v/>
      </c>
      <c r="F321" s="6"/>
      <c r="G321" s="7" t="str">
        <f t="shared" si="206"/>
        <v/>
      </c>
      <c r="H321" s="8"/>
      <c r="I321" s="8">
        <f t="shared" si="202"/>
        <v>0</v>
      </c>
      <c r="J321" s="129">
        <f t="shared" si="200"/>
        <v>0</v>
      </c>
      <c r="K321" s="8"/>
      <c r="L321" s="8">
        <f t="shared" si="181"/>
        <v>0</v>
      </c>
      <c r="M321" s="129">
        <f t="shared" si="182"/>
        <v>0</v>
      </c>
      <c r="N321" s="129"/>
      <c r="O321" s="129">
        <f t="shared" si="175"/>
        <v>0</v>
      </c>
      <c r="P321" s="129"/>
      <c r="Q321" s="129">
        <f t="shared" si="183"/>
        <v>0</v>
      </c>
      <c r="R321" s="129">
        <f t="shared" si="184"/>
        <v>0</v>
      </c>
      <c r="S321" s="693">
        <f t="shared" si="185"/>
        <v>6</v>
      </c>
      <c r="T321" s="129">
        <f t="shared" si="203"/>
        <v>0</v>
      </c>
      <c r="U321" s="165">
        <f t="shared" si="186"/>
        <v>0</v>
      </c>
      <c r="V321" s="75"/>
      <c r="W321" s="131">
        <f t="shared" si="176"/>
        <v>4.1666666666666664E-2</v>
      </c>
      <c r="X321" s="126">
        <f t="shared" si="187"/>
        <v>0</v>
      </c>
      <c r="Y321" s="127">
        <f t="shared" si="207"/>
        <v>0.33333333333333331</v>
      </c>
      <c r="Z321" s="128">
        <f t="shared" si="208"/>
        <v>0</v>
      </c>
      <c r="AA321" s="76" t="str">
        <f t="shared" si="209"/>
        <v/>
      </c>
      <c r="AB321" s="216">
        <f t="shared" si="177"/>
        <v>0</v>
      </c>
      <c r="AC321" s="163" t="str">
        <f t="shared" si="210"/>
        <v/>
      </c>
      <c r="AD321" s="257">
        <f t="shared" si="194"/>
        <v>0</v>
      </c>
      <c r="AE321" s="138"/>
      <c r="AF321" s="138" t="str">
        <f t="shared" si="195"/>
        <v/>
      </c>
      <c r="AG321" s="77">
        <f t="shared" si="211"/>
        <v>0</v>
      </c>
      <c r="AH321" s="77">
        <f t="shared" si="212"/>
        <v>0</v>
      </c>
      <c r="AI321" s="77" t="str">
        <f t="shared" si="196"/>
        <v/>
      </c>
      <c r="AJ321" s="78">
        <f t="shared" si="178"/>
        <v>1</v>
      </c>
      <c r="AK321" s="139">
        <f>SUM($AC$6:AC321)</f>
        <v>0</v>
      </c>
      <c r="AL321" s="139">
        <f t="shared" ca="1" si="188"/>
        <v>0</v>
      </c>
      <c r="AM321" s="143">
        <f t="shared" si="197"/>
        <v>0</v>
      </c>
      <c r="AN321" s="143">
        <f t="shared" si="198"/>
        <v>0</v>
      </c>
      <c r="AO321" s="143">
        <f t="shared" si="199"/>
        <v>0</v>
      </c>
      <c r="AP321" s="142">
        <f t="shared" si="189"/>
        <v>30</v>
      </c>
      <c r="AQ321" s="142">
        <f t="shared" ca="1" si="190"/>
        <v>30</v>
      </c>
      <c r="AR321" s="154">
        <f t="shared" si="201"/>
        <v>0</v>
      </c>
      <c r="AS321" s="142">
        <f t="shared" si="191"/>
        <v>0</v>
      </c>
      <c r="AT321" t="b">
        <f>OR((F321&gt;0),(NOT(ISBLANK(H321))),SUM(H321:H$373),SUM(G321:G$373))</f>
        <v>0</v>
      </c>
      <c r="AU321" t="b">
        <f t="shared" ca="1" si="179"/>
        <v>0</v>
      </c>
    </row>
    <row r="322" spans="1:47">
      <c r="A322" s="349">
        <f t="shared" si="192"/>
        <v>41955</v>
      </c>
      <c r="B322" s="350">
        <f t="shared" si="193"/>
        <v>41955</v>
      </c>
      <c r="C322" s="351">
        <f t="shared" si="204"/>
        <v>46</v>
      </c>
      <c r="D322" s="352">
        <f t="shared" si="205"/>
        <v>41943</v>
      </c>
      <c r="E322" s="364" t="str">
        <f t="shared" si="180"/>
        <v/>
      </c>
      <c r="F322" s="6"/>
      <c r="G322" s="7" t="str">
        <f t="shared" si="206"/>
        <v/>
      </c>
      <c r="H322" s="8"/>
      <c r="I322" s="8">
        <f t="shared" si="202"/>
        <v>0</v>
      </c>
      <c r="J322" s="129">
        <f t="shared" si="200"/>
        <v>0</v>
      </c>
      <c r="K322" s="8"/>
      <c r="L322" s="8">
        <f t="shared" si="181"/>
        <v>0</v>
      </c>
      <c r="M322" s="129">
        <f t="shared" si="182"/>
        <v>0</v>
      </c>
      <c r="N322" s="129"/>
      <c r="O322" s="129">
        <f t="shared" si="175"/>
        <v>0</v>
      </c>
      <c r="P322" s="129"/>
      <c r="Q322" s="129">
        <f t="shared" si="183"/>
        <v>0</v>
      </c>
      <c r="R322" s="129">
        <f t="shared" si="184"/>
        <v>0</v>
      </c>
      <c r="S322" s="693">
        <f t="shared" si="185"/>
        <v>6</v>
      </c>
      <c r="T322" s="129">
        <f t="shared" si="203"/>
        <v>0</v>
      </c>
      <c r="U322" s="165">
        <f t="shared" si="186"/>
        <v>0</v>
      </c>
      <c r="V322" s="75"/>
      <c r="W322" s="131">
        <f t="shared" si="176"/>
        <v>4.1666666666666664E-2</v>
      </c>
      <c r="X322" s="126">
        <f t="shared" si="187"/>
        <v>0</v>
      </c>
      <c r="Y322" s="127">
        <f t="shared" si="207"/>
        <v>0.33333333333333331</v>
      </c>
      <c r="Z322" s="128">
        <f t="shared" si="208"/>
        <v>0</v>
      </c>
      <c r="AA322" s="76" t="str">
        <f t="shared" si="209"/>
        <v/>
      </c>
      <c r="AB322" s="216">
        <f t="shared" si="177"/>
        <v>0</v>
      </c>
      <c r="AC322" s="163" t="str">
        <f t="shared" si="210"/>
        <v/>
      </c>
      <c r="AD322" s="257">
        <f t="shared" si="194"/>
        <v>0</v>
      </c>
      <c r="AE322" s="138"/>
      <c r="AF322" s="138" t="str">
        <f t="shared" si="195"/>
        <v/>
      </c>
      <c r="AG322" s="77">
        <f t="shared" si="211"/>
        <v>0</v>
      </c>
      <c r="AH322" s="77">
        <f t="shared" si="212"/>
        <v>0</v>
      </c>
      <c r="AI322" s="77" t="str">
        <f t="shared" si="196"/>
        <v/>
      </c>
      <c r="AJ322" s="78">
        <f t="shared" si="178"/>
        <v>2</v>
      </c>
      <c r="AK322" s="139">
        <f>SUM($AC$6:AC322)</f>
        <v>0</v>
      </c>
      <c r="AL322" s="139">
        <f t="shared" ca="1" si="188"/>
        <v>0</v>
      </c>
      <c r="AM322" s="143">
        <f t="shared" si="197"/>
        <v>0</v>
      </c>
      <c r="AN322" s="143">
        <f t="shared" si="198"/>
        <v>0</v>
      </c>
      <c r="AO322" s="143">
        <f t="shared" si="199"/>
        <v>0</v>
      </c>
      <c r="AP322" s="142">
        <f t="shared" si="189"/>
        <v>30</v>
      </c>
      <c r="AQ322" s="142">
        <f t="shared" ca="1" si="190"/>
        <v>30</v>
      </c>
      <c r="AR322" s="154">
        <f t="shared" si="201"/>
        <v>0</v>
      </c>
      <c r="AS322" s="142">
        <f t="shared" si="191"/>
        <v>0</v>
      </c>
      <c r="AT322" t="b">
        <f>OR((F322&gt;0),(NOT(ISBLANK(H322))),SUM(H322:H$373),SUM(G322:G$373))</f>
        <v>0</v>
      </c>
      <c r="AU322" t="b">
        <f t="shared" ca="1" si="179"/>
        <v>0</v>
      </c>
    </row>
    <row r="323" spans="1:47">
      <c r="A323" s="349">
        <f t="shared" si="192"/>
        <v>41956</v>
      </c>
      <c r="B323" s="350">
        <f t="shared" si="193"/>
        <v>41956</v>
      </c>
      <c r="C323" s="351">
        <f t="shared" si="204"/>
        <v>46</v>
      </c>
      <c r="D323" s="352">
        <f t="shared" si="205"/>
        <v>41943</v>
      </c>
      <c r="E323" s="364" t="str">
        <f t="shared" si="180"/>
        <v/>
      </c>
      <c r="F323" s="6"/>
      <c r="G323" s="7" t="str">
        <f t="shared" si="206"/>
        <v/>
      </c>
      <c r="H323" s="8"/>
      <c r="I323" s="8">
        <f t="shared" si="202"/>
        <v>0</v>
      </c>
      <c r="J323" s="129">
        <f t="shared" si="200"/>
        <v>0</v>
      </c>
      <c r="K323" s="8"/>
      <c r="L323" s="8">
        <f t="shared" si="181"/>
        <v>0</v>
      </c>
      <c r="M323" s="129">
        <f t="shared" si="182"/>
        <v>0</v>
      </c>
      <c r="N323" s="129"/>
      <c r="O323" s="129">
        <f t="shared" si="175"/>
        <v>0</v>
      </c>
      <c r="P323" s="129"/>
      <c r="Q323" s="129">
        <f t="shared" si="183"/>
        <v>0</v>
      </c>
      <c r="R323" s="129">
        <f t="shared" si="184"/>
        <v>0</v>
      </c>
      <c r="S323" s="693">
        <f t="shared" si="185"/>
        <v>6</v>
      </c>
      <c r="T323" s="129">
        <f t="shared" si="203"/>
        <v>0</v>
      </c>
      <c r="U323" s="165">
        <f t="shared" si="186"/>
        <v>0</v>
      </c>
      <c r="V323" s="75"/>
      <c r="W323" s="131">
        <f t="shared" si="176"/>
        <v>4.1666666666666664E-2</v>
      </c>
      <c r="X323" s="126">
        <f t="shared" si="187"/>
        <v>0</v>
      </c>
      <c r="Y323" s="127">
        <f t="shared" si="207"/>
        <v>0.33333333333333331</v>
      </c>
      <c r="Z323" s="128">
        <f t="shared" si="208"/>
        <v>0</v>
      </c>
      <c r="AA323" s="76" t="str">
        <f t="shared" si="209"/>
        <v/>
      </c>
      <c r="AB323" s="216">
        <f t="shared" si="177"/>
        <v>0</v>
      </c>
      <c r="AC323" s="163" t="str">
        <f t="shared" si="210"/>
        <v/>
      </c>
      <c r="AD323" s="257">
        <f t="shared" si="194"/>
        <v>0</v>
      </c>
      <c r="AE323" s="138"/>
      <c r="AF323" s="138" t="str">
        <f t="shared" si="195"/>
        <v/>
      </c>
      <c r="AG323" s="77">
        <f t="shared" si="211"/>
        <v>0</v>
      </c>
      <c r="AH323" s="77">
        <f t="shared" si="212"/>
        <v>0</v>
      </c>
      <c r="AI323" s="77" t="str">
        <f t="shared" si="196"/>
        <v/>
      </c>
      <c r="AJ323" s="78">
        <f t="shared" si="178"/>
        <v>3</v>
      </c>
      <c r="AK323" s="139">
        <f>SUM($AC$6:AC323)</f>
        <v>0</v>
      </c>
      <c r="AL323" s="139">
        <f t="shared" ca="1" si="188"/>
        <v>0</v>
      </c>
      <c r="AM323" s="143">
        <f t="shared" si="197"/>
        <v>0</v>
      </c>
      <c r="AN323" s="143">
        <f t="shared" si="198"/>
        <v>0</v>
      </c>
      <c r="AO323" s="143">
        <f t="shared" si="199"/>
        <v>0</v>
      </c>
      <c r="AP323" s="142">
        <f t="shared" si="189"/>
        <v>30</v>
      </c>
      <c r="AQ323" s="142">
        <f t="shared" ca="1" si="190"/>
        <v>30</v>
      </c>
      <c r="AR323" s="154">
        <f t="shared" si="201"/>
        <v>0</v>
      </c>
      <c r="AS323" s="142">
        <f t="shared" si="191"/>
        <v>0</v>
      </c>
      <c r="AT323" t="b">
        <f>OR((F323&gt;0),(NOT(ISBLANK(H323))),SUM(H323:H$373),SUM(G323:G$373))</f>
        <v>0</v>
      </c>
      <c r="AU323" t="b">
        <f t="shared" ca="1" si="179"/>
        <v>0</v>
      </c>
    </row>
    <row r="324" spans="1:47">
      <c r="A324" s="349">
        <f t="shared" si="192"/>
        <v>41957</v>
      </c>
      <c r="B324" s="350">
        <f t="shared" si="193"/>
        <v>41957</v>
      </c>
      <c r="C324" s="351">
        <f t="shared" si="204"/>
        <v>46</v>
      </c>
      <c r="D324" s="352">
        <f t="shared" si="205"/>
        <v>41943</v>
      </c>
      <c r="E324" s="364" t="str">
        <f t="shared" si="180"/>
        <v/>
      </c>
      <c r="F324" s="6"/>
      <c r="G324" s="7" t="str">
        <f t="shared" si="206"/>
        <v/>
      </c>
      <c r="H324" s="8"/>
      <c r="I324" s="8">
        <f t="shared" si="202"/>
        <v>0</v>
      </c>
      <c r="J324" s="129">
        <f t="shared" si="200"/>
        <v>0</v>
      </c>
      <c r="K324" s="8"/>
      <c r="L324" s="8">
        <f t="shared" si="181"/>
        <v>0</v>
      </c>
      <c r="M324" s="129">
        <f t="shared" si="182"/>
        <v>0</v>
      </c>
      <c r="N324" s="129"/>
      <c r="O324" s="129">
        <f t="shared" si="175"/>
        <v>0</v>
      </c>
      <c r="P324" s="129"/>
      <c r="Q324" s="129">
        <f t="shared" si="183"/>
        <v>0</v>
      </c>
      <c r="R324" s="129">
        <f t="shared" si="184"/>
        <v>0</v>
      </c>
      <c r="S324" s="693">
        <f t="shared" si="185"/>
        <v>6</v>
      </c>
      <c r="T324" s="129">
        <f t="shared" si="203"/>
        <v>0</v>
      </c>
      <c r="U324" s="165">
        <f t="shared" si="186"/>
        <v>0</v>
      </c>
      <c r="V324" s="75"/>
      <c r="W324" s="131">
        <f t="shared" si="176"/>
        <v>4.1666666666666664E-2</v>
      </c>
      <c r="X324" s="126">
        <f t="shared" si="187"/>
        <v>0</v>
      </c>
      <c r="Y324" s="127">
        <f t="shared" si="207"/>
        <v>0.33333333333333331</v>
      </c>
      <c r="Z324" s="128">
        <f t="shared" si="208"/>
        <v>0</v>
      </c>
      <c r="AA324" s="76" t="str">
        <f t="shared" si="209"/>
        <v/>
      </c>
      <c r="AB324" s="216">
        <f t="shared" si="177"/>
        <v>0</v>
      </c>
      <c r="AC324" s="163" t="str">
        <f t="shared" si="210"/>
        <v/>
      </c>
      <c r="AD324" s="257">
        <f t="shared" si="194"/>
        <v>0</v>
      </c>
      <c r="AE324" s="138"/>
      <c r="AF324" s="138" t="str">
        <f t="shared" si="195"/>
        <v/>
      </c>
      <c r="AG324" s="77">
        <f t="shared" si="211"/>
        <v>0</v>
      </c>
      <c r="AH324" s="77">
        <f t="shared" si="212"/>
        <v>0</v>
      </c>
      <c r="AI324" s="77" t="str">
        <f t="shared" si="196"/>
        <v/>
      </c>
      <c r="AJ324" s="78">
        <f t="shared" si="178"/>
        <v>4</v>
      </c>
      <c r="AK324" s="139">
        <f>SUM($AC$6:AC324)</f>
        <v>0</v>
      </c>
      <c r="AL324" s="139">
        <f t="shared" ca="1" si="188"/>
        <v>0</v>
      </c>
      <c r="AM324" s="143">
        <f t="shared" si="197"/>
        <v>0</v>
      </c>
      <c r="AN324" s="143">
        <f t="shared" si="198"/>
        <v>0</v>
      </c>
      <c r="AO324" s="143">
        <f t="shared" si="199"/>
        <v>0</v>
      </c>
      <c r="AP324" s="142">
        <f t="shared" si="189"/>
        <v>30</v>
      </c>
      <c r="AQ324" s="142">
        <f t="shared" ca="1" si="190"/>
        <v>30</v>
      </c>
      <c r="AR324" s="154">
        <f t="shared" si="201"/>
        <v>0</v>
      </c>
      <c r="AS324" s="142">
        <f t="shared" si="191"/>
        <v>0</v>
      </c>
      <c r="AT324" t="b">
        <f>OR((F324&gt;0),(NOT(ISBLANK(H324))),SUM(H324:H$373),SUM(G324:G$373))</f>
        <v>0</v>
      </c>
      <c r="AU324" t="b">
        <f t="shared" ca="1" si="179"/>
        <v>0</v>
      </c>
    </row>
    <row r="325" spans="1:47">
      <c r="A325" s="349">
        <f t="shared" si="192"/>
        <v>41958</v>
      </c>
      <c r="B325" s="350">
        <f t="shared" si="193"/>
        <v>41958</v>
      </c>
      <c r="C325" s="351">
        <f t="shared" si="204"/>
        <v>46</v>
      </c>
      <c r="D325" s="352">
        <f t="shared" si="205"/>
        <v>41943</v>
      </c>
      <c r="E325" s="364" t="str">
        <f t="shared" si="180"/>
        <v/>
      </c>
      <c r="F325" s="6"/>
      <c r="G325" s="7" t="str">
        <f t="shared" si="206"/>
        <v/>
      </c>
      <c r="H325" s="8"/>
      <c r="I325" s="8">
        <f t="shared" si="202"/>
        <v>0</v>
      </c>
      <c r="J325" s="129">
        <f t="shared" si="200"/>
        <v>0</v>
      </c>
      <c r="K325" s="8"/>
      <c r="L325" s="8">
        <f t="shared" si="181"/>
        <v>0</v>
      </c>
      <c r="M325" s="129">
        <f t="shared" si="182"/>
        <v>0</v>
      </c>
      <c r="N325" s="129"/>
      <c r="O325" s="129">
        <f t="shared" ref="O325:O373" si="213">IF(N325&gt;0,N325+IF((J325-H325+M325-K325)&lt;X325,X325-(J325-H325+M325-K325),TIME(0,10,0))+IF((K325-J325+N325-M325)&gt;xNoWorkTime,0,xNoWorkTime-(K325-J325+N325-M325)),0)</f>
        <v>0</v>
      </c>
      <c r="P325" s="129"/>
      <c r="Q325" s="129">
        <f t="shared" si="183"/>
        <v>0</v>
      </c>
      <c r="R325" s="129">
        <f t="shared" si="184"/>
        <v>0</v>
      </c>
      <c r="S325" s="693">
        <f t="shared" si="185"/>
        <v>6</v>
      </c>
      <c r="T325" s="129">
        <f t="shared" si="203"/>
        <v>0</v>
      </c>
      <c r="U325" s="165">
        <f t="shared" si="186"/>
        <v>0</v>
      </c>
      <c r="V325" s="75"/>
      <c r="W325" s="131">
        <f t="shared" ref="W325:W373" si="214">xNoWorkTime</f>
        <v>4.1666666666666664E-2</v>
      </c>
      <c r="X325" s="126">
        <f t="shared" si="187"/>
        <v>0</v>
      </c>
      <c r="Y325" s="127">
        <f t="shared" si="207"/>
        <v>0.33333333333333331</v>
      </c>
      <c r="Z325" s="128">
        <f t="shared" si="208"/>
        <v>0</v>
      </c>
      <c r="AA325" s="76" t="str">
        <f t="shared" si="209"/>
        <v/>
      </c>
      <c r="AB325" s="216">
        <f t="shared" ref="AB325:AB373" si="215">xOverTime</f>
        <v>0</v>
      </c>
      <c r="AC325" s="163" t="str">
        <f t="shared" si="210"/>
        <v/>
      </c>
      <c r="AD325" s="257">
        <f t="shared" si="194"/>
        <v>0</v>
      </c>
      <c r="AE325" s="138"/>
      <c r="AF325" s="138" t="str">
        <f t="shared" si="195"/>
        <v/>
      </c>
      <c r="AG325" s="77">
        <f t="shared" si="211"/>
        <v>0</v>
      </c>
      <c r="AH325" s="77">
        <f t="shared" si="212"/>
        <v>0</v>
      </c>
      <c r="AI325" s="77" t="str">
        <f t="shared" si="196"/>
        <v/>
      </c>
      <c r="AJ325" s="78">
        <f t="shared" ref="AJ325:AJ373" si="216">IF(A325="",0,IF(ISERROR(VLOOKUP(A325,db_Feiertag,2,FALSE)),WEEKDAY(A325,2),Feiertag))</f>
        <v>5</v>
      </c>
      <c r="AK325" s="139">
        <f>SUM($AC$6:AC325)</f>
        <v>0</v>
      </c>
      <c r="AL325" s="139">
        <f t="shared" ca="1" si="188"/>
        <v>0</v>
      </c>
      <c r="AM325" s="143">
        <f t="shared" si="197"/>
        <v>0</v>
      </c>
      <c r="AN325" s="143">
        <f t="shared" si="198"/>
        <v>0</v>
      </c>
      <c r="AO325" s="143">
        <f t="shared" si="199"/>
        <v>0</v>
      </c>
      <c r="AP325" s="142">
        <f t="shared" si="189"/>
        <v>30</v>
      </c>
      <c r="AQ325" s="142">
        <f t="shared" ca="1" si="190"/>
        <v>30</v>
      </c>
      <c r="AR325" s="154">
        <f t="shared" si="201"/>
        <v>0</v>
      </c>
      <c r="AS325" s="142">
        <f t="shared" si="191"/>
        <v>0</v>
      </c>
      <c r="AT325" t="b">
        <f>OR((F325&gt;0),(NOT(ISBLANK(H325))),SUM(H325:H$373),SUM(G325:G$373))</f>
        <v>0</v>
      </c>
      <c r="AU325" t="b">
        <f t="shared" ref="AU325:AU373" ca="1" si="217">INDIRECT(ADDRESS(ROW(),COLUMN(xDay)))&gt;5</f>
        <v>0</v>
      </c>
    </row>
    <row r="326" spans="1:47">
      <c r="A326" s="349">
        <f t="shared" si="192"/>
        <v>41959</v>
      </c>
      <c r="B326" s="350">
        <f t="shared" si="193"/>
        <v>41959</v>
      </c>
      <c r="C326" s="351">
        <f t="shared" si="204"/>
        <v>46</v>
      </c>
      <c r="D326" s="352">
        <f t="shared" si="205"/>
        <v>41943</v>
      </c>
      <c r="E326" s="364" t="str">
        <f t="shared" ref="E326:E373" si="218">IF((R326-T326)&gt;XWorkTimeMax,$Y$4,IF(AS326=Feiertag,VLOOKUP(B326,db_Feiertag,2,FALSE),""))</f>
        <v/>
      </c>
      <c r="F326" s="6"/>
      <c r="G326" s="7" t="str">
        <f t="shared" si="206"/>
        <v/>
      </c>
      <c r="H326" s="8"/>
      <c r="I326" s="8">
        <f t="shared" si="202"/>
        <v>0</v>
      </c>
      <c r="J326" s="129">
        <f t="shared" si="200"/>
        <v>0</v>
      </c>
      <c r="K326" s="8"/>
      <c r="L326" s="8">
        <f t="shared" ref="L326:L373" si="219">IF(K326&gt;0,K326+IF((J326-H326)&lt;X326,X326-(J326-H326),TIME(0,10,0))+IF((K326-J326)&gt;xNoWorkTime,0,xNoWorkTime-(K326-J326)),0)</f>
        <v>0</v>
      </c>
      <c r="M326" s="129">
        <f t="shared" ref="M326:M373" si="220">IF(L326&lt;K326,L326+1,L326)</f>
        <v>0</v>
      </c>
      <c r="N326" s="129"/>
      <c r="O326" s="129">
        <f t="shared" si="213"/>
        <v>0</v>
      </c>
      <c r="P326" s="129"/>
      <c r="Q326" s="129">
        <f t="shared" ref="Q326:Q373" si="221">IF(O326&lt;N326,O326+1,O326)</f>
        <v>0</v>
      </c>
      <c r="R326" s="129">
        <f t="shared" ref="R326:R373" si="222">J326-H326+M326-K326+Q326-N326</f>
        <v>0</v>
      </c>
      <c r="S326" s="693">
        <f t="shared" ref="S326:S373" si="223">XPauseNach*24</f>
        <v>6</v>
      </c>
      <c r="T326" s="129">
        <f t="shared" si="203"/>
        <v>0</v>
      </c>
      <c r="U326" s="165">
        <f t="shared" ref="U326:U373" si="224">IF(F326="S",Y326,(IF((R326-T326)&gt;XWorkTimeMax,XWorkTimeMax,IF((R326-T326)&gt;0,R326-T326,0))))</f>
        <v>0</v>
      </c>
      <c r="V326" s="75"/>
      <c r="W326" s="131">
        <f t="shared" si="214"/>
        <v>4.1666666666666664E-2</v>
      </c>
      <c r="X326" s="126">
        <f t="shared" ref="X326:X373" si="225">IF(AND((AJ326&lt;Feiertag),(G326&lt;&gt;85)),IF(OR(F326="B",F326="G",F326="S",H326&gt;0),H326-H326+Y326,0),0)</f>
        <v>0</v>
      </c>
      <c r="Y326" s="127">
        <f t="shared" si="207"/>
        <v>0</v>
      </c>
      <c r="Z326" s="128">
        <f t="shared" si="208"/>
        <v>0</v>
      </c>
      <c r="AA326" s="76" t="str">
        <f t="shared" si="209"/>
        <v/>
      </c>
      <c r="AB326" s="216">
        <f t="shared" si="215"/>
        <v>0</v>
      </c>
      <c r="AC326" s="163" t="str">
        <f t="shared" si="210"/>
        <v/>
      </c>
      <c r="AD326" s="257">
        <f t="shared" si="194"/>
        <v>0</v>
      </c>
      <c r="AE326" s="138"/>
      <c r="AF326" s="138" t="str">
        <f t="shared" si="195"/>
        <v/>
      </c>
      <c r="AG326" s="77">
        <f t="shared" si="211"/>
        <v>0</v>
      </c>
      <c r="AH326" s="77">
        <f t="shared" si="212"/>
        <v>0</v>
      </c>
      <c r="AI326" s="77" t="str">
        <f t="shared" si="196"/>
        <v/>
      </c>
      <c r="AJ326" s="78">
        <f t="shared" si="216"/>
        <v>6</v>
      </c>
      <c r="AK326" s="139">
        <f>SUM($AC$6:AC326)</f>
        <v>0</v>
      </c>
      <c r="AL326" s="139">
        <f t="shared" ref="AL326:AL373" ca="1" si="226">IF(D326=D325,AL325,OFFSET(AL326,-1,COLUMN(db_jSaldoGes)-COLUMN()))</f>
        <v>0</v>
      </c>
      <c r="AM326" s="143">
        <f t="shared" si="197"/>
        <v>0</v>
      </c>
      <c r="AN326" s="143">
        <f t="shared" si="198"/>
        <v>0</v>
      </c>
      <c r="AO326" s="143">
        <f t="shared" si="199"/>
        <v>0</v>
      </c>
      <c r="AP326" s="142">
        <f t="shared" ref="AP326:AP373" si="227">IF(A326="","",AP325-IF(F326=Urlaub,1,0)+IF(AND(MONTH(A326)=1,DAY(A326)=1),B_UrlaubNeu,0))</f>
        <v>30</v>
      </c>
      <c r="AQ326" s="142">
        <f t="shared" ref="AQ326:AQ373" ca="1" si="228">IF(A326="","",IF(D326=D325,AQ325,OFFSET(AQ326,-1,COLUMN(db_jUrlRest)-COLUMN()))+IF(AND(MONTH(A326)=1,DAY(A326)=1),B_UrlaubNeu,0))</f>
        <v>30</v>
      </c>
      <c r="AR326" s="154">
        <f t="shared" si="201"/>
        <v>0</v>
      </c>
      <c r="AS326" s="142">
        <f t="shared" ref="AS326:AS373" si="229">IF(ISNUMBER(AC326),K_ArbeitOverMax,IF(AND(ISNUMBER(Z326),Z326&gt;0),K_ArbeitOverTime,IF(AND(ISNUMBER(U326),U326&gt;0),K_ArbeitNormal,IF(F326=Krank,K_Krank,IF(F326=Urlaub,K_Urlaub,IF(AJ326=Feiertag,K_Feiertag,IF(OR(AJ326=6,AJ326=7),K_Wochenende,0)))))))+IF(F326=Gleittag,K_Gleittag,0)</f>
        <v>7</v>
      </c>
      <c r="AT326" t="b">
        <f>OR((F326&gt;0),(NOT(ISBLANK(H326))),SUM(H326:H$373),SUM(G326:G$373))</f>
        <v>0</v>
      </c>
      <c r="AU326" t="b">
        <f t="shared" ca="1" si="217"/>
        <v>1</v>
      </c>
    </row>
    <row r="327" spans="1:47">
      <c r="A327" s="349">
        <f t="shared" ref="A327:A373" si="230">IF(A326="","",IF((A326+1)&gt;=DATE(YEAR(xJahr)+1,MONTH(xJahr),DAY(xJahr)),"",A326+1))</f>
        <v>41960</v>
      </c>
      <c r="B327" s="350">
        <f t="shared" ref="B327:B373" si="231">IF(A327="","",A327)</f>
        <v>41960</v>
      </c>
      <c r="C327" s="351">
        <f t="shared" si="204"/>
        <v>46</v>
      </c>
      <c r="D327" s="352">
        <f t="shared" si="205"/>
        <v>41943</v>
      </c>
      <c r="E327" s="364" t="str">
        <f t="shared" si="218"/>
        <v/>
      </c>
      <c r="F327" s="6"/>
      <c r="G327" s="7" t="str">
        <f t="shared" si="206"/>
        <v/>
      </c>
      <c r="H327" s="8"/>
      <c r="I327" s="8">
        <f t="shared" si="202"/>
        <v>0</v>
      </c>
      <c r="J327" s="129">
        <f t="shared" si="200"/>
        <v>0</v>
      </c>
      <c r="K327" s="8"/>
      <c r="L327" s="8">
        <f t="shared" si="219"/>
        <v>0</v>
      </c>
      <c r="M327" s="129">
        <f t="shared" si="220"/>
        <v>0</v>
      </c>
      <c r="N327" s="129"/>
      <c r="O327" s="129">
        <f t="shared" si="213"/>
        <v>0</v>
      </c>
      <c r="P327" s="129"/>
      <c r="Q327" s="129">
        <f t="shared" si="221"/>
        <v>0</v>
      </c>
      <c r="R327" s="129">
        <f t="shared" si="222"/>
        <v>0</v>
      </c>
      <c r="S327" s="693">
        <f t="shared" si="223"/>
        <v>6</v>
      </c>
      <c r="T327" s="129">
        <f t="shared" si="203"/>
        <v>0</v>
      </c>
      <c r="U327" s="165">
        <f t="shared" si="224"/>
        <v>0</v>
      </c>
      <c r="V327" s="75"/>
      <c r="W327" s="131">
        <f t="shared" si="214"/>
        <v>4.1666666666666664E-2</v>
      </c>
      <c r="X327" s="126">
        <f t="shared" si="225"/>
        <v>0</v>
      </c>
      <c r="Y327" s="127">
        <f t="shared" si="207"/>
        <v>0</v>
      </c>
      <c r="Z327" s="128">
        <f t="shared" si="208"/>
        <v>0</v>
      </c>
      <c r="AA327" s="76" t="str">
        <f t="shared" si="209"/>
        <v/>
      </c>
      <c r="AB327" s="216">
        <f t="shared" si="215"/>
        <v>0</v>
      </c>
      <c r="AC327" s="163" t="str">
        <f t="shared" si="210"/>
        <v/>
      </c>
      <c r="AD327" s="257">
        <f t="shared" ref="AD327:AD373" si="232">IF(AT327,(AD326+SUM(Z327)-AE327),)</f>
        <v>0</v>
      </c>
      <c r="AE327" s="138"/>
      <c r="AF327" s="138" t="str">
        <f t="shared" ref="AF327:AF373" si="233">IF(AND(AE327&lt;&gt;"",AE327&lt;=U327),U327-AE327,"")</f>
        <v/>
      </c>
      <c r="AG327" s="77">
        <f t="shared" si="211"/>
        <v>0</v>
      </c>
      <c r="AH327" s="77">
        <f t="shared" si="212"/>
        <v>0</v>
      </c>
      <c r="AI327" s="77" t="str">
        <f t="shared" ref="AI327:AI373" si="234">IF( AND(ISNUMBER( U327 ),ISNUMBER( X327 )), IF( U327 &gt;= X327, "", X327 - U327 ), "" )</f>
        <v/>
      </c>
      <c r="AJ327" s="78">
        <f t="shared" si="216"/>
        <v>7</v>
      </c>
      <c r="AK327" s="139">
        <f>SUM($AC$6:AC327)</f>
        <v>0</v>
      </c>
      <c r="AL327" s="139">
        <f t="shared" ca="1" si="226"/>
        <v>0</v>
      </c>
      <c r="AM327" s="143">
        <f t="shared" ref="AM327:AM373" si="235">IF(OR($G327=-1,$G327=82),-1,IF(OR($G327=0,$G327=83),1,0))</f>
        <v>0</v>
      </c>
      <c r="AN327" s="143">
        <f t="shared" ref="AN327:AN373" si="236">IF($F327=Krank,1,IF($F327="J",-1,0))</f>
        <v>0</v>
      </c>
      <c r="AO327" s="143">
        <f t="shared" ref="AO327:AO373" si="237">IF($F327=Urlaub,1,IF($F327="T",-1,0))</f>
        <v>0</v>
      </c>
      <c r="AP327" s="142">
        <f t="shared" si="227"/>
        <v>30</v>
      </c>
      <c r="AQ327" s="142">
        <f t="shared" ca="1" si="228"/>
        <v>30</v>
      </c>
      <c r="AR327" s="154">
        <f t="shared" si="201"/>
        <v>0</v>
      </c>
      <c r="AS327" s="142">
        <f t="shared" si="229"/>
        <v>7</v>
      </c>
      <c r="AT327" t="b">
        <f>OR((F327&gt;0),(NOT(ISBLANK(H327))),SUM(H327:H$373),SUM(G327:G$373))</f>
        <v>0</v>
      </c>
      <c r="AU327" t="b">
        <f t="shared" ca="1" si="217"/>
        <v>1</v>
      </c>
    </row>
    <row r="328" spans="1:47">
      <c r="A328" s="349">
        <f t="shared" si="230"/>
        <v>41961</v>
      </c>
      <c r="B328" s="350">
        <f t="shared" si="231"/>
        <v>41961</v>
      </c>
      <c r="C328" s="351">
        <f t="shared" si="204"/>
        <v>47</v>
      </c>
      <c r="D328" s="352">
        <f t="shared" si="205"/>
        <v>41943</v>
      </c>
      <c r="E328" s="364" t="str">
        <f t="shared" si="218"/>
        <v/>
      </c>
      <c r="F328" s="6"/>
      <c r="G328" s="7" t="str">
        <f t="shared" si="206"/>
        <v/>
      </c>
      <c r="H328" s="8"/>
      <c r="I328" s="8">
        <f t="shared" si="202"/>
        <v>0</v>
      </c>
      <c r="J328" s="129">
        <f t="shared" ref="J328:J373" si="238">IF(I328&lt;H328,I328+1,I328)</f>
        <v>0</v>
      </c>
      <c r="K328" s="8"/>
      <c r="L328" s="8">
        <f t="shared" si="219"/>
        <v>0</v>
      </c>
      <c r="M328" s="129">
        <f t="shared" si="220"/>
        <v>0</v>
      </c>
      <c r="N328" s="129"/>
      <c r="O328" s="129">
        <f t="shared" si="213"/>
        <v>0</v>
      </c>
      <c r="P328" s="129"/>
      <c r="Q328" s="129">
        <f t="shared" si="221"/>
        <v>0</v>
      </c>
      <c r="R328" s="129">
        <f t="shared" si="222"/>
        <v>0</v>
      </c>
      <c r="S328" s="693">
        <f t="shared" si="223"/>
        <v>6</v>
      </c>
      <c r="T328" s="129">
        <f t="shared" si="203"/>
        <v>0</v>
      </c>
      <c r="U328" s="165">
        <f t="shared" si="224"/>
        <v>0</v>
      </c>
      <c r="V328" s="75"/>
      <c r="W328" s="131">
        <f t="shared" si="214"/>
        <v>4.1666666666666664E-2</v>
      </c>
      <c r="X328" s="126">
        <f t="shared" si="225"/>
        <v>0</v>
      </c>
      <c r="Y328" s="127">
        <f t="shared" si="207"/>
        <v>0.33333333333333331</v>
      </c>
      <c r="Z328" s="128">
        <f t="shared" si="208"/>
        <v>0</v>
      </c>
      <c r="AA328" s="76" t="str">
        <f t="shared" si="209"/>
        <v/>
      </c>
      <c r="AB328" s="216">
        <f t="shared" si="215"/>
        <v>0</v>
      </c>
      <c r="AC328" s="163" t="str">
        <f t="shared" si="210"/>
        <v/>
      </c>
      <c r="AD328" s="257">
        <f t="shared" si="232"/>
        <v>0</v>
      </c>
      <c r="AE328" s="138"/>
      <c r="AF328" s="138" t="str">
        <f t="shared" si="233"/>
        <v/>
      </c>
      <c r="AG328" s="77">
        <f t="shared" si="211"/>
        <v>0</v>
      </c>
      <c r="AH328" s="77">
        <f t="shared" si="212"/>
        <v>0</v>
      </c>
      <c r="AI328" s="77" t="str">
        <f t="shared" si="234"/>
        <v/>
      </c>
      <c r="AJ328" s="78">
        <f t="shared" si="216"/>
        <v>1</v>
      </c>
      <c r="AK328" s="139">
        <f>SUM($AC$6:AC328)</f>
        <v>0</v>
      </c>
      <c r="AL328" s="139">
        <f t="shared" ca="1" si="226"/>
        <v>0</v>
      </c>
      <c r="AM328" s="143">
        <f t="shared" si="235"/>
        <v>0</v>
      </c>
      <c r="AN328" s="143">
        <f t="shared" si="236"/>
        <v>0</v>
      </c>
      <c r="AO328" s="143">
        <f t="shared" si="237"/>
        <v>0</v>
      </c>
      <c r="AP328" s="142">
        <f t="shared" si="227"/>
        <v>30</v>
      </c>
      <c r="AQ328" s="142">
        <f t="shared" ca="1" si="228"/>
        <v>30</v>
      </c>
      <c r="AR328" s="154">
        <f t="shared" si="201"/>
        <v>0</v>
      </c>
      <c r="AS328" s="142">
        <f t="shared" si="229"/>
        <v>0</v>
      </c>
      <c r="AT328" t="b">
        <f>OR((F328&gt;0),(NOT(ISBLANK(H328))),SUM(H328:H$373),SUM(G328:G$373))</f>
        <v>0</v>
      </c>
      <c r="AU328" t="b">
        <f t="shared" ca="1" si="217"/>
        <v>0</v>
      </c>
    </row>
    <row r="329" spans="1:47">
      <c r="A329" s="349">
        <f t="shared" si="230"/>
        <v>41962</v>
      </c>
      <c r="B329" s="350">
        <f t="shared" si="231"/>
        <v>41962</v>
      </c>
      <c r="C329" s="351">
        <f t="shared" si="204"/>
        <v>47</v>
      </c>
      <c r="D329" s="352">
        <f t="shared" si="205"/>
        <v>41943</v>
      </c>
      <c r="E329" s="364" t="str">
        <f t="shared" si="218"/>
        <v/>
      </c>
      <c r="F329" s="6"/>
      <c r="G329" s="7" t="str">
        <f t="shared" si="206"/>
        <v/>
      </c>
      <c r="H329" s="8"/>
      <c r="I329" s="8">
        <f t="shared" si="202"/>
        <v>0</v>
      </c>
      <c r="J329" s="129">
        <f t="shared" si="238"/>
        <v>0</v>
      </c>
      <c r="K329" s="8"/>
      <c r="L329" s="8">
        <f t="shared" si="219"/>
        <v>0</v>
      </c>
      <c r="M329" s="129">
        <f t="shared" si="220"/>
        <v>0</v>
      </c>
      <c r="N329" s="129"/>
      <c r="O329" s="129">
        <f t="shared" si="213"/>
        <v>0</v>
      </c>
      <c r="P329" s="129"/>
      <c r="Q329" s="129">
        <f t="shared" si="221"/>
        <v>0</v>
      </c>
      <c r="R329" s="129">
        <f t="shared" si="222"/>
        <v>0</v>
      </c>
      <c r="S329" s="693">
        <f t="shared" si="223"/>
        <v>6</v>
      </c>
      <c r="T329" s="129">
        <f t="shared" si="203"/>
        <v>0</v>
      </c>
      <c r="U329" s="165">
        <f t="shared" si="224"/>
        <v>0</v>
      </c>
      <c r="V329" s="75"/>
      <c r="W329" s="131">
        <f t="shared" si="214"/>
        <v>4.1666666666666664E-2</v>
      </c>
      <c r="X329" s="126">
        <f t="shared" si="225"/>
        <v>0</v>
      </c>
      <c r="Y329" s="127">
        <f t="shared" si="207"/>
        <v>0.33333333333333331</v>
      </c>
      <c r="Z329" s="128">
        <f t="shared" si="208"/>
        <v>0</v>
      </c>
      <c r="AA329" s="76" t="str">
        <f t="shared" si="209"/>
        <v/>
      </c>
      <c r="AB329" s="216">
        <f t="shared" si="215"/>
        <v>0</v>
      </c>
      <c r="AC329" s="163" t="str">
        <f t="shared" si="210"/>
        <v/>
      </c>
      <c r="AD329" s="257">
        <f t="shared" si="232"/>
        <v>0</v>
      </c>
      <c r="AE329" s="138"/>
      <c r="AF329" s="138" t="str">
        <f t="shared" si="233"/>
        <v/>
      </c>
      <c r="AG329" s="77">
        <f t="shared" si="211"/>
        <v>0</v>
      </c>
      <c r="AH329" s="77">
        <f t="shared" si="212"/>
        <v>0</v>
      </c>
      <c r="AI329" s="77" t="str">
        <f t="shared" si="234"/>
        <v/>
      </c>
      <c r="AJ329" s="78">
        <f t="shared" si="216"/>
        <v>2</v>
      </c>
      <c r="AK329" s="139">
        <f>SUM($AC$6:AC329)</f>
        <v>0</v>
      </c>
      <c r="AL329" s="139">
        <f t="shared" ca="1" si="226"/>
        <v>0</v>
      </c>
      <c r="AM329" s="143">
        <f t="shared" si="235"/>
        <v>0</v>
      </c>
      <c r="AN329" s="143">
        <f t="shared" si="236"/>
        <v>0</v>
      </c>
      <c r="AO329" s="143">
        <f t="shared" si="237"/>
        <v>0</v>
      </c>
      <c r="AP329" s="142">
        <f t="shared" si="227"/>
        <v>30</v>
      </c>
      <c r="AQ329" s="142">
        <f t="shared" ca="1" si="228"/>
        <v>30</v>
      </c>
      <c r="AR329" s="154">
        <f t="shared" si="201"/>
        <v>0</v>
      </c>
      <c r="AS329" s="142">
        <f t="shared" si="229"/>
        <v>0</v>
      </c>
      <c r="AT329" t="b">
        <f>OR((F329&gt;0),(NOT(ISBLANK(H329))),SUM(H329:H$373),SUM(G329:G$373))</f>
        <v>0</v>
      </c>
      <c r="AU329" t="b">
        <f t="shared" ca="1" si="217"/>
        <v>0</v>
      </c>
    </row>
    <row r="330" spans="1:47">
      <c r="A330" s="349">
        <f t="shared" si="230"/>
        <v>41963</v>
      </c>
      <c r="B330" s="350">
        <f t="shared" si="231"/>
        <v>41963</v>
      </c>
      <c r="C330" s="351">
        <f t="shared" si="204"/>
        <v>47</v>
      </c>
      <c r="D330" s="352">
        <f t="shared" si="205"/>
        <v>41943</v>
      </c>
      <c r="E330" s="364" t="str">
        <f t="shared" si="218"/>
        <v/>
      </c>
      <c r="F330" s="6"/>
      <c r="G330" s="7" t="str">
        <f t="shared" si="206"/>
        <v/>
      </c>
      <c r="H330" s="8"/>
      <c r="I330" s="8">
        <f t="shared" si="202"/>
        <v>0</v>
      </c>
      <c r="J330" s="129">
        <f t="shared" si="238"/>
        <v>0</v>
      </c>
      <c r="K330" s="8"/>
      <c r="L330" s="8">
        <f t="shared" si="219"/>
        <v>0</v>
      </c>
      <c r="M330" s="129">
        <f t="shared" si="220"/>
        <v>0</v>
      </c>
      <c r="N330" s="129"/>
      <c r="O330" s="129">
        <f t="shared" si="213"/>
        <v>0</v>
      </c>
      <c r="P330" s="129"/>
      <c r="Q330" s="129">
        <f t="shared" si="221"/>
        <v>0</v>
      </c>
      <c r="R330" s="129">
        <f t="shared" si="222"/>
        <v>0</v>
      </c>
      <c r="S330" s="693">
        <f t="shared" si="223"/>
        <v>6</v>
      </c>
      <c r="T330" s="129">
        <f t="shared" si="203"/>
        <v>0</v>
      </c>
      <c r="U330" s="165">
        <f t="shared" si="224"/>
        <v>0</v>
      </c>
      <c r="V330" s="75"/>
      <c r="W330" s="131">
        <f t="shared" si="214"/>
        <v>4.1666666666666664E-2</v>
      </c>
      <c r="X330" s="126">
        <f t="shared" si="225"/>
        <v>0</v>
      </c>
      <c r="Y330" s="127">
        <f t="shared" si="207"/>
        <v>0.33333333333333331</v>
      </c>
      <c r="Z330" s="128">
        <f t="shared" si="208"/>
        <v>0</v>
      </c>
      <c r="AA330" s="76" t="str">
        <f t="shared" si="209"/>
        <v/>
      </c>
      <c r="AB330" s="216">
        <f t="shared" si="215"/>
        <v>0</v>
      </c>
      <c r="AC330" s="163" t="str">
        <f t="shared" si="210"/>
        <v/>
      </c>
      <c r="AD330" s="257">
        <f t="shared" si="232"/>
        <v>0</v>
      </c>
      <c r="AE330" s="138"/>
      <c r="AF330" s="138" t="str">
        <f t="shared" si="233"/>
        <v/>
      </c>
      <c r="AG330" s="77">
        <f t="shared" si="211"/>
        <v>0</v>
      </c>
      <c r="AH330" s="77">
        <f t="shared" si="212"/>
        <v>0</v>
      </c>
      <c r="AI330" s="77" t="str">
        <f t="shared" si="234"/>
        <v/>
      </c>
      <c r="AJ330" s="78">
        <f t="shared" si="216"/>
        <v>3</v>
      </c>
      <c r="AK330" s="139">
        <f>SUM($AC$6:AC330)</f>
        <v>0</v>
      </c>
      <c r="AL330" s="139">
        <f t="shared" ca="1" si="226"/>
        <v>0</v>
      </c>
      <c r="AM330" s="143">
        <f t="shared" si="235"/>
        <v>0</v>
      </c>
      <c r="AN330" s="143">
        <f t="shared" si="236"/>
        <v>0</v>
      </c>
      <c r="AO330" s="143">
        <f t="shared" si="237"/>
        <v>0</v>
      </c>
      <c r="AP330" s="142">
        <f t="shared" si="227"/>
        <v>30</v>
      </c>
      <c r="AQ330" s="142">
        <f t="shared" ca="1" si="228"/>
        <v>30</v>
      </c>
      <c r="AR330" s="154">
        <f t="shared" si="201"/>
        <v>0</v>
      </c>
      <c r="AS330" s="142">
        <f t="shared" si="229"/>
        <v>0</v>
      </c>
      <c r="AT330" t="b">
        <f>OR((F330&gt;0),(NOT(ISBLANK(H330))),SUM(H330:H$373),SUM(G330:G$373))</f>
        <v>0</v>
      </c>
      <c r="AU330" t="b">
        <f t="shared" ca="1" si="217"/>
        <v>0</v>
      </c>
    </row>
    <row r="331" spans="1:47">
      <c r="A331" s="349">
        <f t="shared" si="230"/>
        <v>41964</v>
      </c>
      <c r="B331" s="350">
        <f t="shared" si="231"/>
        <v>41964</v>
      </c>
      <c r="C331" s="351">
        <f t="shared" si="204"/>
        <v>47</v>
      </c>
      <c r="D331" s="352">
        <f t="shared" si="205"/>
        <v>41943</v>
      </c>
      <c r="E331" s="364" t="str">
        <f t="shared" si="218"/>
        <v/>
      </c>
      <c r="F331" s="6"/>
      <c r="G331" s="7" t="str">
        <f t="shared" si="206"/>
        <v/>
      </c>
      <c r="H331" s="8"/>
      <c r="I331" s="8">
        <f t="shared" si="202"/>
        <v>0</v>
      </c>
      <c r="J331" s="129">
        <f t="shared" si="238"/>
        <v>0</v>
      </c>
      <c r="K331" s="8"/>
      <c r="L331" s="8">
        <f t="shared" si="219"/>
        <v>0</v>
      </c>
      <c r="M331" s="129">
        <f t="shared" si="220"/>
        <v>0</v>
      </c>
      <c r="N331" s="129"/>
      <c r="O331" s="129">
        <f t="shared" si="213"/>
        <v>0</v>
      </c>
      <c r="P331" s="129"/>
      <c r="Q331" s="129">
        <f t="shared" si="221"/>
        <v>0</v>
      </c>
      <c r="R331" s="129">
        <f t="shared" si="222"/>
        <v>0</v>
      </c>
      <c r="S331" s="693">
        <f t="shared" si="223"/>
        <v>6</v>
      </c>
      <c r="T331" s="129">
        <f t="shared" si="203"/>
        <v>0</v>
      </c>
      <c r="U331" s="165">
        <f t="shared" si="224"/>
        <v>0</v>
      </c>
      <c r="V331" s="75"/>
      <c r="W331" s="131">
        <f t="shared" si="214"/>
        <v>4.1666666666666664E-2</v>
      </c>
      <c r="X331" s="126">
        <f t="shared" si="225"/>
        <v>0</v>
      </c>
      <c r="Y331" s="127">
        <f t="shared" si="207"/>
        <v>0.33333333333333331</v>
      </c>
      <c r="Z331" s="128">
        <f t="shared" si="208"/>
        <v>0</v>
      </c>
      <c r="AA331" s="76" t="str">
        <f t="shared" si="209"/>
        <v/>
      </c>
      <c r="AB331" s="216">
        <f t="shared" si="215"/>
        <v>0</v>
      </c>
      <c r="AC331" s="163" t="str">
        <f t="shared" si="210"/>
        <v/>
      </c>
      <c r="AD331" s="257">
        <f t="shared" si="232"/>
        <v>0</v>
      </c>
      <c r="AE331" s="138"/>
      <c r="AF331" s="138" t="str">
        <f t="shared" si="233"/>
        <v/>
      </c>
      <c r="AG331" s="77">
        <f t="shared" si="211"/>
        <v>0</v>
      </c>
      <c r="AH331" s="77">
        <f t="shared" si="212"/>
        <v>0</v>
      </c>
      <c r="AI331" s="77" t="str">
        <f t="shared" si="234"/>
        <v/>
      </c>
      <c r="AJ331" s="78">
        <f t="shared" si="216"/>
        <v>4</v>
      </c>
      <c r="AK331" s="139">
        <f>SUM($AC$6:AC331)</f>
        <v>0</v>
      </c>
      <c r="AL331" s="139">
        <f t="shared" ca="1" si="226"/>
        <v>0</v>
      </c>
      <c r="AM331" s="143">
        <f t="shared" si="235"/>
        <v>0</v>
      </c>
      <c r="AN331" s="143">
        <f t="shared" si="236"/>
        <v>0</v>
      </c>
      <c r="AO331" s="143">
        <f t="shared" si="237"/>
        <v>0</v>
      </c>
      <c r="AP331" s="142">
        <f t="shared" si="227"/>
        <v>30</v>
      </c>
      <c r="AQ331" s="142">
        <f t="shared" ca="1" si="228"/>
        <v>30</v>
      </c>
      <c r="AR331" s="154">
        <f t="shared" si="201"/>
        <v>0</v>
      </c>
      <c r="AS331" s="142">
        <f t="shared" si="229"/>
        <v>0</v>
      </c>
      <c r="AT331" t="b">
        <f>OR((F331&gt;0),(NOT(ISBLANK(H331))),SUM(H331:H$373),SUM(G331:G$373))</f>
        <v>0</v>
      </c>
      <c r="AU331" t="b">
        <f t="shared" ca="1" si="217"/>
        <v>0</v>
      </c>
    </row>
    <row r="332" spans="1:47">
      <c r="A332" s="349">
        <f t="shared" si="230"/>
        <v>41965</v>
      </c>
      <c r="B332" s="350">
        <f t="shared" si="231"/>
        <v>41965</v>
      </c>
      <c r="C332" s="351">
        <f t="shared" si="204"/>
        <v>47</v>
      </c>
      <c r="D332" s="352">
        <f t="shared" si="205"/>
        <v>41943</v>
      </c>
      <c r="E332" s="364" t="str">
        <f t="shared" si="218"/>
        <v/>
      </c>
      <c r="F332" s="6"/>
      <c r="G332" s="7" t="str">
        <f t="shared" si="206"/>
        <v/>
      </c>
      <c r="H332" s="8"/>
      <c r="I332" s="8">
        <f t="shared" si="202"/>
        <v>0</v>
      </c>
      <c r="J332" s="129">
        <f t="shared" si="238"/>
        <v>0</v>
      </c>
      <c r="K332" s="8"/>
      <c r="L332" s="8">
        <f t="shared" si="219"/>
        <v>0</v>
      </c>
      <c r="M332" s="129">
        <f t="shared" si="220"/>
        <v>0</v>
      </c>
      <c r="N332" s="129"/>
      <c r="O332" s="129">
        <f t="shared" si="213"/>
        <v>0</v>
      </c>
      <c r="P332" s="129"/>
      <c r="Q332" s="129">
        <f t="shared" si="221"/>
        <v>0</v>
      </c>
      <c r="R332" s="129">
        <f t="shared" si="222"/>
        <v>0</v>
      </c>
      <c r="S332" s="693">
        <f t="shared" si="223"/>
        <v>6</v>
      </c>
      <c r="T332" s="129">
        <f t="shared" si="203"/>
        <v>0</v>
      </c>
      <c r="U332" s="165">
        <f t="shared" si="224"/>
        <v>0</v>
      </c>
      <c r="V332" s="75"/>
      <c r="W332" s="131">
        <f t="shared" si="214"/>
        <v>4.1666666666666664E-2</v>
      </c>
      <c r="X332" s="126">
        <f t="shared" si="225"/>
        <v>0</v>
      </c>
      <c r="Y332" s="127">
        <f t="shared" si="207"/>
        <v>0.33333333333333331</v>
      </c>
      <c r="Z332" s="128">
        <f t="shared" si="208"/>
        <v>0</v>
      </c>
      <c r="AA332" s="76" t="str">
        <f t="shared" si="209"/>
        <v/>
      </c>
      <c r="AB332" s="216">
        <f t="shared" si="215"/>
        <v>0</v>
      </c>
      <c r="AC332" s="163" t="str">
        <f t="shared" si="210"/>
        <v/>
      </c>
      <c r="AD332" s="257">
        <f t="shared" si="232"/>
        <v>0</v>
      </c>
      <c r="AE332" s="138"/>
      <c r="AF332" s="138" t="str">
        <f t="shared" si="233"/>
        <v/>
      </c>
      <c r="AG332" s="77">
        <f t="shared" si="211"/>
        <v>0</v>
      </c>
      <c r="AH332" s="77">
        <f t="shared" si="212"/>
        <v>0</v>
      </c>
      <c r="AI332" s="77" t="str">
        <f t="shared" si="234"/>
        <v/>
      </c>
      <c r="AJ332" s="78">
        <f t="shared" si="216"/>
        <v>5</v>
      </c>
      <c r="AK332" s="139">
        <f>SUM($AC$6:AC332)</f>
        <v>0</v>
      </c>
      <c r="AL332" s="139">
        <f t="shared" ca="1" si="226"/>
        <v>0</v>
      </c>
      <c r="AM332" s="143">
        <f t="shared" si="235"/>
        <v>0</v>
      </c>
      <c r="AN332" s="143">
        <f t="shared" si="236"/>
        <v>0</v>
      </c>
      <c r="AO332" s="143">
        <f t="shared" si="237"/>
        <v>0</v>
      </c>
      <c r="AP332" s="142">
        <f t="shared" si="227"/>
        <v>30</v>
      </c>
      <c r="AQ332" s="142">
        <f t="shared" ca="1" si="228"/>
        <v>30</v>
      </c>
      <c r="AR332" s="154">
        <f t="shared" si="201"/>
        <v>0</v>
      </c>
      <c r="AS332" s="142">
        <f t="shared" si="229"/>
        <v>0</v>
      </c>
      <c r="AT332" t="b">
        <f>OR((F332&gt;0),(NOT(ISBLANK(H332))),SUM(H332:H$373),SUM(G332:G$373))</f>
        <v>0</v>
      </c>
      <c r="AU332" t="b">
        <f t="shared" ca="1" si="217"/>
        <v>0</v>
      </c>
    </row>
    <row r="333" spans="1:47">
      <c r="A333" s="349">
        <f t="shared" si="230"/>
        <v>41966</v>
      </c>
      <c r="B333" s="350">
        <f t="shared" si="231"/>
        <v>41966</v>
      </c>
      <c r="C333" s="351">
        <f t="shared" si="204"/>
        <v>47</v>
      </c>
      <c r="D333" s="352">
        <f t="shared" si="205"/>
        <v>41943</v>
      </c>
      <c r="E333" s="364" t="str">
        <f t="shared" si="218"/>
        <v/>
      </c>
      <c r="F333" s="6"/>
      <c r="G333" s="7" t="str">
        <f t="shared" si="206"/>
        <v/>
      </c>
      <c r="H333" s="8"/>
      <c r="I333" s="8">
        <f t="shared" si="202"/>
        <v>0</v>
      </c>
      <c r="J333" s="129">
        <f t="shared" si="238"/>
        <v>0</v>
      </c>
      <c r="K333" s="8"/>
      <c r="L333" s="8">
        <f t="shared" si="219"/>
        <v>0</v>
      </c>
      <c r="M333" s="129">
        <f t="shared" si="220"/>
        <v>0</v>
      </c>
      <c r="N333" s="129"/>
      <c r="O333" s="129">
        <f t="shared" si="213"/>
        <v>0</v>
      </c>
      <c r="P333" s="129"/>
      <c r="Q333" s="129">
        <f t="shared" si="221"/>
        <v>0</v>
      </c>
      <c r="R333" s="129">
        <f t="shared" si="222"/>
        <v>0</v>
      </c>
      <c r="S333" s="693">
        <f t="shared" si="223"/>
        <v>6</v>
      </c>
      <c r="T333" s="129">
        <f t="shared" si="203"/>
        <v>0</v>
      </c>
      <c r="U333" s="165">
        <f t="shared" si="224"/>
        <v>0</v>
      </c>
      <c r="V333" s="75"/>
      <c r="W333" s="131">
        <f t="shared" si="214"/>
        <v>4.1666666666666664E-2</v>
      </c>
      <c r="X333" s="126">
        <f t="shared" si="225"/>
        <v>0</v>
      </c>
      <c r="Y333" s="127">
        <f t="shared" si="207"/>
        <v>0</v>
      </c>
      <c r="Z333" s="128">
        <f t="shared" si="208"/>
        <v>0</v>
      </c>
      <c r="AA333" s="76" t="str">
        <f t="shared" si="209"/>
        <v/>
      </c>
      <c r="AB333" s="216">
        <f t="shared" si="215"/>
        <v>0</v>
      </c>
      <c r="AC333" s="163" t="str">
        <f t="shared" si="210"/>
        <v/>
      </c>
      <c r="AD333" s="257">
        <f t="shared" si="232"/>
        <v>0</v>
      </c>
      <c r="AE333" s="138"/>
      <c r="AF333" s="138" t="str">
        <f t="shared" si="233"/>
        <v/>
      </c>
      <c r="AG333" s="77">
        <f t="shared" si="211"/>
        <v>0</v>
      </c>
      <c r="AH333" s="77">
        <f t="shared" si="212"/>
        <v>0</v>
      </c>
      <c r="AI333" s="77" t="str">
        <f t="shared" si="234"/>
        <v/>
      </c>
      <c r="AJ333" s="78">
        <f t="shared" si="216"/>
        <v>6</v>
      </c>
      <c r="AK333" s="139">
        <f>SUM($AC$6:AC333)</f>
        <v>0</v>
      </c>
      <c r="AL333" s="139">
        <f t="shared" ca="1" si="226"/>
        <v>0</v>
      </c>
      <c r="AM333" s="143">
        <f t="shared" si="235"/>
        <v>0</v>
      </c>
      <c r="AN333" s="143">
        <f t="shared" si="236"/>
        <v>0</v>
      </c>
      <c r="AO333" s="143">
        <f t="shared" si="237"/>
        <v>0</v>
      </c>
      <c r="AP333" s="142">
        <f t="shared" si="227"/>
        <v>30</v>
      </c>
      <c r="AQ333" s="142">
        <f t="shared" ca="1" si="228"/>
        <v>30</v>
      </c>
      <c r="AR333" s="154">
        <f t="shared" si="201"/>
        <v>0</v>
      </c>
      <c r="AS333" s="142">
        <f t="shared" si="229"/>
        <v>7</v>
      </c>
      <c r="AT333" t="b">
        <f>OR((F333&gt;0),(NOT(ISBLANK(H333))),SUM(H333:H$373),SUM(G333:G$373))</f>
        <v>0</v>
      </c>
      <c r="AU333" t="b">
        <f t="shared" ca="1" si="217"/>
        <v>1</v>
      </c>
    </row>
    <row r="334" spans="1:47">
      <c r="A334" s="349">
        <f t="shared" si="230"/>
        <v>41967</v>
      </c>
      <c r="B334" s="350">
        <f t="shared" si="231"/>
        <v>41967</v>
      </c>
      <c r="C334" s="351">
        <f t="shared" si="204"/>
        <v>47</v>
      </c>
      <c r="D334" s="352">
        <f t="shared" si="205"/>
        <v>41943</v>
      </c>
      <c r="E334" s="364" t="str">
        <f t="shared" si="218"/>
        <v/>
      </c>
      <c r="F334" s="6"/>
      <c r="G334" s="7" t="str">
        <f t="shared" si="206"/>
        <v/>
      </c>
      <c r="H334" s="8"/>
      <c r="I334" s="8">
        <f t="shared" si="202"/>
        <v>0</v>
      </c>
      <c r="J334" s="129">
        <f t="shared" si="238"/>
        <v>0</v>
      </c>
      <c r="K334" s="8"/>
      <c r="L334" s="8">
        <f t="shared" si="219"/>
        <v>0</v>
      </c>
      <c r="M334" s="129">
        <f t="shared" si="220"/>
        <v>0</v>
      </c>
      <c r="N334" s="129"/>
      <c r="O334" s="129">
        <f t="shared" si="213"/>
        <v>0</v>
      </c>
      <c r="P334" s="129"/>
      <c r="Q334" s="129">
        <f t="shared" si="221"/>
        <v>0</v>
      </c>
      <c r="R334" s="129">
        <f t="shared" si="222"/>
        <v>0</v>
      </c>
      <c r="S334" s="693">
        <f t="shared" si="223"/>
        <v>6</v>
      </c>
      <c r="T334" s="129">
        <f t="shared" si="203"/>
        <v>0</v>
      </c>
      <c r="U334" s="165">
        <f t="shared" si="224"/>
        <v>0</v>
      </c>
      <c r="V334" s="75"/>
      <c r="W334" s="131">
        <f t="shared" si="214"/>
        <v>4.1666666666666664E-2</v>
      </c>
      <c r="X334" s="126">
        <f t="shared" si="225"/>
        <v>0</v>
      </c>
      <c r="Y334" s="127">
        <f t="shared" si="207"/>
        <v>0</v>
      </c>
      <c r="Z334" s="128">
        <f t="shared" si="208"/>
        <v>0</v>
      </c>
      <c r="AA334" s="76" t="str">
        <f t="shared" si="209"/>
        <v/>
      </c>
      <c r="AB334" s="216">
        <f t="shared" si="215"/>
        <v>0</v>
      </c>
      <c r="AC334" s="163" t="str">
        <f t="shared" si="210"/>
        <v/>
      </c>
      <c r="AD334" s="257">
        <f t="shared" si="232"/>
        <v>0</v>
      </c>
      <c r="AE334" s="138"/>
      <c r="AF334" s="138" t="str">
        <f t="shared" si="233"/>
        <v/>
      </c>
      <c r="AG334" s="77">
        <f t="shared" si="211"/>
        <v>0</v>
      </c>
      <c r="AH334" s="77">
        <f t="shared" si="212"/>
        <v>0</v>
      </c>
      <c r="AI334" s="77" t="str">
        <f t="shared" si="234"/>
        <v/>
      </c>
      <c r="AJ334" s="78">
        <f t="shared" si="216"/>
        <v>7</v>
      </c>
      <c r="AK334" s="139">
        <f>SUM($AC$6:AC334)</f>
        <v>0</v>
      </c>
      <c r="AL334" s="139">
        <f t="shared" ca="1" si="226"/>
        <v>0</v>
      </c>
      <c r="AM334" s="143">
        <f t="shared" si="235"/>
        <v>0</v>
      </c>
      <c r="AN334" s="143">
        <f t="shared" si="236"/>
        <v>0</v>
      </c>
      <c r="AO334" s="143">
        <f t="shared" si="237"/>
        <v>0</v>
      </c>
      <c r="AP334" s="142">
        <f t="shared" si="227"/>
        <v>30</v>
      </c>
      <c r="AQ334" s="142">
        <f t="shared" ca="1" si="228"/>
        <v>30</v>
      </c>
      <c r="AR334" s="154">
        <f t="shared" ref="AR334:AR373" si="239">(IF(ISNUMBER(U334),U334,0)+IF(ISNUMBER(AC334),AC334,0))*24</f>
        <v>0</v>
      </c>
      <c r="AS334" s="142">
        <f t="shared" si="229"/>
        <v>7</v>
      </c>
      <c r="AT334" t="b">
        <f>OR((F334&gt;0),(NOT(ISBLANK(H334))),SUM(H334:H$373),SUM(G334:G$373))</f>
        <v>0</v>
      </c>
      <c r="AU334" t="b">
        <f t="shared" ca="1" si="217"/>
        <v>1</v>
      </c>
    </row>
    <row r="335" spans="1:47">
      <c r="A335" s="349">
        <f t="shared" si="230"/>
        <v>41968</v>
      </c>
      <c r="B335" s="350">
        <f t="shared" si="231"/>
        <v>41968</v>
      </c>
      <c r="C335" s="351">
        <f t="shared" si="204"/>
        <v>48</v>
      </c>
      <c r="D335" s="352">
        <f t="shared" si="205"/>
        <v>41943</v>
      </c>
      <c r="E335" s="364" t="str">
        <f t="shared" si="218"/>
        <v/>
      </c>
      <c r="F335" s="6"/>
      <c r="G335" s="7" t="str">
        <f t="shared" si="206"/>
        <v/>
      </c>
      <c r="H335" s="8"/>
      <c r="I335" s="8">
        <f t="shared" si="202"/>
        <v>0</v>
      </c>
      <c r="J335" s="129">
        <f t="shared" si="238"/>
        <v>0</v>
      </c>
      <c r="K335" s="8"/>
      <c r="L335" s="8">
        <f t="shared" si="219"/>
        <v>0</v>
      </c>
      <c r="M335" s="129">
        <f t="shared" si="220"/>
        <v>0</v>
      </c>
      <c r="N335" s="129"/>
      <c r="O335" s="129">
        <f t="shared" si="213"/>
        <v>0</v>
      </c>
      <c r="P335" s="129"/>
      <c r="Q335" s="129">
        <f t="shared" si="221"/>
        <v>0</v>
      </c>
      <c r="R335" s="129">
        <f t="shared" si="222"/>
        <v>0</v>
      </c>
      <c r="S335" s="693">
        <f t="shared" si="223"/>
        <v>6</v>
      </c>
      <c r="T335" s="129">
        <f t="shared" si="203"/>
        <v>0</v>
      </c>
      <c r="U335" s="165">
        <f t="shared" si="224"/>
        <v>0</v>
      </c>
      <c r="V335" s="75"/>
      <c r="W335" s="131">
        <f t="shared" si="214"/>
        <v>4.1666666666666664E-2</v>
      </c>
      <c r="X335" s="126">
        <f t="shared" si="225"/>
        <v>0</v>
      </c>
      <c r="Y335" s="127">
        <f t="shared" si="207"/>
        <v>0.33333333333333331</v>
      </c>
      <c r="Z335" s="128">
        <f t="shared" si="208"/>
        <v>0</v>
      </c>
      <c r="AA335" s="76" t="str">
        <f t="shared" si="209"/>
        <v/>
      </c>
      <c r="AB335" s="216">
        <f t="shared" si="215"/>
        <v>0</v>
      </c>
      <c r="AC335" s="163" t="str">
        <f t="shared" si="210"/>
        <v/>
      </c>
      <c r="AD335" s="257">
        <f t="shared" si="232"/>
        <v>0</v>
      </c>
      <c r="AE335" s="138"/>
      <c r="AF335" s="138" t="str">
        <f t="shared" si="233"/>
        <v/>
      </c>
      <c r="AG335" s="77">
        <f t="shared" ref="AG335:AG368" si="240">IF(ISNUMBER(U335 ), IF( U335 &gt;= X335, X335, U335 ),"")</f>
        <v>0</v>
      </c>
      <c r="AH335" s="77">
        <f t="shared" ref="AH335:AH368" si="241">IF( ISNUMBER( U335 ), IF( U335 &gt;= X335, U335 - X335, "" ), "" )</f>
        <v>0</v>
      </c>
      <c r="AI335" s="77" t="str">
        <f t="shared" si="234"/>
        <v/>
      </c>
      <c r="AJ335" s="78">
        <f t="shared" si="216"/>
        <v>1</v>
      </c>
      <c r="AK335" s="139">
        <f>SUM($AC$6:AC335)</f>
        <v>0</v>
      </c>
      <c r="AL335" s="139">
        <f t="shared" ca="1" si="226"/>
        <v>0</v>
      </c>
      <c r="AM335" s="143">
        <f t="shared" si="235"/>
        <v>0</v>
      </c>
      <c r="AN335" s="143">
        <f t="shared" si="236"/>
        <v>0</v>
      </c>
      <c r="AO335" s="143">
        <f t="shared" si="237"/>
        <v>0</v>
      </c>
      <c r="AP335" s="142">
        <f t="shared" si="227"/>
        <v>30</v>
      </c>
      <c r="AQ335" s="142">
        <f t="shared" ca="1" si="228"/>
        <v>30</v>
      </c>
      <c r="AR335" s="154">
        <f t="shared" si="239"/>
        <v>0</v>
      </c>
      <c r="AS335" s="142">
        <f t="shared" si="229"/>
        <v>0</v>
      </c>
      <c r="AT335" t="b">
        <f>OR((F335&gt;0),(NOT(ISBLANK(H335))),SUM(H335:H$373),SUM(G335:G$373))</f>
        <v>0</v>
      </c>
      <c r="AU335" t="b">
        <f t="shared" ca="1" si="217"/>
        <v>0</v>
      </c>
    </row>
    <row r="336" spans="1:47">
      <c r="A336" s="349">
        <f t="shared" si="230"/>
        <v>41969</v>
      </c>
      <c r="B336" s="350">
        <f t="shared" si="231"/>
        <v>41969</v>
      </c>
      <c r="C336" s="351">
        <f t="shared" si="204"/>
        <v>48</v>
      </c>
      <c r="D336" s="352">
        <f t="shared" si="205"/>
        <v>41943</v>
      </c>
      <c r="E336" s="364" t="str">
        <f t="shared" si="218"/>
        <v/>
      </c>
      <c r="F336" s="6"/>
      <c r="G336" s="7" t="str">
        <f t="shared" si="206"/>
        <v/>
      </c>
      <c r="H336" s="8"/>
      <c r="I336" s="8">
        <f t="shared" si="202"/>
        <v>0</v>
      </c>
      <c r="J336" s="129">
        <f t="shared" si="238"/>
        <v>0</v>
      </c>
      <c r="K336" s="8"/>
      <c r="L336" s="8">
        <f t="shared" si="219"/>
        <v>0</v>
      </c>
      <c r="M336" s="129">
        <f t="shared" si="220"/>
        <v>0</v>
      </c>
      <c r="N336" s="129"/>
      <c r="O336" s="129">
        <f t="shared" si="213"/>
        <v>0</v>
      </c>
      <c r="P336" s="129"/>
      <c r="Q336" s="129">
        <f t="shared" si="221"/>
        <v>0</v>
      </c>
      <c r="R336" s="129">
        <f t="shared" si="222"/>
        <v>0</v>
      </c>
      <c r="S336" s="693">
        <f t="shared" si="223"/>
        <v>6</v>
      </c>
      <c r="T336" s="129">
        <f t="shared" si="203"/>
        <v>0</v>
      </c>
      <c r="U336" s="165">
        <f t="shared" si="224"/>
        <v>0</v>
      </c>
      <c r="V336" s="75"/>
      <c r="W336" s="131">
        <f t="shared" si="214"/>
        <v>4.1666666666666664E-2</v>
      </c>
      <c r="X336" s="126">
        <f t="shared" si="225"/>
        <v>0</v>
      </c>
      <c r="Y336" s="127">
        <f t="shared" si="207"/>
        <v>0.33333333333333331</v>
      </c>
      <c r="Z336" s="128">
        <f t="shared" si="208"/>
        <v>0</v>
      </c>
      <c r="AA336" s="76" t="str">
        <f t="shared" si="209"/>
        <v/>
      </c>
      <c r="AB336" s="216">
        <f t="shared" si="215"/>
        <v>0</v>
      </c>
      <c r="AC336" s="163" t="str">
        <f t="shared" si="210"/>
        <v/>
      </c>
      <c r="AD336" s="257">
        <f t="shared" si="232"/>
        <v>0</v>
      </c>
      <c r="AE336" s="138"/>
      <c r="AF336" s="138" t="str">
        <f t="shared" si="233"/>
        <v/>
      </c>
      <c r="AG336" s="77">
        <f t="shared" si="240"/>
        <v>0</v>
      </c>
      <c r="AH336" s="77">
        <f t="shared" si="241"/>
        <v>0</v>
      </c>
      <c r="AI336" s="77" t="str">
        <f t="shared" si="234"/>
        <v/>
      </c>
      <c r="AJ336" s="78">
        <f t="shared" si="216"/>
        <v>2</v>
      </c>
      <c r="AK336" s="139">
        <f>SUM($AC$6:AC336)</f>
        <v>0</v>
      </c>
      <c r="AL336" s="139">
        <f t="shared" ca="1" si="226"/>
        <v>0</v>
      </c>
      <c r="AM336" s="143">
        <f t="shared" si="235"/>
        <v>0</v>
      </c>
      <c r="AN336" s="143">
        <f t="shared" si="236"/>
        <v>0</v>
      </c>
      <c r="AO336" s="143">
        <f t="shared" si="237"/>
        <v>0</v>
      </c>
      <c r="AP336" s="142">
        <f t="shared" si="227"/>
        <v>30</v>
      </c>
      <c r="AQ336" s="142">
        <f t="shared" ca="1" si="228"/>
        <v>30</v>
      </c>
      <c r="AR336" s="154">
        <f t="shared" si="239"/>
        <v>0</v>
      </c>
      <c r="AS336" s="142">
        <f t="shared" si="229"/>
        <v>0</v>
      </c>
      <c r="AT336" t="b">
        <f>OR((F336&gt;0),(NOT(ISBLANK(H336))),SUM(H336:H$373),SUM(G336:G$373))</f>
        <v>0</v>
      </c>
      <c r="AU336" t="b">
        <f t="shared" ca="1" si="217"/>
        <v>0</v>
      </c>
    </row>
    <row r="337" spans="1:47">
      <c r="A337" s="349">
        <f t="shared" si="230"/>
        <v>41970</v>
      </c>
      <c r="B337" s="350">
        <f t="shared" si="231"/>
        <v>41970</v>
      </c>
      <c r="C337" s="351">
        <f t="shared" si="204"/>
        <v>48</v>
      </c>
      <c r="D337" s="352">
        <f t="shared" si="205"/>
        <v>41943</v>
      </c>
      <c r="E337" s="364" t="str">
        <f t="shared" si="218"/>
        <v/>
      </c>
      <c r="F337" s="6"/>
      <c r="G337" s="7" t="str">
        <f t="shared" si="206"/>
        <v/>
      </c>
      <c r="H337" s="8"/>
      <c r="I337" s="8">
        <f t="shared" si="202"/>
        <v>0</v>
      </c>
      <c r="J337" s="129">
        <f t="shared" si="238"/>
        <v>0</v>
      </c>
      <c r="K337" s="8"/>
      <c r="L337" s="8">
        <f t="shared" si="219"/>
        <v>0</v>
      </c>
      <c r="M337" s="129">
        <f t="shared" si="220"/>
        <v>0</v>
      </c>
      <c r="N337" s="129"/>
      <c r="O337" s="129">
        <f t="shared" si="213"/>
        <v>0</v>
      </c>
      <c r="P337" s="129"/>
      <c r="Q337" s="129">
        <f t="shared" si="221"/>
        <v>0</v>
      </c>
      <c r="R337" s="129">
        <f t="shared" si="222"/>
        <v>0</v>
      </c>
      <c r="S337" s="693">
        <f t="shared" si="223"/>
        <v>6</v>
      </c>
      <c r="T337" s="129">
        <f t="shared" si="203"/>
        <v>0</v>
      </c>
      <c r="U337" s="165">
        <f t="shared" si="224"/>
        <v>0</v>
      </c>
      <c r="V337" s="75"/>
      <c r="W337" s="131">
        <f t="shared" si="214"/>
        <v>4.1666666666666664E-2</v>
      </c>
      <c r="X337" s="126">
        <f t="shared" si="225"/>
        <v>0</v>
      </c>
      <c r="Y337" s="127">
        <f t="shared" si="207"/>
        <v>0.33333333333333331</v>
      </c>
      <c r="Z337" s="128">
        <f t="shared" si="208"/>
        <v>0</v>
      </c>
      <c r="AA337" s="76" t="str">
        <f t="shared" si="209"/>
        <v/>
      </c>
      <c r="AB337" s="216">
        <f t="shared" si="215"/>
        <v>0</v>
      </c>
      <c r="AC337" s="163" t="str">
        <f t="shared" si="210"/>
        <v/>
      </c>
      <c r="AD337" s="257">
        <f t="shared" si="232"/>
        <v>0</v>
      </c>
      <c r="AE337" s="138"/>
      <c r="AF337" s="138" t="str">
        <f t="shared" si="233"/>
        <v/>
      </c>
      <c r="AG337" s="77">
        <f t="shared" si="240"/>
        <v>0</v>
      </c>
      <c r="AH337" s="77">
        <f t="shared" si="241"/>
        <v>0</v>
      </c>
      <c r="AI337" s="77" t="str">
        <f t="shared" si="234"/>
        <v/>
      </c>
      <c r="AJ337" s="78">
        <f t="shared" si="216"/>
        <v>3</v>
      </c>
      <c r="AK337" s="139">
        <f>SUM($AC$6:AC337)</f>
        <v>0</v>
      </c>
      <c r="AL337" s="139">
        <f t="shared" ca="1" si="226"/>
        <v>0</v>
      </c>
      <c r="AM337" s="143">
        <f t="shared" si="235"/>
        <v>0</v>
      </c>
      <c r="AN337" s="143">
        <f t="shared" si="236"/>
        <v>0</v>
      </c>
      <c r="AO337" s="143">
        <f t="shared" si="237"/>
        <v>0</v>
      </c>
      <c r="AP337" s="142">
        <f t="shared" si="227"/>
        <v>30</v>
      </c>
      <c r="AQ337" s="142">
        <f t="shared" ca="1" si="228"/>
        <v>30</v>
      </c>
      <c r="AR337" s="154">
        <f t="shared" si="239"/>
        <v>0</v>
      </c>
      <c r="AS337" s="142">
        <f t="shared" si="229"/>
        <v>0</v>
      </c>
      <c r="AT337" t="b">
        <f>OR((F337&gt;0),(NOT(ISBLANK(H337))),SUM(H337:H$373),SUM(G337:G$373))</f>
        <v>0</v>
      </c>
      <c r="AU337" t="b">
        <f t="shared" ca="1" si="217"/>
        <v>0</v>
      </c>
    </row>
    <row r="338" spans="1:47">
      <c r="A338" s="349">
        <f t="shared" si="230"/>
        <v>41971</v>
      </c>
      <c r="B338" s="350">
        <f t="shared" si="231"/>
        <v>41971</v>
      </c>
      <c r="C338" s="351">
        <f t="shared" si="204"/>
        <v>48</v>
      </c>
      <c r="D338" s="352">
        <f t="shared" si="205"/>
        <v>41943</v>
      </c>
      <c r="E338" s="364" t="str">
        <f t="shared" si="218"/>
        <v/>
      </c>
      <c r="F338" s="6"/>
      <c r="G338" s="7" t="str">
        <f t="shared" si="206"/>
        <v/>
      </c>
      <c r="H338" s="8"/>
      <c r="I338" s="8">
        <f t="shared" ref="I338:I373" si="242">IF(H338&gt;0,H338+X338+W338+AB338,0)</f>
        <v>0</v>
      </c>
      <c r="J338" s="129">
        <f t="shared" si="238"/>
        <v>0</v>
      </c>
      <c r="K338" s="8"/>
      <c r="L338" s="8">
        <f t="shared" si="219"/>
        <v>0</v>
      </c>
      <c r="M338" s="129">
        <f t="shared" si="220"/>
        <v>0</v>
      </c>
      <c r="N338" s="129"/>
      <c r="O338" s="129">
        <f t="shared" si="213"/>
        <v>0</v>
      </c>
      <c r="P338" s="129"/>
      <c r="Q338" s="129">
        <f t="shared" si="221"/>
        <v>0</v>
      </c>
      <c r="R338" s="129">
        <f t="shared" si="222"/>
        <v>0</v>
      </c>
      <c r="S338" s="693">
        <f t="shared" si="223"/>
        <v>6</v>
      </c>
      <c r="T338" s="129">
        <f t="shared" ref="T338:T373" si="243">IF((J338-H338)&gt;=TIME(S338,0,1),W338,(IF(OR(R338&lt;TIME(S338,0,1),AND(K338&lt;&gt;0,(K338-J338)&gt;=W338)),0,IF(AND(K338&lt;&gt;0,(K338-J338)&lt;W338),W338-(K338-J338),W338))))</f>
        <v>0</v>
      </c>
      <c r="U338" s="165">
        <f t="shared" si="224"/>
        <v>0</v>
      </c>
      <c r="V338" s="75"/>
      <c r="W338" s="131">
        <f t="shared" si="214"/>
        <v>4.1666666666666664E-2</v>
      </c>
      <c r="X338" s="126">
        <f t="shared" si="225"/>
        <v>0</v>
      </c>
      <c r="Y338" s="127">
        <f t="shared" si="207"/>
        <v>0.33333333333333331</v>
      </c>
      <c r="Z338" s="128">
        <f t="shared" si="208"/>
        <v>0</v>
      </c>
      <c r="AA338" s="76" t="str">
        <f t="shared" si="209"/>
        <v/>
      </c>
      <c r="AB338" s="216">
        <f t="shared" si="215"/>
        <v>0</v>
      </c>
      <c r="AC338" s="163" t="str">
        <f t="shared" si="210"/>
        <v/>
      </c>
      <c r="AD338" s="257">
        <f t="shared" si="232"/>
        <v>0</v>
      </c>
      <c r="AE338" s="138"/>
      <c r="AF338" s="138" t="str">
        <f t="shared" si="233"/>
        <v/>
      </c>
      <c r="AG338" s="77">
        <f t="shared" si="240"/>
        <v>0</v>
      </c>
      <c r="AH338" s="77">
        <f t="shared" si="241"/>
        <v>0</v>
      </c>
      <c r="AI338" s="77" t="str">
        <f t="shared" si="234"/>
        <v/>
      </c>
      <c r="AJ338" s="78">
        <f t="shared" si="216"/>
        <v>4</v>
      </c>
      <c r="AK338" s="139">
        <f>SUM($AC$6:AC338)</f>
        <v>0</v>
      </c>
      <c r="AL338" s="139">
        <f t="shared" ca="1" si="226"/>
        <v>0</v>
      </c>
      <c r="AM338" s="143">
        <f t="shared" si="235"/>
        <v>0</v>
      </c>
      <c r="AN338" s="143">
        <f t="shared" si="236"/>
        <v>0</v>
      </c>
      <c r="AO338" s="143">
        <f t="shared" si="237"/>
        <v>0</v>
      </c>
      <c r="AP338" s="142">
        <f t="shared" si="227"/>
        <v>30</v>
      </c>
      <c r="AQ338" s="142">
        <f t="shared" ca="1" si="228"/>
        <v>30</v>
      </c>
      <c r="AR338" s="154">
        <f t="shared" si="239"/>
        <v>0</v>
      </c>
      <c r="AS338" s="142">
        <f t="shared" si="229"/>
        <v>0</v>
      </c>
      <c r="AT338" t="b">
        <f>OR((F338&gt;0),(NOT(ISBLANK(H338))),SUM(H338:H$373),SUM(G338:G$373))</f>
        <v>0</v>
      </c>
      <c r="AU338" t="b">
        <f t="shared" ca="1" si="217"/>
        <v>0</v>
      </c>
    </row>
    <row r="339" spans="1:47">
      <c r="A339" s="349">
        <f t="shared" si="230"/>
        <v>41972</v>
      </c>
      <c r="B339" s="350">
        <f t="shared" si="231"/>
        <v>41972</v>
      </c>
      <c r="C339" s="351">
        <f t="shared" si="204"/>
        <v>48</v>
      </c>
      <c r="D339" s="352">
        <f t="shared" si="205"/>
        <v>41943</v>
      </c>
      <c r="E339" s="364" t="str">
        <f t="shared" si="218"/>
        <v/>
      </c>
      <c r="F339" s="6"/>
      <c r="G339" s="7" t="str">
        <f t="shared" si="206"/>
        <v/>
      </c>
      <c r="H339" s="8"/>
      <c r="I339" s="8">
        <f t="shared" si="242"/>
        <v>0</v>
      </c>
      <c r="J339" s="129">
        <f t="shared" si="238"/>
        <v>0</v>
      </c>
      <c r="K339" s="8"/>
      <c r="L339" s="8">
        <f t="shared" si="219"/>
        <v>0</v>
      </c>
      <c r="M339" s="129">
        <f t="shared" si="220"/>
        <v>0</v>
      </c>
      <c r="N339" s="129"/>
      <c r="O339" s="129">
        <f t="shared" si="213"/>
        <v>0</v>
      </c>
      <c r="P339" s="129"/>
      <c r="Q339" s="129">
        <f t="shared" si="221"/>
        <v>0</v>
      </c>
      <c r="R339" s="129">
        <f t="shared" si="222"/>
        <v>0</v>
      </c>
      <c r="S339" s="693">
        <f t="shared" si="223"/>
        <v>6</v>
      </c>
      <c r="T339" s="129">
        <f t="shared" si="243"/>
        <v>0</v>
      </c>
      <c r="U339" s="165">
        <f t="shared" si="224"/>
        <v>0</v>
      </c>
      <c r="V339" s="75"/>
      <c r="W339" s="131">
        <f t="shared" si="214"/>
        <v>4.1666666666666664E-2</v>
      </c>
      <c r="X339" s="126">
        <f t="shared" si="225"/>
        <v>0</v>
      </c>
      <c r="Y339" s="127">
        <f t="shared" si="207"/>
        <v>0.33333333333333331</v>
      </c>
      <c r="Z339" s="128">
        <f t="shared" si="208"/>
        <v>0</v>
      </c>
      <c r="AA339" s="76" t="str">
        <f t="shared" si="209"/>
        <v/>
      </c>
      <c r="AB339" s="216">
        <f t="shared" si="215"/>
        <v>0</v>
      </c>
      <c r="AC339" s="163" t="str">
        <f t="shared" si="210"/>
        <v/>
      </c>
      <c r="AD339" s="257">
        <f t="shared" si="232"/>
        <v>0</v>
      </c>
      <c r="AE339" s="138"/>
      <c r="AF339" s="138" t="str">
        <f t="shared" si="233"/>
        <v/>
      </c>
      <c r="AG339" s="77">
        <f t="shared" si="240"/>
        <v>0</v>
      </c>
      <c r="AH339" s="77">
        <f t="shared" si="241"/>
        <v>0</v>
      </c>
      <c r="AI339" s="77" t="str">
        <f t="shared" si="234"/>
        <v/>
      </c>
      <c r="AJ339" s="78">
        <f t="shared" si="216"/>
        <v>5</v>
      </c>
      <c r="AK339" s="139">
        <f>SUM($AC$6:AC339)</f>
        <v>0</v>
      </c>
      <c r="AL339" s="139">
        <f t="shared" ca="1" si="226"/>
        <v>0</v>
      </c>
      <c r="AM339" s="143">
        <f t="shared" si="235"/>
        <v>0</v>
      </c>
      <c r="AN339" s="143">
        <f t="shared" si="236"/>
        <v>0</v>
      </c>
      <c r="AO339" s="143">
        <f t="shared" si="237"/>
        <v>0</v>
      </c>
      <c r="AP339" s="142">
        <f t="shared" si="227"/>
        <v>30</v>
      </c>
      <c r="AQ339" s="142">
        <f t="shared" ca="1" si="228"/>
        <v>30</v>
      </c>
      <c r="AR339" s="154">
        <f t="shared" si="239"/>
        <v>0</v>
      </c>
      <c r="AS339" s="142">
        <f t="shared" si="229"/>
        <v>0</v>
      </c>
      <c r="AT339" t="b">
        <f>OR((F339&gt;0),(NOT(ISBLANK(H339))),SUM(H339:H$373),SUM(G339:G$373))</f>
        <v>0</v>
      </c>
      <c r="AU339" t="b">
        <f t="shared" ca="1" si="217"/>
        <v>0</v>
      </c>
    </row>
    <row r="340" spans="1:47">
      <c r="A340" s="349">
        <f t="shared" si="230"/>
        <v>41973</v>
      </c>
      <c r="B340" s="350">
        <f t="shared" si="231"/>
        <v>41973</v>
      </c>
      <c r="C340" s="351">
        <f t="shared" ref="C340:C373" si="244">IF(A340="","",NumberOfWeek(A340))</f>
        <v>48</v>
      </c>
      <c r="D340" s="352">
        <f t="shared" ref="D340:D373" si="245">IF(A340="","",DATE(YEAR(A340),MONTH(A340),1))</f>
        <v>41973</v>
      </c>
      <c r="E340" s="364" t="str">
        <f t="shared" si="218"/>
        <v/>
      </c>
      <c r="F340" s="6"/>
      <c r="G340" s="7" t="str">
        <f t="shared" ref="G340:G373" si="246">IF(ISBLANK(F340),IF(ISBLANK(H340),"",0),CODE(UPPER(F340)))</f>
        <v/>
      </c>
      <c r="H340" s="8"/>
      <c r="I340" s="8">
        <f t="shared" si="242"/>
        <v>0</v>
      </c>
      <c r="J340" s="129">
        <f t="shared" si="238"/>
        <v>0</v>
      </c>
      <c r="K340" s="8"/>
      <c r="L340" s="8">
        <f t="shared" si="219"/>
        <v>0</v>
      </c>
      <c r="M340" s="129">
        <f t="shared" si="220"/>
        <v>0</v>
      </c>
      <c r="N340" s="129"/>
      <c r="O340" s="129">
        <f t="shared" si="213"/>
        <v>0</v>
      </c>
      <c r="P340" s="129"/>
      <c r="Q340" s="129">
        <f t="shared" si="221"/>
        <v>0</v>
      </c>
      <c r="R340" s="129">
        <f t="shared" si="222"/>
        <v>0</v>
      </c>
      <c r="S340" s="693">
        <f t="shared" si="223"/>
        <v>6</v>
      </c>
      <c r="T340" s="129">
        <f t="shared" si="243"/>
        <v>0</v>
      </c>
      <c r="U340" s="165">
        <f t="shared" si="224"/>
        <v>0</v>
      </c>
      <c r="V340" s="75"/>
      <c r="W340" s="131">
        <f t="shared" si="214"/>
        <v>4.1666666666666664E-2</v>
      </c>
      <c r="X340" s="126">
        <f t="shared" si="225"/>
        <v>0</v>
      </c>
      <c r="Y340" s="127">
        <f t="shared" ref="Y340:Y373" si="247">IF(AND(AJ340&gt;0,AJ340&lt;Feiertag),INDEX(Arbeitszeit,AJ340),"")</f>
        <v>0</v>
      </c>
      <c r="Z340" s="128">
        <f t="shared" ref="Z340:Z373" si="248">U340-X340</f>
        <v>0</v>
      </c>
      <c r="AA340" s="76" t="str">
        <f t="shared" ref="AA340:AA373" si="249">IF((U340-X340)&lt;0,"*","")</f>
        <v/>
      </c>
      <c r="AB340" s="216">
        <f t="shared" si="215"/>
        <v>0</v>
      </c>
      <c r="AC340" s="163" t="str">
        <f t="shared" ref="AC340:AC373" si="250">IF((R340-T340)&gt;XWorkTimeMax,(R340-T340-XWorkTimeMax),"")</f>
        <v/>
      </c>
      <c r="AD340" s="257">
        <f t="shared" si="232"/>
        <v>0</v>
      </c>
      <c r="AE340" s="138"/>
      <c r="AF340" s="138" t="str">
        <f t="shared" si="233"/>
        <v/>
      </c>
      <c r="AG340" s="77">
        <f t="shared" si="240"/>
        <v>0</v>
      </c>
      <c r="AH340" s="77">
        <f t="shared" si="241"/>
        <v>0</v>
      </c>
      <c r="AI340" s="77" t="str">
        <f t="shared" si="234"/>
        <v/>
      </c>
      <c r="AJ340" s="78">
        <f t="shared" si="216"/>
        <v>6</v>
      </c>
      <c r="AK340" s="139">
        <f>SUM($AC$6:AC340)</f>
        <v>0</v>
      </c>
      <c r="AL340" s="139">
        <f t="shared" ca="1" si="226"/>
        <v>0</v>
      </c>
      <c r="AM340" s="143">
        <f t="shared" si="235"/>
        <v>0</v>
      </c>
      <c r="AN340" s="143">
        <f t="shared" si="236"/>
        <v>0</v>
      </c>
      <c r="AO340" s="143">
        <f t="shared" si="237"/>
        <v>0</v>
      </c>
      <c r="AP340" s="142">
        <f t="shared" si="227"/>
        <v>30</v>
      </c>
      <c r="AQ340" s="142">
        <f t="shared" ca="1" si="228"/>
        <v>30</v>
      </c>
      <c r="AR340" s="154">
        <f t="shared" si="239"/>
        <v>0</v>
      </c>
      <c r="AS340" s="142">
        <f t="shared" si="229"/>
        <v>7</v>
      </c>
      <c r="AT340" t="b">
        <f>OR((F340&gt;0),(NOT(ISBLANK(H340))),SUM(H340:H$373),SUM(G340:G$373))</f>
        <v>0</v>
      </c>
      <c r="AU340" t="b">
        <f t="shared" ca="1" si="217"/>
        <v>1</v>
      </c>
    </row>
    <row r="341" spans="1:47">
      <c r="A341" s="349">
        <f t="shared" si="230"/>
        <v>41974</v>
      </c>
      <c r="B341" s="350">
        <f t="shared" si="231"/>
        <v>41974</v>
      </c>
      <c r="C341" s="351">
        <f t="shared" si="244"/>
        <v>48</v>
      </c>
      <c r="D341" s="352">
        <f t="shared" si="245"/>
        <v>41973</v>
      </c>
      <c r="E341" s="364" t="str">
        <f t="shared" si="218"/>
        <v/>
      </c>
      <c r="F341" s="6"/>
      <c r="G341" s="7" t="str">
        <f t="shared" si="246"/>
        <v/>
      </c>
      <c r="H341" s="8"/>
      <c r="I341" s="8">
        <f t="shared" si="242"/>
        <v>0</v>
      </c>
      <c r="J341" s="129">
        <f t="shared" si="238"/>
        <v>0</v>
      </c>
      <c r="K341" s="8"/>
      <c r="L341" s="8">
        <f t="shared" si="219"/>
        <v>0</v>
      </c>
      <c r="M341" s="129">
        <f t="shared" si="220"/>
        <v>0</v>
      </c>
      <c r="N341" s="129"/>
      <c r="O341" s="129">
        <f t="shared" si="213"/>
        <v>0</v>
      </c>
      <c r="P341" s="129"/>
      <c r="Q341" s="129">
        <f t="shared" si="221"/>
        <v>0</v>
      </c>
      <c r="R341" s="129">
        <f t="shared" si="222"/>
        <v>0</v>
      </c>
      <c r="S341" s="693">
        <f t="shared" si="223"/>
        <v>6</v>
      </c>
      <c r="T341" s="129">
        <f t="shared" si="243"/>
        <v>0</v>
      </c>
      <c r="U341" s="165">
        <f t="shared" si="224"/>
        <v>0</v>
      </c>
      <c r="V341" s="75"/>
      <c r="W341" s="131">
        <f t="shared" si="214"/>
        <v>4.1666666666666664E-2</v>
      </c>
      <c r="X341" s="126">
        <f t="shared" si="225"/>
        <v>0</v>
      </c>
      <c r="Y341" s="127">
        <f t="shared" si="247"/>
        <v>0</v>
      </c>
      <c r="Z341" s="128">
        <f t="shared" si="248"/>
        <v>0</v>
      </c>
      <c r="AA341" s="76" t="str">
        <f t="shared" si="249"/>
        <v/>
      </c>
      <c r="AB341" s="216">
        <f t="shared" si="215"/>
        <v>0</v>
      </c>
      <c r="AC341" s="163" t="str">
        <f t="shared" si="250"/>
        <v/>
      </c>
      <c r="AD341" s="257">
        <f t="shared" si="232"/>
        <v>0</v>
      </c>
      <c r="AE341" s="138"/>
      <c r="AF341" s="138" t="str">
        <f t="shared" si="233"/>
        <v/>
      </c>
      <c r="AG341" s="77">
        <f t="shared" si="240"/>
        <v>0</v>
      </c>
      <c r="AH341" s="77">
        <f t="shared" si="241"/>
        <v>0</v>
      </c>
      <c r="AI341" s="77" t="str">
        <f t="shared" si="234"/>
        <v/>
      </c>
      <c r="AJ341" s="78">
        <f t="shared" si="216"/>
        <v>7</v>
      </c>
      <c r="AK341" s="139">
        <f>SUM($AC$6:AC341)</f>
        <v>0</v>
      </c>
      <c r="AL341" s="139">
        <f t="shared" ca="1" si="226"/>
        <v>0</v>
      </c>
      <c r="AM341" s="143">
        <f t="shared" si="235"/>
        <v>0</v>
      </c>
      <c r="AN341" s="143">
        <f t="shared" si="236"/>
        <v>0</v>
      </c>
      <c r="AO341" s="143">
        <f t="shared" si="237"/>
        <v>0</v>
      </c>
      <c r="AP341" s="142">
        <f t="shared" si="227"/>
        <v>30</v>
      </c>
      <c r="AQ341" s="142">
        <f t="shared" ca="1" si="228"/>
        <v>30</v>
      </c>
      <c r="AR341" s="154">
        <f t="shared" si="239"/>
        <v>0</v>
      </c>
      <c r="AS341" s="142">
        <f t="shared" si="229"/>
        <v>7</v>
      </c>
      <c r="AT341" t="b">
        <f>OR((F341&gt;0),(NOT(ISBLANK(H341))),SUM(H341:H$373),SUM(G341:G$373))</f>
        <v>0</v>
      </c>
      <c r="AU341" t="b">
        <f t="shared" ca="1" si="217"/>
        <v>1</v>
      </c>
    </row>
    <row r="342" spans="1:47">
      <c r="A342" s="349">
        <f t="shared" si="230"/>
        <v>41975</v>
      </c>
      <c r="B342" s="350">
        <f t="shared" si="231"/>
        <v>41975</v>
      </c>
      <c r="C342" s="351">
        <f t="shared" si="244"/>
        <v>49</v>
      </c>
      <c r="D342" s="352">
        <f t="shared" si="245"/>
        <v>41973</v>
      </c>
      <c r="E342" s="364" t="str">
        <f t="shared" si="218"/>
        <v/>
      </c>
      <c r="F342" s="6"/>
      <c r="G342" s="7" t="str">
        <f t="shared" si="246"/>
        <v/>
      </c>
      <c r="H342" s="8"/>
      <c r="I342" s="8">
        <f t="shared" si="242"/>
        <v>0</v>
      </c>
      <c r="J342" s="129">
        <f t="shared" si="238"/>
        <v>0</v>
      </c>
      <c r="K342" s="8"/>
      <c r="L342" s="8">
        <f t="shared" si="219"/>
        <v>0</v>
      </c>
      <c r="M342" s="129">
        <f t="shared" si="220"/>
        <v>0</v>
      </c>
      <c r="N342" s="129"/>
      <c r="O342" s="129">
        <f t="shared" si="213"/>
        <v>0</v>
      </c>
      <c r="P342" s="129"/>
      <c r="Q342" s="129">
        <f t="shared" si="221"/>
        <v>0</v>
      </c>
      <c r="R342" s="129">
        <f t="shared" si="222"/>
        <v>0</v>
      </c>
      <c r="S342" s="693">
        <f t="shared" si="223"/>
        <v>6</v>
      </c>
      <c r="T342" s="129">
        <f t="shared" si="243"/>
        <v>0</v>
      </c>
      <c r="U342" s="165">
        <f t="shared" si="224"/>
        <v>0</v>
      </c>
      <c r="V342" s="75"/>
      <c r="W342" s="131">
        <f t="shared" si="214"/>
        <v>4.1666666666666664E-2</v>
      </c>
      <c r="X342" s="126">
        <f t="shared" si="225"/>
        <v>0</v>
      </c>
      <c r="Y342" s="127">
        <f t="shared" si="247"/>
        <v>0.33333333333333331</v>
      </c>
      <c r="Z342" s="128">
        <f t="shared" si="248"/>
        <v>0</v>
      </c>
      <c r="AA342" s="76" t="str">
        <f t="shared" si="249"/>
        <v/>
      </c>
      <c r="AB342" s="216">
        <f t="shared" si="215"/>
        <v>0</v>
      </c>
      <c r="AC342" s="163" t="str">
        <f t="shared" si="250"/>
        <v/>
      </c>
      <c r="AD342" s="257">
        <f t="shared" si="232"/>
        <v>0</v>
      </c>
      <c r="AE342" s="138"/>
      <c r="AF342" s="138" t="str">
        <f t="shared" si="233"/>
        <v/>
      </c>
      <c r="AG342" s="77">
        <f t="shared" si="240"/>
        <v>0</v>
      </c>
      <c r="AH342" s="77">
        <f t="shared" si="241"/>
        <v>0</v>
      </c>
      <c r="AI342" s="77" t="str">
        <f t="shared" si="234"/>
        <v/>
      </c>
      <c r="AJ342" s="78">
        <f t="shared" si="216"/>
        <v>1</v>
      </c>
      <c r="AK342" s="139">
        <f>SUM($AC$6:AC342)</f>
        <v>0</v>
      </c>
      <c r="AL342" s="139">
        <f t="shared" ca="1" si="226"/>
        <v>0</v>
      </c>
      <c r="AM342" s="143">
        <f t="shared" si="235"/>
        <v>0</v>
      </c>
      <c r="AN342" s="143">
        <f t="shared" si="236"/>
        <v>0</v>
      </c>
      <c r="AO342" s="143">
        <f t="shared" si="237"/>
        <v>0</v>
      </c>
      <c r="AP342" s="142">
        <f t="shared" si="227"/>
        <v>30</v>
      </c>
      <c r="AQ342" s="142">
        <f t="shared" ca="1" si="228"/>
        <v>30</v>
      </c>
      <c r="AR342" s="154">
        <f t="shared" si="239"/>
        <v>0</v>
      </c>
      <c r="AS342" s="142">
        <f t="shared" si="229"/>
        <v>0</v>
      </c>
      <c r="AT342" t="b">
        <f>OR((F342&gt;0),(NOT(ISBLANK(H342))),SUM(H342:H$373),SUM(G342:G$373))</f>
        <v>0</v>
      </c>
      <c r="AU342" t="b">
        <f t="shared" ca="1" si="217"/>
        <v>0</v>
      </c>
    </row>
    <row r="343" spans="1:47">
      <c r="A343" s="349">
        <f t="shared" si="230"/>
        <v>41976</v>
      </c>
      <c r="B343" s="350">
        <f t="shared" si="231"/>
        <v>41976</v>
      </c>
      <c r="C343" s="351">
        <f t="shared" si="244"/>
        <v>49</v>
      </c>
      <c r="D343" s="352">
        <f t="shared" si="245"/>
        <v>41973</v>
      </c>
      <c r="E343" s="364" t="str">
        <f t="shared" si="218"/>
        <v/>
      </c>
      <c r="F343" s="6"/>
      <c r="G343" s="7" t="str">
        <f t="shared" si="246"/>
        <v/>
      </c>
      <c r="H343" s="8"/>
      <c r="I343" s="8">
        <f t="shared" si="242"/>
        <v>0</v>
      </c>
      <c r="J343" s="129">
        <f t="shared" si="238"/>
        <v>0</v>
      </c>
      <c r="K343" s="8"/>
      <c r="L343" s="8">
        <f t="shared" si="219"/>
        <v>0</v>
      </c>
      <c r="M343" s="129">
        <f t="shared" si="220"/>
        <v>0</v>
      </c>
      <c r="N343" s="129"/>
      <c r="O343" s="129">
        <f t="shared" si="213"/>
        <v>0</v>
      </c>
      <c r="P343" s="129"/>
      <c r="Q343" s="129">
        <f t="shared" si="221"/>
        <v>0</v>
      </c>
      <c r="R343" s="129">
        <f t="shared" si="222"/>
        <v>0</v>
      </c>
      <c r="S343" s="693">
        <f t="shared" si="223"/>
        <v>6</v>
      </c>
      <c r="T343" s="129">
        <f t="shared" si="243"/>
        <v>0</v>
      </c>
      <c r="U343" s="165">
        <f t="shared" si="224"/>
        <v>0</v>
      </c>
      <c r="V343" s="75"/>
      <c r="W343" s="131">
        <f t="shared" si="214"/>
        <v>4.1666666666666664E-2</v>
      </c>
      <c r="X343" s="126">
        <f t="shared" si="225"/>
        <v>0</v>
      </c>
      <c r="Y343" s="127">
        <f t="shared" si="247"/>
        <v>0.33333333333333331</v>
      </c>
      <c r="Z343" s="128">
        <f t="shared" si="248"/>
        <v>0</v>
      </c>
      <c r="AA343" s="76" t="str">
        <f t="shared" si="249"/>
        <v/>
      </c>
      <c r="AB343" s="216">
        <f t="shared" si="215"/>
        <v>0</v>
      </c>
      <c r="AC343" s="163" t="str">
        <f t="shared" si="250"/>
        <v/>
      </c>
      <c r="AD343" s="257">
        <f t="shared" si="232"/>
        <v>0</v>
      </c>
      <c r="AE343" s="138"/>
      <c r="AF343" s="138" t="str">
        <f t="shared" si="233"/>
        <v/>
      </c>
      <c r="AG343" s="77">
        <f t="shared" si="240"/>
        <v>0</v>
      </c>
      <c r="AH343" s="77">
        <f t="shared" si="241"/>
        <v>0</v>
      </c>
      <c r="AI343" s="77" t="str">
        <f t="shared" si="234"/>
        <v/>
      </c>
      <c r="AJ343" s="78">
        <f t="shared" si="216"/>
        <v>2</v>
      </c>
      <c r="AK343" s="139">
        <f>SUM($AC$6:AC343)</f>
        <v>0</v>
      </c>
      <c r="AL343" s="139">
        <f t="shared" ca="1" si="226"/>
        <v>0</v>
      </c>
      <c r="AM343" s="143">
        <f t="shared" si="235"/>
        <v>0</v>
      </c>
      <c r="AN343" s="143">
        <f t="shared" si="236"/>
        <v>0</v>
      </c>
      <c r="AO343" s="143">
        <f t="shared" si="237"/>
        <v>0</v>
      </c>
      <c r="AP343" s="142">
        <f t="shared" si="227"/>
        <v>30</v>
      </c>
      <c r="AQ343" s="142">
        <f t="shared" ca="1" si="228"/>
        <v>30</v>
      </c>
      <c r="AR343" s="154">
        <f t="shared" si="239"/>
        <v>0</v>
      </c>
      <c r="AS343" s="142">
        <f t="shared" si="229"/>
        <v>0</v>
      </c>
      <c r="AT343" t="b">
        <f>OR((F343&gt;0),(NOT(ISBLANK(H343))),SUM(H343:H$373),SUM(G343:G$373))</f>
        <v>0</v>
      </c>
      <c r="AU343" t="b">
        <f t="shared" ca="1" si="217"/>
        <v>0</v>
      </c>
    </row>
    <row r="344" spans="1:47">
      <c r="A344" s="349">
        <f t="shared" si="230"/>
        <v>41977</v>
      </c>
      <c r="B344" s="350">
        <f t="shared" si="231"/>
        <v>41977</v>
      </c>
      <c r="C344" s="351">
        <f t="shared" si="244"/>
        <v>49</v>
      </c>
      <c r="D344" s="352">
        <f t="shared" si="245"/>
        <v>41973</v>
      </c>
      <c r="E344" s="364" t="str">
        <f t="shared" si="218"/>
        <v/>
      </c>
      <c r="F344" s="6"/>
      <c r="G344" s="7" t="str">
        <f t="shared" si="246"/>
        <v/>
      </c>
      <c r="H344" s="8"/>
      <c r="I344" s="8">
        <f t="shared" si="242"/>
        <v>0</v>
      </c>
      <c r="J344" s="129">
        <f t="shared" si="238"/>
        <v>0</v>
      </c>
      <c r="K344" s="8"/>
      <c r="L344" s="8">
        <f t="shared" si="219"/>
        <v>0</v>
      </c>
      <c r="M344" s="129">
        <f t="shared" si="220"/>
        <v>0</v>
      </c>
      <c r="N344" s="129"/>
      <c r="O344" s="129">
        <f t="shared" si="213"/>
        <v>0</v>
      </c>
      <c r="P344" s="129"/>
      <c r="Q344" s="129">
        <f t="shared" si="221"/>
        <v>0</v>
      </c>
      <c r="R344" s="129">
        <f t="shared" si="222"/>
        <v>0</v>
      </c>
      <c r="S344" s="693">
        <f t="shared" si="223"/>
        <v>6</v>
      </c>
      <c r="T344" s="129">
        <f t="shared" si="243"/>
        <v>0</v>
      </c>
      <c r="U344" s="165">
        <f t="shared" si="224"/>
        <v>0</v>
      </c>
      <c r="V344" s="75"/>
      <c r="W344" s="131">
        <f t="shared" si="214"/>
        <v>4.1666666666666664E-2</v>
      </c>
      <c r="X344" s="126">
        <f t="shared" si="225"/>
        <v>0</v>
      </c>
      <c r="Y344" s="127">
        <f t="shared" si="247"/>
        <v>0.33333333333333331</v>
      </c>
      <c r="Z344" s="128">
        <f t="shared" si="248"/>
        <v>0</v>
      </c>
      <c r="AA344" s="76" t="str">
        <f t="shared" si="249"/>
        <v/>
      </c>
      <c r="AB344" s="216">
        <f t="shared" si="215"/>
        <v>0</v>
      </c>
      <c r="AC344" s="163" t="str">
        <f t="shared" si="250"/>
        <v/>
      </c>
      <c r="AD344" s="257">
        <f t="shared" si="232"/>
        <v>0</v>
      </c>
      <c r="AE344" s="138"/>
      <c r="AF344" s="138" t="str">
        <f t="shared" si="233"/>
        <v/>
      </c>
      <c r="AG344" s="77">
        <f t="shared" si="240"/>
        <v>0</v>
      </c>
      <c r="AH344" s="77">
        <f t="shared" si="241"/>
        <v>0</v>
      </c>
      <c r="AI344" s="77" t="str">
        <f t="shared" si="234"/>
        <v/>
      </c>
      <c r="AJ344" s="78">
        <f t="shared" si="216"/>
        <v>3</v>
      </c>
      <c r="AK344" s="139">
        <f>SUM($AC$6:AC344)</f>
        <v>0</v>
      </c>
      <c r="AL344" s="139">
        <f t="shared" ca="1" si="226"/>
        <v>0</v>
      </c>
      <c r="AM344" s="143">
        <f t="shared" si="235"/>
        <v>0</v>
      </c>
      <c r="AN344" s="143">
        <f t="shared" si="236"/>
        <v>0</v>
      </c>
      <c r="AO344" s="143">
        <f t="shared" si="237"/>
        <v>0</v>
      </c>
      <c r="AP344" s="142">
        <f t="shared" si="227"/>
        <v>30</v>
      </c>
      <c r="AQ344" s="142">
        <f t="shared" ca="1" si="228"/>
        <v>30</v>
      </c>
      <c r="AR344" s="154">
        <f t="shared" si="239"/>
        <v>0</v>
      </c>
      <c r="AS344" s="142">
        <f t="shared" si="229"/>
        <v>0</v>
      </c>
      <c r="AT344" t="b">
        <f>OR((F344&gt;0),(NOT(ISBLANK(H344))),SUM(H344:H$373),SUM(G344:G$373))</f>
        <v>0</v>
      </c>
      <c r="AU344" t="b">
        <f t="shared" ca="1" si="217"/>
        <v>0</v>
      </c>
    </row>
    <row r="345" spans="1:47">
      <c r="A345" s="349">
        <f t="shared" si="230"/>
        <v>41978</v>
      </c>
      <c r="B345" s="350">
        <f t="shared" si="231"/>
        <v>41978</v>
      </c>
      <c r="C345" s="351">
        <f t="shared" si="244"/>
        <v>49</v>
      </c>
      <c r="D345" s="352">
        <f t="shared" si="245"/>
        <v>41973</v>
      </c>
      <c r="E345" s="364" t="str">
        <f t="shared" si="218"/>
        <v/>
      </c>
      <c r="F345" s="6"/>
      <c r="G345" s="7" t="str">
        <f t="shared" si="246"/>
        <v/>
      </c>
      <c r="H345" s="8"/>
      <c r="I345" s="8">
        <f t="shared" si="242"/>
        <v>0</v>
      </c>
      <c r="J345" s="129">
        <f t="shared" si="238"/>
        <v>0</v>
      </c>
      <c r="K345" s="8"/>
      <c r="L345" s="8">
        <f t="shared" si="219"/>
        <v>0</v>
      </c>
      <c r="M345" s="129">
        <f t="shared" si="220"/>
        <v>0</v>
      </c>
      <c r="N345" s="129"/>
      <c r="O345" s="129">
        <f t="shared" si="213"/>
        <v>0</v>
      </c>
      <c r="P345" s="129"/>
      <c r="Q345" s="129">
        <f t="shared" si="221"/>
        <v>0</v>
      </c>
      <c r="R345" s="129">
        <f t="shared" si="222"/>
        <v>0</v>
      </c>
      <c r="S345" s="693">
        <f t="shared" si="223"/>
        <v>6</v>
      </c>
      <c r="T345" s="129">
        <f t="shared" si="243"/>
        <v>0</v>
      </c>
      <c r="U345" s="165">
        <f t="shared" si="224"/>
        <v>0</v>
      </c>
      <c r="V345" s="75"/>
      <c r="W345" s="131">
        <f t="shared" si="214"/>
        <v>4.1666666666666664E-2</v>
      </c>
      <c r="X345" s="126">
        <f t="shared" si="225"/>
        <v>0</v>
      </c>
      <c r="Y345" s="127">
        <f t="shared" si="247"/>
        <v>0.33333333333333331</v>
      </c>
      <c r="Z345" s="128">
        <f t="shared" si="248"/>
        <v>0</v>
      </c>
      <c r="AA345" s="76" t="str">
        <f t="shared" si="249"/>
        <v/>
      </c>
      <c r="AB345" s="216">
        <f t="shared" si="215"/>
        <v>0</v>
      </c>
      <c r="AC345" s="163" t="str">
        <f t="shared" si="250"/>
        <v/>
      </c>
      <c r="AD345" s="257">
        <f t="shared" si="232"/>
        <v>0</v>
      </c>
      <c r="AE345" s="138"/>
      <c r="AF345" s="138" t="str">
        <f t="shared" si="233"/>
        <v/>
      </c>
      <c r="AG345" s="77">
        <f t="shared" si="240"/>
        <v>0</v>
      </c>
      <c r="AH345" s="77">
        <f t="shared" si="241"/>
        <v>0</v>
      </c>
      <c r="AI345" s="77" t="str">
        <f t="shared" si="234"/>
        <v/>
      </c>
      <c r="AJ345" s="78">
        <f t="shared" si="216"/>
        <v>4</v>
      </c>
      <c r="AK345" s="139">
        <f>SUM($AC$6:AC345)</f>
        <v>0</v>
      </c>
      <c r="AL345" s="139">
        <f t="shared" ca="1" si="226"/>
        <v>0</v>
      </c>
      <c r="AM345" s="143">
        <f t="shared" si="235"/>
        <v>0</v>
      </c>
      <c r="AN345" s="143">
        <f t="shared" si="236"/>
        <v>0</v>
      </c>
      <c r="AO345" s="143">
        <f t="shared" si="237"/>
        <v>0</v>
      </c>
      <c r="AP345" s="142">
        <f t="shared" si="227"/>
        <v>30</v>
      </c>
      <c r="AQ345" s="142">
        <f t="shared" ca="1" si="228"/>
        <v>30</v>
      </c>
      <c r="AR345" s="154">
        <f t="shared" si="239"/>
        <v>0</v>
      </c>
      <c r="AS345" s="142">
        <f t="shared" si="229"/>
        <v>0</v>
      </c>
      <c r="AT345" t="b">
        <f>OR((F345&gt;0),(NOT(ISBLANK(H345))),SUM(H345:H$373),SUM(G345:G$373))</f>
        <v>0</v>
      </c>
      <c r="AU345" t="b">
        <f t="shared" ca="1" si="217"/>
        <v>0</v>
      </c>
    </row>
    <row r="346" spans="1:47">
      <c r="A346" s="349">
        <f t="shared" si="230"/>
        <v>41979</v>
      </c>
      <c r="B346" s="350">
        <f t="shared" si="231"/>
        <v>41979</v>
      </c>
      <c r="C346" s="351">
        <f t="shared" si="244"/>
        <v>49</v>
      </c>
      <c r="D346" s="352">
        <f t="shared" si="245"/>
        <v>41973</v>
      </c>
      <c r="E346" s="364" t="str">
        <f t="shared" si="218"/>
        <v/>
      </c>
      <c r="F346" s="6"/>
      <c r="G346" s="7" t="str">
        <f t="shared" si="246"/>
        <v/>
      </c>
      <c r="H346" s="8"/>
      <c r="I346" s="8">
        <f t="shared" si="242"/>
        <v>0</v>
      </c>
      <c r="J346" s="129">
        <f t="shared" si="238"/>
        <v>0</v>
      </c>
      <c r="K346" s="8"/>
      <c r="L346" s="8">
        <f t="shared" si="219"/>
        <v>0</v>
      </c>
      <c r="M346" s="129">
        <f t="shared" si="220"/>
        <v>0</v>
      </c>
      <c r="N346" s="129"/>
      <c r="O346" s="129">
        <f t="shared" si="213"/>
        <v>0</v>
      </c>
      <c r="P346" s="129"/>
      <c r="Q346" s="129">
        <f t="shared" si="221"/>
        <v>0</v>
      </c>
      <c r="R346" s="129">
        <f t="shared" si="222"/>
        <v>0</v>
      </c>
      <c r="S346" s="693">
        <f t="shared" si="223"/>
        <v>6</v>
      </c>
      <c r="T346" s="129">
        <f t="shared" si="243"/>
        <v>0</v>
      </c>
      <c r="U346" s="165">
        <f t="shared" si="224"/>
        <v>0</v>
      </c>
      <c r="V346" s="75"/>
      <c r="W346" s="131">
        <f t="shared" si="214"/>
        <v>4.1666666666666664E-2</v>
      </c>
      <c r="X346" s="126">
        <f t="shared" si="225"/>
        <v>0</v>
      </c>
      <c r="Y346" s="127">
        <f t="shared" si="247"/>
        <v>0.33333333333333331</v>
      </c>
      <c r="Z346" s="128">
        <f t="shared" si="248"/>
        <v>0</v>
      </c>
      <c r="AA346" s="76" t="str">
        <f t="shared" si="249"/>
        <v/>
      </c>
      <c r="AB346" s="216">
        <f t="shared" si="215"/>
        <v>0</v>
      </c>
      <c r="AC346" s="163" t="str">
        <f t="shared" si="250"/>
        <v/>
      </c>
      <c r="AD346" s="257">
        <f t="shared" si="232"/>
        <v>0</v>
      </c>
      <c r="AE346" s="138"/>
      <c r="AF346" s="138" t="str">
        <f t="shared" si="233"/>
        <v/>
      </c>
      <c r="AG346" s="77">
        <f t="shared" si="240"/>
        <v>0</v>
      </c>
      <c r="AH346" s="77">
        <f t="shared" si="241"/>
        <v>0</v>
      </c>
      <c r="AI346" s="77" t="str">
        <f t="shared" si="234"/>
        <v/>
      </c>
      <c r="AJ346" s="78">
        <f t="shared" si="216"/>
        <v>5</v>
      </c>
      <c r="AK346" s="139">
        <f>SUM($AC$6:AC346)</f>
        <v>0</v>
      </c>
      <c r="AL346" s="139">
        <f t="shared" ca="1" si="226"/>
        <v>0</v>
      </c>
      <c r="AM346" s="143">
        <f t="shared" si="235"/>
        <v>0</v>
      </c>
      <c r="AN346" s="143">
        <f t="shared" si="236"/>
        <v>0</v>
      </c>
      <c r="AO346" s="143">
        <f t="shared" si="237"/>
        <v>0</v>
      </c>
      <c r="AP346" s="142">
        <f t="shared" si="227"/>
        <v>30</v>
      </c>
      <c r="AQ346" s="142">
        <f t="shared" ca="1" si="228"/>
        <v>30</v>
      </c>
      <c r="AR346" s="154">
        <f t="shared" si="239"/>
        <v>0</v>
      </c>
      <c r="AS346" s="142">
        <f t="shared" si="229"/>
        <v>0</v>
      </c>
      <c r="AT346" t="b">
        <f>OR((F346&gt;0),(NOT(ISBLANK(H346))),SUM(H346:H$373),SUM(G346:G$373))</f>
        <v>0</v>
      </c>
      <c r="AU346" t="b">
        <f t="shared" ca="1" si="217"/>
        <v>0</v>
      </c>
    </row>
    <row r="347" spans="1:47">
      <c r="A347" s="349">
        <f t="shared" si="230"/>
        <v>41980</v>
      </c>
      <c r="B347" s="350">
        <f t="shared" si="231"/>
        <v>41980</v>
      </c>
      <c r="C347" s="351">
        <f t="shared" si="244"/>
        <v>49</v>
      </c>
      <c r="D347" s="352">
        <f t="shared" si="245"/>
        <v>41973</v>
      </c>
      <c r="E347" s="364" t="str">
        <f t="shared" si="218"/>
        <v/>
      </c>
      <c r="F347" s="6"/>
      <c r="G347" s="7" t="str">
        <f t="shared" si="246"/>
        <v/>
      </c>
      <c r="H347" s="8"/>
      <c r="I347" s="8">
        <f t="shared" si="242"/>
        <v>0</v>
      </c>
      <c r="J347" s="129">
        <f t="shared" si="238"/>
        <v>0</v>
      </c>
      <c r="K347" s="8"/>
      <c r="L347" s="8">
        <f t="shared" si="219"/>
        <v>0</v>
      </c>
      <c r="M347" s="129">
        <f t="shared" si="220"/>
        <v>0</v>
      </c>
      <c r="N347" s="129"/>
      <c r="O347" s="129">
        <f t="shared" si="213"/>
        <v>0</v>
      </c>
      <c r="P347" s="129"/>
      <c r="Q347" s="129">
        <f t="shared" si="221"/>
        <v>0</v>
      </c>
      <c r="R347" s="129">
        <f t="shared" si="222"/>
        <v>0</v>
      </c>
      <c r="S347" s="693">
        <f t="shared" si="223"/>
        <v>6</v>
      </c>
      <c r="T347" s="129">
        <f t="shared" si="243"/>
        <v>0</v>
      </c>
      <c r="U347" s="165">
        <f t="shared" si="224"/>
        <v>0</v>
      </c>
      <c r="V347" s="75"/>
      <c r="W347" s="131">
        <f t="shared" si="214"/>
        <v>4.1666666666666664E-2</v>
      </c>
      <c r="X347" s="126">
        <f t="shared" si="225"/>
        <v>0</v>
      </c>
      <c r="Y347" s="127">
        <f t="shared" si="247"/>
        <v>0</v>
      </c>
      <c r="Z347" s="128">
        <f t="shared" si="248"/>
        <v>0</v>
      </c>
      <c r="AA347" s="76" t="str">
        <f t="shared" si="249"/>
        <v/>
      </c>
      <c r="AB347" s="216">
        <f t="shared" si="215"/>
        <v>0</v>
      </c>
      <c r="AC347" s="163" t="str">
        <f t="shared" si="250"/>
        <v/>
      </c>
      <c r="AD347" s="257">
        <f t="shared" si="232"/>
        <v>0</v>
      </c>
      <c r="AE347" s="138"/>
      <c r="AF347" s="138" t="str">
        <f t="shared" si="233"/>
        <v/>
      </c>
      <c r="AG347" s="77">
        <f t="shared" si="240"/>
        <v>0</v>
      </c>
      <c r="AH347" s="77">
        <f t="shared" si="241"/>
        <v>0</v>
      </c>
      <c r="AI347" s="77" t="str">
        <f t="shared" si="234"/>
        <v/>
      </c>
      <c r="AJ347" s="78">
        <f t="shared" si="216"/>
        <v>6</v>
      </c>
      <c r="AK347" s="139">
        <f>SUM($AC$6:AC347)</f>
        <v>0</v>
      </c>
      <c r="AL347" s="139">
        <f t="shared" ca="1" si="226"/>
        <v>0</v>
      </c>
      <c r="AM347" s="143">
        <f t="shared" si="235"/>
        <v>0</v>
      </c>
      <c r="AN347" s="143">
        <f t="shared" si="236"/>
        <v>0</v>
      </c>
      <c r="AO347" s="143">
        <f t="shared" si="237"/>
        <v>0</v>
      </c>
      <c r="AP347" s="142">
        <f t="shared" si="227"/>
        <v>30</v>
      </c>
      <c r="AQ347" s="142">
        <f t="shared" ca="1" si="228"/>
        <v>30</v>
      </c>
      <c r="AR347" s="154">
        <f t="shared" si="239"/>
        <v>0</v>
      </c>
      <c r="AS347" s="142">
        <f t="shared" si="229"/>
        <v>7</v>
      </c>
      <c r="AT347" t="b">
        <f>OR((F347&gt;0),(NOT(ISBLANK(H347))),SUM(H347:H$373),SUM(G347:G$373))</f>
        <v>0</v>
      </c>
      <c r="AU347" t="b">
        <f t="shared" ca="1" si="217"/>
        <v>1</v>
      </c>
    </row>
    <row r="348" spans="1:47">
      <c r="A348" s="349">
        <f t="shared" si="230"/>
        <v>41981</v>
      </c>
      <c r="B348" s="350">
        <f t="shared" si="231"/>
        <v>41981</v>
      </c>
      <c r="C348" s="351">
        <f t="shared" si="244"/>
        <v>49</v>
      </c>
      <c r="D348" s="352">
        <f t="shared" si="245"/>
        <v>41973</v>
      </c>
      <c r="E348" s="364" t="str">
        <f t="shared" si="218"/>
        <v/>
      </c>
      <c r="F348" s="6"/>
      <c r="G348" s="7" t="str">
        <f t="shared" si="246"/>
        <v/>
      </c>
      <c r="H348" s="8"/>
      <c r="I348" s="8">
        <f t="shared" si="242"/>
        <v>0</v>
      </c>
      <c r="J348" s="129">
        <f t="shared" si="238"/>
        <v>0</v>
      </c>
      <c r="K348" s="8"/>
      <c r="L348" s="8">
        <f t="shared" si="219"/>
        <v>0</v>
      </c>
      <c r="M348" s="129">
        <f t="shared" si="220"/>
        <v>0</v>
      </c>
      <c r="N348" s="129"/>
      <c r="O348" s="129">
        <f t="shared" si="213"/>
        <v>0</v>
      </c>
      <c r="P348" s="129"/>
      <c r="Q348" s="129">
        <f t="shared" si="221"/>
        <v>0</v>
      </c>
      <c r="R348" s="129">
        <f t="shared" si="222"/>
        <v>0</v>
      </c>
      <c r="S348" s="693">
        <f t="shared" si="223"/>
        <v>6</v>
      </c>
      <c r="T348" s="129">
        <f t="shared" si="243"/>
        <v>0</v>
      </c>
      <c r="U348" s="165">
        <f t="shared" si="224"/>
        <v>0</v>
      </c>
      <c r="V348" s="75"/>
      <c r="W348" s="131">
        <f t="shared" si="214"/>
        <v>4.1666666666666664E-2</v>
      </c>
      <c r="X348" s="126">
        <f t="shared" si="225"/>
        <v>0</v>
      </c>
      <c r="Y348" s="127">
        <f t="shared" si="247"/>
        <v>0</v>
      </c>
      <c r="Z348" s="128">
        <f t="shared" si="248"/>
        <v>0</v>
      </c>
      <c r="AA348" s="76" t="str">
        <f t="shared" si="249"/>
        <v/>
      </c>
      <c r="AB348" s="216">
        <f t="shared" si="215"/>
        <v>0</v>
      </c>
      <c r="AC348" s="163" t="str">
        <f t="shared" si="250"/>
        <v/>
      </c>
      <c r="AD348" s="257">
        <f t="shared" si="232"/>
        <v>0</v>
      </c>
      <c r="AE348" s="138"/>
      <c r="AF348" s="138" t="str">
        <f t="shared" si="233"/>
        <v/>
      </c>
      <c r="AG348" s="77">
        <f t="shared" si="240"/>
        <v>0</v>
      </c>
      <c r="AH348" s="77">
        <f t="shared" si="241"/>
        <v>0</v>
      </c>
      <c r="AI348" s="77" t="str">
        <f t="shared" si="234"/>
        <v/>
      </c>
      <c r="AJ348" s="78">
        <f t="shared" si="216"/>
        <v>7</v>
      </c>
      <c r="AK348" s="139">
        <f>SUM($AC$6:AC348)</f>
        <v>0</v>
      </c>
      <c r="AL348" s="139">
        <f t="shared" ca="1" si="226"/>
        <v>0</v>
      </c>
      <c r="AM348" s="143">
        <f t="shared" si="235"/>
        <v>0</v>
      </c>
      <c r="AN348" s="143">
        <f t="shared" si="236"/>
        <v>0</v>
      </c>
      <c r="AO348" s="143">
        <f t="shared" si="237"/>
        <v>0</v>
      </c>
      <c r="AP348" s="142">
        <f t="shared" si="227"/>
        <v>30</v>
      </c>
      <c r="AQ348" s="142">
        <f t="shared" ca="1" si="228"/>
        <v>30</v>
      </c>
      <c r="AR348" s="154">
        <f t="shared" si="239"/>
        <v>0</v>
      </c>
      <c r="AS348" s="142">
        <f t="shared" si="229"/>
        <v>7</v>
      </c>
      <c r="AT348" t="b">
        <f>OR((F348&gt;0),(NOT(ISBLANK(H348))),SUM(H348:H$373),SUM(G348:G$373))</f>
        <v>0</v>
      </c>
      <c r="AU348" t="b">
        <f t="shared" ca="1" si="217"/>
        <v>1</v>
      </c>
    </row>
    <row r="349" spans="1:47">
      <c r="A349" s="349">
        <f t="shared" si="230"/>
        <v>41982</v>
      </c>
      <c r="B349" s="350">
        <f t="shared" si="231"/>
        <v>41982</v>
      </c>
      <c r="C349" s="351">
        <f t="shared" si="244"/>
        <v>50</v>
      </c>
      <c r="D349" s="352">
        <f t="shared" si="245"/>
        <v>41973</v>
      </c>
      <c r="E349" s="364" t="str">
        <f t="shared" si="218"/>
        <v/>
      </c>
      <c r="F349" s="6"/>
      <c r="G349" s="7" t="str">
        <f t="shared" si="246"/>
        <v/>
      </c>
      <c r="H349" s="8"/>
      <c r="I349" s="8">
        <f t="shared" si="242"/>
        <v>0</v>
      </c>
      <c r="J349" s="129">
        <f t="shared" si="238"/>
        <v>0</v>
      </c>
      <c r="K349" s="8"/>
      <c r="L349" s="8">
        <f t="shared" si="219"/>
        <v>0</v>
      </c>
      <c r="M349" s="129">
        <f t="shared" si="220"/>
        <v>0</v>
      </c>
      <c r="N349" s="129"/>
      <c r="O349" s="129">
        <f t="shared" si="213"/>
        <v>0</v>
      </c>
      <c r="P349" s="129"/>
      <c r="Q349" s="129">
        <f t="shared" si="221"/>
        <v>0</v>
      </c>
      <c r="R349" s="129">
        <f t="shared" si="222"/>
        <v>0</v>
      </c>
      <c r="S349" s="693">
        <f t="shared" si="223"/>
        <v>6</v>
      </c>
      <c r="T349" s="129">
        <f t="shared" si="243"/>
        <v>0</v>
      </c>
      <c r="U349" s="165">
        <f t="shared" si="224"/>
        <v>0</v>
      </c>
      <c r="V349" s="75"/>
      <c r="W349" s="131">
        <f t="shared" si="214"/>
        <v>4.1666666666666664E-2</v>
      </c>
      <c r="X349" s="126">
        <f t="shared" si="225"/>
        <v>0</v>
      </c>
      <c r="Y349" s="127">
        <f t="shared" si="247"/>
        <v>0.33333333333333331</v>
      </c>
      <c r="Z349" s="128">
        <f t="shared" si="248"/>
        <v>0</v>
      </c>
      <c r="AA349" s="76" t="str">
        <f t="shared" si="249"/>
        <v/>
      </c>
      <c r="AB349" s="216">
        <f t="shared" si="215"/>
        <v>0</v>
      </c>
      <c r="AC349" s="163" t="str">
        <f t="shared" si="250"/>
        <v/>
      </c>
      <c r="AD349" s="257">
        <f t="shared" si="232"/>
        <v>0</v>
      </c>
      <c r="AE349" s="138"/>
      <c r="AF349" s="138" t="str">
        <f t="shared" si="233"/>
        <v/>
      </c>
      <c r="AG349" s="77">
        <f t="shared" si="240"/>
        <v>0</v>
      </c>
      <c r="AH349" s="77">
        <f t="shared" si="241"/>
        <v>0</v>
      </c>
      <c r="AI349" s="77" t="str">
        <f t="shared" si="234"/>
        <v/>
      </c>
      <c r="AJ349" s="78">
        <f t="shared" si="216"/>
        <v>1</v>
      </c>
      <c r="AK349" s="139">
        <f>SUM($AC$6:AC349)</f>
        <v>0</v>
      </c>
      <c r="AL349" s="139">
        <f t="shared" ca="1" si="226"/>
        <v>0</v>
      </c>
      <c r="AM349" s="143">
        <f t="shared" si="235"/>
        <v>0</v>
      </c>
      <c r="AN349" s="143">
        <f t="shared" si="236"/>
        <v>0</v>
      </c>
      <c r="AO349" s="143">
        <f t="shared" si="237"/>
        <v>0</v>
      </c>
      <c r="AP349" s="142">
        <f t="shared" si="227"/>
        <v>30</v>
      </c>
      <c r="AQ349" s="142">
        <f t="shared" ca="1" si="228"/>
        <v>30</v>
      </c>
      <c r="AR349" s="154">
        <f t="shared" si="239"/>
        <v>0</v>
      </c>
      <c r="AS349" s="142">
        <f t="shared" si="229"/>
        <v>0</v>
      </c>
      <c r="AT349" t="b">
        <f>OR((F349&gt;0),(NOT(ISBLANK(H349))),SUM(H349:H$373),SUM(G349:G$373))</f>
        <v>0</v>
      </c>
      <c r="AU349" t="b">
        <f t="shared" ca="1" si="217"/>
        <v>0</v>
      </c>
    </row>
    <row r="350" spans="1:47">
      <c r="A350" s="349">
        <f t="shared" si="230"/>
        <v>41983</v>
      </c>
      <c r="B350" s="350">
        <f t="shared" si="231"/>
        <v>41983</v>
      </c>
      <c r="C350" s="351">
        <f t="shared" si="244"/>
        <v>50</v>
      </c>
      <c r="D350" s="352">
        <f t="shared" si="245"/>
        <v>41973</v>
      </c>
      <c r="E350" s="364" t="str">
        <f t="shared" si="218"/>
        <v/>
      </c>
      <c r="F350" s="6"/>
      <c r="G350" s="7" t="str">
        <f t="shared" si="246"/>
        <v/>
      </c>
      <c r="H350" s="8"/>
      <c r="I350" s="8">
        <f t="shared" si="242"/>
        <v>0</v>
      </c>
      <c r="J350" s="129">
        <f t="shared" si="238"/>
        <v>0</v>
      </c>
      <c r="K350" s="8"/>
      <c r="L350" s="8">
        <f t="shared" si="219"/>
        <v>0</v>
      </c>
      <c r="M350" s="129">
        <f t="shared" si="220"/>
        <v>0</v>
      </c>
      <c r="N350" s="129"/>
      <c r="O350" s="129">
        <f t="shared" si="213"/>
        <v>0</v>
      </c>
      <c r="P350" s="129"/>
      <c r="Q350" s="129">
        <f t="shared" si="221"/>
        <v>0</v>
      </c>
      <c r="R350" s="129">
        <f t="shared" si="222"/>
        <v>0</v>
      </c>
      <c r="S350" s="693">
        <f t="shared" si="223"/>
        <v>6</v>
      </c>
      <c r="T350" s="129">
        <f t="shared" si="243"/>
        <v>0</v>
      </c>
      <c r="U350" s="165">
        <f t="shared" si="224"/>
        <v>0</v>
      </c>
      <c r="V350" s="75"/>
      <c r="W350" s="131">
        <f t="shared" si="214"/>
        <v>4.1666666666666664E-2</v>
      </c>
      <c r="X350" s="126">
        <f t="shared" si="225"/>
        <v>0</v>
      </c>
      <c r="Y350" s="127">
        <f t="shared" si="247"/>
        <v>0.33333333333333331</v>
      </c>
      <c r="Z350" s="128">
        <f t="shared" si="248"/>
        <v>0</v>
      </c>
      <c r="AA350" s="76" t="str">
        <f t="shared" si="249"/>
        <v/>
      </c>
      <c r="AB350" s="216">
        <f t="shared" si="215"/>
        <v>0</v>
      </c>
      <c r="AC350" s="163" t="str">
        <f t="shared" si="250"/>
        <v/>
      </c>
      <c r="AD350" s="257">
        <f t="shared" si="232"/>
        <v>0</v>
      </c>
      <c r="AE350" s="138"/>
      <c r="AF350" s="138" t="str">
        <f t="shared" si="233"/>
        <v/>
      </c>
      <c r="AG350" s="77">
        <f t="shared" si="240"/>
        <v>0</v>
      </c>
      <c r="AH350" s="77">
        <f t="shared" si="241"/>
        <v>0</v>
      </c>
      <c r="AI350" s="77" t="str">
        <f t="shared" si="234"/>
        <v/>
      </c>
      <c r="AJ350" s="78">
        <f t="shared" si="216"/>
        <v>2</v>
      </c>
      <c r="AK350" s="139">
        <f>SUM($AC$6:AC350)</f>
        <v>0</v>
      </c>
      <c r="AL350" s="139">
        <f t="shared" ca="1" si="226"/>
        <v>0</v>
      </c>
      <c r="AM350" s="143">
        <f t="shared" si="235"/>
        <v>0</v>
      </c>
      <c r="AN350" s="143">
        <f t="shared" si="236"/>
        <v>0</v>
      </c>
      <c r="AO350" s="143">
        <f t="shared" si="237"/>
        <v>0</v>
      </c>
      <c r="AP350" s="142">
        <f t="shared" si="227"/>
        <v>30</v>
      </c>
      <c r="AQ350" s="142">
        <f t="shared" ca="1" si="228"/>
        <v>30</v>
      </c>
      <c r="AR350" s="154">
        <f t="shared" si="239"/>
        <v>0</v>
      </c>
      <c r="AS350" s="142">
        <f t="shared" si="229"/>
        <v>0</v>
      </c>
      <c r="AT350" t="b">
        <f>OR((F350&gt;0),(NOT(ISBLANK(H350))),SUM(H350:H$373),SUM(G350:G$373))</f>
        <v>0</v>
      </c>
      <c r="AU350" t="b">
        <f t="shared" ca="1" si="217"/>
        <v>0</v>
      </c>
    </row>
    <row r="351" spans="1:47">
      <c r="A351" s="349">
        <f t="shared" si="230"/>
        <v>41984</v>
      </c>
      <c r="B351" s="350">
        <f t="shared" si="231"/>
        <v>41984</v>
      </c>
      <c r="C351" s="351">
        <f t="shared" si="244"/>
        <v>50</v>
      </c>
      <c r="D351" s="352">
        <f t="shared" si="245"/>
        <v>41973</v>
      </c>
      <c r="E351" s="364" t="str">
        <f t="shared" si="218"/>
        <v/>
      </c>
      <c r="F351" s="6"/>
      <c r="G351" s="7" t="str">
        <f t="shared" si="246"/>
        <v/>
      </c>
      <c r="H351" s="8"/>
      <c r="I351" s="8">
        <f t="shared" si="242"/>
        <v>0</v>
      </c>
      <c r="J351" s="129">
        <f t="shared" si="238"/>
        <v>0</v>
      </c>
      <c r="K351" s="8"/>
      <c r="L351" s="8">
        <f t="shared" si="219"/>
        <v>0</v>
      </c>
      <c r="M351" s="129">
        <f t="shared" si="220"/>
        <v>0</v>
      </c>
      <c r="N351" s="129"/>
      <c r="O351" s="129">
        <f t="shared" si="213"/>
        <v>0</v>
      </c>
      <c r="P351" s="129"/>
      <c r="Q351" s="129">
        <f t="shared" si="221"/>
        <v>0</v>
      </c>
      <c r="R351" s="129">
        <f t="shared" si="222"/>
        <v>0</v>
      </c>
      <c r="S351" s="693">
        <f t="shared" si="223"/>
        <v>6</v>
      </c>
      <c r="T351" s="129">
        <f t="shared" si="243"/>
        <v>0</v>
      </c>
      <c r="U351" s="165">
        <f t="shared" si="224"/>
        <v>0</v>
      </c>
      <c r="V351" s="75"/>
      <c r="W351" s="131">
        <f t="shared" si="214"/>
        <v>4.1666666666666664E-2</v>
      </c>
      <c r="X351" s="126">
        <f t="shared" si="225"/>
        <v>0</v>
      </c>
      <c r="Y351" s="127">
        <f t="shared" si="247"/>
        <v>0.33333333333333331</v>
      </c>
      <c r="Z351" s="128">
        <f t="shared" si="248"/>
        <v>0</v>
      </c>
      <c r="AA351" s="76" t="str">
        <f t="shared" si="249"/>
        <v/>
      </c>
      <c r="AB351" s="216">
        <f t="shared" si="215"/>
        <v>0</v>
      </c>
      <c r="AC351" s="163" t="str">
        <f t="shared" si="250"/>
        <v/>
      </c>
      <c r="AD351" s="257">
        <f t="shared" si="232"/>
        <v>0</v>
      </c>
      <c r="AE351" s="138"/>
      <c r="AF351" s="138" t="str">
        <f t="shared" si="233"/>
        <v/>
      </c>
      <c r="AG351" s="77">
        <f t="shared" si="240"/>
        <v>0</v>
      </c>
      <c r="AH351" s="77">
        <f t="shared" si="241"/>
        <v>0</v>
      </c>
      <c r="AI351" s="77" t="str">
        <f t="shared" si="234"/>
        <v/>
      </c>
      <c r="AJ351" s="78">
        <f t="shared" si="216"/>
        <v>3</v>
      </c>
      <c r="AK351" s="139">
        <f>SUM($AC$6:AC351)</f>
        <v>0</v>
      </c>
      <c r="AL351" s="139">
        <f t="shared" ca="1" si="226"/>
        <v>0</v>
      </c>
      <c r="AM351" s="143">
        <f t="shared" si="235"/>
        <v>0</v>
      </c>
      <c r="AN351" s="143">
        <f t="shared" si="236"/>
        <v>0</v>
      </c>
      <c r="AO351" s="143">
        <f t="shared" si="237"/>
        <v>0</v>
      </c>
      <c r="AP351" s="142">
        <f t="shared" si="227"/>
        <v>30</v>
      </c>
      <c r="AQ351" s="142">
        <f t="shared" ca="1" si="228"/>
        <v>30</v>
      </c>
      <c r="AR351" s="154">
        <f t="shared" si="239"/>
        <v>0</v>
      </c>
      <c r="AS351" s="142">
        <f t="shared" si="229"/>
        <v>0</v>
      </c>
      <c r="AT351" t="b">
        <f>OR((F351&gt;0),(NOT(ISBLANK(H351))),SUM(H351:H$373),SUM(G351:G$373))</f>
        <v>0</v>
      </c>
      <c r="AU351" t="b">
        <f t="shared" ca="1" si="217"/>
        <v>0</v>
      </c>
    </row>
    <row r="352" spans="1:47">
      <c r="A352" s="349">
        <f t="shared" si="230"/>
        <v>41985</v>
      </c>
      <c r="B352" s="350">
        <f t="shared" si="231"/>
        <v>41985</v>
      </c>
      <c r="C352" s="351">
        <f t="shared" si="244"/>
        <v>50</v>
      </c>
      <c r="D352" s="352">
        <f t="shared" si="245"/>
        <v>41973</v>
      </c>
      <c r="E352" s="364" t="str">
        <f t="shared" si="218"/>
        <v/>
      </c>
      <c r="F352" s="6"/>
      <c r="G352" s="7" t="str">
        <f t="shared" si="246"/>
        <v/>
      </c>
      <c r="H352" s="8"/>
      <c r="I352" s="8">
        <f t="shared" si="242"/>
        <v>0</v>
      </c>
      <c r="J352" s="129">
        <f t="shared" si="238"/>
        <v>0</v>
      </c>
      <c r="K352" s="8"/>
      <c r="L352" s="8">
        <f t="shared" si="219"/>
        <v>0</v>
      </c>
      <c r="M352" s="129">
        <f t="shared" si="220"/>
        <v>0</v>
      </c>
      <c r="N352" s="129"/>
      <c r="O352" s="129">
        <f t="shared" si="213"/>
        <v>0</v>
      </c>
      <c r="P352" s="129"/>
      <c r="Q352" s="129">
        <f t="shared" si="221"/>
        <v>0</v>
      </c>
      <c r="R352" s="129">
        <f t="shared" si="222"/>
        <v>0</v>
      </c>
      <c r="S352" s="693">
        <f t="shared" si="223"/>
        <v>6</v>
      </c>
      <c r="T352" s="129">
        <f t="shared" si="243"/>
        <v>0</v>
      </c>
      <c r="U352" s="165">
        <f t="shared" si="224"/>
        <v>0</v>
      </c>
      <c r="V352" s="75"/>
      <c r="W352" s="131">
        <f t="shared" si="214"/>
        <v>4.1666666666666664E-2</v>
      </c>
      <c r="X352" s="126">
        <f t="shared" si="225"/>
        <v>0</v>
      </c>
      <c r="Y352" s="127">
        <f t="shared" si="247"/>
        <v>0.33333333333333331</v>
      </c>
      <c r="Z352" s="128">
        <f t="shared" si="248"/>
        <v>0</v>
      </c>
      <c r="AA352" s="76" t="str">
        <f t="shared" si="249"/>
        <v/>
      </c>
      <c r="AB352" s="216">
        <f t="shared" si="215"/>
        <v>0</v>
      </c>
      <c r="AC352" s="163" t="str">
        <f t="shared" si="250"/>
        <v/>
      </c>
      <c r="AD352" s="257">
        <f t="shared" si="232"/>
        <v>0</v>
      </c>
      <c r="AE352" s="138"/>
      <c r="AF352" s="138" t="str">
        <f t="shared" si="233"/>
        <v/>
      </c>
      <c r="AG352" s="77">
        <f t="shared" si="240"/>
        <v>0</v>
      </c>
      <c r="AH352" s="77">
        <f t="shared" si="241"/>
        <v>0</v>
      </c>
      <c r="AI352" s="77" t="str">
        <f t="shared" si="234"/>
        <v/>
      </c>
      <c r="AJ352" s="78">
        <f t="shared" si="216"/>
        <v>4</v>
      </c>
      <c r="AK352" s="139">
        <f>SUM($AC$6:AC352)</f>
        <v>0</v>
      </c>
      <c r="AL352" s="139">
        <f t="shared" ca="1" si="226"/>
        <v>0</v>
      </c>
      <c r="AM352" s="143">
        <f t="shared" si="235"/>
        <v>0</v>
      </c>
      <c r="AN352" s="143">
        <f t="shared" si="236"/>
        <v>0</v>
      </c>
      <c r="AO352" s="143">
        <f t="shared" si="237"/>
        <v>0</v>
      </c>
      <c r="AP352" s="142">
        <f t="shared" si="227"/>
        <v>30</v>
      </c>
      <c r="AQ352" s="142">
        <f t="shared" ca="1" si="228"/>
        <v>30</v>
      </c>
      <c r="AR352" s="154">
        <f t="shared" si="239"/>
        <v>0</v>
      </c>
      <c r="AS352" s="142">
        <f t="shared" si="229"/>
        <v>0</v>
      </c>
      <c r="AT352" t="b">
        <f>OR((F352&gt;0),(NOT(ISBLANK(H352))),SUM(H352:H$373),SUM(G352:G$373))</f>
        <v>0</v>
      </c>
      <c r="AU352" t="b">
        <f t="shared" ca="1" si="217"/>
        <v>0</v>
      </c>
    </row>
    <row r="353" spans="1:47">
      <c r="A353" s="349">
        <f t="shared" si="230"/>
        <v>41986</v>
      </c>
      <c r="B353" s="350">
        <f t="shared" si="231"/>
        <v>41986</v>
      </c>
      <c r="C353" s="351">
        <f t="shared" si="244"/>
        <v>50</v>
      </c>
      <c r="D353" s="352">
        <f t="shared" si="245"/>
        <v>41973</v>
      </c>
      <c r="E353" s="364" t="str">
        <f t="shared" si="218"/>
        <v/>
      </c>
      <c r="F353" s="6"/>
      <c r="G353" s="7" t="str">
        <f t="shared" si="246"/>
        <v/>
      </c>
      <c r="H353" s="8"/>
      <c r="I353" s="8">
        <f t="shared" si="242"/>
        <v>0</v>
      </c>
      <c r="J353" s="129">
        <f t="shared" si="238"/>
        <v>0</v>
      </c>
      <c r="K353" s="8"/>
      <c r="L353" s="8">
        <f t="shared" si="219"/>
        <v>0</v>
      </c>
      <c r="M353" s="129">
        <f t="shared" si="220"/>
        <v>0</v>
      </c>
      <c r="N353" s="129"/>
      <c r="O353" s="129">
        <f t="shared" si="213"/>
        <v>0</v>
      </c>
      <c r="P353" s="129"/>
      <c r="Q353" s="129">
        <f t="shared" si="221"/>
        <v>0</v>
      </c>
      <c r="R353" s="129">
        <f t="shared" si="222"/>
        <v>0</v>
      </c>
      <c r="S353" s="693">
        <f t="shared" si="223"/>
        <v>6</v>
      </c>
      <c r="T353" s="129">
        <f t="shared" si="243"/>
        <v>0</v>
      </c>
      <c r="U353" s="165">
        <f t="shared" si="224"/>
        <v>0</v>
      </c>
      <c r="V353" s="75"/>
      <c r="W353" s="131">
        <f t="shared" si="214"/>
        <v>4.1666666666666664E-2</v>
      </c>
      <c r="X353" s="126">
        <f t="shared" si="225"/>
        <v>0</v>
      </c>
      <c r="Y353" s="127">
        <f t="shared" si="247"/>
        <v>0.33333333333333331</v>
      </c>
      <c r="Z353" s="128">
        <f t="shared" si="248"/>
        <v>0</v>
      </c>
      <c r="AA353" s="76" t="str">
        <f t="shared" si="249"/>
        <v/>
      </c>
      <c r="AB353" s="216">
        <f t="shared" si="215"/>
        <v>0</v>
      </c>
      <c r="AC353" s="163" t="str">
        <f t="shared" si="250"/>
        <v/>
      </c>
      <c r="AD353" s="257">
        <f t="shared" si="232"/>
        <v>0</v>
      </c>
      <c r="AE353" s="138"/>
      <c r="AF353" s="138" t="str">
        <f t="shared" si="233"/>
        <v/>
      </c>
      <c r="AG353" s="77">
        <f t="shared" si="240"/>
        <v>0</v>
      </c>
      <c r="AH353" s="77">
        <f t="shared" si="241"/>
        <v>0</v>
      </c>
      <c r="AI353" s="77" t="str">
        <f t="shared" si="234"/>
        <v/>
      </c>
      <c r="AJ353" s="78">
        <f t="shared" si="216"/>
        <v>5</v>
      </c>
      <c r="AK353" s="139">
        <f>SUM($AC$6:AC353)</f>
        <v>0</v>
      </c>
      <c r="AL353" s="139">
        <f t="shared" ca="1" si="226"/>
        <v>0</v>
      </c>
      <c r="AM353" s="143">
        <f t="shared" si="235"/>
        <v>0</v>
      </c>
      <c r="AN353" s="143">
        <f t="shared" si="236"/>
        <v>0</v>
      </c>
      <c r="AO353" s="143">
        <f t="shared" si="237"/>
        <v>0</v>
      </c>
      <c r="AP353" s="142">
        <f t="shared" si="227"/>
        <v>30</v>
      </c>
      <c r="AQ353" s="142">
        <f t="shared" ca="1" si="228"/>
        <v>30</v>
      </c>
      <c r="AR353" s="154">
        <f t="shared" si="239"/>
        <v>0</v>
      </c>
      <c r="AS353" s="142">
        <f t="shared" si="229"/>
        <v>0</v>
      </c>
      <c r="AT353" t="b">
        <f>OR((F353&gt;0),(NOT(ISBLANK(H353))),SUM(H353:H$373),SUM(G353:G$373))</f>
        <v>0</v>
      </c>
      <c r="AU353" t="b">
        <f t="shared" ca="1" si="217"/>
        <v>0</v>
      </c>
    </row>
    <row r="354" spans="1:47">
      <c r="A354" s="349">
        <f t="shared" si="230"/>
        <v>41987</v>
      </c>
      <c r="B354" s="350">
        <f t="shared" si="231"/>
        <v>41987</v>
      </c>
      <c r="C354" s="351">
        <f t="shared" si="244"/>
        <v>50</v>
      </c>
      <c r="D354" s="352">
        <f t="shared" si="245"/>
        <v>41973</v>
      </c>
      <c r="E354" s="364" t="str">
        <f t="shared" si="218"/>
        <v/>
      </c>
      <c r="F354" s="6"/>
      <c r="G354" s="7" t="str">
        <f t="shared" si="246"/>
        <v/>
      </c>
      <c r="H354" s="8"/>
      <c r="I354" s="8">
        <f t="shared" si="242"/>
        <v>0</v>
      </c>
      <c r="J354" s="129">
        <f t="shared" si="238"/>
        <v>0</v>
      </c>
      <c r="K354" s="8"/>
      <c r="L354" s="8">
        <f t="shared" si="219"/>
        <v>0</v>
      </c>
      <c r="M354" s="129">
        <f t="shared" si="220"/>
        <v>0</v>
      </c>
      <c r="N354" s="129"/>
      <c r="O354" s="129">
        <f t="shared" si="213"/>
        <v>0</v>
      </c>
      <c r="P354" s="129"/>
      <c r="Q354" s="129">
        <f t="shared" si="221"/>
        <v>0</v>
      </c>
      <c r="R354" s="129">
        <f t="shared" si="222"/>
        <v>0</v>
      </c>
      <c r="S354" s="693">
        <f t="shared" si="223"/>
        <v>6</v>
      </c>
      <c r="T354" s="129">
        <f t="shared" si="243"/>
        <v>0</v>
      </c>
      <c r="U354" s="165">
        <f t="shared" si="224"/>
        <v>0</v>
      </c>
      <c r="V354" s="75"/>
      <c r="W354" s="131">
        <f t="shared" si="214"/>
        <v>4.1666666666666664E-2</v>
      </c>
      <c r="X354" s="126">
        <f t="shared" si="225"/>
        <v>0</v>
      </c>
      <c r="Y354" s="127">
        <f t="shared" si="247"/>
        <v>0</v>
      </c>
      <c r="Z354" s="128">
        <f t="shared" si="248"/>
        <v>0</v>
      </c>
      <c r="AA354" s="76" t="str">
        <f t="shared" si="249"/>
        <v/>
      </c>
      <c r="AB354" s="216">
        <f t="shared" si="215"/>
        <v>0</v>
      </c>
      <c r="AC354" s="163" t="str">
        <f t="shared" si="250"/>
        <v/>
      </c>
      <c r="AD354" s="257">
        <f t="shared" si="232"/>
        <v>0</v>
      </c>
      <c r="AE354" s="138"/>
      <c r="AF354" s="138" t="str">
        <f t="shared" si="233"/>
        <v/>
      </c>
      <c r="AG354" s="77">
        <f t="shared" si="240"/>
        <v>0</v>
      </c>
      <c r="AH354" s="77">
        <f t="shared" si="241"/>
        <v>0</v>
      </c>
      <c r="AI354" s="77" t="str">
        <f t="shared" si="234"/>
        <v/>
      </c>
      <c r="AJ354" s="78">
        <f t="shared" si="216"/>
        <v>6</v>
      </c>
      <c r="AK354" s="139">
        <f>SUM($AC$6:AC354)</f>
        <v>0</v>
      </c>
      <c r="AL354" s="139">
        <f t="shared" ca="1" si="226"/>
        <v>0</v>
      </c>
      <c r="AM354" s="143">
        <f t="shared" si="235"/>
        <v>0</v>
      </c>
      <c r="AN354" s="143">
        <f t="shared" si="236"/>
        <v>0</v>
      </c>
      <c r="AO354" s="143">
        <f t="shared" si="237"/>
        <v>0</v>
      </c>
      <c r="AP354" s="142">
        <f t="shared" si="227"/>
        <v>30</v>
      </c>
      <c r="AQ354" s="142">
        <f t="shared" ca="1" si="228"/>
        <v>30</v>
      </c>
      <c r="AR354" s="154">
        <f t="shared" si="239"/>
        <v>0</v>
      </c>
      <c r="AS354" s="142">
        <f t="shared" si="229"/>
        <v>7</v>
      </c>
      <c r="AT354" t="b">
        <f>OR((F354&gt;0),(NOT(ISBLANK(H354))),SUM(H354:H$373),SUM(G354:G$373))</f>
        <v>0</v>
      </c>
      <c r="AU354" t="b">
        <f t="shared" ca="1" si="217"/>
        <v>1</v>
      </c>
    </row>
    <row r="355" spans="1:47">
      <c r="A355" s="349">
        <f t="shared" si="230"/>
        <v>41988</v>
      </c>
      <c r="B355" s="350">
        <f t="shared" si="231"/>
        <v>41988</v>
      </c>
      <c r="C355" s="351">
        <f t="shared" si="244"/>
        <v>50</v>
      </c>
      <c r="D355" s="352">
        <f t="shared" si="245"/>
        <v>41973</v>
      </c>
      <c r="E355" s="364" t="str">
        <f t="shared" si="218"/>
        <v/>
      </c>
      <c r="F355" s="6"/>
      <c r="G355" s="7" t="str">
        <f t="shared" si="246"/>
        <v/>
      </c>
      <c r="H355" s="8"/>
      <c r="I355" s="8">
        <f t="shared" si="242"/>
        <v>0</v>
      </c>
      <c r="J355" s="129">
        <f t="shared" si="238"/>
        <v>0</v>
      </c>
      <c r="K355" s="8"/>
      <c r="L355" s="8">
        <f t="shared" si="219"/>
        <v>0</v>
      </c>
      <c r="M355" s="129">
        <f t="shared" si="220"/>
        <v>0</v>
      </c>
      <c r="N355" s="129"/>
      <c r="O355" s="129">
        <f t="shared" si="213"/>
        <v>0</v>
      </c>
      <c r="P355" s="129"/>
      <c r="Q355" s="129">
        <f t="shared" si="221"/>
        <v>0</v>
      </c>
      <c r="R355" s="129">
        <f t="shared" si="222"/>
        <v>0</v>
      </c>
      <c r="S355" s="693">
        <f t="shared" si="223"/>
        <v>6</v>
      </c>
      <c r="T355" s="129">
        <f t="shared" si="243"/>
        <v>0</v>
      </c>
      <c r="U355" s="165">
        <f t="shared" si="224"/>
        <v>0</v>
      </c>
      <c r="V355" s="75"/>
      <c r="W355" s="131">
        <f t="shared" si="214"/>
        <v>4.1666666666666664E-2</v>
      </c>
      <c r="X355" s="126">
        <f t="shared" si="225"/>
        <v>0</v>
      </c>
      <c r="Y355" s="127">
        <f t="shared" si="247"/>
        <v>0</v>
      </c>
      <c r="Z355" s="128">
        <f t="shared" si="248"/>
        <v>0</v>
      </c>
      <c r="AA355" s="76" t="str">
        <f t="shared" si="249"/>
        <v/>
      </c>
      <c r="AB355" s="216">
        <f t="shared" si="215"/>
        <v>0</v>
      </c>
      <c r="AC355" s="163" t="str">
        <f t="shared" si="250"/>
        <v/>
      </c>
      <c r="AD355" s="257">
        <f t="shared" si="232"/>
        <v>0</v>
      </c>
      <c r="AE355" s="138"/>
      <c r="AF355" s="138" t="str">
        <f t="shared" si="233"/>
        <v/>
      </c>
      <c r="AG355" s="77">
        <f t="shared" si="240"/>
        <v>0</v>
      </c>
      <c r="AH355" s="77">
        <f t="shared" si="241"/>
        <v>0</v>
      </c>
      <c r="AI355" s="77" t="str">
        <f t="shared" si="234"/>
        <v/>
      </c>
      <c r="AJ355" s="78">
        <f t="shared" si="216"/>
        <v>7</v>
      </c>
      <c r="AK355" s="139">
        <f>SUM($AC$6:AC355)</f>
        <v>0</v>
      </c>
      <c r="AL355" s="139">
        <f t="shared" ca="1" si="226"/>
        <v>0</v>
      </c>
      <c r="AM355" s="143">
        <f t="shared" si="235"/>
        <v>0</v>
      </c>
      <c r="AN355" s="143">
        <f t="shared" si="236"/>
        <v>0</v>
      </c>
      <c r="AO355" s="143">
        <f t="shared" si="237"/>
        <v>0</v>
      </c>
      <c r="AP355" s="142">
        <f t="shared" si="227"/>
        <v>30</v>
      </c>
      <c r="AQ355" s="142">
        <f t="shared" ca="1" si="228"/>
        <v>30</v>
      </c>
      <c r="AR355" s="154">
        <f t="shared" si="239"/>
        <v>0</v>
      </c>
      <c r="AS355" s="142">
        <f t="shared" si="229"/>
        <v>7</v>
      </c>
      <c r="AT355" t="b">
        <f>OR((F355&gt;0),(NOT(ISBLANK(H355))),SUM(H355:H$373),SUM(G355:G$373))</f>
        <v>0</v>
      </c>
      <c r="AU355" t="b">
        <f t="shared" ca="1" si="217"/>
        <v>1</v>
      </c>
    </row>
    <row r="356" spans="1:47">
      <c r="A356" s="349">
        <f t="shared" si="230"/>
        <v>41989</v>
      </c>
      <c r="B356" s="350">
        <f t="shared" si="231"/>
        <v>41989</v>
      </c>
      <c r="C356" s="351">
        <f t="shared" si="244"/>
        <v>51</v>
      </c>
      <c r="D356" s="352">
        <f t="shared" si="245"/>
        <v>41973</v>
      </c>
      <c r="E356" s="364" t="str">
        <f t="shared" si="218"/>
        <v/>
      </c>
      <c r="F356" s="6"/>
      <c r="G356" s="7" t="str">
        <f t="shared" si="246"/>
        <v/>
      </c>
      <c r="H356" s="8"/>
      <c r="I356" s="8">
        <f t="shared" si="242"/>
        <v>0</v>
      </c>
      <c r="J356" s="129">
        <f t="shared" si="238"/>
        <v>0</v>
      </c>
      <c r="K356" s="8"/>
      <c r="L356" s="8">
        <f t="shared" si="219"/>
        <v>0</v>
      </c>
      <c r="M356" s="129">
        <f t="shared" si="220"/>
        <v>0</v>
      </c>
      <c r="N356" s="129"/>
      <c r="O356" s="129">
        <f t="shared" si="213"/>
        <v>0</v>
      </c>
      <c r="P356" s="129"/>
      <c r="Q356" s="129">
        <f t="shared" si="221"/>
        <v>0</v>
      </c>
      <c r="R356" s="129">
        <f t="shared" si="222"/>
        <v>0</v>
      </c>
      <c r="S356" s="693">
        <f t="shared" si="223"/>
        <v>6</v>
      </c>
      <c r="T356" s="129">
        <f t="shared" si="243"/>
        <v>0</v>
      </c>
      <c r="U356" s="165">
        <f t="shared" si="224"/>
        <v>0</v>
      </c>
      <c r="V356" s="75"/>
      <c r="W356" s="131">
        <f t="shared" si="214"/>
        <v>4.1666666666666664E-2</v>
      </c>
      <c r="X356" s="126">
        <f t="shared" si="225"/>
        <v>0</v>
      </c>
      <c r="Y356" s="127">
        <f t="shared" si="247"/>
        <v>0.33333333333333331</v>
      </c>
      <c r="Z356" s="128">
        <f t="shared" si="248"/>
        <v>0</v>
      </c>
      <c r="AA356" s="76" t="str">
        <f t="shared" si="249"/>
        <v/>
      </c>
      <c r="AB356" s="216">
        <f t="shared" si="215"/>
        <v>0</v>
      </c>
      <c r="AC356" s="163" t="str">
        <f t="shared" si="250"/>
        <v/>
      </c>
      <c r="AD356" s="257">
        <f t="shared" si="232"/>
        <v>0</v>
      </c>
      <c r="AE356" s="138"/>
      <c r="AF356" s="138" t="str">
        <f t="shared" si="233"/>
        <v/>
      </c>
      <c r="AG356" s="77">
        <f t="shared" si="240"/>
        <v>0</v>
      </c>
      <c r="AH356" s="77">
        <f t="shared" si="241"/>
        <v>0</v>
      </c>
      <c r="AI356" s="77" t="str">
        <f t="shared" si="234"/>
        <v/>
      </c>
      <c r="AJ356" s="78">
        <f t="shared" si="216"/>
        <v>1</v>
      </c>
      <c r="AK356" s="139">
        <f>SUM($AC$6:AC356)</f>
        <v>0</v>
      </c>
      <c r="AL356" s="139">
        <f t="shared" ca="1" si="226"/>
        <v>0</v>
      </c>
      <c r="AM356" s="143">
        <f t="shared" si="235"/>
        <v>0</v>
      </c>
      <c r="AN356" s="143">
        <f t="shared" si="236"/>
        <v>0</v>
      </c>
      <c r="AO356" s="143">
        <f t="shared" si="237"/>
        <v>0</v>
      </c>
      <c r="AP356" s="142">
        <f t="shared" si="227"/>
        <v>30</v>
      </c>
      <c r="AQ356" s="142">
        <f t="shared" ca="1" si="228"/>
        <v>30</v>
      </c>
      <c r="AR356" s="154">
        <f t="shared" si="239"/>
        <v>0</v>
      </c>
      <c r="AS356" s="142">
        <f t="shared" si="229"/>
        <v>0</v>
      </c>
      <c r="AT356" t="b">
        <f>OR((F356&gt;0),(NOT(ISBLANK(H356))),SUM(H356:H$373),SUM(G356:G$373))</f>
        <v>0</v>
      </c>
      <c r="AU356" t="b">
        <f t="shared" ca="1" si="217"/>
        <v>0</v>
      </c>
    </row>
    <row r="357" spans="1:47">
      <c r="A357" s="349">
        <f t="shared" si="230"/>
        <v>41990</v>
      </c>
      <c r="B357" s="350">
        <f t="shared" si="231"/>
        <v>41990</v>
      </c>
      <c r="C357" s="351">
        <f t="shared" si="244"/>
        <v>51</v>
      </c>
      <c r="D357" s="352">
        <f t="shared" si="245"/>
        <v>41973</v>
      </c>
      <c r="E357" s="364" t="str">
        <f t="shared" si="218"/>
        <v/>
      </c>
      <c r="F357" s="6"/>
      <c r="G357" s="7" t="str">
        <f t="shared" si="246"/>
        <v/>
      </c>
      <c r="H357" s="8"/>
      <c r="I357" s="8">
        <f t="shared" si="242"/>
        <v>0</v>
      </c>
      <c r="J357" s="129">
        <f t="shared" si="238"/>
        <v>0</v>
      </c>
      <c r="K357" s="8"/>
      <c r="L357" s="8">
        <f t="shared" si="219"/>
        <v>0</v>
      </c>
      <c r="M357" s="129">
        <f t="shared" si="220"/>
        <v>0</v>
      </c>
      <c r="N357" s="129"/>
      <c r="O357" s="129">
        <f t="shared" si="213"/>
        <v>0</v>
      </c>
      <c r="P357" s="129"/>
      <c r="Q357" s="129">
        <f t="shared" si="221"/>
        <v>0</v>
      </c>
      <c r="R357" s="129">
        <f t="shared" si="222"/>
        <v>0</v>
      </c>
      <c r="S357" s="693">
        <f t="shared" si="223"/>
        <v>6</v>
      </c>
      <c r="T357" s="129">
        <f t="shared" si="243"/>
        <v>0</v>
      </c>
      <c r="U357" s="165">
        <f t="shared" si="224"/>
        <v>0</v>
      </c>
      <c r="V357" s="75"/>
      <c r="W357" s="131">
        <f t="shared" si="214"/>
        <v>4.1666666666666664E-2</v>
      </c>
      <c r="X357" s="126">
        <f t="shared" si="225"/>
        <v>0</v>
      </c>
      <c r="Y357" s="127">
        <f t="shared" si="247"/>
        <v>0.33333333333333331</v>
      </c>
      <c r="Z357" s="128">
        <f t="shared" si="248"/>
        <v>0</v>
      </c>
      <c r="AA357" s="76" t="str">
        <f t="shared" si="249"/>
        <v/>
      </c>
      <c r="AB357" s="216">
        <f t="shared" si="215"/>
        <v>0</v>
      </c>
      <c r="AC357" s="163" t="str">
        <f t="shared" si="250"/>
        <v/>
      </c>
      <c r="AD357" s="257">
        <f t="shared" si="232"/>
        <v>0</v>
      </c>
      <c r="AE357" s="138"/>
      <c r="AF357" s="138" t="str">
        <f t="shared" si="233"/>
        <v/>
      </c>
      <c r="AG357" s="77">
        <f t="shared" si="240"/>
        <v>0</v>
      </c>
      <c r="AH357" s="77">
        <f t="shared" si="241"/>
        <v>0</v>
      </c>
      <c r="AI357" s="77" t="str">
        <f t="shared" si="234"/>
        <v/>
      </c>
      <c r="AJ357" s="78">
        <f t="shared" si="216"/>
        <v>2</v>
      </c>
      <c r="AK357" s="139">
        <f>SUM($AC$6:AC357)</f>
        <v>0</v>
      </c>
      <c r="AL357" s="139">
        <f t="shared" ca="1" si="226"/>
        <v>0</v>
      </c>
      <c r="AM357" s="143">
        <f t="shared" si="235"/>
        <v>0</v>
      </c>
      <c r="AN357" s="143">
        <f t="shared" si="236"/>
        <v>0</v>
      </c>
      <c r="AO357" s="143">
        <f t="shared" si="237"/>
        <v>0</v>
      </c>
      <c r="AP357" s="142">
        <f t="shared" si="227"/>
        <v>30</v>
      </c>
      <c r="AQ357" s="142">
        <f t="shared" ca="1" si="228"/>
        <v>30</v>
      </c>
      <c r="AR357" s="154">
        <f t="shared" si="239"/>
        <v>0</v>
      </c>
      <c r="AS357" s="142">
        <f t="shared" si="229"/>
        <v>0</v>
      </c>
      <c r="AT357" t="b">
        <f>OR((F357&gt;0),(NOT(ISBLANK(H357))),SUM(H357:H$373),SUM(G357:G$373))</f>
        <v>0</v>
      </c>
      <c r="AU357" t="b">
        <f t="shared" ca="1" si="217"/>
        <v>0</v>
      </c>
    </row>
    <row r="358" spans="1:47">
      <c r="A358" s="349">
        <f t="shared" si="230"/>
        <v>41991</v>
      </c>
      <c r="B358" s="350">
        <f t="shared" si="231"/>
        <v>41991</v>
      </c>
      <c r="C358" s="351">
        <f t="shared" si="244"/>
        <v>51</v>
      </c>
      <c r="D358" s="352">
        <f t="shared" si="245"/>
        <v>41973</v>
      </c>
      <c r="E358" s="364" t="str">
        <f t="shared" si="218"/>
        <v/>
      </c>
      <c r="F358" s="6"/>
      <c r="G358" s="7" t="str">
        <f t="shared" si="246"/>
        <v/>
      </c>
      <c r="H358" s="8"/>
      <c r="I358" s="8">
        <f t="shared" si="242"/>
        <v>0</v>
      </c>
      <c r="J358" s="129">
        <f t="shared" si="238"/>
        <v>0</v>
      </c>
      <c r="K358" s="8"/>
      <c r="L358" s="8">
        <f t="shared" si="219"/>
        <v>0</v>
      </c>
      <c r="M358" s="129">
        <f t="shared" si="220"/>
        <v>0</v>
      </c>
      <c r="N358" s="129"/>
      <c r="O358" s="129">
        <f t="shared" si="213"/>
        <v>0</v>
      </c>
      <c r="P358" s="129"/>
      <c r="Q358" s="129">
        <f t="shared" si="221"/>
        <v>0</v>
      </c>
      <c r="R358" s="129">
        <f t="shared" si="222"/>
        <v>0</v>
      </c>
      <c r="S358" s="693">
        <f t="shared" si="223"/>
        <v>6</v>
      </c>
      <c r="T358" s="129">
        <f t="shared" si="243"/>
        <v>0</v>
      </c>
      <c r="U358" s="165">
        <f t="shared" si="224"/>
        <v>0</v>
      </c>
      <c r="V358" s="75"/>
      <c r="W358" s="131">
        <f t="shared" si="214"/>
        <v>4.1666666666666664E-2</v>
      </c>
      <c r="X358" s="126">
        <f t="shared" si="225"/>
        <v>0</v>
      </c>
      <c r="Y358" s="127">
        <f t="shared" si="247"/>
        <v>0.33333333333333331</v>
      </c>
      <c r="Z358" s="128">
        <f t="shared" si="248"/>
        <v>0</v>
      </c>
      <c r="AA358" s="76" t="str">
        <f t="shared" si="249"/>
        <v/>
      </c>
      <c r="AB358" s="216">
        <f t="shared" si="215"/>
        <v>0</v>
      </c>
      <c r="AC358" s="163" t="str">
        <f t="shared" si="250"/>
        <v/>
      </c>
      <c r="AD358" s="257">
        <f t="shared" si="232"/>
        <v>0</v>
      </c>
      <c r="AE358" s="138"/>
      <c r="AF358" s="138" t="str">
        <f t="shared" si="233"/>
        <v/>
      </c>
      <c r="AG358" s="77">
        <f t="shared" si="240"/>
        <v>0</v>
      </c>
      <c r="AH358" s="77">
        <f t="shared" si="241"/>
        <v>0</v>
      </c>
      <c r="AI358" s="77" t="str">
        <f t="shared" si="234"/>
        <v/>
      </c>
      <c r="AJ358" s="78">
        <f t="shared" si="216"/>
        <v>3</v>
      </c>
      <c r="AK358" s="139">
        <f>SUM($AC$6:AC358)</f>
        <v>0</v>
      </c>
      <c r="AL358" s="139">
        <f t="shared" ca="1" si="226"/>
        <v>0</v>
      </c>
      <c r="AM358" s="143">
        <f t="shared" si="235"/>
        <v>0</v>
      </c>
      <c r="AN358" s="143">
        <f t="shared" si="236"/>
        <v>0</v>
      </c>
      <c r="AO358" s="143">
        <f t="shared" si="237"/>
        <v>0</v>
      </c>
      <c r="AP358" s="142">
        <f t="shared" si="227"/>
        <v>30</v>
      </c>
      <c r="AQ358" s="142">
        <f t="shared" ca="1" si="228"/>
        <v>30</v>
      </c>
      <c r="AR358" s="154">
        <f t="shared" si="239"/>
        <v>0</v>
      </c>
      <c r="AS358" s="142">
        <f t="shared" si="229"/>
        <v>0</v>
      </c>
      <c r="AT358" t="b">
        <f>OR((F358&gt;0),(NOT(ISBLANK(H358))),SUM(H358:H$373),SUM(G358:G$373))</f>
        <v>0</v>
      </c>
      <c r="AU358" t="b">
        <f t="shared" ca="1" si="217"/>
        <v>0</v>
      </c>
    </row>
    <row r="359" spans="1:47">
      <c r="A359" s="349">
        <f t="shared" si="230"/>
        <v>41992</v>
      </c>
      <c r="B359" s="350">
        <f t="shared" si="231"/>
        <v>41992</v>
      </c>
      <c r="C359" s="351">
        <f t="shared" si="244"/>
        <v>51</v>
      </c>
      <c r="D359" s="352">
        <f t="shared" si="245"/>
        <v>41973</v>
      </c>
      <c r="E359" s="364" t="str">
        <f t="shared" si="218"/>
        <v/>
      </c>
      <c r="F359" s="6"/>
      <c r="G359" s="7" t="str">
        <f t="shared" si="246"/>
        <v/>
      </c>
      <c r="H359" s="8"/>
      <c r="I359" s="8">
        <f t="shared" si="242"/>
        <v>0</v>
      </c>
      <c r="J359" s="129">
        <f t="shared" si="238"/>
        <v>0</v>
      </c>
      <c r="K359" s="8"/>
      <c r="L359" s="8">
        <f t="shared" si="219"/>
        <v>0</v>
      </c>
      <c r="M359" s="129">
        <f t="shared" si="220"/>
        <v>0</v>
      </c>
      <c r="N359" s="129"/>
      <c r="O359" s="129">
        <f t="shared" si="213"/>
        <v>0</v>
      </c>
      <c r="P359" s="129"/>
      <c r="Q359" s="129">
        <f t="shared" si="221"/>
        <v>0</v>
      </c>
      <c r="R359" s="129">
        <f t="shared" si="222"/>
        <v>0</v>
      </c>
      <c r="S359" s="693">
        <f t="shared" si="223"/>
        <v>6</v>
      </c>
      <c r="T359" s="129">
        <f t="shared" si="243"/>
        <v>0</v>
      </c>
      <c r="U359" s="165">
        <f t="shared" si="224"/>
        <v>0</v>
      </c>
      <c r="V359" s="75"/>
      <c r="W359" s="131">
        <f t="shared" si="214"/>
        <v>4.1666666666666664E-2</v>
      </c>
      <c r="X359" s="126">
        <f t="shared" si="225"/>
        <v>0</v>
      </c>
      <c r="Y359" s="127">
        <f t="shared" si="247"/>
        <v>0.33333333333333331</v>
      </c>
      <c r="Z359" s="128">
        <f t="shared" si="248"/>
        <v>0</v>
      </c>
      <c r="AA359" s="76" t="str">
        <f t="shared" si="249"/>
        <v/>
      </c>
      <c r="AB359" s="216">
        <f t="shared" si="215"/>
        <v>0</v>
      </c>
      <c r="AC359" s="163" t="str">
        <f t="shared" si="250"/>
        <v/>
      </c>
      <c r="AD359" s="257">
        <f t="shared" si="232"/>
        <v>0</v>
      </c>
      <c r="AE359" s="138"/>
      <c r="AF359" s="138" t="str">
        <f t="shared" si="233"/>
        <v/>
      </c>
      <c r="AG359" s="77">
        <f t="shared" si="240"/>
        <v>0</v>
      </c>
      <c r="AH359" s="77">
        <f t="shared" si="241"/>
        <v>0</v>
      </c>
      <c r="AI359" s="77" t="str">
        <f t="shared" si="234"/>
        <v/>
      </c>
      <c r="AJ359" s="78">
        <f t="shared" si="216"/>
        <v>4</v>
      </c>
      <c r="AK359" s="139">
        <f>SUM($AC$6:AC359)</f>
        <v>0</v>
      </c>
      <c r="AL359" s="139">
        <f t="shared" ca="1" si="226"/>
        <v>0</v>
      </c>
      <c r="AM359" s="143">
        <f t="shared" si="235"/>
        <v>0</v>
      </c>
      <c r="AN359" s="143">
        <f t="shared" si="236"/>
        <v>0</v>
      </c>
      <c r="AO359" s="143">
        <f t="shared" si="237"/>
        <v>0</v>
      </c>
      <c r="AP359" s="142">
        <f t="shared" si="227"/>
        <v>30</v>
      </c>
      <c r="AQ359" s="142">
        <f t="shared" ca="1" si="228"/>
        <v>30</v>
      </c>
      <c r="AR359" s="154">
        <f t="shared" si="239"/>
        <v>0</v>
      </c>
      <c r="AS359" s="142">
        <f t="shared" si="229"/>
        <v>0</v>
      </c>
      <c r="AT359" t="b">
        <f>OR((F359&gt;0),(NOT(ISBLANK(H359))),SUM(H359:H$373),SUM(G359:G$373))</f>
        <v>0</v>
      </c>
      <c r="AU359" t="b">
        <f t="shared" ca="1" si="217"/>
        <v>0</v>
      </c>
    </row>
    <row r="360" spans="1:47">
      <c r="A360" s="349">
        <f t="shared" si="230"/>
        <v>41993</v>
      </c>
      <c r="B360" s="350">
        <f t="shared" si="231"/>
        <v>41993</v>
      </c>
      <c r="C360" s="351">
        <f t="shared" si="244"/>
        <v>51</v>
      </c>
      <c r="D360" s="352">
        <f t="shared" si="245"/>
        <v>41973</v>
      </c>
      <c r="E360" s="364" t="str">
        <f t="shared" si="218"/>
        <v/>
      </c>
      <c r="F360" s="6"/>
      <c r="G360" s="7" t="str">
        <f t="shared" si="246"/>
        <v/>
      </c>
      <c r="H360" s="8"/>
      <c r="I360" s="8">
        <f t="shared" si="242"/>
        <v>0</v>
      </c>
      <c r="J360" s="129">
        <f t="shared" si="238"/>
        <v>0</v>
      </c>
      <c r="K360" s="8"/>
      <c r="L360" s="8">
        <f t="shared" si="219"/>
        <v>0</v>
      </c>
      <c r="M360" s="129">
        <f t="shared" si="220"/>
        <v>0</v>
      </c>
      <c r="N360" s="129"/>
      <c r="O360" s="129">
        <f t="shared" si="213"/>
        <v>0</v>
      </c>
      <c r="P360" s="129"/>
      <c r="Q360" s="129">
        <f t="shared" si="221"/>
        <v>0</v>
      </c>
      <c r="R360" s="129">
        <f t="shared" si="222"/>
        <v>0</v>
      </c>
      <c r="S360" s="693">
        <f t="shared" si="223"/>
        <v>6</v>
      </c>
      <c r="T360" s="129">
        <f t="shared" si="243"/>
        <v>0</v>
      </c>
      <c r="U360" s="165">
        <f t="shared" si="224"/>
        <v>0</v>
      </c>
      <c r="V360" s="75"/>
      <c r="W360" s="131">
        <f t="shared" si="214"/>
        <v>4.1666666666666664E-2</v>
      </c>
      <c r="X360" s="126">
        <f t="shared" si="225"/>
        <v>0</v>
      </c>
      <c r="Y360" s="127">
        <f t="shared" si="247"/>
        <v>0.33333333333333331</v>
      </c>
      <c r="Z360" s="128">
        <f t="shared" si="248"/>
        <v>0</v>
      </c>
      <c r="AA360" s="76" t="str">
        <f t="shared" si="249"/>
        <v/>
      </c>
      <c r="AB360" s="216">
        <f t="shared" si="215"/>
        <v>0</v>
      </c>
      <c r="AC360" s="163" t="str">
        <f t="shared" si="250"/>
        <v/>
      </c>
      <c r="AD360" s="257">
        <f t="shared" si="232"/>
        <v>0</v>
      </c>
      <c r="AE360" s="138"/>
      <c r="AF360" s="138" t="str">
        <f t="shared" si="233"/>
        <v/>
      </c>
      <c r="AG360" s="77">
        <f t="shared" si="240"/>
        <v>0</v>
      </c>
      <c r="AH360" s="77">
        <f t="shared" si="241"/>
        <v>0</v>
      </c>
      <c r="AI360" s="77" t="str">
        <f t="shared" si="234"/>
        <v/>
      </c>
      <c r="AJ360" s="78">
        <f t="shared" si="216"/>
        <v>5</v>
      </c>
      <c r="AK360" s="139">
        <f>SUM($AC$6:AC360)</f>
        <v>0</v>
      </c>
      <c r="AL360" s="139">
        <f t="shared" ca="1" si="226"/>
        <v>0</v>
      </c>
      <c r="AM360" s="143">
        <f t="shared" si="235"/>
        <v>0</v>
      </c>
      <c r="AN360" s="143">
        <f t="shared" si="236"/>
        <v>0</v>
      </c>
      <c r="AO360" s="143">
        <f t="shared" si="237"/>
        <v>0</v>
      </c>
      <c r="AP360" s="142">
        <f t="shared" si="227"/>
        <v>30</v>
      </c>
      <c r="AQ360" s="142">
        <f t="shared" ca="1" si="228"/>
        <v>30</v>
      </c>
      <c r="AR360" s="154">
        <f t="shared" si="239"/>
        <v>0</v>
      </c>
      <c r="AS360" s="142">
        <f t="shared" si="229"/>
        <v>0</v>
      </c>
      <c r="AT360" t="b">
        <f>OR((F360&gt;0),(NOT(ISBLANK(H360))),SUM(H360:H$373),SUM(G360:G$373))</f>
        <v>0</v>
      </c>
      <c r="AU360" t="b">
        <f t="shared" ca="1" si="217"/>
        <v>0</v>
      </c>
    </row>
    <row r="361" spans="1:47">
      <c r="A361" s="349">
        <f t="shared" si="230"/>
        <v>41994</v>
      </c>
      <c r="B361" s="350">
        <f t="shared" si="231"/>
        <v>41994</v>
      </c>
      <c r="C361" s="351">
        <f t="shared" si="244"/>
        <v>51</v>
      </c>
      <c r="D361" s="352">
        <f t="shared" si="245"/>
        <v>41973</v>
      </c>
      <c r="E361" s="364" t="str">
        <f t="shared" si="218"/>
        <v/>
      </c>
      <c r="F361" s="6"/>
      <c r="G361" s="7" t="str">
        <f t="shared" si="246"/>
        <v/>
      </c>
      <c r="H361" s="8"/>
      <c r="I361" s="8">
        <f t="shared" si="242"/>
        <v>0</v>
      </c>
      <c r="J361" s="129">
        <f t="shared" si="238"/>
        <v>0</v>
      </c>
      <c r="K361" s="8"/>
      <c r="L361" s="8">
        <f t="shared" si="219"/>
        <v>0</v>
      </c>
      <c r="M361" s="129">
        <f t="shared" si="220"/>
        <v>0</v>
      </c>
      <c r="N361" s="129"/>
      <c r="O361" s="129">
        <f t="shared" si="213"/>
        <v>0</v>
      </c>
      <c r="P361" s="129"/>
      <c r="Q361" s="129">
        <f t="shared" si="221"/>
        <v>0</v>
      </c>
      <c r="R361" s="129">
        <f t="shared" si="222"/>
        <v>0</v>
      </c>
      <c r="S361" s="693">
        <f t="shared" si="223"/>
        <v>6</v>
      </c>
      <c r="T361" s="129">
        <f t="shared" si="243"/>
        <v>0</v>
      </c>
      <c r="U361" s="165">
        <f t="shared" si="224"/>
        <v>0</v>
      </c>
      <c r="V361" s="75"/>
      <c r="W361" s="131">
        <f t="shared" si="214"/>
        <v>4.1666666666666664E-2</v>
      </c>
      <c r="X361" s="126">
        <f t="shared" si="225"/>
        <v>0</v>
      </c>
      <c r="Y361" s="127">
        <f t="shared" si="247"/>
        <v>0</v>
      </c>
      <c r="Z361" s="128">
        <f t="shared" si="248"/>
        <v>0</v>
      </c>
      <c r="AA361" s="76" t="str">
        <f t="shared" si="249"/>
        <v/>
      </c>
      <c r="AB361" s="216">
        <f t="shared" si="215"/>
        <v>0</v>
      </c>
      <c r="AC361" s="163" t="str">
        <f t="shared" si="250"/>
        <v/>
      </c>
      <c r="AD361" s="257">
        <f t="shared" si="232"/>
        <v>0</v>
      </c>
      <c r="AE361" s="138"/>
      <c r="AF361" s="138" t="str">
        <f t="shared" si="233"/>
        <v/>
      </c>
      <c r="AG361" s="77">
        <f t="shared" si="240"/>
        <v>0</v>
      </c>
      <c r="AH361" s="77">
        <f t="shared" si="241"/>
        <v>0</v>
      </c>
      <c r="AI361" s="77" t="str">
        <f t="shared" si="234"/>
        <v/>
      </c>
      <c r="AJ361" s="78">
        <f t="shared" si="216"/>
        <v>6</v>
      </c>
      <c r="AK361" s="139">
        <f>SUM($AC$6:AC361)</f>
        <v>0</v>
      </c>
      <c r="AL361" s="139">
        <f t="shared" ca="1" si="226"/>
        <v>0</v>
      </c>
      <c r="AM361" s="143">
        <f t="shared" si="235"/>
        <v>0</v>
      </c>
      <c r="AN361" s="143">
        <f t="shared" si="236"/>
        <v>0</v>
      </c>
      <c r="AO361" s="143">
        <f t="shared" si="237"/>
        <v>0</v>
      </c>
      <c r="AP361" s="142">
        <f t="shared" si="227"/>
        <v>30</v>
      </c>
      <c r="AQ361" s="142">
        <f t="shared" ca="1" si="228"/>
        <v>30</v>
      </c>
      <c r="AR361" s="154">
        <f t="shared" si="239"/>
        <v>0</v>
      </c>
      <c r="AS361" s="142">
        <f t="shared" si="229"/>
        <v>7</v>
      </c>
      <c r="AT361" t="b">
        <f>OR((F361&gt;0),(NOT(ISBLANK(H361))),SUM(H361:H$373),SUM(G361:G$373))</f>
        <v>0</v>
      </c>
      <c r="AU361" t="b">
        <f t="shared" ca="1" si="217"/>
        <v>1</v>
      </c>
    </row>
    <row r="362" spans="1:47">
      <c r="A362" s="349">
        <f t="shared" si="230"/>
        <v>41995</v>
      </c>
      <c r="B362" s="350">
        <f t="shared" si="231"/>
        <v>41995</v>
      </c>
      <c r="C362" s="351">
        <f t="shared" si="244"/>
        <v>51</v>
      </c>
      <c r="D362" s="352">
        <f t="shared" si="245"/>
        <v>41973</v>
      </c>
      <c r="E362" s="364" t="str">
        <f t="shared" si="218"/>
        <v/>
      </c>
      <c r="F362" s="6"/>
      <c r="G362" s="7" t="str">
        <f t="shared" si="246"/>
        <v/>
      </c>
      <c r="H362" s="8"/>
      <c r="I362" s="8">
        <f t="shared" si="242"/>
        <v>0</v>
      </c>
      <c r="J362" s="129">
        <f t="shared" si="238"/>
        <v>0</v>
      </c>
      <c r="K362" s="8"/>
      <c r="L362" s="8">
        <f t="shared" si="219"/>
        <v>0</v>
      </c>
      <c r="M362" s="129">
        <f t="shared" si="220"/>
        <v>0</v>
      </c>
      <c r="N362" s="129"/>
      <c r="O362" s="129">
        <f t="shared" si="213"/>
        <v>0</v>
      </c>
      <c r="P362" s="129"/>
      <c r="Q362" s="129">
        <f t="shared" si="221"/>
        <v>0</v>
      </c>
      <c r="R362" s="129">
        <f t="shared" si="222"/>
        <v>0</v>
      </c>
      <c r="S362" s="693">
        <f t="shared" si="223"/>
        <v>6</v>
      </c>
      <c r="T362" s="129">
        <f t="shared" si="243"/>
        <v>0</v>
      </c>
      <c r="U362" s="165">
        <f t="shared" si="224"/>
        <v>0</v>
      </c>
      <c r="V362" s="75"/>
      <c r="W362" s="131">
        <f t="shared" si="214"/>
        <v>4.1666666666666664E-2</v>
      </c>
      <c r="X362" s="126">
        <f t="shared" si="225"/>
        <v>0</v>
      </c>
      <c r="Y362" s="127">
        <f t="shared" si="247"/>
        <v>0</v>
      </c>
      <c r="Z362" s="128">
        <f t="shared" si="248"/>
        <v>0</v>
      </c>
      <c r="AA362" s="76" t="str">
        <f t="shared" si="249"/>
        <v/>
      </c>
      <c r="AB362" s="216">
        <f t="shared" si="215"/>
        <v>0</v>
      </c>
      <c r="AC362" s="163" t="str">
        <f t="shared" si="250"/>
        <v/>
      </c>
      <c r="AD362" s="257">
        <f t="shared" si="232"/>
        <v>0</v>
      </c>
      <c r="AE362" s="138"/>
      <c r="AF362" s="138" t="str">
        <f t="shared" si="233"/>
        <v/>
      </c>
      <c r="AG362" s="77">
        <f t="shared" si="240"/>
        <v>0</v>
      </c>
      <c r="AH362" s="77">
        <f t="shared" si="241"/>
        <v>0</v>
      </c>
      <c r="AI362" s="77" t="str">
        <f t="shared" si="234"/>
        <v/>
      </c>
      <c r="AJ362" s="78">
        <f t="shared" si="216"/>
        <v>7</v>
      </c>
      <c r="AK362" s="139">
        <f>SUM($AC$6:AC362)</f>
        <v>0</v>
      </c>
      <c r="AL362" s="139">
        <f t="shared" ca="1" si="226"/>
        <v>0</v>
      </c>
      <c r="AM362" s="143">
        <f t="shared" si="235"/>
        <v>0</v>
      </c>
      <c r="AN362" s="143">
        <f t="shared" si="236"/>
        <v>0</v>
      </c>
      <c r="AO362" s="143">
        <f t="shared" si="237"/>
        <v>0</v>
      </c>
      <c r="AP362" s="142">
        <f t="shared" si="227"/>
        <v>30</v>
      </c>
      <c r="AQ362" s="142">
        <f t="shared" ca="1" si="228"/>
        <v>30</v>
      </c>
      <c r="AR362" s="154">
        <f t="shared" si="239"/>
        <v>0</v>
      </c>
      <c r="AS362" s="142">
        <f t="shared" si="229"/>
        <v>7</v>
      </c>
      <c r="AT362" t="b">
        <f>OR((F362&gt;0),(NOT(ISBLANK(H362))),SUM(H362:H$373),SUM(G362:G$373))</f>
        <v>0</v>
      </c>
      <c r="AU362" t="b">
        <f t="shared" ca="1" si="217"/>
        <v>1</v>
      </c>
    </row>
    <row r="363" spans="1:47">
      <c r="A363" s="349">
        <f t="shared" si="230"/>
        <v>41996</v>
      </c>
      <c r="B363" s="350">
        <f t="shared" si="231"/>
        <v>41996</v>
      </c>
      <c r="C363" s="351">
        <f t="shared" si="244"/>
        <v>52</v>
      </c>
      <c r="D363" s="352">
        <f t="shared" si="245"/>
        <v>41973</v>
      </c>
      <c r="E363" s="364" t="str">
        <f t="shared" si="218"/>
        <v/>
      </c>
      <c r="F363" s="6"/>
      <c r="G363" s="7" t="str">
        <f t="shared" si="246"/>
        <v/>
      </c>
      <c r="H363" s="8"/>
      <c r="I363" s="8">
        <f t="shared" si="242"/>
        <v>0</v>
      </c>
      <c r="J363" s="129">
        <f t="shared" si="238"/>
        <v>0</v>
      </c>
      <c r="K363" s="8"/>
      <c r="L363" s="8">
        <f t="shared" si="219"/>
        <v>0</v>
      </c>
      <c r="M363" s="129">
        <f t="shared" si="220"/>
        <v>0</v>
      </c>
      <c r="N363" s="129"/>
      <c r="O363" s="129">
        <f t="shared" si="213"/>
        <v>0</v>
      </c>
      <c r="P363" s="129"/>
      <c r="Q363" s="129">
        <f t="shared" si="221"/>
        <v>0</v>
      </c>
      <c r="R363" s="129">
        <f t="shared" si="222"/>
        <v>0</v>
      </c>
      <c r="S363" s="693">
        <f t="shared" si="223"/>
        <v>6</v>
      </c>
      <c r="T363" s="129">
        <f t="shared" si="243"/>
        <v>0</v>
      </c>
      <c r="U363" s="165">
        <f t="shared" si="224"/>
        <v>0</v>
      </c>
      <c r="V363" s="75"/>
      <c r="W363" s="131">
        <f t="shared" si="214"/>
        <v>4.1666666666666664E-2</v>
      </c>
      <c r="X363" s="126">
        <f t="shared" si="225"/>
        <v>0</v>
      </c>
      <c r="Y363" s="127">
        <f t="shared" si="247"/>
        <v>0.33333333333333331</v>
      </c>
      <c r="Z363" s="128">
        <f t="shared" si="248"/>
        <v>0</v>
      </c>
      <c r="AA363" s="76" t="str">
        <f t="shared" si="249"/>
        <v/>
      </c>
      <c r="AB363" s="216">
        <f t="shared" si="215"/>
        <v>0</v>
      </c>
      <c r="AC363" s="163" t="str">
        <f t="shared" si="250"/>
        <v/>
      </c>
      <c r="AD363" s="257">
        <f t="shared" si="232"/>
        <v>0</v>
      </c>
      <c r="AE363" s="138"/>
      <c r="AF363" s="138" t="str">
        <f t="shared" si="233"/>
        <v/>
      </c>
      <c r="AG363" s="77">
        <f t="shared" si="240"/>
        <v>0</v>
      </c>
      <c r="AH363" s="77">
        <f t="shared" si="241"/>
        <v>0</v>
      </c>
      <c r="AI363" s="77" t="str">
        <f t="shared" si="234"/>
        <v/>
      </c>
      <c r="AJ363" s="78">
        <f t="shared" si="216"/>
        <v>1</v>
      </c>
      <c r="AK363" s="139">
        <f>SUM($AC$6:AC363)</f>
        <v>0</v>
      </c>
      <c r="AL363" s="139">
        <f t="shared" ca="1" si="226"/>
        <v>0</v>
      </c>
      <c r="AM363" s="143">
        <f t="shared" si="235"/>
        <v>0</v>
      </c>
      <c r="AN363" s="143">
        <f t="shared" si="236"/>
        <v>0</v>
      </c>
      <c r="AO363" s="143">
        <f t="shared" si="237"/>
        <v>0</v>
      </c>
      <c r="AP363" s="142">
        <f t="shared" si="227"/>
        <v>30</v>
      </c>
      <c r="AQ363" s="142">
        <f t="shared" ca="1" si="228"/>
        <v>30</v>
      </c>
      <c r="AR363" s="154">
        <f t="shared" si="239"/>
        <v>0</v>
      </c>
      <c r="AS363" s="142">
        <f t="shared" si="229"/>
        <v>0</v>
      </c>
      <c r="AT363" t="b">
        <f>OR((F363&gt;0),(NOT(ISBLANK(H363))),SUM(H363:H$373),SUM(G363:G$373))</f>
        <v>0</v>
      </c>
      <c r="AU363" t="b">
        <f t="shared" ca="1" si="217"/>
        <v>0</v>
      </c>
    </row>
    <row r="364" spans="1:47">
      <c r="A364" s="349">
        <f t="shared" si="230"/>
        <v>41997</v>
      </c>
      <c r="B364" s="350">
        <f t="shared" si="231"/>
        <v>41997</v>
      </c>
      <c r="C364" s="351">
        <f t="shared" si="244"/>
        <v>52</v>
      </c>
      <c r="D364" s="352">
        <f t="shared" si="245"/>
        <v>41973</v>
      </c>
      <c r="E364" s="364" t="str">
        <f t="shared" si="218"/>
        <v>1. Weihnachtsfeiertag</v>
      </c>
      <c r="F364" s="6"/>
      <c r="G364" s="7" t="str">
        <f t="shared" si="246"/>
        <v/>
      </c>
      <c r="H364" s="8"/>
      <c r="I364" s="8">
        <f t="shared" si="242"/>
        <v>0</v>
      </c>
      <c r="J364" s="129">
        <f t="shared" si="238"/>
        <v>0</v>
      </c>
      <c r="K364" s="8"/>
      <c r="L364" s="8">
        <f t="shared" si="219"/>
        <v>0</v>
      </c>
      <c r="M364" s="129">
        <f t="shared" si="220"/>
        <v>0</v>
      </c>
      <c r="N364" s="129"/>
      <c r="O364" s="129">
        <f t="shared" si="213"/>
        <v>0</v>
      </c>
      <c r="P364" s="129"/>
      <c r="Q364" s="129">
        <f t="shared" si="221"/>
        <v>0</v>
      </c>
      <c r="R364" s="129">
        <f t="shared" si="222"/>
        <v>0</v>
      </c>
      <c r="S364" s="693">
        <f t="shared" si="223"/>
        <v>6</v>
      </c>
      <c r="T364" s="129">
        <f t="shared" si="243"/>
        <v>0</v>
      </c>
      <c r="U364" s="165">
        <f t="shared" si="224"/>
        <v>0</v>
      </c>
      <c r="V364" s="75"/>
      <c r="W364" s="131">
        <f t="shared" si="214"/>
        <v>4.1666666666666664E-2</v>
      </c>
      <c r="X364" s="126">
        <f t="shared" si="225"/>
        <v>0</v>
      </c>
      <c r="Y364" s="127" t="str">
        <f t="shared" si="247"/>
        <v/>
      </c>
      <c r="Z364" s="128">
        <f t="shared" si="248"/>
        <v>0</v>
      </c>
      <c r="AA364" s="76" t="str">
        <f t="shared" si="249"/>
        <v/>
      </c>
      <c r="AB364" s="216">
        <f t="shared" si="215"/>
        <v>0</v>
      </c>
      <c r="AC364" s="163" t="str">
        <f t="shared" si="250"/>
        <v/>
      </c>
      <c r="AD364" s="257">
        <f t="shared" si="232"/>
        <v>0</v>
      </c>
      <c r="AE364" s="138"/>
      <c r="AF364" s="138" t="str">
        <f t="shared" si="233"/>
        <v/>
      </c>
      <c r="AG364" s="77">
        <f t="shared" si="240"/>
        <v>0</v>
      </c>
      <c r="AH364" s="77">
        <f t="shared" si="241"/>
        <v>0</v>
      </c>
      <c r="AI364" s="77" t="str">
        <f t="shared" si="234"/>
        <v/>
      </c>
      <c r="AJ364" s="78">
        <f t="shared" si="216"/>
        <v>8</v>
      </c>
      <c r="AK364" s="139">
        <f>SUM($AC$6:AC364)</f>
        <v>0</v>
      </c>
      <c r="AL364" s="139">
        <f t="shared" ca="1" si="226"/>
        <v>0</v>
      </c>
      <c r="AM364" s="143">
        <f t="shared" si="235"/>
        <v>0</v>
      </c>
      <c r="AN364" s="143">
        <f t="shared" si="236"/>
        <v>0</v>
      </c>
      <c r="AO364" s="143">
        <f t="shared" si="237"/>
        <v>0</v>
      </c>
      <c r="AP364" s="142">
        <f t="shared" si="227"/>
        <v>30</v>
      </c>
      <c r="AQ364" s="142">
        <f t="shared" ca="1" si="228"/>
        <v>30</v>
      </c>
      <c r="AR364" s="154">
        <f t="shared" si="239"/>
        <v>0</v>
      </c>
      <c r="AS364" s="142">
        <f t="shared" si="229"/>
        <v>8</v>
      </c>
      <c r="AT364" t="b">
        <f>OR((F364&gt;0),(NOT(ISBLANK(H364))),SUM(H364:H$373),SUM(G364:G$373))</f>
        <v>0</v>
      </c>
      <c r="AU364" t="b">
        <f t="shared" ca="1" si="217"/>
        <v>1</v>
      </c>
    </row>
    <row r="365" spans="1:47">
      <c r="A365" s="349">
        <f t="shared" si="230"/>
        <v>41998</v>
      </c>
      <c r="B365" s="350">
        <f t="shared" si="231"/>
        <v>41998</v>
      </c>
      <c r="C365" s="351">
        <f t="shared" si="244"/>
        <v>52</v>
      </c>
      <c r="D365" s="352">
        <f t="shared" si="245"/>
        <v>41973</v>
      </c>
      <c r="E365" s="364" t="str">
        <f t="shared" si="218"/>
        <v>2. Weihnachtsfeiertag</v>
      </c>
      <c r="F365" s="6"/>
      <c r="G365" s="7" t="str">
        <f t="shared" si="246"/>
        <v/>
      </c>
      <c r="H365" s="8"/>
      <c r="I365" s="8">
        <f t="shared" si="242"/>
        <v>0</v>
      </c>
      <c r="J365" s="129">
        <f t="shared" si="238"/>
        <v>0</v>
      </c>
      <c r="K365" s="8"/>
      <c r="L365" s="8">
        <f t="shared" si="219"/>
        <v>0</v>
      </c>
      <c r="M365" s="129">
        <f t="shared" si="220"/>
        <v>0</v>
      </c>
      <c r="N365" s="129"/>
      <c r="O365" s="129">
        <f t="shared" si="213"/>
        <v>0</v>
      </c>
      <c r="P365" s="129"/>
      <c r="Q365" s="129">
        <f t="shared" si="221"/>
        <v>0</v>
      </c>
      <c r="R365" s="129">
        <f t="shared" si="222"/>
        <v>0</v>
      </c>
      <c r="S365" s="693">
        <f t="shared" si="223"/>
        <v>6</v>
      </c>
      <c r="T365" s="129">
        <f t="shared" si="243"/>
        <v>0</v>
      </c>
      <c r="U365" s="165">
        <f t="shared" si="224"/>
        <v>0</v>
      </c>
      <c r="V365" s="75"/>
      <c r="W365" s="131">
        <f t="shared" si="214"/>
        <v>4.1666666666666664E-2</v>
      </c>
      <c r="X365" s="126">
        <f t="shared" si="225"/>
        <v>0</v>
      </c>
      <c r="Y365" s="127" t="str">
        <f t="shared" si="247"/>
        <v/>
      </c>
      <c r="Z365" s="128">
        <f t="shared" si="248"/>
        <v>0</v>
      </c>
      <c r="AA365" s="76" t="str">
        <f t="shared" si="249"/>
        <v/>
      </c>
      <c r="AB365" s="216">
        <f t="shared" si="215"/>
        <v>0</v>
      </c>
      <c r="AC365" s="163" t="str">
        <f t="shared" si="250"/>
        <v/>
      </c>
      <c r="AD365" s="257">
        <f t="shared" si="232"/>
        <v>0</v>
      </c>
      <c r="AE365" s="138"/>
      <c r="AF365" s="138" t="str">
        <f t="shared" si="233"/>
        <v/>
      </c>
      <c r="AG365" s="77">
        <f t="shared" si="240"/>
        <v>0</v>
      </c>
      <c r="AH365" s="77">
        <f t="shared" si="241"/>
        <v>0</v>
      </c>
      <c r="AI365" s="77" t="str">
        <f t="shared" si="234"/>
        <v/>
      </c>
      <c r="AJ365" s="78">
        <f t="shared" si="216"/>
        <v>8</v>
      </c>
      <c r="AK365" s="139">
        <f>SUM($AC$6:AC365)</f>
        <v>0</v>
      </c>
      <c r="AL365" s="139">
        <f t="shared" ca="1" si="226"/>
        <v>0</v>
      </c>
      <c r="AM365" s="143">
        <f t="shared" si="235"/>
        <v>0</v>
      </c>
      <c r="AN365" s="143">
        <f t="shared" si="236"/>
        <v>0</v>
      </c>
      <c r="AO365" s="143">
        <f t="shared" si="237"/>
        <v>0</v>
      </c>
      <c r="AP365" s="142">
        <f t="shared" si="227"/>
        <v>30</v>
      </c>
      <c r="AQ365" s="142">
        <f t="shared" ca="1" si="228"/>
        <v>30</v>
      </c>
      <c r="AR365" s="154">
        <f t="shared" si="239"/>
        <v>0</v>
      </c>
      <c r="AS365" s="142">
        <f t="shared" si="229"/>
        <v>8</v>
      </c>
      <c r="AT365" t="b">
        <f>OR((F365&gt;0),(NOT(ISBLANK(H365))),SUM(H365:H$373),SUM(G365:G$373))</f>
        <v>0</v>
      </c>
      <c r="AU365" t="b">
        <f t="shared" ca="1" si="217"/>
        <v>1</v>
      </c>
    </row>
    <row r="366" spans="1:47">
      <c r="A366" s="349">
        <f t="shared" si="230"/>
        <v>41999</v>
      </c>
      <c r="B366" s="350">
        <f t="shared" si="231"/>
        <v>41999</v>
      </c>
      <c r="C366" s="351">
        <f t="shared" si="244"/>
        <v>52</v>
      </c>
      <c r="D366" s="352">
        <f t="shared" si="245"/>
        <v>41973</v>
      </c>
      <c r="E366" s="364" t="str">
        <f t="shared" si="218"/>
        <v/>
      </c>
      <c r="F366" s="6"/>
      <c r="G366" s="7" t="str">
        <f t="shared" si="246"/>
        <v/>
      </c>
      <c r="H366" s="8"/>
      <c r="I366" s="8">
        <f t="shared" si="242"/>
        <v>0</v>
      </c>
      <c r="J366" s="129">
        <f t="shared" si="238"/>
        <v>0</v>
      </c>
      <c r="K366" s="8"/>
      <c r="L366" s="8">
        <f t="shared" si="219"/>
        <v>0</v>
      </c>
      <c r="M366" s="129">
        <f t="shared" si="220"/>
        <v>0</v>
      </c>
      <c r="N366" s="129"/>
      <c r="O366" s="129">
        <f t="shared" si="213"/>
        <v>0</v>
      </c>
      <c r="P366" s="129"/>
      <c r="Q366" s="129">
        <f t="shared" si="221"/>
        <v>0</v>
      </c>
      <c r="R366" s="129">
        <f t="shared" si="222"/>
        <v>0</v>
      </c>
      <c r="S366" s="693">
        <f t="shared" si="223"/>
        <v>6</v>
      </c>
      <c r="T366" s="129">
        <f t="shared" si="243"/>
        <v>0</v>
      </c>
      <c r="U366" s="165">
        <f t="shared" si="224"/>
        <v>0</v>
      </c>
      <c r="V366" s="75"/>
      <c r="W366" s="131">
        <f t="shared" si="214"/>
        <v>4.1666666666666664E-2</v>
      </c>
      <c r="X366" s="126">
        <f t="shared" si="225"/>
        <v>0</v>
      </c>
      <c r="Y366" s="127">
        <f t="shared" si="247"/>
        <v>0.33333333333333331</v>
      </c>
      <c r="Z366" s="128">
        <f t="shared" si="248"/>
        <v>0</v>
      </c>
      <c r="AA366" s="76" t="str">
        <f t="shared" si="249"/>
        <v/>
      </c>
      <c r="AB366" s="216">
        <f t="shared" si="215"/>
        <v>0</v>
      </c>
      <c r="AC366" s="163" t="str">
        <f t="shared" si="250"/>
        <v/>
      </c>
      <c r="AD366" s="257">
        <f t="shared" si="232"/>
        <v>0</v>
      </c>
      <c r="AE366" s="138"/>
      <c r="AF366" s="138" t="str">
        <f t="shared" si="233"/>
        <v/>
      </c>
      <c r="AG366" s="77">
        <f t="shared" si="240"/>
        <v>0</v>
      </c>
      <c r="AH366" s="77">
        <f t="shared" si="241"/>
        <v>0</v>
      </c>
      <c r="AI366" s="77" t="str">
        <f t="shared" si="234"/>
        <v/>
      </c>
      <c r="AJ366" s="78">
        <f t="shared" si="216"/>
        <v>4</v>
      </c>
      <c r="AK366" s="139">
        <f>SUM($AC$6:AC366)</f>
        <v>0</v>
      </c>
      <c r="AL366" s="139">
        <f t="shared" ca="1" si="226"/>
        <v>0</v>
      </c>
      <c r="AM366" s="143">
        <f t="shared" si="235"/>
        <v>0</v>
      </c>
      <c r="AN366" s="143">
        <f t="shared" si="236"/>
        <v>0</v>
      </c>
      <c r="AO366" s="143">
        <f t="shared" si="237"/>
        <v>0</v>
      </c>
      <c r="AP366" s="142">
        <f t="shared" si="227"/>
        <v>30</v>
      </c>
      <c r="AQ366" s="142">
        <f t="shared" ca="1" si="228"/>
        <v>30</v>
      </c>
      <c r="AR366" s="154">
        <f t="shared" si="239"/>
        <v>0</v>
      </c>
      <c r="AS366" s="142">
        <f t="shared" si="229"/>
        <v>0</v>
      </c>
      <c r="AT366" t="b">
        <f>OR((F366&gt;0),(NOT(ISBLANK(H366))),SUM(H366:H$373),SUM(G366:G$373))</f>
        <v>0</v>
      </c>
      <c r="AU366" t="b">
        <f t="shared" ca="1" si="217"/>
        <v>0</v>
      </c>
    </row>
    <row r="367" spans="1:47">
      <c r="A367" s="349">
        <f t="shared" si="230"/>
        <v>42000</v>
      </c>
      <c r="B367" s="350">
        <f t="shared" si="231"/>
        <v>42000</v>
      </c>
      <c r="C367" s="351">
        <f t="shared" si="244"/>
        <v>52</v>
      </c>
      <c r="D367" s="352">
        <f t="shared" si="245"/>
        <v>41973</v>
      </c>
      <c r="E367" s="364" t="str">
        <f t="shared" si="218"/>
        <v/>
      </c>
      <c r="F367" s="6"/>
      <c r="G367" s="7" t="str">
        <f t="shared" si="246"/>
        <v/>
      </c>
      <c r="H367" s="8"/>
      <c r="I367" s="8">
        <f t="shared" si="242"/>
        <v>0</v>
      </c>
      <c r="J367" s="129">
        <f t="shared" si="238"/>
        <v>0</v>
      </c>
      <c r="K367" s="8"/>
      <c r="L367" s="8">
        <f t="shared" si="219"/>
        <v>0</v>
      </c>
      <c r="M367" s="129">
        <f t="shared" si="220"/>
        <v>0</v>
      </c>
      <c r="N367" s="129"/>
      <c r="O367" s="129">
        <f t="shared" si="213"/>
        <v>0</v>
      </c>
      <c r="P367" s="129"/>
      <c r="Q367" s="129">
        <f t="shared" si="221"/>
        <v>0</v>
      </c>
      <c r="R367" s="129">
        <f t="shared" si="222"/>
        <v>0</v>
      </c>
      <c r="S367" s="693">
        <f t="shared" si="223"/>
        <v>6</v>
      </c>
      <c r="T367" s="129">
        <f t="shared" si="243"/>
        <v>0</v>
      </c>
      <c r="U367" s="165">
        <f t="shared" si="224"/>
        <v>0</v>
      </c>
      <c r="V367" s="75"/>
      <c r="W367" s="131">
        <f t="shared" si="214"/>
        <v>4.1666666666666664E-2</v>
      </c>
      <c r="X367" s="126">
        <f t="shared" si="225"/>
        <v>0</v>
      </c>
      <c r="Y367" s="127">
        <f t="shared" si="247"/>
        <v>0.33333333333333331</v>
      </c>
      <c r="Z367" s="128">
        <f t="shared" si="248"/>
        <v>0</v>
      </c>
      <c r="AA367" s="76" t="str">
        <f t="shared" si="249"/>
        <v/>
      </c>
      <c r="AB367" s="216">
        <f t="shared" si="215"/>
        <v>0</v>
      </c>
      <c r="AC367" s="163" t="str">
        <f t="shared" si="250"/>
        <v/>
      </c>
      <c r="AD367" s="257">
        <f t="shared" si="232"/>
        <v>0</v>
      </c>
      <c r="AE367" s="138"/>
      <c r="AF367" s="138" t="str">
        <f t="shared" si="233"/>
        <v/>
      </c>
      <c r="AG367" s="77">
        <f t="shared" si="240"/>
        <v>0</v>
      </c>
      <c r="AH367" s="77">
        <f t="shared" si="241"/>
        <v>0</v>
      </c>
      <c r="AI367" s="77" t="str">
        <f t="shared" si="234"/>
        <v/>
      </c>
      <c r="AJ367" s="78">
        <f t="shared" si="216"/>
        <v>5</v>
      </c>
      <c r="AK367" s="139">
        <f>SUM($AC$6:AC367)</f>
        <v>0</v>
      </c>
      <c r="AL367" s="139">
        <f t="shared" ca="1" si="226"/>
        <v>0</v>
      </c>
      <c r="AM367" s="143">
        <f t="shared" si="235"/>
        <v>0</v>
      </c>
      <c r="AN367" s="143">
        <f t="shared" si="236"/>
        <v>0</v>
      </c>
      <c r="AO367" s="143">
        <f t="shared" si="237"/>
        <v>0</v>
      </c>
      <c r="AP367" s="142">
        <f t="shared" si="227"/>
        <v>30</v>
      </c>
      <c r="AQ367" s="142">
        <f t="shared" ca="1" si="228"/>
        <v>30</v>
      </c>
      <c r="AR367" s="154">
        <f t="shared" si="239"/>
        <v>0</v>
      </c>
      <c r="AS367" s="142">
        <f t="shared" si="229"/>
        <v>0</v>
      </c>
      <c r="AT367" t="b">
        <f>OR((F367&gt;0),(NOT(ISBLANK(H367))),SUM(H367:H$373),SUM(G367:G$373))</f>
        <v>0</v>
      </c>
      <c r="AU367" t="b">
        <f t="shared" ca="1" si="217"/>
        <v>0</v>
      </c>
    </row>
    <row r="368" spans="1:47">
      <c r="A368" s="349">
        <f t="shared" si="230"/>
        <v>42001</v>
      </c>
      <c r="B368" s="350">
        <f t="shared" si="231"/>
        <v>42001</v>
      </c>
      <c r="C368" s="351">
        <f t="shared" si="244"/>
        <v>52</v>
      </c>
      <c r="D368" s="352">
        <f t="shared" si="245"/>
        <v>41973</v>
      </c>
      <c r="E368" s="364" t="str">
        <f t="shared" si="218"/>
        <v/>
      </c>
      <c r="F368" s="6"/>
      <c r="G368" s="7" t="str">
        <f t="shared" si="246"/>
        <v/>
      </c>
      <c r="H368" s="8"/>
      <c r="I368" s="8">
        <f t="shared" si="242"/>
        <v>0</v>
      </c>
      <c r="J368" s="129">
        <f t="shared" si="238"/>
        <v>0</v>
      </c>
      <c r="K368" s="8"/>
      <c r="L368" s="8">
        <f t="shared" si="219"/>
        <v>0</v>
      </c>
      <c r="M368" s="129">
        <f t="shared" si="220"/>
        <v>0</v>
      </c>
      <c r="N368" s="129"/>
      <c r="O368" s="129">
        <f t="shared" si="213"/>
        <v>0</v>
      </c>
      <c r="P368" s="129"/>
      <c r="Q368" s="129">
        <f t="shared" si="221"/>
        <v>0</v>
      </c>
      <c r="R368" s="129">
        <f t="shared" si="222"/>
        <v>0</v>
      </c>
      <c r="S368" s="693">
        <f t="shared" si="223"/>
        <v>6</v>
      </c>
      <c r="T368" s="129">
        <f t="shared" si="243"/>
        <v>0</v>
      </c>
      <c r="U368" s="165">
        <f t="shared" si="224"/>
        <v>0</v>
      </c>
      <c r="V368" s="75"/>
      <c r="W368" s="131">
        <f t="shared" si="214"/>
        <v>4.1666666666666664E-2</v>
      </c>
      <c r="X368" s="126">
        <f t="shared" si="225"/>
        <v>0</v>
      </c>
      <c r="Y368" s="127">
        <f t="shared" si="247"/>
        <v>0</v>
      </c>
      <c r="Z368" s="128">
        <f t="shared" si="248"/>
        <v>0</v>
      </c>
      <c r="AA368" s="76" t="str">
        <f t="shared" si="249"/>
        <v/>
      </c>
      <c r="AB368" s="216">
        <f t="shared" si="215"/>
        <v>0</v>
      </c>
      <c r="AC368" s="163" t="str">
        <f t="shared" si="250"/>
        <v/>
      </c>
      <c r="AD368" s="257">
        <f t="shared" si="232"/>
        <v>0</v>
      </c>
      <c r="AE368" s="138"/>
      <c r="AF368" s="138" t="str">
        <f t="shared" si="233"/>
        <v/>
      </c>
      <c r="AG368" s="77">
        <f t="shared" si="240"/>
        <v>0</v>
      </c>
      <c r="AH368" s="77">
        <f t="shared" si="241"/>
        <v>0</v>
      </c>
      <c r="AI368" s="77" t="str">
        <f t="shared" si="234"/>
        <v/>
      </c>
      <c r="AJ368" s="78">
        <f t="shared" si="216"/>
        <v>6</v>
      </c>
      <c r="AK368" s="139">
        <f>SUM($AC$6:AC368)</f>
        <v>0</v>
      </c>
      <c r="AL368" s="139">
        <f t="shared" ca="1" si="226"/>
        <v>0</v>
      </c>
      <c r="AM368" s="143">
        <f t="shared" si="235"/>
        <v>0</v>
      </c>
      <c r="AN368" s="143">
        <f t="shared" si="236"/>
        <v>0</v>
      </c>
      <c r="AO368" s="143">
        <f t="shared" si="237"/>
        <v>0</v>
      </c>
      <c r="AP368" s="142">
        <f t="shared" si="227"/>
        <v>30</v>
      </c>
      <c r="AQ368" s="142">
        <f t="shared" ca="1" si="228"/>
        <v>30</v>
      </c>
      <c r="AR368" s="154">
        <f t="shared" si="239"/>
        <v>0</v>
      </c>
      <c r="AS368" s="142">
        <f t="shared" si="229"/>
        <v>7</v>
      </c>
      <c r="AT368" t="b">
        <f>OR((F368&gt;0),(NOT(ISBLANK(H368))),SUM(H368:H$373),SUM(G368:G$373))</f>
        <v>0</v>
      </c>
      <c r="AU368" t="b">
        <f t="shared" ca="1" si="217"/>
        <v>1</v>
      </c>
    </row>
    <row r="369" spans="1:49">
      <c r="A369" s="349">
        <f t="shared" si="230"/>
        <v>42002</v>
      </c>
      <c r="B369" s="350">
        <f t="shared" si="231"/>
        <v>42002</v>
      </c>
      <c r="C369" s="351">
        <f t="shared" si="244"/>
        <v>52</v>
      </c>
      <c r="D369" s="352">
        <f t="shared" si="245"/>
        <v>41973</v>
      </c>
      <c r="E369" s="364" t="str">
        <f t="shared" si="218"/>
        <v/>
      </c>
      <c r="F369" s="6"/>
      <c r="G369" s="7" t="str">
        <f t="shared" si="246"/>
        <v/>
      </c>
      <c r="H369" s="8"/>
      <c r="I369" s="8">
        <f t="shared" si="242"/>
        <v>0</v>
      </c>
      <c r="J369" s="129">
        <f t="shared" si="238"/>
        <v>0</v>
      </c>
      <c r="K369" s="8"/>
      <c r="L369" s="8">
        <f t="shared" si="219"/>
        <v>0</v>
      </c>
      <c r="M369" s="129">
        <f t="shared" si="220"/>
        <v>0</v>
      </c>
      <c r="N369" s="129"/>
      <c r="O369" s="129">
        <f t="shared" si="213"/>
        <v>0</v>
      </c>
      <c r="P369" s="129"/>
      <c r="Q369" s="129">
        <f t="shared" si="221"/>
        <v>0</v>
      </c>
      <c r="R369" s="129">
        <f t="shared" si="222"/>
        <v>0</v>
      </c>
      <c r="S369" s="693">
        <f t="shared" si="223"/>
        <v>6</v>
      </c>
      <c r="T369" s="129">
        <f t="shared" si="243"/>
        <v>0</v>
      </c>
      <c r="U369" s="165">
        <f t="shared" si="224"/>
        <v>0</v>
      </c>
      <c r="V369" s="75"/>
      <c r="W369" s="131">
        <f t="shared" si="214"/>
        <v>4.1666666666666664E-2</v>
      </c>
      <c r="X369" s="126">
        <f t="shared" si="225"/>
        <v>0</v>
      </c>
      <c r="Y369" s="127">
        <f t="shared" si="247"/>
        <v>0</v>
      </c>
      <c r="Z369" s="128">
        <f t="shared" si="248"/>
        <v>0</v>
      </c>
      <c r="AA369" s="76" t="str">
        <f t="shared" si="249"/>
        <v/>
      </c>
      <c r="AB369" s="216">
        <f t="shared" si="215"/>
        <v>0</v>
      </c>
      <c r="AC369" s="163" t="str">
        <f t="shared" si="250"/>
        <v/>
      </c>
      <c r="AD369" s="257">
        <f t="shared" si="232"/>
        <v>0</v>
      </c>
      <c r="AE369" s="138"/>
      <c r="AF369" s="138" t="str">
        <f t="shared" si="233"/>
        <v/>
      </c>
      <c r="AG369" s="77">
        <f>IF(ISNUMBER(U369 ), IF( U369 &gt;= X369, X369, U369 ),"")</f>
        <v>0</v>
      </c>
      <c r="AH369" s="77">
        <f>IF( ISNUMBER( U369 ), IF( U369 &gt;= X369, U369 - X369, "" ), "" )</f>
        <v>0</v>
      </c>
      <c r="AI369" s="77" t="str">
        <f t="shared" si="234"/>
        <v/>
      </c>
      <c r="AJ369" s="78">
        <f t="shared" si="216"/>
        <v>7</v>
      </c>
      <c r="AK369" s="139">
        <f>SUM($AC$6:AC369)</f>
        <v>0</v>
      </c>
      <c r="AL369" s="139">
        <f t="shared" ca="1" si="226"/>
        <v>0</v>
      </c>
      <c r="AM369" s="143">
        <f t="shared" si="235"/>
        <v>0</v>
      </c>
      <c r="AN369" s="143">
        <f t="shared" si="236"/>
        <v>0</v>
      </c>
      <c r="AO369" s="143">
        <f t="shared" si="237"/>
        <v>0</v>
      </c>
      <c r="AP369" s="142">
        <f t="shared" si="227"/>
        <v>30</v>
      </c>
      <c r="AQ369" s="142">
        <f t="shared" ca="1" si="228"/>
        <v>30</v>
      </c>
      <c r="AR369" s="154">
        <f t="shared" si="239"/>
        <v>0</v>
      </c>
      <c r="AS369" s="142">
        <f t="shared" si="229"/>
        <v>7</v>
      </c>
      <c r="AT369" t="b">
        <f>OR((F369&gt;0),(NOT(ISBLANK(H369))),SUM(H369:H$373),SUM(G369:G$373))</f>
        <v>0</v>
      </c>
      <c r="AU369" t="b">
        <f t="shared" ca="1" si="217"/>
        <v>1</v>
      </c>
    </row>
    <row r="370" spans="1:49">
      <c r="A370" s="349">
        <f t="shared" si="230"/>
        <v>42003</v>
      </c>
      <c r="B370" s="350">
        <f t="shared" si="231"/>
        <v>42003</v>
      </c>
      <c r="C370" s="351">
        <f t="shared" si="244"/>
        <v>1</v>
      </c>
      <c r="D370" s="352">
        <f t="shared" si="245"/>
        <v>41973</v>
      </c>
      <c r="E370" s="364" t="str">
        <f t="shared" si="218"/>
        <v/>
      </c>
      <c r="F370" s="6"/>
      <c r="G370" s="7" t="str">
        <f t="shared" si="246"/>
        <v/>
      </c>
      <c r="H370" s="8"/>
      <c r="I370" s="8">
        <f t="shared" si="242"/>
        <v>0</v>
      </c>
      <c r="J370" s="129">
        <f t="shared" si="238"/>
        <v>0</v>
      </c>
      <c r="K370" s="8"/>
      <c r="L370" s="8">
        <f t="shared" si="219"/>
        <v>0</v>
      </c>
      <c r="M370" s="129">
        <f t="shared" si="220"/>
        <v>0</v>
      </c>
      <c r="N370" s="129"/>
      <c r="O370" s="129">
        <f t="shared" si="213"/>
        <v>0</v>
      </c>
      <c r="P370" s="129"/>
      <c r="Q370" s="129">
        <f t="shared" si="221"/>
        <v>0</v>
      </c>
      <c r="R370" s="129">
        <f t="shared" si="222"/>
        <v>0</v>
      </c>
      <c r="S370" s="693">
        <f t="shared" si="223"/>
        <v>6</v>
      </c>
      <c r="T370" s="129">
        <f t="shared" si="243"/>
        <v>0</v>
      </c>
      <c r="U370" s="165">
        <f t="shared" si="224"/>
        <v>0</v>
      </c>
      <c r="V370" s="75"/>
      <c r="W370" s="131">
        <f t="shared" si="214"/>
        <v>4.1666666666666664E-2</v>
      </c>
      <c r="X370" s="126">
        <f t="shared" si="225"/>
        <v>0</v>
      </c>
      <c r="Y370" s="127">
        <f t="shared" si="247"/>
        <v>0.33333333333333331</v>
      </c>
      <c r="Z370" s="128">
        <f t="shared" si="248"/>
        <v>0</v>
      </c>
      <c r="AA370" s="76" t="str">
        <f t="shared" si="249"/>
        <v/>
      </c>
      <c r="AB370" s="216">
        <f t="shared" si="215"/>
        <v>0</v>
      </c>
      <c r="AC370" s="163" t="str">
        <f t="shared" si="250"/>
        <v/>
      </c>
      <c r="AD370" s="257">
        <f t="shared" si="232"/>
        <v>0</v>
      </c>
      <c r="AE370" s="138"/>
      <c r="AF370" s="138" t="str">
        <f t="shared" si="233"/>
        <v/>
      </c>
      <c r="AG370" s="77">
        <f>IF(ISNUMBER(U370 ), IF( U370 &gt;= X370, X370, U370 ),"")</f>
        <v>0</v>
      </c>
      <c r="AH370" s="77">
        <f>IF( ISNUMBER( U370 ), IF( U370 &gt;= X370, U370 - X370, "" ), "" )</f>
        <v>0</v>
      </c>
      <c r="AI370" s="77" t="str">
        <f t="shared" si="234"/>
        <v/>
      </c>
      <c r="AJ370" s="78">
        <f t="shared" si="216"/>
        <v>1</v>
      </c>
      <c r="AK370" s="139">
        <f>SUM($AC$6:AC370)</f>
        <v>0</v>
      </c>
      <c r="AL370" s="139">
        <f t="shared" ca="1" si="226"/>
        <v>0</v>
      </c>
      <c r="AM370" s="143">
        <f t="shared" si="235"/>
        <v>0</v>
      </c>
      <c r="AN370" s="143">
        <f t="shared" si="236"/>
        <v>0</v>
      </c>
      <c r="AO370" s="143">
        <f t="shared" si="237"/>
        <v>0</v>
      </c>
      <c r="AP370" s="142">
        <f t="shared" si="227"/>
        <v>30</v>
      </c>
      <c r="AQ370" s="142">
        <f t="shared" ca="1" si="228"/>
        <v>30</v>
      </c>
      <c r="AR370" s="154">
        <f t="shared" si="239"/>
        <v>0</v>
      </c>
      <c r="AS370" s="142">
        <f t="shared" si="229"/>
        <v>0</v>
      </c>
      <c r="AT370" t="b">
        <f>OR((F370&gt;0),(NOT(ISBLANK(H370))),SUM(H370:H$373),SUM(G370:G$373))</f>
        <v>0</v>
      </c>
      <c r="AU370" t="b">
        <f t="shared" ca="1" si="217"/>
        <v>0</v>
      </c>
    </row>
    <row r="371" spans="1:49">
      <c r="A371" s="349" t="str">
        <f t="shared" si="230"/>
        <v/>
      </c>
      <c r="B371" s="350" t="str">
        <f t="shared" si="231"/>
        <v/>
      </c>
      <c r="C371" s="351" t="str">
        <f t="shared" si="244"/>
        <v/>
      </c>
      <c r="D371" s="352" t="str">
        <f t="shared" si="245"/>
        <v/>
      </c>
      <c r="E371" s="364" t="str">
        <f t="shared" si="218"/>
        <v/>
      </c>
      <c r="F371" s="6"/>
      <c r="G371" s="7" t="str">
        <f t="shared" si="246"/>
        <v/>
      </c>
      <c r="H371" s="8"/>
      <c r="I371" s="8">
        <f t="shared" si="242"/>
        <v>0</v>
      </c>
      <c r="J371" s="129">
        <f t="shared" si="238"/>
        <v>0</v>
      </c>
      <c r="K371" s="8"/>
      <c r="L371" s="8">
        <f t="shared" si="219"/>
        <v>0</v>
      </c>
      <c r="M371" s="129">
        <f t="shared" si="220"/>
        <v>0</v>
      </c>
      <c r="N371" s="129"/>
      <c r="O371" s="129">
        <f t="shared" si="213"/>
        <v>0</v>
      </c>
      <c r="P371" s="129"/>
      <c r="Q371" s="129">
        <f t="shared" si="221"/>
        <v>0</v>
      </c>
      <c r="R371" s="129">
        <f t="shared" si="222"/>
        <v>0</v>
      </c>
      <c r="S371" s="693">
        <f t="shared" si="223"/>
        <v>6</v>
      </c>
      <c r="T371" s="129">
        <f t="shared" si="243"/>
        <v>0</v>
      </c>
      <c r="U371" s="165">
        <f t="shared" si="224"/>
        <v>0</v>
      </c>
      <c r="V371" s="75"/>
      <c r="W371" s="131">
        <f t="shared" si="214"/>
        <v>4.1666666666666664E-2</v>
      </c>
      <c r="X371" s="126">
        <f t="shared" si="225"/>
        <v>0</v>
      </c>
      <c r="Y371" s="127" t="str">
        <f t="shared" si="247"/>
        <v/>
      </c>
      <c r="Z371" s="128">
        <f t="shared" si="248"/>
        <v>0</v>
      </c>
      <c r="AA371" s="76" t="str">
        <f t="shared" si="249"/>
        <v/>
      </c>
      <c r="AB371" s="216">
        <f t="shared" si="215"/>
        <v>0</v>
      </c>
      <c r="AC371" s="163" t="str">
        <f t="shared" si="250"/>
        <v/>
      </c>
      <c r="AD371" s="257">
        <f t="shared" si="232"/>
        <v>0</v>
      </c>
      <c r="AE371" s="138"/>
      <c r="AF371" s="138" t="str">
        <f t="shared" si="233"/>
        <v/>
      </c>
      <c r="AG371" s="77">
        <f>IF(ISNUMBER(U371 ), IF( U371 &gt;= X371, X371, U371 ),"")</f>
        <v>0</v>
      </c>
      <c r="AH371" s="77">
        <f>IF( ISNUMBER( U371 ), IF( U371 &gt;= X371, U371 - X371, "" ), "" )</f>
        <v>0</v>
      </c>
      <c r="AI371" s="77" t="str">
        <f t="shared" si="234"/>
        <v/>
      </c>
      <c r="AJ371" s="78">
        <f t="shared" si="216"/>
        <v>0</v>
      </c>
      <c r="AK371" s="139">
        <f>SUM($AC$6:AC371)</f>
        <v>0</v>
      </c>
      <c r="AL371" s="139">
        <f t="shared" ca="1" si="226"/>
        <v>0</v>
      </c>
      <c r="AM371" s="143">
        <f t="shared" si="235"/>
        <v>0</v>
      </c>
      <c r="AN371" s="143">
        <f t="shared" si="236"/>
        <v>0</v>
      </c>
      <c r="AO371" s="143">
        <f t="shared" si="237"/>
        <v>0</v>
      </c>
      <c r="AP371" s="142" t="str">
        <f t="shared" si="227"/>
        <v/>
      </c>
      <c r="AQ371" s="142" t="str">
        <f t="shared" ca="1" si="228"/>
        <v/>
      </c>
      <c r="AR371" s="154">
        <f t="shared" si="239"/>
        <v>0</v>
      </c>
      <c r="AS371" s="142">
        <f t="shared" si="229"/>
        <v>0</v>
      </c>
      <c r="AT371" t="b">
        <f>OR((F371&gt;0),(NOT(ISBLANK(H371))),SUM(H371:H$373),SUM(G371:G$373))</f>
        <v>0</v>
      </c>
      <c r="AU371" t="b">
        <f t="shared" ca="1" si="217"/>
        <v>0</v>
      </c>
    </row>
    <row r="372" spans="1:49">
      <c r="A372" s="349" t="str">
        <f t="shared" si="230"/>
        <v/>
      </c>
      <c r="B372" s="350" t="str">
        <f t="shared" si="231"/>
        <v/>
      </c>
      <c r="C372" s="351" t="str">
        <f t="shared" si="244"/>
        <v/>
      </c>
      <c r="D372" s="352" t="str">
        <f t="shared" si="245"/>
        <v/>
      </c>
      <c r="E372" s="364" t="str">
        <f t="shared" si="218"/>
        <v/>
      </c>
      <c r="F372" s="6"/>
      <c r="G372" s="7" t="str">
        <f t="shared" si="246"/>
        <v/>
      </c>
      <c r="H372" s="8"/>
      <c r="I372" s="8">
        <f t="shared" si="242"/>
        <v>0</v>
      </c>
      <c r="J372" s="129">
        <f t="shared" si="238"/>
        <v>0</v>
      </c>
      <c r="K372" s="8"/>
      <c r="L372" s="8">
        <f t="shared" si="219"/>
        <v>0</v>
      </c>
      <c r="M372" s="129">
        <f t="shared" si="220"/>
        <v>0</v>
      </c>
      <c r="N372" s="129"/>
      <c r="O372" s="129">
        <f t="shared" si="213"/>
        <v>0</v>
      </c>
      <c r="P372" s="129"/>
      <c r="Q372" s="129">
        <f t="shared" si="221"/>
        <v>0</v>
      </c>
      <c r="R372" s="129">
        <f t="shared" si="222"/>
        <v>0</v>
      </c>
      <c r="S372" s="693">
        <f t="shared" si="223"/>
        <v>6</v>
      </c>
      <c r="T372" s="129">
        <f t="shared" si="243"/>
        <v>0</v>
      </c>
      <c r="U372" s="165">
        <f t="shared" si="224"/>
        <v>0</v>
      </c>
      <c r="V372" s="75"/>
      <c r="W372" s="131">
        <f t="shared" si="214"/>
        <v>4.1666666666666664E-2</v>
      </c>
      <c r="X372" s="126">
        <f t="shared" si="225"/>
        <v>0</v>
      </c>
      <c r="Y372" s="127" t="str">
        <f t="shared" si="247"/>
        <v/>
      </c>
      <c r="Z372" s="128">
        <f t="shared" si="248"/>
        <v>0</v>
      </c>
      <c r="AA372" s="76" t="str">
        <f t="shared" si="249"/>
        <v/>
      </c>
      <c r="AB372" s="216">
        <f t="shared" si="215"/>
        <v>0</v>
      </c>
      <c r="AC372" s="163" t="str">
        <f t="shared" si="250"/>
        <v/>
      </c>
      <c r="AD372" s="257">
        <f t="shared" si="232"/>
        <v>0</v>
      </c>
      <c r="AE372" s="138"/>
      <c r="AF372" s="138" t="str">
        <f t="shared" si="233"/>
        <v/>
      </c>
      <c r="AG372" s="77">
        <f>IF(ISNUMBER(U372 ), IF( U372 &gt;= X372, X372, U372 ),"")</f>
        <v>0</v>
      </c>
      <c r="AH372" s="77">
        <f>IF( ISNUMBER( U372 ), IF( U372 &gt;= X372, U372 - X372, "" ), "" )</f>
        <v>0</v>
      </c>
      <c r="AI372" s="77" t="str">
        <f t="shared" si="234"/>
        <v/>
      </c>
      <c r="AJ372" s="78">
        <f t="shared" si="216"/>
        <v>0</v>
      </c>
      <c r="AK372" s="139">
        <f>SUM($AC$6:AC372)</f>
        <v>0</v>
      </c>
      <c r="AL372" s="139">
        <f t="shared" ca="1" si="226"/>
        <v>0</v>
      </c>
      <c r="AM372" s="143">
        <f t="shared" si="235"/>
        <v>0</v>
      </c>
      <c r="AN372" s="143">
        <f t="shared" si="236"/>
        <v>0</v>
      </c>
      <c r="AO372" s="143">
        <f t="shared" si="237"/>
        <v>0</v>
      </c>
      <c r="AP372" s="142" t="str">
        <f t="shared" si="227"/>
        <v/>
      </c>
      <c r="AQ372" s="142" t="str">
        <f t="shared" ca="1" si="228"/>
        <v/>
      </c>
      <c r="AR372" s="154">
        <f t="shared" si="239"/>
        <v>0</v>
      </c>
      <c r="AS372" s="142">
        <f t="shared" si="229"/>
        <v>0</v>
      </c>
      <c r="AT372" t="b">
        <f>OR((F372&gt;0),(NOT(ISBLANK(H372))),SUM(H372:H$373),SUM(G372:G$373))</f>
        <v>0</v>
      </c>
      <c r="AU372" t="b">
        <f t="shared" ca="1" si="217"/>
        <v>0</v>
      </c>
    </row>
    <row r="373" spans="1:49">
      <c r="A373" s="349" t="str">
        <f t="shared" si="230"/>
        <v/>
      </c>
      <c r="B373" s="350" t="str">
        <f t="shared" si="231"/>
        <v/>
      </c>
      <c r="C373" s="351" t="str">
        <f t="shared" si="244"/>
        <v/>
      </c>
      <c r="D373" s="352" t="str">
        <f t="shared" si="245"/>
        <v/>
      </c>
      <c r="E373" s="364" t="str">
        <f t="shared" si="218"/>
        <v/>
      </c>
      <c r="F373" s="6"/>
      <c r="G373" s="7" t="str">
        <f t="shared" si="246"/>
        <v/>
      </c>
      <c r="H373" s="8"/>
      <c r="I373" s="8">
        <f t="shared" si="242"/>
        <v>0</v>
      </c>
      <c r="J373" s="129">
        <f t="shared" si="238"/>
        <v>0</v>
      </c>
      <c r="K373" s="8"/>
      <c r="L373" s="8">
        <f t="shared" si="219"/>
        <v>0</v>
      </c>
      <c r="M373" s="129">
        <f t="shared" si="220"/>
        <v>0</v>
      </c>
      <c r="N373" s="129"/>
      <c r="O373" s="129">
        <f t="shared" si="213"/>
        <v>0</v>
      </c>
      <c r="P373" s="129"/>
      <c r="Q373" s="129">
        <f t="shared" si="221"/>
        <v>0</v>
      </c>
      <c r="R373" s="129">
        <f t="shared" si="222"/>
        <v>0</v>
      </c>
      <c r="S373" s="693">
        <f t="shared" si="223"/>
        <v>6</v>
      </c>
      <c r="T373" s="129">
        <f t="shared" si="243"/>
        <v>0</v>
      </c>
      <c r="U373" s="165">
        <f t="shared" si="224"/>
        <v>0</v>
      </c>
      <c r="V373" s="75"/>
      <c r="W373" s="131">
        <f t="shared" si="214"/>
        <v>4.1666666666666664E-2</v>
      </c>
      <c r="X373" s="126">
        <f t="shared" si="225"/>
        <v>0</v>
      </c>
      <c r="Y373" s="127" t="str">
        <f t="shared" si="247"/>
        <v/>
      </c>
      <c r="Z373" s="128">
        <f t="shared" si="248"/>
        <v>0</v>
      </c>
      <c r="AA373" s="76" t="str">
        <f t="shared" si="249"/>
        <v/>
      </c>
      <c r="AB373" s="216">
        <f t="shared" si="215"/>
        <v>0</v>
      </c>
      <c r="AC373" s="163" t="str">
        <f t="shared" si="250"/>
        <v/>
      </c>
      <c r="AD373" s="257">
        <f t="shared" si="232"/>
        <v>0</v>
      </c>
      <c r="AE373" s="138"/>
      <c r="AF373" s="138" t="str">
        <f t="shared" si="233"/>
        <v/>
      </c>
      <c r="AG373" s="77">
        <f>IF(ISNUMBER(U373 ), IF( U373 &gt;= X373, X373, U373 ),"")</f>
        <v>0</v>
      </c>
      <c r="AH373" s="77">
        <f>IF( ISNUMBER( U373 ), IF( U373 &gt;= X373, U373 - X373, "" ), "" )</f>
        <v>0</v>
      </c>
      <c r="AI373" s="77" t="str">
        <f t="shared" si="234"/>
        <v/>
      </c>
      <c r="AJ373" s="78">
        <f t="shared" si="216"/>
        <v>0</v>
      </c>
      <c r="AK373" s="139">
        <f>SUM($AC$6:AC373)</f>
        <v>0</v>
      </c>
      <c r="AL373" s="139">
        <f t="shared" ca="1" si="226"/>
        <v>0</v>
      </c>
      <c r="AM373" s="143">
        <f t="shared" si="235"/>
        <v>0</v>
      </c>
      <c r="AN373" s="143">
        <f t="shared" si="236"/>
        <v>0</v>
      </c>
      <c r="AO373" s="143">
        <f t="shared" si="237"/>
        <v>0</v>
      </c>
      <c r="AP373" s="142" t="str">
        <f t="shared" si="227"/>
        <v/>
      </c>
      <c r="AQ373" s="142" t="str">
        <f t="shared" ca="1" si="228"/>
        <v/>
      </c>
      <c r="AR373" s="154">
        <f t="shared" si="239"/>
        <v>0</v>
      </c>
      <c r="AS373" s="142">
        <f t="shared" si="229"/>
        <v>0</v>
      </c>
      <c r="AT373" t="b">
        <f>OR((F373&gt;0),(NOT(ISBLANK(H373))),SUM(H373:H$373),SUM(G373:G$373))</f>
        <v>0</v>
      </c>
      <c r="AU373" t="b">
        <f t="shared" ca="1" si="217"/>
        <v>0</v>
      </c>
    </row>
    <row r="374" spans="1:49" s="1" customFormat="1" ht="12.75" customHeight="1">
      <c r="A374" s="9"/>
      <c r="B374" s="9"/>
      <c r="C374" s="9"/>
      <c r="D374" s="10"/>
      <c r="E374" s="359"/>
      <c r="G374" s="9"/>
      <c r="H374" s="365" t="s">
        <v>43</v>
      </c>
      <c r="I374" s="365"/>
      <c r="J374" s="366"/>
      <c r="K374" s="366"/>
      <c r="L374" s="366"/>
      <c r="M374" s="366"/>
      <c r="N374" s="366"/>
      <c r="O374" s="366"/>
      <c r="P374" s="366"/>
      <c r="Q374" s="366"/>
      <c r="R374" s="366"/>
      <c r="S374" s="366"/>
      <c r="T374" s="366"/>
      <c r="U374" s="367">
        <f>SUBTOTAL(9,U6:U373)</f>
        <v>0</v>
      </c>
      <c r="V374" s="368"/>
      <c r="W374" s="361"/>
      <c r="X374" s="367">
        <f>SUBTOTAL(9,X6:X373)</f>
        <v>0</v>
      </c>
      <c r="Y374" s="362"/>
      <c r="Z374" s="369">
        <f>SUBTOTAL(9,Z6:Z373)</f>
        <v>0</v>
      </c>
      <c r="AA374" s="368"/>
      <c r="AB374" s="363"/>
      <c r="AC374" s="549">
        <f>SUBTOTAL(9,AC6:AC373)</f>
        <v>0</v>
      </c>
      <c r="AD374"/>
      <c r="AE374" s="367">
        <f>SUBTOTAL(9,AE6:AE373)</f>
        <v>0</v>
      </c>
      <c r="AF374" s="367">
        <f>SUBTOTAL(9,AF6:AF373)</f>
        <v>0</v>
      </c>
      <c r="AM374" s="360">
        <f>SUBTOTAL(9,AM6:AM373)</f>
        <v>0</v>
      </c>
      <c r="AN374" s="360">
        <f>SUBTOTAL(9,AN6:AN373)</f>
        <v>0</v>
      </c>
      <c r="AO374" s="360">
        <f>SUBTOTAL(9,AO6:AO373)</f>
        <v>0</v>
      </c>
      <c r="AW374" s="692"/>
    </row>
    <row r="375" spans="1:49" ht="9.9499999999999993" customHeight="1">
      <c r="A375" s="9"/>
      <c r="B375" s="9"/>
      <c r="C375" s="9"/>
      <c r="D375" s="10"/>
      <c r="E375" s="357"/>
      <c r="G375" s="9"/>
      <c r="H375" s="9"/>
      <c r="I375" s="9"/>
      <c r="J375" s="9"/>
      <c r="K375" s="9"/>
      <c r="L375" s="9"/>
      <c r="M375" s="11"/>
      <c r="N375" s="11"/>
      <c r="O375" s="686"/>
      <c r="P375" s="687"/>
      <c r="Q375" s="11"/>
      <c r="R375" s="11"/>
      <c r="S375" s="690"/>
      <c r="T375" s="11"/>
      <c r="U375" s="11"/>
      <c r="W375" s="11"/>
      <c r="Y375" s="140"/>
      <c r="Z375" s="12"/>
      <c r="AA375" s="1"/>
      <c r="AB375" s="13"/>
      <c r="AE375" s="54"/>
      <c r="AF375" s="54"/>
    </row>
    <row r="376" spans="1:49" ht="11.25" customHeight="1">
      <c r="A376" s="382" t="s">
        <v>27</v>
      </c>
      <c r="B376" s="383"/>
      <c r="C376" s="383"/>
      <c r="D376" s="384"/>
      <c r="E376" s="357"/>
      <c r="G376" s="9"/>
      <c r="H376" s="382" t="s">
        <v>31</v>
      </c>
      <c r="I376" s="382"/>
      <c r="J376" s="385"/>
      <c r="K376" s="383"/>
      <c r="L376" s="383"/>
      <c r="M376" s="386"/>
      <c r="N376" s="386"/>
      <c r="O376" s="386"/>
      <c r="P376" s="386"/>
      <c r="Q376" s="386"/>
      <c r="R376" s="386"/>
      <c r="S376" s="386"/>
      <c r="T376" s="386"/>
      <c r="U376" s="386"/>
      <c r="V376" s="385"/>
      <c r="W376" s="386"/>
      <c r="X376" s="385"/>
      <c r="Y376" s="387"/>
      <c r="Z376" s="388"/>
      <c r="AA376" s="389"/>
      <c r="AB376" s="390"/>
      <c r="AC376" s="385"/>
      <c r="AE376" s="54"/>
      <c r="AF376" s="54"/>
    </row>
    <row r="377" spans="1:49">
      <c r="A377" s="304">
        <f>B_Vorjahr_hhmm</f>
        <v>0</v>
      </c>
      <c r="B377" s="301" t="s">
        <v>28</v>
      </c>
      <c r="C377" s="302"/>
      <c r="D377" s="310"/>
      <c r="E377" s="375"/>
      <c r="F377" s="285"/>
      <c r="G377" s="14"/>
      <c r="H377" s="298" t="s">
        <v>112</v>
      </c>
      <c r="I377" s="688"/>
      <c r="J377" s="299"/>
      <c r="K377" s="299"/>
      <c r="L377" s="299"/>
      <c r="M377" s="300"/>
      <c r="N377" s="300"/>
      <c r="O377" s="300"/>
      <c r="P377" s="300"/>
      <c r="Q377" s="300"/>
      <c r="R377" s="300"/>
      <c r="S377" s="300"/>
      <c r="T377" s="300"/>
      <c r="U377" s="16">
        <f>SUM(U6:U373)</f>
        <v>0</v>
      </c>
      <c r="V377" s="17"/>
      <c r="W377" s="1"/>
      <c r="Y377" s="5"/>
      <c r="Z377" s="286">
        <f>SUM(Z6:Z373)</f>
        <v>0</v>
      </c>
      <c r="AA377" s="15"/>
      <c r="AC377" s="18">
        <f>SUM(AC6:AC373)</f>
        <v>0</v>
      </c>
    </row>
    <row r="378" spans="1:49">
      <c r="A378" s="305">
        <f>B_UrlaubVJRest</f>
        <v>0</v>
      </c>
      <c r="B378" s="298" t="s">
        <v>113</v>
      </c>
      <c r="C378" s="302"/>
      <c r="D378" s="309"/>
      <c r="E378" s="376"/>
      <c r="F378" s="175"/>
      <c r="G378" s="19"/>
      <c r="H378" s="301" t="s">
        <v>114</v>
      </c>
      <c r="I378" s="302"/>
      <c r="J378" s="302"/>
      <c r="K378" s="302"/>
      <c r="L378" s="302"/>
      <c r="M378" s="299"/>
      <c r="N378" s="544"/>
      <c r="O378" s="544"/>
      <c r="P378" s="544"/>
      <c r="Q378" s="544"/>
      <c r="R378" s="544"/>
      <c r="S378" s="544"/>
      <c r="T378" s="544"/>
      <c r="U378" s="289">
        <f>SUM(X6:X373)</f>
        <v>0</v>
      </c>
      <c r="V378" s="290"/>
      <c r="W378" s="1"/>
    </row>
    <row r="379" spans="1:49">
      <c r="A379" s="382"/>
      <c r="B379" s="382"/>
      <c r="C379" s="382"/>
      <c r="D379" s="382"/>
      <c r="E379" s="375"/>
      <c r="F379" s="285"/>
      <c r="G379" s="19"/>
      <c r="H379" s="298" t="s">
        <v>34</v>
      </c>
      <c r="I379" s="688"/>
      <c r="J379" s="302"/>
      <c r="K379" s="302"/>
      <c r="L379" s="302"/>
      <c r="M379" s="300"/>
      <c r="N379" s="300"/>
      <c r="O379" s="300"/>
      <c r="P379" s="300"/>
      <c r="Q379" s="300"/>
      <c r="R379" s="300"/>
      <c r="S379" s="300"/>
      <c r="T379" s="300"/>
      <c r="U379" s="371">
        <f>SUM(AE5:AE373)</f>
        <v>0</v>
      </c>
      <c r="V379" s="293"/>
    </row>
    <row r="380" spans="1:49">
      <c r="A380" s="306">
        <f>COUNTIF(F6:F373,Krank)-COUNTIF(F6:F373,"J")</f>
        <v>0</v>
      </c>
      <c r="B380" s="301" t="s">
        <v>32</v>
      </c>
      <c r="C380" s="308"/>
      <c r="D380" s="309"/>
      <c r="E380" s="375"/>
      <c r="F380" s="285"/>
      <c r="G380" s="19"/>
      <c r="H380" s="301" t="s">
        <v>21</v>
      </c>
      <c r="I380" s="302"/>
      <c r="J380" s="302"/>
      <c r="K380" s="302"/>
      <c r="L380" s="302"/>
      <c r="M380" s="300"/>
      <c r="N380" s="545"/>
      <c r="O380" s="545"/>
      <c r="P380" s="545"/>
      <c r="Q380" s="545"/>
      <c r="R380" s="545"/>
      <c r="S380" s="545"/>
      <c r="T380" s="545"/>
      <c r="U380" s="291">
        <f>xVorjahrSaldo+U377-U378-U379</f>
        <v>0</v>
      </c>
      <c r="V380" s="292" t="str">
        <f>IF(U380&lt;0,"*","")</f>
        <v/>
      </c>
      <c r="X380" s="707">
        <f>U380/B_WorkTime</f>
        <v>0</v>
      </c>
      <c r="Y380" s="708"/>
      <c r="Z380" s="709"/>
    </row>
    <row r="381" spans="1:49">
      <c r="A381" s="306">
        <f>(FREQUENCY(G6:G373,0)-FREQUENCY(G6:G373,-1))+(FREQUENCY(G6:G373,83)-FREQUENCY(G6:G373,82))</f>
        <v>0</v>
      </c>
      <c r="B381" s="298" t="s">
        <v>29</v>
      </c>
      <c r="C381" s="308"/>
      <c r="D381" s="309"/>
      <c r="F381" s="175"/>
      <c r="G381" s="20"/>
      <c r="H381" s="301" t="s">
        <v>33</v>
      </c>
      <c r="I381" s="302"/>
      <c r="J381" s="302"/>
      <c r="K381" s="302"/>
      <c r="L381" s="302"/>
      <c r="M381" s="299"/>
      <c r="N381" s="544"/>
      <c r="O381" s="544"/>
      <c r="P381" s="544"/>
      <c r="Q381" s="544"/>
      <c r="R381" s="544"/>
      <c r="S381" s="544"/>
      <c r="T381" s="544"/>
      <c r="U381" s="296">
        <f>COUNTIF(F6:F373,Urlaub)-COUNTIF(F6:F373,"T")</f>
        <v>0</v>
      </c>
      <c r="V381" s="17"/>
      <c r="W381" s="284"/>
      <c r="Z381" s="55"/>
    </row>
    <row r="382" spans="1:49">
      <c r="A382" s="307">
        <f>IF(AND(U377&gt;0,A381&gt;0),U377 / A381,0)</f>
        <v>0</v>
      </c>
      <c r="B382" s="298" t="s">
        <v>30</v>
      </c>
      <c r="C382" s="308"/>
      <c r="D382" s="309"/>
      <c r="F382" s="285"/>
      <c r="H382" s="298" t="s">
        <v>116</v>
      </c>
      <c r="I382" s="688"/>
      <c r="J382" s="303"/>
      <c r="K382" s="299"/>
      <c r="L382" s="299"/>
      <c r="M382" s="546"/>
      <c r="N382" s="546"/>
      <c r="O382" s="546"/>
      <c r="P382" s="546"/>
      <c r="Q382" s="546"/>
      <c r="R382" s="546"/>
      <c r="S382" s="546"/>
      <c r="T382" s="546"/>
      <c r="U382" s="287">
        <f>A378+B_UrlaubNeu-U381</f>
        <v>30</v>
      </c>
      <c r="V382" s="288"/>
      <c r="W382" s="22"/>
      <c r="Z382" s="23"/>
      <c r="AB382" s="22"/>
    </row>
    <row r="383" spans="1:49">
      <c r="A383" s="625">
        <f>SUMIF($AJ$6:$AJ$373,6,$AM$6:$AM$373)</f>
        <v>0</v>
      </c>
      <c r="B383" s="298" t="s">
        <v>84</v>
      </c>
      <c r="C383" s="308"/>
      <c r="D383" s="309"/>
      <c r="H383" s="298" t="s">
        <v>83</v>
      </c>
      <c r="I383" s="688"/>
      <c r="J383" s="303"/>
      <c r="K383" s="299"/>
      <c r="L383" s="299"/>
      <c r="M383" s="546"/>
      <c r="N383" s="546"/>
      <c r="O383" s="546"/>
      <c r="P383" s="546"/>
      <c r="Q383" s="546"/>
      <c r="R383" s="546"/>
      <c r="S383" s="546"/>
      <c r="T383" s="546"/>
      <c r="U383" s="287">
        <f>COUNTIF(F6:F375,Gleittag)</f>
        <v>0</v>
      </c>
      <c r="V383" s="288"/>
      <c r="AC383" s="24"/>
    </row>
    <row r="384" spans="1:49">
      <c r="A384" s="625">
        <f>SUMIF($AJ$6:$AJ$373,7,$AM$6:$AM$373)</f>
        <v>0</v>
      </c>
      <c r="B384" s="298" t="s">
        <v>85</v>
      </c>
      <c r="C384" s="308"/>
      <c r="D384" s="309"/>
      <c r="J384" s="21"/>
    </row>
    <row r="385" spans="1:4">
      <c r="A385" s="625">
        <f>SUMIF($AJ$6:$AJ$373,8,$AM$6:$AM$373)</f>
        <v>0</v>
      </c>
      <c r="B385" s="298" t="s">
        <v>3</v>
      </c>
      <c r="C385" s="308"/>
      <c r="D385" s="309"/>
    </row>
  </sheetData>
  <autoFilter ref="A4:AS373"/>
  <mergeCells count="2">
    <mergeCell ref="C3:D3"/>
    <mergeCell ref="X380:Z380"/>
  </mergeCells>
  <phoneticPr fontId="0" type="noConversion"/>
  <conditionalFormatting sqref="U5:Z5 E5:I5 AB5:AS5 K5:L5 N5:O5 R5:S5">
    <cfRule type="expression" dxfId="24" priority="54" stopIfTrue="1">
      <formula>INDIRECT(ADDRESS(ROW(),COLUMN(xDay)))&gt;5</formula>
    </cfRule>
  </conditionalFormatting>
  <conditionalFormatting sqref="AA5">
    <cfRule type="expression" dxfId="23" priority="55" stopIfTrue="1">
      <formula>INDIRECT(ADDRESS(ROW(),COLUMN(xDay)))&gt;5</formula>
    </cfRule>
    <cfRule type="cellIs" dxfId="22" priority="56" stopIfTrue="1" operator="lessThan">
      <formula>0</formula>
    </cfRule>
  </conditionalFormatting>
  <conditionalFormatting sqref="Z377">
    <cfRule type="cellIs" dxfId="21" priority="57" stopIfTrue="1" operator="lessThan">
      <formula>0</formula>
    </cfRule>
  </conditionalFormatting>
  <conditionalFormatting sqref="AG6:AS373">
    <cfRule type="expression" dxfId="20" priority="58" stopIfTrue="1">
      <formula>INDIRECT(ADDRESS(ROW(),COLUMN(xDay)))&gt;5</formula>
    </cfRule>
  </conditionalFormatting>
  <conditionalFormatting sqref="U6:AC373 T5:T373 Q6:S373 A6:O373 AE6:AF373">
    <cfRule type="expression" dxfId="19" priority="59" stopIfTrue="1">
      <formula>INDIRECT(ADDRESS(ROW(),COLUMN(xDay)))&gt;5</formula>
    </cfRule>
  </conditionalFormatting>
  <conditionalFormatting sqref="AD6:AD373">
    <cfRule type="expression" dxfId="18" priority="60" stopIfTrue="1">
      <formula>INDIRECT(ADDRESS(ROW(),COLUMN(xDay)))&gt;5</formula>
    </cfRule>
  </conditionalFormatting>
  <conditionalFormatting sqref="C12">
    <cfRule type="expression" dxfId="17" priority="53" stopIfTrue="1">
      <formula>INDIRECT(ADDRESS(ROW(),COLUMN(xDay)))&gt;5</formula>
    </cfRule>
  </conditionalFormatting>
  <conditionalFormatting sqref="J5">
    <cfRule type="expression" dxfId="16" priority="52" stopIfTrue="1">
      <formula>INDIRECT(ADDRESS(ROW(),COLUMN(xDay)))&gt;5</formula>
    </cfRule>
  </conditionalFormatting>
  <conditionalFormatting sqref="M5">
    <cfRule type="expression" dxfId="15" priority="51" stopIfTrue="1">
      <formula>INDIRECT(ADDRESS(ROW(),COLUMN(xDay)))&gt;5</formula>
    </cfRule>
  </conditionalFormatting>
  <conditionalFormatting sqref="Q5">
    <cfRule type="expression" dxfId="14" priority="50" stopIfTrue="1">
      <formula>INDIRECT(ADDRESS(ROW(),COLUMN(xDay)))&gt;5</formula>
    </cfRule>
  </conditionalFormatting>
  <conditionalFormatting sqref="P5">
    <cfRule type="expression" dxfId="13" priority="48" stopIfTrue="1">
      <formula>INDIRECT(ADDRESS(ROW(),COLUMN(xDay)))&gt;5</formula>
    </cfRule>
  </conditionalFormatting>
  <conditionalFormatting sqref="P6:P373">
    <cfRule type="expression" dxfId="12" priority="49" stopIfTrue="1">
      <formula>INDIRECT(ADDRESS(ROW(),COLUMN(xDay)))&gt;5</formula>
    </cfRule>
  </conditionalFormatting>
  <conditionalFormatting sqref="X6:X373 Z6:Z373 AD6:AD373">
    <cfRule type="expression" dxfId="11" priority="3">
      <formula>AND(ISBLANK($F6),ISBLANK($H6),NOT($AU6))</formula>
    </cfRule>
    <cfRule type="expression" dxfId="10" priority="4">
      <formula>AND(ISBLANK($F6),ISBLANK($H6),($AU6))</formula>
    </cfRule>
    <cfRule type="expression" dxfId="9" priority="5">
      <formula>AND(ISBLANK($F6),ISBLANK($H6),($AU6))</formula>
    </cfRule>
    <cfRule type="expression" dxfId="8" priority="6">
      <formula>AND(ISBLANK($F6),ISBLANK($H6),NOT($AU6))</formula>
    </cfRule>
  </conditionalFormatting>
  <conditionalFormatting sqref="L6:L373">
    <cfRule type="expression" dxfId="7" priority="1">
      <formula>AND(ISBLANK($K6),($AU6))</formula>
    </cfRule>
    <cfRule type="expression" dxfId="6" priority="2">
      <formula>AND(ISBLANK($K6),NOT($AU6))</formula>
    </cfRule>
  </conditionalFormatting>
  <conditionalFormatting sqref="I6:I373">
    <cfRule type="expression" dxfId="5" priority="29">
      <formula>AND(ISBLANK($H6),($AU6))</formula>
    </cfRule>
    <cfRule type="expression" dxfId="4" priority="30">
      <formula>AND(ISBLANK($H6),NOT($AU6))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zDevelop">
    <pageSetUpPr fitToPage="1"/>
  </sheetPr>
  <dimension ref="B1:K375"/>
  <sheetViews>
    <sheetView showGridLines="0" showRowColHeaders="0" showZeros="0" zoomScale="91" workbookViewId="0">
      <selection activeCell="Z47" sqref="Z47"/>
    </sheetView>
  </sheetViews>
  <sheetFormatPr baseColWidth="10" defaultRowHeight="12.75"/>
  <cols>
    <col min="1" max="1" width="7" customWidth="1"/>
    <col min="2" max="2" width="14.5703125" style="211" customWidth="1"/>
    <col min="3" max="3" width="3.85546875" style="211" customWidth="1"/>
    <col min="4" max="5" width="11.42578125" style="212" customWidth="1"/>
  </cols>
  <sheetData>
    <row r="1" spans="2:7" ht="18.75" customHeight="1">
      <c r="B1" s="492" t="str">
        <f>Einstellungen!B3</f>
        <v>Name:</v>
      </c>
      <c r="C1" s="494" t="str">
        <f>B_PersonName</f>
        <v>Name</v>
      </c>
      <c r="D1" s="493"/>
      <c r="F1" s="495" t="str">
        <f>Einstellungen!B4</f>
        <v>Abteilung:</v>
      </c>
      <c r="G1" s="215" t="str">
        <f>B_Department</f>
        <v>Abteilung</v>
      </c>
    </row>
    <row r="4" spans="2:7">
      <c r="B4" s="211" t="str">
        <f>Arbeitszeit!AD4</f>
        <v>Saldo</v>
      </c>
      <c r="D4" s="211" t="str">
        <f>Arbeitszeit!AK4</f>
        <v>sum &gt; 10 Std</v>
      </c>
    </row>
    <row r="5" spans="2:7">
      <c r="B5" s="555">
        <f>Arbeitszeit!AD5</f>
        <v>0</v>
      </c>
      <c r="D5" s="212">
        <f>Arbeitszeit!AK8</f>
        <v>0</v>
      </c>
    </row>
    <row r="6" spans="2:7">
      <c r="B6" s="555">
        <f>B5+Arbeitszeit!Z6-Arbeitszeit!AE6</f>
        <v>0</v>
      </c>
      <c r="D6" s="211">
        <f t="shared" ref="D6:D69" si="0">db_jSumOverMax</f>
        <v>0</v>
      </c>
    </row>
    <row r="7" spans="2:7">
      <c r="B7" s="555">
        <f>B6+Arbeitszeit!Z7-Arbeitszeit!AE7</f>
        <v>0</v>
      </c>
      <c r="D7" s="211">
        <f t="shared" si="0"/>
        <v>0</v>
      </c>
    </row>
    <row r="8" spans="2:7">
      <c r="B8" s="555">
        <f>B7+Arbeitszeit!Z8-Arbeitszeit!AE8</f>
        <v>0</v>
      </c>
      <c r="D8" s="211">
        <f t="shared" si="0"/>
        <v>0</v>
      </c>
    </row>
    <row r="9" spans="2:7">
      <c r="B9" s="555">
        <f>B8+Arbeitszeit!Z9-Arbeitszeit!AE9</f>
        <v>0</v>
      </c>
      <c r="D9" s="211">
        <f t="shared" si="0"/>
        <v>0</v>
      </c>
    </row>
    <row r="10" spans="2:7">
      <c r="B10" s="555">
        <f>B9+Arbeitszeit!Z10-Arbeitszeit!AE10</f>
        <v>0</v>
      </c>
      <c r="D10" s="211">
        <f t="shared" si="0"/>
        <v>0</v>
      </c>
    </row>
    <row r="11" spans="2:7">
      <c r="B11" s="555">
        <f>B10+Arbeitszeit!Z11-Arbeitszeit!AE11</f>
        <v>0</v>
      </c>
      <c r="D11" s="211">
        <f t="shared" si="0"/>
        <v>0</v>
      </c>
    </row>
    <row r="12" spans="2:7">
      <c r="B12" s="555">
        <f>B11+Arbeitszeit!Z12-Arbeitszeit!AE12</f>
        <v>0</v>
      </c>
      <c r="D12" s="211">
        <f t="shared" si="0"/>
        <v>0</v>
      </c>
    </row>
    <row r="13" spans="2:7">
      <c r="B13" s="555">
        <f>B12+Arbeitszeit!Z13-Arbeitszeit!AE13</f>
        <v>0</v>
      </c>
      <c r="D13" s="211">
        <f t="shared" si="0"/>
        <v>0</v>
      </c>
    </row>
    <row r="14" spans="2:7">
      <c r="B14" s="555">
        <f>B13+Arbeitszeit!Z14-Arbeitszeit!AE14</f>
        <v>0</v>
      </c>
      <c r="D14" s="211">
        <f t="shared" si="0"/>
        <v>0</v>
      </c>
    </row>
    <row r="15" spans="2:7">
      <c r="B15" s="555">
        <f>B14+Arbeitszeit!Z15-Arbeitszeit!AE15</f>
        <v>0</v>
      </c>
      <c r="D15" s="211">
        <f t="shared" si="0"/>
        <v>0</v>
      </c>
    </row>
    <row r="16" spans="2:7">
      <c r="B16" s="555">
        <f>B15+Arbeitszeit!Z16-Arbeitszeit!AE16</f>
        <v>0</v>
      </c>
      <c r="D16" s="211">
        <f t="shared" si="0"/>
        <v>0</v>
      </c>
    </row>
    <row r="17" spans="2:11">
      <c r="B17" s="555">
        <f>B16+Arbeitszeit!Z17-Arbeitszeit!AE17</f>
        <v>0</v>
      </c>
      <c r="D17" s="211">
        <f t="shared" si="0"/>
        <v>0</v>
      </c>
    </row>
    <row r="18" spans="2:11">
      <c r="B18" s="555">
        <f>B17+Arbeitszeit!Z18-Arbeitszeit!AE18</f>
        <v>0</v>
      </c>
      <c r="D18" s="211">
        <f t="shared" si="0"/>
        <v>0</v>
      </c>
    </row>
    <row r="19" spans="2:11">
      <c r="B19" s="555">
        <f>B18+Arbeitszeit!Z19-Arbeitszeit!AE19</f>
        <v>0</v>
      </c>
      <c r="D19" s="211">
        <f t="shared" si="0"/>
        <v>0</v>
      </c>
      <c r="J19" s="569">
        <v>0.58333333333333337</v>
      </c>
      <c r="K19" s="570">
        <v>0.6875</v>
      </c>
    </row>
    <row r="20" spans="2:11">
      <c r="B20" s="555">
        <f>B19+Arbeitszeit!Z20-Arbeitszeit!AE20</f>
        <v>0</v>
      </c>
      <c r="D20" s="211">
        <f t="shared" si="0"/>
        <v>0</v>
      </c>
    </row>
    <row r="21" spans="2:11">
      <c r="B21" s="555">
        <f>B20+Arbeitszeit!Z21-Arbeitszeit!AE21</f>
        <v>0</v>
      </c>
      <c r="D21" s="211">
        <f t="shared" si="0"/>
        <v>0</v>
      </c>
    </row>
    <row r="22" spans="2:11">
      <c r="B22" s="555">
        <f>B21+Arbeitszeit!Z22-Arbeitszeit!AE22</f>
        <v>0</v>
      </c>
      <c r="D22" s="211">
        <f t="shared" si="0"/>
        <v>0</v>
      </c>
    </row>
    <row r="23" spans="2:11">
      <c r="B23" s="555">
        <f>B22+Arbeitszeit!Z23-Arbeitszeit!AE23</f>
        <v>0</v>
      </c>
      <c r="D23" s="211">
        <f t="shared" si="0"/>
        <v>0</v>
      </c>
    </row>
    <row r="24" spans="2:11">
      <c r="B24" s="555">
        <f>B23+Arbeitszeit!Z24-Arbeitszeit!AE24</f>
        <v>0</v>
      </c>
      <c r="D24" s="211">
        <f t="shared" si="0"/>
        <v>0</v>
      </c>
    </row>
    <row r="25" spans="2:11">
      <c r="B25" s="555">
        <f>B24+Arbeitszeit!Z25-Arbeitszeit!AE25</f>
        <v>0</v>
      </c>
      <c r="D25" s="211">
        <f t="shared" si="0"/>
        <v>0</v>
      </c>
    </row>
    <row r="26" spans="2:11">
      <c r="B26" s="555">
        <f>B25+Arbeitszeit!Z26-Arbeitszeit!AE26</f>
        <v>0</v>
      </c>
      <c r="D26" s="211">
        <f t="shared" si="0"/>
        <v>0</v>
      </c>
    </row>
    <row r="27" spans="2:11">
      <c r="B27" s="555">
        <f>B26+Arbeitszeit!Z27-Arbeitszeit!AE27</f>
        <v>0</v>
      </c>
      <c r="D27" s="211">
        <f t="shared" si="0"/>
        <v>0</v>
      </c>
    </row>
    <row r="28" spans="2:11">
      <c r="B28" s="555">
        <f>B27+Arbeitszeit!Z28-Arbeitszeit!AE28</f>
        <v>0</v>
      </c>
      <c r="D28" s="211">
        <f t="shared" si="0"/>
        <v>0</v>
      </c>
    </row>
    <row r="29" spans="2:11">
      <c r="B29" s="555">
        <f>B28+Arbeitszeit!Z29-Arbeitszeit!AE29</f>
        <v>0</v>
      </c>
      <c r="D29" s="211">
        <f t="shared" si="0"/>
        <v>0</v>
      </c>
    </row>
    <row r="30" spans="2:11">
      <c r="B30" s="555">
        <f>B29+Arbeitszeit!Z30-Arbeitszeit!AE30</f>
        <v>0</v>
      </c>
      <c r="D30" s="211">
        <f t="shared" si="0"/>
        <v>0</v>
      </c>
    </row>
    <row r="31" spans="2:11">
      <c r="B31" s="555">
        <f>B30+Arbeitszeit!Z31-Arbeitszeit!AE31</f>
        <v>0</v>
      </c>
      <c r="D31" s="211">
        <f t="shared" si="0"/>
        <v>0</v>
      </c>
    </row>
    <row r="32" spans="2:11">
      <c r="B32" s="555">
        <f>B31+Arbeitszeit!Z32-Arbeitszeit!AE32</f>
        <v>0</v>
      </c>
      <c r="D32" s="211">
        <f t="shared" si="0"/>
        <v>0</v>
      </c>
    </row>
    <row r="33" spans="2:4">
      <c r="B33" s="555">
        <f>B32+Arbeitszeit!Z33-Arbeitszeit!AE33</f>
        <v>0</v>
      </c>
      <c r="D33" s="211">
        <f t="shared" si="0"/>
        <v>0</v>
      </c>
    </row>
    <row r="34" spans="2:4">
      <c r="B34" s="555">
        <f>B33+Arbeitszeit!Z34-Arbeitszeit!AE34</f>
        <v>0</v>
      </c>
      <c r="D34" s="211">
        <f t="shared" si="0"/>
        <v>0</v>
      </c>
    </row>
    <row r="35" spans="2:4">
      <c r="B35" s="555">
        <f>B34+Arbeitszeit!Z35-Arbeitszeit!AE35</f>
        <v>0</v>
      </c>
      <c r="D35" s="211">
        <f t="shared" si="0"/>
        <v>0</v>
      </c>
    </row>
    <row r="36" spans="2:4">
      <c r="B36" s="555">
        <f>B35+Arbeitszeit!Z36-Arbeitszeit!AE36</f>
        <v>0</v>
      </c>
      <c r="D36" s="211">
        <f t="shared" si="0"/>
        <v>0</v>
      </c>
    </row>
    <row r="37" spans="2:4">
      <c r="B37" s="555">
        <f>B36+Arbeitszeit!Z37-Arbeitszeit!AE37</f>
        <v>0</v>
      </c>
      <c r="D37" s="211">
        <f t="shared" si="0"/>
        <v>0</v>
      </c>
    </row>
    <row r="38" spans="2:4">
      <c r="B38" s="555">
        <f>B37+Arbeitszeit!Z38-Arbeitszeit!AE38</f>
        <v>0</v>
      </c>
      <c r="D38" s="211">
        <f t="shared" si="0"/>
        <v>0</v>
      </c>
    </row>
    <row r="39" spans="2:4">
      <c r="B39" s="555">
        <f>B38+Arbeitszeit!Z39-Arbeitszeit!AE39</f>
        <v>0</v>
      </c>
      <c r="D39" s="211">
        <f t="shared" si="0"/>
        <v>0</v>
      </c>
    </row>
    <row r="40" spans="2:4">
      <c r="B40" s="555">
        <f>B39+Arbeitszeit!Z40-Arbeitszeit!AE40</f>
        <v>0</v>
      </c>
      <c r="D40" s="211">
        <f t="shared" si="0"/>
        <v>0</v>
      </c>
    </row>
    <row r="41" spans="2:4">
      <c r="B41" s="555">
        <f>B40+Arbeitszeit!Z41-Arbeitszeit!AE41</f>
        <v>0</v>
      </c>
      <c r="D41" s="211">
        <f t="shared" si="0"/>
        <v>0</v>
      </c>
    </row>
    <row r="42" spans="2:4">
      <c r="B42" s="555">
        <f>B41+Arbeitszeit!Z42-Arbeitszeit!AE42</f>
        <v>0</v>
      </c>
      <c r="D42" s="211">
        <f t="shared" si="0"/>
        <v>0</v>
      </c>
    </row>
    <row r="43" spans="2:4">
      <c r="B43" s="555">
        <f>B42+Arbeitszeit!Z43-Arbeitszeit!AE43</f>
        <v>0</v>
      </c>
      <c r="D43" s="211">
        <f t="shared" si="0"/>
        <v>0</v>
      </c>
    </row>
    <row r="44" spans="2:4">
      <c r="B44" s="555">
        <f>B43+Arbeitszeit!Z44-Arbeitszeit!AE44</f>
        <v>0</v>
      </c>
      <c r="D44" s="211">
        <f t="shared" si="0"/>
        <v>0</v>
      </c>
    </row>
    <row r="45" spans="2:4">
      <c r="B45" s="555">
        <f>B44+Arbeitszeit!Z45-Arbeitszeit!AE45</f>
        <v>0</v>
      </c>
      <c r="D45" s="211">
        <f t="shared" si="0"/>
        <v>0</v>
      </c>
    </row>
    <row r="46" spans="2:4">
      <c r="B46" s="555">
        <f>B45+Arbeitszeit!Z46-Arbeitszeit!AE46</f>
        <v>0</v>
      </c>
      <c r="D46" s="211">
        <f t="shared" si="0"/>
        <v>0</v>
      </c>
    </row>
    <row r="47" spans="2:4">
      <c r="B47" s="555">
        <f>B46+Arbeitszeit!Z47-Arbeitszeit!AE47</f>
        <v>0</v>
      </c>
      <c r="D47" s="211">
        <f t="shared" si="0"/>
        <v>0</v>
      </c>
    </row>
    <row r="48" spans="2:4">
      <c r="B48" s="555">
        <f>B47+Arbeitszeit!Z48-Arbeitszeit!AE48</f>
        <v>0</v>
      </c>
      <c r="D48" s="211">
        <f t="shared" si="0"/>
        <v>0</v>
      </c>
    </row>
    <row r="49" spans="2:4">
      <c r="B49" s="555">
        <f>B48+Arbeitszeit!Z49-Arbeitszeit!AE49</f>
        <v>0</v>
      </c>
      <c r="D49" s="211">
        <f t="shared" si="0"/>
        <v>0</v>
      </c>
    </row>
    <row r="50" spans="2:4">
      <c r="B50" s="555">
        <f>B49+Arbeitszeit!Z50-Arbeitszeit!AE50</f>
        <v>0</v>
      </c>
      <c r="D50" s="211">
        <f t="shared" si="0"/>
        <v>0</v>
      </c>
    </row>
    <row r="51" spans="2:4">
      <c r="B51" s="555">
        <f>B50+Arbeitszeit!Z51-Arbeitszeit!AE51</f>
        <v>0</v>
      </c>
      <c r="D51" s="211">
        <f t="shared" si="0"/>
        <v>0</v>
      </c>
    </row>
    <row r="52" spans="2:4">
      <c r="B52" s="555">
        <f>B51+Arbeitszeit!Z52-Arbeitszeit!AE52</f>
        <v>0</v>
      </c>
      <c r="D52" s="211">
        <f t="shared" si="0"/>
        <v>0</v>
      </c>
    </row>
    <row r="53" spans="2:4">
      <c r="B53" s="555">
        <f>B52+Arbeitszeit!Z53-Arbeitszeit!AE53</f>
        <v>0</v>
      </c>
      <c r="D53" s="211">
        <f t="shared" si="0"/>
        <v>0</v>
      </c>
    </row>
    <row r="54" spans="2:4">
      <c r="B54" s="555">
        <f>B53+Arbeitszeit!Z54-Arbeitszeit!AE54</f>
        <v>0</v>
      </c>
      <c r="D54" s="211">
        <f t="shared" si="0"/>
        <v>0</v>
      </c>
    </row>
    <row r="55" spans="2:4">
      <c r="B55" s="555">
        <f>B54+Arbeitszeit!Z55-Arbeitszeit!AE55</f>
        <v>0</v>
      </c>
      <c r="D55" s="211">
        <f t="shared" si="0"/>
        <v>0</v>
      </c>
    </row>
    <row r="56" spans="2:4">
      <c r="B56" s="555">
        <f>B55+Arbeitszeit!Z56-Arbeitszeit!AE56</f>
        <v>0</v>
      </c>
      <c r="D56" s="211">
        <f t="shared" si="0"/>
        <v>0</v>
      </c>
    </row>
    <row r="57" spans="2:4">
      <c r="B57" s="555">
        <f>B56+Arbeitszeit!Z57-Arbeitszeit!AE57</f>
        <v>0</v>
      </c>
      <c r="D57" s="211">
        <f t="shared" si="0"/>
        <v>0</v>
      </c>
    </row>
    <row r="58" spans="2:4">
      <c r="B58" s="555">
        <f>B57+Arbeitszeit!Z58-Arbeitszeit!AE58</f>
        <v>0</v>
      </c>
      <c r="D58" s="211">
        <f t="shared" si="0"/>
        <v>0</v>
      </c>
    </row>
    <row r="59" spans="2:4">
      <c r="B59" s="555">
        <f>B58+Arbeitszeit!Z59-Arbeitszeit!AE59</f>
        <v>0</v>
      </c>
      <c r="D59" s="211">
        <f t="shared" si="0"/>
        <v>0</v>
      </c>
    </row>
    <row r="60" spans="2:4">
      <c r="B60" s="555">
        <f>B59+Arbeitszeit!Z60-Arbeitszeit!AE60</f>
        <v>0</v>
      </c>
      <c r="D60" s="211">
        <f t="shared" si="0"/>
        <v>0</v>
      </c>
    </row>
    <row r="61" spans="2:4">
      <c r="B61" s="555">
        <f>B60+Arbeitszeit!Z61-Arbeitszeit!AE61</f>
        <v>0</v>
      </c>
      <c r="D61" s="211">
        <f t="shared" si="0"/>
        <v>0</v>
      </c>
    </row>
    <row r="62" spans="2:4">
      <c r="B62" s="555">
        <f>B61+Arbeitszeit!Z62-Arbeitszeit!AE62</f>
        <v>0</v>
      </c>
      <c r="D62" s="211">
        <f t="shared" si="0"/>
        <v>0</v>
      </c>
    </row>
    <row r="63" spans="2:4">
      <c r="B63" s="555">
        <f>B62+Arbeitszeit!Z63-Arbeitszeit!AE63</f>
        <v>0</v>
      </c>
      <c r="D63" s="211">
        <f t="shared" si="0"/>
        <v>0</v>
      </c>
    </row>
    <row r="64" spans="2:4">
      <c r="B64" s="555">
        <f>B63+Arbeitszeit!Z64-Arbeitszeit!AE64</f>
        <v>0</v>
      </c>
      <c r="D64" s="211">
        <f t="shared" si="0"/>
        <v>0</v>
      </c>
    </row>
    <row r="65" spans="2:4">
      <c r="B65" s="555">
        <f>B64+Arbeitszeit!Z65-Arbeitszeit!AE65</f>
        <v>0</v>
      </c>
      <c r="D65" s="211">
        <f t="shared" si="0"/>
        <v>0</v>
      </c>
    </row>
    <row r="66" spans="2:4">
      <c r="B66" s="555">
        <f>B65+Arbeitszeit!Z66-Arbeitszeit!AE66</f>
        <v>0</v>
      </c>
      <c r="D66" s="211">
        <f t="shared" si="0"/>
        <v>0</v>
      </c>
    </row>
    <row r="67" spans="2:4">
      <c r="B67" s="555">
        <f>B66+Arbeitszeit!Z67-Arbeitszeit!AE67</f>
        <v>0</v>
      </c>
      <c r="D67" s="211">
        <f t="shared" si="0"/>
        <v>0</v>
      </c>
    </row>
    <row r="68" spans="2:4">
      <c r="B68" s="555">
        <f>B67+Arbeitszeit!Z68-Arbeitszeit!AE68</f>
        <v>0</v>
      </c>
      <c r="D68" s="211">
        <f t="shared" si="0"/>
        <v>0</v>
      </c>
    </row>
    <row r="69" spans="2:4">
      <c r="B69" s="555">
        <f>B68+Arbeitszeit!Z69-Arbeitszeit!AE69</f>
        <v>0</v>
      </c>
      <c r="D69" s="211">
        <f t="shared" si="0"/>
        <v>0</v>
      </c>
    </row>
    <row r="70" spans="2:4">
      <c r="B70" s="555">
        <f>B69+Arbeitszeit!Z70-Arbeitszeit!AE70</f>
        <v>0</v>
      </c>
      <c r="D70" s="211">
        <f t="shared" ref="D70:D133" si="1">db_jSumOverMax</f>
        <v>0</v>
      </c>
    </row>
    <row r="71" spans="2:4">
      <c r="B71" s="555">
        <f>B70+Arbeitszeit!Z71-Arbeitszeit!AE71</f>
        <v>0</v>
      </c>
      <c r="D71" s="211">
        <f t="shared" si="1"/>
        <v>0</v>
      </c>
    </row>
    <row r="72" spans="2:4">
      <c r="B72" s="555">
        <f>B71+Arbeitszeit!Z72-Arbeitszeit!AE72</f>
        <v>0</v>
      </c>
      <c r="D72" s="211">
        <f t="shared" si="1"/>
        <v>0</v>
      </c>
    </row>
    <row r="73" spans="2:4">
      <c r="B73" s="555">
        <f>B72+Arbeitszeit!Z73-Arbeitszeit!AE73</f>
        <v>0</v>
      </c>
      <c r="D73" s="211">
        <f t="shared" si="1"/>
        <v>0</v>
      </c>
    </row>
    <row r="74" spans="2:4">
      <c r="B74" s="555">
        <f>B73+Arbeitszeit!Z74-Arbeitszeit!AE74</f>
        <v>0</v>
      </c>
      <c r="D74" s="211">
        <f t="shared" si="1"/>
        <v>0</v>
      </c>
    </row>
    <row r="75" spans="2:4">
      <c r="B75" s="555">
        <f>B74+Arbeitszeit!Z75-Arbeitszeit!AE75</f>
        <v>0</v>
      </c>
      <c r="D75" s="211">
        <f t="shared" si="1"/>
        <v>0</v>
      </c>
    </row>
    <row r="76" spans="2:4">
      <c r="B76" s="555">
        <f>B75+Arbeitszeit!Z76-Arbeitszeit!AE76</f>
        <v>0</v>
      </c>
      <c r="D76" s="211">
        <f t="shared" si="1"/>
        <v>0</v>
      </c>
    </row>
    <row r="77" spans="2:4">
      <c r="B77" s="555">
        <f>B76+Arbeitszeit!Z77-Arbeitszeit!AE77</f>
        <v>0</v>
      </c>
      <c r="D77" s="211">
        <f t="shared" si="1"/>
        <v>0</v>
      </c>
    </row>
    <row r="78" spans="2:4">
      <c r="B78" s="555">
        <f>B77+Arbeitszeit!Z78-Arbeitszeit!AE78</f>
        <v>0</v>
      </c>
      <c r="D78" s="211">
        <f t="shared" si="1"/>
        <v>0</v>
      </c>
    </row>
    <row r="79" spans="2:4">
      <c r="B79" s="555">
        <f>B78+Arbeitszeit!Z79-Arbeitszeit!AE79</f>
        <v>0</v>
      </c>
      <c r="D79" s="211">
        <f t="shared" si="1"/>
        <v>0</v>
      </c>
    </row>
    <row r="80" spans="2:4">
      <c r="B80" s="555">
        <f>B79+Arbeitszeit!Z80-Arbeitszeit!AE80</f>
        <v>0</v>
      </c>
      <c r="D80" s="211">
        <f t="shared" si="1"/>
        <v>0</v>
      </c>
    </row>
    <row r="81" spans="2:4">
      <c r="B81" s="555">
        <f>B80+Arbeitszeit!Z81-Arbeitszeit!AE81</f>
        <v>0</v>
      </c>
      <c r="D81" s="211">
        <f t="shared" si="1"/>
        <v>0</v>
      </c>
    </row>
    <row r="82" spans="2:4">
      <c r="B82" s="555">
        <f>B81+Arbeitszeit!Z82-Arbeitszeit!AE82</f>
        <v>0</v>
      </c>
      <c r="D82" s="211">
        <f t="shared" si="1"/>
        <v>0</v>
      </c>
    </row>
    <row r="83" spans="2:4">
      <c r="B83" s="555">
        <f>B82+Arbeitszeit!Z83-Arbeitszeit!AE83</f>
        <v>0</v>
      </c>
      <c r="D83" s="211">
        <f t="shared" si="1"/>
        <v>0</v>
      </c>
    </row>
    <row r="84" spans="2:4">
      <c r="B84" s="555">
        <f>B83+Arbeitszeit!Z84-Arbeitszeit!AE84</f>
        <v>0</v>
      </c>
      <c r="D84" s="211">
        <f t="shared" si="1"/>
        <v>0</v>
      </c>
    </row>
    <row r="85" spans="2:4">
      <c r="B85" s="555">
        <f>B84+Arbeitszeit!Z85-Arbeitszeit!AE85</f>
        <v>0</v>
      </c>
      <c r="D85" s="211">
        <f t="shared" si="1"/>
        <v>0</v>
      </c>
    </row>
    <row r="86" spans="2:4">
      <c r="B86" s="555">
        <f>B85+Arbeitszeit!Z86-Arbeitszeit!AE86</f>
        <v>0</v>
      </c>
      <c r="D86" s="211">
        <f t="shared" si="1"/>
        <v>0</v>
      </c>
    </row>
    <row r="87" spans="2:4">
      <c r="B87" s="555">
        <f>B86+Arbeitszeit!Z87-Arbeitszeit!AE87</f>
        <v>0</v>
      </c>
      <c r="D87" s="211">
        <f t="shared" si="1"/>
        <v>0</v>
      </c>
    </row>
    <row r="88" spans="2:4">
      <c r="B88" s="555">
        <f>B87+Arbeitszeit!Z88-Arbeitszeit!AE88</f>
        <v>0</v>
      </c>
      <c r="D88" s="211">
        <f t="shared" si="1"/>
        <v>0</v>
      </c>
    </row>
    <row r="89" spans="2:4">
      <c r="B89" s="555">
        <f>B88+Arbeitszeit!Z89-Arbeitszeit!AE89</f>
        <v>0</v>
      </c>
      <c r="D89" s="211">
        <f t="shared" si="1"/>
        <v>0</v>
      </c>
    </row>
    <row r="90" spans="2:4">
      <c r="B90" s="555">
        <f>B89+Arbeitszeit!Z90-Arbeitszeit!AE90</f>
        <v>0</v>
      </c>
      <c r="D90" s="211">
        <f t="shared" si="1"/>
        <v>0</v>
      </c>
    </row>
    <row r="91" spans="2:4">
      <c r="B91" s="555">
        <f>B90+Arbeitszeit!Z91-Arbeitszeit!AE91</f>
        <v>0</v>
      </c>
      <c r="D91" s="211">
        <f t="shared" si="1"/>
        <v>0</v>
      </c>
    </row>
    <row r="92" spans="2:4">
      <c r="B92" s="555">
        <f>B91+Arbeitszeit!Z92-Arbeitszeit!AE92</f>
        <v>0</v>
      </c>
      <c r="D92" s="211">
        <f t="shared" si="1"/>
        <v>0</v>
      </c>
    </row>
    <row r="93" spans="2:4">
      <c r="B93" s="555">
        <f>B92+Arbeitszeit!Z93-Arbeitszeit!AE93</f>
        <v>0</v>
      </c>
      <c r="D93" s="211">
        <f t="shared" si="1"/>
        <v>0</v>
      </c>
    </row>
    <row r="94" spans="2:4">
      <c r="B94" s="555">
        <f>B93+Arbeitszeit!Z94-Arbeitszeit!AE94</f>
        <v>0</v>
      </c>
      <c r="D94" s="211">
        <f t="shared" si="1"/>
        <v>0</v>
      </c>
    </row>
    <row r="95" spans="2:4">
      <c r="B95" s="555">
        <f>B94+Arbeitszeit!Z95-Arbeitszeit!AE95</f>
        <v>0</v>
      </c>
      <c r="D95" s="211">
        <f t="shared" si="1"/>
        <v>0</v>
      </c>
    </row>
    <row r="96" spans="2:4">
      <c r="B96" s="555">
        <f>B95+Arbeitszeit!Z96-Arbeitszeit!AE96</f>
        <v>0</v>
      </c>
      <c r="D96" s="211">
        <f t="shared" si="1"/>
        <v>0</v>
      </c>
    </row>
    <row r="97" spans="2:4">
      <c r="B97" s="555">
        <f>B96+Arbeitszeit!Z97-Arbeitszeit!AE97</f>
        <v>0</v>
      </c>
      <c r="D97" s="211">
        <f t="shared" si="1"/>
        <v>0</v>
      </c>
    </row>
    <row r="98" spans="2:4">
      <c r="B98" s="555">
        <f>B97+Arbeitszeit!Z98-Arbeitszeit!AE98</f>
        <v>0</v>
      </c>
      <c r="D98" s="211">
        <f t="shared" si="1"/>
        <v>0</v>
      </c>
    </row>
    <row r="99" spans="2:4">
      <c r="B99" s="555">
        <f>B98+Arbeitszeit!Z99-Arbeitszeit!AE99</f>
        <v>0</v>
      </c>
      <c r="D99" s="211">
        <f t="shared" si="1"/>
        <v>0</v>
      </c>
    </row>
    <row r="100" spans="2:4">
      <c r="B100" s="555">
        <f>B99+Arbeitszeit!Z100-Arbeitszeit!AE100</f>
        <v>0</v>
      </c>
      <c r="D100" s="211">
        <f t="shared" si="1"/>
        <v>0</v>
      </c>
    </row>
    <row r="101" spans="2:4">
      <c r="B101" s="555">
        <f>B100+Arbeitszeit!Z101-Arbeitszeit!AE101</f>
        <v>0</v>
      </c>
      <c r="D101" s="211">
        <f t="shared" si="1"/>
        <v>0</v>
      </c>
    </row>
    <row r="102" spans="2:4">
      <c r="B102" s="555">
        <f>B101+Arbeitszeit!Z102-Arbeitszeit!AE102</f>
        <v>0</v>
      </c>
      <c r="D102" s="211">
        <f t="shared" si="1"/>
        <v>0</v>
      </c>
    </row>
    <row r="103" spans="2:4">
      <c r="B103" s="555">
        <f>B102+Arbeitszeit!Z103-Arbeitszeit!AE103</f>
        <v>0</v>
      </c>
      <c r="D103" s="211">
        <f t="shared" si="1"/>
        <v>0</v>
      </c>
    </row>
    <row r="104" spans="2:4">
      <c r="B104" s="555">
        <f>B103+Arbeitszeit!Z104-Arbeitszeit!AE104</f>
        <v>0</v>
      </c>
      <c r="D104" s="211">
        <f t="shared" si="1"/>
        <v>0</v>
      </c>
    </row>
    <row r="105" spans="2:4">
      <c r="B105" s="555">
        <f>B104+Arbeitszeit!Z105-Arbeitszeit!AE105</f>
        <v>0</v>
      </c>
      <c r="D105" s="211">
        <f t="shared" si="1"/>
        <v>0</v>
      </c>
    </row>
    <row r="106" spans="2:4">
      <c r="B106" s="555">
        <f>B105+Arbeitszeit!Z106-Arbeitszeit!AE106</f>
        <v>0</v>
      </c>
      <c r="D106" s="211">
        <f t="shared" si="1"/>
        <v>0</v>
      </c>
    </row>
    <row r="107" spans="2:4">
      <c r="B107" s="555">
        <f>B106+Arbeitszeit!Z107-Arbeitszeit!AE107</f>
        <v>0</v>
      </c>
      <c r="D107" s="211">
        <f t="shared" si="1"/>
        <v>0</v>
      </c>
    </row>
    <row r="108" spans="2:4">
      <c r="B108" s="555">
        <f>B107+Arbeitszeit!Z108-Arbeitszeit!AE108</f>
        <v>0</v>
      </c>
      <c r="D108" s="211">
        <f t="shared" si="1"/>
        <v>0</v>
      </c>
    </row>
    <row r="109" spans="2:4">
      <c r="B109" s="555">
        <f>B108+Arbeitszeit!Z109-Arbeitszeit!AE109</f>
        <v>0</v>
      </c>
      <c r="D109" s="211">
        <f t="shared" si="1"/>
        <v>0</v>
      </c>
    </row>
    <row r="110" spans="2:4">
      <c r="B110" s="555">
        <f>B109+Arbeitszeit!Z110-Arbeitszeit!AE110</f>
        <v>0</v>
      </c>
      <c r="D110" s="211">
        <f t="shared" si="1"/>
        <v>0</v>
      </c>
    </row>
    <row r="111" spans="2:4">
      <c r="B111" s="555">
        <f>B110+Arbeitszeit!Z111-Arbeitszeit!AE111</f>
        <v>0</v>
      </c>
      <c r="D111" s="211">
        <f t="shared" si="1"/>
        <v>0</v>
      </c>
    </row>
    <row r="112" spans="2:4">
      <c r="B112" s="555">
        <f>B111+Arbeitszeit!Z112-Arbeitszeit!AE112</f>
        <v>0</v>
      </c>
      <c r="D112" s="211">
        <f t="shared" si="1"/>
        <v>0</v>
      </c>
    </row>
    <row r="113" spans="2:4">
      <c r="B113" s="555">
        <f>B112+Arbeitszeit!Z113-Arbeitszeit!AE113</f>
        <v>0</v>
      </c>
      <c r="D113" s="211">
        <f t="shared" si="1"/>
        <v>0</v>
      </c>
    </row>
    <row r="114" spans="2:4">
      <c r="B114" s="555">
        <f>B113+Arbeitszeit!Z114-Arbeitszeit!AE114</f>
        <v>0</v>
      </c>
      <c r="D114" s="211">
        <f t="shared" si="1"/>
        <v>0</v>
      </c>
    </row>
    <row r="115" spans="2:4">
      <c r="B115" s="555">
        <f>B114+Arbeitszeit!Z115-Arbeitszeit!AE115</f>
        <v>0</v>
      </c>
      <c r="D115" s="211">
        <f t="shared" si="1"/>
        <v>0</v>
      </c>
    </row>
    <row r="116" spans="2:4">
      <c r="B116" s="555">
        <f>B115+Arbeitszeit!Z116-Arbeitszeit!AE116</f>
        <v>0</v>
      </c>
      <c r="D116" s="211">
        <f t="shared" si="1"/>
        <v>0</v>
      </c>
    </row>
    <row r="117" spans="2:4">
      <c r="B117" s="555">
        <f>B116+Arbeitszeit!Z117-Arbeitszeit!AE117</f>
        <v>0</v>
      </c>
      <c r="D117" s="211">
        <f t="shared" si="1"/>
        <v>0</v>
      </c>
    </row>
    <row r="118" spans="2:4">
      <c r="B118" s="555">
        <f>B117+Arbeitszeit!Z118-Arbeitszeit!AE118</f>
        <v>0</v>
      </c>
      <c r="D118" s="211">
        <f t="shared" si="1"/>
        <v>0</v>
      </c>
    </row>
    <row r="119" spans="2:4">
      <c r="B119" s="555">
        <f>B118+Arbeitszeit!Z119-Arbeitszeit!AE119</f>
        <v>0</v>
      </c>
      <c r="D119" s="211">
        <f t="shared" si="1"/>
        <v>0</v>
      </c>
    </row>
    <row r="120" spans="2:4">
      <c r="B120" s="555">
        <f>B119+Arbeitszeit!Z120-Arbeitszeit!AE120</f>
        <v>0</v>
      </c>
      <c r="D120" s="211">
        <f t="shared" si="1"/>
        <v>0</v>
      </c>
    </row>
    <row r="121" spans="2:4">
      <c r="B121" s="555">
        <f>B120+Arbeitszeit!Z121-Arbeitszeit!AE121</f>
        <v>0</v>
      </c>
      <c r="D121" s="211">
        <f t="shared" si="1"/>
        <v>0</v>
      </c>
    </row>
    <row r="122" spans="2:4">
      <c r="B122" s="555">
        <f>B121+Arbeitszeit!Z122-Arbeitszeit!AE122</f>
        <v>0</v>
      </c>
      <c r="D122" s="211">
        <f t="shared" si="1"/>
        <v>0</v>
      </c>
    </row>
    <row r="123" spans="2:4">
      <c r="B123" s="555">
        <f>B122+Arbeitszeit!Z123-Arbeitszeit!AE123</f>
        <v>0</v>
      </c>
      <c r="D123" s="211">
        <f t="shared" si="1"/>
        <v>0</v>
      </c>
    </row>
    <row r="124" spans="2:4">
      <c r="B124" s="555">
        <f>B123+Arbeitszeit!Z124-Arbeitszeit!AE124</f>
        <v>0</v>
      </c>
      <c r="D124" s="211">
        <f t="shared" si="1"/>
        <v>0</v>
      </c>
    </row>
    <row r="125" spans="2:4">
      <c r="B125" s="555">
        <f>B124+Arbeitszeit!Z125-Arbeitszeit!AE125</f>
        <v>0</v>
      </c>
      <c r="D125" s="211">
        <f t="shared" si="1"/>
        <v>0</v>
      </c>
    </row>
    <row r="126" spans="2:4">
      <c r="B126" s="555">
        <f>B125+Arbeitszeit!Z126-Arbeitszeit!AE126</f>
        <v>0</v>
      </c>
      <c r="D126" s="211">
        <f t="shared" si="1"/>
        <v>0</v>
      </c>
    </row>
    <row r="127" spans="2:4">
      <c r="B127" s="555">
        <f>B126+Arbeitszeit!Z127-Arbeitszeit!AE127</f>
        <v>0</v>
      </c>
      <c r="D127" s="211">
        <f t="shared" si="1"/>
        <v>0</v>
      </c>
    </row>
    <row r="128" spans="2:4">
      <c r="B128" s="555">
        <f>B127+Arbeitszeit!Z128-Arbeitszeit!AE128</f>
        <v>0</v>
      </c>
      <c r="D128" s="211">
        <f t="shared" si="1"/>
        <v>0</v>
      </c>
    </row>
    <row r="129" spans="2:4">
      <c r="B129" s="555">
        <f>B128+Arbeitszeit!Z129-Arbeitszeit!AE129</f>
        <v>0</v>
      </c>
      <c r="D129" s="211">
        <f t="shared" si="1"/>
        <v>0</v>
      </c>
    </row>
    <row r="130" spans="2:4">
      <c r="B130" s="555">
        <f>B129+Arbeitszeit!Z130-Arbeitszeit!AE130</f>
        <v>0</v>
      </c>
      <c r="D130" s="211">
        <f t="shared" si="1"/>
        <v>0</v>
      </c>
    </row>
    <row r="131" spans="2:4">
      <c r="B131" s="555">
        <f>B130+Arbeitszeit!Z131-Arbeitszeit!AE131</f>
        <v>0</v>
      </c>
      <c r="D131" s="211">
        <f t="shared" si="1"/>
        <v>0</v>
      </c>
    </row>
    <row r="132" spans="2:4">
      <c r="B132" s="555">
        <f>B131+Arbeitszeit!Z132-Arbeitszeit!AE132</f>
        <v>0</v>
      </c>
      <c r="D132" s="211">
        <f t="shared" si="1"/>
        <v>0</v>
      </c>
    </row>
    <row r="133" spans="2:4">
      <c r="B133" s="555">
        <f>B132+Arbeitszeit!Z133-Arbeitszeit!AE133</f>
        <v>0</v>
      </c>
      <c r="D133" s="211">
        <f t="shared" si="1"/>
        <v>0</v>
      </c>
    </row>
    <row r="134" spans="2:4">
      <c r="B134" s="555">
        <f>B133+Arbeitszeit!Z134-Arbeitszeit!AE134</f>
        <v>0</v>
      </c>
      <c r="D134" s="211">
        <f t="shared" ref="D134:D197" si="2">db_jSumOverMax</f>
        <v>0</v>
      </c>
    </row>
    <row r="135" spans="2:4">
      <c r="B135" s="555">
        <f>B134+Arbeitszeit!Z135-Arbeitszeit!AE135</f>
        <v>0</v>
      </c>
      <c r="D135" s="211">
        <f t="shared" si="2"/>
        <v>0</v>
      </c>
    </row>
    <row r="136" spans="2:4">
      <c r="B136" s="555">
        <f>B135+Arbeitszeit!Z136-Arbeitszeit!AE136</f>
        <v>0</v>
      </c>
      <c r="D136" s="211">
        <f t="shared" si="2"/>
        <v>0</v>
      </c>
    </row>
    <row r="137" spans="2:4">
      <c r="B137" s="555">
        <f>B136+Arbeitszeit!Z137-Arbeitszeit!AE137</f>
        <v>0</v>
      </c>
      <c r="D137" s="211">
        <f t="shared" si="2"/>
        <v>0</v>
      </c>
    </row>
    <row r="138" spans="2:4">
      <c r="B138" s="555">
        <f>B137+Arbeitszeit!Z138-Arbeitszeit!AE138</f>
        <v>0</v>
      </c>
      <c r="D138" s="211">
        <f t="shared" si="2"/>
        <v>0</v>
      </c>
    </row>
    <row r="139" spans="2:4">
      <c r="B139" s="555">
        <f>B138+Arbeitszeit!Z139-Arbeitszeit!AE139</f>
        <v>0</v>
      </c>
      <c r="D139" s="211">
        <f t="shared" si="2"/>
        <v>0</v>
      </c>
    </row>
    <row r="140" spans="2:4">
      <c r="B140" s="555">
        <f>B139+Arbeitszeit!Z140-Arbeitszeit!AE140</f>
        <v>0</v>
      </c>
      <c r="D140" s="211">
        <f t="shared" si="2"/>
        <v>0</v>
      </c>
    </row>
    <row r="141" spans="2:4">
      <c r="B141" s="555">
        <f>B140+Arbeitszeit!Z141-Arbeitszeit!AE141</f>
        <v>0</v>
      </c>
      <c r="D141" s="211">
        <f t="shared" si="2"/>
        <v>0</v>
      </c>
    </row>
    <row r="142" spans="2:4">
      <c r="B142" s="555">
        <f>B141+Arbeitszeit!Z142-Arbeitszeit!AE142</f>
        <v>0</v>
      </c>
      <c r="D142" s="211">
        <f t="shared" si="2"/>
        <v>0</v>
      </c>
    </row>
    <row r="143" spans="2:4">
      <c r="B143" s="555">
        <f>B142+Arbeitszeit!Z143-Arbeitszeit!AE143</f>
        <v>0</v>
      </c>
      <c r="D143" s="211">
        <f t="shared" si="2"/>
        <v>0</v>
      </c>
    </row>
    <row r="144" spans="2:4">
      <c r="B144" s="555">
        <f>B143+Arbeitszeit!Z144-Arbeitszeit!AE144</f>
        <v>0</v>
      </c>
      <c r="D144" s="211">
        <f t="shared" si="2"/>
        <v>0</v>
      </c>
    </row>
    <row r="145" spans="2:4">
      <c r="B145" s="555">
        <f>B144+Arbeitszeit!Z145-Arbeitszeit!AE145</f>
        <v>0</v>
      </c>
      <c r="D145" s="211">
        <f t="shared" si="2"/>
        <v>0</v>
      </c>
    </row>
    <row r="146" spans="2:4">
      <c r="B146" s="555">
        <f>B145+Arbeitszeit!Z146-Arbeitszeit!AE146</f>
        <v>0</v>
      </c>
      <c r="D146" s="211">
        <f t="shared" si="2"/>
        <v>0</v>
      </c>
    </row>
    <row r="147" spans="2:4">
      <c r="B147" s="555">
        <f>B146+Arbeitszeit!Z147-Arbeitszeit!AE147</f>
        <v>0</v>
      </c>
      <c r="D147" s="211">
        <f t="shared" si="2"/>
        <v>0</v>
      </c>
    </row>
    <row r="148" spans="2:4">
      <c r="B148" s="555">
        <f>B147+Arbeitszeit!Z148-Arbeitszeit!AE148</f>
        <v>0</v>
      </c>
      <c r="D148" s="211">
        <f t="shared" si="2"/>
        <v>0</v>
      </c>
    </row>
    <row r="149" spans="2:4">
      <c r="B149" s="555">
        <f>B148+Arbeitszeit!Z149-Arbeitszeit!AE149</f>
        <v>0</v>
      </c>
      <c r="D149" s="211">
        <f t="shared" si="2"/>
        <v>0</v>
      </c>
    </row>
    <row r="150" spans="2:4">
      <c r="B150" s="555">
        <f>B149+Arbeitszeit!Z150-Arbeitszeit!AE150</f>
        <v>0</v>
      </c>
      <c r="D150" s="211">
        <f t="shared" si="2"/>
        <v>0</v>
      </c>
    </row>
    <row r="151" spans="2:4">
      <c r="B151" s="555">
        <f>B150+Arbeitszeit!Z151-Arbeitszeit!AE151</f>
        <v>0</v>
      </c>
      <c r="D151" s="211">
        <f t="shared" si="2"/>
        <v>0</v>
      </c>
    </row>
    <row r="152" spans="2:4">
      <c r="B152" s="555">
        <f>B151+Arbeitszeit!Z152-Arbeitszeit!AE152</f>
        <v>0</v>
      </c>
      <c r="D152" s="211">
        <f t="shared" si="2"/>
        <v>0</v>
      </c>
    </row>
    <row r="153" spans="2:4">
      <c r="B153" s="555">
        <f>B152+Arbeitszeit!Z153-Arbeitszeit!AE153</f>
        <v>0</v>
      </c>
      <c r="D153" s="211">
        <f t="shared" si="2"/>
        <v>0</v>
      </c>
    </row>
    <row r="154" spans="2:4">
      <c r="B154" s="555">
        <f>B153+Arbeitszeit!Z154-Arbeitszeit!AE154</f>
        <v>0</v>
      </c>
      <c r="D154" s="211">
        <f t="shared" si="2"/>
        <v>0</v>
      </c>
    </row>
    <row r="155" spans="2:4">
      <c r="B155" s="555">
        <f>B154+Arbeitszeit!Z155-Arbeitszeit!AE155</f>
        <v>0</v>
      </c>
      <c r="D155" s="211">
        <f t="shared" si="2"/>
        <v>0</v>
      </c>
    </row>
    <row r="156" spans="2:4">
      <c r="B156" s="555">
        <f>B155+Arbeitszeit!Z156-Arbeitszeit!AE156</f>
        <v>0</v>
      </c>
      <c r="D156" s="211">
        <f t="shared" si="2"/>
        <v>0</v>
      </c>
    </row>
    <row r="157" spans="2:4">
      <c r="B157" s="555">
        <f>B156+Arbeitszeit!Z157-Arbeitszeit!AE157</f>
        <v>0</v>
      </c>
      <c r="D157" s="211">
        <f t="shared" si="2"/>
        <v>0</v>
      </c>
    </row>
    <row r="158" spans="2:4">
      <c r="B158" s="555">
        <f>B157+Arbeitszeit!Z158-Arbeitszeit!AE158</f>
        <v>0</v>
      </c>
      <c r="D158" s="211">
        <f t="shared" si="2"/>
        <v>0</v>
      </c>
    </row>
    <row r="159" spans="2:4">
      <c r="B159" s="555">
        <f>B158+Arbeitszeit!Z159-Arbeitszeit!AE159</f>
        <v>0</v>
      </c>
      <c r="D159" s="211">
        <f t="shared" si="2"/>
        <v>0</v>
      </c>
    </row>
    <row r="160" spans="2:4">
      <c r="B160" s="555">
        <f>B159+Arbeitszeit!Z160-Arbeitszeit!AE160</f>
        <v>0</v>
      </c>
      <c r="D160" s="211">
        <f t="shared" si="2"/>
        <v>0</v>
      </c>
    </row>
    <row r="161" spans="2:4">
      <c r="B161" s="555">
        <f>B160+Arbeitszeit!Z161-Arbeitszeit!AE161</f>
        <v>0</v>
      </c>
      <c r="D161" s="211">
        <f t="shared" si="2"/>
        <v>0</v>
      </c>
    </row>
    <row r="162" spans="2:4">
      <c r="B162" s="555">
        <f>B161+Arbeitszeit!Z162-Arbeitszeit!AE162</f>
        <v>0</v>
      </c>
      <c r="D162" s="211">
        <f t="shared" si="2"/>
        <v>0</v>
      </c>
    </row>
    <row r="163" spans="2:4">
      <c r="B163" s="555">
        <f>B162+Arbeitszeit!Z163-Arbeitszeit!AE163</f>
        <v>0</v>
      </c>
      <c r="D163" s="211">
        <f t="shared" si="2"/>
        <v>0</v>
      </c>
    </row>
    <row r="164" spans="2:4">
      <c r="B164" s="555">
        <f>B163+Arbeitszeit!Z164-Arbeitszeit!AE164</f>
        <v>0</v>
      </c>
      <c r="D164" s="211">
        <f t="shared" si="2"/>
        <v>0</v>
      </c>
    </row>
    <row r="165" spans="2:4">
      <c r="B165" s="555">
        <f>B164+Arbeitszeit!Z165-Arbeitszeit!AE165</f>
        <v>0</v>
      </c>
      <c r="D165" s="211">
        <f t="shared" si="2"/>
        <v>0</v>
      </c>
    </row>
    <row r="166" spans="2:4">
      <c r="B166" s="555">
        <f>B165+Arbeitszeit!Z166-Arbeitszeit!AE166</f>
        <v>0</v>
      </c>
      <c r="D166" s="211">
        <f t="shared" si="2"/>
        <v>0</v>
      </c>
    </row>
    <row r="167" spans="2:4">
      <c r="B167" s="555">
        <f>B166+Arbeitszeit!Z167-Arbeitszeit!AE167</f>
        <v>0</v>
      </c>
      <c r="D167" s="211">
        <f t="shared" si="2"/>
        <v>0</v>
      </c>
    </row>
    <row r="168" spans="2:4">
      <c r="B168" s="555">
        <f>B167+Arbeitszeit!Z168-Arbeitszeit!AE168</f>
        <v>0</v>
      </c>
      <c r="D168" s="211">
        <f t="shared" si="2"/>
        <v>0</v>
      </c>
    </row>
    <row r="169" spans="2:4">
      <c r="B169" s="555">
        <f>B168+Arbeitszeit!Z169-Arbeitszeit!AE169</f>
        <v>0</v>
      </c>
      <c r="D169" s="211">
        <f t="shared" si="2"/>
        <v>0</v>
      </c>
    </row>
    <row r="170" spans="2:4">
      <c r="B170" s="555">
        <f>B169+Arbeitszeit!Z170-Arbeitszeit!AE170</f>
        <v>0</v>
      </c>
      <c r="D170" s="211">
        <f t="shared" si="2"/>
        <v>0</v>
      </c>
    </row>
    <row r="171" spans="2:4">
      <c r="B171" s="555">
        <f>B170+Arbeitszeit!Z171-Arbeitszeit!AE171</f>
        <v>0</v>
      </c>
      <c r="D171" s="211">
        <f t="shared" si="2"/>
        <v>0</v>
      </c>
    </row>
    <row r="172" spans="2:4">
      <c r="B172" s="555">
        <f>B171+Arbeitszeit!Z172-Arbeitszeit!AE172</f>
        <v>0</v>
      </c>
      <c r="D172" s="211">
        <f t="shared" si="2"/>
        <v>0</v>
      </c>
    </row>
    <row r="173" spans="2:4">
      <c r="B173" s="555">
        <f>B172+Arbeitszeit!Z173-Arbeitszeit!AE173</f>
        <v>0</v>
      </c>
      <c r="D173" s="211">
        <f t="shared" si="2"/>
        <v>0</v>
      </c>
    </row>
    <row r="174" spans="2:4">
      <c r="B174" s="555">
        <f>B173+Arbeitszeit!Z174-Arbeitszeit!AE174</f>
        <v>0</v>
      </c>
      <c r="D174" s="211">
        <f t="shared" si="2"/>
        <v>0</v>
      </c>
    </row>
    <row r="175" spans="2:4">
      <c r="B175" s="555">
        <f>B174+Arbeitszeit!Z175-Arbeitszeit!AE175</f>
        <v>0</v>
      </c>
      <c r="D175" s="211">
        <f t="shared" si="2"/>
        <v>0</v>
      </c>
    </row>
    <row r="176" spans="2:4">
      <c r="B176" s="555">
        <f>B175+Arbeitszeit!Z176-Arbeitszeit!AE176</f>
        <v>0</v>
      </c>
      <c r="D176" s="211">
        <f t="shared" si="2"/>
        <v>0</v>
      </c>
    </row>
    <row r="177" spans="2:4">
      <c r="B177" s="555">
        <f>B176+Arbeitszeit!Z177-Arbeitszeit!AE177</f>
        <v>0</v>
      </c>
      <c r="D177" s="211">
        <f t="shared" si="2"/>
        <v>0</v>
      </c>
    </row>
    <row r="178" spans="2:4">
      <c r="B178" s="555">
        <f>B177+Arbeitszeit!Z178-Arbeitszeit!AE178</f>
        <v>0</v>
      </c>
      <c r="D178" s="211">
        <f t="shared" si="2"/>
        <v>0</v>
      </c>
    </row>
    <row r="179" spans="2:4">
      <c r="B179" s="555">
        <f>B178+Arbeitszeit!Z179-Arbeitszeit!AE179</f>
        <v>0</v>
      </c>
      <c r="D179" s="211">
        <f t="shared" si="2"/>
        <v>0</v>
      </c>
    </row>
    <row r="180" spans="2:4">
      <c r="B180" s="555">
        <f>B179+Arbeitszeit!Z180-Arbeitszeit!AE180</f>
        <v>0</v>
      </c>
      <c r="D180" s="211">
        <f t="shared" si="2"/>
        <v>0</v>
      </c>
    </row>
    <row r="181" spans="2:4">
      <c r="B181" s="555">
        <f>B180+Arbeitszeit!Z181-Arbeitszeit!AE181</f>
        <v>0</v>
      </c>
      <c r="D181" s="211">
        <f t="shared" si="2"/>
        <v>0</v>
      </c>
    </row>
    <row r="182" spans="2:4">
      <c r="B182" s="555">
        <f>B181+Arbeitszeit!Z182-Arbeitszeit!AE182</f>
        <v>0</v>
      </c>
      <c r="D182" s="211">
        <f t="shared" si="2"/>
        <v>0</v>
      </c>
    </row>
    <row r="183" spans="2:4">
      <c r="B183" s="555">
        <f>B182+Arbeitszeit!Z183-Arbeitszeit!AE183</f>
        <v>0</v>
      </c>
      <c r="D183" s="211">
        <f t="shared" si="2"/>
        <v>0</v>
      </c>
    </row>
    <row r="184" spans="2:4">
      <c r="B184" s="555">
        <f>B183+Arbeitszeit!Z184-Arbeitszeit!AE184</f>
        <v>0</v>
      </c>
      <c r="D184" s="211">
        <f t="shared" si="2"/>
        <v>0</v>
      </c>
    </row>
    <row r="185" spans="2:4">
      <c r="B185" s="555">
        <f>B184+Arbeitszeit!Z185-Arbeitszeit!AE185</f>
        <v>0</v>
      </c>
      <c r="D185" s="211">
        <f t="shared" si="2"/>
        <v>0</v>
      </c>
    </row>
    <row r="186" spans="2:4">
      <c r="B186" s="555">
        <f>B185+Arbeitszeit!Z186-Arbeitszeit!AE186</f>
        <v>0</v>
      </c>
      <c r="D186" s="211">
        <f t="shared" si="2"/>
        <v>0</v>
      </c>
    </row>
    <row r="187" spans="2:4">
      <c r="B187" s="555">
        <f>B186+Arbeitszeit!Z187-Arbeitszeit!AE187</f>
        <v>0</v>
      </c>
      <c r="D187" s="211">
        <f t="shared" si="2"/>
        <v>0</v>
      </c>
    </row>
    <row r="188" spans="2:4">
      <c r="B188" s="555">
        <f>B187+Arbeitszeit!Z188-Arbeitszeit!AE188</f>
        <v>0</v>
      </c>
      <c r="D188" s="211">
        <f t="shared" si="2"/>
        <v>0</v>
      </c>
    </row>
    <row r="189" spans="2:4">
      <c r="B189" s="555">
        <f>B188+Arbeitszeit!Z189-Arbeitszeit!AE189</f>
        <v>0</v>
      </c>
      <c r="D189" s="211">
        <f t="shared" si="2"/>
        <v>0</v>
      </c>
    </row>
    <row r="190" spans="2:4">
      <c r="B190" s="555">
        <f>B189+Arbeitszeit!Z190-Arbeitszeit!AE190</f>
        <v>0</v>
      </c>
      <c r="D190" s="211">
        <f t="shared" si="2"/>
        <v>0</v>
      </c>
    </row>
    <row r="191" spans="2:4">
      <c r="B191" s="555">
        <f>B190+Arbeitszeit!Z191-Arbeitszeit!AE191</f>
        <v>0</v>
      </c>
      <c r="D191" s="211">
        <f t="shared" si="2"/>
        <v>0</v>
      </c>
    </row>
    <row r="192" spans="2:4">
      <c r="B192" s="555">
        <f>B191+Arbeitszeit!Z192-Arbeitszeit!AE192</f>
        <v>0</v>
      </c>
      <c r="D192" s="211">
        <f t="shared" si="2"/>
        <v>0</v>
      </c>
    </row>
    <row r="193" spans="2:4">
      <c r="B193" s="555">
        <f>B192+Arbeitszeit!Z193-Arbeitszeit!AE193</f>
        <v>0</v>
      </c>
      <c r="D193" s="211">
        <f t="shared" si="2"/>
        <v>0</v>
      </c>
    </row>
    <row r="194" spans="2:4">
      <c r="B194" s="555">
        <f>B193+Arbeitszeit!Z194-Arbeitszeit!AE194</f>
        <v>0</v>
      </c>
      <c r="D194" s="211">
        <f t="shared" si="2"/>
        <v>0</v>
      </c>
    </row>
    <row r="195" spans="2:4">
      <c r="B195" s="555">
        <f>B194+Arbeitszeit!Z195-Arbeitszeit!AE195</f>
        <v>0</v>
      </c>
      <c r="D195" s="211">
        <f t="shared" si="2"/>
        <v>0</v>
      </c>
    </row>
    <row r="196" spans="2:4">
      <c r="B196" s="555">
        <f>B195+Arbeitszeit!Z196-Arbeitszeit!AE196</f>
        <v>0</v>
      </c>
      <c r="D196" s="211">
        <f t="shared" si="2"/>
        <v>0</v>
      </c>
    </row>
    <row r="197" spans="2:4">
      <c r="B197" s="555">
        <f>B196+Arbeitszeit!Z197-Arbeitszeit!AE197</f>
        <v>0</v>
      </c>
      <c r="D197" s="211">
        <f t="shared" si="2"/>
        <v>0</v>
      </c>
    </row>
    <row r="198" spans="2:4">
      <c r="B198" s="555">
        <f>B197+Arbeitszeit!Z198-Arbeitszeit!AE198</f>
        <v>0</v>
      </c>
      <c r="D198" s="211">
        <f t="shared" ref="D198:D261" si="3">db_jSumOverMax</f>
        <v>0</v>
      </c>
    </row>
    <row r="199" spans="2:4">
      <c r="B199" s="555">
        <f>B198+Arbeitszeit!Z199-Arbeitszeit!AE199</f>
        <v>0</v>
      </c>
      <c r="D199" s="211">
        <f t="shared" si="3"/>
        <v>0</v>
      </c>
    </row>
    <row r="200" spans="2:4">
      <c r="B200" s="555">
        <f>B199+Arbeitszeit!Z200-Arbeitszeit!AE200</f>
        <v>0</v>
      </c>
      <c r="D200" s="211">
        <f t="shared" si="3"/>
        <v>0</v>
      </c>
    </row>
    <row r="201" spans="2:4">
      <c r="B201" s="555">
        <f>B200+Arbeitszeit!Z201-Arbeitszeit!AE201</f>
        <v>0</v>
      </c>
      <c r="D201" s="211">
        <f t="shared" si="3"/>
        <v>0</v>
      </c>
    </row>
    <row r="202" spans="2:4">
      <c r="B202" s="555">
        <f>B201+Arbeitszeit!Z202-Arbeitszeit!AE202</f>
        <v>0</v>
      </c>
      <c r="D202" s="211">
        <f t="shared" si="3"/>
        <v>0</v>
      </c>
    </row>
    <row r="203" spans="2:4">
      <c r="B203" s="555">
        <f>B202+Arbeitszeit!Z203-Arbeitszeit!AE203</f>
        <v>0</v>
      </c>
      <c r="D203" s="211">
        <f t="shared" si="3"/>
        <v>0</v>
      </c>
    </row>
    <row r="204" spans="2:4">
      <c r="B204" s="555">
        <f>B203+Arbeitszeit!Z204-Arbeitszeit!AE204</f>
        <v>0</v>
      </c>
      <c r="D204" s="211">
        <f t="shared" si="3"/>
        <v>0</v>
      </c>
    </row>
    <row r="205" spans="2:4">
      <c r="B205" s="555">
        <f>B204+Arbeitszeit!Z205-Arbeitszeit!AE205</f>
        <v>0</v>
      </c>
      <c r="D205" s="211">
        <f t="shared" si="3"/>
        <v>0</v>
      </c>
    </row>
    <row r="206" spans="2:4">
      <c r="B206" s="555">
        <f>B205+Arbeitszeit!Z206-Arbeitszeit!AE206</f>
        <v>0</v>
      </c>
      <c r="D206" s="211">
        <f t="shared" si="3"/>
        <v>0</v>
      </c>
    </row>
    <row r="207" spans="2:4">
      <c r="B207" s="555">
        <f>B206+Arbeitszeit!Z207-Arbeitszeit!AE207</f>
        <v>0</v>
      </c>
      <c r="D207" s="211">
        <f t="shared" si="3"/>
        <v>0</v>
      </c>
    </row>
    <row r="208" spans="2:4">
      <c r="B208" s="555">
        <f>B207+Arbeitszeit!Z208-Arbeitszeit!AE208</f>
        <v>0</v>
      </c>
      <c r="D208" s="211">
        <f t="shared" si="3"/>
        <v>0</v>
      </c>
    </row>
    <row r="209" spans="2:4">
      <c r="B209" s="555">
        <f>B208+Arbeitszeit!Z209-Arbeitszeit!AE209</f>
        <v>0</v>
      </c>
      <c r="D209" s="211">
        <f t="shared" si="3"/>
        <v>0</v>
      </c>
    </row>
    <row r="210" spans="2:4">
      <c r="B210" s="555">
        <f>B209+Arbeitszeit!Z210-Arbeitszeit!AE210</f>
        <v>0</v>
      </c>
      <c r="D210" s="211">
        <f t="shared" si="3"/>
        <v>0</v>
      </c>
    </row>
    <row r="211" spans="2:4">
      <c r="B211" s="555">
        <f>B210+Arbeitszeit!Z211-Arbeitszeit!AE211</f>
        <v>0</v>
      </c>
      <c r="D211" s="211">
        <f t="shared" si="3"/>
        <v>0</v>
      </c>
    </row>
    <row r="212" spans="2:4">
      <c r="B212" s="555">
        <f>B211+Arbeitszeit!Z212-Arbeitszeit!AE212</f>
        <v>0</v>
      </c>
      <c r="D212" s="211">
        <f t="shared" si="3"/>
        <v>0</v>
      </c>
    </row>
    <row r="213" spans="2:4">
      <c r="B213" s="555">
        <f>B212+Arbeitszeit!Z213-Arbeitszeit!AE213</f>
        <v>0</v>
      </c>
      <c r="D213" s="211">
        <f t="shared" si="3"/>
        <v>0</v>
      </c>
    </row>
    <row r="214" spans="2:4">
      <c r="B214" s="555">
        <f>B213+Arbeitszeit!Z214-Arbeitszeit!AE214</f>
        <v>0</v>
      </c>
      <c r="D214" s="211">
        <f t="shared" si="3"/>
        <v>0</v>
      </c>
    </row>
    <row r="215" spans="2:4">
      <c r="B215" s="555">
        <f>B214+Arbeitszeit!Z215-Arbeitszeit!AE215</f>
        <v>0</v>
      </c>
      <c r="D215" s="211">
        <f t="shared" si="3"/>
        <v>0</v>
      </c>
    </row>
    <row r="216" spans="2:4">
      <c r="B216" s="555">
        <f>B215+Arbeitszeit!Z216-Arbeitszeit!AE216</f>
        <v>0</v>
      </c>
      <c r="D216" s="211">
        <f t="shared" si="3"/>
        <v>0</v>
      </c>
    </row>
    <row r="217" spans="2:4">
      <c r="B217" s="555">
        <f>B216+Arbeitszeit!Z217-Arbeitszeit!AE217</f>
        <v>0</v>
      </c>
      <c r="D217" s="211">
        <f t="shared" si="3"/>
        <v>0</v>
      </c>
    </row>
    <row r="218" spans="2:4">
      <c r="B218" s="555">
        <f>B217+Arbeitszeit!Z218-Arbeitszeit!AE218</f>
        <v>0</v>
      </c>
      <c r="D218" s="211">
        <f t="shared" si="3"/>
        <v>0</v>
      </c>
    </row>
    <row r="219" spans="2:4">
      <c r="B219" s="555">
        <f>B218+Arbeitszeit!Z219-Arbeitszeit!AE219</f>
        <v>0</v>
      </c>
      <c r="D219" s="211">
        <f t="shared" si="3"/>
        <v>0</v>
      </c>
    </row>
    <row r="220" spans="2:4">
      <c r="B220" s="555">
        <f>B219+Arbeitszeit!Z220-Arbeitszeit!AE220</f>
        <v>0</v>
      </c>
      <c r="D220" s="211">
        <f t="shared" si="3"/>
        <v>0</v>
      </c>
    </row>
    <row r="221" spans="2:4">
      <c r="B221" s="555">
        <f>B220+Arbeitszeit!Z221-Arbeitszeit!AE221</f>
        <v>0</v>
      </c>
      <c r="D221" s="211">
        <f t="shared" si="3"/>
        <v>0</v>
      </c>
    </row>
    <row r="222" spans="2:4">
      <c r="B222" s="555">
        <f>B221+Arbeitszeit!Z222-Arbeitszeit!AE222</f>
        <v>0</v>
      </c>
      <c r="D222" s="211">
        <f t="shared" si="3"/>
        <v>0</v>
      </c>
    </row>
    <row r="223" spans="2:4">
      <c r="B223" s="555">
        <f>B222+Arbeitszeit!Z223-Arbeitszeit!AE223</f>
        <v>0</v>
      </c>
      <c r="D223" s="211">
        <f t="shared" si="3"/>
        <v>0</v>
      </c>
    </row>
    <row r="224" spans="2:4">
      <c r="B224" s="555">
        <f>B223+Arbeitszeit!Z224-Arbeitszeit!AE224</f>
        <v>0</v>
      </c>
      <c r="D224" s="211">
        <f t="shared" si="3"/>
        <v>0</v>
      </c>
    </row>
    <row r="225" spans="2:4">
      <c r="B225" s="555">
        <f>B224+Arbeitszeit!Z225-Arbeitszeit!AE225</f>
        <v>0</v>
      </c>
      <c r="D225" s="211">
        <f t="shared" si="3"/>
        <v>0</v>
      </c>
    </row>
    <row r="226" spans="2:4">
      <c r="B226" s="555">
        <f>B225+Arbeitszeit!Z226-Arbeitszeit!AE226</f>
        <v>0</v>
      </c>
      <c r="D226" s="211">
        <f t="shared" si="3"/>
        <v>0</v>
      </c>
    </row>
    <row r="227" spans="2:4">
      <c r="B227" s="555">
        <f>B226+Arbeitszeit!Z227-Arbeitszeit!AE227</f>
        <v>0</v>
      </c>
      <c r="D227" s="211">
        <f t="shared" si="3"/>
        <v>0</v>
      </c>
    </row>
    <row r="228" spans="2:4">
      <c r="B228" s="555">
        <f>B227+Arbeitszeit!Z228-Arbeitszeit!AE228</f>
        <v>0</v>
      </c>
      <c r="D228" s="211">
        <f t="shared" si="3"/>
        <v>0</v>
      </c>
    </row>
    <row r="229" spans="2:4">
      <c r="B229" s="555">
        <f>B228+Arbeitszeit!Z229-Arbeitszeit!AE229</f>
        <v>0</v>
      </c>
      <c r="D229" s="211">
        <f t="shared" si="3"/>
        <v>0</v>
      </c>
    </row>
    <row r="230" spans="2:4">
      <c r="B230" s="555">
        <f>B229+Arbeitszeit!Z230-Arbeitszeit!AE230</f>
        <v>0</v>
      </c>
      <c r="D230" s="211">
        <f t="shared" si="3"/>
        <v>0</v>
      </c>
    </row>
    <row r="231" spans="2:4">
      <c r="B231" s="555">
        <f>B230+Arbeitszeit!Z231-Arbeitszeit!AE231</f>
        <v>0</v>
      </c>
      <c r="D231" s="211">
        <f t="shared" si="3"/>
        <v>0</v>
      </c>
    </row>
    <row r="232" spans="2:4">
      <c r="B232" s="555">
        <f>B231+Arbeitszeit!Z232-Arbeitszeit!AE232</f>
        <v>0</v>
      </c>
      <c r="D232" s="211">
        <f t="shared" si="3"/>
        <v>0</v>
      </c>
    </row>
    <row r="233" spans="2:4">
      <c r="B233" s="555">
        <f>B232+Arbeitszeit!Z233-Arbeitszeit!AE233</f>
        <v>0</v>
      </c>
      <c r="D233" s="211">
        <f t="shared" si="3"/>
        <v>0</v>
      </c>
    </row>
    <row r="234" spans="2:4">
      <c r="B234" s="555">
        <f>B233+Arbeitszeit!Z234-Arbeitszeit!AE234</f>
        <v>0</v>
      </c>
      <c r="D234" s="211">
        <f t="shared" si="3"/>
        <v>0</v>
      </c>
    </row>
    <row r="235" spans="2:4">
      <c r="B235" s="555">
        <f>B234+Arbeitszeit!Z235-Arbeitszeit!AE235</f>
        <v>0</v>
      </c>
      <c r="D235" s="211">
        <f t="shared" si="3"/>
        <v>0</v>
      </c>
    </row>
    <row r="236" spans="2:4">
      <c r="B236" s="555">
        <f>B235+Arbeitszeit!Z236-Arbeitszeit!AE236</f>
        <v>0</v>
      </c>
      <c r="D236" s="211">
        <f t="shared" si="3"/>
        <v>0</v>
      </c>
    </row>
    <row r="237" spans="2:4">
      <c r="B237" s="555">
        <f>B236+Arbeitszeit!Z237-Arbeitszeit!AE237</f>
        <v>0</v>
      </c>
      <c r="D237" s="211">
        <f t="shared" si="3"/>
        <v>0</v>
      </c>
    </row>
    <row r="238" spans="2:4">
      <c r="B238" s="555">
        <f>B237+Arbeitszeit!Z238-Arbeitszeit!AE238</f>
        <v>0</v>
      </c>
      <c r="D238" s="211">
        <f t="shared" si="3"/>
        <v>0</v>
      </c>
    </row>
    <row r="239" spans="2:4">
      <c r="B239" s="555">
        <f>B238+Arbeitszeit!Z239-Arbeitszeit!AE239</f>
        <v>0</v>
      </c>
      <c r="D239" s="211">
        <f t="shared" si="3"/>
        <v>0</v>
      </c>
    </row>
    <row r="240" spans="2:4">
      <c r="B240" s="555">
        <f>B239+Arbeitszeit!Z240-Arbeitszeit!AE240</f>
        <v>0</v>
      </c>
      <c r="D240" s="211">
        <f t="shared" si="3"/>
        <v>0</v>
      </c>
    </row>
    <row r="241" spans="2:4">
      <c r="B241" s="555">
        <f>B240+Arbeitszeit!Z241-Arbeitszeit!AE241</f>
        <v>0</v>
      </c>
      <c r="D241" s="211">
        <f t="shared" si="3"/>
        <v>0</v>
      </c>
    </row>
    <row r="242" spans="2:4">
      <c r="B242" s="555">
        <f>B241+Arbeitszeit!Z242-Arbeitszeit!AE242</f>
        <v>0</v>
      </c>
      <c r="D242" s="211">
        <f t="shared" si="3"/>
        <v>0</v>
      </c>
    </row>
    <row r="243" spans="2:4">
      <c r="B243" s="555">
        <f>B242+Arbeitszeit!Z243-Arbeitszeit!AE243</f>
        <v>0</v>
      </c>
      <c r="D243" s="211">
        <f t="shared" si="3"/>
        <v>0</v>
      </c>
    </row>
    <row r="244" spans="2:4">
      <c r="B244" s="555">
        <f>B243+Arbeitszeit!Z244-Arbeitszeit!AE244</f>
        <v>0</v>
      </c>
      <c r="D244" s="211">
        <f t="shared" si="3"/>
        <v>0</v>
      </c>
    </row>
    <row r="245" spans="2:4">
      <c r="B245" s="555">
        <f>B244+Arbeitszeit!Z245-Arbeitszeit!AE245</f>
        <v>0</v>
      </c>
      <c r="D245" s="211">
        <f t="shared" si="3"/>
        <v>0</v>
      </c>
    </row>
    <row r="246" spans="2:4">
      <c r="B246" s="555">
        <f>B245+Arbeitszeit!Z246-Arbeitszeit!AE246</f>
        <v>0</v>
      </c>
      <c r="D246" s="211">
        <f t="shared" si="3"/>
        <v>0</v>
      </c>
    </row>
    <row r="247" spans="2:4">
      <c r="B247" s="555">
        <f>B246+Arbeitszeit!Z247-Arbeitszeit!AE247</f>
        <v>0</v>
      </c>
      <c r="D247" s="211">
        <f t="shared" si="3"/>
        <v>0</v>
      </c>
    </row>
    <row r="248" spans="2:4">
      <c r="B248" s="555">
        <f>B247+Arbeitszeit!Z248-Arbeitszeit!AE248</f>
        <v>0</v>
      </c>
      <c r="D248" s="211">
        <f t="shared" si="3"/>
        <v>0</v>
      </c>
    </row>
    <row r="249" spans="2:4">
      <c r="B249" s="555">
        <f>B248+Arbeitszeit!Z249-Arbeitszeit!AE249</f>
        <v>0</v>
      </c>
      <c r="D249" s="211">
        <f t="shared" si="3"/>
        <v>0</v>
      </c>
    </row>
    <row r="250" spans="2:4">
      <c r="B250" s="555">
        <f>B249+Arbeitszeit!Z250-Arbeitszeit!AE250</f>
        <v>0</v>
      </c>
      <c r="D250" s="211">
        <f t="shared" si="3"/>
        <v>0</v>
      </c>
    </row>
    <row r="251" spans="2:4">
      <c r="B251" s="555">
        <f>B250+Arbeitszeit!Z251-Arbeitszeit!AE251</f>
        <v>0</v>
      </c>
      <c r="D251" s="211">
        <f t="shared" si="3"/>
        <v>0</v>
      </c>
    </row>
    <row r="252" spans="2:4">
      <c r="B252" s="555">
        <f>B251+Arbeitszeit!Z252-Arbeitszeit!AE252</f>
        <v>0</v>
      </c>
      <c r="D252" s="211">
        <f t="shared" si="3"/>
        <v>0</v>
      </c>
    </row>
    <row r="253" spans="2:4">
      <c r="B253" s="555">
        <f>B252+Arbeitszeit!Z253-Arbeitszeit!AE253</f>
        <v>0</v>
      </c>
      <c r="D253" s="211">
        <f t="shared" si="3"/>
        <v>0</v>
      </c>
    </row>
    <row r="254" spans="2:4">
      <c r="B254" s="555">
        <f>B253+Arbeitszeit!Z254-Arbeitszeit!AE254</f>
        <v>0</v>
      </c>
      <c r="D254" s="211">
        <f t="shared" si="3"/>
        <v>0</v>
      </c>
    </row>
    <row r="255" spans="2:4">
      <c r="B255" s="555">
        <f>B254+Arbeitszeit!Z255-Arbeitszeit!AE255</f>
        <v>0</v>
      </c>
      <c r="D255" s="211">
        <f t="shared" si="3"/>
        <v>0</v>
      </c>
    </row>
    <row r="256" spans="2:4">
      <c r="B256" s="555">
        <f>B255+Arbeitszeit!Z256-Arbeitszeit!AE256</f>
        <v>0</v>
      </c>
      <c r="D256" s="211">
        <f t="shared" si="3"/>
        <v>0</v>
      </c>
    </row>
    <row r="257" spans="2:4">
      <c r="B257" s="555">
        <f>B256+Arbeitszeit!Z257-Arbeitszeit!AE257</f>
        <v>0</v>
      </c>
      <c r="D257" s="211">
        <f t="shared" si="3"/>
        <v>0</v>
      </c>
    </row>
    <row r="258" spans="2:4">
      <c r="B258" s="555">
        <f>B257+Arbeitszeit!Z258-Arbeitszeit!AE258</f>
        <v>0</v>
      </c>
      <c r="D258" s="211">
        <f t="shared" si="3"/>
        <v>0</v>
      </c>
    </row>
    <row r="259" spans="2:4">
      <c r="B259" s="555">
        <f>B258+Arbeitszeit!Z259-Arbeitszeit!AE259</f>
        <v>0</v>
      </c>
      <c r="D259" s="211">
        <f t="shared" si="3"/>
        <v>0</v>
      </c>
    </row>
    <row r="260" spans="2:4">
      <c r="B260" s="555">
        <f>B259+Arbeitszeit!Z260-Arbeitszeit!AE260</f>
        <v>0</v>
      </c>
      <c r="D260" s="211">
        <f t="shared" si="3"/>
        <v>0</v>
      </c>
    </row>
    <row r="261" spans="2:4">
      <c r="B261" s="555">
        <f>B260+Arbeitszeit!Z261-Arbeitszeit!AE261</f>
        <v>0</v>
      </c>
      <c r="D261" s="211">
        <f t="shared" si="3"/>
        <v>0</v>
      </c>
    </row>
    <row r="262" spans="2:4">
      <c r="B262" s="555">
        <f>B261+Arbeitszeit!Z262-Arbeitszeit!AE262</f>
        <v>0</v>
      </c>
      <c r="D262" s="211">
        <f t="shared" ref="D262:D325" si="4">db_jSumOverMax</f>
        <v>0</v>
      </c>
    </row>
    <row r="263" spans="2:4">
      <c r="B263" s="555">
        <f>B262+Arbeitszeit!Z263-Arbeitszeit!AE263</f>
        <v>0</v>
      </c>
      <c r="D263" s="211">
        <f t="shared" si="4"/>
        <v>0</v>
      </c>
    </row>
    <row r="264" spans="2:4">
      <c r="B264" s="555">
        <f>B263+Arbeitszeit!Z264-Arbeitszeit!AE264</f>
        <v>0</v>
      </c>
      <c r="D264" s="211">
        <f t="shared" si="4"/>
        <v>0</v>
      </c>
    </row>
    <row r="265" spans="2:4">
      <c r="B265" s="555">
        <f>B264+Arbeitszeit!Z265-Arbeitszeit!AE265</f>
        <v>0</v>
      </c>
      <c r="D265" s="211">
        <f t="shared" si="4"/>
        <v>0</v>
      </c>
    </row>
    <row r="266" spans="2:4">
      <c r="B266" s="555">
        <f>B265+Arbeitszeit!Z266-Arbeitszeit!AE266</f>
        <v>0</v>
      </c>
      <c r="D266" s="211">
        <f t="shared" si="4"/>
        <v>0</v>
      </c>
    </row>
    <row r="267" spans="2:4">
      <c r="B267" s="555">
        <f>B266+Arbeitszeit!Z267-Arbeitszeit!AE267</f>
        <v>0</v>
      </c>
      <c r="D267" s="211">
        <f t="shared" si="4"/>
        <v>0</v>
      </c>
    </row>
    <row r="268" spans="2:4">
      <c r="B268" s="555">
        <f>B267+Arbeitszeit!Z268-Arbeitszeit!AE268</f>
        <v>0</v>
      </c>
      <c r="D268" s="211">
        <f t="shared" si="4"/>
        <v>0</v>
      </c>
    </row>
    <row r="269" spans="2:4">
      <c r="B269" s="555">
        <f>B268+Arbeitszeit!Z269-Arbeitszeit!AE269</f>
        <v>0</v>
      </c>
      <c r="D269" s="211">
        <f t="shared" si="4"/>
        <v>0</v>
      </c>
    </row>
    <row r="270" spans="2:4">
      <c r="B270" s="555">
        <f>B269+Arbeitszeit!Z270-Arbeitszeit!AE270</f>
        <v>0</v>
      </c>
      <c r="D270" s="211">
        <f t="shared" si="4"/>
        <v>0</v>
      </c>
    </row>
    <row r="271" spans="2:4">
      <c r="B271" s="555">
        <f>B270+Arbeitszeit!Z271-Arbeitszeit!AE271</f>
        <v>0</v>
      </c>
      <c r="D271" s="211">
        <f t="shared" si="4"/>
        <v>0</v>
      </c>
    </row>
    <row r="272" spans="2:4">
      <c r="B272" s="555">
        <f>B271+Arbeitszeit!Z272-Arbeitszeit!AE272</f>
        <v>0</v>
      </c>
      <c r="D272" s="211">
        <f t="shared" si="4"/>
        <v>0</v>
      </c>
    </row>
    <row r="273" spans="2:4">
      <c r="B273" s="555">
        <f>B272+Arbeitszeit!Z273-Arbeitszeit!AE273</f>
        <v>0</v>
      </c>
      <c r="D273" s="211">
        <f t="shared" si="4"/>
        <v>0</v>
      </c>
    </row>
    <row r="274" spans="2:4">
      <c r="B274" s="555">
        <f>B273+Arbeitszeit!Z274-Arbeitszeit!AE274</f>
        <v>0</v>
      </c>
      <c r="D274" s="211">
        <f t="shared" si="4"/>
        <v>0</v>
      </c>
    </row>
    <row r="275" spans="2:4">
      <c r="B275" s="555">
        <f>B274+Arbeitszeit!Z275-Arbeitszeit!AE275</f>
        <v>0</v>
      </c>
      <c r="D275" s="211">
        <f t="shared" si="4"/>
        <v>0</v>
      </c>
    </row>
    <row r="276" spans="2:4">
      <c r="B276" s="555">
        <f>B275+Arbeitszeit!Z276-Arbeitszeit!AE276</f>
        <v>0</v>
      </c>
      <c r="D276" s="211">
        <f t="shared" si="4"/>
        <v>0</v>
      </c>
    </row>
    <row r="277" spans="2:4">
      <c r="B277" s="555">
        <f>B276+Arbeitszeit!Z277-Arbeitszeit!AE277</f>
        <v>0</v>
      </c>
      <c r="D277" s="211">
        <f t="shared" si="4"/>
        <v>0</v>
      </c>
    </row>
    <row r="278" spans="2:4">
      <c r="B278" s="555">
        <f>B277+Arbeitszeit!Z278-Arbeitszeit!AE278</f>
        <v>0</v>
      </c>
      <c r="D278" s="211">
        <f t="shared" si="4"/>
        <v>0</v>
      </c>
    </row>
    <row r="279" spans="2:4">
      <c r="B279" s="555">
        <f>B278+Arbeitszeit!Z279-Arbeitszeit!AE279</f>
        <v>0</v>
      </c>
      <c r="D279" s="211">
        <f t="shared" si="4"/>
        <v>0</v>
      </c>
    </row>
    <row r="280" spans="2:4">
      <c r="B280" s="555">
        <f>B279+Arbeitszeit!Z280-Arbeitszeit!AE280</f>
        <v>0</v>
      </c>
      <c r="D280" s="211">
        <f t="shared" si="4"/>
        <v>0</v>
      </c>
    </row>
    <row r="281" spans="2:4">
      <c r="B281" s="555">
        <f>B280+Arbeitszeit!Z281-Arbeitszeit!AE281</f>
        <v>0</v>
      </c>
      <c r="D281" s="211">
        <f t="shared" si="4"/>
        <v>0</v>
      </c>
    </row>
    <row r="282" spans="2:4">
      <c r="B282" s="555">
        <f>B281+Arbeitszeit!Z282-Arbeitszeit!AE282</f>
        <v>0</v>
      </c>
      <c r="D282" s="211">
        <f t="shared" si="4"/>
        <v>0</v>
      </c>
    </row>
    <row r="283" spans="2:4">
      <c r="B283" s="555">
        <f>B282+Arbeitszeit!Z283-Arbeitszeit!AE283</f>
        <v>0</v>
      </c>
      <c r="D283" s="211">
        <f t="shared" si="4"/>
        <v>0</v>
      </c>
    </row>
    <row r="284" spans="2:4">
      <c r="B284" s="555">
        <f>B283+Arbeitszeit!Z284-Arbeitszeit!AE284</f>
        <v>0</v>
      </c>
      <c r="D284" s="211">
        <f t="shared" si="4"/>
        <v>0</v>
      </c>
    </row>
    <row r="285" spans="2:4">
      <c r="B285" s="555">
        <f>B284+Arbeitszeit!Z285-Arbeitszeit!AE285</f>
        <v>0</v>
      </c>
      <c r="D285" s="211">
        <f t="shared" si="4"/>
        <v>0</v>
      </c>
    </row>
    <row r="286" spans="2:4">
      <c r="B286" s="555">
        <f>B285+Arbeitszeit!Z286-Arbeitszeit!AE286</f>
        <v>0</v>
      </c>
      <c r="D286" s="211">
        <f t="shared" si="4"/>
        <v>0</v>
      </c>
    </row>
    <row r="287" spans="2:4">
      <c r="B287" s="555">
        <f>B286+Arbeitszeit!Z287-Arbeitszeit!AE287</f>
        <v>0</v>
      </c>
      <c r="D287" s="211">
        <f t="shared" si="4"/>
        <v>0</v>
      </c>
    </row>
    <row r="288" spans="2:4">
      <c r="B288" s="555">
        <f>B287+Arbeitszeit!Z288-Arbeitszeit!AE288</f>
        <v>0</v>
      </c>
      <c r="D288" s="211">
        <f t="shared" si="4"/>
        <v>0</v>
      </c>
    </row>
    <row r="289" spans="2:4">
      <c r="B289" s="555">
        <f>B288+Arbeitszeit!Z289-Arbeitszeit!AE289</f>
        <v>0</v>
      </c>
      <c r="D289" s="211">
        <f t="shared" si="4"/>
        <v>0</v>
      </c>
    </row>
    <row r="290" spans="2:4">
      <c r="B290" s="555">
        <f>B289+Arbeitszeit!Z290-Arbeitszeit!AE290</f>
        <v>0</v>
      </c>
      <c r="D290" s="211">
        <f t="shared" si="4"/>
        <v>0</v>
      </c>
    </row>
    <row r="291" spans="2:4">
      <c r="B291" s="555">
        <f>B290+Arbeitszeit!Z291-Arbeitszeit!AE291</f>
        <v>0</v>
      </c>
      <c r="D291" s="211">
        <f t="shared" si="4"/>
        <v>0</v>
      </c>
    </row>
    <row r="292" spans="2:4">
      <c r="B292" s="555">
        <f>B291+Arbeitszeit!Z292-Arbeitszeit!AE292</f>
        <v>0</v>
      </c>
      <c r="D292" s="211">
        <f t="shared" si="4"/>
        <v>0</v>
      </c>
    </row>
    <row r="293" spans="2:4">
      <c r="B293" s="555">
        <f>B292+Arbeitszeit!Z293-Arbeitszeit!AE293</f>
        <v>0</v>
      </c>
      <c r="D293" s="211">
        <f t="shared" si="4"/>
        <v>0</v>
      </c>
    </row>
    <row r="294" spans="2:4">
      <c r="B294" s="555">
        <f>B293+Arbeitszeit!Z294-Arbeitszeit!AE294</f>
        <v>0</v>
      </c>
      <c r="D294" s="211">
        <f t="shared" si="4"/>
        <v>0</v>
      </c>
    </row>
    <row r="295" spans="2:4">
      <c r="B295" s="555">
        <f>B294+Arbeitszeit!Z295-Arbeitszeit!AE295</f>
        <v>0</v>
      </c>
      <c r="D295" s="211">
        <f t="shared" si="4"/>
        <v>0</v>
      </c>
    </row>
    <row r="296" spans="2:4">
      <c r="B296" s="555">
        <f>B295+Arbeitszeit!Z296-Arbeitszeit!AE296</f>
        <v>0</v>
      </c>
      <c r="D296" s="211">
        <f t="shared" si="4"/>
        <v>0</v>
      </c>
    </row>
    <row r="297" spans="2:4">
      <c r="B297" s="555">
        <f>B296+Arbeitszeit!Z297-Arbeitszeit!AE297</f>
        <v>0</v>
      </c>
      <c r="D297" s="211">
        <f t="shared" si="4"/>
        <v>0</v>
      </c>
    </row>
    <row r="298" spans="2:4">
      <c r="B298" s="555">
        <f>B297+Arbeitszeit!Z298-Arbeitszeit!AE298</f>
        <v>0</v>
      </c>
      <c r="D298" s="211">
        <f t="shared" si="4"/>
        <v>0</v>
      </c>
    </row>
    <row r="299" spans="2:4">
      <c r="B299" s="555">
        <f>B298+Arbeitszeit!Z299-Arbeitszeit!AE299</f>
        <v>0</v>
      </c>
      <c r="D299" s="211">
        <f t="shared" si="4"/>
        <v>0</v>
      </c>
    </row>
    <row r="300" spans="2:4">
      <c r="B300" s="555">
        <f>B299+Arbeitszeit!Z300-Arbeitszeit!AE300</f>
        <v>0</v>
      </c>
      <c r="D300" s="211">
        <f t="shared" si="4"/>
        <v>0</v>
      </c>
    </row>
    <row r="301" spans="2:4">
      <c r="B301" s="555">
        <f>B300+Arbeitszeit!Z301-Arbeitszeit!AE301</f>
        <v>0</v>
      </c>
      <c r="D301" s="211">
        <f t="shared" si="4"/>
        <v>0</v>
      </c>
    </row>
    <row r="302" spans="2:4">
      <c r="B302" s="555">
        <f>B301+Arbeitszeit!Z302-Arbeitszeit!AE302</f>
        <v>0</v>
      </c>
      <c r="D302" s="211">
        <f t="shared" si="4"/>
        <v>0</v>
      </c>
    </row>
    <row r="303" spans="2:4">
      <c r="B303" s="555">
        <f>B302+Arbeitszeit!Z303-Arbeitszeit!AE303</f>
        <v>0</v>
      </c>
      <c r="D303" s="211">
        <f t="shared" si="4"/>
        <v>0</v>
      </c>
    </row>
    <row r="304" spans="2:4">
      <c r="B304" s="555">
        <f>B303+Arbeitszeit!Z304-Arbeitszeit!AE304</f>
        <v>0</v>
      </c>
      <c r="D304" s="211">
        <f t="shared" si="4"/>
        <v>0</v>
      </c>
    </row>
    <row r="305" spans="2:4">
      <c r="B305" s="555">
        <f>B304+Arbeitszeit!Z305-Arbeitszeit!AE305</f>
        <v>0</v>
      </c>
      <c r="D305" s="211">
        <f t="shared" si="4"/>
        <v>0</v>
      </c>
    </row>
    <row r="306" spans="2:4">
      <c r="B306" s="555">
        <f>B305+Arbeitszeit!Z306-Arbeitszeit!AE306</f>
        <v>0</v>
      </c>
      <c r="D306" s="211">
        <f t="shared" si="4"/>
        <v>0</v>
      </c>
    </row>
    <row r="307" spans="2:4">
      <c r="B307" s="555">
        <f>B306+Arbeitszeit!Z307-Arbeitszeit!AE307</f>
        <v>0</v>
      </c>
      <c r="D307" s="211">
        <f t="shared" si="4"/>
        <v>0</v>
      </c>
    </row>
    <row r="308" spans="2:4">
      <c r="B308" s="555">
        <f>B307+Arbeitszeit!Z308-Arbeitszeit!AE308</f>
        <v>0</v>
      </c>
      <c r="D308" s="211">
        <f t="shared" si="4"/>
        <v>0</v>
      </c>
    </row>
    <row r="309" spans="2:4">
      <c r="B309" s="555">
        <f>B308+Arbeitszeit!Z309-Arbeitszeit!AE309</f>
        <v>0</v>
      </c>
      <c r="D309" s="211">
        <f t="shared" si="4"/>
        <v>0</v>
      </c>
    </row>
    <row r="310" spans="2:4">
      <c r="B310" s="555">
        <f>B309+Arbeitszeit!Z310-Arbeitszeit!AE310</f>
        <v>0</v>
      </c>
      <c r="D310" s="211">
        <f t="shared" si="4"/>
        <v>0</v>
      </c>
    </row>
    <row r="311" spans="2:4">
      <c r="B311" s="555">
        <f>B310+Arbeitszeit!Z311-Arbeitszeit!AE311</f>
        <v>0</v>
      </c>
      <c r="D311" s="211">
        <f t="shared" si="4"/>
        <v>0</v>
      </c>
    </row>
    <row r="312" spans="2:4">
      <c r="B312" s="555">
        <f>B311+Arbeitszeit!Z312-Arbeitszeit!AE312</f>
        <v>0</v>
      </c>
      <c r="D312" s="211">
        <f t="shared" si="4"/>
        <v>0</v>
      </c>
    </row>
    <row r="313" spans="2:4">
      <c r="B313" s="555">
        <f>B312+Arbeitszeit!Z313-Arbeitszeit!AE313</f>
        <v>0</v>
      </c>
      <c r="D313" s="211">
        <f t="shared" si="4"/>
        <v>0</v>
      </c>
    </row>
    <row r="314" spans="2:4">
      <c r="B314" s="555">
        <f>B313+Arbeitszeit!Z314-Arbeitszeit!AE314</f>
        <v>0</v>
      </c>
      <c r="D314" s="211">
        <f t="shared" si="4"/>
        <v>0</v>
      </c>
    </row>
    <row r="315" spans="2:4">
      <c r="B315" s="555">
        <f>B314+Arbeitszeit!Z315-Arbeitszeit!AE315</f>
        <v>0</v>
      </c>
      <c r="D315" s="211">
        <f t="shared" si="4"/>
        <v>0</v>
      </c>
    </row>
    <row r="316" spans="2:4">
      <c r="B316" s="555">
        <f>B315+Arbeitszeit!Z316-Arbeitszeit!AE316</f>
        <v>0</v>
      </c>
      <c r="D316" s="211">
        <f t="shared" si="4"/>
        <v>0</v>
      </c>
    </row>
    <row r="317" spans="2:4">
      <c r="B317" s="555">
        <f>B316+Arbeitszeit!Z317-Arbeitszeit!AE317</f>
        <v>0</v>
      </c>
      <c r="D317" s="211">
        <f t="shared" si="4"/>
        <v>0</v>
      </c>
    </row>
    <row r="318" spans="2:4">
      <c r="B318" s="555">
        <f>B317+Arbeitszeit!Z318-Arbeitszeit!AE318</f>
        <v>0</v>
      </c>
      <c r="D318" s="211">
        <f t="shared" si="4"/>
        <v>0</v>
      </c>
    </row>
    <row r="319" spans="2:4">
      <c r="B319" s="555">
        <f>B318+Arbeitszeit!Z319-Arbeitszeit!AE319</f>
        <v>0</v>
      </c>
      <c r="D319" s="211">
        <f t="shared" si="4"/>
        <v>0</v>
      </c>
    </row>
    <row r="320" spans="2:4">
      <c r="B320" s="555">
        <f>B319+Arbeitszeit!Z320-Arbeitszeit!AE320</f>
        <v>0</v>
      </c>
      <c r="D320" s="211">
        <f t="shared" si="4"/>
        <v>0</v>
      </c>
    </row>
    <row r="321" spans="2:4">
      <c r="B321" s="555">
        <f>B320+Arbeitszeit!Z321-Arbeitszeit!AE321</f>
        <v>0</v>
      </c>
      <c r="D321" s="211">
        <f t="shared" si="4"/>
        <v>0</v>
      </c>
    </row>
    <row r="322" spans="2:4">
      <c r="B322" s="555">
        <f>B321+Arbeitszeit!Z322-Arbeitszeit!AE322</f>
        <v>0</v>
      </c>
      <c r="D322" s="211">
        <f t="shared" si="4"/>
        <v>0</v>
      </c>
    </row>
    <row r="323" spans="2:4">
      <c r="B323" s="555">
        <f>B322+Arbeitszeit!Z323-Arbeitszeit!AE323</f>
        <v>0</v>
      </c>
      <c r="D323" s="211">
        <f t="shared" si="4"/>
        <v>0</v>
      </c>
    </row>
    <row r="324" spans="2:4">
      <c r="B324" s="555">
        <f>B323+Arbeitszeit!Z324-Arbeitszeit!AE324</f>
        <v>0</v>
      </c>
      <c r="D324" s="211">
        <f t="shared" si="4"/>
        <v>0</v>
      </c>
    </row>
    <row r="325" spans="2:4">
      <c r="B325" s="555">
        <f>B324+Arbeitszeit!Z325-Arbeitszeit!AE325</f>
        <v>0</v>
      </c>
      <c r="D325" s="211">
        <f t="shared" si="4"/>
        <v>0</v>
      </c>
    </row>
    <row r="326" spans="2:4">
      <c r="B326" s="555">
        <f>B325+Arbeitszeit!Z326-Arbeitszeit!AE326</f>
        <v>0</v>
      </c>
      <c r="D326" s="211">
        <f t="shared" ref="D326:D373" si="5">db_jSumOverMax</f>
        <v>0</v>
      </c>
    </row>
    <row r="327" spans="2:4">
      <c r="B327" s="555">
        <f>B326+Arbeitszeit!Z327-Arbeitszeit!AE327</f>
        <v>0</v>
      </c>
      <c r="D327" s="211">
        <f t="shared" si="5"/>
        <v>0</v>
      </c>
    </row>
    <row r="328" spans="2:4">
      <c r="B328" s="555">
        <f>B327+Arbeitszeit!Z328-Arbeitszeit!AE328</f>
        <v>0</v>
      </c>
      <c r="D328" s="211">
        <f t="shared" si="5"/>
        <v>0</v>
      </c>
    </row>
    <row r="329" spans="2:4">
      <c r="B329" s="555">
        <f>B328+Arbeitszeit!Z329-Arbeitszeit!AE329</f>
        <v>0</v>
      </c>
      <c r="D329" s="211">
        <f t="shared" si="5"/>
        <v>0</v>
      </c>
    </row>
    <row r="330" spans="2:4">
      <c r="B330" s="555">
        <f>B329+Arbeitszeit!Z330-Arbeitszeit!AE330</f>
        <v>0</v>
      </c>
      <c r="D330" s="211">
        <f t="shared" si="5"/>
        <v>0</v>
      </c>
    </row>
    <row r="331" spans="2:4">
      <c r="B331" s="555">
        <f>B330+Arbeitszeit!Z331-Arbeitszeit!AE331</f>
        <v>0</v>
      </c>
      <c r="D331" s="211">
        <f t="shared" si="5"/>
        <v>0</v>
      </c>
    </row>
    <row r="332" spans="2:4">
      <c r="B332" s="555">
        <f>B331+Arbeitszeit!Z332-Arbeitszeit!AE332</f>
        <v>0</v>
      </c>
      <c r="D332" s="211">
        <f t="shared" si="5"/>
        <v>0</v>
      </c>
    </row>
    <row r="333" spans="2:4">
      <c r="B333" s="555">
        <f>B332+Arbeitszeit!Z333-Arbeitszeit!AE333</f>
        <v>0</v>
      </c>
      <c r="D333" s="211">
        <f t="shared" si="5"/>
        <v>0</v>
      </c>
    </row>
    <row r="334" spans="2:4">
      <c r="B334" s="555">
        <f>B333+Arbeitszeit!Z334-Arbeitszeit!AE334</f>
        <v>0</v>
      </c>
      <c r="D334" s="211">
        <f t="shared" si="5"/>
        <v>0</v>
      </c>
    </row>
    <row r="335" spans="2:4">
      <c r="B335" s="555">
        <f>B334+Arbeitszeit!Z335-Arbeitszeit!AE335</f>
        <v>0</v>
      </c>
      <c r="D335" s="211">
        <f t="shared" si="5"/>
        <v>0</v>
      </c>
    </row>
    <row r="336" spans="2:4">
      <c r="B336" s="555">
        <f>B335+Arbeitszeit!Z336-Arbeitszeit!AE336</f>
        <v>0</v>
      </c>
      <c r="D336" s="211">
        <f t="shared" si="5"/>
        <v>0</v>
      </c>
    </row>
    <row r="337" spans="2:4">
      <c r="B337" s="555">
        <f>B336+Arbeitszeit!Z337-Arbeitszeit!AE337</f>
        <v>0</v>
      </c>
      <c r="D337" s="211">
        <f t="shared" si="5"/>
        <v>0</v>
      </c>
    </row>
    <row r="338" spans="2:4">
      <c r="B338" s="555">
        <f>B337+Arbeitszeit!Z338-Arbeitszeit!AE338</f>
        <v>0</v>
      </c>
      <c r="D338" s="211">
        <f t="shared" si="5"/>
        <v>0</v>
      </c>
    </row>
    <row r="339" spans="2:4">
      <c r="B339" s="555">
        <f>B338+Arbeitszeit!Z339-Arbeitszeit!AE339</f>
        <v>0</v>
      </c>
      <c r="D339" s="211">
        <f t="shared" si="5"/>
        <v>0</v>
      </c>
    </row>
    <row r="340" spans="2:4">
      <c r="B340" s="555">
        <f>B339+Arbeitszeit!Z340-Arbeitszeit!AE340</f>
        <v>0</v>
      </c>
      <c r="D340" s="211">
        <f t="shared" si="5"/>
        <v>0</v>
      </c>
    </row>
    <row r="341" spans="2:4">
      <c r="B341" s="555">
        <f>B340+Arbeitszeit!Z341-Arbeitszeit!AE341</f>
        <v>0</v>
      </c>
      <c r="D341" s="211">
        <f t="shared" si="5"/>
        <v>0</v>
      </c>
    </row>
    <row r="342" spans="2:4">
      <c r="B342" s="555">
        <f>B341+Arbeitszeit!Z342-Arbeitszeit!AE342</f>
        <v>0</v>
      </c>
      <c r="D342" s="211">
        <f t="shared" si="5"/>
        <v>0</v>
      </c>
    </row>
    <row r="343" spans="2:4">
      <c r="B343" s="555">
        <f>B342+Arbeitszeit!Z343-Arbeitszeit!AE343</f>
        <v>0</v>
      </c>
      <c r="D343" s="211">
        <f t="shared" si="5"/>
        <v>0</v>
      </c>
    </row>
    <row r="344" spans="2:4">
      <c r="B344" s="555">
        <f>B343+Arbeitszeit!Z344-Arbeitszeit!AE344</f>
        <v>0</v>
      </c>
      <c r="D344" s="211">
        <f t="shared" si="5"/>
        <v>0</v>
      </c>
    </row>
    <row r="345" spans="2:4">
      <c r="B345" s="555">
        <f>B344+Arbeitszeit!Z345-Arbeitszeit!AE345</f>
        <v>0</v>
      </c>
      <c r="D345" s="211">
        <f t="shared" si="5"/>
        <v>0</v>
      </c>
    </row>
    <row r="346" spans="2:4">
      <c r="B346" s="555">
        <f>B345+Arbeitszeit!Z346-Arbeitszeit!AE346</f>
        <v>0</v>
      </c>
      <c r="D346" s="211">
        <f t="shared" si="5"/>
        <v>0</v>
      </c>
    </row>
    <row r="347" spans="2:4">
      <c r="B347" s="555">
        <f>B346+Arbeitszeit!Z347-Arbeitszeit!AE347</f>
        <v>0</v>
      </c>
      <c r="D347" s="211">
        <f t="shared" si="5"/>
        <v>0</v>
      </c>
    </row>
    <row r="348" spans="2:4">
      <c r="B348" s="555">
        <f>B347+Arbeitszeit!Z348-Arbeitszeit!AE348</f>
        <v>0</v>
      </c>
      <c r="D348" s="211">
        <f t="shared" si="5"/>
        <v>0</v>
      </c>
    </row>
    <row r="349" spans="2:4">
      <c r="B349" s="555">
        <f>B348+Arbeitszeit!Z349-Arbeitszeit!AE349</f>
        <v>0</v>
      </c>
      <c r="D349" s="211">
        <f t="shared" si="5"/>
        <v>0</v>
      </c>
    </row>
    <row r="350" spans="2:4">
      <c r="B350" s="555">
        <f>B349+Arbeitszeit!Z350-Arbeitszeit!AE350</f>
        <v>0</v>
      </c>
      <c r="D350" s="211">
        <f t="shared" si="5"/>
        <v>0</v>
      </c>
    </row>
    <row r="351" spans="2:4">
      <c r="B351" s="555">
        <f>B350+Arbeitszeit!Z351-Arbeitszeit!AE351</f>
        <v>0</v>
      </c>
      <c r="D351" s="211">
        <f t="shared" si="5"/>
        <v>0</v>
      </c>
    </row>
    <row r="352" spans="2:4">
      <c r="B352" s="555">
        <f>B351+Arbeitszeit!Z352-Arbeitszeit!AE352</f>
        <v>0</v>
      </c>
      <c r="D352" s="211">
        <f t="shared" si="5"/>
        <v>0</v>
      </c>
    </row>
    <row r="353" spans="2:4">
      <c r="B353" s="555">
        <f>B352+Arbeitszeit!Z353-Arbeitszeit!AE353</f>
        <v>0</v>
      </c>
      <c r="D353" s="211">
        <f t="shared" si="5"/>
        <v>0</v>
      </c>
    </row>
    <row r="354" spans="2:4">
      <c r="B354" s="555">
        <f>B353+Arbeitszeit!Z354-Arbeitszeit!AE354</f>
        <v>0</v>
      </c>
      <c r="D354" s="211">
        <f t="shared" si="5"/>
        <v>0</v>
      </c>
    </row>
    <row r="355" spans="2:4">
      <c r="B355" s="555">
        <f>B354+Arbeitszeit!Z355-Arbeitszeit!AE355</f>
        <v>0</v>
      </c>
      <c r="D355" s="211">
        <f t="shared" si="5"/>
        <v>0</v>
      </c>
    </row>
    <row r="356" spans="2:4">
      <c r="B356" s="555">
        <f>B355+Arbeitszeit!Z356-Arbeitszeit!AE356</f>
        <v>0</v>
      </c>
      <c r="D356" s="211">
        <f t="shared" si="5"/>
        <v>0</v>
      </c>
    </row>
    <row r="357" spans="2:4">
      <c r="B357" s="555">
        <f>B356+Arbeitszeit!Z357-Arbeitszeit!AE357</f>
        <v>0</v>
      </c>
      <c r="D357" s="211">
        <f t="shared" si="5"/>
        <v>0</v>
      </c>
    </row>
    <row r="358" spans="2:4">
      <c r="B358" s="555">
        <f>B357+Arbeitszeit!Z358-Arbeitszeit!AE358</f>
        <v>0</v>
      </c>
      <c r="D358" s="211">
        <f t="shared" si="5"/>
        <v>0</v>
      </c>
    </row>
    <row r="359" spans="2:4">
      <c r="B359" s="555">
        <f>B358+Arbeitszeit!Z359-Arbeitszeit!AE359</f>
        <v>0</v>
      </c>
      <c r="D359" s="211">
        <f t="shared" si="5"/>
        <v>0</v>
      </c>
    </row>
    <row r="360" spans="2:4">
      <c r="B360" s="555">
        <f>B359+Arbeitszeit!Z360-Arbeitszeit!AE360</f>
        <v>0</v>
      </c>
      <c r="D360" s="211">
        <f t="shared" si="5"/>
        <v>0</v>
      </c>
    </row>
    <row r="361" spans="2:4">
      <c r="B361" s="555">
        <f>B360+Arbeitszeit!Z361-Arbeitszeit!AE361</f>
        <v>0</v>
      </c>
      <c r="D361" s="211">
        <f t="shared" si="5"/>
        <v>0</v>
      </c>
    </row>
    <row r="362" spans="2:4">
      <c r="B362" s="555">
        <f>B361+Arbeitszeit!Z362-Arbeitszeit!AE362</f>
        <v>0</v>
      </c>
      <c r="D362" s="211">
        <f t="shared" si="5"/>
        <v>0</v>
      </c>
    </row>
    <row r="363" spans="2:4">
      <c r="B363" s="555">
        <f>B362+Arbeitszeit!Z363-Arbeitszeit!AE363</f>
        <v>0</v>
      </c>
      <c r="D363" s="211">
        <f t="shared" si="5"/>
        <v>0</v>
      </c>
    </row>
    <row r="364" spans="2:4">
      <c r="B364" s="555">
        <f>B363+Arbeitszeit!Z364-Arbeitszeit!AE364</f>
        <v>0</v>
      </c>
      <c r="D364" s="211">
        <f t="shared" si="5"/>
        <v>0</v>
      </c>
    </row>
    <row r="365" spans="2:4">
      <c r="B365" s="555">
        <f>B364+Arbeitszeit!Z365-Arbeitszeit!AE365</f>
        <v>0</v>
      </c>
      <c r="D365" s="211">
        <f t="shared" si="5"/>
        <v>0</v>
      </c>
    </row>
    <row r="366" spans="2:4">
      <c r="B366" s="555">
        <f>B365+Arbeitszeit!Z366-Arbeitszeit!AE366</f>
        <v>0</v>
      </c>
      <c r="D366" s="211">
        <f t="shared" si="5"/>
        <v>0</v>
      </c>
    </row>
    <row r="367" spans="2:4">
      <c r="B367" s="555">
        <f>B366+Arbeitszeit!Z367-Arbeitszeit!AE367</f>
        <v>0</v>
      </c>
      <c r="D367" s="211">
        <f t="shared" si="5"/>
        <v>0</v>
      </c>
    </row>
    <row r="368" spans="2:4">
      <c r="B368" s="555">
        <f>B367+Arbeitszeit!Z368-Arbeitszeit!AE368</f>
        <v>0</v>
      </c>
      <c r="D368" s="211">
        <f t="shared" si="5"/>
        <v>0</v>
      </c>
    </row>
    <row r="369" spans="2:4">
      <c r="B369" s="555">
        <f>B368+Arbeitszeit!Z369-Arbeitszeit!AE369</f>
        <v>0</v>
      </c>
      <c r="D369" s="211">
        <f t="shared" si="5"/>
        <v>0</v>
      </c>
    </row>
    <row r="370" spans="2:4">
      <c r="B370" s="555">
        <f>B369+Arbeitszeit!Z370-Arbeitszeit!AE370</f>
        <v>0</v>
      </c>
      <c r="D370" s="211">
        <f t="shared" si="5"/>
        <v>0</v>
      </c>
    </row>
    <row r="371" spans="2:4">
      <c r="B371" s="555">
        <f>B370+Arbeitszeit!Z371-Arbeitszeit!AE371</f>
        <v>0</v>
      </c>
      <c r="D371" s="211">
        <f t="shared" si="5"/>
        <v>0</v>
      </c>
    </row>
    <row r="372" spans="2:4">
      <c r="B372" s="555">
        <f>B371+Arbeitszeit!Z372-Arbeitszeit!AE372</f>
        <v>0</v>
      </c>
      <c r="D372" s="211">
        <f t="shared" si="5"/>
        <v>0</v>
      </c>
    </row>
    <row r="373" spans="2:4">
      <c r="B373" s="555">
        <f>B372+Arbeitszeit!Z373-Arbeitszeit!AE373</f>
        <v>0</v>
      </c>
      <c r="D373" s="211">
        <f t="shared" si="5"/>
        <v>0</v>
      </c>
    </row>
    <row r="374" spans="2:4">
      <c r="B374" s="555"/>
      <c r="D374" s="211"/>
    </row>
    <row r="375" spans="2:4">
      <c r="D375" s="211"/>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RowHeight="12.75"/>
  <cols>
    <col min="1" max="1" width="11.7109375" customWidth="1"/>
    <col min="2" max="2" width="0.85546875" customWidth="1"/>
    <col min="3" max="3" width="7" customWidth="1"/>
    <col min="4" max="4" width="19.140625" customWidth="1"/>
    <col min="5" max="16" width="4.7109375" customWidth="1"/>
    <col min="17" max="17" width="3.5703125" style="518" hidden="1" customWidth="1"/>
    <col min="18" max="18" width="7" customWidth="1"/>
    <col min="19" max="19" width="34.28515625" bestFit="1" customWidth="1"/>
  </cols>
  <sheetData>
    <row r="1" spans="1:19">
      <c r="A1" s="1" t="s">
        <v>99</v>
      </c>
      <c r="B1" s="1"/>
      <c r="C1" s="2" t="str">
        <f>B_PersonName</f>
        <v>Name</v>
      </c>
      <c r="F1" s="4" t="s">
        <v>100</v>
      </c>
      <c r="G1" s="79" t="str">
        <f>B_Department</f>
        <v>Abteilung</v>
      </c>
    </row>
    <row r="2" spans="1:19" ht="13.5" thickBot="1">
      <c r="A2" s="160" t="str">
        <f ca="1">CELL("filename",A2)</f>
        <v>D:\_pdata\GLAZ\andi\[vGlaz2018.xlsm]AufgabenM</v>
      </c>
      <c r="B2" s="160"/>
      <c r="D2" s="3"/>
    </row>
    <row r="3" spans="1:19" ht="51" customHeight="1" thickBot="1">
      <c r="A3" s="519">
        <f>Arbeitszeit!xJahr</f>
        <v>41639</v>
      </c>
      <c r="B3" s="520"/>
      <c r="C3" s="553" t="s">
        <v>76</v>
      </c>
      <c r="D3" s="554" t="s">
        <v>77</v>
      </c>
      <c r="E3" s="550">
        <f>Arbeitszeit!xJahr</f>
        <v>41639</v>
      </c>
      <c r="F3" s="550">
        <f t="shared" ref="F3:Q3" si="0">DATE(YEAR(E3),MONTH(E3)+1,1)</f>
        <v>41670</v>
      </c>
      <c r="G3" s="550">
        <f t="shared" si="0"/>
        <v>41698</v>
      </c>
      <c r="H3" s="550">
        <f t="shared" si="0"/>
        <v>41729</v>
      </c>
      <c r="I3" s="550">
        <f t="shared" si="0"/>
        <v>41759</v>
      </c>
      <c r="J3" s="550">
        <f t="shared" si="0"/>
        <v>41790</v>
      </c>
      <c r="K3" s="550">
        <f t="shared" si="0"/>
        <v>41820</v>
      </c>
      <c r="L3" s="550">
        <f t="shared" si="0"/>
        <v>41851</v>
      </c>
      <c r="M3" s="550">
        <f t="shared" si="0"/>
        <v>41882</v>
      </c>
      <c r="N3" s="550">
        <f t="shared" si="0"/>
        <v>41912</v>
      </c>
      <c r="O3" s="550">
        <f t="shared" si="0"/>
        <v>41943</v>
      </c>
      <c r="P3" s="550">
        <f t="shared" si="0"/>
        <v>41973</v>
      </c>
      <c r="Q3" s="551">
        <f t="shared" si="0"/>
        <v>42004</v>
      </c>
      <c r="R3" s="552" t="s">
        <v>78</v>
      </c>
      <c r="S3" s="521" t="s">
        <v>18</v>
      </c>
    </row>
    <row r="4" spans="1:19">
      <c r="A4" s="534" t="str">
        <f>INDEX(g_NameAufgaben,$B4)</f>
        <v>Urlaub</v>
      </c>
      <c r="B4" s="522">
        <v>1</v>
      </c>
      <c r="C4" s="538"/>
      <c r="D4" s="523"/>
      <c r="E4" s="556">
        <f t="shared" ref="E4:P4" ca="1" si="1">SUM(OFFSET(db_Aufgaben,MATCH(E$3,db_Aufgaben_Zeit,0)+1,($B4-1)*2,F$3-E$3,1))</f>
        <v>0</v>
      </c>
      <c r="F4" s="556">
        <f t="shared" ca="1" si="1"/>
        <v>0</v>
      </c>
      <c r="G4" s="556">
        <f t="shared" ca="1" si="1"/>
        <v>0</v>
      </c>
      <c r="H4" s="556">
        <f t="shared" ca="1" si="1"/>
        <v>0</v>
      </c>
      <c r="I4" s="556">
        <f t="shared" ca="1" si="1"/>
        <v>0</v>
      </c>
      <c r="J4" s="556">
        <f t="shared" ca="1" si="1"/>
        <v>0</v>
      </c>
      <c r="K4" s="556">
        <f t="shared" ca="1" si="1"/>
        <v>0</v>
      </c>
      <c r="L4" s="556">
        <f t="shared" ca="1" si="1"/>
        <v>0</v>
      </c>
      <c r="M4" s="556">
        <f t="shared" ca="1" si="1"/>
        <v>0</v>
      </c>
      <c r="N4" s="556">
        <f t="shared" ca="1" si="1"/>
        <v>0</v>
      </c>
      <c r="O4" s="556">
        <f t="shared" ca="1" si="1"/>
        <v>0</v>
      </c>
      <c r="P4" s="556">
        <f t="shared" ca="1" si="1"/>
        <v>0</v>
      </c>
      <c r="Q4" s="557"/>
      <c r="R4" s="558">
        <f t="shared" ref="R4:R25" ca="1" si="2">SUM(E4:P4)</f>
        <v>0</v>
      </c>
      <c r="S4" s="524"/>
    </row>
    <row r="5" spans="1:19">
      <c r="A5" s="535" t="str">
        <f t="shared" ref="A5:A25" si="3">INDEX(g_NameAufgaben,$B5)</f>
        <v>Krank</v>
      </c>
      <c r="B5" s="525">
        <v>2</v>
      </c>
      <c r="C5" s="539"/>
      <c r="D5" s="174"/>
      <c r="E5" s="559">
        <f t="shared" ref="E5:P5" ca="1" si="4">SUM(OFFSET(db_Aufgaben,MATCH(E$3,db_Aufgaben_Zeit,0)+1,($B5-1)*2,F$3-E$3,1))</f>
        <v>0</v>
      </c>
      <c r="F5" s="559">
        <f t="shared" ca="1" si="4"/>
        <v>0</v>
      </c>
      <c r="G5" s="559">
        <f t="shared" ca="1" si="4"/>
        <v>0</v>
      </c>
      <c r="H5" s="559">
        <f t="shared" ca="1" si="4"/>
        <v>0</v>
      </c>
      <c r="I5" s="559">
        <f t="shared" ca="1" si="4"/>
        <v>0</v>
      </c>
      <c r="J5" s="559">
        <f t="shared" ca="1" si="4"/>
        <v>0</v>
      </c>
      <c r="K5" s="559">
        <f t="shared" ca="1" si="4"/>
        <v>0</v>
      </c>
      <c r="L5" s="559">
        <f t="shared" ca="1" si="4"/>
        <v>0</v>
      </c>
      <c r="M5" s="559">
        <f t="shared" ca="1" si="4"/>
        <v>0</v>
      </c>
      <c r="N5" s="559">
        <f t="shared" ca="1" si="4"/>
        <v>0</v>
      </c>
      <c r="O5" s="559">
        <f t="shared" ca="1" si="4"/>
        <v>0</v>
      </c>
      <c r="P5" s="559">
        <f t="shared" ca="1" si="4"/>
        <v>0</v>
      </c>
      <c r="Q5" s="560"/>
      <c r="R5" s="561">
        <f t="shared" ca="1" si="2"/>
        <v>0</v>
      </c>
      <c r="S5" s="526"/>
    </row>
    <row r="6" spans="1:19">
      <c r="A6" s="536" t="str">
        <f t="shared" si="3"/>
        <v>Allgemein</v>
      </c>
      <c r="B6" s="527">
        <v>3</v>
      </c>
      <c r="C6" s="540"/>
      <c r="D6" s="528"/>
      <c r="E6" s="562">
        <f t="shared" ref="E6:P6" ca="1" si="5">SUM(OFFSET(db_Aufgaben,MATCH(E$3,db_Aufgaben_Zeit,0)+1,($B6-1)*2,F$3-E$3,1))</f>
        <v>0</v>
      </c>
      <c r="F6" s="562">
        <f t="shared" ca="1" si="5"/>
        <v>0</v>
      </c>
      <c r="G6" s="562">
        <f t="shared" ca="1" si="5"/>
        <v>0</v>
      </c>
      <c r="H6" s="562">
        <f t="shared" ca="1" si="5"/>
        <v>0</v>
      </c>
      <c r="I6" s="562">
        <f t="shared" ca="1" si="5"/>
        <v>0</v>
      </c>
      <c r="J6" s="562">
        <f t="shared" ca="1" si="5"/>
        <v>0</v>
      </c>
      <c r="K6" s="562">
        <f t="shared" ca="1" si="5"/>
        <v>0</v>
      </c>
      <c r="L6" s="562">
        <f t="shared" ca="1" si="5"/>
        <v>0</v>
      </c>
      <c r="M6" s="562">
        <f t="shared" ca="1" si="5"/>
        <v>0</v>
      </c>
      <c r="N6" s="562">
        <f t="shared" ca="1" si="5"/>
        <v>0</v>
      </c>
      <c r="O6" s="562">
        <f t="shared" ca="1" si="5"/>
        <v>0</v>
      </c>
      <c r="P6" s="562">
        <f t="shared" ca="1" si="5"/>
        <v>0</v>
      </c>
      <c r="Q6" s="563"/>
      <c r="R6" s="564">
        <f t="shared" ca="1" si="2"/>
        <v>0</v>
      </c>
      <c r="S6" s="529"/>
    </row>
    <row r="7" spans="1:19">
      <c r="A7" s="537" t="str">
        <f t="shared" si="3"/>
        <v>Aufgabe 01</v>
      </c>
      <c r="B7" s="530">
        <v>4</v>
      </c>
      <c r="C7" s="541"/>
      <c r="D7" s="531">
        <f t="shared" ref="D7:D25" si="6">INDEX(g_Aufgaben,$B7,9)</f>
        <v>0</v>
      </c>
      <c r="E7" s="565">
        <f t="shared" ref="E7:P7" ca="1" si="7">SUM(OFFSET(db_Aufgaben,MATCH(E$3,db_Aufgaben_Zeit,0)+1,($B7-1)*2,F$3-E$3,1))</f>
        <v>0</v>
      </c>
      <c r="F7" s="565">
        <f t="shared" ca="1" si="7"/>
        <v>0</v>
      </c>
      <c r="G7" s="565">
        <f t="shared" ca="1" si="7"/>
        <v>0</v>
      </c>
      <c r="H7" s="565">
        <f t="shared" ca="1" si="7"/>
        <v>0</v>
      </c>
      <c r="I7" s="565">
        <f t="shared" ca="1" si="7"/>
        <v>0</v>
      </c>
      <c r="J7" s="565">
        <f t="shared" ca="1" si="7"/>
        <v>0</v>
      </c>
      <c r="K7" s="565">
        <f t="shared" ca="1" si="7"/>
        <v>0</v>
      </c>
      <c r="L7" s="565">
        <f t="shared" ca="1" si="7"/>
        <v>0</v>
      </c>
      <c r="M7" s="565">
        <f t="shared" ca="1" si="7"/>
        <v>0</v>
      </c>
      <c r="N7" s="565">
        <f t="shared" ca="1" si="7"/>
        <v>0</v>
      </c>
      <c r="O7" s="565">
        <f t="shared" ca="1" si="7"/>
        <v>0</v>
      </c>
      <c r="P7" s="565">
        <f t="shared" ca="1" si="7"/>
        <v>0</v>
      </c>
      <c r="Q7" s="566"/>
      <c r="R7" s="567">
        <f t="shared" ca="1" si="2"/>
        <v>0</v>
      </c>
      <c r="S7" s="568">
        <f t="shared" ref="S7:S25" si="8">INDEX(g_Aufgaben,$B7,3)</f>
        <v>0</v>
      </c>
    </row>
    <row r="8" spans="1:19">
      <c r="A8" s="537" t="str">
        <f t="shared" si="3"/>
        <v>Aufgabe 02</v>
      </c>
      <c r="B8" s="530">
        <v>5</v>
      </c>
      <c r="C8" s="541"/>
      <c r="D8" s="531">
        <f t="shared" si="6"/>
        <v>0</v>
      </c>
      <c r="E8" s="565">
        <f t="shared" ref="E8:P8" ca="1" si="9">SUM(OFFSET(db_Aufgaben,MATCH(E$3,db_Aufgaben_Zeit,0)+1,($B8-1)*2,F$3-E$3,1))</f>
        <v>0</v>
      </c>
      <c r="F8" s="565">
        <f t="shared" ca="1" si="9"/>
        <v>0</v>
      </c>
      <c r="G8" s="565">
        <f t="shared" ca="1" si="9"/>
        <v>0</v>
      </c>
      <c r="H8" s="565">
        <f t="shared" ca="1" si="9"/>
        <v>0</v>
      </c>
      <c r="I8" s="565">
        <f t="shared" ca="1" si="9"/>
        <v>0</v>
      </c>
      <c r="J8" s="565">
        <f t="shared" ca="1" si="9"/>
        <v>0</v>
      </c>
      <c r="K8" s="565">
        <f t="shared" ca="1" si="9"/>
        <v>0</v>
      </c>
      <c r="L8" s="565">
        <f t="shared" ca="1" si="9"/>
        <v>0</v>
      </c>
      <c r="M8" s="565">
        <f t="shared" ca="1" si="9"/>
        <v>0</v>
      </c>
      <c r="N8" s="565">
        <f t="shared" ca="1" si="9"/>
        <v>0</v>
      </c>
      <c r="O8" s="565">
        <f t="shared" ca="1" si="9"/>
        <v>0</v>
      </c>
      <c r="P8" s="565">
        <f t="shared" ca="1" si="9"/>
        <v>0</v>
      </c>
      <c r="Q8" s="566"/>
      <c r="R8" s="567">
        <f t="shared" ca="1" si="2"/>
        <v>0</v>
      </c>
      <c r="S8" s="568">
        <f t="shared" si="8"/>
        <v>0</v>
      </c>
    </row>
    <row r="9" spans="1:19">
      <c r="A9" s="537" t="str">
        <f t="shared" si="3"/>
        <v>Aufgabe 03</v>
      </c>
      <c r="B9" s="530">
        <v>6</v>
      </c>
      <c r="C9" s="541"/>
      <c r="D9" s="531">
        <f t="shared" si="6"/>
        <v>0</v>
      </c>
      <c r="E9" s="565">
        <f t="shared" ref="E9:P9" ca="1" si="10">SUM(OFFSET(db_Aufgaben,MATCH(E$3,db_Aufgaben_Zeit,0)+1,($B9-1)*2,F$3-E$3,1))</f>
        <v>0</v>
      </c>
      <c r="F9" s="565">
        <f t="shared" ca="1" si="10"/>
        <v>0</v>
      </c>
      <c r="G9" s="565">
        <f t="shared" ca="1" si="10"/>
        <v>0</v>
      </c>
      <c r="H9" s="565">
        <f t="shared" ca="1" si="10"/>
        <v>0</v>
      </c>
      <c r="I9" s="565">
        <f t="shared" ca="1" si="10"/>
        <v>0</v>
      </c>
      <c r="J9" s="565">
        <f t="shared" ca="1" si="10"/>
        <v>0</v>
      </c>
      <c r="K9" s="565">
        <f t="shared" ca="1" si="10"/>
        <v>0</v>
      </c>
      <c r="L9" s="565">
        <f t="shared" ca="1" si="10"/>
        <v>0</v>
      </c>
      <c r="M9" s="565">
        <f t="shared" ca="1" si="10"/>
        <v>0</v>
      </c>
      <c r="N9" s="565">
        <f t="shared" ca="1" si="10"/>
        <v>0</v>
      </c>
      <c r="O9" s="565">
        <f t="shared" ca="1" si="10"/>
        <v>0</v>
      </c>
      <c r="P9" s="565">
        <f t="shared" ca="1" si="10"/>
        <v>0</v>
      </c>
      <c r="Q9" s="566"/>
      <c r="R9" s="567">
        <f t="shared" ca="1" si="2"/>
        <v>0</v>
      </c>
      <c r="S9" s="568">
        <f t="shared" si="8"/>
        <v>0</v>
      </c>
    </row>
    <row r="10" spans="1:19">
      <c r="A10" s="537" t="str">
        <f t="shared" si="3"/>
        <v>Aufgabe 04</v>
      </c>
      <c r="B10" s="530">
        <v>7</v>
      </c>
      <c r="C10" s="541"/>
      <c r="D10" s="531">
        <f t="shared" si="6"/>
        <v>0</v>
      </c>
      <c r="E10" s="565">
        <f t="shared" ref="E10:P10" ca="1" si="11">SUM(OFFSET(db_Aufgaben,MATCH(E$3,db_Aufgaben_Zeit,0)+1,($B10-1)*2,F$3-E$3,1))</f>
        <v>0</v>
      </c>
      <c r="F10" s="565">
        <f t="shared" ca="1" si="11"/>
        <v>0</v>
      </c>
      <c r="G10" s="565">
        <f t="shared" ca="1" si="11"/>
        <v>0</v>
      </c>
      <c r="H10" s="565">
        <f t="shared" ca="1" si="11"/>
        <v>0</v>
      </c>
      <c r="I10" s="565">
        <f t="shared" ca="1" si="11"/>
        <v>0</v>
      </c>
      <c r="J10" s="565">
        <f t="shared" ca="1" si="11"/>
        <v>0</v>
      </c>
      <c r="K10" s="565">
        <f t="shared" ca="1" si="11"/>
        <v>0</v>
      </c>
      <c r="L10" s="565">
        <f t="shared" ca="1" si="11"/>
        <v>0</v>
      </c>
      <c r="M10" s="565">
        <f t="shared" ca="1" si="11"/>
        <v>0</v>
      </c>
      <c r="N10" s="565">
        <f t="shared" ca="1" si="11"/>
        <v>0</v>
      </c>
      <c r="O10" s="565">
        <f t="shared" ca="1" si="11"/>
        <v>0</v>
      </c>
      <c r="P10" s="565">
        <f t="shared" ca="1" si="11"/>
        <v>0</v>
      </c>
      <c r="Q10" s="566"/>
      <c r="R10" s="567">
        <f t="shared" ca="1" si="2"/>
        <v>0</v>
      </c>
      <c r="S10" s="568">
        <f t="shared" si="8"/>
        <v>0</v>
      </c>
    </row>
    <row r="11" spans="1:19">
      <c r="A11" s="537" t="str">
        <f t="shared" si="3"/>
        <v>Aufgabe 05</v>
      </c>
      <c r="B11" s="530">
        <v>8</v>
      </c>
      <c r="C11" s="541"/>
      <c r="D11" s="531">
        <f t="shared" si="6"/>
        <v>0</v>
      </c>
      <c r="E11" s="565">
        <f t="shared" ref="E11:P11" ca="1" si="12">SUM(OFFSET(db_Aufgaben,MATCH(E$3,db_Aufgaben_Zeit,0)+1,($B11-1)*2,F$3-E$3,1))</f>
        <v>0</v>
      </c>
      <c r="F11" s="565">
        <f t="shared" ca="1" si="12"/>
        <v>0</v>
      </c>
      <c r="G11" s="565">
        <f t="shared" ca="1" si="12"/>
        <v>0</v>
      </c>
      <c r="H11" s="565">
        <f t="shared" ca="1" si="12"/>
        <v>0</v>
      </c>
      <c r="I11" s="565">
        <f t="shared" ca="1" si="12"/>
        <v>0</v>
      </c>
      <c r="J11" s="565">
        <f t="shared" ca="1" si="12"/>
        <v>0</v>
      </c>
      <c r="K11" s="565">
        <f t="shared" ca="1" si="12"/>
        <v>0</v>
      </c>
      <c r="L11" s="565">
        <f t="shared" ca="1" si="12"/>
        <v>0</v>
      </c>
      <c r="M11" s="565">
        <f t="shared" ca="1" si="12"/>
        <v>0</v>
      </c>
      <c r="N11" s="565">
        <f t="shared" ca="1" si="12"/>
        <v>0</v>
      </c>
      <c r="O11" s="565">
        <f t="shared" ca="1" si="12"/>
        <v>0</v>
      </c>
      <c r="P11" s="565">
        <f t="shared" ca="1" si="12"/>
        <v>0</v>
      </c>
      <c r="Q11" s="566"/>
      <c r="R11" s="567">
        <f t="shared" ca="1" si="2"/>
        <v>0</v>
      </c>
      <c r="S11" s="568">
        <f t="shared" si="8"/>
        <v>0</v>
      </c>
    </row>
    <row r="12" spans="1:19">
      <c r="A12" s="537" t="str">
        <f t="shared" si="3"/>
        <v>Aufgabe 06</v>
      </c>
      <c r="B12" s="530">
        <v>9</v>
      </c>
      <c r="C12" s="541"/>
      <c r="D12" s="531">
        <f t="shared" si="6"/>
        <v>0</v>
      </c>
      <c r="E12" s="565">
        <f t="shared" ref="E12:P12" ca="1" si="13">SUM(OFFSET(db_Aufgaben,MATCH(E$3,db_Aufgaben_Zeit,0)+1,($B12-1)*2,F$3-E$3,1))</f>
        <v>0</v>
      </c>
      <c r="F12" s="565">
        <f t="shared" ca="1" si="13"/>
        <v>0</v>
      </c>
      <c r="G12" s="565">
        <f t="shared" ca="1" si="13"/>
        <v>0</v>
      </c>
      <c r="H12" s="565">
        <f t="shared" ca="1" si="13"/>
        <v>0</v>
      </c>
      <c r="I12" s="565">
        <f t="shared" ca="1" si="13"/>
        <v>0</v>
      </c>
      <c r="J12" s="565">
        <f t="shared" ca="1" si="13"/>
        <v>0</v>
      </c>
      <c r="K12" s="565">
        <f t="shared" ca="1" si="13"/>
        <v>0</v>
      </c>
      <c r="L12" s="565">
        <f t="shared" ca="1" si="13"/>
        <v>0</v>
      </c>
      <c r="M12" s="565">
        <f t="shared" ca="1" si="13"/>
        <v>0</v>
      </c>
      <c r="N12" s="565">
        <f t="shared" ca="1" si="13"/>
        <v>0</v>
      </c>
      <c r="O12" s="565">
        <f t="shared" ca="1" si="13"/>
        <v>0</v>
      </c>
      <c r="P12" s="565">
        <f t="shared" ca="1" si="13"/>
        <v>0</v>
      </c>
      <c r="Q12" s="566"/>
      <c r="R12" s="567">
        <f t="shared" ca="1" si="2"/>
        <v>0</v>
      </c>
      <c r="S12" s="568">
        <f t="shared" si="8"/>
        <v>0</v>
      </c>
    </row>
    <row r="13" spans="1:19">
      <c r="A13" s="537" t="str">
        <f t="shared" si="3"/>
        <v>Aufgabe 07</v>
      </c>
      <c r="B13" s="530">
        <v>10</v>
      </c>
      <c r="C13" s="541"/>
      <c r="D13" s="531">
        <f t="shared" si="6"/>
        <v>0</v>
      </c>
      <c r="E13" s="565">
        <f t="shared" ref="E13:P13" ca="1" si="14">SUM(OFFSET(db_Aufgaben,MATCH(E$3,db_Aufgaben_Zeit,0)+1,($B13-1)*2,F$3-E$3,1))</f>
        <v>0</v>
      </c>
      <c r="F13" s="565">
        <f t="shared" ca="1" si="14"/>
        <v>0</v>
      </c>
      <c r="G13" s="565">
        <f t="shared" ca="1" si="14"/>
        <v>0</v>
      </c>
      <c r="H13" s="565">
        <f t="shared" ca="1" si="14"/>
        <v>0</v>
      </c>
      <c r="I13" s="565">
        <f t="shared" ca="1" si="14"/>
        <v>0</v>
      </c>
      <c r="J13" s="565">
        <f t="shared" ca="1" si="14"/>
        <v>0</v>
      </c>
      <c r="K13" s="565">
        <f t="shared" ca="1" si="14"/>
        <v>0</v>
      </c>
      <c r="L13" s="565">
        <f t="shared" ca="1" si="14"/>
        <v>0</v>
      </c>
      <c r="M13" s="565">
        <f t="shared" ca="1" si="14"/>
        <v>0</v>
      </c>
      <c r="N13" s="565">
        <f t="shared" ca="1" si="14"/>
        <v>0</v>
      </c>
      <c r="O13" s="565">
        <f t="shared" ca="1" si="14"/>
        <v>0</v>
      </c>
      <c r="P13" s="565">
        <f t="shared" ca="1" si="14"/>
        <v>0</v>
      </c>
      <c r="Q13" s="566"/>
      <c r="R13" s="567">
        <f t="shared" ca="1" si="2"/>
        <v>0</v>
      </c>
      <c r="S13" s="568">
        <f t="shared" si="8"/>
        <v>0</v>
      </c>
    </row>
    <row r="14" spans="1:19">
      <c r="A14" s="537" t="str">
        <f t="shared" si="3"/>
        <v>Aufgabe 08</v>
      </c>
      <c r="B14" s="530">
        <v>11</v>
      </c>
      <c r="C14" s="541"/>
      <c r="D14" s="531">
        <f t="shared" si="6"/>
        <v>0</v>
      </c>
      <c r="E14" s="565">
        <f t="shared" ref="E14:P14" ca="1" si="15">SUM(OFFSET(db_Aufgaben,MATCH(E$3,db_Aufgaben_Zeit,0)+1,($B14-1)*2,F$3-E$3,1))</f>
        <v>0</v>
      </c>
      <c r="F14" s="565">
        <f t="shared" ca="1" si="15"/>
        <v>0</v>
      </c>
      <c r="G14" s="565">
        <f t="shared" ca="1" si="15"/>
        <v>0</v>
      </c>
      <c r="H14" s="565">
        <f t="shared" ca="1" si="15"/>
        <v>0</v>
      </c>
      <c r="I14" s="565">
        <f t="shared" ca="1" si="15"/>
        <v>0</v>
      </c>
      <c r="J14" s="565">
        <f t="shared" ca="1" si="15"/>
        <v>0</v>
      </c>
      <c r="K14" s="565">
        <f t="shared" ca="1" si="15"/>
        <v>0</v>
      </c>
      <c r="L14" s="565">
        <f t="shared" ca="1" si="15"/>
        <v>0</v>
      </c>
      <c r="M14" s="565">
        <f t="shared" ca="1" si="15"/>
        <v>0</v>
      </c>
      <c r="N14" s="565">
        <f t="shared" ca="1" si="15"/>
        <v>0</v>
      </c>
      <c r="O14" s="565">
        <f t="shared" ca="1" si="15"/>
        <v>0</v>
      </c>
      <c r="P14" s="565">
        <f t="shared" ca="1" si="15"/>
        <v>0</v>
      </c>
      <c r="Q14" s="566"/>
      <c r="R14" s="567">
        <f t="shared" ca="1" si="2"/>
        <v>0</v>
      </c>
      <c r="S14" s="568">
        <f t="shared" si="8"/>
        <v>0</v>
      </c>
    </row>
    <row r="15" spans="1:19">
      <c r="A15" s="537" t="str">
        <f t="shared" si="3"/>
        <v>Aufgabe 09</v>
      </c>
      <c r="B15" s="530">
        <v>12</v>
      </c>
      <c r="C15" s="541"/>
      <c r="D15" s="531">
        <f t="shared" si="6"/>
        <v>0</v>
      </c>
      <c r="E15" s="565">
        <f t="shared" ref="E15:P15" ca="1" si="16">SUM(OFFSET(db_Aufgaben,MATCH(E$3,db_Aufgaben_Zeit,0)+1,($B15-1)*2,F$3-E$3,1))</f>
        <v>0</v>
      </c>
      <c r="F15" s="565">
        <f t="shared" ca="1" si="16"/>
        <v>0</v>
      </c>
      <c r="G15" s="565">
        <f t="shared" ca="1" si="16"/>
        <v>0</v>
      </c>
      <c r="H15" s="565">
        <f t="shared" ca="1" si="16"/>
        <v>0</v>
      </c>
      <c r="I15" s="565">
        <f t="shared" ca="1" si="16"/>
        <v>0</v>
      </c>
      <c r="J15" s="565">
        <f t="shared" ca="1" si="16"/>
        <v>0</v>
      </c>
      <c r="K15" s="565">
        <f t="shared" ca="1" si="16"/>
        <v>0</v>
      </c>
      <c r="L15" s="565">
        <f t="shared" ca="1" si="16"/>
        <v>0</v>
      </c>
      <c r="M15" s="565">
        <f t="shared" ca="1" si="16"/>
        <v>0</v>
      </c>
      <c r="N15" s="565">
        <f t="shared" ca="1" si="16"/>
        <v>0</v>
      </c>
      <c r="O15" s="565">
        <f t="shared" ca="1" si="16"/>
        <v>0</v>
      </c>
      <c r="P15" s="565">
        <f t="shared" ca="1" si="16"/>
        <v>0</v>
      </c>
      <c r="Q15" s="566"/>
      <c r="R15" s="567">
        <f t="shared" ca="1" si="2"/>
        <v>0</v>
      </c>
      <c r="S15" s="568">
        <f t="shared" si="8"/>
        <v>0</v>
      </c>
    </row>
    <row r="16" spans="1:19">
      <c r="A16" s="537" t="str">
        <f t="shared" si="3"/>
        <v>Aufgabe 10</v>
      </c>
      <c r="B16" s="530">
        <v>13</v>
      </c>
      <c r="C16" s="541"/>
      <c r="D16" s="531">
        <f t="shared" si="6"/>
        <v>0</v>
      </c>
      <c r="E16" s="565">
        <f t="shared" ref="E16:P16" ca="1" si="17">SUM(OFFSET(db_Aufgaben,MATCH(E$3,db_Aufgaben_Zeit,0)+1,($B16-1)*2,F$3-E$3,1))</f>
        <v>0</v>
      </c>
      <c r="F16" s="565">
        <f t="shared" ca="1" si="17"/>
        <v>0</v>
      </c>
      <c r="G16" s="565">
        <f t="shared" ca="1" si="17"/>
        <v>0</v>
      </c>
      <c r="H16" s="565">
        <f t="shared" ca="1" si="17"/>
        <v>0</v>
      </c>
      <c r="I16" s="565">
        <f t="shared" ca="1" si="17"/>
        <v>0</v>
      </c>
      <c r="J16" s="565">
        <f t="shared" ca="1" si="17"/>
        <v>0</v>
      </c>
      <c r="K16" s="565">
        <f t="shared" ca="1" si="17"/>
        <v>0</v>
      </c>
      <c r="L16" s="565">
        <f t="shared" ca="1" si="17"/>
        <v>0</v>
      </c>
      <c r="M16" s="565">
        <f t="shared" ca="1" si="17"/>
        <v>0</v>
      </c>
      <c r="N16" s="565">
        <f t="shared" ca="1" si="17"/>
        <v>0</v>
      </c>
      <c r="O16" s="565">
        <f t="shared" ca="1" si="17"/>
        <v>0</v>
      </c>
      <c r="P16" s="565">
        <f t="shared" ca="1" si="17"/>
        <v>0</v>
      </c>
      <c r="Q16" s="566"/>
      <c r="R16" s="567">
        <f t="shared" ca="1" si="2"/>
        <v>0</v>
      </c>
      <c r="S16" s="568">
        <f t="shared" si="8"/>
        <v>0</v>
      </c>
    </row>
    <row r="17" spans="1:19">
      <c r="A17" s="537" t="str">
        <f t="shared" si="3"/>
        <v>Aufgabe 11</v>
      </c>
      <c r="B17" s="530">
        <v>14</v>
      </c>
      <c r="C17" s="541"/>
      <c r="D17" s="531">
        <f t="shared" si="6"/>
        <v>0</v>
      </c>
      <c r="E17" s="565">
        <f t="shared" ref="E17:P17" ca="1" si="18">SUM(OFFSET(db_Aufgaben,MATCH(E$3,db_Aufgaben_Zeit,0)+1,($B17-1)*2,F$3-E$3,1))</f>
        <v>0</v>
      </c>
      <c r="F17" s="565">
        <f t="shared" ca="1" si="18"/>
        <v>0</v>
      </c>
      <c r="G17" s="565">
        <f t="shared" ca="1" si="18"/>
        <v>0</v>
      </c>
      <c r="H17" s="565">
        <f t="shared" ca="1" si="18"/>
        <v>0</v>
      </c>
      <c r="I17" s="565">
        <f t="shared" ca="1" si="18"/>
        <v>0</v>
      </c>
      <c r="J17" s="565">
        <f t="shared" ca="1" si="18"/>
        <v>0</v>
      </c>
      <c r="K17" s="565">
        <f t="shared" ca="1" si="18"/>
        <v>0</v>
      </c>
      <c r="L17" s="565">
        <f t="shared" ca="1" si="18"/>
        <v>0</v>
      </c>
      <c r="M17" s="565">
        <f t="shared" ca="1" si="18"/>
        <v>0</v>
      </c>
      <c r="N17" s="565">
        <f t="shared" ca="1" si="18"/>
        <v>0</v>
      </c>
      <c r="O17" s="565">
        <f t="shared" ca="1" si="18"/>
        <v>0</v>
      </c>
      <c r="P17" s="565">
        <f t="shared" ca="1" si="18"/>
        <v>0</v>
      </c>
      <c r="Q17" s="566"/>
      <c r="R17" s="567">
        <f t="shared" ca="1" si="2"/>
        <v>0</v>
      </c>
      <c r="S17" s="568">
        <f t="shared" si="8"/>
        <v>0</v>
      </c>
    </row>
    <row r="18" spans="1:19">
      <c r="A18" s="537" t="str">
        <f t="shared" si="3"/>
        <v>Aufgabe 12</v>
      </c>
      <c r="B18" s="530">
        <v>15</v>
      </c>
      <c r="C18" s="541"/>
      <c r="D18" s="531">
        <f t="shared" si="6"/>
        <v>0</v>
      </c>
      <c r="E18" s="565">
        <f t="shared" ref="E18:P18" ca="1" si="19">SUM(OFFSET(db_Aufgaben,MATCH(E$3,db_Aufgaben_Zeit,0)+1,($B18-1)*2,F$3-E$3,1))</f>
        <v>0</v>
      </c>
      <c r="F18" s="565">
        <f t="shared" ca="1" si="19"/>
        <v>0</v>
      </c>
      <c r="G18" s="565">
        <f t="shared" ca="1" si="19"/>
        <v>0</v>
      </c>
      <c r="H18" s="565">
        <f t="shared" ca="1" si="19"/>
        <v>0</v>
      </c>
      <c r="I18" s="565">
        <f t="shared" ca="1" si="19"/>
        <v>0</v>
      </c>
      <c r="J18" s="565">
        <f t="shared" ca="1" si="19"/>
        <v>0</v>
      </c>
      <c r="K18" s="565">
        <f t="shared" ca="1" si="19"/>
        <v>0</v>
      </c>
      <c r="L18" s="565">
        <f t="shared" ca="1" si="19"/>
        <v>0</v>
      </c>
      <c r="M18" s="565">
        <f t="shared" ca="1" si="19"/>
        <v>0</v>
      </c>
      <c r="N18" s="565">
        <f t="shared" ca="1" si="19"/>
        <v>0</v>
      </c>
      <c r="O18" s="565">
        <f t="shared" ca="1" si="19"/>
        <v>0</v>
      </c>
      <c r="P18" s="565">
        <f t="shared" ca="1" si="19"/>
        <v>0</v>
      </c>
      <c r="Q18" s="566"/>
      <c r="R18" s="567">
        <f t="shared" ca="1" si="2"/>
        <v>0</v>
      </c>
      <c r="S18" s="568">
        <f t="shared" si="8"/>
        <v>0</v>
      </c>
    </row>
    <row r="19" spans="1:19">
      <c r="A19" s="537" t="str">
        <f t="shared" si="3"/>
        <v>Aufgabe 13</v>
      </c>
      <c r="B19" s="530">
        <v>16</v>
      </c>
      <c r="C19" s="541"/>
      <c r="D19" s="531">
        <f t="shared" si="6"/>
        <v>0</v>
      </c>
      <c r="E19" s="565">
        <f t="shared" ref="E19:P19" ca="1" si="20">SUM(OFFSET(db_Aufgaben,MATCH(E$3,db_Aufgaben_Zeit,0)+1,($B19-1)*2,F$3-E$3,1))</f>
        <v>0</v>
      </c>
      <c r="F19" s="565">
        <f t="shared" ca="1" si="20"/>
        <v>0</v>
      </c>
      <c r="G19" s="565">
        <f t="shared" ca="1" si="20"/>
        <v>0</v>
      </c>
      <c r="H19" s="565">
        <f t="shared" ca="1" si="20"/>
        <v>0</v>
      </c>
      <c r="I19" s="565">
        <f t="shared" ca="1" si="20"/>
        <v>0</v>
      </c>
      <c r="J19" s="565">
        <f t="shared" ca="1" si="20"/>
        <v>0</v>
      </c>
      <c r="K19" s="565">
        <f t="shared" ca="1" si="20"/>
        <v>0</v>
      </c>
      <c r="L19" s="565">
        <f t="shared" ca="1" si="20"/>
        <v>0</v>
      </c>
      <c r="M19" s="565">
        <f t="shared" ca="1" si="20"/>
        <v>0</v>
      </c>
      <c r="N19" s="565">
        <f t="shared" ca="1" si="20"/>
        <v>0</v>
      </c>
      <c r="O19" s="565">
        <f t="shared" ca="1" si="20"/>
        <v>0</v>
      </c>
      <c r="P19" s="565">
        <f t="shared" ca="1" si="20"/>
        <v>0</v>
      </c>
      <c r="Q19" s="566"/>
      <c r="R19" s="567">
        <f t="shared" ca="1" si="2"/>
        <v>0</v>
      </c>
      <c r="S19" s="568">
        <f t="shared" si="8"/>
        <v>0</v>
      </c>
    </row>
    <row r="20" spans="1:19">
      <c r="A20" s="537" t="str">
        <f t="shared" si="3"/>
        <v>Aufgabe 14</v>
      </c>
      <c r="B20" s="530">
        <v>17</v>
      </c>
      <c r="C20" s="541"/>
      <c r="D20" s="531">
        <f t="shared" si="6"/>
        <v>0</v>
      </c>
      <c r="E20" s="565">
        <f t="shared" ref="E20:P20" ca="1" si="21">SUM(OFFSET(db_Aufgaben,MATCH(E$3,db_Aufgaben_Zeit,0)+1,($B20-1)*2,F$3-E$3,1))</f>
        <v>0</v>
      </c>
      <c r="F20" s="565">
        <f t="shared" ca="1" si="21"/>
        <v>0</v>
      </c>
      <c r="G20" s="565">
        <f t="shared" ca="1" si="21"/>
        <v>0</v>
      </c>
      <c r="H20" s="565">
        <f t="shared" ca="1" si="21"/>
        <v>0</v>
      </c>
      <c r="I20" s="565">
        <f t="shared" ca="1" si="21"/>
        <v>0</v>
      </c>
      <c r="J20" s="565">
        <f t="shared" ca="1" si="21"/>
        <v>0</v>
      </c>
      <c r="K20" s="565">
        <f t="shared" ca="1" si="21"/>
        <v>0</v>
      </c>
      <c r="L20" s="565">
        <f t="shared" ca="1" si="21"/>
        <v>0</v>
      </c>
      <c r="M20" s="565">
        <f t="shared" ca="1" si="21"/>
        <v>0</v>
      </c>
      <c r="N20" s="565">
        <f t="shared" ca="1" si="21"/>
        <v>0</v>
      </c>
      <c r="O20" s="565">
        <f t="shared" ca="1" si="21"/>
        <v>0</v>
      </c>
      <c r="P20" s="565">
        <f t="shared" ca="1" si="21"/>
        <v>0</v>
      </c>
      <c r="Q20" s="566"/>
      <c r="R20" s="567">
        <f t="shared" ca="1" si="2"/>
        <v>0</v>
      </c>
      <c r="S20" s="568">
        <f t="shared" si="8"/>
        <v>0</v>
      </c>
    </row>
    <row r="21" spans="1:19">
      <c r="A21" s="537" t="str">
        <f t="shared" si="3"/>
        <v>Aufgabe 15</v>
      </c>
      <c r="B21" s="530">
        <v>18</v>
      </c>
      <c r="C21" s="541"/>
      <c r="D21" s="531">
        <f t="shared" si="6"/>
        <v>0</v>
      </c>
      <c r="E21" s="565">
        <f t="shared" ref="E21:P21" ca="1" si="22">SUM(OFFSET(db_Aufgaben,MATCH(E$3,db_Aufgaben_Zeit,0)+1,($B21-1)*2,F$3-E$3,1))</f>
        <v>0</v>
      </c>
      <c r="F21" s="565">
        <f t="shared" ca="1" si="22"/>
        <v>0</v>
      </c>
      <c r="G21" s="565">
        <f t="shared" ca="1" si="22"/>
        <v>0</v>
      </c>
      <c r="H21" s="565">
        <f t="shared" ca="1" si="22"/>
        <v>0</v>
      </c>
      <c r="I21" s="565">
        <f t="shared" ca="1" si="22"/>
        <v>0</v>
      </c>
      <c r="J21" s="565">
        <f t="shared" ca="1" si="22"/>
        <v>0</v>
      </c>
      <c r="K21" s="565">
        <f t="shared" ca="1" si="22"/>
        <v>0</v>
      </c>
      <c r="L21" s="565">
        <f t="shared" ca="1" si="22"/>
        <v>0</v>
      </c>
      <c r="M21" s="565">
        <f t="shared" ca="1" si="22"/>
        <v>0</v>
      </c>
      <c r="N21" s="565">
        <f t="shared" ca="1" si="22"/>
        <v>0</v>
      </c>
      <c r="O21" s="565">
        <f t="shared" ca="1" si="22"/>
        <v>0</v>
      </c>
      <c r="P21" s="565">
        <f t="shared" ca="1" si="22"/>
        <v>0</v>
      </c>
      <c r="Q21" s="566"/>
      <c r="R21" s="567">
        <f t="shared" ca="1" si="2"/>
        <v>0</v>
      </c>
      <c r="S21" s="568">
        <f t="shared" si="8"/>
        <v>0</v>
      </c>
    </row>
    <row r="22" spans="1:19">
      <c r="A22" s="537" t="str">
        <f t="shared" si="3"/>
        <v>Aufgabe 16</v>
      </c>
      <c r="B22" s="530">
        <v>19</v>
      </c>
      <c r="C22" s="541"/>
      <c r="D22" s="531">
        <f t="shared" si="6"/>
        <v>0</v>
      </c>
      <c r="E22" s="565">
        <f t="shared" ref="E22:P22" ca="1" si="23">SUM(OFFSET(db_Aufgaben,MATCH(E$3,db_Aufgaben_Zeit,0)+1,($B22-1)*2,F$3-E$3,1))</f>
        <v>0</v>
      </c>
      <c r="F22" s="565">
        <f t="shared" ca="1" si="23"/>
        <v>0</v>
      </c>
      <c r="G22" s="565">
        <f t="shared" ca="1" si="23"/>
        <v>0</v>
      </c>
      <c r="H22" s="565">
        <f t="shared" ca="1" si="23"/>
        <v>0</v>
      </c>
      <c r="I22" s="565">
        <f t="shared" ca="1" si="23"/>
        <v>0</v>
      </c>
      <c r="J22" s="565">
        <f t="shared" ca="1" si="23"/>
        <v>0</v>
      </c>
      <c r="K22" s="565">
        <f t="shared" ca="1" si="23"/>
        <v>0</v>
      </c>
      <c r="L22" s="565">
        <f t="shared" ca="1" si="23"/>
        <v>0</v>
      </c>
      <c r="M22" s="565">
        <f t="shared" ca="1" si="23"/>
        <v>0</v>
      </c>
      <c r="N22" s="565">
        <f t="shared" ca="1" si="23"/>
        <v>0</v>
      </c>
      <c r="O22" s="565">
        <f t="shared" ca="1" si="23"/>
        <v>0</v>
      </c>
      <c r="P22" s="565">
        <f t="shared" ca="1" si="23"/>
        <v>0</v>
      </c>
      <c r="Q22" s="566"/>
      <c r="R22" s="567">
        <f t="shared" ca="1" si="2"/>
        <v>0</v>
      </c>
      <c r="S22" s="568">
        <f t="shared" si="8"/>
        <v>0</v>
      </c>
    </row>
    <row r="23" spans="1:19">
      <c r="A23" s="537" t="str">
        <f t="shared" si="3"/>
        <v>Aufgabe 17</v>
      </c>
      <c r="B23" s="530">
        <v>20</v>
      </c>
      <c r="C23" s="541"/>
      <c r="D23" s="531">
        <f t="shared" si="6"/>
        <v>0</v>
      </c>
      <c r="E23" s="565">
        <f t="shared" ref="E23:P23" ca="1" si="24">SUM(OFFSET(db_Aufgaben,MATCH(E$3,db_Aufgaben_Zeit,0)+1,($B23-1)*2,F$3-E$3,1))</f>
        <v>0</v>
      </c>
      <c r="F23" s="565">
        <f t="shared" ca="1" si="24"/>
        <v>0</v>
      </c>
      <c r="G23" s="565">
        <f t="shared" ca="1" si="24"/>
        <v>0</v>
      </c>
      <c r="H23" s="565">
        <f t="shared" ca="1" si="24"/>
        <v>0</v>
      </c>
      <c r="I23" s="565">
        <f t="shared" ca="1" si="24"/>
        <v>0</v>
      </c>
      <c r="J23" s="565">
        <f t="shared" ca="1" si="24"/>
        <v>0</v>
      </c>
      <c r="K23" s="565">
        <f t="shared" ca="1" si="24"/>
        <v>0</v>
      </c>
      <c r="L23" s="565">
        <f t="shared" ca="1" si="24"/>
        <v>0</v>
      </c>
      <c r="M23" s="565">
        <f t="shared" ca="1" si="24"/>
        <v>0</v>
      </c>
      <c r="N23" s="565">
        <f t="shared" ca="1" si="24"/>
        <v>0</v>
      </c>
      <c r="O23" s="565">
        <f t="shared" ca="1" si="24"/>
        <v>0</v>
      </c>
      <c r="P23" s="565">
        <f t="shared" ca="1" si="24"/>
        <v>0</v>
      </c>
      <c r="Q23" s="566"/>
      <c r="R23" s="567">
        <f t="shared" ca="1" si="2"/>
        <v>0</v>
      </c>
      <c r="S23" s="568">
        <f t="shared" si="8"/>
        <v>0</v>
      </c>
    </row>
    <row r="24" spans="1:19">
      <c r="A24" s="537" t="str">
        <f t="shared" si="3"/>
        <v>Aufgabe 18</v>
      </c>
      <c r="B24" s="530">
        <v>21</v>
      </c>
      <c r="C24" s="541"/>
      <c r="D24" s="531">
        <f t="shared" si="6"/>
        <v>0</v>
      </c>
      <c r="E24" s="565">
        <f t="shared" ref="E24:P24" ca="1" si="25">SUM(OFFSET(db_Aufgaben,MATCH(E$3,db_Aufgaben_Zeit,0)+1,($B24-1)*2,F$3-E$3,1))</f>
        <v>0</v>
      </c>
      <c r="F24" s="565">
        <f t="shared" ca="1" si="25"/>
        <v>0</v>
      </c>
      <c r="G24" s="565">
        <f t="shared" ca="1" si="25"/>
        <v>0</v>
      </c>
      <c r="H24" s="565">
        <f t="shared" ca="1" si="25"/>
        <v>0</v>
      </c>
      <c r="I24" s="565">
        <f t="shared" ca="1" si="25"/>
        <v>0</v>
      </c>
      <c r="J24" s="565">
        <f t="shared" ca="1" si="25"/>
        <v>0</v>
      </c>
      <c r="K24" s="565">
        <f t="shared" ca="1" si="25"/>
        <v>0</v>
      </c>
      <c r="L24" s="565">
        <f t="shared" ca="1" si="25"/>
        <v>0</v>
      </c>
      <c r="M24" s="565">
        <f t="shared" ca="1" si="25"/>
        <v>0</v>
      </c>
      <c r="N24" s="565">
        <f t="shared" ca="1" si="25"/>
        <v>0</v>
      </c>
      <c r="O24" s="565">
        <f t="shared" ca="1" si="25"/>
        <v>0</v>
      </c>
      <c r="P24" s="565">
        <f t="shared" ca="1" si="25"/>
        <v>0</v>
      </c>
      <c r="Q24" s="566"/>
      <c r="R24" s="567">
        <f ca="1">SUM(E24:P24)</f>
        <v>0</v>
      </c>
      <c r="S24" s="568">
        <f t="shared" si="8"/>
        <v>0</v>
      </c>
    </row>
    <row r="25" spans="1:19">
      <c r="A25" s="537" t="str">
        <f t="shared" si="3"/>
        <v>Aufgabe 19</v>
      </c>
      <c r="B25" s="530">
        <v>22</v>
      </c>
      <c r="C25" s="541"/>
      <c r="D25" s="531">
        <f t="shared" si="6"/>
        <v>0</v>
      </c>
      <c r="E25" s="565">
        <f t="shared" ref="E25:P25" ca="1" si="26">SUM(OFFSET(db_Aufgaben,MATCH(E$3,db_Aufgaben_Zeit,0)+1,($B25-1)*2,F$3-E$3,1))</f>
        <v>0</v>
      </c>
      <c r="F25" s="565">
        <f t="shared" ca="1" si="26"/>
        <v>0</v>
      </c>
      <c r="G25" s="565">
        <f t="shared" ca="1" si="26"/>
        <v>0</v>
      </c>
      <c r="H25" s="565">
        <f t="shared" ca="1" si="26"/>
        <v>0</v>
      </c>
      <c r="I25" s="565">
        <f t="shared" ca="1" si="26"/>
        <v>0</v>
      </c>
      <c r="J25" s="565">
        <f t="shared" ca="1" si="26"/>
        <v>0</v>
      </c>
      <c r="K25" s="565">
        <f t="shared" ca="1" si="26"/>
        <v>0</v>
      </c>
      <c r="L25" s="565">
        <f t="shared" ca="1" si="26"/>
        <v>0</v>
      </c>
      <c r="M25" s="565">
        <f t="shared" ca="1" si="26"/>
        <v>0</v>
      </c>
      <c r="N25" s="565">
        <f t="shared" ca="1" si="26"/>
        <v>0</v>
      </c>
      <c r="O25" s="565">
        <f t="shared" ca="1" si="26"/>
        <v>0</v>
      </c>
      <c r="P25" s="565">
        <f t="shared" ca="1" si="26"/>
        <v>0</v>
      </c>
      <c r="Q25" s="566"/>
      <c r="R25" s="567">
        <f t="shared" ca="1" si="2"/>
        <v>0</v>
      </c>
      <c r="S25" s="568">
        <f t="shared" si="8"/>
        <v>0</v>
      </c>
    </row>
    <row r="26" spans="1:19" ht="5.25" customHeight="1" thickBot="1">
      <c r="C26" s="542"/>
      <c r="R26" s="532"/>
    </row>
    <row r="27" spans="1:19" ht="13.5" thickBot="1">
      <c r="A27" s="533"/>
      <c r="B27" s="533"/>
      <c r="C27" s="533"/>
      <c r="D27" s="533"/>
      <c r="E27" s="576">
        <f t="shared" ref="E27:P27" ca="1" si="27">SUBTOTAL(9,E4:E26)</f>
        <v>0</v>
      </c>
      <c r="F27" s="576">
        <f t="shared" ca="1" si="27"/>
        <v>0</v>
      </c>
      <c r="G27" s="576">
        <f t="shared" ca="1" si="27"/>
        <v>0</v>
      </c>
      <c r="H27" s="576">
        <f t="shared" ca="1" si="27"/>
        <v>0</v>
      </c>
      <c r="I27" s="576">
        <f t="shared" ca="1" si="27"/>
        <v>0</v>
      </c>
      <c r="J27" s="576">
        <f t="shared" ca="1" si="27"/>
        <v>0</v>
      </c>
      <c r="K27" s="576">
        <f t="shared" ca="1" si="27"/>
        <v>0</v>
      </c>
      <c r="L27" s="576">
        <f t="shared" ca="1" si="27"/>
        <v>0</v>
      </c>
      <c r="M27" s="576">
        <f t="shared" ca="1" si="27"/>
        <v>0</v>
      </c>
      <c r="N27" s="576">
        <f t="shared" ca="1" si="27"/>
        <v>0</v>
      </c>
      <c r="O27" s="576">
        <f t="shared" ca="1" si="27"/>
        <v>0</v>
      </c>
      <c r="P27" s="576">
        <f t="shared" ca="1" si="27"/>
        <v>0</v>
      </c>
      <c r="Q27" s="577"/>
      <c r="R27" s="578">
        <f ca="1">SUBTOTAL(9,R4:R26)</f>
        <v>0</v>
      </c>
      <c r="S27" s="533"/>
    </row>
    <row r="28" spans="1:19" ht="13.5" thickBot="1">
      <c r="D28" s="81" t="s">
        <v>81</v>
      </c>
      <c r="E28" s="573">
        <f t="shared" ref="E28:R28" ca="1" si="28">SUBTOTAL(9,E7:E23)</f>
        <v>0</v>
      </c>
      <c r="F28" s="574">
        <f t="shared" ca="1" si="28"/>
        <v>0</v>
      </c>
      <c r="G28" s="574">
        <f t="shared" ca="1" si="28"/>
        <v>0</v>
      </c>
      <c r="H28" s="574">
        <f t="shared" ca="1" si="28"/>
        <v>0</v>
      </c>
      <c r="I28" s="574">
        <f t="shared" ca="1" si="28"/>
        <v>0</v>
      </c>
      <c r="J28" s="574">
        <f t="shared" ca="1" si="28"/>
        <v>0</v>
      </c>
      <c r="K28" s="574">
        <f t="shared" ca="1" si="28"/>
        <v>0</v>
      </c>
      <c r="L28" s="574">
        <f t="shared" ca="1" si="28"/>
        <v>0</v>
      </c>
      <c r="M28" s="574">
        <f t="shared" ca="1" si="28"/>
        <v>0</v>
      </c>
      <c r="N28" s="574">
        <f t="shared" ca="1" si="28"/>
        <v>0</v>
      </c>
      <c r="O28" s="574">
        <f t="shared" ca="1" si="28"/>
        <v>0</v>
      </c>
      <c r="P28" s="574">
        <f t="shared" ca="1" si="28"/>
        <v>0</v>
      </c>
      <c r="Q28" s="574">
        <f t="shared" si="28"/>
        <v>0</v>
      </c>
      <c r="R28" s="575">
        <f t="shared" ca="1" si="28"/>
        <v>0</v>
      </c>
    </row>
  </sheetData>
  <autoFilter ref="A3:S25"/>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RowHeight="12.75"/>
  <cols>
    <col min="1" max="1" width="7.7109375" hidden="1" customWidth="1"/>
    <col min="2" max="2" width="4.5703125" style="85" customWidth="1"/>
    <col min="3" max="3" width="10.7109375" style="81" customWidth="1"/>
    <col min="4" max="4" width="3.7109375" customWidth="1"/>
    <col min="5" max="5" width="10.7109375" style="79" customWidth="1"/>
    <col min="6" max="6" width="3.5703125" style="79"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82"/>
      <c r="I1" s="11"/>
      <c r="J1" s="80"/>
    </row>
    <row r="2" spans="2:10" hidden="1">
      <c r="H2" s="82"/>
      <c r="I2" s="11"/>
      <c r="J2" s="80"/>
    </row>
    <row r="3" spans="2:10" hidden="1">
      <c r="H3" s="82"/>
      <c r="I3" s="11"/>
      <c r="J3" s="80"/>
    </row>
    <row r="4" spans="2:10">
      <c r="I4" s="11"/>
      <c r="J4" s="80"/>
    </row>
    <row r="5" spans="2:10" ht="20.25">
      <c r="C5" s="710"/>
      <c r="D5" s="711"/>
      <c r="E5" s="711"/>
      <c r="F5" s="711"/>
      <c r="G5" s="711"/>
      <c r="H5" s="82"/>
      <c r="I5" s="712" t="s">
        <v>153</v>
      </c>
      <c r="J5" s="712"/>
    </row>
    <row r="6" spans="2:10" ht="15.75">
      <c r="H6" s="97"/>
      <c r="I6" s="99" t="s">
        <v>128</v>
      </c>
      <c r="J6" s="110">
        <f>J11</f>
        <v>41639</v>
      </c>
    </row>
    <row r="7" spans="2:10" ht="15.75">
      <c r="B7" s="96"/>
      <c r="C7" s="98"/>
      <c r="D7" s="87"/>
      <c r="E7" s="99" t="s">
        <v>154</v>
      </c>
      <c r="F7" s="100"/>
      <c r="G7" s="168">
        <f>Arbeitszeit!xSaldo</f>
        <v>0</v>
      </c>
      <c r="H7" s="167">
        <f>Arbeitszeit!X380</f>
        <v>0</v>
      </c>
      <c r="I7" s="100"/>
      <c r="J7" s="100"/>
    </row>
    <row r="8" spans="2:10" ht="15">
      <c r="B8" s="96"/>
      <c r="H8" s="87"/>
      <c r="I8" s="100"/>
      <c r="J8" s="100"/>
    </row>
    <row r="9" spans="2:10" ht="15">
      <c r="B9" s="96"/>
      <c r="H9" s="87"/>
      <c r="I9" s="100"/>
      <c r="J9" s="111">
        <f>DATE(YEAR(J11)+IF(AND(1=MONTH(J11),DAY(J11)),0,1),MONTH(J11-1),DAY(J11-1))</f>
        <v>42003</v>
      </c>
    </row>
    <row r="10" spans="2:10" ht="15">
      <c r="B10" s="96"/>
      <c r="C10" s="98"/>
      <c r="D10" s="87"/>
      <c r="E10" s="98" t="s">
        <v>151</v>
      </c>
      <c r="F10" s="100"/>
      <c r="G10" s="102">
        <f>Arbeitszeit!U377</f>
        <v>0</v>
      </c>
      <c r="H10" s="115">
        <v>0</v>
      </c>
      <c r="I10" s="100"/>
      <c r="J10" s="111">
        <f ca="1">TODAY()</f>
        <v>41628</v>
      </c>
    </row>
    <row r="11" spans="2:10" ht="15">
      <c r="B11" s="96"/>
      <c r="C11" s="98"/>
      <c r="D11" s="87"/>
      <c r="E11" s="98" t="s">
        <v>152</v>
      </c>
      <c r="F11" s="101"/>
      <c r="G11" s="102">
        <f>Arbeitszeit!U378</f>
        <v>0</v>
      </c>
      <c r="H11" s="115">
        <f>Arbeitszeit!X380</f>
        <v>0</v>
      </c>
      <c r="I11" s="87"/>
      <c r="J11" s="111">
        <f>B_Year</f>
        <v>41639</v>
      </c>
    </row>
    <row r="12" spans="2:10" ht="15">
      <c r="B12" s="96"/>
      <c r="H12" s="100"/>
      <c r="I12" s="100"/>
      <c r="J12" s="112">
        <f ca="1">IF((J10-J11)&lt;0,0,IF((J10-J11)&gt;366,366,(J10-J11)))</f>
        <v>0</v>
      </c>
    </row>
    <row r="13" spans="2:10" ht="15">
      <c r="B13" s="96"/>
      <c r="C13" s="98"/>
      <c r="D13" s="87"/>
      <c r="E13" s="101"/>
      <c r="F13" s="101"/>
      <c r="G13" s="87"/>
      <c r="H13" s="100"/>
      <c r="I13" s="100"/>
      <c r="J13" s="112">
        <f ca="1">IF((J9-J10)&lt;0,0,IF((J9-J10)&gt;366,366,(J9-J10)))</f>
        <v>366</v>
      </c>
    </row>
    <row r="14" spans="2:10" ht="15.75">
      <c r="B14" s="96"/>
      <c r="C14" s="98"/>
      <c r="D14" s="87"/>
      <c r="E14" s="99" t="s">
        <v>150</v>
      </c>
      <c r="F14" s="100"/>
      <c r="G14" s="103">
        <f ca="1">IF(AND(J17&gt;=Arbeitszeit!xJahr,J17&lt;=Arbeitszeit!xJahrEnd),LOOKUP(J17,db_jZeit,db_jUrlRest),Arbeitszeit!xResturlaub)</f>
        <v>30</v>
      </c>
      <c r="H14" s="100"/>
      <c r="I14" s="100"/>
    </row>
    <row r="15" spans="2:10" ht="15">
      <c r="B15" s="96"/>
      <c r="C15" s="98"/>
      <c r="D15" s="87"/>
      <c r="E15" s="101"/>
      <c r="F15" s="101"/>
      <c r="G15" s="87"/>
      <c r="H15" s="87"/>
      <c r="I15" s="100"/>
      <c r="J15" s="100"/>
    </row>
    <row r="16" spans="2:10" ht="15.75">
      <c r="B16" s="96"/>
      <c r="C16" s="104"/>
      <c r="D16" s="100"/>
      <c r="E16" s="105" t="str">
        <f>"&gt; "&amp; TEXT(Einstellungen!D7,"h") &amp;" Std:"</f>
        <v>&gt; 10 Std:</v>
      </c>
      <c r="F16" s="106"/>
      <c r="G16" s="107">
        <f>Arbeitszeit!AC377</f>
        <v>0</v>
      </c>
      <c r="H16" s="87"/>
      <c r="I16" s="100"/>
      <c r="J16" s="100"/>
    </row>
    <row r="17" spans="1:29" ht="15.75">
      <c r="C17" s="104"/>
      <c r="D17" s="100"/>
      <c r="E17" s="108" t="s">
        <v>120</v>
      </c>
      <c r="F17" s="106"/>
      <c r="G17" s="109">
        <f>Arbeitszeit!A381</f>
        <v>0</v>
      </c>
      <c r="H17" s="87"/>
      <c r="I17" s="99" t="s">
        <v>149</v>
      </c>
      <c r="J17" s="166">
        <f ca="1">TODAY()</f>
        <v>41628</v>
      </c>
    </row>
    <row r="18" spans="1:29">
      <c r="C18" s="98"/>
      <c r="D18" s="87"/>
      <c r="E18" s="108" t="s">
        <v>121</v>
      </c>
      <c r="F18" s="101"/>
      <c r="G18" s="169">
        <f>Arbeitszeit!A382</f>
        <v>0</v>
      </c>
      <c r="H18" s="113"/>
      <c r="I18" s="87"/>
      <c r="J18" s="87"/>
    </row>
    <row r="19" spans="1:29">
      <c r="C19" s="98"/>
      <c r="D19" s="87"/>
      <c r="E19" s="101"/>
      <c r="F19" s="101"/>
      <c r="G19" s="87"/>
      <c r="H19" s="87"/>
      <c r="I19" s="87"/>
      <c r="J19" s="87"/>
    </row>
    <row r="21" spans="1:29" hidden="1"/>
    <row r="22" spans="1:29" hidden="1"/>
    <row r="23" spans="1:29" hidden="1">
      <c r="E23" s="79" t="s">
        <v>15</v>
      </c>
      <c r="F23" s="79">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9"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9"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4"/>
      <c r="B26" s="86"/>
      <c r="C26" s="713" t="s">
        <v>168</v>
      </c>
      <c r="D26" s="713"/>
      <c r="E26" s="713"/>
      <c r="F26" s="67"/>
      <c r="G26" s="25" t="str">
        <f>INDEX(g_NameAufgaben,G$25)</f>
        <v>Urlaub</v>
      </c>
      <c r="H26" s="25" t="str">
        <f t="shared" ref="H26:AA26" si="1">INDEX(g_NameAufgaben,H$25)</f>
        <v>Krank</v>
      </c>
      <c r="I26" s="69" t="str">
        <f t="shared" si="1"/>
        <v>Allgemein</v>
      </c>
      <c r="J26" s="72" t="str">
        <f t="shared" si="1"/>
        <v>Aufgabe 01</v>
      </c>
      <c r="K26" s="72" t="str">
        <f t="shared" si="1"/>
        <v>Aufgabe 02</v>
      </c>
      <c r="L26" s="72" t="str">
        <f t="shared" si="1"/>
        <v>Aufgabe 03</v>
      </c>
      <c r="M26" s="72" t="str">
        <f t="shared" si="1"/>
        <v>Aufgabe 04</v>
      </c>
      <c r="N26" s="72" t="str">
        <f t="shared" si="1"/>
        <v>Aufgabe 05</v>
      </c>
      <c r="O26" s="72" t="str">
        <f t="shared" si="1"/>
        <v>Aufgabe 06</v>
      </c>
      <c r="P26" s="72" t="str">
        <f t="shared" si="1"/>
        <v>Aufgabe 07</v>
      </c>
      <c r="Q26" s="72" t="str">
        <f t="shared" si="1"/>
        <v>Aufgabe 08</v>
      </c>
      <c r="R26" s="72" t="str">
        <f t="shared" si="1"/>
        <v>Aufgabe 09</v>
      </c>
      <c r="S26" s="72" t="str">
        <f t="shared" si="1"/>
        <v>Aufgabe 10</v>
      </c>
      <c r="T26" s="72" t="str">
        <f t="shared" si="1"/>
        <v>Aufgabe 11</v>
      </c>
      <c r="U26" s="72" t="str">
        <f t="shared" si="1"/>
        <v>Aufgabe 12</v>
      </c>
      <c r="V26" s="72" t="str">
        <f t="shared" si="1"/>
        <v>Aufgabe 13</v>
      </c>
      <c r="W26" s="72" t="str">
        <f t="shared" si="1"/>
        <v>Aufgabe 14</v>
      </c>
      <c r="X26" s="72" t="str">
        <f t="shared" si="1"/>
        <v>Aufgabe 15</v>
      </c>
      <c r="Y26" s="72" t="str">
        <f t="shared" si="1"/>
        <v>Aufgabe 16</v>
      </c>
      <c r="Z26" s="72" t="str">
        <f t="shared" si="1"/>
        <v>Aufgabe 17</v>
      </c>
      <c r="AA26" s="72" t="str">
        <f t="shared" si="1"/>
        <v>Aufgabe 18</v>
      </c>
      <c r="AC26" s="117" t="s">
        <v>167</v>
      </c>
    </row>
    <row r="27" spans="1:29">
      <c r="A27" s="84" t="str">
        <f>Aufgaben!A4</f>
        <v>Übertrag</v>
      </c>
    </row>
    <row r="28" spans="1:29" ht="12" customHeight="1">
      <c r="A28" s="84">
        <f>Aufgaben!A5</f>
        <v>41639</v>
      </c>
      <c r="C28" s="171"/>
      <c r="D28" s="170"/>
      <c r="E28" s="171"/>
      <c r="F28" s="83"/>
    </row>
    <row r="29" spans="1:29" s="94" customFormat="1" ht="15.75" customHeight="1">
      <c r="A29" s="84">
        <f>Arbeitszeit!$A7</f>
        <v>41640</v>
      </c>
      <c r="B29" s="91"/>
      <c r="C29" s="92">
        <v>1</v>
      </c>
      <c r="D29" s="91" t="s">
        <v>148</v>
      </c>
      <c r="E29" s="93">
        <v>365</v>
      </c>
      <c r="F29" s="93"/>
      <c r="G29" s="95">
        <f t="shared" ref="G29:AA29" ca="1" si="2">SUM(OFFSET(db_Aufgaben,$C29+1,(G$25-1)*2,$E29-$C29+1,1))</f>
        <v>0</v>
      </c>
      <c r="H29" s="95">
        <f t="shared" ca="1" si="2"/>
        <v>0</v>
      </c>
      <c r="I29" s="95">
        <f t="shared" ca="1" si="2"/>
        <v>0</v>
      </c>
      <c r="J29" s="95">
        <f t="shared" ca="1" si="2"/>
        <v>0</v>
      </c>
      <c r="K29" s="95">
        <f t="shared" ca="1" si="2"/>
        <v>0</v>
      </c>
      <c r="L29" s="95">
        <f t="shared" ca="1" si="2"/>
        <v>0</v>
      </c>
      <c r="M29" s="95">
        <f t="shared" ca="1" si="2"/>
        <v>0</v>
      </c>
      <c r="N29" s="95">
        <f t="shared" ca="1" si="2"/>
        <v>0</v>
      </c>
      <c r="O29" s="95">
        <f t="shared" ca="1" si="2"/>
        <v>0</v>
      </c>
      <c r="P29" s="95">
        <f t="shared" ca="1" si="2"/>
        <v>0</v>
      </c>
      <c r="Q29" s="95">
        <f t="shared" ca="1" si="2"/>
        <v>0</v>
      </c>
      <c r="R29" s="95">
        <f t="shared" ca="1" si="2"/>
        <v>0</v>
      </c>
      <c r="S29" s="95">
        <f t="shared" ca="1" si="2"/>
        <v>0</v>
      </c>
      <c r="T29" s="95">
        <f t="shared" ca="1" si="2"/>
        <v>0</v>
      </c>
      <c r="U29" s="95">
        <f t="shared" ca="1" si="2"/>
        <v>0</v>
      </c>
      <c r="V29" s="95">
        <f t="shared" ca="1" si="2"/>
        <v>0</v>
      </c>
      <c r="W29" s="95">
        <f t="shared" ca="1" si="2"/>
        <v>0</v>
      </c>
      <c r="X29" s="95">
        <f t="shared" ca="1" si="2"/>
        <v>0</v>
      </c>
      <c r="Y29" s="95">
        <f t="shared" ca="1" si="2"/>
        <v>0</v>
      </c>
      <c r="Z29" s="95">
        <f t="shared" ca="1" si="2"/>
        <v>0</v>
      </c>
      <c r="AA29" s="95">
        <f t="shared" ca="1" si="2"/>
        <v>0</v>
      </c>
      <c r="AC29" s="118">
        <f ca="1">SUM(G29:AB29)</f>
        <v>0</v>
      </c>
    </row>
    <row r="30" spans="1:29" ht="9.75" customHeight="1">
      <c r="A30" s="84">
        <f>Arbeitszeit!$A8</f>
        <v>41641</v>
      </c>
      <c r="C30" s="171"/>
      <c r="D30" s="11"/>
      <c r="E30" s="171"/>
      <c r="F30" s="80"/>
      <c r="G30" s="88"/>
      <c r="H30" s="88"/>
      <c r="I30" s="88"/>
      <c r="J30" s="88"/>
      <c r="K30" s="88"/>
      <c r="L30" s="88"/>
      <c r="M30" s="88"/>
      <c r="N30" s="88"/>
      <c r="O30" s="88"/>
      <c r="P30" s="88"/>
      <c r="Q30" s="88"/>
      <c r="R30" s="87"/>
    </row>
    <row r="31" spans="1:29" ht="15.75" customHeight="1">
      <c r="A31" s="84">
        <f>Arbeitszeit!$A9</f>
        <v>41642</v>
      </c>
      <c r="B31" s="85">
        <v>1</v>
      </c>
      <c r="C31" s="172">
        <v>1</v>
      </c>
      <c r="D31" s="85" t="s">
        <v>148</v>
      </c>
      <c r="E31" s="173">
        <v>23</v>
      </c>
      <c r="F31" s="80"/>
      <c r="G31" s="90">
        <f t="shared" ref="G31:AA31" ca="1" si="3">SUM(OFFSET(db_Aufgaben,$C31+1,(G$25-1)*2,$E31-$C31+1,1))</f>
        <v>0</v>
      </c>
      <c r="H31" s="90">
        <f t="shared" ca="1" si="3"/>
        <v>0</v>
      </c>
      <c r="I31" s="90">
        <f t="shared" ca="1" si="3"/>
        <v>0</v>
      </c>
      <c r="J31" s="90">
        <f t="shared" ca="1" si="3"/>
        <v>0</v>
      </c>
      <c r="K31" s="90">
        <f t="shared" ca="1" si="3"/>
        <v>0</v>
      </c>
      <c r="L31" s="90">
        <f t="shared" ca="1" si="3"/>
        <v>0</v>
      </c>
      <c r="M31" s="90">
        <f t="shared" ca="1" si="3"/>
        <v>0</v>
      </c>
      <c r="N31" s="90">
        <f t="shared" ca="1" si="3"/>
        <v>0</v>
      </c>
      <c r="O31" s="90">
        <f t="shared" ca="1" si="3"/>
        <v>0</v>
      </c>
      <c r="P31" s="90">
        <f t="shared" ca="1" si="3"/>
        <v>0</v>
      </c>
      <c r="Q31" s="90">
        <f t="shared" ca="1" si="3"/>
        <v>0</v>
      </c>
      <c r="R31" s="90">
        <f t="shared" ca="1" si="3"/>
        <v>0</v>
      </c>
      <c r="S31" s="90">
        <f t="shared" ca="1" si="3"/>
        <v>0</v>
      </c>
      <c r="T31" s="90">
        <f t="shared" ca="1" si="3"/>
        <v>0</v>
      </c>
      <c r="U31" s="90">
        <f t="shared" ca="1" si="3"/>
        <v>0</v>
      </c>
      <c r="V31" s="90">
        <f t="shared" ca="1" si="3"/>
        <v>0</v>
      </c>
      <c r="W31" s="90">
        <f t="shared" ca="1" si="3"/>
        <v>0</v>
      </c>
      <c r="X31" s="90">
        <f t="shared" ca="1" si="3"/>
        <v>0</v>
      </c>
      <c r="Y31" s="90">
        <f t="shared" ca="1" si="3"/>
        <v>0</v>
      </c>
      <c r="Z31" s="90">
        <f t="shared" ca="1" si="3"/>
        <v>0</v>
      </c>
      <c r="AA31" s="90">
        <f t="shared" ca="1" si="3"/>
        <v>0</v>
      </c>
      <c r="AC31" s="118">
        <f ca="1">SUM(G31:AB31)</f>
        <v>0</v>
      </c>
    </row>
    <row r="32" spans="1:29" ht="6.95" customHeight="1">
      <c r="A32" s="84">
        <f>Arbeitszeit!$A10</f>
        <v>41643</v>
      </c>
      <c r="C32" s="171"/>
      <c r="D32" s="11"/>
      <c r="E32" s="171"/>
      <c r="F32" s="80"/>
      <c r="G32" s="88"/>
      <c r="H32" s="88"/>
      <c r="I32" s="88"/>
      <c r="J32" s="88"/>
      <c r="K32" s="88"/>
      <c r="L32" s="88"/>
      <c r="M32" s="88"/>
      <c r="N32" s="88"/>
      <c r="O32" s="88"/>
      <c r="P32" s="88"/>
      <c r="Q32" s="88"/>
      <c r="R32" s="88"/>
      <c r="S32" s="88"/>
      <c r="T32" s="88"/>
      <c r="U32" s="88"/>
      <c r="V32" s="88"/>
      <c r="W32" s="88"/>
      <c r="X32" s="88"/>
      <c r="Y32" s="88"/>
      <c r="Z32" s="88"/>
      <c r="AA32" s="88"/>
      <c r="AC32" s="119"/>
    </row>
    <row r="33" spans="1:29" ht="15.75" customHeight="1">
      <c r="A33" s="84">
        <f>Arbeitszeit!$A11</f>
        <v>41644</v>
      </c>
      <c r="B33" s="85">
        <v>2</v>
      </c>
      <c r="C33" s="172">
        <v>24</v>
      </c>
      <c r="D33" s="88" t="s">
        <v>148</v>
      </c>
      <c r="E33" s="173">
        <v>53</v>
      </c>
      <c r="F33" s="173"/>
      <c r="G33" s="90">
        <f t="shared" ref="G33:AA33" ca="1" si="4">SUM(OFFSET(db_Aufgaben,$C33+1,(G$25-1)*2,$E33-$C33+1,1))</f>
        <v>0</v>
      </c>
      <c r="H33" s="90">
        <f t="shared" ca="1" si="4"/>
        <v>0</v>
      </c>
      <c r="I33" s="90">
        <f t="shared" ca="1" si="4"/>
        <v>0</v>
      </c>
      <c r="J33" s="90">
        <f t="shared" ca="1" si="4"/>
        <v>0</v>
      </c>
      <c r="K33" s="90">
        <f t="shared" ca="1" si="4"/>
        <v>0</v>
      </c>
      <c r="L33" s="90">
        <f t="shared" ca="1" si="4"/>
        <v>0</v>
      </c>
      <c r="M33" s="90">
        <f t="shared" ca="1" si="4"/>
        <v>0</v>
      </c>
      <c r="N33" s="90">
        <f t="shared" ca="1" si="4"/>
        <v>0</v>
      </c>
      <c r="O33" s="90">
        <f t="shared" ca="1" si="4"/>
        <v>0</v>
      </c>
      <c r="P33" s="90">
        <f t="shared" ca="1" si="4"/>
        <v>0</v>
      </c>
      <c r="Q33" s="90">
        <f t="shared" ca="1" si="4"/>
        <v>0</v>
      </c>
      <c r="R33" s="90">
        <f t="shared" ca="1" si="4"/>
        <v>0</v>
      </c>
      <c r="S33" s="90">
        <f t="shared" ca="1" si="4"/>
        <v>0</v>
      </c>
      <c r="T33" s="90">
        <f t="shared" ca="1" si="4"/>
        <v>0</v>
      </c>
      <c r="U33" s="90">
        <f t="shared" ca="1" si="4"/>
        <v>0</v>
      </c>
      <c r="V33" s="90">
        <f t="shared" ca="1" si="4"/>
        <v>0</v>
      </c>
      <c r="W33" s="90">
        <f t="shared" ca="1" si="4"/>
        <v>0</v>
      </c>
      <c r="X33" s="90">
        <f t="shared" ca="1" si="4"/>
        <v>0</v>
      </c>
      <c r="Y33" s="90">
        <f t="shared" ca="1" si="4"/>
        <v>0</v>
      </c>
      <c r="Z33" s="90">
        <f t="shared" ca="1" si="4"/>
        <v>0</v>
      </c>
      <c r="AA33" s="90">
        <f t="shared" ca="1" si="4"/>
        <v>0</v>
      </c>
      <c r="AC33" s="118">
        <f ca="1">SUM(G33:AB33)</f>
        <v>0</v>
      </c>
    </row>
    <row r="34" spans="1:29" ht="6.95" customHeight="1">
      <c r="A34" s="84">
        <f>Arbeitszeit!$A12</f>
        <v>41645</v>
      </c>
      <c r="C34" s="171"/>
      <c r="D34" s="11"/>
      <c r="E34" s="171"/>
      <c r="F34" s="80"/>
      <c r="G34" s="88"/>
      <c r="H34" s="88"/>
      <c r="I34" s="88"/>
      <c r="J34" s="88"/>
      <c r="K34" s="88"/>
      <c r="L34" s="88"/>
      <c r="M34" s="88"/>
      <c r="N34" s="88"/>
      <c r="O34" s="88"/>
      <c r="P34" s="88"/>
      <c r="Q34" s="88"/>
      <c r="R34" s="88"/>
      <c r="S34" s="88"/>
      <c r="T34" s="88"/>
      <c r="U34" s="88"/>
      <c r="V34" s="88"/>
      <c r="W34" s="88"/>
      <c r="X34" s="88"/>
      <c r="Y34" s="88"/>
      <c r="Z34" s="88"/>
      <c r="AA34" s="88"/>
      <c r="AC34" s="119"/>
    </row>
    <row r="35" spans="1:29" ht="15.75" customHeight="1">
      <c r="A35" s="84">
        <f>Arbeitszeit!$A13</f>
        <v>41646</v>
      </c>
      <c r="B35" s="85">
        <v>3</v>
      </c>
      <c r="C35" s="172">
        <v>54</v>
      </c>
      <c r="D35" s="85" t="s">
        <v>148</v>
      </c>
      <c r="E35" s="173">
        <v>83</v>
      </c>
      <c r="F35" s="80"/>
      <c r="G35" s="90">
        <f t="shared" ref="G35:AA35" ca="1" si="5">SUM(OFFSET(db_Aufgaben,$C35+1,(G$25-1)*2,$E35-$C35+1,1))</f>
        <v>0</v>
      </c>
      <c r="H35" s="90">
        <f t="shared" ca="1" si="5"/>
        <v>0</v>
      </c>
      <c r="I35" s="90">
        <f t="shared" ca="1" si="5"/>
        <v>0</v>
      </c>
      <c r="J35" s="90">
        <f t="shared" ca="1" si="5"/>
        <v>0</v>
      </c>
      <c r="K35" s="90">
        <f t="shared" ca="1" si="5"/>
        <v>0</v>
      </c>
      <c r="L35" s="90">
        <f t="shared" ca="1" si="5"/>
        <v>0</v>
      </c>
      <c r="M35" s="90">
        <f t="shared" ca="1" si="5"/>
        <v>0</v>
      </c>
      <c r="N35" s="90">
        <f t="shared" ca="1" si="5"/>
        <v>0</v>
      </c>
      <c r="O35" s="90">
        <f t="shared" ca="1" si="5"/>
        <v>0</v>
      </c>
      <c r="P35" s="90">
        <f t="shared" ca="1" si="5"/>
        <v>0</v>
      </c>
      <c r="Q35" s="90">
        <f t="shared" ca="1" si="5"/>
        <v>0</v>
      </c>
      <c r="R35" s="90">
        <f t="shared" ca="1" si="5"/>
        <v>0</v>
      </c>
      <c r="S35" s="90">
        <f t="shared" ca="1" si="5"/>
        <v>0</v>
      </c>
      <c r="T35" s="90">
        <f t="shared" ca="1" si="5"/>
        <v>0</v>
      </c>
      <c r="U35" s="90">
        <f t="shared" ca="1" si="5"/>
        <v>0</v>
      </c>
      <c r="V35" s="90">
        <f t="shared" ca="1" si="5"/>
        <v>0</v>
      </c>
      <c r="W35" s="90">
        <f t="shared" ca="1" si="5"/>
        <v>0</v>
      </c>
      <c r="X35" s="90">
        <f t="shared" ca="1" si="5"/>
        <v>0</v>
      </c>
      <c r="Y35" s="90">
        <f t="shared" ca="1" si="5"/>
        <v>0</v>
      </c>
      <c r="Z35" s="90">
        <f t="shared" ca="1" si="5"/>
        <v>0</v>
      </c>
      <c r="AA35" s="90">
        <f t="shared" ca="1" si="5"/>
        <v>0</v>
      </c>
      <c r="AC35" s="118">
        <f ca="1">SUM(G35:AB35)</f>
        <v>0</v>
      </c>
    </row>
    <row r="36" spans="1:29" ht="6.95" customHeight="1">
      <c r="A36" s="84">
        <f>Arbeitszeit!$A14</f>
        <v>41647</v>
      </c>
      <c r="C36" s="171"/>
      <c r="D36" s="11"/>
      <c r="E36" s="171"/>
      <c r="F36" s="80"/>
      <c r="G36" s="88"/>
      <c r="H36" s="88"/>
      <c r="I36" s="88"/>
      <c r="J36" s="88"/>
      <c r="K36" s="88"/>
      <c r="L36" s="88"/>
      <c r="M36" s="88"/>
      <c r="N36" s="88"/>
      <c r="O36" s="88"/>
      <c r="P36" s="88"/>
      <c r="Q36" s="88"/>
      <c r="R36" s="88"/>
      <c r="S36" s="88"/>
      <c r="T36" s="88"/>
      <c r="U36" s="88"/>
      <c r="V36" s="88"/>
      <c r="W36" s="88"/>
      <c r="X36" s="88"/>
      <c r="Y36" s="88"/>
      <c r="Z36" s="88"/>
      <c r="AA36" s="88"/>
      <c r="AC36" s="119"/>
    </row>
    <row r="37" spans="1:29" ht="15.75" customHeight="1">
      <c r="A37" s="84">
        <f>Arbeitszeit!$A15</f>
        <v>41648</v>
      </c>
      <c r="B37" s="85">
        <v>4</v>
      </c>
      <c r="C37" s="172">
        <v>84</v>
      </c>
      <c r="D37" s="85" t="s">
        <v>148</v>
      </c>
      <c r="E37" s="173">
        <v>113</v>
      </c>
      <c r="F37" s="80"/>
      <c r="G37" s="90">
        <f t="shared" ref="G37:AA37" ca="1" si="6">SUM(OFFSET(db_Aufgaben,$C37+1,(G$25-1)*2,$E37-$C37+1,1))</f>
        <v>0</v>
      </c>
      <c r="H37" s="90">
        <f t="shared" ca="1" si="6"/>
        <v>0</v>
      </c>
      <c r="I37" s="90">
        <f t="shared" ca="1" si="6"/>
        <v>0</v>
      </c>
      <c r="J37" s="90">
        <f t="shared" ca="1" si="6"/>
        <v>0</v>
      </c>
      <c r="K37" s="90">
        <f t="shared" ca="1" si="6"/>
        <v>0</v>
      </c>
      <c r="L37" s="90">
        <f t="shared" ca="1" si="6"/>
        <v>0</v>
      </c>
      <c r="M37" s="90">
        <f t="shared" ca="1" si="6"/>
        <v>0</v>
      </c>
      <c r="N37" s="90">
        <f t="shared" ca="1" si="6"/>
        <v>0</v>
      </c>
      <c r="O37" s="90">
        <f t="shared" ca="1" si="6"/>
        <v>0</v>
      </c>
      <c r="P37" s="90">
        <f t="shared" ca="1" si="6"/>
        <v>0</v>
      </c>
      <c r="Q37" s="90">
        <f t="shared" ca="1" si="6"/>
        <v>0</v>
      </c>
      <c r="R37" s="90">
        <f t="shared" ca="1" si="6"/>
        <v>0</v>
      </c>
      <c r="S37" s="90">
        <f t="shared" ca="1" si="6"/>
        <v>0</v>
      </c>
      <c r="T37" s="90">
        <f t="shared" ca="1" si="6"/>
        <v>0</v>
      </c>
      <c r="U37" s="90">
        <f t="shared" ca="1" si="6"/>
        <v>0</v>
      </c>
      <c r="V37" s="90">
        <f t="shared" ca="1" si="6"/>
        <v>0</v>
      </c>
      <c r="W37" s="90">
        <f t="shared" ca="1" si="6"/>
        <v>0</v>
      </c>
      <c r="X37" s="90">
        <f t="shared" ca="1" si="6"/>
        <v>0</v>
      </c>
      <c r="Y37" s="90">
        <f t="shared" ca="1" si="6"/>
        <v>0</v>
      </c>
      <c r="Z37" s="90">
        <f t="shared" ca="1" si="6"/>
        <v>0</v>
      </c>
      <c r="AA37" s="90">
        <f t="shared" ca="1" si="6"/>
        <v>0</v>
      </c>
      <c r="AC37" s="118">
        <f ca="1">SUM(G37:AB37)</f>
        <v>0</v>
      </c>
    </row>
    <row r="38" spans="1:29" ht="6.95" customHeight="1">
      <c r="A38" s="84">
        <f>Arbeitszeit!$A16</f>
        <v>41649</v>
      </c>
      <c r="C38" s="171"/>
      <c r="D38" s="11"/>
      <c r="E38" s="171"/>
      <c r="F38" s="80"/>
      <c r="G38" s="88"/>
      <c r="H38" s="88"/>
      <c r="I38" s="88"/>
      <c r="J38" s="88"/>
      <c r="K38" s="88"/>
      <c r="L38" s="88"/>
      <c r="M38" s="88"/>
      <c r="N38" s="88"/>
      <c r="O38" s="88"/>
      <c r="P38" s="88"/>
      <c r="Q38" s="88"/>
      <c r="R38" s="88"/>
      <c r="S38" s="88"/>
      <c r="T38" s="88"/>
      <c r="U38" s="88"/>
      <c r="V38" s="88"/>
      <c r="W38" s="88"/>
      <c r="X38" s="88"/>
      <c r="Y38" s="88"/>
      <c r="Z38" s="88"/>
      <c r="AA38" s="88"/>
      <c r="AC38" s="119"/>
    </row>
    <row r="39" spans="1:29" ht="15.75" customHeight="1">
      <c r="A39" s="84">
        <f>Arbeitszeit!$A17</f>
        <v>41650</v>
      </c>
      <c r="B39" s="85">
        <v>5</v>
      </c>
      <c r="C39" s="172">
        <v>114</v>
      </c>
      <c r="D39" s="85" t="s">
        <v>148</v>
      </c>
      <c r="E39" s="173">
        <v>142</v>
      </c>
      <c r="F39" s="80"/>
      <c r="G39" s="90">
        <f t="shared" ref="G39:AA39" ca="1" si="7">SUM(OFFSET(db_Aufgaben,$C39+1,(G$25-1)*2,$E39-$C39+1,1))</f>
        <v>0</v>
      </c>
      <c r="H39" s="90">
        <f t="shared" ca="1" si="7"/>
        <v>0</v>
      </c>
      <c r="I39" s="90">
        <f t="shared" ca="1" si="7"/>
        <v>0</v>
      </c>
      <c r="J39" s="90">
        <f t="shared" ca="1" si="7"/>
        <v>0</v>
      </c>
      <c r="K39" s="90">
        <f t="shared" ca="1" si="7"/>
        <v>0</v>
      </c>
      <c r="L39" s="90">
        <f t="shared" ca="1" si="7"/>
        <v>0</v>
      </c>
      <c r="M39" s="90">
        <f t="shared" ca="1" si="7"/>
        <v>0</v>
      </c>
      <c r="N39" s="90">
        <f t="shared" ca="1" si="7"/>
        <v>0</v>
      </c>
      <c r="O39" s="90">
        <f t="shared" ca="1" si="7"/>
        <v>0</v>
      </c>
      <c r="P39" s="90">
        <f t="shared" ca="1" si="7"/>
        <v>0</v>
      </c>
      <c r="Q39" s="90">
        <f t="shared" ca="1" si="7"/>
        <v>0</v>
      </c>
      <c r="R39" s="90">
        <f t="shared" ca="1" si="7"/>
        <v>0</v>
      </c>
      <c r="S39" s="90">
        <f t="shared" ca="1" si="7"/>
        <v>0</v>
      </c>
      <c r="T39" s="90">
        <f t="shared" ca="1" si="7"/>
        <v>0</v>
      </c>
      <c r="U39" s="90">
        <f t="shared" ca="1" si="7"/>
        <v>0</v>
      </c>
      <c r="V39" s="90">
        <f t="shared" ca="1" si="7"/>
        <v>0</v>
      </c>
      <c r="W39" s="90">
        <f t="shared" ca="1" si="7"/>
        <v>0</v>
      </c>
      <c r="X39" s="90">
        <f t="shared" ca="1" si="7"/>
        <v>0</v>
      </c>
      <c r="Y39" s="90">
        <f t="shared" ca="1" si="7"/>
        <v>0</v>
      </c>
      <c r="Z39" s="90">
        <f t="shared" ca="1" si="7"/>
        <v>0</v>
      </c>
      <c r="AA39" s="90">
        <f t="shared" ca="1" si="7"/>
        <v>0</v>
      </c>
      <c r="AC39" s="118">
        <f ca="1">SUM(G39:AB39)</f>
        <v>0</v>
      </c>
    </row>
    <row r="40" spans="1:29" ht="6.95" customHeight="1">
      <c r="A40" s="84">
        <f>Arbeitszeit!$A18</f>
        <v>41651</v>
      </c>
      <c r="C40" s="171"/>
      <c r="D40" s="11"/>
      <c r="E40" s="171"/>
      <c r="F40" s="80"/>
      <c r="G40" s="88"/>
      <c r="H40" s="88"/>
      <c r="I40" s="88"/>
      <c r="J40" s="88"/>
      <c r="K40" s="88"/>
      <c r="L40" s="88"/>
      <c r="M40" s="88"/>
      <c r="N40" s="88"/>
      <c r="O40" s="88"/>
      <c r="P40" s="88"/>
      <c r="Q40" s="88"/>
      <c r="R40" s="88"/>
      <c r="S40" s="88"/>
      <c r="T40" s="88"/>
      <c r="U40" s="88"/>
      <c r="V40" s="88"/>
      <c r="W40" s="88"/>
      <c r="X40" s="88"/>
      <c r="Y40" s="88"/>
      <c r="Z40" s="88"/>
      <c r="AA40" s="88"/>
      <c r="AC40" s="119"/>
    </row>
    <row r="41" spans="1:29" ht="15.75" customHeight="1">
      <c r="A41" s="84">
        <f>Arbeitszeit!$A19</f>
        <v>41652</v>
      </c>
      <c r="B41" s="85">
        <v>6</v>
      </c>
      <c r="C41" s="172">
        <v>143</v>
      </c>
      <c r="D41" s="85" t="s">
        <v>148</v>
      </c>
      <c r="E41" s="173">
        <v>174</v>
      </c>
      <c r="F41" s="80"/>
      <c r="G41" s="90">
        <f t="shared" ref="G41:AA41" ca="1" si="8">SUM(OFFSET(db_Aufgaben,$C41+1,(G$25-1)*2,$E41-$C41+1,1))</f>
        <v>0</v>
      </c>
      <c r="H41" s="90">
        <f t="shared" ca="1" si="8"/>
        <v>0</v>
      </c>
      <c r="I41" s="90">
        <f t="shared" ca="1" si="8"/>
        <v>0</v>
      </c>
      <c r="J41" s="90">
        <f t="shared" ca="1" si="8"/>
        <v>0</v>
      </c>
      <c r="K41" s="90">
        <f t="shared" ca="1" si="8"/>
        <v>0</v>
      </c>
      <c r="L41" s="90">
        <f t="shared" ca="1" si="8"/>
        <v>0</v>
      </c>
      <c r="M41" s="90">
        <f t="shared" ca="1" si="8"/>
        <v>0</v>
      </c>
      <c r="N41" s="90">
        <f t="shared" ca="1" si="8"/>
        <v>0</v>
      </c>
      <c r="O41" s="90">
        <f t="shared" ca="1" si="8"/>
        <v>0</v>
      </c>
      <c r="P41" s="90">
        <f t="shared" ca="1" si="8"/>
        <v>0</v>
      </c>
      <c r="Q41" s="90">
        <f t="shared" ca="1" si="8"/>
        <v>0</v>
      </c>
      <c r="R41" s="90">
        <f t="shared" ca="1" si="8"/>
        <v>0</v>
      </c>
      <c r="S41" s="90">
        <f t="shared" ca="1" si="8"/>
        <v>0</v>
      </c>
      <c r="T41" s="90">
        <f t="shared" ca="1" si="8"/>
        <v>0</v>
      </c>
      <c r="U41" s="90">
        <f t="shared" ca="1" si="8"/>
        <v>0</v>
      </c>
      <c r="V41" s="90">
        <f t="shared" ca="1" si="8"/>
        <v>0</v>
      </c>
      <c r="W41" s="90">
        <f t="shared" ca="1" si="8"/>
        <v>0</v>
      </c>
      <c r="X41" s="90">
        <f t="shared" ca="1" si="8"/>
        <v>0</v>
      </c>
      <c r="Y41" s="90">
        <f t="shared" ca="1" si="8"/>
        <v>0</v>
      </c>
      <c r="Z41" s="90">
        <f t="shared" ca="1" si="8"/>
        <v>0</v>
      </c>
      <c r="AA41" s="90">
        <f t="shared" ca="1" si="8"/>
        <v>0</v>
      </c>
      <c r="AC41" s="118">
        <f ca="1">SUM(G41:AB41)</f>
        <v>0</v>
      </c>
    </row>
    <row r="42" spans="1:29" ht="6.95" customHeight="1">
      <c r="A42" s="84">
        <f>Arbeitszeit!$A20</f>
        <v>41653</v>
      </c>
      <c r="C42" s="171"/>
      <c r="E42" s="171"/>
      <c r="G42" s="88"/>
      <c r="H42" s="88"/>
      <c r="I42" s="88"/>
      <c r="J42" s="88"/>
      <c r="K42" s="88"/>
      <c r="L42" s="88"/>
      <c r="M42" s="88"/>
      <c r="N42" s="88"/>
      <c r="O42" s="88"/>
      <c r="P42" s="88"/>
      <c r="Q42" s="88"/>
      <c r="R42" s="88"/>
      <c r="S42" s="88"/>
      <c r="T42" s="88"/>
      <c r="U42" s="88"/>
      <c r="V42" s="88"/>
      <c r="W42" s="88"/>
      <c r="X42" s="88"/>
      <c r="Y42" s="88"/>
      <c r="Z42" s="88"/>
      <c r="AA42" s="88"/>
      <c r="AC42" s="119"/>
    </row>
    <row r="43" spans="1:29" ht="15.75" customHeight="1">
      <c r="A43" s="84">
        <f>Arbeitszeit!$A21</f>
        <v>41654</v>
      </c>
      <c r="B43" s="85">
        <v>7</v>
      </c>
      <c r="C43" s="81">
        <v>175</v>
      </c>
      <c r="D43" s="85" t="s">
        <v>148</v>
      </c>
      <c r="E43" s="79">
        <v>205</v>
      </c>
      <c r="G43" s="90">
        <f t="shared" ref="G43:AA43" ca="1" si="9">SUM(OFFSET(db_Aufgaben,$C43+1,(G$25-1)*2,$E43-$C43+1,1))</f>
        <v>0</v>
      </c>
      <c r="H43" s="90">
        <f t="shared" ca="1" si="9"/>
        <v>0</v>
      </c>
      <c r="I43" s="90">
        <f t="shared" ca="1" si="9"/>
        <v>0</v>
      </c>
      <c r="J43" s="90">
        <f t="shared" ca="1" si="9"/>
        <v>0</v>
      </c>
      <c r="K43" s="90">
        <f t="shared" ca="1" si="9"/>
        <v>0</v>
      </c>
      <c r="L43" s="90">
        <f t="shared" ca="1" si="9"/>
        <v>0</v>
      </c>
      <c r="M43" s="90">
        <f t="shared" ca="1" si="9"/>
        <v>0</v>
      </c>
      <c r="N43" s="90">
        <f t="shared" ca="1" si="9"/>
        <v>0</v>
      </c>
      <c r="O43" s="90">
        <f t="shared" ca="1" si="9"/>
        <v>0</v>
      </c>
      <c r="P43" s="90">
        <f t="shared" ca="1" si="9"/>
        <v>0</v>
      </c>
      <c r="Q43" s="90">
        <f t="shared" ca="1" si="9"/>
        <v>0</v>
      </c>
      <c r="R43" s="90">
        <f t="shared" ca="1" si="9"/>
        <v>0</v>
      </c>
      <c r="S43" s="90">
        <f t="shared" ca="1" si="9"/>
        <v>0</v>
      </c>
      <c r="T43" s="90">
        <f t="shared" ca="1" si="9"/>
        <v>0</v>
      </c>
      <c r="U43" s="90">
        <f t="shared" ca="1" si="9"/>
        <v>0</v>
      </c>
      <c r="V43" s="90">
        <f t="shared" ca="1" si="9"/>
        <v>0</v>
      </c>
      <c r="W43" s="90">
        <f t="shared" ca="1" si="9"/>
        <v>0</v>
      </c>
      <c r="X43" s="90">
        <f t="shared" ca="1" si="9"/>
        <v>0</v>
      </c>
      <c r="Y43" s="90">
        <f t="shared" ca="1" si="9"/>
        <v>0</v>
      </c>
      <c r="Z43" s="90">
        <f t="shared" ca="1" si="9"/>
        <v>0</v>
      </c>
      <c r="AA43" s="90">
        <f t="shared" ca="1" si="9"/>
        <v>0</v>
      </c>
      <c r="AC43" s="118">
        <f ca="1">SUM(G43:AB43)</f>
        <v>0</v>
      </c>
    </row>
    <row r="44" spans="1:29" ht="6.95" customHeight="1">
      <c r="A44" s="84">
        <f>Arbeitszeit!$A22</f>
        <v>41655</v>
      </c>
      <c r="C44" s="171"/>
      <c r="E44" s="171"/>
      <c r="G44" s="88"/>
      <c r="H44" s="88"/>
      <c r="I44" s="88"/>
      <c r="J44" s="88"/>
      <c r="K44" s="88"/>
      <c r="L44" s="88"/>
      <c r="M44" s="88"/>
      <c r="N44" s="88"/>
      <c r="O44" s="88"/>
      <c r="P44" s="88"/>
      <c r="Q44" s="88"/>
      <c r="R44" s="88"/>
      <c r="S44" s="88"/>
      <c r="T44" s="88"/>
      <c r="U44" s="88"/>
      <c r="V44" s="88"/>
      <c r="W44" s="88"/>
      <c r="X44" s="88"/>
      <c r="Y44" s="88"/>
      <c r="Z44" s="88"/>
      <c r="AA44" s="88"/>
      <c r="AC44" s="119"/>
    </row>
    <row r="45" spans="1:29" ht="15.75" customHeight="1">
      <c r="A45" s="84">
        <f>Arbeitszeit!$A23</f>
        <v>41656</v>
      </c>
      <c r="B45" s="85">
        <v>8</v>
      </c>
      <c r="C45" s="81">
        <v>206</v>
      </c>
      <c r="D45" s="85" t="s">
        <v>148</v>
      </c>
      <c r="E45" s="79">
        <v>236</v>
      </c>
      <c r="G45" s="90">
        <f t="shared" ref="G45:AA45" ca="1" si="10">SUM(OFFSET(db_Aufgaben,$C45+1,(G$25-1)*2,$E45-$C45+1,1))</f>
        <v>0</v>
      </c>
      <c r="H45" s="90">
        <f t="shared" ca="1" si="10"/>
        <v>0</v>
      </c>
      <c r="I45" s="90">
        <f t="shared" ca="1" si="10"/>
        <v>0</v>
      </c>
      <c r="J45" s="90">
        <f t="shared" ca="1" si="10"/>
        <v>0</v>
      </c>
      <c r="K45" s="90">
        <f t="shared" ca="1" si="10"/>
        <v>0</v>
      </c>
      <c r="L45" s="90">
        <f t="shared" ca="1" si="10"/>
        <v>0</v>
      </c>
      <c r="M45" s="90">
        <f t="shared" ca="1" si="10"/>
        <v>0</v>
      </c>
      <c r="N45" s="90">
        <f t="shared" ca="1" si="10"/>
        <v>0</v>
      </c>
      <c r="O45" s="90">
        <f t="shared" ca="1" si="10"/>
        <v>0</v>
      </c>
      <c r="P45" s="90">
        <f t="shared" ca="1" si="10"/>
        <v>0</v>
      </c>
      <c r="Q45" s="90">
        <f t="shared" ca="1" si="10"/>
        <v>0</v>
      </c>
      <c r="R45" s="90">
        <f t="shared" ca="1" si="10"/>
        <v>0</v>
      </c>
      <c r="S45" s="90">
        <f t="shared" ca="1" si="10"/>
        <v>0</v>
      </c>
      <c r="T45" s="90">
        <f t="shared" ca="1" si="10"/>
        <v>0</v>
      </c>
      <c r="U45" s="90">
        <f t="shared" ca="1" si="10"/>
        <v>0</v>
      </c>
      <c r="V45" s="90">
        <f t="shared" ca="1" si="10"/>
        <v>0</v>
      </c>
      <c r="W45" s="90">
        <f t="shared" ca="1" si="10"/>
        <v>0</v>
      </c>
      <c r="X45" s="90">
        <f t="shared" ca="1" si="10"/>
        <v>0</v>
      </c>
      <c r="Y45" s="90">
        <f t="shared" ca="1" si="10"/>
        <v>0</v>
      </c>
      <c r="Z45" s="90">
        <f t="shared" ca="1" si="10"/>
        <v>0</v>
      </c>
      <c r="AA45" s="90">
        <f t="shared" ca="1" si="10"/>
        <v>0</v>
      </c>
      <c r="AC45" s="118">
        <f ca="1">SUM(G45:AB45)</f>
        <v>0</v>
      </c>
    </row>
    <row r="46" spans="1:29" ht="6.95" customHeight="1">
      <c r="A46" s="84">
        <f>Arbeitszeit!$A24</f>
        <v>41657</v>
      </c>
      <c r="C46" s="171"/>
      <c r="E46" s="171"/>
      <c r="G46" s="88"/>
      <c r="H46" s="88"/>
      <c r="I46" s="88"/>
      <c r="J46" s="88"/>
      <c r="K46" s="88"/>
      <c r="L46" s="88"/>
      <c r="M46" s="88"/>
      <c r="N46" s="88"/>
      <c r="O46" s="88"/>
      <c r="P46" s="88"/>
      <c r="Q46" s="88"/>
      <c r="R46" s="88"/>
      <c r="S46" s="88"/>
      <c r="T46" s="88"/>
      <c r="U46" s="88"/>
      <c r="V46" s="88"/>
      <c r="W46" s="88"/>
      <c r="X46" s="88"/>
      <c r="Y46" s="88"/>
      <c r="Z46" s="88"/>
      <c r="AA46" s="88"/>
      <c r="AC46" s="119"/>
    </row>
    <row r="47" spans="1:29" ht="15.75" customHeight="1">
      <c r="A47" s="84">
        <f>Arbeitszeit!$A25</f>
        <v>41658</v>
      </c>
      <c r="B47" s="85">
        <v>9</v>
      </c>
      <c r="C47" s="81">
        <v>237</v>
      </c>
      <c r="D47" s="85" t="s">
        <v>148</v>
      </c>
      <c r="E47" s="79">
        <v>273</v>
      </c>
      <c r="G47" s="90">
        <f t="shared" ref="G47:AA47" ca="1" si="11">SUM(OFFSET(db_Aufgaben,$C47+1,(G$25-1)*2,$E47-$C47+1,1))</f>
        <v>0</v>
      </c>
      <c r="H47" s="90">
        <f t="shared" ca="1" si="11"/>
        <v>0</v>
      </c>
      <c r="I47" s="90">
        <f t="shared" ca="1" si="11"/>
        <v>0</v>
      </c>
      <c r="J47" s="90">
        <f t="shared" ca="1" si="11"/>
        <v>0</v>
      </c>
      <c r="K47" s="90">
        <f t="shared" ca="1" si="11"/>
        <v>0</v>
      </c>
      <c r="L47" s="90">
        <f t="shared" ca="1" si="11"/>
        <v>0</v>
      </c>
      <c r="M47" s="90">
        <f t="shared" ca="1" si="11"/>
        <v>0</v>
      </c>
      <c r="N47" s="90">
        <f t="shared" ca="1" si="11"/>
        <v>0</v>
      </c>
      <c r="O47" s="90">
        <f t="shared" ca="1" si="11"/>
        <v>0</v>
      </c>
      <c r="P47" s="90">
        <f t="shared" ca="1" si="11"/>
        <v>0</v>
      </c>
      <c r="Q47" s="90">
        <f t="shared" ca="1" si="11"/>
        <v>0</v>
      </c>
      <c r="R47" s="90">
        <f t="shared" ca="1" si="11"/>
        <v>0</v>
      </c>
      <c r="S47" s="90">
        <f t="shared" ca="1" si="11"/>
        <v>0</v>
      </c>
      <c r="T47" s="90">
        <f t="shared" ca="1" si="11"/>
        <v>0</v>
      </c>
      <c r="U47" s="90">
        <f t="shared" ca="1" si="11"/>
        <v>0</v>
      </c>
      <c r="V47" s="90">
        <f t="shared" ca="1" si="11"/>
        <v>0</v>
      </c>
      <c r="W47" s="90">
        <f t="shared" ca="1" si="11"/>
        <v>0</v>
      </c>
      <c r="X47" s="90">
        <f t="shared" ca="1" si="11"/>
        <v>0</v>
      </c>
      <c r="Y47" s="90">
        <f t="shared" ca="1" si="11"/>
        <v>0</v>
      </c>
      <c r="Z47" s="90">
        <f t="shared" ca="1" si="11"/>
        <v>0</v>
      </c>
      <c r="AA47" s="90">
        <f t="shared" ca="1" si="11"/>
        <v>0</v>
      </c>
      <c r="AC47" s="118">
        <f ca="1">SUM(G47:AB47)</f>
        <v>0</v>
      </c>
    </row>
    <row r="48" spans="1:29" ht="6.95" customHeight="1">
      <c r="A48" s="84">
        <f>Arbeitszeit!$A26</f>
        <v>41659</v>
      </c>
      <c r="C48" s="171"/>
      <c r="E48" s="171"/>
      <c r="G48" s="88"/>
      <c r="H48" s="88"/>
      <c r="I48" s="88"/>
      <c r="J48" s="88"/>
      <c r="K48" s="88"/>
      <c r="L48" s="88"/>
      <c r="M48" s="88"/>
      <c r="N48" s="88"/>
      <c r="O48" s="88"/>
      <c r="P48" s="88"/>
      <c r="Q48" s="88"/>
      <c r="R48" s="88"/>
      <c r="S48" s="88"/>
      <c r="T48" s="88"/>
      <c r="U48" s="88"/>
      <c r="V48" s="88"/>
      <c r="W48" s="88"/>
      <c r="X48" s="88"/>
      <c r="Y48" s="88"/>
      <c r="Z48" s="88"/>
      <c r="AA48" s="88"/>
      <c r="AC48" s="119"/>
    </row>
    <row r="49" spans="1:29" ht="15.75" customHeight="1">
      <c r="A49" s="84">
        <f>Arbeitszeit!$A27</f>
        <v>41660</v>
      </c>
      <c r="B49" s="85">
        <v>10</v>
      </c>
      <c r="C49" s="81">
        <v>274</v>
      </c>
      <c r="D49" s="85" t="s">
        <v>148</v>
      </c>
      <c r="E49" s="79">
        <v>327</v>
      </c>
      <c r="G49" s="90">
        <f t="shared" ref="G49:AA49" ca="1" si="12">SUM(OFFSET(db_Aufgaben,$C49+1,(G$25-1)*2,$E49-$C49+1,1))</f>
        <v>0</v>
      </c>
      <c r="H49" s="90">
        <f t="shared" ca="1" si="12"/>
        <v>0</v>
      </c>
      <c r="I49" s="90">
        <f t="shared" ca="1" si="12"/>
        <v>0</v>
      </c>
      <c r="J49" s="90">
        <f t="shared" ca="1" si="12"/>
        <v>0</v>
      </c>
      <c r="K49" s="90">
        <f t="shared" ca="1" si="12"/>
        <v>0</v>
      </c>
      <c r="L49" s="90">
        <f t="shared" ca="1" si="12"/>
        <v>0</v>
      </c>
      <c r="M49" s="90">
        <f t="shared" ca="1" si="12"/>
        <v>0</v>
      </c>
      <c r="N49" s="90">
        <f t="shared" ca="1" si="12"/>
        <v>0</v>
      </c>
      <c r="O49" s="90">
        <f t="shared" ca="1" si="12"/>
        <v>0</v>
      </c>
      <c r="P49" s="90">
        <f t="shared" ca="1" si="12"/>
        <v>0</v>
      </c>
      <c r="Q49" s="90">
        <f t="shared" ca="1" si="12"/>
        <v>0</v>
      </c>
      <c r="R49" s="90">
        <f t="shared" ca="1" si="12"/>
        <v>0</v>
      </c>
      <c r="S49" s="90">
        <f t="shared" ca="1" si="12"/>
        <v>0</v>
      </c>
      <c r="T49" s="90">
        <f t="shared" ca="1" si="12"/>
        <v>0</v>
      </c>
      <c r="U49" s="90">
        <f t="shared" ca="1" si="12"/>
        <v>0</v>
      </c>
      <c r="V49" s="90">
        <f t="shared" ca="1" si="12"/>
        <v>0</v>
      </c>
      <c r="W49" s="90">
        <f t="shared" ca="1" si="12"/>
        <v>0</v>
      </c>
      <c r="X49" s="90">
        <f t="shared" ca="1" si="12"/>
        <v>0</v>
      </c>
      <c r="Y49" s="90">
        <f t="shared" ca="1" si="12"/>
        <v>0</v>
      </c>
      <c r="Z49" s="90">
        <f t="shared" ca="1" si="12"/>
        <v>0</v>
      </c>
      <c r="AA49" s="90">
        <f t="shared" ca="1" si="12"/>
        <v>0</v>
      </c>
      <c r="AC49" s="118">
        <f ca="1">SUM(G49:AB49)</f>
        <v>0</v>
      </c>
    </row>
    <row r="50" spans="1:29" ht="6.95" customHeight="1">
      <c r="A50" s="84">
        <f>Arbeitszeit!$A28</f>
        <v>41661</v>
      </c>
      <c r="C50" s="171"/>
      <c r="E50" s="171"/>
      <c r="G50" s="88"/>
      <c r="H50" s="88"/>
      <c r="I50" s="88"/>
      <c r="J50" s="88"/>
      <c r="K50" s="88"/>
      <c r="L50" s="88"/>
      <c r="M50" s="88"/>
      <c r="N50" s="88"/>
      <c r="O50" s="88"/>
      <c r="P50" s="88"/>
      <c r="Q50" s="88"/>
      <c r="R50" s="88"/>
      <c r="S50" s="88"/>
      <c r="T50" s="88"/>
      <c r="U50" s="88"/>
      <c r="V50" s="88"/>
      <c r="W50" s="88"/>
      <c r="X50" s="88"/>
      <c r="Y50" s="88"/>
      <c r="Z50" s="88"/>
      <c r="AA50" s="88"/>
      <c r="AC50" s="119"/>
    </row>
    <row r="51" spans="1:29" ht="15.75" customHeight="1">
      <c r="A51" s="84">
        <f>Arbeitszeit!$A29</f>
        <v>41662</v>
      </c>
      <c r="B51" s="85">
        <v>11</v>
      </c>
      <c r="C51" s="81">
        <v>328</v>
      </c>
      <c r="D51" s="85" t="s">
        <v>148</v>
      </c>
      <c r="E51" s="79">
        <v>335</v>
      </c>
      <c r="G51" s="90">
        <f t="shared" ref="G51:AA51" ca="1" si="13">SUM(OFFSET(db_Aufgaben,$C51+1,(G$25-1)*2,$E51-$C51+1,1))</f>
        <v>0</v>
      </c>
      <c r="H51" s="90">
        <f t="shared" ca="1" si="13"/>
        <v>0</v>
      </c>
      <c r="I51" s="90">
        <f t="shared" ca="1" si="13"/>
        <v>0</v>
      </c>
      <c r="J51" s="90">
        <f t="shared" ca="1" si="13"/>
        <v>0</v>
      </c>
      <c r="K51" s="90">
        <f t="shared" ca="1" si="13"/>
        <v>0</v>
      </c>
      <c r="L51" s="90">
        <f t="shared" ca="1" si="13"/>
        <v>0</v>
      </c>
      <c r="M51" s="90">
        <f t="shared" ca="1" si="13"/>
        <v>0</v>
      </c>
      <c r="N51" s="90">
        <f t="shared" ca="1" si="13"/>
        <v>0</v>
      </c>
      <c r="O51" s="90">
        <f t="shared" ca="1" si="13"/>
        <v>0</v>
      </c>
      <c r="P51" s="90">
        <f t="shared" ca="1" si="13"/>
        <v>0</v>
      </c>
      <c r="Q51" s="90">
        <f t="shared" ca="1" si="13"/>
        <v>0</v>
      </c>
      <c r="R51" s="90">
        <f t="shared" ca="1" si="13"/>
        <v>0</v>
      </c>
      <c r="S51" s="90">
        <f t="shared" ca="1" si="13"/>
        <v>0</v>
      </c>
      <c r="T51" s="90">
        <f t="shared" ca="1" si="13"/>
        <v>0</v>
      </c>
      <c r="U51" s="90">
        <f t="shared" ca="1" si="13"/>
        <v>0</v>
      </c>
      <c r="V51" s="90">
        <f t="shared" ca="1" si="13"/>
        <v>0</v>
      </c>
      <c r="W51" s="90">
        <f t="shared" ca="1" si="13"/>
        <v>0</v>
      </c>
      <c r="X51" s="90">
        <f t="shared" ca="1" si="13"/>
        <v>0</v>
      </c>
      <c r="Y51" s="90">
        <f t="shared" ca="1" si="13"/>
        <v>0</v>
      </c>
      <c r="Z51" s="90">
        <f t="shared" ca="1" si="13"/>
        <v>0</v>
      </c>
      <c r="AA51" s="90">
        <f t="shared" ca="1" si="13"/>
        <v>0</v>
      </c>
      <c r="AC51" s="118">
        <f ca="1">SUM(G51:AB51)</f>
        <v>0</v>
      </c>
    </row>
    <row r="52" spans="1:29" ht="6.95" customHeight="1">
      <c r="A52" s="84">
        <f>Arbeitszeit!$A30</f>
        <v>41663</v>
      </c>
      <c r="C52" s="171"/>
      <c r="E52" s="171"/>
      <c r="G52" s="88"/>
      <c r="H52" s="88"/>
      <c r="I52" s="88"/>
      <c r="J52" s="88"/>
      <c r="K52" s="88"/>
      <c r="L52" s="88"/>
      <c r="M52" s="88"/>
      <c r="N52" s="88"/>
      <c r="O52" s="88"/>
      <c r="P52" s="88"/>
      <c r="Q52" s="88"/>
      <c r="R52" s="88"/>
      <c r="S52" s="88"/>
      <c r="T52" s="88"/>
      <c r="U52" s="88"/>
      <c r="V52" s="88"/>
      <c r="W52" s="88"/>
      <c r="X52" s="88"/>
      <c r="Y52" s="88"/>
      <c r="Z52" s="88"/>
      <c r="AA52" s="88"/>
      <c r="AC52" s="119"/>
    </row>
    <row r="53" spans="1:29" ht="15.75" customHeight="1">
      <c r="A53" s="84">
        <f>Arbeitszeit!$A31</f>
        <v>41664</v>
      </c>
      <c r="B53" s="85">
        <v>12</v>
      </c>
      <c r="C53" s="81">
        <v>336</v>
      </c>
      <c r="D53" s="85" t="s">
        <v>148</v>
      </c>
      <c r="E53" s="79">
        <v>366</v>
      </c>
      <c r="G53" s="90">
        <f t="shared" ref="G53:AA53" ca="1" si="14">SUM(OFFSET(db_Aufgaben,$C53+1,(G$25-1)*2,$E53-$C53+1,1))</f>
        <v>0</v>
      </c>
      <c r="H53" s="90">
        <f t="shared" ca="1" si="14"/>
        <v>0</v>
      </c>
      <c r="I53" s="90">
        <f t="shared" ca="1" si="14"/>
        <v>0</v>
      </c>
      <c r="J53" s="90">
        <f t="shared" ca="1" si="14"/>
        <v>0</v>
      </c>
      <c r="K53" s="90">
        <f t="shared" ca="1" si="14"/>
        <v>0</v>
      </c>
      <c r="L53" s="90">
        <f t="shared" ca="1" si="14"/>
        <v>0</v>
      </c>
      <c r="M53" s="90">
        <f t="shared" ca="1" si="14"/>
        <v>0</v>
      </c>
      <c r="N53" s="90">
        <f t="shared" ca="1" si="14"/>
        <v>0</v>
      </c>
      <c r="O53" s="90">
        <f t="shared" ca="1" si="14"/>
        <v>0</v>
      </c>
      <c r="P53" s="90">
        <f t="shared" ca="1" si="14"/>
        <v>0</v>
      </c>
      <c r="Q53" s="90">
        <f t="shared" ca="1" si="14"/>
        <v>0</v>
      </c>
      <c r="R53" s="90">
        <f t="shared" ca="1" si="14"/>
        <v>0</v>
      </c>
      <c r="S53" s="90">
        <f t="shared" ca="1" si="14"/>
        <v>0</v>
      </c>
      <c r="T53" s="90">
        <f t="shared" ca="1" si="14"/>
        <v>0</v>
      </c>
      <c r="U53" s="90">
        <f t="shared" ca="1" si="14"/>
        <v>0</v>
      </c>
      <c r="V53" s="90">
        <f t="shared" ca="1" si="14"/>
        <v>0</v>
      </c>
      <c r="W53" s="90">
        <f t="shared" ca="1" si="14"/>
        <v>0</v>
      </c>
      <c r="X53" s="90">
        <f t="shared" ca="1" si="14"/>
        <v>0</v>
      </c>
      <c r="Y53" s="90">
        <f t="shared" ca="1" si="14"/>
        <v>0</v>
      </c>
      <c r="Z53" s="90">
        <f t="shared" ca="1" si="14"/>
        <v>0</v>
      </c>
      <c r="AA53" s="90">
        <f t="shared" ca="1" si="14"/>
        <v>0</v>
      </c>
      <c r="AC53" s="118">
        <f ca="1">SUM(G53:AB53)</f>
        <v>0</v>
      </c>
    </row>
    <row r="54" spans="1:29" ht="6.95" customHeight="1">
      <c r="A54" s="84">
        <f>Arbeitszeit!$A32</f>
        <v>41665</v>
      </c>
      <c r="C54" s="171"/>
      <c r="E54" s="171"/>
      <c r="G54" s="88"/>
      <c r="H54" s="88"/>
      <c r="I54" s="88"/>
      <c r="J54" s="88"/>
      <c r="K54" s="88"/>
      <c r="L54" s="88"/>
      <c r="M54" s="88"/>
      <c r="N54" s="88"/>
      <c r="O54" s="88"/>
      <c r="P54" s="88"/>
      <c r="Q54" s="88"/>
      <c r="R54" s="88"/>
      <c r="S54" s="88"/>
      <c r="T54" s="88"/>
      <c r="U54" s="88"/>
      <c r="V54" s="88"/>
      <c r="W54" s="88"/>
      <c r="X54" s="88"/>
      <c r="Y54" s="88"/>
      <c r="Z54" s="88"/>
      <c r="AA54" s="88"/>
      <c r="AC54" s="119"/>
    </row>
    <row r="55" spans="1:29" ht="15.75" customHeight="1">
      <c r="A55" s="84">
        <f>Arbeitszeit!$A33</f>
        <v>41666</v>
      </c>
      <c r="B55" s="85">
        <v>13</v>
      </c>
      <c r="C55" s="81">
        <v>366</v>
      </c>
      <c r="D55" s="85" t="s">
        <v>148</v>
      </c>
      <c r="E55" s="79">
        <v>366</v>
      </c>
      <c r="G55" s="90">
        <f t="shared" ref="G55:AA55" ca="1" si="15">SUM(OFFSET(db_Aufgaben,$C55+1,(G$25-1)*2,$E55-$C55+1,1))</f>
        <v>0</v>
      </c>
      <c r="H55" s="90">
        <f t="shared" ca="1" si="15"/>
        <v>0</v>
      </c>
      <c r="I55" s="90">
        <f t="shared" ca="1" si="15"/>
        <v>0</v>
      </c>
      <c r="J55" s="90">
        <f t="shared" ca="1" si="15"/>
        <v>0</v>
      </c>
      <c r="K55" s="90">
        <f t="shared" ca="1" si="15"/>
        <v>0</v>
      </c>
      <c r="L55" s="90">
        <f t="shared" ca="1" si="15"/>
        <v>0</v>
      </c>
      <c r="M55" s="90">
        <f t="shared" ca="1" si="15"/>
        <v>0</v>
      </c>
      <c r="N55" s="90">
        <f t="shared" ca="1" si="15"/>
        <v>0</v>
      </c>
      <c r="O55" s="90">
        <f t="shared" ca="1" si="15"/>
        <v>0</v>
      </c>
      <c r="P55" s="90">
        <f t="shared" ca="1" si="15"/>
        <v>0</v>
      </c>
      <c r="Q55" s="90">
        <f t="shared" ca="1" si="15"/>
        <v>0</v>
      </c>
      <c r="R55" s="90">
        <f t="shared" ca="1" si="15"/>
        <v>0</v>
      </c>
      <c r="S55" s="90">
        <f t="shared" ca="1" si="15"/>
        <v>0</v>
      </c>
      <c r="T55" s="90">
        <f t="shared" ca="1" si="15"/>
        <v>0</v>
      </c>
      <c r="U55" s="90">
        <f t="shared" ca="1" si="15"/>
        <v>0</v>
      </c>
      <c r="V55" s="90">
        <f t="shared" ca="1" si="15"/>
        <v>0</v>
      </c>
      <c r="W55" s="90">
        <f t="shared" ca="1" si="15"/>
        <v>0</v>
      </c>
      <c r="X55" s="90">
        <f t="shared" ca="1" si="15"/>
        <v>0</v>
      </c>
      <c r="Y55" s="90">
        <f t="shared" ca="1" si="15"/>
        <v>0</v>
      </c>
      <c r="Z55" s="90">
        <f t="shared" ca="1" si="15"/>
        <v>0</v>
      </c>
      <c r="AA55" s="90">
        <f t="shared" ca="1" si="15"/>
        <v>0</v>
      </c>
      <c r="AC55" s="118">
        <f ca="1">SUM(G55:AB55)</f>
        <v>0</v>
      </c>
    </row>
    <row r="56" spans="1:29" ht="6.95" customHeight="1">
      <c r="A56" s="84">
        <f>Arbeitszeit!$A34</f>
        <v>41667</v>
      </c>
      <c r="C56" s="171"/>
      <c r="E56" s="171"/>
      <c r="G56" s="88"/>
      <c r="H56" s="88"/>
      <c r="I56" s="88"/>
      <c r="J56" s="88"/>
      <c r="K56" s="88"/>
      <c r="L56" s="88"/>
      <c r="M56" s="88"/>
      <c r="N56" s="88"/>
      <c r="O56" s="88"/>
      <c r="P56" s="88"/>
      <c r="Q56" s="88"/>
      <c r="R56" s="88"/>
      <c r="S56" s="88"/>
      <c r="T56" s="88"/>
      <c r="U56" s="88"/>
      <c r="V56" s="88"/>
      <c r="W56" s="88"/>
      <c r="X56" s="88"/>
      <c r="Y56" s="88"/>
      <c r="Z56" s="88"/>
      <c r="AA56" s="88"/>
      <c r="AC56" s="119"/>
    </row>
    <row r="57" spans="1:29" ht="15.75" customHeight="1">
      <c r="A57" s="84">
        <f>Arbeitszeit!$A35</f>
        <v>41668</v>
      </c>
      <c r="B57" s="85">
        <v>14</v>
      </c>
      <c r="C57" s="81">
        <v>366</v>
      </c>
      <c r="D57" s="85" t="s">
        <v>148</v>
      </c>
      <c r="E57" s="79">
        <v>366</v>
      </c>
      <c r="G57" s="90">
        <f t="shared" ref="G57:AA57" ca="1" si="16">SUM(OFFSET(db_Aufgaben,$C57+1,(G$25-1)*2,$E57-$C57+1,1))</f>
        <v>0</v>
      </c>
      <c r="H57" s="90">
        <f t="shared" ca="1" si="16"/>
        <v>0</v>
      </c>
      <c r="I57" s="90">
        <f t="shared" ca="1" si="16"/>
        <v>0</v>
      </c>
      <c r="J57" s="90">
        <f t="shared" ca="1" si="16"/>
        <v>0</v>
      </c>
      <c r="K57" s="90">
        <f t="shared" ca="1" si="16"/>
        <v>0</v>
      </c>
      <c r="L57" s="90">
        <f t="shared" ca="1" si="16"/>
        <v>0</v>
      </c>
      <c r="M57" s="90">
        <f t="shared" ca="1" si="16"/>
        <v>0</v>
      </c>
      <c r="N57" s="90">
        <f t="shared" ca="1" si="16"/>
        <v>0</v>
      </c>
      <c r="O57" s="90">
        <f t="shared" ca="1" si="16"/>
        <v>0</v>
      </c>
      <c r="P57" s="90">
        <f t="shared" ca="1" si="16"/>
        <v>0</v>
      </c>
      <c r="Q57" s="90">
        <f t="shared" ca="1" si="16"/>
        <v>0</v>
      </c>
      <c r="R57" s="90">
        <f t="shared" ca="1" si="16"/>
        <v>0</v>
      </c>
      <c r="S57" s="90">
        <f t="shared" ca="1" si="16"/>
        <v>0</v>
      </c>
      <c r="T57" s="90">
        <f t="shared" ca="1" si="16"/>
        <v>0</v>
      </c>
      <c r="U57" s="90">
        <f t="shared" ca="1" si="16"/>
        <v>0</v>
      </c>
      <c r="V57" s="90">
        <f t="shared" ca="1" si="16"/>
        <v>0</v>
      </c>
      <c r="W57" s="90">
        <f t="shared" ca="1" si="16"/>
        <v>0</v>
      </c>
      <c r="X57" s="90">
        <f t="shared" ca="1" si="16"/>
        <v>0</v>
      </c>
      <c r="Y57" s="90">
        <f t="shared" ca="1" si="16"/>
        <v>0</v>
      </c>
      <c r="Z57" s="90">
        <f t="shared" ca="1" si="16"/>
        <v>0</v>
      </c>
      <c r="AA57" s="90">
        <f t="shared" ca="1" si="16"/>
        <v>0</v>
      </c>
      <c r="AC57" s="118">
        <f ca="1">SUM(G57:AB57)</f>
        <v>0</v>
      </c>
    </row>
    <row r="58" spans="1:29">
      <c r="A58" s="84">
        <f>Arbeitszeit!$A36</f>
        <v>41669</v>
      </c>
      <c r="G58" s="88"/>
      <c r="H58" s="88"/>
      <c r="I58" s="88"/>
      <c r="J58" s="88"/>
      <c r="K58" s="88"/>
      <c r="L58" s="88"/>
      <c r="M58" s="88"/>
      <c r="N58" s="88"/>
      <c r="O58" s="88"/>
      <c r="P58" s="88"/>
      <c r="Q58" s="88"/>
      <c r="R58" s="87"/>
      <c r="AC58" s="88"/>
    </row>
    <row r="59" spans="1:29">
      <c r="A59" s="84">
        <f>Arbeitszeit!$A37</f>
        <v>41670</v>
      </c>
      <c r="G59" s="88"/>
      <c r="H59" s="88"/>
      <c r="I59" s="88"/>
      <c r="J59" s="88"/>
      <c r="K59" s="88"/>
      <c r="L59" s="88"/>
      <c r="M59" s="88"/>
      <c r="N59" s="88"/>
      <c r="O59" s="88"/>
      <c r="P59" s="88"/>
      <c r="Q59" s="88"/>
      <c r="R59" s="87"/>
    </row>
    <row r="60" spans="1:29">
      <c r="A60" s="84">
        <f>Arbeitszeit!$A38</f>
        <v>41671</v>
      </c>
      <c r="G60" s="88"/>
      <c r="H60" s="88"/>
      <c r="I60" s="88"/>
      <c r="J60" s="88"/>
      <c r="K60" s="88"/>
      <c r="L60" s="88"/>
      <c r="M60" s="88"/>
      <c r="N60" s="88"/>
      <c r="O60" s="88"/>
      <c r="P60" s="88"/>
      <c r="Q60" s="88"/>
      <c r="R60" s="87"/>
    </row>
    <row r="61" spans="1:29">
      <c r="A61" s="84">
        <f>Arbeitszeit!$A39</f>
        <v>41672</v>
      </c>
      <c r="G61" s="89"/>
      <c r="H61" s="89"/>
      <c r="I61" s="89"/>
      <c r="J61" s="89"/>
      <c r="K61" s="89"/>
      <c r="L61" s="89"/>
      <c r="M61" s="89"/>
      <c r="N61" s="89"/>
      <c r="O61" s="89"/>
      <c r="P61" s="89"/>
      <c r="Q61" s="89"/>
    </row>
    <row r="62" spans="1:29">
      <c r="A62" s="84">
        <f>Arbeitszeit!$A40</f>
        <v>41673</v>
      </c>
    </row>
    <row r="63" spans="1:29">
      <c r="A63" s="84">
        <f>Arbeitszeit!$A41</f>
        <v>41674</v>
      </c>
    </row>
    <row r="64" spans="1:29">
      <c r="A64" s="84">
        <f>Arbeitszeit!$A42</f>
        <v>41675</v>
      </c>
    </row>
    <row r="65" spans="1:1">
      <c r="A65" s="84">
        <f>Arbeitszeit!$A43</f>
        <v>41676</v>
      </c>
    </row>
    <row r="66" spans="1:1">
      <c r="A66" s="84">
        <f>Arbeitszeit!$A44</f>
        <v>41677</v>
      </c>
    </row>
    <row r="67" spans="1:1">
      <c r="A67" s="84">
        <f>Arbeitszeit!$A45</f>
        <v>41678</v>
      </c>
    </row>
    <row r="68" spans="1:1">
      <c r="A68" s="84">
        <f>Arbeitszeit!$A46</f>
        <v>41679</v>
      </c>
    </row>
    <row r="69" spans="1:1">
      <c r="A69" s="84">
        <f>Arbeitszeit!$A47</f>
        <v>41680</v>
      </c>
    </row>
    <row r="70" spans="1:1">
      <c r="A70" s="84">
        <f>Arbeitszeit!$A48</f>
        <v>41681</v>
      </c>
    </row>
    <row r="71" spans="1:1">
      <c r="A71" s="84">
        <f>Arbeitszeit!$A49</f>
        <v>41682</v>
      </c>
    </row>
    <row r="72" spans="1:1">
      <c r="A72" s="84">
        <f>Arbeitszeit!$A50</f>
        <v>41683</v>
      </c>
    </row>
    <row r="73" spans="1:1">
      <c r="A73" s="84">
        <f>Arbeitszeit!$A51</f>
        <v>41684</v>
      </c>
    </row>
    <row r="74" spans="1:1">
      <c r="A74" s="84">
        <f>Arbeitszeit!$A52</f>
        <v>41685</v>
      </c>
    </row>
    <row r="75" spans="1:1">
      <c r="A75" s="84">
        <f>Arbeitszeit!$A53</f>
        <v>41686</v>
      </c>
    </row>
    <row r="76" spans="1:1">
      <c r="A76" s="84">
        <f>Arbeitszeit!$A54</f>
        <v>41687</v>
      </c>
    </row>
    <row r="77" spans="1:1">
      <c r="A77" s="84">
        <f>Arbeitszeit!$A55</f>
        <v>41688</v>
      </c>
    </row>
    <row r="78" spans="1:1">
      <c r="A78" s="84">
        <f>Arbeitszeit!$A56</f>
        <v>41689</v>
      </c>
    </row>
    <row r="79" spans="1:1">
      <c r="A79" s="84">
        <f>Arbeitszeit!$A57</f>
        <v>41690</v>
      </c>
    </row>
    <row r="80" spans="1:1">
      <c r="A80" s="84">
        <f>Arbeitszeit!$A58</f>
        <v>41691</v>
      </c>
    </row>
    <row r="81" spans="1:1">
      <c r="A81" s="84">
        <f>Arbeitszeit!$A59</f>
        <v>41692</v>
      </c>
    </row>
    <row r="82" spans="1:1">
      <c r="A82" s="84">
        <f>Arbeitszeit!$A60</f>
        <v>41693</v>
      </c>
    </row>
    <row r="83" spans="1:1">
      <c r="A83" s="84">
        <f>Arbeitszeit!$A61</f>
        <v>41694</v>
      </c>
    </row>
    <row r="84" spans="1:1">
      <c r="A84" s="84">
        <f>Arbeitszeit!$A62</f>
        <v>41695</v>
      </c>
    </row>
    <row r="85" spans="1:1">
      <c r="A85" s="84">
        <f>Arbeitszeit!$A63</f>
        <v>41696</v>
      </c>
    </row>
    <row r="86" spans="1:1">
      <c r="A86" s="84">
        <f>Arbeitszeit!$A64</f>
        <v>41697</v>
      </c>
    </row>
    <row r="87" spans="1:1">
      <c r="A87" s="84">
        <f>Arbeitszeit!$A65</f>
        <v>41698</v>
      </c>
    </row>
    <row r="88" spans="1:1">
      <c r="A88" s="84">
        <f>Arbeitszeit!$A66</f>
        <v>41699</v>
      </c>
    </row>
    <row r="89" spans="1:1">
      <c r="A89" s="84">
        <f>Arbeitszeit!$A67</f>
        <v>41700</v>
      </c>
    </row>
    <row r="90" spans="1:1">
      <c r="A90" s="84">
        <f>Arbeitszeit!$A68</f>
        <v>41701</v>
      </c>
    </row>
    <row r="91" spans="1:1">
      <c r="A91" s="84">
        <f>Arbeitszeit!$A69</f>
        <v>41702</v>
      </c>
    </row>
    <row r="92" spans="1:1">
      <c r="A92" s="84">
        <f>Arbeitszeit!$A70</f>
        <v>41703</v>
      </c>
    </row>
    <row r="93" spans="1:1">
      <c r="A93" s="84">
        <f>Arbeitszeit!$A71</f>
        <v>41704</v>
      </c>
    </row>
    <row r="94" spans="1:1">
      <c r="A94" s="84">
        <f>Arbeitszeit!$A72</f>
        <v>41705</v>
      </c>
    </row>
    <row r="95" spans="1:1">
      <c r="A95" s="84">
        <f>Arbeitszeit!$A73</f>
        <v>41706</v>
      </c>
    </row>
    <row r="96" spans="1:1">
      <c r="A96" s="84">
        <f>Arbeitszeit!$A74</f>
        <v>41707</v>
      </c>
    </row>
    <row r="97" spans="1:1">
      <c r="A97" s="84">
        <f>Arbeitszeit!$A75</f>
        <v>41708</v>
      </c>
    </row>
    <row r="98" spans="1:1">
      <c r="A98" s="84">
        <f>Arbeitszeit!$A76</f>
        <v>41709</v>
      </c>
    </row>
    <row r="99" spans="1:1">
      <c r="A99" s="84">
        <f>Arbeitszeit!$A77</f>
        <v>41710</v>
      </c>
    </row>
    <row r="100" spans="1:1">
      <c r="A100" s="84">
        <f>Arbeitszeit!$A78</f>
        <v>41711</v>
      </c>
    </row>
    <row r="101" spans="1:1">
      <c r="A101" s="84">
        <f>Arbeitszeit!$A79</f>
        <v>41712</v>
      </c>
    </row>
    <row r="102" spans="1:1">
      <c r="A102" s="84">
        <f>Arbeitszeit!$A80</f>
        <v>41713</v>
      </c>
    </row>
    <row r="103" spans="1:1">
      <c r="A103" s="84">
        <f>Arbeitszeit!$A81</f>
        <v>41714</v>
      </c>
    </row>
    <row r="104" spans="1:1">
      <c r="A104" s="84">
        <f>Arbeitszeit!$A82</f>
        <v>41715</v>
      </c>
    </row>
    <row r="105" spans="1:1">
      <c r="A105" s="84">
        <f>Arbeitszeit!$A83</f>
        <v>41716</v>
      </c>
    </row>
    <row r="106" spans="1:1">
      <c r="A106" s="84">
        <f>Arbeitszeit!$A84</f>
        <v>41717</v>
      </c>
    </row>
    <row r="107" spans="1:1">
      <c r="A107" s="84">
        <f>Arbeitszeit!$A85</f>
        <v>41718</v>
      </c>
    </row>
    <row r="108" spans="1:1">
      <c r="A108" s="84">
        <f>Arbeitszeit!$A86</f>
        <v>41719</v>
      </c>
    </row>
    <row r="109" spans="1:1">
      <c r="A109" s="84">
        <f>Arbeitszeit!$A87</f>
        <v>41720</v>
      </c>
    </row>
    <row r="110" spans="1:1">
      <c r="A110" s="84">
        <f>Arbeitszeit!$A88</f>
        <v>41721</v>
      </c>
    </row>
    <row r="111" spans="1:1">
      <c r="A111" s="84">
        <f>Arbeitszeit!$A89</f>
        <v>41722</v>
      </c>
    </row>
    <row r="112" spans="1:1">
      <c r="A112" s="84">
        <f>Arbeitszeit!$A90</f>
        <v>41723</v>
      </c>
    </row>
    <row r="113" spans="1:1">
      <c r="A113" s="84">
        <f>Arbeitszeit!$A91</f>
        <v>41724</v>
      </c>
    </row>
    <row r="114" spans="1:1">
      <c r="A114" s="84">
        <f>Arbeitszeit!$A92</f>
        <v>41725</v>
      </c>
    </row>
    <row r="115" spans="1:1">
      <c r="A115" s="84">
        <f>Arbeitszeit!$A93</f>
        <v>41726</v>
      </c>
    </row>
    <row r="116" spans="1:1">
      <c r="A116" s="84">
        <f>Arbeitszeit!$A94</f>
        <v>41727</v>
      </c>
    </row>
    <row r="117" spans="1:1">
      <c r="A117" s="84">
        <f>Arbeitszeit!$A95</f>
        <v>41728</v>
      </c>
    </row>
    <row r="118" spans="1:1">
      <c r="A118" s="84">
        <f>Arbeitszeit!$A96</f>
        <v>41729</v>
      </c>
    </row>
    <row r="119" spans="1:1">
      <c r="A119" s="84">
        <f>Arbeitszeit!$A97</f>
        <v>41730</v>
      </c>
    </row>
    <row r="120" spans="1:1">
      <c r="A120" s="84">
        <f>Arbeitszeit!$A98</f>
        <v>41731</v>
      </c>
    </row>
    <row r="121" spans="1:1">
      <c r="A121" s="84">
        <f>Arbeitszeit!$A99</f>
        <v>41732</v>
      </c>
    </row>
    <row r="122" spans="1:1">
      <c r="A122" s="84">
        <f>Arbeitszeit!$A100</f>
        <v>41733</v>
      </c>
    </row>
    <row r="123" spans="1:1">
      <c r="A123" s="84">
        <f>Arbeitszeit!$A101</f>
        <v>41734</v>
      </c>
    </row>
    <row r="124" spans="1:1">
      <c r="A124" s="84">
        <f>Arbeitszeit!$A102</f>
        <v>41735</v>
      </c>
    </row>
    <row r="125" spans="1:1">
      <c r="A125" s="84">
        <f>Arbeitszeit!$A103</f>
        <v>41736</v>
      </c>
    </row>
    <row r="126" spans="1:1">
      <c r="A126" s="84">
        <f>Arbeitszeit!$A104</f>
        <v>41737</v>
      </c>
    </row>
    <row r="127" spans="1:1">
      <c r="A127" s="84">
        <f>Arbeitszeit!$A105</f>
        <v>41738</v>
      </c>
    </row>
    <row r="128" spans="1:1">
      <c r="A128" s="84">
        <f>Arbeitszeit!$A106</f>
        <v>41739</v>
      </c>
    </row>
    <row r="129" spans="1:1">
      <c r="A129" s="84">
        <f>Arbeitszeit!$A107</f>
        <v>41740</v>
      </c>
    </row>
    <row r="130" spans="1:1">
      <c r="A130" s="84">
        <f>Arbeitszeit!$A108</f>
        <v>41741</v>
      </c>
    </row>
    <row r="131" spans="1:1">
      <c r="A131" s="84">
        <f>Arbeitszeit!$A109</f>
        <v>41742</v>
      </c>
    </row>
    <row r="132" spans="1:1">
      <c r="A132" s="84">
        <f>Arbeitszeit!$A110</f>
        <v>41743</v>
      </c>
    </row>
    <row r="133" spans="1:1">
      <c r="A133" s="84">
        <f>Arbeitszeit!$A111</f>
        <v>41744</v>
      </c>
    </row>
    <row r="134" spans="1:1">
      <c r="A134" s="84">
        <f>Arbeitszeit!$A112</f>
        <v>41745</v>
      </c>
    </row>
    <row r="135" spans="1:1">
      <c r="A135" s="84">
        <f>Arbeitszeit!$A113</f>
        <v>41746</v>
      </c>
    </row>
    <row r="136" spans="1:1">
      <c r="A136" s="84">
        <f>Arbeitszeit!$A114</f>
        <v>41747</v>
      </c>
    </row>
    <row r="137" spans="1:1">
      <c r="A137" s="84">
        <f>Arbeitszeit!$A115</f>
        <v>41748</v>
      </c>
    </row>
    <row r="138" spans="1:1">
      <c r="A138" s="84">
        <f>Arbeitszeit!$A116</f>
        <v>41749</v>
      </c>
    </row>
    <row r="139" spans="1:1">
      <c r="A139" s="84">
        <f>Arbeitszeit!$A117</f>
        <v>41750</v>
      </c>
    </row>
    <row r="140" spans="1:1">
      <c r="A140" s="84">
        <f>Arbeitszeit!$A118</f>
        <v>41751</v>
      </c>
    </row>
    <row r="141" spans="1:1">
      <c r="A141" s="84">
        <f>Arbeitszeit!$A119</f>
        <v>41752</v>
      </c>
    </row>
    <row r="142" spans="1:1">
      <c r="A142" s="84">
        <f>Arbeitszeit!$A120</f>
        <v>41753</v>
      </c>
    </row>
    <row r="143" spans="1:1">
      <c r="A143" s="84">
        <f>Arbeitszeit!$A121</f>
        <v>41754</v>
      </c>
    </row>
    <row r="144" spans="1:1">
      <c r="A144" s="84">
        <f>Arbeitszeit!$A122</f>
        <v>41755</v>
      </c>
    </row>
    <row r="145" spans="1:1">
      <c r="A145" s="84">
        <f>Arbeitszeit!$A123</f>
        <v>41756</v>
      </c>
    </row>
    <row r="146" spans="1:1">
      <c r="A146" s="84">
        <f>Arbeitszeit!$A124</f>
        <v>41757</v>
      </c>
    </row>
    <row r="147" spans="1:1">
      <c r="A147" s="84">
        <f>Arbeitszeit!$A125</f>
        <v>41758</v>
      </c>
    </row>
    <row r="148" spans="1:1">
      <c r="A148" s="84">
        <f>Arbeitszeit!$A126</f>
        <v>41759</v>
      </c>
    </row>
    <row r="149" spans="1:1">
      <c r="A149" s="84">
        <f>Arbeitszeit!$A127</f>
        <v>41760</v>
      </c>
    </row>
    <row r="150" spans="1:1">
      <c r="A150" s="84">
        <f>Arbeitszeit!$A128</f>
        <v>41761</v>
      </c>
    </row>
    <row r="151" spans="1:1">
      <c r="A151" s="84">
        <f>Arbeitszeit!$A129</f>
        <v>41762</v>
      </c>
    </row>
    <row r="152" spans="1:1">
      <c r="A152" s="84">
        <f>Arbeitszeit!$A130</f>
        <v>41763</v>
      </c>
    </row>
    <row r="153" spans="1:1">
      <c r="A153" s="84">
        <f>Arbeitszeit!$A131</f>
        <v>41764</v>
      </c>
    </row>
    <row r="154" spans="1:1">
      <c r="A154" s="84">
        <f>Arbeitszeit!$A132</f>
        <v>41765</v>
      </c>
    </row>
    <row r="155" spans="1:1">
      <c r="A155" s="84">
        <f>Arbeitszeit!$A133</f>
        <v>41766</v>
      </c>
    </row>
    <row r="156" spans="1:1">
      <c r="A156" s="84">
        <f>Arbeitszeit!$A134</f>
        <v>41767</v>
      </c>
    </row>
    <row r="157" spans="1:1">
      <c r="A157" s="84">
        <f>Arbeitszeit!$A135</f>
        <v>41768</v>
      </c>
    </row>
    <row r="158" spans="1:1">
      <c r="A158" s="84">
        <f>Arbeitszeit!$A136</f>
        <v>41769</v>
      </c>
    </row>
    <row r="159" spans="1:1">
      <c r="A159" s="84">
        <f>Arbeitszeit!$A137</f>
        <v>41770</v>
      </c>
    </row>
    <row r="160" spans="1:1">
      <c r="A160" s="84">
        <f>Arbeitszeit!$A138</f>
        <v>41771</v>
      </c>
    </row>
    <row r="161" spans="1:1">
      <c r="A161" s="84">
        <f>Arbeitszeit!$A139</f>
        <v>41772</v>
      </c>
    </row>
    <row r="162" spans="1:1">
      <c r="A162" s="84">
        <f>Arbeitszeit!$A140</f>
        <v>41773</v>
      </c>
    </row>
    <row r="163" spans="1:1">
      <c r="A163" s="84">
        <f>Arbeitszeit!$A141</f>
        <v>41774</v>
      </c>
    </row>
    <row r="164" spans="1:1">
      <c r="A164" s="84">
        <f>Arbeitszeit!$A142</f>
        <v>41775</v>
      </c>
    </row>
    <row r="165" spans="1:1">
      <c r="A165" s="84">
        <f>Arbeitszeit!$A143</f>
        <v>41776</v>
      </c>
    </row>
    <row r="166" spans="1:1">
      <c r="A166" s="84">
        <f>Arbeitszeit!$A144</f>
        <v>41777</v>
      </c>
    </row>
    <row r="167" spans="1:1">
      <c r="A167" s="84">
        <f>Arbeitszeit!$A145</f>
        <v>41778</v>
      </c>
    </row>
    <row r="168" spans="1:1">
      <c r="A168" s="84">
        <f>Arbeitszeit!$A146</f>
        <v>41779</v>
      </c>
    </row>
    <row r="169" spans="1:1">
      <c r="A169" s="84">
        <f>Arbeitszeit!$A147</f>
        <v>41780</v>
      </c>
    </row>
    <row r="170" spans="1:1">
      <c r="A170" s="84">
        <f>Arbeitszeit!$A148</f>
        <v>41781</v>
      </c>
    </row>
    <row r="171" spans="1:1">
      <c r="A171" s="84">
        <f>Arbeitszeit!$A149</f>
        <v>41782</v>
      </c>
    </row>
    <row r="172" spans="1:1">
      <c r="A172" s="84">
        <f>Arbeitszeit!$A150</f>
        <v>41783</v>
      </c>
    </row>
    <row r="173" spans="1:1">
      <c r="A173" s="84">
        <f>Arbeitszeit!$A151</f>
        <v>41784</v>
      </c>
    </row>
    <row r="174" spans="1:1">
      <c r="A174" s="84">
        <f>Arbeitszeit!$A152</f>
        <v>41785</v>
      </c>
    </row>
    <row r="175" spans="1:1">
      <c r="A175" s="84">
        <f>Arbeitszeit!$A153</f>
        <v>41786</v>
      </c>
    </row>
    <row r="176" spans="1:1">
      <c r="A176" s="84">
        <f>Arbeitszeit!$A154</f>
        <v>41787</v>
      </c>
    </row>
    <row r="177" spans="1:1">
      <c r="A177" s="84">
        <f>Arbeitszeit!$A155</f>
        <v>41788</v>
      </c>
    </row>
    <row r="178" spans="1:1">
      <c r="A178" s="84">
        <f>Arbeitszeit!$A156</f>
        <v>41789</v>
      </c>
    </row>
    <row r="179" spans="1:1">
      <c r="A179" s="84">
        <f>Arbeitszeit!$A157</f>
        <v>41790</v>
      </c>
    </row>
    <row r="180" spans="1:1">
      <c r="A180" s="84">
        <f>Arbeitszeit!$A158</f>
        <v>41791</v>
      </c>
    </row>
    <row r="181" spans="1:1">
      <c r="A181" s="84">
        <f>Arbeitszeit!$A159</f>
        <v>41792</v>
      </c>
    </row>
    <row r="182" spans="1:1">
      <c r="A182" s="84">
        <f>Arbeitszeit!$A160</f>
        <v>41793</v>
      </c>
    </row>
    <row r="183" spans="1:1">
      <c r="A183" s="84">
        <f>Arbeitszeit!$A161</f>
        <v>41794</v>
      </c>
    </row>
    <row r="184" spans="1:1">
      <c r="A184" s="84">
        <f>Arbeitszeit!$A162</f>
        <v>41795</v>
      </c>
    </row>
    <row r="185" spans="1:1">
      <c r="A185" s="84">
        <f>Arbeitszeit!$A163</f>
        <v>41796</v>
      </c>
    </row>
    <row r="186" spans="1:1">
      <c r="A186" s="84">
        <f>Arbeitszeit!$A164</f>
        <v>41797</v>
      </c>
    </row>
    <row r="187" spans="1:1">
      <c r="A187" s="84">
        <f>Arbeitszeit!$A165</f>
        <v>41798</v>
      </c>
    </row>
    <row r="188" spans="1:1">
      <c r="A188" s="84">
        <f>Arbeitszeit!$A166</f>
        <v>41799</v>
      </c>
    </row>
    <row r="189" spans="1:1">
      <c r="A189" s="84">
        <f>Arbeitszeit!$A167</f>
        <v>41800</v>
      </c>
    </row>
    <row r="190" spans="1:1">
      <c r="A190" s="84">
        <f>Arbeitszeit!$A168</f>
        <v>41801</v>
      </c>
    </row>
    <row r="191" spans="1:1">
      <c r="A191" s="84">
        <f>Arbeitszeit!$A169</f>
        <v>41802</v>
      </c>
    </row>
    <row r="192" spans="1:1">
      <c r="A192" s="84">
        <f>Arbeitszeit!$A170</f>
        <v>41803</v>
      </c>
    </row>
    <row r="193" spans="1:1">
      <c r="A193" s="84">
        <f>Arbeitszeit!$A171</f>
        <v>41804</v>
      </c>
    </row>
    <row r="194" spans="1:1">
      <c r="A194" s="84">
        <f>Arbeitszeit!$A172</f>
        <v>41805</v>
      </c>
    </row>
    <row r="195" spans="1:1">
      <c r="A195" s="84">
        <f>Arbeitszeit!$A173</f>
        <v>41806</v>
      </c>
    </row>
    <row r="196" spans="1:1">
      <c r="A196" s="84">
        <f>Arbeitszeit!$A174</f>
        <v>41807</v>
      </c>
    </row>
    <row r="197" spans="1:1">
      <c r="A197" s="84">
        <f>Arbeitszeit!$A175</f>
        <v>41808</v>
      </c>
    </row>
    <row r="198" spans="1:1">
      <c r="A198" s="84">
        <f>Arbeitszeit!$A176</f>
        <v>41809</v>
      </c>
    </row>
    <row r="199" spans="1:1">
      <c r="A199" s="84">
        <f>Arbeitszeit!$A177</f>
        <v>41810</v>
      </c>
    </row>
    <row r="200" spans="1:1">
      <c r="A200" s="84">
        <f>Arbeitszeit!$A178</f>
        <v>41811</v>
      </c>
    </row>
    <row r="201" spans="1:1">
      <c r="A201" s="84">
        <f>Arbeitszeit!$A179</f>
        <v>41812</v>
      </c>
    </row>
    <row r="202" spans="1:1">
      <c r="A202" s="84">
        <f>Arbeitszeit!$A180</f>
        <v>41813</v>
      </c>
    </row>
    <row r="203" spans="1:1">
      <c r="A203" s="84">
        <f>Arbeitszeit!$A181</f>
        <v>41814</v>
      </c>
    </row>
    <row r="204" spans="1:1">
      <c r="A204" s="84">
        <f>Arbeitszeit!$A182</f>
        <v>41815</v>
      </c>
    </row>
    <row r="205" spans="1:1">
      <c r="A205" s="84">
        <f>Arbeitszeit!$A183</f>
        <v>41816</v>
      </c>
    </row>
    <row r="206" spans="1:1">
      <c r="A206" s="84">
        <f>Arbeitszeit!$A184</f>
        <v>41817</v>
      </c>
    </row>
    <row r="207" spans="1:1">
      <c r="A207" s="84">
        <f>Arbeitszeit!$A185</f>
        <v>41818</v>
      </c>
    </row>
    <row r="208" spans="1:1">
      <c r="A208" s="84">
        <f>Arbeitszeit!$A186</f>
        <v>41819</v>
      </c>
    </row>
    <row r="209" spans="1:1">
      <c r="A209" s="84">
        <f>Arbeitszeit!$A187</f>
        <v>41820</v>
      </c>
    </row>
    <row r="210" spans="1:1">
      <c r="A210" s="84">
        <f>Arbeitszeit!$A188</f>
        <v>41821</v>
      </c>
    </row>
    <row r="211" spans="1:1">
      <c r="A211" s="84">
        <f>Arbeitszeit!$A189</f>
        <v>41822</v>
      </c>
    </row>
    <row r="212" spans="1:1">
      <c r="A212" s="84">
        <f>Arbeitszeit!$A190</f>
        <v>41823</v>
      </c>
    </row>
    <row r="213" spans="1:1">
      <c r="A213" s="84">
        <f>Arbeitszeit!$A191</f>
        <v>41824</v>
      </c>
    </row>
    <row r="214" spans="1:1">
      <c r="A214" s="84">
        <f>Arbeitszeit!$A192</f>
        <v>41825</v>
      </c>
    </row>
    <row r="215" spans="1:1">
      <c r="A215" s="84">
        <f>Arbeitszeit!$A193</f>
        <v>41826</v>
      </c>
    </row>
    <row r="216" spans="1:1">
      <c r="A216" s="84">
        <f>Arbeitszeit!$A194</f>
        <v>41827</v>
      </c>
    </row>
    <row r="217" spans="1:1">
      <c r="A217" s="84">
        <f>Arbeitszeit!$A195</f>
        <v>41828</v>
      </c>
    </row>
    <row r="218" spans="1:1">
      <c r="A218" s="84">
        <f>Arbeitszeit!$A196</f>
        <v>41829</v>
      </c>
    </row>
    <row r="219" spans="1:1">
      <c r="A219" s="84">
        <f>Arbeitszeit!$A197</f>
        <v>41830</v>
      </c>
    </row>
    <row r="220" spans="1:1">
      <c r="A220" s="84">
        <f>Arbeitszeit!$A198</f>
        <v>41831</v>
      </c>
    </row>
    <row r="221" spans="1:1">
      <c r="A221" s="84">
        <f>Arbeitszeit!$A199</f>
        <v>41832</v>
      </c>
    </row>
    <row r="222" spans="1:1">
      <c r="A222" s="84">
        <f>Arbeitszeit!$A200</f>
        <v>41833</v>
      </c>
    </row>
    <row r="223" spans="1:1">
      <c r="A223" s="84">
        <f>Arbeitszeit!$A201</f>
        <v>41834</v>
      </c>
    </row>
    <row r="224" spans="1:1">
      <c r="A224" s="84">
        <f>Arbeitszeit!$A202</f>
        <v>41835</v>
      </c>
    </row>
    <row r="225" spans="1:1">
      <c r="A225" s="84">
        <f>Arbeitszeit!$A203</f>
        <v>41836</v>
      </c>
    </row>
    <row r="226" spans="1:1">
      <c r="A226" s="84">
        <f>Arbeitszeit!$A204</f>
        <v>41837</v>
      </c>
    </row>
    <row r="227" spans="1:1">
      <c r="A227" s="84">
        <f>Arbeitszeit!$A205</f>
        <v>41838</v>
      </c>
    </row>
    <row r="228" spans="1:1">
      <c r="A228" s="84">
        <f>Arbeitszeit!$A206</f>
        <v>41839</v>
      </c>
    </row>
    <row r="229" spans="1:1">
      <c r="A229" s="84">
        <f>Arbeitszeit!$A207</f>
        <v>41840</v>
      </c>
    </row>
    <row r="230" spans="1:1">
      <c r="A230" s="84">
        <f>Arbeitszeit!$A208</f>
        <v>41841</v>
      </c>
    </row>
    <row r="231" spans="1:1">
      <c r="A231" s="84">
        <f>Arbeitszeit!$A209</f>
        <v>41842</v>
      </c>
    </row>
    <row r="232" spans="1:1">
      <c r="A232" s="84">
        <f>Arbeitszeit!$A210</f>
        <v>41843</v>
      </c>
    </row>
    <row r="233" spans="1:1">
      <c r="A233" s="84">
        <f>Arbeitszeit!$A211</f>
        <v>41844</v>
      </c>
    </row>
    <row r="234" spans="1:1">
      <c r="A234" s="84">
        <f>Arbeitszeit!$A212</f>
        <v>41845</v>
      </c>
    </row>
    <row r="235" spans="1:1">
      <c r="A235" s="84">
        <f>Arbeitszeit!$A213</f>
        <v>41846</v>
      </c>
    </row>
    <row r="236" spans="1:1">
      <c r="A236" s="84">
        <f>Arbeitszeit!$A214</f>
        <v>41847</v>
      </c>
    </row>
    <row r="237" spans="1:1">
      <c r="A237" s="84">
        <f>Arbeitszeit!$A215</f>
        <v>41848</v>
      </c>
    </row>
    <row r="238" spans="1:1">
      <c r="A238" s="84">
        <f>Arbeitszeit!$A216</f>
        <v>41849</v>
      </c>
    </row>
    <row r="239" spans="1:1">
      <c r="A239" s="84">
        <f>Arbeitszeit!$A217</f>
        <v>41850</v>
      </c>
    </row>
    <row r="240" spans="1:1">
      <c r="A240" s="84">
        <f>Arbeitszeit!$A218</f>
        <v>41851</v>
      </c>
    </row>
    <row r="241" spans="1:1">
      <c r="A241" s="84">
        <f>Arbeitszeit!$A219</f>
        <v>41852</v>
      </c>
    </row>
    <row r="242" spans="1:1">
      <c r="A242" s="84">
        <f>Arbeitszeit!$A220</f>
        <v>41853</v>
      </c>
    </row>
    <row r="243" spans="1:1">
      <c r="A243" s="84">
        <f>Arbeitszeit!$A221</f>
        <v>41854</v>
      </c>
    </row>
    <row r="244" spans="1:1">
      <c r="A244" s="84">
        <f>Arbeitszeit!$A222</f>
        <v>41855</v>
      </c>
    </row>
    <row r="245" spans="1:1">
      <c r="A245" s="84">
        <f>Arbeitszeit!$A223</f>
        <v>41856</v>
      </c>
    </row>
    <row r="246" spans="1:1">
      <c r="A246" s="84">
        <f>Arbeitszeit!$A224</f>
        <v>41857</v>
      </c>
    </row>
    <row r="247" spans="1:1">
      <c r="A247" s="84">
        <f>Arbeitszeit!$A225</f>
        <v>41858</v>
      </c>
    </row>
    <row r="248" spans="1:1">
      <c r="A248" s="84">
        <f>Arbeitszeit!$A226</f>
        <v>41859</v>
      </c>
    </row>
    <row r="249" spans="1:1">
      <c r="A249" s="84">
        <f>Arbeitszeit!$A227</f>
        <v>41860</v>
      </c>
    </row>
    <row r="250" spans="1:1">
      <c r="A250" s="84">
        <f>Arbeitszeit!$A228</f>
        <v>41861</v>
      </c>
    </row>
    <row r="251" spans="1:1">
      <c r="A251" s="84">
        <f>Arbeitszeit!$A229</f>
        <v>41862</v>
      </c>
    </row>
    <row r="252" spans="1:1">
      <c r="A252" s="84">
        <f>Arbeitszeit!$A230</f>
        <v>41863</v>
      </c>
    </row>
    <row r="253" spans="1:1">
      <c r="A253" s="84">
        <f>Arbeitszeit!$A231</f>
        <v>41864</v>
      </c>
    </row>
    <row r="254" spans="1:1">
      <c r="A254" s="84">
        <f>Arbeitszeit!$A232</f>
        <v>41865</v>
      </c>
    </row>
    <row r="255" spans="1:1">
      <c r="A255" s="84">
        <f>Arbeitszeit!$A233</f>
        <v>41866</v>
      </c>
    </row>
    <row r="256" spans="1:1">
      <c r="A256" s="84">
        <f>Arbeitszeit!$A234</f>
        <v>41867</v>
      </c>
    </row>
    <row r="257" spans="1:1">
      <c r="A257" s="84">
        <f>Arbeitszeit!$A235</f>
        <v>41868</v>
      </c>
    </row>
    <row r="258" spans="1:1">
      <c r="A258" s="84">
        <f>Arbeitszeit!$A236</f>
        <v>41869</v>
      </c>
    </row>
    <row r="259" spans="1:1">
      <c r="A259" s="84">
        <f>Arbeitszeit!$A237</f>
        <v>41870</v>
      </c>
    </row>
    <row r="260" spans="1:1">
      <c r="A260" s="84">
        <f>Arbeitszeit!$A238</f>
        <v>41871</v>
      </c>
    </row>
    <row r="261" spans="1:1">
      <c r="A261" s="84">
        <f>Arbeitszeit!$A239</f>
        <v>41872</v>
      </c>
    </row>
    <row r="262" spans="1:1">
      <c r="A262" s="84">
        <f>Arbeitszeit!$A240</f>
        <v>41873</v>
      </c>
    </row>
    <row r="263" spans="1:1">
      <c r="A263" s="84">
        <f>Arbeitszeit!$A241</f>
        <v>41874</v>
      </c>
    </row>
    <row r="264" spans="1:1">
      <c r="A264" s="84">
        <f>Arbeitszeit!$A242</f>
        <v>41875</v>
      </c>
    </row>
    <row r="265" spans="1:1">
      <c r="A265" s="84">
        <f>Arbeitszeit!$A243</f>
        <v>41876</v>
      </c>
    </row>
    <row r="266" spans="1:1">
      <c r="A266" s="84">
        <f>Arbeitszeit!$A244</f>
        <v>41877</v>
      </c>
    </row>
    <row r="267" spans="1:1">
      <c r="A267" s="84">
        <f>Arbeitszeit!$A245</f>
        <v>41878</v>
      </c>
    </row>
    <row r="268" spans="1:1">
      <c r="A268" s="84">
        <f>Arbeitszeit!$A246</f>
        <v>41879</v>
      </c>
    </row>
    <row r="269" spans="1:1">
      <c r="A269" s="84">
        <f>Arbeitszeit!$A247</f>
        <v>41880</v>
      </c>
    </row>
    <row r="270" spans="1:1">
      <c r="A270" s="84">
        <f>Arbeitszeit!$A248</f>
        <v>41881</v>
      </c>
    </row>
    <row r="271" spans="1:1">
      <c r="A271" s="84">
        <f>Arbeitszeit!$A249</f>
        <v>41882</v>
      </c>
    </row>
    <row r="272" spans="1:1">
      <c r="A272" s="84">
        <f>Arbeitszeit!$A250</f>
        <v>41883</v>
      </c>
    </row>
    <row r="273" spans="1:1">
      <c r="A273" s="84">
        <f>Arbeitszeit!$A251</f>
        <v>41884</v>
      </c>
    </row>
    <row r="274" spans="1:1">
      <c r="A274" s="84">
        <f>Arbeitszeit!$A252</f>
        <v>41885</v>
      </c>
    </row>
    <row r="275" spans="1:1">
      <c r="A275" s="84">
        <f>Arbeitszeit!$A253</f>
        <v>41886</v>
      </c>
    </row>
    <row r="276" spans="1:1">
      <c r="A276" s="84">
        <f>Arbeitszeit!$A254</f>
        <v>41887</v>
      </c>
    </row>
    <row r="277" spans="1:1">
      <c r="A277" s="84">
        <f>Arbeitszeit!$A255</f>
        <v>41888</v>
      </c>
    </row>
    <row r="278" spans="1:1">
      <c r="A278" s="84">
        <f>Arbeitszeit!$A256</f>
        <v>41889</v>
      </c>
    </row>
    <row r="279" spans="1:1">
      <c r="A279" s="84">
        <f>Arbeitszeit!$A257</f>
        <v>41890</v>
      </c>
    </row>
    <row r="280" spans="1:1">
      <c r="A280" s="84">
        <f>Arbeitszeit!$A258</f>
        <v>41891</v>
      </c>
    </row>
    <row r="281" spans="1:1">
      <c r="A281" s="84">
        <f>Arbeitszeit!$A259</f>
        <v>41892</v>
      </c>
    </row>
    <row r="282" spans="1:1">
      <c r="A282" s="84">
        <f>Arbeitszeit!$A260</f>
        <v>41893</v>
      </c>
    </row>
    <row r="283" spans="1:1">
      <c r="A283" s="84">
        <f>Arbeitszeit!$A261</f>
        <v>41894</v>
      </c>
    </row>
    <row r="284" spans="1:1">
      <c r="A284" s="84">
        <f>Arbeitszeit!$A262</f>
        <v>41895</v>
      </c>
    </row>
    <row r="285" spans="1:1">
      <c r="A285" s="84">
        <f>Arbeitszeit!$A263</f>
        <v>41896</v>
      </c>
    </row>
    <row r="286" spans="1:1">
      <c r="A286" s="84">
        <f>Arbeitszeit!$A264</f>
        <v>41897</v>
      </c>
    </row>
    <row r="287" spans="1:1">
      <c r="A287" s="84">
        <f>Arbeitszeit!$A265</f>
        <v>41898</v>
      </c>
    </row>
    <row r="288" spans="1:1">
      <c r="A288" s="84">
        <f>Arbeitszeit!$A266</f>
        <v>41899</v>
      </c>
    </row>
    <row r="289" spans="1:1">
      <c r="A289" s="84">
        <f>Arbeitszeit!$A267</f>
        <v>41900</v>
      </c>
    </row>
    <row r="290" spans="1:1">
      <c r="A290" s="84">
        <f>Arbeitszeit!$A268</f>
        <v>41901</v>
      </c>
    </row>
    <row r="291" spans="1:1">
      <c r="A291" s="84">
        <f>Arbeitszeit!$A269</f>
        <v>41902</v>
      </c>
    </row>
    <row r="292" spans="1:1">
      <c r="A292" s="84">
        <f>Arbeitszeit!$A270</f>
        <v>41903</v>
      </c>
    </row>
    <row r="293" spans="1:1">
      <c r="A293" s="84">
        <f>Arbeitszeit!$A271</f>
        <v>41904</v>
      </c>
    </row>
    <row r="294" spans="1:1">
      <c r="A294" s="84">
        <f>Arbeitszeit!$A272</f>
        <v>41905</v>
      </c>
    </row>
    <row r="295" spans="1:1">
      <c r="A295" s="84">
        <f>Arbeitszeit!$A273</f>
        <v>41906</v>
      </c>
    </row>
    <row r="296" spans="1:1">
      <c r="A296" s="84">
        <f>Arbeitszeit!$A274</f>
        <v>41907</v>
      </c>
    </row>
    <row r="297" spans="1:1">
      <c r="A297" s="84">
        <f>Arbeitszeit!$A275</f>
        <v>41908</v>
      </c>
    </row>
    <row r="298" spans="1:1">
      <c r="A298" s="84">
        <f>Arbeitszeit!$A276</f>
        <v>41909</v>
      </c>
    </row>
    <row r="299" spans="1:1">
      <c r="A299" s="84">
        <f>Arbeitszeit!$A277</f>
        <v>41910</v>
      </c>
    </row>
    <row r="300" spans="1:1">
      <c r="A300" s="84">
        <f>Arbeitszeit!$A278</f>
        <v>41911</v>
      </c>
    </row>
    <row r="301" spans="1:1">
      <c r="A301" s="84">
        <f>Arbeitszeit!$A279</f>
        <v>41912</v>
      </c>
    </row>
    <row r="302" spans="1:1">
      <c r="A302" s="84">
        <f>Arbeitszeit!$A280</f>
        <v>41913</v>
      </c>
    </row>
    <row r="303" spans="1:1">
      <c r="A303" s="84">
        <f>Arbeitszeit!$A281</f>
        <v>41914</v>
      </c>
    </row>
    <row r="304" spans="1:1">
      <c r="A304" s="84">
        <f>Arbeitszeit!$A282</f>
        <v>41915</v>
      </c>
    </row>
    <row r="305" spans="1:1">
      <c r="A305" s="84">
        <f>Arbeitszeit!$A283</f>
        <v>41916</v>
      </c>
    </row>
    <row r="306" spans="1:1">
      <c r="A306" s="84">
        <f>Arbeitszeit!$A284</f>
        <v>41917</v>
      </c>
    </row>
    <row r="307" spans="1:1">
      <c r="A307" s="84">
        <f>Arbeitszeit!$A285</f>
        <v>41918</v>
      </c>
    </row>
    <row r="308" spans="1:1">
      <c r="A308" s="84">
        <f>Arbeitszeit!$A286</f>
        <v>41919</v>
      </c>
    </row>
    <row r="309" spans="1:1">
      <c r="A309" s="84">
        <f>Arbeitszeit!$A287</f>
        <v>41920</v>
      </c>
    </row>
    <row r="310" spans="1:1">
      <c r="A310" s="84">
        <f>Arbeitszeit!$A288</f>
        <v>41921</v>
      </c>
    </row>
    <row r="311" spans="1:1">
      <c r="A311" s="84">
        <f>Arbeitszeit!$A289</f>
        <v>41922</v>
      </c>
    </row>
    <row r="312" spans="1:1">
      <c r="A312" s="84">
        <f>Arbeitszeit!$A290</f>
        <v>41923</v>
      </c>
    </row>
    <row r="313" spans="1:1">
      <c r="A313" s="84">
        <f>Arbeitszeit!$A291</f>
        <v>41924</v>
      </c>
    </row>
    <row r="314" spans="1:1">
      <c r="A314" s="84">
        <f>Arbeitszeit!$A292</f>
        <v>41925</v>
      </c>
    </row>
    <row r="315" spans="1:1">
      <c r="A315" s="84">
        <f>Arbeitszeit!$A293</f>
        <v>41926</v>
      </c>
    </row>
    <row r="316" spans="1:1">
      <c r="A316" s="84">
        <f>Arbeitszeit!$A294</f>
        <v>41927</v>
      </c>
    </row>
    <row r="317" spans="1:1">
      <c r="A317" s="84">
        <f>Arbeitszeit!$A295</f>
        <v>41928</v>
      </c>
    </row>
    <row r="318" spans="1:1">
      <c r="A318" s="84">
        <f>Arbeitszeit!$A296</f>
        <v>41929</v>
      </c>
    </row>
    <row r="319" spans="1:1">
      <c r="A319" s="84">
        <f>Arbeitszeit!$A297</f>
        <v>41930</v>
      </c>
    </row>
    <row r="320" spans="1:1">
      <c r="A320" s="84">
        <f>Arbeitszeit!$A298</f>
        <v>41931</v>
      </c>
    </row>
    <row r="321" spans="1:1">
      <c r="A321" s="84">
        <f>Arbeitszeit!$A299</f>
        <v>41932</v>
      </c>
    </row>
    <row r="322" spans="1:1">
      <c r="A322" s="84">
        <f>Arbeitszeit!$A300</f>
        <v>41933</v>
      </c>
    </row>
    <row r="323" spans="1:1">
      <c r="A323" s="84">
        <f>Arbeitszeit!$A301</f>
        <v>41934</v>
      </c>
    </row>
    <row r="324" spans="1:1">
      <c r="A324" s="84">
        <f>Arbeitszeit!$A302</f>
        <v>41935</v>
      </c>
    </row>
    <row r="325" spans="1:1">
      <c r="A325" s="84">
        <f>Arbeitszeit!$A303</f>
        <v>41936</v>
      </c>
    </row>
    <row r="326" spans="1:1">
      <c r="A326" s="84">
        <f>Arbeitszeit!$A304</f>
        <v>41937</v>
      </c>
    </row>
    <row r="327" spans="1:1">
      <c r="A327" s="84">
        <f>Arbeitszeit!$A305</f>
        <v>41938</v>
      </c>
    </row>
    <row r="328" spans="1:1">
      <c r="A328" s="84">
        <f>Arbeitszeit!$A306</f>
        <v>41939</v>
      </c>
    </row>
    <row r="329" spans="1:1">
      <c r="A329" s="84">
        <f>Arbeitszeit!$A307</f>
        <v>41940</v>
      </c>
    </row>
    <row r="330" spans="1:1">
      <c r="A330" s="84">
        <f>Arbeitszeit!$A308</f>
        <v>41941</v>
      </c>
    </row>
    <row r="331" spans="1:1">
      <c r="A331" s="84">
        <f>Arbeitszeit!$A309</f>
        <v>41942</v>
      </c>
    </row>
    <row r="332" spans="1:1">
      <c r="A332" s="84">
        <f>Arbeitszeit!$A310</f>
        <v>41943</v>
      </c>
    </row>
    <row r="333" spans="1:1">
      <c r="A333" s="84">
        <f>Arbeitszeit!$A311</f>
        <v>41944</v>
      </c>
    </row>
    <row r="334" spans="1:1">
      <c r="A334" s="84">
        <f>Arbeitszeit!$A312</f>
        <v>41945</v>
      </c>
    </row>
    <row r="335" spans="1:1">
      <c r="A335" s="84">
        <f>Arbeitszeit!$A313</f>
        <v>41946</v>
      </c>
    </row>
    <row r="336" spans="1:1">
      <c r="A336" s="84">
        <f>Arbeitszeit!$A314</f>
        <v>41947</v>
      </c>
    </row>
    <row r="337" spans="1:1">
      <c r="A337" s="84">
        <f>Arbeitszeit!$A315</f>
        <v>41948</v>
      </c>
    </row>
    <row r="338" spans="1:1">
      <c r="A338" s="84">
        <f>Arbeitszeit!$A316</f>
        <v>41949</v>
      </c>
    </row>
    <row r="339" spans="1:1">
      <c r="A339" s="84">
        <f>Arbeitszeit!$A317</f>
        <v>41950</v>
      </c>
    </row>
    <row r="340" spans="1:1">
      <c r="A340" s="84">
        <f>Arbeitszeit!$A318</f>
        <v>41951</v>
      </c>
    </row>
    <row r="341" spans="1:1">
      <c r="A341" s="84">
        <f>Arbeitszeit!$A319</f>
        <v>41952</v>
      </c>
    </row>
    <row r="342" spans="1:1">
      <c r="A342" s="84">
        <f>Arbeitszeit!$A320</f>
        <v>41953</v>
      </c>
    </row>
    <row r="343" spans="1:1">
      <c r="A343" s="84">
        <f>Arbeitszeit!$A321</f>
        <v>41954</v>
      </c>
    </row>
    <row r="344" spans="1:1">
      <c r="A344" s="84">
        <f>Arbeitszeit!$A322</f>
        <v>41955</v>
      </c>
    </row>
    <row r="345" spans="1:1">
      <c r="A345" s="84">
        <f>Arbeitszeit!$A323</f>
        <v>41956</v>
      </c>
    </row>
    <row r="346" spans="1:1">
      <c r="A346" s="84">
        <f>Arbeitszeit!$A324</f>
        <v>41957</v>
      </c>
    </row>
    <row r="347" spans="1:1">
      <c r="A347" s="84">
        <f>Arbeitszeit!$A325</f>
        <v>41958</v>
      </c>
    </row>
    <row r="348" spans="1:1">
      <c r="A348" s="84">
        <f>Arbeitszeit!$A326</f>
        <v>41959</v>
      </c>
    </row>
    <row r="349" spans="1:1">
      <c r="A349" s="84">
        <f>Arbeitszeit!$A327</f>
        <v>41960</v>
      </c>
    </row>
    <row r="350" spans="1:1">
      <c r="A350" s="84">
        <f>Arbeitszeit!$A328</f>
        <v>41961</v>
      </c>
    </row>
    <row r="351" spans="1:1">
      <c r="A351" s="84">
        <f>Arbeitszeit!$A329</f>
        <v>41962</v>
      </c>
    </row>
    <row r="352" spans="1:1">
      <c r="A352" s="84">
        <f>Arbeitszeit!$A330</f>
        <v>41963</v>
      </c>
    </row>
    <row r="353" spans="1:1">
      <c r="A353" s="84">
        <f>Arbeitszeit!$A331</f>
        <v>41964</v>
      </c>
    </row>
    <row r="354" spans="1:1">
      <c r="A354" s="84">
        <f>Arbeitszeit!$A332</f>
        <v>41965</v>
      </c>
    </row>
    <row r="355" spans="1:1">
      <c r="A355" s="84">
        <f>Arbeitszeit!$A333</f>
        <v>41966</v>
      </c>
    </row>
    <row r="356" spans="1:1">
      <c r="A356" s="84">
        <f>Arbeitszeit!$A334</f>
        <v>41967</v>
      </c>
    </row>
    <row r="357" spans="1:1">
      <c r="A357" s="84">
        <f>Arbeitszeit!$A335</f>
        <v>41968</v>
      </c>
    </row>
    <row r="358" spans="1:1">
      <c r="A358" s="84">
        <f>Arbeitszeit!$A336</f>
        <v>41969</v>
      </c>
    </row>
    <row r="359" spans="1:1">
      <c r="A359" s="84">
        <f>Arbeitszeit!$A337</f>
        <v>41970</v>
      </c>
    </row>
    <row r="360" spans="1:1">
      <c r="A360" s="84">
        <f>Arbeitszeit!$A338</f>
        <v>41971</v>
      </c>
    </row>
    <row r="361" spans="1:1">
      <c r="A361" s="84">
        <f>Arbeitszeit!$A339</f>
        <v>41972</v>
      </c>
    </row>
    <row r="362" spans="1:1">
      <c r="A362" s="84">
        <f>Arbeitszeit!$A340</f>
        <v>41973</v>
      </c>
    </row>
    <row r="363" spans="1:1">
      <c r="A363" s="84">
        <f>Arbeitszeit!$A341</f>
        <v>41974</v>
      </c>
    </row>
    <row r="364" spans="1:1">
      <c r="A364" s="84">
        <f>Arbeitszeit!$A342</f>
        <v>41975</v>
      </c>
    </row>
    <row r="365" spans="1:1">
      <c r="A365" s="84">
        <f>Arbeitszeit!$A343</f>
        <v>41976</v>
      </c>
    </row>
    <row r="366" spans="1:1">
      <c r="A366" s="84">
        <f>Arbeitszeit!$A344</f>
        <v>41977</v>
      </c>
    </row>
    <row r="367" spans="1:1">
      <c r="A367" s="84">
        <f>Arbeitszeit!$A345</f>
        <v>41978</v>
      </c>
    </row>
    <row r="368" spans="1:1">
      <c r="A368" s="84">
        <f>Arbeitszeit!$A346</f>
        <v>41979</v>
      </c>
    </row>
    <row r="369" spans="1:1">
      <c r="A369" s="84">
        <f>Arbeitszeit!$A347</f>
        <v>41980</v>
      </c>
    </row>
    <row r="370" spans="1:1">
      <c r="A370" s="84">
        <f>Arbeitszeit!$A348</f>
        <v>41981</v>
      </c>
    </row>
    <row r="371" spans="1:1">
      <c r="A371" s="84">
        <f>Arbeitszeit!$A349</f>
        <v>41982</v>
      </c>
    </row>
    <row r="372" spans="1:1">
      <c r="A372" s="84">
        <f>Arbeitszeit!$A350</f>
        <v>41983</v>
      </c>
    </row>
    <row r="373" spans="1:1">
      <c r="A373" s="84">
        <f>Arbeitszeit!$A351</f>
        <v>41984</v>
      </c>
    </row>
    <row r="374" spans="1:1">
      <c r="A374" s="84">
        <f>Arbeitszeit!$A352</f>
        <v>41985</v>
      </c>
    </row>
    <row r="375" spans="1:1">
      <c r="A375" s="84">
        <f>Arbeitszeit!$A353</f>
        <v>41986</v>
      </c>
    </row>
    <row r="376" spans="1:1">
      <c r="A376" s="84">
        <f>Arbeitszeit!$A354</f>
        <v>41987</v>
      </c>
    </row>
    <row r="377" spans="1:1">
      <c r="A377" s="84">
        <f>Arbeitszeit!$A355</f>
        <v>41988</v>
      </c>
    </row>
    <row r="378" spans="1:1">
      <c r="A378" s="84">
        <f>Arbeitszeit!$A356</f>
        <v>41989</v>
      </c>
    </row>
    <row r="379" spans="1:1">
      <c r="A379" s="84">
        <f>Arbeitszeit!$A357</f>
        <v>41990</v>
      </c>
    </row>
    <row r="380" spans="1:1">
      <c r="A380" s="84">
        <f>Arbeitszeit!$A358</f>
        <v>41991</v>
      </c>
    </row>
    <row r="381" spans="1:1">
      <c r="A381" s="84">
        <f>Arbeitszeit!$A359</f>
        <v>41992</v>
      </c>
    </row>
    <row r="382" spans="1:1">
      <c r="A382" s="84">
        <f>Arbeitszeit!$A360</f>
        <v>41993</v>
      </c>
    </row>
    <row r="383" spans="1:1">
      <c r="A383" s="84">
        <f>Arbeitszeit!$A361</f>
        <v>41994</v>
      </c>
    </row>
    <row r="384" spans="1:1">
      <c r="A384" s="84">
        <f>Arbeitszeit!$A362</f>
        <v>41995</v>
      </c>
    </row>
    <row r="385" spans="1:27">
      <c r="A385" s="84">
        <f>Arbeitszeit!$A363</f>
        <v>41996</v>
      </c>
    </row>
    <row r="386" spans="1:27">
      <c r="A386" s="84">
        <f>Arbeitszeit!$A364</f>
        <v>41997</v>
      </c>
    </row>
    <row r="387" spans="1:27">
      <c r="A387" s="84">
        <f>Arbeitszeit!$A365</f>
        <v>41998</v>
      </c>
    </row>
    <row r="388" spans="1:27">
      <c r="A388" s="84">
        <f>Arbeitszeit!$A366</f>
        <v>41999</v>
      </c>
    </row>
    <row r="389" spans="1:27">
      <c r="A389" s="84">
        <f>Arbeitszeit!$A367</f>
        <v>42000</v>
      </c>
    </row>
    <row r="390" spans="1:27">
      <c r="A390" s="84">
        <f>Arbeitszeit!$A368</f>
        <v>42001</v>
      </c>
    </row>
    <row r="391" spans="1:27">
      <c r="A391" s="84">
        <f>Arbeitszeit!$A369</f>
        <v>42002</v>
      </c>
    </row>
    <row r="392" spans="1:27">
      <c r="A392" s="84">
        <f>Arbeitszeit!$A370</f>
        <v>42003</v>
      </c>
    </row>
    <row r="393" spans="1:27">
      <c r="A393" s="84" t="str">
        <f>Arbeitszeit!$A371</f>
        <v/>
      </c>
    </row>
    <row r="394" spans="1:27">
      <c r="A394" s="84"/>
    </row>
    <row r="395" spans="1:27">
      <c r="A395" s="84"/>
    </row>
    <row r="396" spans="1:27">
      <c r="A396" s="84"/>
    </row>
    <row r="397" spans="1:27">
      <c r="A397" s="84"/>
    </row>
    <row r="400" spans="1:27">
      <c r="A400" s="84"/>
      <c r="F400" s="79">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instellungen"/>
  <dimension ref="A1:R47"/>
  <sheetViews>
    <sheetView showGridLines="0" tabSelected="1" zoomScale="90" workbookViewId="0">
      <selection activeCell="D3" sqref="D3"/>
    </sheetView>
  </sheetViews>
  <sheetFormatPr baseColWidth="10"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73" customWidth="1"/>
    <col min="16" max="16" width="1.28515625" style="26" customWidth="1"/>
    <col min="17" max="17" width="13" style="26" customWidth="1"/>
    <col min="18" max="16384" width="11.42578125" style="26"/>
  </cols>
  <sheetData>
    <row r="1" spans="2:18" ht="20.25">
      <c r="B1" s="717" t="s">
        <v>127</v>
      </c>
      <c r="C1" s="717"/>
      <c r="D1" s="717"/>
      <c r="F1" s="717" t="s">
        <v>130</v>
      </c>
      <c r="G1" s="717"/>
      <c r="H1" s="717"/>
      <c r="J1" s="717" t="s">
        <v>139</v>
      </c>
      <c r="K1" s="717"/>
      <c r="L1" s="717"/>
      <c r="O1" s="717" t="s">
        <v>197</v>
      </c>
      <c r="P1" s="717"/>
      <c r="Q1" s="711"/>
    </row>
    <row r="2" spans="2:18" ht="15" customHeight="1">
      <c r="B2" s="356" t="str">
        <f ca="1">CELL("filename",B2)</f>
        <v>D:\_pdata\GLAZ\andi\[vGlaz2018.xlsm]Einstellungen</v>
      </c>
      <c r="N2" s="176"/>
      <c r="O2" s="723" t="s">
        <v>51</v>
      </c>
      <c r="P2" s="723"/>
      <c r="Q2" s="723"/>
      <c r="R2" s="176"/>
    </row>
    <row r="3" spans="2:18">
      <c r="B3" s="28" t="s">
        <v>99</v>
      </c>
      <c r="C3" s="29"/>
      <c r="D3" s="30" t="s">
        <v>209</v>
      </c>
      <c r="F3" s="134" t="s">
        <v>71</v>
      </c>
      <c r="G3" s="30"/>
      <c r="H3" s="37">
        <v>0</v>
      </c>
      <c r="J3" s="28" t="s">
        <v>140</v>
      </c>
      <c r="K3" s="29"/>
      <c r="L3" s="120">
        <v>0.33333333333333331</v>
      </c>
      <c r="M3" s="66">
        <f t="shared" ref="M3:M9" si="0">IF(L3&gt;0,1,0)</f>
        <v>1</v>
      </c>
      <c r="N3" s="176"/>
      <c r="O3" s="188" t="s">
        <v>194</v>
      </c>
      <c r="P3" s="428" t="s">
        <v>179</v>
      </c>
      <c r="Q3" s="189">
        <v>0</v>
      </c>
      <c r="R3" s="176"/>
    </row>
    <row r="4" spans="2:18" ht="13.5" thickBot="1">
      <c r="B4" s="38" t="s">
        <v>122</v>
      </c>
      <c r="C4" s="36"/>
      <c r="D4" s="454" t="s">
        <v>220</v>
      </c>
      <c r="F4" s="35" t="s">
        <v>178</v>
      </c>
      <c r="G4" s="36"/>
      <c r="H4" s="37">
        <v>30</v>
      </c>
      <c r="J4" s="38" t="s">
        <v>141</v>
      </c>
      <c r="K4" s="36"/>
      <c r="L4" s="120">
        <v>0.33333333333333331</v>
      </c>
      <c r="M4" s="66">
        <f t="shared" si="0"/>
        <v>1</v>
      </c>
      <c r="N4" s="176"/>
      <c r="O4" s="199" t="s">
        <v>196</v>
      </c>
      <c r="P4" s="429" t="s">
        <v>179</v>
      </c>
      <c r="Q4" s="195">
        <v>1</v>
      </c>
      <c r="R4" s="176"/>
    </row>
    <row r="5" spans="2:18" ht="14.25" thickTop="1" thickBot="1">
      <c r="B5" s="636" t="s">
        <v>204</v>
      </c>
      <c r="C5" s="33"/>
      <c r="D5" s="637" t="s">
        <v>210</v>
      </c>
      <c r="F5" s="32" t="s">
        <v>72</v>
      </c>
      <c r="G5" s="135"/>
      <c r="H5" s="31">
        <f>H3+H4</f>
        <v>30</v>
      </c>
      <c r="J5" s="38" t="s">
        <v>142</v>
      </c>
      <c r="K5" s="36"/>
      <c r="L5" s="120">
        <v>0.33333333333333331</v>
      </c>
      <c r="M5" s="66">
        <f t="shared" si="0"/>
        <v>1</v>
      </c>
      <c r="N5" s="176"/>
      <c r="O5" s="200" t="s">
        <v>198</v>
      </c>
      <c r="P5" s="430" t="s">
        <v>179</v>
      </c>
      <c r="Q5" s="193">
        <v>2</v>
      </c>
      <c r="R5" s="176"/>
    </row>
    <row r="6" spans="2:18" ht="13.5" thickTop="1">
      <c r="B6" s="28" t="s">
        <v>123</v>
      </c>
      <c r="C6" s="29"/>
      <c r="D6" s="123">
        <f>L10/M10</f>
        <v>0.33333333333333331</v>
      </c>
      <c r="F6" s="35" t="s">
        <v>115</v>
      </c>
      <c r="G6" s="36"/>
      <c r="H6" s="37"/>
      <c r="J6" s="38" t="s">
        <v>143</v>
      </c>
      <c r="K6" s="36"/>
      <c r="L6" s="120">
        <v>0.33333333333333331</v>
      </c>
      <c r="M6" s="66">
        <f t="shared" si="0"/>
        <v>1</v>
      </c>
      <c r="N6" s="176"/>
      <c r="O6" s="201" t="s">
        <v>0</v>
      </c>
      <c r="P6" s="431" t="s">
        <v>179</v>
      </c>
      <c r="Q6" s="194">
        <v>3</v>
      </c>
      <c r="R6" s="176"/>
    </row>
    <row r="7" spans="2:18" ht="13.5" thickBot="1">
      <c r="B7" s="38" t="s">
        <v>124</v>
      </c>
      <c r="C7" s="36"/>
      <c r="D7" s="124">
        <v>0.41666666666666669</v>
      </c>
      <c r="F7" s="35" t="s">
        <v>174</v>
      </c>
      <c r="G7" s="36"/>
      <c r="H7" s="37">
        <v>0</v>
      </c>
      <c r="J7" s="38" t="s">
        <v>144</v>
      </c>
      <c r="K7" s="36"/>
      <c r="L7" s="120">
        <v>0.33333333333333331</v>
      </c>
      <c r="M7" s="66">
        <f t="shared" si="0"/>
        <v>1</v>
      </c>
      <c r="N7" s="176"/>
      <c r="O7" s="38" t="s">
        <v>195</v>
      </c>
      <c r="P7" s="137" t="s">
        <v>179</v>
      </c>
      <c r="Q7" s="74">
        <v>7</v>
      </c>
      <c r="R7" s="176"/>
    </row>
    <row r="8" spans="2:18" ht="14.25" thickTop="1" thickBot="1">
      <c r="B8" s="694" t="s">
        <v>226</v>
      </c>
      <c r="C8" s="36"/>
      <c r="D8" s="124">
        <v>4.1666666666666664E-2</v>
      </c>
      <c r="F8" s="133" t="s">
        <v>177</v>
      </c>
      <c r="G8" s="33"/>
      <c r="H8" s="132">
        <f>B_VorJahr_hh/24+B_VorJahr_mm/24/60</f>
        <v>0</v>
      </c>
      <c r="J8" s="60" t="s">
        <v>145</v>
      </c>
      <c r="K8" s="61"/>
      <c r="L8" s="121"/>
      <c r="M8" s="66">
        <f t="shared" si="0"/>
        <v>0</v>
      </c>
      <c r="N8" s="176"/>
      <c r="O8" s="202" t="s">
        <v>193</v>
      </c>
      <c r="P8" s="436" t="s">
        <v>179</v>
      </c>
      <c r="Q8" s="196">
        <v>8</v>
      </c>
      <c r="R8" s="176"/>
    </row>
    <row r="9" spans="2:18" ht="14.25" thickTop="1" thickBot="1">
      <c r="B9" s="694" t="s">
        <v>225</v>
      </c>
      <c r="C9" s="36"/>
      <c r="D9" s="124">
        <v>0.25</v>
      </c>
      <c r="H9" s="283" t="str">
        <f>IF(OR(AND(B_VorJahr_hh&gt;0,B_VorJahr_mm&lt;0),AND(B_VorJahr_hh&lt;0,B_VorJahr_mm&gt;0)),"!?Vorzeichen hh-mm?!","")</f>
        <v/>
      </c>
      <c r="J9" s="62" t="s">
        <v>146</v>
      </c>
      <c r="K9" s="63"/>
      <c r="L9" s="122"/>
      <c r="M9" s="66">
        <f t="shared" si="0"/>
        <v>0</v>
      </c>
      <c r="N9" s="176"/>
      <c r="O9" s="206" t="s">
        <v>20</v>
      </c>
      <c r="P9" s="543" t="s">
        <v>179</v>
      </c>
      <c r="Q9" s="205">
        <v>71</v>
      </c>
      <c r="R9" s="176"/>
    </row>
    <row r="10" spans="2:18" ht="14.25" thickTop="1" thickBot="1">
      <c r="B10" s="38" t="s">
        <v>126</v>
      </c>
      <c r="C10" s="36"/>
      <c r="D10" s="124">
        <v>0</v>
      </c>
      <c r="F10" s="39" t="s">
        <v>57</v>
      </c>
      <c r="G10" s="40"/>
      <c r="H10" s="41">
        <v>0</v>
      </c>
      <c r="J10" s="59" t="s">
        <v>147</v>
      </c>
      <c r="K10" s="64"/>
      <c r="L10" s="65">
        <f>SUM(L3:L9)</f>
        <v>1.6666666666666665</v>
      </c>
      <c r="M10" s="66">
        <f>SUM(M3:M9)</f>
        <v>5</v>
      </c>
      <c r="N10" s="176"/>
      <c r="O10" s="203" t="s">
        <v>119</v>
      </c>
      <c r="P10" s="432" t="s">
        <v>179</v>
      </c>
      <c r="Q10" s="198">
        <v>75</v>
      </c>
      <c r="R10" s="176"/>
    </row>
    <row r="11" spans="2:18" ht="13.5" thickTop="1">
      <c r="B11" s="32" t="s">
        <v>125</v>
      </c>
      <c r="C11" s="33"/>
      <c r="D11" s="125">
        <v>0</v>
      </c>
      <c r="M11" s="58"/>
      <c r="N11" s="176"/>
      <c r="O11" s="204" t="s">
        <v>118</v>
      </c>
      <c r="P11" s="433" t="s">
        <v>179</v>
      </c>
      <c r="Q11" s="197">
        <v>85</v>
      </c>
      <c r="R11" s="176"/>
    </row>
    <row r="12" spans="2:18">
      <c r="E12" s="256" t="str">
        <f>IF(ISTEXT(B_Year),"???","")</f>
        <v/>
      </c>
      <c r="N12" s="176"/>
      <c r="O12" s="435" t="s">
        <v>1</v>
      </c>
      <c r="P12" s="434" t="s">
        <v>179</v>
      </c>
      <c r="Q12" s="427" t="str">
        <f>""</f>
        <v/>
      </c>
      <c r="R12" s="176"/>
    </row>
    <row r="13" spans="2:18">
      <c r="B13" s="39" t="s">
        <v>42</v>
      </c>
      <c r="C13" s="40"/>
      <c r="D13" s="208">
        <v>41639</v>
      </c>
      <c r="N13" s="176"/>
      <c r="O13" s="191"/>
      <c r="P13" s="190"/>
      <c r="Q13" s="192"/>
      <c r="R13" s="176"/>
    </row>
    <row r="14" spans="2:18" ht="13.5" thickBot="1">
      <c r="B14" s="42"/>
      <c r="N14" s="176"/>
      <c r="O14" s="191"/>
      <c r="P14" s="190"/>
      <c r="Q14" s="192"/>
      <c r="R14" s="176"/>
    </row>
    <row r="15" spans="2:18" s="460" customFormat="1" ht="13.5" thickBot="1">
      <c r="B15" s="42"/>
      <c r="C15" s="26"/>
      <c r="D15" s="26"/>
      <c r="E15" s="26"/>
      <c r="F15" s="26"/>
      <c r="G15" s="26"/>
      <c r="H15" s="26"/>
      <c r="J15" s="458" t="s">
        <v>17</v>
      </c>
      <c r="K15" s="459"/>
      <c r="L15" s="718" t="s">
        <v>55</v>
      </c>
      <c r="M15" s="719"/>
      <c r="N15" s="719"/>
      <c r="O15" s="719"/>
      <c r="P15" s="719"/>
      <c r="Q15" s="466"/>
      <c r="R15" s="461"/>
    </row>
    <row r="16" spans="2:18">
      <c r="B16" s="53" t="s">
        <v>74</v>
      </c>
      <c r="E16" s="460"/>
      <c r="F16" s="460"/>
      <c r="G16" s="460"/>
      <c r="H16" s="460"/>
      <c r="J16" s="452" t="s">
        <v>118</v>
      </c>
      <c r="K16" s="48"/>
      <c r="L16" s="720" t="s">
        <v>58</v>
      </c>
      <c r="M16" s="721"/>
      <c r="N16" s="721"/>
      <c r="O16" s="721"/>
      <c r="P16" s="721"/>
      <c r="Q16" s="722"/>
      <c r="R16" s="176"/>
    </row>
    <row r="17" spans="2:18">
      <c r="J17" s="464" t="s">
        <v>119</v>
      </c>
      <c r="K17" s="465"/>
      <c r="L17" s="724" t="s">
        <v>59</v>
      </c>
      <c r="M17" s="725"/>
      <c r="N17" s="725"/>
      <c r="O17" s="725"/>
      <c r="P17" s="725"/>
      <c r="Q17" s="726"/>
      <c r="R17" s="176"/>
    </row>
    <row r="18" spans="2:18">
      <c r="B18" s="43" t="s">
        <v>227</v>
      </c>
      <c r="C18" s="44"/>
      <c r="D18" s="44"/>
      <c r="E18" s="44"/>
      <c r="F18" s="44"/>
      <c r="G18" s="44"/>
      <c r="H18" s="45"/>
      <c r="J18" s="456" t="s">
        <v>132</v>
      </c>
      <c r="K18" s="457"/>
      <c r="L18" s="727" t="s">
        <v>60</v>
      </c>
      <c r="M18" s="728"/>
      <c r="N18" s="728"/>
      <c r="O18" s="728"/>
      <c r="P18" s="728"/>
      <c r="Q18" s="729"/>
      <c r="R18" s="176"/>
    </row>
    <row r="19" spans="2:18">
      <c r="B19" s="46"/>
      <c r="C19" s="47"/>
      <c r="D19" s="47"/>
      <c r="E19" s="47"/>
      <c r="F19" s="47"/>
      <c r="G19" s="47"/>
      <c r="H19" s="48"/>
      <c r="J19" s="650" t="s">
        <v>211</v>
      </c>
      <c r="K19" s="454"/>
      <c r="L19" s="733"/>
      <c r="M19" s="734"/>
      <c r="N19" s="734"/>
      <c r="O19" s="734"/>
      <c r="P19" s="734"/>
      <c r="Q19" s="735"/>
      <c r="R19" s="579"/>
    </row>
    <row r="20" spans="2:18">
      <c r="B20" s="46" t="s">
        <v>136</v>
      </c>
      <c r="C20" s="47" t="s">
        <v>137</v>
      </c>
      <c r="D20" s="47"/>
      <c r="E20" s="47"/>
      <c r="F20" s="47"/>
      <c r="G20" s="47"/>
      <c r="H20" s="48"/>
      <c r="J20" s="651" t="s">
        <v>212</v>
      </c>
      <c r="K20" s="463"/>
      <c r="L20" s="730"/>
      <c r="M20" s="731"/>
      <c r="N20" s="731"/>
      <c r="O20" s="731"/>
      <c r="P20" s="731"/>
      <c r="Q20" s="732"/>
      <c r="R20" s="579"/>
    </row>
    <row r="21" spans="2:18">
      <c r="B21" s="46"/>
      <c r="C21" s="47" t="s">
        <v>165</v>
      </c>
      <c r="D21" s="47"/>
      <c r="E21" s="47"/>
      <c r="F21" s="47"/>
      <c r="G21" s="47"/>
      <c r="H21" s="48"/>
      <c r="J21" s="650" t="s">
        <v>213</v>
      </c>
      <c r="K21" s="454"/>
      <c r="L21" s="733"/>
      <c r="M21" s="734"/>
      <c r="N21" s="734"/>
      <c r="O21" s="734"/>
      <c r="P21" s="734"/>
      <c r="Q21" s="735"/>
      <c r="R21" s="579"/>
    </row>
    <row r="22" spans="2:18">
      <c r="B22" s="46"/>
      <c r="C22" s="47"/>
      <c r="D22" s="47"/>
      <c r="E22" s="47"/>
      <c r="F22" s="47"/>
      <c r="G22" s="47"/>
      <c r="H22" s="48"/>
      <c r="J22" s="651" t="s">
        <v>214</v>
      </c>
      <c r="K22" s="463"/>
      <c r="L22" s="730"/>
      <c r="M22" s="731"/>
      <c r="N22" s="731"/>
      <c r="O22" s="731"/>
      <c r="P22" s="731"/>
      <c r="Q22" s="732"/>
      <c r="R22" s="579"/>
    </row>
    <row r="23" spans="2:18">
      <c r="B23" s="46"/>
      <c r="C23" s="47" t="s">
        <v>73</v>
      </c>
      <c r="D23" s="47"/>
      <c r="E23" s="47"/>
      <c r="F23" s="47"/>
      <c r="G23" s="47"/>
      <c r="H23" s="48"/>
      <c r="J23" s="650" t="s">
        <v>215</v>
      </c>
      <c r="K23" s="454"/>
      <c r="L23" s="733"/>
      <c r="M23" s="734"/>
      <c r="N23" s="734"/>
      <c r="O23" s="734"/>
      <c r="P23" s="734"/>
      <c r="Q23" s="735"/>
      <c r="R23" s="579"/>
    </row>
    <row r="24" spans="2:18">
      <c r="B24" s="46"/>
      <c r="C24" s="47" t="s">
        <v>75</v>
      </c>
      <c r="D24" s="47"/>
      <c r="E24" s="47"/>
      <c r="F24" s="47"/>
      <c r="G24" s="47"/>
      <c r="H24" s="48"/>
      <c r="J24" s="651" t="s">
        <v>216</v>
      </c>
      <c r="K24" s="463"/>
      <c r="L24" s="730"/>
      <c r="M24" s="731"/>
      <c r="N24" s="731"/>
      <c r="O24" s="731"/>
      <c r="P24" s="731"/>
      <c r="Q24" s="732"/>
      <c r="R24" s="579"/>
    </row>
    <row r="25" spans="2:18">
      <c r="B25" s="46"/>
      <c r="C25" s="47"/>
      <c r="D25" s="47"/>
      <c r="E25" s="47"/>
      <c r="F25" s="47"/>
      <c r="G25" s="47"/>
      <c r="H25" s="48"/>
      <c r="J25" s="650" t="s">
        <v>217</v>
      </c>
      <c r="K25" s="454"/>
      <c r="L25" s="733"/>
      <c r="M25" s="734"/>
      <c r="N25" s="734"/>
      <c r="O25" s="734"/>
      <c r="P25" s="734"/>
      <c r="Q25" s="735"/>
      <c r="R25" s="579"/>
    </row>
    <row r="26" spans="2:18">
      <c r="B26" s="714" t="s">
        <v>70</v>
      </c>
      <c r="C26" s="715"/>
      <c r="D26" s="715"/>
      <c r="E26" s="715"/>
      <c r="F26" s="715"/>
      <c r="G26" s="715"/>
      <c r="H26" s="716"/>
      <c r="J26" s="651" t="s">
        <v>218</v>
      </c>
      <c r="K26" s="463"/>
      <c r="L26" s="730"/>
      <c r="M26" s="731"/>
      <c r="N26" s="731"/>
      <c r="O26" s="731"/>
      <c r="P26" s="731"/>
      <c r="Q26" s="732"/>
      <c r="R26" s="579"/>
    </row>
    <row r="27" spans="2:18">
      <c r="B27" s="714"/>
      <c r="C27" s="715"/>
      <c r="D27" s="715"/>
      <c r="E27" s="715"/>
      <c r="F27" s="715"/>
      <c r="G27" s="715"/>
      <c r="H27" s="716"/>
      <c r="J27" s="650" t="s">
        <v>219</v>
      </c>
      <c r="K27" s="454"/>
      <c r="L27" s="733"/>
      <c r="M27" s="734"/>
      <c r="N27" s="734"/>
      <c r="O27" s="734"/>
      <c r="P27" s="734"/>
      <c r="Q27" s="735"/>
      <c r="R27" s="579"/>
    </row>
    <row r="28" spans="2:18">
      <c r="B28" s="714"/>
      <c r="C28" s="715"/>
      <c r="D28" s="715"/>
      <c r="E28" s="715"/>
      <c r="F28" s="715"/>
      <c r="G28" s="715"/>
      <c r="H28" s="716"/>
      <c r="J28" s="462" t="s">
        <v>90</v>
      </c>
      <c r="K28" s="463"/>
      <c r="L28" s="730"/>
      <c r="M28" s="731"/>
      <c r="N28" s="731"/>
      <c r="O28" s="731"/>
      <c r="P28" s="731"/>
      <c r="Q28" s="732"/>
      <c r="R28" s="579"/>
    </row>
    <row r="29" spans="2:18">
      <c r="B29" s="714"/>
      <c r="C29" s="715"/>
      <c r="D29" s="715"/>
      <c r="E29" s="715"/>
      <c r="F29" s="715"/>
      <c r="G29" s="715"/>
      <c r="H29" s="716"/>
      <c r="J29" s="453" t="s">
        <v>91</v>
      </c>
      <c r="K29" s="454"/>
      <c r="L29" s="733"/>
      <c r="M29" s="734"/>
      <c r="N29" s="734"/>
      <c r="O29" s="734"/>
      <c r="P29" s="734"/>
      <c r="Q29" s="735"/>
      <c r="R29" s="579"/>
    </row>
    <row r="30" spans="2:18">
      <c r="B30" s="714"/>
      <c r="C30" s="715"/>
      <c r="D30" s="715"/>
      <c r="E30" s="715"/>
      <c r="F30" s="715"/>
      <c r="G30" s="715"/>
      <c r="H30" s="716"/>
      <c r="J30" s="462" t="s">
        <v>92</v>
      </c>
      <c r="K30" s="463"/>
      <c r="L30" s="730"/>
      <c r="M30" s="731"/>
      <c r="N30" s="731"/>
      <c r="O30" s="731"/>
      <c r="P30" s="731"/>
      <c r="Q30" s="732"/>
      <c r="R30" s="579"/>
    </row>
    <row r="31" spans="2:18">
      <c r="B31" s="714"/>
      <c r="C31" s="715"/>
      <c r="D31" s="715"/>
      <c r="E31" s="715"/>
      <c r="F31" s="715"/>
      <c r="G31" s="715"/>
      <c r="H31" s="716"/>
      <c r="J31" s="453" t="s">
        <v>93</v>
      </c>
      <c r="K31" s="454"/>
      <c r="L31" s="733"/>
      <c r="M31" s="734"/>
      <c r="N31" s="734"/>
      <c r="O31" s="734"/>
      <c r="P31" s="734"/>
      <c r="Q31" s="735"/>
      <c r="R31" s="579"/>
    </row>
    <row r="32" spans="2:18">
      <c r="B32" s="714"/>
      <c r="C32" s="715"/>
      <c r="D32" s="715"/>
      <c r="E32" s="715"/>
      <c r="F32" s="715"/>
      <c r="G32" s="715"/>
      <c r="H32" s="716"/>
      <c r="J32" s="462" t="s">
        <v>94</v>
      </c>
      <c r="K32" s="463"/>
      <c r="L32" s="730"/>
      <c r="M32" s="731"/>
      <c r="N32" s="731"/>
      <c r="O32" s="731"/>
      <c r="P32" s="731"/>
      <c r="Q32" s="732"/>
      <c r="R32" s="579"/>
    </row>
    <row r="33" spans="1:18">
      <c r="B33" s="714"/>
      <c r="C33" s="715"/>
      <c r="D33" s="715"/>
      <c r="E33" s="715"/>
      <c r="F33" s="715"/>
      <c r="G33" s="715"/>
      <c r="H33" s="716"/>
      <c r="J33" s="453" t="s">
        <v>95</v>
      </c>
      <c r="K33" s="454"/>
      <c r="L33" s="733"/>
      <c r="M33" s="734"/>
      <c r="N33" s="734"/>
      <c r="O33" s="734"/>
      <c r="P33" s="734"/>
      <c r="Q33" s="735"/>
      <c r="R33" s="579"/>
    </row>
    <row r="34" spans="1:18">
      <c r="B34" s="714"/>
      <c r="C34" s="715"/>
      <c r="D34" s="715"/>
      <c r="E34" s="715"/>
      <c r="F34" s="715"/>
      <c r="G34" s="715"/>
      <c r="H34" s="716"/>
      <c r="J34" s="462" t="s">
        <v>96</v>
      </c>
      <c r="K34" s="463"/>
      <c r="L34" s="730"/>
      <c r="M34" s="731"/>
      <c r="N34" s="731"/>
      <c r="O34" s="731"/>
      <c r="P34" s="731"/>
      <c r="Q34" s="732"/>
      <c r="R34" s="579"/>
    </row>
    <row r="35" spans="1:18">
      <c r="B35" s="714"/>
      <c r="C35" s="715"/>
      <c r="D35" s="715"/>
      <c r="E35" s="715"/>
      <c r="F35" s="715"/>
      <c r="G35" s="715"/>
      <c r="H35" s="716"/>
      <c r="J35" s="453" t="s">
        <v>166</v>
      </c>
      <c r="K35" s="454"/>
      <c r="L35" s="733"/>
      <c r="M35" s="734"/>
      <c r="N35" s="734"/>
      <c r="O35" s="734"/>
      <c r="P35" s="734"/>
      <c r="Q35" s="735"/>
      <c r="R35" s="579"/>
    </row>
    <row r="36" spans="1:18">
      <c r="B36" s="714"/>
      <c r="C36" s="715"/>
      <c r="D36" s="715"/>
      <c r="E36" s="715"/>
      <c r="F36" s="715"/>
      <c r="G36" s="715"/>
      <c r="H36" s="716"/>
      <c r="J36" s="462" t="s">
        <v>97</v>
      </c>
      <c r="K36" s="463"/>
      <c r="L36" s="730"/>
      <c r="M36" s="731"/>
      <c r="N36" s="731"/>
      <c r="O36" s="731"/>
      <c r="P36" s="731"/>
      <c r="Q36" s="732"/>
      <c r="R36" s="579"/>
    </row>
    <row r="37" spans="1:18">
      <c r="B37" s="714"/>
      <c r="C37" s="715"/>
      <c r="D37" s="715"/>
      <c r="E37" s="715"/>
      <c r="F37" s="715"/>
      <c r="G37" s="715"/>
      <c r="H37" s="716"/>
      <c r="J37" s="455" t="s">
        <v>98</v>
      </c>
      <c r="K37" s="34"/>
      <c r="L37" s="736"/>
      <c r="M37" s="737"/>
      <c r="N37" s="737"/>
      <c r="O37" s="737"/>
      <c r="P37" s="737"/>
      <c r="Q37" s="738"/>
      <c r="R37" s="579"/>
    </row>
    <row r="38" spans="1:18">
      <c r="B38" s="714"/>
      <c r="C38" s="715"/>
      <c r="D38" s="715"/>
      <c r="E38" s="715"/>
      <c r="F38" s="715"/>
      <c r="G38" s="715"/>
      <c r="H38" s="716"/>
      <c r="J38" s="604" t="s">
        <v>82</v>
      </c>
      <c r="K38" s="604"/>
      <c r="L38" s="604"/>
      <c r="M38" s="604"/>
      <c r="N38" s="605"/>
      <c r="O38" s="606"/>
      <c r="P38" s="607"/>
      <c r="Q38" s="608"/>
      <c r="R38" s="176"/>
    </row>
    <row r="39" spans="1:18">
      <c r="B39" s="714"/>
      <c r="C39" s="715"/>
      <c r="D39" s="715"/>
      <c r="E39" s="715"/>
      <c r="F39" s="715"/>
      <c r="G39" s="715"/>
      <c r="H39" s="716"/>
      <c r="N39" s="176"/>
      <c r="O39" s="191"/>
      <c r="P39" s="190"/>
      <c r="Q39" s="192"/>
      <c r="R39" s="176"/>
    </row>
    <row r="40" spans="1:18">
      <c r="B40" s="714"/>
      <c r="C40" s="715"/>
      <c r="D40" s="715"/>
      <c r="E40" s="715"/>
      <c r="F40" s="715"/>
      <c r="G40" s="715"/>
      <c r="H40" s="716"/>
      <c r="N40" s="176"/>
      <c r="O40" s="191"/>
      <c r="P40" s="190"/>
      <c r="Q40" s="192"/>
      <c r="R40" s="176"/>
    </row>
    <row r="41" spans="1:18">
      <c r="B41" s="714"/>
      <c r="C41" s="715"/>
      <c r="D41" s="715"/>
      <c r="E41" s="715"/>
      <c r="F41" s="715"/>
      <c r="G41" s="715"/>
      <c r="H41" s="716"/>
      <c r="N41" s="176"/>
      <c r="O41" s="191"/>
      <c r="P41" s="190"/>
      <c r="Q41" s="192"/>
      <c r="R41" s="176"/>
    </row>
    <row r="42" spans="1:18">
      <c r="B42" s="714"/>
      <c r="C42" s="715"/>
      <c r="D42" s="715"/>
      <c r="E42" s="715"/>
      <c r="F42" s="715"/>
      <c r="G42" s="715"/>
      <c r="H42" s="716"/>
      <c r="N42" s="176"/>
      <c r="O42" s="191"/>
      <c r="P42" s="190"/>
      <c r="Q42" s="192"/>
      <c r="R42" s="176"/>
    </row>
    <row r="43" spans="1:18">
      <c r="B43" s="46"/>
      <c r="C43" s="47"/>
      <c r="D43" s="47"/>
      <c r="E43" s="47"/>
      <c r="F43" s="47"/>
      <c r="G43" s="47"/>
      <c r="H43" s="48"/>
      <c r="N43" s="176"/>
      <c r="O43" s="191"/>
      <c r="P43" s="190"/>
      <c r="Q43" s="192"/>
      <c r="R43" s="176"/>
    </row>
    <row r="44" spans="1:18">
      <c r="B44" s="467"/>
      <c r="C44" s="47"/>
      <c r="D44" s="47"/>
      <c r="E44" s="47"/>
      <c r="F44" s="47"/>
      <c r="G44" s="47"/>
      <c r="H44" s="48"/>
      <c r="I44" s="27"/>
      <c r="N44" s="176"/>
      <c r="O44" s="191"/>
      <c r="P44" s="190"/>
      <c r="Q44" s="192"/>
      <c r="R44" s="176"/>
    </row>
    <row r="45" spans="1:18">
      <c r="B45" s="50"/>
      <c r="C45" s="51"/>
      <c r="D45" s="51"/>
      <c r="E45" s="51"/>
      <c r="F45" s="51"/>
      <c r="G45" s="51"/>
      <c r="H45" s="52"/>
      <c r="I45" s="27"/>
    </row>
    <row r="46" spans="1:18">
      <c r="A46" s="49"/>
      <c r="C46" s="27"/>
      <c r="D46" s="27"/>
      <c r="E46" s="27"/>
      <c r="F46" s="27"/>
      <c r="G46" s="27"/>
      <c r="H46" s="27"/>
      <c r="I46" s="27"/>
    </row>
    <row r="47" spans="1:18">
      <c r="I47" s="27"/>
    </row>
  </sheetData>
  <mergeCells count="29">
    <mergeCell ref="L29:Q29"/>
    <mergeCell ref="L31:Q31"/>
    <mergeCell ref="L32:Q32"/>
    <mergeCell ref="L37:Q37"/>
    <mergeCell ref="L33:Q33"/>
    <mergeCell ref="L34:Q34"/>
    <mergeCell ref="L35:Q35"/>
    <mergeCell ref="L36:Q36"/>
    <mergeCell ref="L24:Q24"/>
    <mergeCell ref="L25:Q25"/>
    <mergeCell ref="L26:Q26"/>
    <mergeCell ref="L27:Q27"/>
    <mergeCell ref="L28:Q28"/>
    <mergeCell ref="B26:H42"/>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lidays"/>
  <dimension ref="B1:D32"/>
  <sheetViews>
    <sheetView workbookViewId="0">
      <selection activeCell="B29" sqref="B29"/>
    </sheetView>
  </sheetViews>
  <sheetFormatPr baseColWidth="10" defaultRowHeight="12.75"/>
  <cols>
    <col min="1" max="1" width="3" customWidth="1"/>
    <col min="2" max="2" width="22.140625" customWidth="1"/>
    <col min="3" max="3" width="23.7109375" customWidth="1"/>
    <col min="4" max="4" width="36.140625" customWidth="1"/>
  </cols>
  <sheetData>
    <row r="1" spans="2:3">
      <c r="B1" s="56"/>
    </row>
    <row r="2" spans="2:3" ht="16.5" thickBot="1">
      <c r="B2" s="477" t="s">
        <v>3</v>
      </c>
    </row>
    <row r="3" spans="2:3" ht="13.5" thickBot="1">
      <c r="B3" s="474" t="s">
        <v>170</v>
      </c>
      <c r="C3" s="475" t="s">
        <v>171</v>
      </c>
    </row>
    <row r="4" spans="2:3">
      <c r="B4" s="584">
        <f>IF(DATE(YEAR(B_Year),1,1)&lt;B_Year,DATE(YEAR(B_Year)+1,1,1),DATE(YEAR(B_Year),1,1))</f>
        <v>41639</v>
      </c>
      <c r="C4" s="515" t="s">
        <v>164</v>
      </c>
    </row>
    <row r="5" spans="2:3">
      <c r="B5" s="584">
        <f>IF(DATE(YEAR(B_Year),1,6)&lt;B_Year,DATE(YEAR(B_Year)+1,1,6),DATE(YEAR(B_Year),1,6))</f>
        <v>41644</v>
      </c>
      <c r="C5" s="516" t="s">
        <v>172</v>
      </c>
    </row>
    <row r="6" spans="2:3">
      <c r="B6" s="585">
        <f>IF(Karfreitag(YEAR(B_Year))&lt;B_Year,Karfreitag(YEAR(B_Year)+1),Karfreitag(YEAR(B_Year)))</f>
        <v>41727</v>
      </c>
      <c r="C6" s="516" t="s">
        <v>155</v>
      </c>
    </row>
    <row r="7" spans="2:3">
      <c r="B7" s="585">
        <f>IF(OsterSon(YEAR(B_Year))&lt;B_Year,OsterSon(YEAR(B_Year)+1),OsterSon(YEAR(B_Year)))</f>
        <v>41729</v>
      </c>
      <c r="C7" s="516" t="s">
        <v>63</v>
      </c>
    </row>
    <row r="8" spans="2:3">
      <c r="B8" s="585">
        <f>IF(OsterMon(YEAR(B_Year))&lt;B_Year,OsterMon(YEAR(B_Year)+1),OsterMon(YEAR(B_Year)))</f>
        <v>41730</v>
      </c>
      <c r="C8" s="516" t="s">
        <v>156</v>
      </c>
    </row>
    <row r="9" spans="2:3">
      <c r="B9" s="584">
        <f>IF(DATE(YEAR(B_Year),5,1)&lt;B_Year,DATE(YEAR(B_Year)+1,5,1),DATE(YEAR(B_Year),5,1))</f>
        <v>41759</v>
      </c>
      <c r="C9" s="516" t="s">
        <v>159</v>
      </c>
    </row>
    <row r="10" spans="2:3">
      <c r="B10" s="585">
        <f>IF(Himmelfahrt(YEAR(B_Year))&lt;B_Year,Himmelfahrt(YEAR(B_Year)+1),Himmelfahrt(YEAR(B_Year)))</f>
        <v>41768</v>
      </c>
      <c r="C10" s="516" t="s">
        <v>157</v>
      </c>
    </row>
    <row r="11" spans="2:3">
      <c r="B11" s="585">
        <f>IF(PfingstSon(YEAR(B_Year))&lt;B_Year,PfingstSon(YEAR(B_Year)+1),PfingstSon(YEAR(B_Year)))</f>
        <v>41778</v>
      </c>
      <c r="C11" s="516" t="s">
        <v>64</v>
      </c>
    </row>
    <row r="12" spans="2:3">
      <c r="B12" s="585">
        <f>IF(PfingstMon(YEAR(B_Year))&lt;B_Year,PfingstMon(YEAR(B_Year)+1),PfingstMon(YEAR(B_Year)))</f>
        <v>41779</v>
      </c>
      <c r="C12" s="516" t="s">
        <v>158</v>
      </c>
    </row>
    <row r="13" spans="2:3">
      <c r="B13" s="585">
        <f>IF(Fronleichnam(YEAR(B_Year))&lt;B_Year,Fronleichnam(YEAR(B_Year)+1),Fronleichnam(YEAR(B_Year)))</f>
        <v>41789</v>
      </c>
      <c r="C13" s="516" t="s">
        <v>173</v>
      </c>
    </row>
    <row r="14" spans="2:3">
      <c r="B14" s="584">
        <f>IF(DATE(YEAR(B_Year),10,3)&lt;B_Year,DATE(YEAR(B_Year)+1,10,3),DATE(YEAR(B_Year),10,3))</f>
        <v>41914</v>
      </c>
      <c r="C14" s="516" t="s">
        <v>160</v>
      </c>
    </row>
    <row r="15" spans="2:3">
      <c r="B15" s="584">
        <f>IF(DATE(YEAR(B_Year),11,1)&lt;B_Year,DATE(YEAR(B_Year)+1,11,1),DATE(YEAR(B_Year),11,1))</f>
        <v>41943</v>
      </c>
      <c r="C15" s="516" t="s">
        <v>161</v>
      </c>
    </row>
    <row r="16" spans="2:3">
      <c r="B16" s="584">
        <f>IF(DATE(YEAR(B_Year),12,25)&lt;B_Year,DATE(YEAR(B_Year)+1,12,25),DATE(YEAR(B_Year),12,25))</f>
        <v>41997</v>
      </c>
      <c r="C16" s="516" t="s">
        <v>162</v>
      </c>
    </row>
    <row r="17" spans="2:4" ht="13.5" thickBot="1">
      <c r="B17" s="586">
        <f>IF(DATE(YEAR(B_Year),12,26)&lt;B_Year,DATE(YEAR(B_Year)+1,12,26),DATE(YEAR(B_Year),12,26))</f>
        <v>41998</v>
      </c>
      <c r="C17" s="517" t="s">
        <v>163</v>
      </c>
    </row>
    <row r="18" spans="2:4">
      <c r="B18" s="513"/>
      <c r="C18" s="514"/>
    </row>
    <row r="19" spans="2:4">
      <c r="B19" s="5"/>
      <c r="C19" s="5"/>
      <c r="D19" s="5"/>
    </row>
    <row r="20" spans="2:4" ht="16.5" thickBot="1">
      <c r="B20" s="477" t="s">
        <v>4</v>
      </c>
    </row>
    <row r="21" spans="2:4" ht="13.5" thickBot="1">
      <c r="B21" s="474" t="s">
        <v>7</v>
      </c>
      <c r="C21" s="476" t="s">
        <v>6</v>
      </c>
      <c r="D21" s="475" t="s">
        <v>171</v>
      </c>
    </row>
    <row r="22" spans="2:4">
      <c r="B22" s="587">
        <v>41630</v>
      </c>
      <c r="C22" s="587">
        <v>41643</v>
      </c>
      <c r="D22" s="471" t="s">
        <v>5</v>
      </c>
    </row>
    <row r="23" spans="2:4">
      <c r="B23" s="588">
        <v>41681</v>
      </c>
      <c r="C23" s="589">
        <v>41685</v>
      </c>
      <c r="D23" s="472" t="s">
        <v>65</v>
      </c>
    </row>
    <row r="24" spans="2:4">
      <c r="B24" s="588">
        <v>41723</v>
      </c>
      <c r="C24" s="589">
        <v>41735</v>
      </c>
      <c r="D24" s="472" t="s">
        <v>66</v>
      </c>
    </row>
    <row r="25" spans="2:4">
      <c r="B25" s="588">
        <v>41780</v>
      </c>
      <c r="C25" s="589">
        <v>41791</v>
      </c>
      <c r="D25" s="472" t="s">
        <v>67</v>
      </c>
    </row>
    <row r="26" spans="2:4">
      <c r="B26" s="588">
        <v>41849</v>
      </c>
      <c r="C26" s="589">
        <v>41891</v>
      </c>
      <c r="D26" s="472" t="s">
        <v>68</v>
      </c>
    </row>
    <row r="27" spans="2:4">
      <c r="B27" s="588">
        <v>41940</v>
      </c>
      <c r="C27" s="589">
        <v>41944</v>
      </c>
      <c r="D27" s="472" t="s">
        <v>69</v>
      </c>
    </row>
    <row r="28" spans="2:4">
      <c r="B28" s="588">
        <v>41994</v>
      </c>
      <c r="C28" s="589">
        <v>42008</v>
      </c>
      <c r="D28" s="472" t="s">
        <v>5</v>
      </c>
    </row>
    <row r="29" spans="2:4">
      <c r="B29" s="588"/>
      <c r="C29" s="589"/>
      <c r="D29" s="472"/>
    </row>
    <row r="30" spans="2:4">
      <c r="B30" s="588"/>
      <c r="C30" s="589"/>
      <c r="D30" s="472"/>
    </row>
    <row r="31" spans="2:4">
      <c r="B31" s="588"/>
      <c r="C31" s="589"/>
      <c r="D31" s="472"/>
    </row>
    <row r="32" spans="2:4">
      <c r="B32" s="590"/>
      <c r="C32" s="591"/>
      <c r="D32" s="473"/>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M">
    <pageSetUpPr fitToPage="1"/>
  </sheetPr>
  <dimension ref="A1:Q30"/>
  <sheetViews>
    <sheetView showGridLines="0" workbookViewId="0">
      <selection activeCell="M21" sqref="M21"/>
    </sheetView>
  </sheetViews>
  <sheetFormatPr baseColWidth="10" defaultRowHeight="12.75"/>
  <cols>
    <col min="1" max="1" width="10.42578125" style="212" customWidth="1"/>
    <col min="2" max="2" width="5.28515625" style="212" customWidth="1"/>
    <col min="3" max="3" width="6.7109375" style="212" customWidth="1"/>
    <col min="4" max="4" width="5.28515625" style="212" customWidth="1"/>
    <col min="5" max="5" width="6.7109375" style="212" customWidth="1"/>
    <col min="6" max="6" width="9.140625" style="212" bestFit="1" customWidth="1"/>
    <col min="7" max="7" width="6.5703125" style="212" customWidth="1"/>
    <col min="8" max="8" width="12.7109375" style="212" customWidth="1"/>
    <col min="9" max="9" width="6.5703125" style="212" customWidth="1"/>
    <col min="10" max="10" width="8.5703125" style="212" customWidth="1"/>
    <col min="11" max="11" width="6.5703125" style="212" customWidth="1"/>
    <col min="12" max="12" width="7.7109375" style="212" customWidth="1"/>
    <col min="13" max="13" width="7.85546875" style="212" bestFit="1" customWidth="1"/>
    <col min="14" max="14" width="5.7109375" style="212" customWidth="1"/>
    <col min="15" max="15" width="6.85546875" style="212" bestFit="1" customWidth="1"/>
    <col min="16" max="16" width="5.42578125" style="212" bestFit="1" customWidth="1"/>
    <col min="17" max="17" width="7.42578125" style="212" customWidth="1"/>
    <col min="18" max="18" width="1.7109375" style="212" customWidth="1"/>
    <col min="19" max="19" width="8.42578125" style="212" customWidth="1"/>
    <col min="20" max="20" width="7.28515625" style="212" customWidth="1"/>
    <col min="21" max="21" width="5.85546875" style="212" bestFit="1" customWidth="1"/>
    <col min="22" max="23" width="4.7109375" style="212" customWidth="1"/>
    <col min="24" max="24" width="7.140625" style="212" customWidth="1"/>
    <col min="25" max="25" width="8.140625" style="212" customWidth="1"/>
    <col min="26" max="16384" width="11.42578125" style="212"/>
  </cols>
  <sheetData>
    <row r="1" spans="1:16">
      <c r="A1" s="217" t="s">
        <v>99</v>
      </c>
      <c r="B1" s="218" t="str">
        <f>B_PersonName</f>
        <v>Name</v>
      </c>
      <c r="D1" s="218"/>
      <c r="F1" s="219" t="s">
        <v>100</v>
      </c>
      <c r="G1" s="212" t="str">
        <f>B_Department</f>
        <v>Abteilung</v>
      </c>
    </row>
    <row r="2" spans="1:16" ht="13.5" thickBot="1">
      <c r="A2" s="507" t="str">
        <f ca="1">CELL("filename",A2)</f>
        <v>D:\_pdata\GLAZ\andi\[vGlaz2018.xlsm]Übersicht</v>
      </c>
      <c r="B2" s="220"/>
      <c r="D2" s="220"/>
      <c r="K2" s="220"/>
    </row>
    <row r="3" spans="1:16" ht="14.25" thickTop="1" thickBot="1">
      <c r="A3" s="508">
        <f>B_Year</f>
        <v>41639</v>
      </c>
      <c r="B3" s="508" t="s">
        <v>148</v>
      </c>
      <c r="C3" s="741">
        <f>Arbeitszeit!xJahrEnd</f>
        <v>42003</v>
      </c>
      <c r="D3" s="742"/>
      <c r="E3" s="221"/>
      <c r="F3" s="222"/>
      <c r="K3" s="223"/>
    </row>
    <row r="4" spans="1:16" s="506" customFormat="1" ht="27.75" customHeight="1" thickTop="1">
      <c r="A4" s="512" t="s">
        <v>184</v>
      </c>
      <c r="B4" s="509" t="s">
        <v>61</v>
      </c>
      <c r="C4" s="510" t="s">
        <v>8</v>
      </c>
      <c r="D4" s="510" t="s">
        <v>10</v>
      </c>
      <c r="E4" s="509" t="s">
        <v>9</v>
      </c>
      <c r="F4" s="509" t="s">
        <v>62</v>
      </c>
      <c r="G4" s="509" t="s">
        <v>108</v>
      </c>
      <c r="H4" s="511" t="s">
        <v>109</v>
      </c>
      <c r="I4" s="511" t="s">
        <v>110</v>
      </c>
      <c r="J4" s="509" t="str">
        <f>Arbeitszeit!AC4</f>
        <v>&gt; 10 Std</v>
      </c>
      <c r="K4" s="509" t="s">
        <v>185</v>
      </c>
      <c r="L4" s="511" t="s">
        <v>11</v>
      </c>
      <c r="M4" s="509" t="s">
        <v>12</v>
      </c>
      <c r="N4" s="509" t="s">
        <v>119</v>
      </c>
      <c r="O4" s="509" t="s">
        <v>118</v>
      </c>
    </row>
    <row r="5" spans="1:16">
      <c r="A5" s="505">
        <f>xJahr-1</f>
        <v>41638</v>
      </c>
      <c r="B5" s="224"/>
      <c r="C5" s="225"/>
      <c r="D5" s="224"/>
      <c r="E5" s="226"/>
      <c r="F5" s="227"/>
      <c r="G5" s="227"/>
      <c r="H5" s="227"/>
      <c r="I5" s="227"/>
      <c r="J5" s="228"/>
      <c r="K5" s="229"/>
      <c r="L5" s="227"/>
      <c r="M5" s="229">
        <f>A21</f>
        <v>0</v>
      </c>
      <c r="N5" s="231"/>
      <c r="O5" s="231"/>
    </row>
    <row r="6" spans="1:16">
      <c r="A6" s="505">
        <f>xJahr</f>
        <v>41639</v>
      </c>
      <c r="B6" s="232">
        <f>C6/B_WorkTime</f>
        <v>0</v>
      </c>
      <c r="C6" s="233">
        <f>SUMIF(R_Monat,$A6,R_Soll)</f>
        <v>0</v>
      </c>
      <c r="D6" s="232">
        <f>E6/B_WorkTime</f>
        <v>0</v>
      </c>
      <c r="E6" s="233">
        <f>SUMIF(R_Monat,$A6,R_Ist)</f>
        <v>0</v>
      </c>
      <c r="F6" s="233">
        <f>SUMIF(R_Monat,$A6,R_ArbDiff)</f>
        <v>0</v>
      </c>
      <c r="G6" s="233">
        <f>IF(C6&gt;E6,E6,C6)</f>
        <v>0</v>
      </c>
      <c r="H6" s="233">
        <f t="shared" ref="H6:H17" si="0">IF(F6&gt;0,F6,0)</f>
        <v>0</v>
      </c>
      <c r="I6" s="233">
        <f>IF(F6&lt;0,F6,0)</f>
        <v>0</v>
      </c>
      <c r="J6" s="234">
        <f>SUMIF(R_Monat,$A6,R_ArbMax)</f>
        <v>0</v>
      </c>
      <c r="K6" s="233">
        <f t="shared" ref="K6:K17" si="1">SUMIF(R_Monat,$A6,R_Korrekt)</f>
        <v>0</v>
      </c>
      <c r="L6" s="233">
        <f t="shared" ref="L6:L17" si="2">F6+J6</f>
        <v>0</v>
      </c>
      <c r="M6" s="230">
        <f t="shared" ref="M6:M17" si="3">M5+F6-K6</f>
        <v>0</v>
      </c>
      <c r="N6" s="235">
        <f>SUMIF(R_Monat,$A6,R_Krank)</f>
        <v>0</v>
      </c>
      <c r="O6" s="235">
        <f>SUMIF(R_Monat,$A6,R_Urlaub)</f>
        <v>0</v>
      </c>
    </row>
    <row r="7" spans="1:16">
      <c r="A7" s="505">
        <f>DATE(YEAR(A6),MONTH(A6)+1,1)</f>
        <v>41670</v>
      </c>
      <c r="B7" s="232">
        <f t="shared" ref="B7:D17" si="4">C7/B_WorkTime</f>
        <v>0</v>
      </c>
      <c r="C7" s="233">
        <f t="shared" ref="C7:C17" si="5">SUMIF(R_Monat,$A7,R_Soll)</f>
        <v>0</v>
      </c>
      <c r="D7" s="232">
        <f t="shared" si="4"/>
        <v>0</v>
      </c>
      <c r="E7" s="233">
        <f t="shared" ref="E7:E17" si="6">SUMIF(R_Monat,$A7,R_Ist)</f>
        <v>0</v>
      </c>
      <c r="F7" s="233">
        <f t="shared" ref="F7:F17" si="7">SUMIF(R_Monat,$A7,R_ArbDiff)</f>
        <v>0</v>
      </c>
      <c r="G7" s="233">
        <f t="shared" ref="G7:G17" si="8">IF(C7&gt;E7,E7,C7)</f>
        <v>0</v>
      </c>
      <c r="H7" s="233">
        <f t="shared" si="0"/>
        <v>0</v>
      </c>
      <c r="I7" s="233">
        <f t="shared" ref="I7:I17" si="9">IF(F7&lt;0,F7,0)</f>
        <v>0</v>
      </c>
      <c r="J7" s="234">
        <f t="shared" ref="J7:J17" si="10">SUMIF(R_Monat,$A7,R_ArbMax)</f>
        <v>0</v>
      </c>
      <c r="K7" s="233">
        <f t="shared" si="1"/>
        <v>0</v>
      </c>
      <c r="L7" s="233">
        <f t="shared" si="2"/>
        <v>0</v>
      </c>
      <c r="M7" s="230">
        <f t="shared" si="3"/>
        <v>0</v>
      </c>
      <c r="N7" s="235">
        <f t="shared" ref="N7:N17" si="11">SUMIF(R_Monat,$A7,R_Krank)</f>
        <v>0</v>
      </c>
      <c r="O7" s="235">
        <f t="shared" ref="O7:O17" si="12">SUMIF(R_Monat,$A7,R_Urlaub)</f>
        <v>0</v>
      </c>
    </row>
    <row r="8" spans="1:16">
      <c r="A8" s="505">
        <f t="shared" ref="A8:A17" si="13">DATE(YEAR(A7),MONTH(A7)+1,1)</f>
        <v>41698</v>
      </c>
      <c r="B8" s="232">
        <f t="shared" si="4"/>
        <v>0</v>
      </c>
      <c r="C8" s="233">
        <f t="shared" si="5"/>
        <v>0</v>
      </c>
      <c r="D8" s="232">
        <f t="shared" si="4"/>
        <v>0</v>
      </c>
      <c r="E8" s="233">
        <f t="shared" si="6"/>
        <v>0</v>
      </c>
      <c r="F8" s="233">
        <f t="shared" si="7"/>
        <v>0</v>
      </c>
      <c r="G8" s="233">
        <f t="shared" si="8"/>
        <v>0</v>
      </c>
      <c r="H8" s="233">
        <f t="shared" si="0"/>
        <v>0</v>
      </c>
      <c r="I8" s="233">
        <f t="shared" si="9"/>
        <v>0</v>
      </c>
      <c r="J8" s="234">
        <f t="shared" si="10"/>
        <v>0</v>
      </c>
      <c r="K8" s="233">
        <f t="shared" si="1"/>
        <v>0</v>
      </c>
      <c r="L8" s="233">
        <f t="shared" si="2"/>
        <v>0</v>
      </c>
      <c r="M8" s="230">
        <f t="shared" si="3"/>
        <v>0</v>
      </c>
      <c r="N8" s="235">
        <f t="shared" si="11"/>
        <v>0</v>
      </c>
      <c r="O8" s="235">
        <f t="shared" si="12"/>
        <v>0</v>
      </c>
    </row>
    <row r="9" spans="1:16">
      <c r="A9" s="505">
        <f t="shared" si="13"/>
        <v>41729</v>
      </c>
      <c r="B9" s="232">
        <f t="shared" si="4"/>
        <v>0</v>
      </c>
      <c r="C9" s="233">
        <f t="shared" si="5"/>
        <v>0</v>
      </c>
      <c r="D9" s="232">
        <f t="shared" si="4"/>
        <v>0</v>
      </c>
      <c r="E9" s="233">
        <f t="shared" si="6"/>
        <v>0</v>
      </c>
      <c r="F9" s="233">
        <f t="shared" si="7"/>
        <v>0</v>
      </c>
      <c r="G9" s="233">
        <f t="shared" si="8"/>
        <v>0</v>
      </c>
      <c r="H9" s="233">
        <f t="shared" si="0"/>
        <v>0</v>
      </c>
      <c r="I9" s="233">
        <f t="shared" si="9"/>
        <v>0</v>
      </c>
      <c r="J9" s="234">
        <f t="shared" si="10"/>
        <v>0</v>
      </c>
      <c r="K9" s="233">
        <f t="shared" si="1"/>
        <v>0</v>
      </c>
      <c r="L9" s="233">
        <f t="shared" si="2"/>
        <v>0</v>
      </c>
      <c r="M9" s="230">
        <f t="shared" si="3"/>
        <v>0</v>
      </c>
      <c r="N9" s="235">
        <f t="shared" si="11"/>
        <v>0</v>
      </c>
      <c r="O9" s="235">
        <f t="shared" si="12"/>
        <v>0</v>
      </c>
    </row>
    <row r="10" spans="1:16">
      <c r="A10" s="505">
        <f t="shared" si="13"/>
        <v>41759</v>
      </c>
      <c r="B10" s="232">
        <f t="shared" si="4"/>
        <v>0</v>
      </c>
      <c r="C10" s="233">
        <f t="shared" si="5"/>
        <v>0</v>
      </c>
      <c r="D10" s="232">
        <f t="shared" si="4"/>
        <v>0</v>
      </c>
      <c r="E10" s="233">
        <f t="shared" si="6"/>
        <v>0</v>
      </c>
      <c r="F10" s="233">
        <f t="shared" si="7"/>
        <v>0</v>
      </c>
      <c r="G10" s="233">
        <f t="shared" si="8"/>
        <v>0</v>
      </c>
      <c r="H10" s="233">
        <f t="shared" si="0"/>
        <v>0</v>
      </c>
      <c r="I10" s="233">
        <f t="shared" si="9"/>
        <v>0</v>
      </c>
      <c r="J10" s="234">
        <f t="shared" si="10"/>
        <v>0</v>
      </c>
      <c r="K10" s="233">
        <f t="shared" si="1"/>
        <v>0</v>
      </c>
      <c r="L10" s="233">
        <f t="shared" si="2"/>
        <v>0</v>
      </c>
      <c r="M10" s="230">
        <f t="shared" si="3"/>
        <v>0</v>
      </c>
      <c r="N10" s="235">
        <f t="shared" si="11"/>
        <v>0</v>
      </c>
      <c r="O10" s="235">
        <f t="shared" si="12"/>
        <v>0</v>
      </c>
    </row>
    <row r="11" spans="1:16">
      <c r="A11" s="505">
        <f t="shared" si="13"/>
        <v>41790</v>
      </c>
      <c r="B11" s="232">
        <f t="shared" si="4"/>
        <v>0</v>
      </c>
      <c r="C11" s="233">
        <f t="shared" si="5"/>
        <v>0</v>
      </c>
      <c r="D11" s="232">
        <f t="shared" si="4"/>
        <v>0</v>
      </c>
      <c r="E11" s="233">
        <f t="shared" si="6"/>
        <v>0</v>
      </c>
      <c r="F11" s="233">
        <f t="shared" si="7"/>
        <v>0</v>
      </c>
      <c r="G11" s="233">
        <f t="shared" si="8"/>
        <v>0</v>
      </c>
      <c r="H11" s="233">
        <f t="shared" si="0"/>
        <v>0</v>
      </c>
      <c r="I11" s="233">
        <f t="shared" si="9"/>
        <v>0</v>
      </c>
      <c r="J11" s="234">
        <f t="shared" si="10"/>
        <v>0</v>
      </c>
      <c r="K11" s="233">
        <f t="shared" si="1"/>
        <v>0</v>
      </c>
      <c r="L11" s="233">
        <f t="shared" si="2"/>
        <v>0</v>
      </c>
      <c r="M11" s="230">
        <f t="shared" si="3"/>
        <v>0</v>
      </c>
      <c r="N11" s="235">
        <f t="shared" si="11"/>
        <v>0</v>
      </c>
      <c r="O11" s="235">
        <f t="shared" si="12"/>
        <v>0</v>
      </c>
    </row>
    <row r="12" spans="1:16">
      <c r="A12" s="505">
        <f t="shared" si="13"/>
        <v>41820</v>
      </c>
      <c r="B12" s="232">
        <f t="shared" si="4"/>
        <v>0</v>
      </c>
      <c r="C12" s="233">
        <f t="shared" si="5"/>
        <v>0</v>
      </c>
      <c r="D12" s="232">
        <f t="shared" si="4"/>
        <v>0</v>
      </c>
      <c r="E12" s="233">
        <f t="shared" si="6"/>
        <v>0</v>
      </c>
      <c r="F12" s="233">
        <f t="shared" si="7"/>
        <v>0</v>
      </c>
      <c r="G12" s="233">
        <f t="shared" si="8"/>
        <v>0</v>
      </c>
      <c r="H12" s="233">
        <f t="shared" si="0"/>
        <v>0</v>
      </c>
      <c r="I12" s="233">
        <f t="shared" si="9"/>
        <v>0</v>
      </c>
      <c r="J12" s="234">
        <f t="shared" si="10"/>
        <v>0</v>
      </c>
      <c r="K12" s="233">
        <f t="shared" si="1"/>
        <v>0</v>
      </c>
      <c r="L12" s="233">
        <f t="shared" si="2"/>
        <v>0</v>
      </c>
      <c r="M12" s="230">
        <f t="shared" si="3"/>
        <v>0</v>
      </c>
      <c r="N12" s="235">
        <f t="shared" si="11"/>
        <v>0</v>
      </c>
      <c r="O12" s="235">
        <f t="shared" si="12"/>
        <v>0</v>
      </c>
      <c r="P12" s="236"/>
    </row>
    <row r="13" spans="1:16">
      <c r="A13" s="505">
        <f t="shared" si="13"/>
        <v>41851</v>
      </c>
      <c r="B13" s="232">
        <f t="shared" si="4"/>
        <v>0</v>
      </c>
      <c r="C13" s="233">
        <f t="shared" si="5"/>
        <v>0</v>
      </c>
      <c r="D13" s="232">
        <f t="shared" si="4"/>
        <v>0</v>
      </c>
      <c r="E13" s="233">
        <f t="shared" si="6"/>
        <v>0</v>
      </c>
      <c r="F13" s="233">
        <f t="shared" si="7"/>
        <v>0</v>
      </c>
      <c r="G13" s="233">
        <f t="shared" si="8"/>
        <v>0</v>
      </c>
      <c r="H13" s="233">
        <f t="shared" si="0"/>
        <v>0</v>
      </c>
      <c r="I13" s="233">
        <f t="shared" si="9"/>
        <v>0</v>
      </c>
      <c r="J13" s="234">
        <f t="shared" si="10"/>
        <v>0</v>
      </c>
      <c r="K13" s="233">
        <f t="shared" si="1"/>
        <v>0</v>
      </c>
      <c r="L13" s="233">
        <f t="shared" si="2"/>
        <v>0</v>
      </c>
      <c r="M13" s="230">
        <f t="shared" si="3"/>
        <v>0</v>
      </c>
      <c r="N13" s="235">
        <f t="shared" si="11"/>
        <v>0</v>
      </c>
      <c r="O13" s="235">
        <f t="shared" si="12"/>
        <v>0</v>
      </c>
    </row>
    <row r="14" spans="1:16">
      <c r="A14" s="505">
        <f t="shared" si="13"/>
        <v>41882</v>
      </c>
      <c r="B14" s="232">
        <f t="shared" si="4"/>
        <v>0</v>
      </c>
      <c r="C14" s="233">
        <f t="shared" si="5"/>
        <v>0</v>
      </c>
      <c r="D14" s="232">
        <f t="shared" si="4"/>
        <v>0</v>
      </c>
      <c r="E14" s="233">
        <f t="shared" si="6"/>
        <v>0</v>
      </c>
      <c r="F14" s="233">
        <f t="shared" si="7"/>
        <v>0</v>
      </c>
      <c r="G14" s="233">
        <f t="shared" si="8"/>
        <v>0</v>
      </c>
      <c r="H14" s="233">
        <f t="shared" si="0"/>
        <v>0</v>
      </c>
      <c r="I14" s="233">
        <f t="shared" si="9"/>
        <v>0</v>
      </c>
      <c r="J14" s="234">
        <f t="shared" si="10"/>
        <v>0</v>
      </c>
      <c r="K14" s="233">
        <f t="shared" si="1"/>
        <v>0</v>
      </c>
      <c r="L14" s="233">
        <f t="shared" si="2"/>
        <v>0</v>
      </c>
      <c r="M14" s="230">
        <f t="shared" si="3"/>
        <v>0</v>
      </c>
      <c r="N14" s="235">
        <f t="shared" si="11"/>
        <v>0</v>
      </c>
      <c r="O14" s="235">
        <f t="shared" si="12"/>
        <v>0</v>
      </c>
    </row>
    <row r="15" spans="1:16">
      <c r="A15" s="505">
        <f t="shared" si="13"/>
        <v>41912</v>
      </c>
      <c r="B15" s="232">
        <f t="shared" si="4"/>
        <v>0</v>
      </c>
      <c r="C15" s="233">
        <f t="shared" si="5"/>
        <v>0</v>
      </c>
      <c r="D15" s="232">
        <f t="shared" si="4"/>
        <v>0</v>
      </c>
      <c r="E15" s="233">
        <f t="shared" si="6"/>
        <v>0</v>
      </c>
      <c r="F15" s="233">
        <f t="shared" si="7"/>
        <v>0</v>
      </c>
      <c r="G15" s="233">
        <f t="shared" si="8"/>
        <v>0</v>
      </c>
      <c r="H15" s="233">
        <f t="shared" si="0"/>
        <v>0</v>
      </c>
      <c r="I15" s="233">
        <f t="shared" si="9"/>
        <v>0</v>
      </c>
      <c r="J15" s="234">
        <f t="shared" si="10"/>
        <v>0</v>
      </c>
      <c r="K15" s="233">
        <f t="shared" si="1"/>
        <v>0</v>
      </c>
      <c r="L15" s="233">
        <f t="shared" si="2"/>
        <v>0</v>
      </c>
      <c r="M15" s="230">
        <f t="shared" si="3"/>
        <v>0</v>
      </c>
      <c r="N15" s="235">
        <f t="shared" si="11"/>
        <v>0</v>
      </c>
      <c r="O15" s="235">
        <f t="shared" si="12"/>
        <v>0</v>
      </c>
    </row>
    <row r="16" spans="1:16">
      <c r="A16" s="505">
        <f t="shared" si="13"/>
        <v>41943</v>
      </c>
      <c r="B16" s="232">
        <f t="shared" si="4"/>
        <v>0</v>
      </c>
      <c r="C16" s="233">
        <f t="shared" si="5"/>
        <v>0</v>
      </c>
      <c r="D16" s="232">
        <f t="shared" si="4"/>
        <v>0</v>
      </c>
      <c r="E16" s="233">
        <f t="shared" si="6"/>
        <v>0</v>
      </c>
      <c r="F16" s="233">
        <f t="shared" si="7"/>
        <v>0</v>
      </c>
      <c r="G16" s="233">
        <f t="shared" si="8"/>
        <v>0</v>
      </c>
      <c r="H16" s="233">
        <f t="shared" si="0"/>
        <v>0</v>
      </c>
      <c r="I16" s="233">
        <f t="shared" si="9"/>
        <v>0</v>
      </c>
      <c r="J16" s="234">
        <f t="shared" si="10"/>
        <v>0</v>
      </c>
      <c r="K16" s="233">
        <f t="shared" si="1"/>
        <v>0</v>
      </c>
      <c r="L16" s="233">
        <f t="shared" si="2"/>
        <v>0</v>
      </c>
      <c r="M16" s="230">
        <f t="shared" si="3"/>
        <v>0</v>
      </c>
      <c r="N16" s="235">
        <f t="shared" si="11"/>
        <v>0</v>
      </c>
      <c r="O16" s="235">
        <f t="shared" si="12"/>
        <v>0</v>
      </c>
    </row>
    <row r="17" spans="1:17">
      <c r="A17" s="505">
        <f t="shared" si="13"/>
        <v>41973</v>
      </c>
      <c r="B17" s="232">
        <f t="shared" si="4"/>
        <v>0</v>
      </c>
      <c r="C17" s="233">
        <f t="shared" si="5"/>
        <v>0</v>
      </c>
      <c r="D17" s="232">
        <f t="shared" si="4"/>
        <v>0</v>
      </c>
      <c r="E17" s="233">
        <f t="shared" si="6"/>
        <v>0</v>
      </c>
      <c r="F17" s="233">
        <f t="shared" si="7"/>
        <v>0</v>
      </c>
      <c r="G17" s="233">
        <f t="shared" si="8"/>
        <v>0</v>
      </c>
      <c r="H17" s="233">
        <f t="shared" si="0"/>
        <v>0</v>
      </c>
      <c r="I17" s="233">
        <f t="shared" si="9"/>
        <v>0</v>
      </c>
      <c r="J17" s="234">
        <f t="shared" si="10"/>
        <v>0</v>
      </c>
      <c r="K17" s="233">
        <f t="shared" si="1"/>
        <v>0</v>
      </c>
      <c r="L17" s="233">
        <f t="shared" si="2"/>
        <v>0</v>
      </c>
      <c r="M17" s="230">
        <f t="shared" si="3"/>
        <v>0</v>
      </c>
      <c r="N17" s="235">
        <f t="shared" si="11"/>
        <v>0</v>
      </c>
      <c r="O17" s="235">
        <f t="shared" si="12"/>
        <v>0</v>
      </c>
    </row>
    <row r="18" spans="1:17">
      <c r="A18" s="336" t="s">
        <v>167</v>
      </c>
      <c r="B18" s="238">
        <f>SUBTOTAL(9,B6:B17)</f>
        <v>0</v>
      </c>
      <c r="C18" s="239">
        <f>SUBTOTAL(9,C6:C17)</f>
        <v>0</v>
      </c>
      <c r="D18" s="238">
        <f>SUBTOTAL(9,D6:D17)</f>
        <v>0</v>
      </c>
      <c r="E18" s="239">
        <f>SUBTOTAL(9,E6:E17)</f>
        <v>0</v>
      </c>
      <c r="F18" s="239">
        <f t="shared" ref="F18:L18" si="14">SUBTOTAL(9,F6:F17)</f>
        <v>0</v>
      </c>
      <c r="G18" s="239">
        <f t="shared" si="14"/>
        <v>0</v>
      </c>
      <c r="H18" s="239">
        <f t="shared" si="14"/>
        <v>0</v>
      </c>
      <c r="I18" s="239">
        <f t="shared" si="14"/>
        <v>0</v>
      </c>
      <c r="J18" s="239">
        <f t="shared" si="14"/>
        <v>0</v>
      </c>
      <c r="K18" s="239">
        <f>SUBTOTAL(9,K6:K17)</f>
        <v>0</v>
      </c>
      <c r="L18" s="239">
        <f t="shared" si="14"/>
        <v>0</v>
      </c>
      <c r="M18" s="239">
        <f>SUBTOTAL(1,M6:M17)</f>
        <v>0</v>
      </c>
      <c r="N18" s="240">
        <f>SUBTOTAL(9,N6:N17)</f>
        <v>0</v>
      </c>
      <c r="O18" s="240">
        <f>SUBTOTAL(9,O6:O17)</f>
        <v>0</v>
      </c>
    </row>
    <row r="19" spans="1:17" ht="5.25" customHeight="1">
      <c r="A19" s="237"/>
      <c r="B19" s="237"/>
      <c r="D19" s="237"/>
      <c r="E19" s="241"/>
      <c r="G19" s="242"/>
      <c r="H19" s="242"/>
      <c r="I19" s="242"/>
      <c r="J19" s="242"/>
      <c r="K19" s="243"/>
      <c r="L19" s="241"/>
      <c r="M19" s="241"/>
      <c r="O19" s="244"/>
      <c r="P19" s="217"/>
      <c r="Q19" s="245"/>
    </row>
    <row r="20" spans="1:17" ht="12" customHeight="1">
      <c r="A20" s="496" t="s">
        <v>27</v>
      </c>
      <c r="B20" s="497"/>
      <c r="C20" s="498"/>
      <c r="D20" s="497"/>
      <c r="E20" s="499"/>
      <c r="F20" s="312"/>
      <c r="G20" s="242"/>
      <c r="H20" s="500" t="s">
        <v>31</v>
      </c>
      <c r="I20" s="501"/>
      <c r="J20" s="501"/>
      <c r="K20" s="502"/>
      <c r="L20" s="503"/>
      <c r="M20" s="503"/>
      <c r="N20" s="504"/>
      <c r="O20" s="244"/>
      <c r="P20" s="217"/>
      <c r="Q20" s="245"/>
    </row>
    <row r="21" spans="1:17">
      <c r="A21" s="319">
        <f>B_Vorjahr_hhmm</f>
        <v>0</v>
      </c>
      <c r="B21" s="321" t="s">
        <v>37</v>
      </c>
      <c r="C21" s="322"/>
      <c r="D21" s="323"/>
      <c r="E21" s="324"/>
      <c r="F21" s="312"/>
      <c r="G21" s="246"/>
      <c r="H21" s="333" t="str">
        <f>Arbeitszeit!H377</f>
        <v>Summe IST-Anwesenheit</v>
      </c>
      <c r="I21" s="334"/>
      <c r="J21" s="335"/>
      <c r="K21" s="335"/>
      <c r="L21" s="335"/>
      <c r="M21" s="247">
        <f>SUM(E6:E17)</f>
        <v>0</v>
      </c>
      <c r="N21" s="248"/>
      <c r="O21" s="217"/>
    </row>
    <row r="22" spans="1:17">
      <c r="A22" s="318">
        <f>B_UrlaubVJRest</f>
        <v>0</v>
      </c>
      <c r="B22" s="325" t="s">
        <v>113</v>
      </c>
      <c r="C22" s="326"/>
      <c r="D22" s="327"/>
      <c r="E22" s="328"/>
      <c r="F22" s="312"/>
      <c r="G22" s="217"/>
      <c r="H22" s="333" t="str">
        <f>Arbeitszeit!H378</f>
        <v>Summe Soll-Arbeitszeit</v>
      </c>
      <c r="I22" s="322"/>
      <c r="J22" s="334"/>
      <c r="K22" s="334"/>
      <c r="L22" s="334"/>
      <c r="M22" s="247">
        <f>SUM(C6:C17)</f>
        <v>0</v>
      </c>
      <c r="N22" s="248"/>
      <c r="O22" s="249">
        <f>M21-M22</f>
        <v>0</v>
      </c>
      <c r="P22" s="212" t="s">
        <v>107</v>
      </c>
    </row>
    <row r="23" spans="1:17">
      <c r="A23" s="312"/>
      <c r="B23" s="314"/>
      <c r="C23" s="314"/>
      <c r="D23" s="313"/>
      <c r="E23" s="312"/>
      <c r="F23" s="315"/>
      <c r="G23" s="217"/>
      <c r="H23" s="333" t="s">
        <v>38</v>
      </c>
      <c r="I23" s="322"/>
      <c r="J23" s="334"/>
      <c r="K23" s="334"/>
      <c r="L23" s="334"/>
      <c r="M23" s="247">
        <f>SUM(K5:K17)</f>
        <v>0</v>
      </c>
      <c r="N23" s="248"/>
      <c r="O23" s="249">
        <f>SUM(J6:J17)</f>
        <v>0</v>
      </c>
      <c r="P23" s="317" t="str">
        <f>J4</f>
        <v>&gt; 10 Std</v>
      </c>
    </row>
    <row r="24" spans="1:17">
      <c r="A24" s="318">
        <f>B_UrlaubNeu</f>
        <v>30</v>
      </c>
      <c r="B24" s="329" t="s">
        <v>19</v>
      </c>
      <c r="C24" s="330"/>
      <c r="D24" s="323"/>
      <c r="E24" s="328"/>
      <c r="G24" s="217"/>
      <c r="H24" s="333" t="str">
        <f>Arbeitszeit!H380</f>
        <v>Gleitzeit-Saldo aktuell</v>
      </c>
      <c r="I24" s="322"/>
      <c r="J24" s="334"/>
      <c r="K24" s="334"/>
      <c r="L24" s="334"/>
      <c r="M24" s="247">
        <f>A21+M21-M22-M23</f>
        <v>0</v>
      </c>
      <c r="N24" s="248" t="str">
        <f>IF(M24&lt;0,"*","")</f>
        <v/>
      </c>
      <c r="O24" s="739">
        <f>M24/B_WorkTime</f>
        <v>0</v>
      </c>
      <c r="P24" s="740"/>
    </row>
    <row r="25" spans="1:17">
      <c r="A25" s="312"/>
      <c r="C25" s="316"/>
      <c r="D25" s="313"/>
      <c r="E25" s="312"/>
      <c r="H25" s="333" t="str">
        <f>Arbeitszeit!B380</f>
        <v>Krankheitstage</v>
      </c>
      <c r="I25" s="322"/>
      <c r="J25" s="334"/>
      <c r="K25" s="334"/>
      <c r="L25" s="334"/>
      <c r="M25" s="250">
        <f>SUM(N6:N17)</f>
        <v>0</v>
      </c>
      <c r="N25" s="248"/>
      <c r="O25" s="217"/>
    </row>
    <row r="26" spans="1:17">
      <c r="A26" s="318">
        <f>SUM(B6:B17)</f>
        <v>0</v>
      </c>
      <c r="B26" s="331" t="s">
        <v>29</v>
      </c>
      <c r="C26" s="327"/>
      <c r="D26" s="327"/>
      <c r="E26" s="328"/>
      <c r="F26" s="312"/>
      <c r="G26" s="243"/>
      <c r="H26" s="333" t="str">
        <f>Arbeitszeit!H381</f>
        <v>genommene Urlaubstage</v>
      </c>
      <c r="I26" s="322"/>
      <c r="J26" s="334"/>
      <c r="K26" s="334"/>
      <c r="L26" s="334"/>
      <c r="M26" s="250">
        <f>SUM(O6:O17)</f>
        <v>0</v>
      </c>
      <c r="N26" s="248"/>
    </row>
    <row r="27" spans="1:17">
      <c r="A27" s="320">
        <f>IF(SUM(E6:E17)&gt;0,SUM(E6:E17) / A26,0)</f>
        <v>0</v>
      </c>
      <c r="B27" s="325" t="s">
        <v>30</v>
      </c>
      <c r="C27" s="332"/>
      <c r="D27" s="327"/>
      <c r="E27" s="328"/>
      <c r="F27" s="312"/>
      <c r="H27" s="333" t="s">
        <v>116</v>
      </c>
      <c r="I27" s="322"/>
      <c r="J27" s="334"/>
      <c r="K27" s="334"/>
      <c r="L27" s="334"/>
      <c r="M27" s="250">
        <f>A22+B_UrlaubNeu-M26</f>
        <v>30</v>
      </c>
      <c r="N27" s="248"/>
      <c r="O27" s="217"/>
    </row>
    <row r="28" spans="1:17">
      <c r="B28" s="219"/>
      <c r="L28" s="251"/>
    </row>
    <row r="29" spans="1:17">
      <c r="I29" s="252"/>
      <c r="J29" s="252"/>
      <c r="K29" s="252"/>
      <c r="L29" s="252"/>
      <c r="O29" s="253"/>
    </row>
    <row r="30" spans="1:17">
      <c r="K30" s="254"/>
      <c r="N30" s="255"/>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132</vt:i4>
      </vt:variant>
    </vt:vector>
  </HeadingPairs>
  <TitlesOfParts>
    <vt:vector size="143"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B_LunchTime</vt:lpstr>
      <vt:lpstr>B_OverTime</vt:lpstr>
      <vt:lpstr>B_PauseNach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Classic!xNoWorkTime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cp:lastModifiedBy>
  <cp:lastPrinted>2009-07-03T06:08:48Z</cp:lastPrinted>
  <dcterms:created xsi:type="dcterms:W3CDTF">1998-12-01T06:37:17Z</dcterms:created>
  <dcterms:modified xsi:type="dcterms:W3CDTF">2017-12-21T11:26:42Z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