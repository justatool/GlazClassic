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date1904="1" codeName="DieseArbeitsmappe"/>
  <mc:AlternateContent xmlns:mc="http://schemas.openxmlformats.org/markup-compatibility/2006">
    <mc:Choice Requires="x15">
      <x15ac:absPath xmlns:x15ac="http://schemas.microsoft.com/office/spreadsheetml/2010/11/ac" url="https://d.docs.live.net/c89853cd948112b7/Dokumente/Siemens/Glaz ab 2026/"/>
    </mc:Choice>
  </mc:AlternateContent>
  <xr:revisionPtr revIDLastSave="1521" documentId="13_ncr:1_{EF25E7D3-75DD-40E0-AF82-CA8F377EF10F}" xr6:coauthVersionLast="47" xr6:coauthVersionMax="47" xr10:uidLastSave="{A3160478-ECE1-42B4-A974-414ED1BD73DA}"/>
  <bookViews>
    <workbookView xWindow="-1950" yWindow="-20115" windowWidth="26535" windowHeight="15165" tabRatio="662" firstSheet="1" activeTab="4"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Einstellungen" sheetId="20" r:id="rId8"/>
    <sheet name="Feiertage" sheetId="25" r:id="rId9"/>
    <sheet name="Übersicht" sheetId="47" r:id="rId10"/>
  </sheets>
  <functionGroups builtInGroupCount="19"/>
  <definedNames>
    <definedName name="_xlnm._FilterDatabase" localSheetId="4" hidden="1">Arbeitszeit!$A$4:$BC$373</definedName>
    <definedName name="_xlnm._FilterDatabase" localSheetId="3" hidden="1">Aufgaben!$A$3:$DI$372</definedName>
    <definedName name="_xlnm._FilterDatabase" localSheetId="6" hidden="1">AufgabenM!$A$3:$S$56</definedName>
    <definedName name="_xlnm._FilterDatabase" localSheetId="0" hidden="1">Classic!$A$4:$W$35</definedName>
    <definedName name="_xlnm._FilterDatabase" localSheetId="9" hidden="1">Übersicht!$A$4:$O$17</definedName>
    <definedName name="A_Aufgaben">Aufgaben!$G$5:'Aufgaben'!$DG$371</definedName>
    <definedName name="A_Aufgabendatum">Transport!$C$5</definedName>
    <definedName name="A_Aufgabenende">Transport!$C$63</definedName>
    <definedName name="A_Endedatum">Transport!$C$65</definedName>
    <definedName name="A_Monatsende">Transport!$C$4</definedName>
    <definedName name="Arbeitszeit">Einstellungen!$L$3:$L$9</definedName>
    <definedName name="B_Arbeitsort">Einstellungen!$F$13:$F$16</definedName>
    <definedName name="b_Arbeitsort_index">Arbeitszeit!$BB$5:$BB$373</definedName>
    <definedName name="B_Department" localSheetId="6">Einstellungen!$D$4</definedName>
    <definedName name="B_Department">Einstellungen!$D$4</definedName>
    <definedName name="B_MarkIstueberlauf">Einstellungen!$D$14</definedName>
    <definedName name="B_OverTime">Einstellungen!$D$13</definedName>
    <definedName name="B_Pause1Dauer">Einstellungen!$D$9</definedName>
    <definedName name="B_Pause1Nach">Einstellungen!$D$8</definedName>
    <definedName name="B_Pause2Dauer">Einstellungen!$D$11</definedName>
    <definedName name="B_Pause2Nach">Einstellungen!$D$10</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Einstellungen!$D$12</definedName>
    <definedName name="B_WorkTime">Einstellungen!$D$6</definedName>
    <definedName name="B_WorkTimeMax">Einstellungen!$D$7</definedName>
    <definedName name="B_Year">Einstellungen!$D$17</definedName>
    <definedName name="db_Aufgaben">Aufgaben!$G$3:$DI$372</definedName>
    <definedName name="db_Aufgaben_Zeit">Aufgaben!$A$5:$A$372</definedName>
    <definedName name="db_AufgabenGes">Aufgaben!$A$3:$DI$373</definedName>
    <definedName name="db_Feiertag">Feiertage!$B$3:$C$17</definedName>
    <definedName name="db_Ferien">Feiertage!#REF!</definedName>
    <definedName name="db_JAbwesend">Arbeitszeit!$S$5:$S$373</definedName>
    <definedName name="db_JAbzug">Arbeitszeit!$X$5:$X$373</definedName>
    <definedName name="db_JAbzugAuto">Arbeitszeit!$T$5:$T$373</definedName>
    <definedName name="db_JAbzugBer">Arbeitszeit!$U$5:$U$373</definedName>
    <definedName name="db_Jahr">Arbeitszeit!$A$4:$AV$373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Arbeitszeit!$AF$5:$AF$373</definedName>
    <definedName name="db_jOverMax">Arbeitszeit!$AD$6:$AD$373</definedName>
    <definedName name="db_JOverVorgabe">Arbeitszeit!$AC$5:$AC$373</definedName>
    <definedName name="db_jSaldoGes">Arbeitszeit!$AE$6:$AE$373</definedName>
    <definedName name="db_jSumOverMax">Arbeitszeit!$AN$6:$AN$373</definedName>
    <definedName name="db_jUrlRest">Arbeitszeit!$AS$6:$AS$373</definedName>
    <definedName name="db_jZeit">Arbeitszeit!$A$6:$A$373</definedName>
    <definedName name="db_jZeitMonat">Arbeitszeit!$D$6:$D$373</definedName>
    <definedName name="db_ZeitTTMMM">#REF!</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Einstellungen!$J$18:$S$70</definedName>
    <definedName name="g_NameAufgaben">Einstellungen!$J$18:$J$70</definedName>
    <definedName name="Gleittag">"G"</definedName>
    <definedName name="gSP_Abzug">COLUMN(Arbeitszeit!$X$4)-COLUMN(db_Jahr)+1</definedName>
    <definedName name="gSP_G_Kennung">COLUMN(Arbeitszeit!$F$4)-COLUMN(db_Jahr)+1</definedName>
    <definedName name="gSP_Geh1">COLUMN(db_JGeh1)-COLUMN(db_Jahr)+1</definedName>
    <definedName name="gSP_Geh2">COLUMN(db_JGeh2)-COLUMN(db_Jahr)+1</definedName>
    <definedName name="gSP_Ist">COLUMN(Arbeitszeit!$V$4)-COLUMN(db_Jahr)+1</definedName>
    <definedName name="gSP_KalTyp">COLUMN(Arbeitszeit!$AV$4)-COLUMN(db_Jahr)+1</definedName>
    <definedName name="gSP_KalZeit">COLUMN(Arbeitszeit!$AU$4)-COLUMN(db_Jahr)+1</definedName>
    <definedName name="gSP_Kom1">COLUMN(db_JKomm1)-COLUMN(db_Jahr)+1</definedName>
    <definedName name="gSP_Kom2">COLUMN(db_JKomm2)-COLUMN(db_Jahr)+1</definedName>
    <definedName name="gSP_Korr">COLUMN(Arbeitszeit!$AF$4)-COLUMN(db_Jahr)+1</definedName>
    <definedName name="gSP_MaxOvertime">COLUMN(Arbeitszeit!$AD$4)-COLUMN(db_Jahr)+1</definedName>
    <definedName name="gSP_SaldoGes">COLUMN(db_jSaldoGes)-COLUMN(db_Jahr)+1</definedName>
    <definedName name="gSP_Soll">COLUMN(Arbeitszeit!$Y$4)-COLUMN(db_Jahr)+1</definedName>
    <definedName name="gSP_UrlR">COLUMN(Arbeitszeit!$AS$4)-COLUMN(db_Jahr)+1</definedName>
    <definedName name="gSP_V_Overtime">COLUMN(Arbeitszeit!$AC$4)-COLUMN(db_Jahr)+1</definedName>
    <definedName name="gSP_V_Soll">COLUMN(Arbeitszeit!$Z$4)-COLUMN(db_Jahr)+1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Arbeitszeit!$AA$6:$AA$373</definedName>
    <definedName name="R_ArbMax">Arbeitszeit!$AD$6:$AD$373</definedName>
    <definedName name="R_Ist">Arbeitszeit!$V$6:$V$373</definedName>
    <definedName name="R_Kalender">Kalender!$B$3:$Y$33</definedName>
    <definedName name="R_Korrekt">Arbeitszeit!$AF$6:$AF$373</definedName>
    <definedName name="R_Krank">Arbeitszeit!$AQ$6:$AQ$373</definedName>
    <definedName name="R_Monat">Arbeitszeit!$D$6:$D$373</definedName>
    <definedName name="R_Soll">Arbeitszeit!$Y$6:$Y$373</definedName>
    <definedName name="R_Urlaub">Arbeitszeit!$AR$6:$AR$373</definedName>
    <definedName name="Urlaub">"U"</definedName>
    <definedName name="xArbeitstag">Aufgaben!$DJ$5:$DJ$372</definedName>
    <definedName name="xcboValues">#REF!</definedName>
    <definedName name="XcurveBasis" localSheetId="4">Arbeitszeit!$AJ$6:$AJ$373</definedName>
    <definedName name="XcurveBasis" localSheetId="0">Classic!$S$5:$S$35</definedName>
    <definedName name="XcurveBasis" localSheetId="9">Übersicht!$G$6:$G$17</definedName>
    <definedName name="XcurveDiffMinus" localSheetId="4">Arbeitszeit!$AL$6:$AL$373</definedName>
    <definedName name="XcurveDiffMinus" localSheetId="0">Classic!$U$5:$U$35</definedName>
    <definedName name="XcurveDiffMinus" localSheetId="9">Übersicht!$I$6:$I$17</definedName>
    <definedName name="XcurveDiffOver" localSheetId="4">Arbeitszeit!$AD$6:$AD$373</definedName>
    <definedName name="XcurveDiffOver" localSheetId="0">Classic!$R$5:$R$35</definedName>
    <definedName name="XcurveDiffOver" localSheetId="9">Übersicht!$J$6:$J$17</definedName>
    <definedName name="XcurveDiffPlus" localSheetId="4">Arbeitszeit!$AK$6:$AK$373</definedName>
    <definedName name="XcurveDiffPlus" localSheetId="0">Classic!$T$5:$T$35</definedName>
    <definedName name="XcurveDiffPlus" localSheetId="9">Übersicht!$H$6:$H$17</definedName>
    <definedName name="xCurveHeader">#REF!</definedName>
    <definedName name="xCurveValue">#REF!</definedName>
    <definedName name="xDay" localSheetId="4">Arbeitszeit!$AM$6:$AM$36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7">Einstellungen!$B$2</definedName>
    <definedName name="xFilename" localSheetId="9">Übersicht!$A$2</definedName>
    <definedName name="xJahr" localSheetId="4">Arbeitszeit!$A$3</definedName>
    <definedName name="xJahr" localSheetId="9">Übersicht!$A$3</definedName>
    <definedName name="xJahrEnd" localSheetId="4">Arbeitszeit!$C$3</definedName>
    <definedName name="xNoWorkTime" localSheetId="4">Arbeitszeit!$X$3</definedName>
    <definedName name="xOverTime" localSheetId="4">Arbeitszeit!$AC$3</definedName>
    <definedName name="xOverTime" localSheetId="0">Classic!$O$3</definedName>
    <definedName name="XPauseNach">Arbeitszeit!$T$3</definedName>
    <definedName name="xResturlaub" localSheetId="4">Arbeitszeit!$V$382</definedName>
    <definedName name="xResturlaub" localSheetId="0">Classic!$J$43</definedName>
    <definedName name="xResturlaub" localSheetId="7">Einstellungen!$H$5</definedName>
    <definedName name="xSaldo" localSheetId="4">Arbeitszeit!$V$380</definedName>
    <definedName name="xSaldo" localSheetId="0">Classic!$J$41</definedName>
    <definedName name="xSaldo" localSheetId="7">Einstellungen!$H$8</definedName>
    <definedName name="xStart" localSheetId="0">Classic!$A$3</definedName>
    <definedName name="xUrlaubVJRest" localSheetId="4">Arbeitszeit!$A$378</definedName>
    <definedName name="xVorjahrSaldo" localSheetId="4">Arbeitszeit!$A$377</definedName>
    <definedName name="XWorkTimeMax" localSheetId="4">Arbeitszeit!$AD$3</definedName>
    <definedName name="XWorkTimeMax" localSheetId="0">Classic!$R$3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2" i="38" l="1"/>
  <c r="B7" i="25"/>
  <c r="B6" i="25"/>
  <c r="B5" i="25"/>
  <c r="B4" i="25"/>
  <c r="I27" i="38" l="1"/>
  <c r="J27" i="38" s="1"/>
  <c r="L27" i="38"/>
  <c r="I28" i="38"/>
  <c r="J28" i="38" s="1"/>
  <c r="L28" i="38"/>
  <c r="I20" i="38"/>
  <c r="I21" i="38"/>
  <c r="I22" i="38"/>
  <c r="I23" i="38"/>
  <c r="V381" i="38"/>
  <c r="A50" i="49"/>
  <c r="A51" i="49"/>
  <c r="A52" i="49"/>
  <c r="A53" i="49"/>
  <c r="A54" i="49"/>
  <c r="A55" i="49"/>
  <c r="A56" i="49"/>
  <c r="I350" i="38"/>
  <c r="B120" i="50" l="1"/>
  <c r="A120"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S49" i="49"/>
  <c r="D49" i="49"/>
  <c r="A49" i="49"/>
  <c r="S48" i="49"/>
  <c r="D48" i="49"/>
  <c r="A48" i="49"/>
  <c r="S47" i="49"/>
  <c r="D47" i="49"/>
  <c r="A47" i="49"/>
  <c r="S46" i="49"/>
  <c r="D46" i="49"/>
  <c r="A46" i="49"/>
  <c r="S45" i="49"/>
  <c r="D45" i="49"/>
  <c r="A45" i="49"/>
  <c r="S44" i="49"/>
  <c r="D44" i="49"/>
  <c r="A44" i="49"/>
  <c r="S43" i="49"/>
  <c r="D43" i="49"/>
  <c r="A43" i="49"/>
  <c r="S42" i="49"/>
  <c r="D42" i="49"/>
  <c r="A42" i="49"/>
  <c r="S41" i="49"/>
  <c r="D41" i="49"/>
  <c r="A41" i="49"/>
  <c r="S40" i="49"/>
  <c r="D40" i="49"/>
  <c r="A40" i="49"/>
  <c r="S39" i="49"/>
  <c r="D39" i="49"/>
  <c r="A39" i="49"/>
  <c r="S38" i="49"/>
  <c r="D38" i="49"/>
  <c r="A38" i="49"/>
  <c r="S37" i="49"/>
  <c r="D37" i="49"/>
  <c r="A37" i="49"/>
  <c r="S36" i="49"/>
  <c r="D36" i="49"/>
  <c r="A36" i="49"/>
  <c r="S35" i="49"/>
  <c r="D35" i="49"/>
  <c r="A35" i="49"/>
  <c r="S34" i="49"/>
  <c r="D34" i="49"/>
  <c r="A34" i="49"/>
  <c r="S33" i="49"/>
  <c r="D33" i="49"/>
  <c r="A33" i="49"/>
  <c r="S32" i="49"/>
  <c r="D32" i="49"/>
  <c r="A32" i="49"/>
  <c r="S31" i="49"/>
  <c r="D31" i="49"/>
  <c r="A31" i="49"/>
  <c r="S30" i="49"/>
  <c r="D30" i="49"/>
  <c r="A30" i="49"/>
  <c r="S29" i="49"/>
  <c r="D29" i="49"/>
  <c r="A29" i="49"/>
  <c r="S28" i="49"/>
  <c r="D28" i="49"/>
  <c r="A28" i="49"/>
  <c r="S27" i="49"/>
  <c r="D27" i="49"/>
  <c r="A27" i="49"/>
  <c r="S26" i="49"/>
  <c r="D26" i="49"/>
  <c r="A26" i="49"/>
  <c r="S25" i="49"/>
  <c r="D25" i="49"/>
  <c r="A25" i="49"/>
  <c r="CH374" i="7"/>
  <c r="CI374" i="7"/>
  <c r="CJ374" i="7"/>
  <c r="CK374" i="7"/>
  <c r="CL374" i="7"/>
  <c r="CM374" i="7"/>
  <c r="CN374" i="7"/>
  <c r="CO374" i="7"/>
  <c r="CP374" i="7"/>
  <c r="CQ374" i="7"/>
  <c r="CR374" i="7"/>
  <c r="CS374" i="7"/>
  <c r="CT374" i="7"/>
  <c r="CU374" i="7"/>
  <c r="CV374" i="7"/>
  <c r="CW374" i="7"/>
  <c r="CX374" i="7"/>
  <c r="CY374" i="7"/>
  <c r="CZ374" i="7"/>
  <c r="DA374" i="7"/>
  <c r="DB374" i="7"/>
  <c r="DC374" i="7"/>
  <c r="DD374" i="7"/>
  <c r="DE374" i="7"/>
  <c r="DF374" i="7"/>
  <c r="DG374" i="7"/>
  <c r="BL374" i="7"/>
  <c r="BM374" i="7"/>
  <c r="BN374" i="7"/>
  <c r="BO374" i="7"/>
  <c r="BP374" i="7"/>
  <c r="BQ374" i="7"/>
  <c r="BR374" i="7"/>
  <c r="BS374" i="7"/>
  <c r="BT374" i="7"/>
  <c r="BU374" i="7"/>
  <c r="BV374" i="7"/>
  <c r="BW374" i="7"/>
  <c r="BX374" i="7"/>
  <c r="BY374" i="7"/>
  <c r="BZ374" i="7"/>
  <c r="CA374" i="7"/>
  <c r="CB374" i="7"/>
  <c r="CC374" i="7"/>
  <c r="CD374" i="7"/>
  <c r="CE374" i="7"/>
  <c r="CF374" i="7"/>
  <c r="CG374" i="7"/>
  <c r="AX374" i="7"/>
  <c r="AY374" i="7"/>
  <c r="AZ374" i="7"/>
  <c r="BA374" i="7"/>
  <c r="BB374" i="7"/>
  <c r="BC374" i="7"/>
  <c r="BD374" i="7"/>
  <c r="BE374" i="7"/>
  <c r="BF374" i="7"/>
  <c r="BG374" i="7"/>
  <c r="BH374" i="7"/>
  <c r="BI374" i="7"/>
  <c r="BJ374" i="7"/>
  <c r="BK374" i="7"/>
  <c r="DG2" i="7"/>
  <c r="DE2" i="7"/>
  <c r="DC2" i="7"/>
  <c r="DA2" i="7"/>
  <c r="CY2" i="7"/>
  <c r="CW2" i="7"/>
  <c r="CU2" i="7"/>
  <c r="CS2" i="7"/>
  <c r="CQ2" i="7"/>
  <c r="CO2" i="7"/>
  <c r="CM2" i="7"/>
  <c r="CK2" i="7"/>
  <c r="CI2" i="7"/>
  <c r="CG2" i="7"/>
  <c r="CE2" i="7"/>
  <c r="AY1" i="7"/>
  <c r="AY3" i="7" s="1"/>
  <c r="AZ3" i="7" s="1"/>
  <c r="CC2" i="7"/>
  <c r="CA2" i="7"/>
  <c r="BY2" i="7"/>
  <c r="BW2" i="7"/>
  <c r="BU2" i="7"/>
  <c r="BS2" i="7"/>
  <c r="BQ2" i="7"/>
  <c r="BO2" i="7"/>
  <c r="BM2" i="7"/>
  <c r="BK2" i="7"/>
  <c r="BI2" i="7"/>
  <c r="BG2" i="7"/>
  <c r="BE2" i="7"/>
  <c r="BC2" i="7"/>
  <c r="BA2" i="7"/>
  <c r="AY2" i="7"/>
  <c r="C397" i="38"/>
  <c r="C396" i="38"/>
  <c r="C395" i="38"/>
  <c r="F395" i="38" s="1"/>
  <c r="C394" i="38"/>
  <c r="F394" i="38" s="1"/>
  <c r="BB22" i="38"/>
  <c r="BB23" i="38"/>
  <c r="BB24" i="38"/>
  <c r="BB25" i="38"/>
  <c r="BB26" i="38"/>
  <c r="BB27" i="38"/>
  <c r="BB28" i="38"/>
  <c r="BB29" i="38"/>
  <c r="BB30" i="38"/>
  <c r="BB31" i="38"/>
  <c r="BB32" i="38"/>
  <c r="BB33" i="38"/>
  <c r="BB34" i="38"/>
  <c r="BB35" i="38"/>
  <c r="BB36" i="38"/>
  <c r="BB37" i="38"/>
  <c r="BB38" i="38"/>
  <c r="BB39" i="38"/>
  <c r="BB40" i="38"/>
  <c r="BB41" i="38"/>
  <c r="BB42" i="38"/>
  <c r="BB43" i="38"/>
  <c r="BB44" i="38"/>
  <c r="BB45" i="38"/>
  <c r="BB46" i="38"/>
  <c r="BB47" i="38"/>
  <c r="BB48" i="38"/>
  <c r="BB49" i="38"/>
  <c r="BB50" i="38"/>
  <c r="BB51" i="38"/>
  <c r="BB52" i="38"/>
  <c r="BB53" i="38"/>
  <c r="BB54" i="38"/>
  <c r="BB55" i="38"/>
  <c r="BB56" i="38"/>
  <c r="BB57" i="38"/>
  <c r="BB58" i="38"/>
  <c r="BB59" i="38"/>
  <c r="BB60" i="38"/>
  <c r="BB61" i="38"/>
  <c r="BB62" i="38"/>
  <c r="BB63" i="38"/>
  <c r="BB64" i="38"/>
  <c r="BB65" i="38"/>
  <c r="BB66" i="38"/>
  <c r="BB67" i="38"/>
  <c r="BB68" i="38"/>
  <c r="BB69" i="38"/>
  <c r="BB70" i="38"/>
  <c r="BB71" i="38"/>
  <c r="BB72" i="38"/>
  <c r="BB73" i="38"/>
  <c r="BB74" i="38"/>
  <c r="BB75" i="38"/>
  <c r="BB76" i="38"/>
  <c r="BB77" i="38"/>
  <c r="BB78" i="38"/>
  <c r="BB79" i="38"/>
  <c r="BB80" i="38"/>
  <c r="BB81" i="38"/>
  <c r="BB82" i="38"/>
  <c r="BB83" i="38"/>
  <c r="BB84" i="38"/>
  <c r="BB85" i="38"/>
  <c r="BB86" i="38"/>
  <c r="BB87" i="38"/>
  <c r="BB88" i="38"/>
  <c r="BB89" i="38"/>
  <c r="BB90" i="38"/>
  <c r="BB91" i="38"/>
  <c r="BB92" i="38"/>
  <c r="BB93" i="38"/>
  <c r="BB94" i="38"/>
  <c r="BB95" i="38"/>
  <c r="BB96" i="38"/>
  <c r="BB97" i="38"/>
  <c r="BB98" i="38"/>
  <c r="BB99" i="38"/>
  <c r="BB100" i="38"/>
  <c r="BB101" i="38"/>
  <c r="BB102" i="38"/>
  <c r="BB103" i="38"/>
  <c r="BB104" i="38"/>
  <c r="BB105" i="38"/>
  <c r="BB106" i="38"/>
  <c r="BB107" i="38"/>
  <c r="BB108" i="38"/>
  <c r="BB109" i="38"/>
  <c r="BB110" i="38"/>
  <c r="BB111" i="38"/>
  <c r="BB112" i="38"/>
  <c r="BB113" i="38"/>
  <c r="BB114" i="38"/>
  <c r="BB115" i="38"/>
  <c r="BB116" i="38"/>
  <c r="BB117" i="38"/>
  <c r="BB118" i="38"/>
  <c r="BB119" i="38"/>
  <c r="BB120" i="38"/>
  <c r="BB121" i="38"/>
  <c r="BB122" i="38"/>
  <c r="BB123" i="38"/>
  <c r="BB124" i="38"/>
  <c r="BB125" i="38"/>
  <c r="BB126" i="38"/>
  <c r="BB127" i="38"/>
  <c r="BB128" i="38"/>
  <c r="BB129" i="38"/>
  <c r="BB130" i="38"/>
  <c r="BB131" i="38"/>
  <c r="BB132" i="38"/>
  <c r="BB133" i="38"/>
  <c r="BB134" i="38"/>
  <c r="BB135" i="38"/>
  <c r="BB136" i="38"/>
  <c r="BB137" i="38"/>
  <c r="BB138" i="38"/>
  <c r="BB139" i="38"/>
  <c r="BB140" i="38"/>
  <c r="BB141" i="38"/>
  <c r="BB142" i="38"/>
  <c r="BB143" i="38"/>
  <c r="BB144" i="38"/>
  <c r="BB145" i="38"/>
  <c r="BB146" i="38"/>
  <c r="BB147" i="38"/>
  <c r="BB148" i="38"/>
  <c r="BB149" i="38"/>
  <c r="BB150" i="38"/>
  <c r="BB151" i="38"/>
  <c r="BB152" i="38"/>
  <c r="BB153" i="38"/>
  <c r="BB154" i="38"/>
  <c r="BB155" i="38"/>
  <c r="BB156" i="38"/>
  <c r="BB157" i="38"/>
  <c r="BB158" i="38"/>
  <c r="BB159" i="38"/>
  <c r="BB160" i="38"/>
  <c r="BB161" i="38"/>
  <c r="BB162" i="38"/>
  <c r="BB163" i="38"/>
  <c r="BB164" i="38"/>
  <c r="BB165" i="38"/>
  <c r="BB166" i="38"/>
  <c r="BB167" i="38"/>
  <c r="BB168" i="38"/>
  <c r="BB169" i="38"/>
  <c r="BB170" i="38"/>
  <c r="BB171" i="38"/>
  <c r="BB172" i="38"/>
  <c r="BB173" i="38"/>
  <c r="BB174" i="38"/>
  <c r="BB175" i="38"/>
  <c r="BB176" i="38"/>
  <c r="BB177" i="38"/>
  <c r="BB178" i="38"/>
  <c r="BB179" i="38"/>
  <c r="BB180" i="38"/>
  <c r="BB181" i="38"/>
  <c r="BB182" i="38"/>
  <c r="BB183" i="38"/>
  <c r="BB184" i="38"/>
  <c r="BB185" i="38"/>
  <c r="BB186" i="38"/>
  <c r="BB187" i="38"/>
  <c r="BB188" i="38"/>
  <c r="BB189" i="38"/>
  <c r="BB190" i="38"/>
  <c r="BB191" i="38"/>
  <c r="BB192" i="38"/>
  <c r="BB193" i="38"/>
  <c r="BB194" i="38"/>
  <c r="BB195" i="38"/>
  <c r="BB196" i="38"/>
  <c r="BB197" i="38"/>
  <c r="BB198" i="38"/>
  <c r="BB199" i="38"/>
  <c r="BB200" i="38"/>
  <c r="BB201" i="38"/>
  <c r="BB202" i="38"/>
  <c r="BB203" i="38"/>
  <c r="BB204" i="38"/>
  <c r="BB205" i="38"/>
  <c r="BB206" i="38"/>
  <c r="BB207" i="38"/>
  <c r="BB208" i="38"/>
  <c r="BB209" i="38"/>
  <c r="BB210" i="38"/>
  <c r="BB211" i="38"/>
  <c r="BB212" i="38"/>
  <c r="BB213" i="38"/>
  <c r="BB214" i="38"/>
  <c r="BB215" i="38"/>
  <c r="BB216" i="38"/>
  <c r="BB217" i="38"/>
  <c r="BB218" i="38"/>
  <c r="BB219" i="38"/>
  <c r="BB220" i="38"/>
  <c r="BB221" i="38"/>
  <c r="BB222" i="38"/>
  <c r="BB223" i="38"/>
  <c r="BB224" i="38"/>
  <c r="BB225" i="38"/>
  <c r="BB226" i="38"/>
  <c r="BB227" i="38"/>
  <c r="BB228" i="38"/>
  <c r="BB229" i="38"/>
  <c r="BB230" i="38"/>
  <c r="BB231" i="38"/>
  <c r="BB232" i="38"/>
  <c r="BB233" i="38"/>
  <c r="BB234" i="38"/>
  <c r="BB235" i="38"/>
  <c r="BB236" i="38"/>
  <c r="BB237" i="38"/>
  <c r="BB238" i="38"/>
  <c r="BB239" i="38"/>
  <c r="BB240" i="38"/>
  <c r="BB241" i="38"/>
  <c r="BB242" i="38"/>
  <c r="BB243" i="38"/>
  <c r="BB244" i="38"/>
  <c r="BB245" i="38"/>
  <c r="BB246" i="38"/>
  <c r="BB247" i="38"/>
  <c r="BB248" i="38"/>
  <c r="BB249" i="38"/>
  <c r="BB250" i="38"/>
  <c r="BB251" i="38"/>
  <c r="BB252" i="38"/>
  <c r="BB253" i="38"/>
  <c r="BB254" i="38"/>
  <c r="BB255" i="38"/>
  <c r="BB256" i="38"/>
  <c r="BB257" i="38"/>
  <c r="BB258" i="38"/>
  <c r="BB259" i="38"/>
  <c r="BB260" i="38"/>
  <c r="BB261" i="38"/>
  <c r="BB262" i="38"/>
  <c r="BB263" i="38"/>
  <c r="BB264" i="38"/>
  <c r="BB265" i="38"/>
  <c r="BB266" i="38"/>
  <c r="BB267" i="38"/>
  <c r="BB268" i="38"/>
  <c r="BB269" i="38"/>
  <c r="BB270" i="38"/>
  <c r="BB271" i="38"/>
  <c r="BB272" i="38"/>
  <c r="BB273" i="38"/>
  <c r="BB274" i="38"/>
  <c r="BB275" i="38"/>
  <c r="BB276" i="38"/>
  <c r="BB277" i="38"/>
  <c r="BB278" i="38"/>
  <c r="BB279" i="38"/>
  <c r="BB280" i="38"/>
  <c r="BB281" i="38"/>
  <c r="BB282" i="38"/>
  <c r="BB283" i="38"/>
  <c r="BB284" i="38"/>
  <c r="BB285" i="38"/>
  <c r="BB286" i="38"/>
  <c r="BB287" i="38"/>
  <c r="BB288" i="38"/>
  <c r="BB289" i="38"/>
  <c r="BB290" i="38"/>
  <c r="BB291" i="38"/>
  <c r="BB292" i="38"/>
  <c r="BB293" i="38"/>
  <c r="BB294" i="38"/>
  <c r="BB295" i="38"/>
  <c r="BB296" i="38"/>
  <c r="BB297" i="38"/>
  <c r="BB298" i="38"/>
  <c r="BB299" i="38"/>
  <c r="BB300" i="38"/>
  <c r="BB301" i="38"/>
  <c r="BB302" i="38"/>
  <c r="BB303" i="38"/>
  <c r="BB304" i="38"/>
  <c r="BB305" i="38"/>
  <c r="BB306" i="38"/>
  <c r="BB307" i="38"/>
  <c r="BB308" i="38"/>
  <c r="BB309" i="38"/>
  <c r="BB310" i="38"/>
  <c r="BB311" i="38"/>
  <c r="BB312" i="38"/>
  <c r="BB313" i="38"/>
  <c r="BB314" i="38"/>
  <c r="BB315" i="38"/>
  <c r="BB316" i="38"/>
  <c r="BB317" i="38"/>
  <c r="BB318" i="38"/>
  <c r="BB319" i="38"/>
  <c r="BB320" i="38"/>
  <c r="BB321" i="38"/>
  <c r="BB322" i="38"/>
  <c r="BB323" i="38"/>
  <c r="BB324" i="38"/>
  <c r="BB325" i="38"/>
  <c r="BB326" i="38"/>
  <c r="BB327" i="38"/>
  <c r="BB328" i="38"/>
  <c r="BB329" i="38"/>
  <c r="BB330" i="38"/>
  <c r="BB331" i="38"/>
  <c r="BB332" i="38"/>
  <c r="BB333" i="38"/>
  <c r="BB334" i="38"/>
  <c r="BB335" i="38"/>
  <c r="BB336" i="38"/>
  <c r="BB337" i="38"/>
  <c r="BB338" i="38"/>
  <c r="BB339" i="38"/>
  <c r="BB340" i="38"/>
  <c r="BB341" i="38"/>
  <c r="BB342" i="38"/>
  <c r="BB343" i="38"/>
  <c r="BB344" i="38"/>
  <c r="BB345" i="38"/>
  <c r="BB346" i="38"/>
  <c r="BB347" i="38"/>
  <c r="BB348" i="38"/>
  <c r="BB349" i="38"/>
  <c r="BB350" i="38"/>
  <c r="BB351" i="38"/>
  <c r="BB352" i="38"/>
  <c r="BB353" i="38"/>
  <c r="BB354" i="38"/>
  <c r="BB355" i="38"/>
  <c r="BB356" i="38"/>
  <c r="BB357" i="38"/>
  <c r="BB358" i="38"/>
  <c r="BB359" i="38"/>
  <c r="BB360" i="38"/>
  <c r="BB361" i="38"/>
  <c r="BB362" i="38"/>
  <c r="BB363" i="38"/>
  <c r="BB364" i="38"/>
  <c r="BB365" i="38"/>
  <c r="BB366" i="38"/>
  <c r="BB367" i="38"/>
  <c r="BB368" i="38"/>
  <c r="BB369" i="38"/>
  <c r="BB370" i="38"/>
  <c r="BB371" i="38"/>
  <c r="BB372" i="38"/>
  <c r="BB373" i="38"/>
  <c r="BB5" i="38"/>
  <c r="BB6" i="38"/>
  <c r="BB7" i="38"/>
  <c r="BB8" i="38"/>
  <c r="BB9" i="38"/>
  <c r="BB10" i="38"/>
  <c r="BB11" i="38"/>
  <c r="BB12" i="38"/>
  <c r="BB13" i="38"/>
  <c r="BB14" i="38"/>
  <c r="BB15" i="38"/>
  <c r="BB21" i="38"/>
  <c r="BB20" i="38"/>
  <c r="BB16" i="38"/>
  <c r="BB17" i="38"/>
  <c r="BB18" i="38"/>
  <c r="BB19" i="38"/>
  <c r="T373" i="38"/>
  <c r="T372" i="38"/>
  <c r="T371" i="38"/>
  <c r="T370" i="38"/>
  <c r="T369" i="38"/>
  <c r="T368" i="38"/>
  <c r="T367" i="38"/>
  <c r="T366" i="38"/>
  <c r="T365" i="38"/>
  <c r="T364" i="38"/>
  <c r="T363" i="38"/>
  <c r="T361" i="38"/>
  <c r="T360" i="38"/>
  <c r="T359" i="38"/>
  <c r="T358" i="38"/>
  <c r="T357" i="38"/>
  <c r="T356" i="38"/>
  <c r="T355" i="38"/>
  <c r="T354" i="38"/>
  <c r="T353" i="38"/>
  <c r="T352" i="38"/>
  <c r="T351" i="38"/>
  <c r="T349" i="38"/>
  <c r="T348" i="38"/>
  <c r="T347" i="38"/>
  <c r="T346" i="38"/>
  <c r="T345" i="38"/>
  <c r="T344" i="38"/>
  <c r="T343" i="38"/>
  <c r="T342" i="38"/>
  <c r="T341" i="38"/>
  <c r="T340" i="38"/>
  <c r="T339" i="38"/>
  <c r="T338" i="38"/>
  <c r="T337" i="38"/>
  <c r="T336" i="38"/>
  <c r="T335" i="38"/>
  <c r="T334" i="38"/>
  <c r="T333" i="38"/>
  <c r="T332" i="38"/>
  <c r="T331" i="38"/>
  <c r="T330" i="38"/>
  <c r="T329" i="38"/>
  <c r="T328" i="38"/>
  <c r="T327" i="38"/>
  <c r="T326" i="38"/>
  <c r="T325" i="38"/>
  <c r="T324" i="38"/>
  <c r="T323" i="38"/>
  <c r="T322" i="38"/>
  <c r="T321" i="38"/>
  <c r="T320" i="38"/>
  <c r="T319" i="38"/>
  <c r="T318" i="38"/>
  <c r="T317" i="38"/>
  <c r="T316" i="38"/>
  <c r="T315" i="38"/>
  <c r="T314" i="38"/>
  <c r="T313" i="38"/>
  <c r="T312" i="38"/>
  <c r="T311" i="38"/>
  <c r="T310" i="38"/>
  <c r="T309" i="38"/>
  <c r="T308" i="38"/>
  <c r="T307" i="38"/>
  <c r="T306" i="38"/>
  <c r="T305" i="38"/>
  <c r="T304" i="38"/>
  <c r="T303" i="38"/>
  <c r="T302" i="38"/>
  <c r="T301" i="38"/>
  <c r="T300" i="38"/>
  <c r="T299" i="38"/>
  <c r="T298" i="38"/>
  <c r="T297" i="38"/>
  <c r="T296" i="38"/>
  <c r="T295" i="38"/>
  <c r="T294" i="38"/>
  <c r="T293" i="38"/>
  <c r="T292" i="38"/>
  <c r="T291" i="38"/>
  <c r="T290" i="38"/>
  <c r="T289" i="38"/>
  <c r="T288" i="38"/>
  <c r="T287" i="38"/>
  <c r="T286" i="38"/>
  <c r="T285" i="38"/>
  <c r="T284" i="38"/>
  <c r="T283" i="38"/>
  <c r="T282" i="38"/>
  <c r="T281" i="38"/>
  <c r="T280" i="38"/>
  <c r="T279" i="38"/>
  <c r="T278" i="38"/>
  <c r="T277" i="38"/>
  <c r="T276" i="38"/>
  <c r="T275" i="38"/>
  <c r="T274" i="38"/>
  <c r="T273" i="38"/>
  <c r="T272" i="38"/>
  <c r="T271" i="38"/>
  <c r="T270" i="38"/>
  <c r="T269" i="38"/>
  <c r="T268" i="38"/>
  <c r="T267" i="38"/>
  <c r="T266" i="38"/>
  <c r="T265" i="38"/>
  <c r="T264" i="38"/>
  <c r="T263" i="38"/>
  <c r="T262" i="38"/>
  <c r="T261" i="38"/>
  <c r="T260" i="38"/>
  <c r="T259" i="38"/>
  <c r="T258" i="38"/>
  <c r="T257" i="38"/>
  <c r="T256" i="38"/>
  <c r="T255" i="38"/>
  <c r="T254" i="38"/>
  <c r="T253" i="38"/>
  <c r="T252" i="38"/>
  <c r="T251" i="38"/>
  <c r="T250" i="38"/>
  <c r="T249" i="38"/>
  <c r="T248" i="38"/>
  <c r="T247" i="38"/>
  <c r="T246" i="38"/>
  <c r="T245" i="38"/>
  <c r="T244" i="38"/>
  <c r="T243" i="38"/>
  <c r="T242" i="38"/>
  <c r="T241" i="38"/>
  <c r="T240" i="38"/>
  <c r="T239" i="38"/>
  <c r="T238" i="38"/>
  <c r="T237" i="38"/>
  <c r="T236" i="38"/>
  <c r="T235" i="38"/>
  <c r="T234" i="38"/>
  <c r="T233" i="38"/>
  <c r="T232" i="38"/>
  <c r="T231" i="38"/>
  <c r="T230" i="38"/>
  <c r="T229" i="38"/>
  <c r="T228" i="38"/>
  <c r="T227" i="38"/>
  <c r="T226" i="38"/>
  <c r="T225" i="38"/>
  <c r="T224" i="38"/>
  <c r="T223" i="38"/>
  <c r="T222" i="38"/>
  <c r="T221" i="38"/>
  <c r="T220" i="38"/>
  <c r="T219" i="38"/>
  <c r="T218" i="38"/>
  <c r="T217" i="38"/>
  <c r="T216" i="38"/>
  <c r="T215" i="38"/>
  <c r="T214" i="38"/>
  <c r="T213" i="38"/>
  <c r="T212" i="38"/>
  <c r="T211" i="38"/>
  <c r="T210" i="38"/>
  <c r="T209" i="38"/>
  <c r="T208" i="38"/>
  <c r="T207" i="38"/>
  <c r="T206" i="38"/>
  <c r="T205" i="38"/>
  <c r="T204" i="38"/>
  <c r="T203" i="38"/>
  <c r="T202" i="38"/>
  <c r="T201" i="38"/>
  <c r="T200" i="38"/>
  <c r="T199" i="38"/>
  <c r="T198" i="38"/>
  <c r="T197" i="38"/>
  <c r="T196" i="38"/>
  <c r="T195" i="38"/>
  <c r="T194" i="38"/>
  <c r="T193" i="38"/>
  <c r="T192" i="38"/>
  <c r="T191" i="38"/>
  <c r="T190" i="38"/>
  <c r="T189" i="38"/>
  <c r="T188" i="38"/>
  <c r="T187" i="38"/>
  <c r="T186" i="38"/>
  <c r="T185" i="38"/>
  <c r="T184" i="38"/>
  <c r="T183" i="38"/>
  <c r="T182" i="38"/>
  <c r="T181" i="38"/>
  <c r="T180" i="38"/>
  <c r="T179" i="38"/>
  <c r="T178" i="38"/>
  <c r="T177" i="38"/>
  <c r="T176" i="38"/>
  <c r="T175" i="38"/>
  <c r="T174" i="38"/>
  <c r="T173" i="38"/>
  <c r="T172" i="38"/>
  <c r="T171" i="38"/>
  <c r="T170" i="38"/>
  <c r="T169" i="38"/>
  <c r="T168" i="38"/>
  <c r="T167" i="38"/>
  <c r="T166" i="38"/>
  <c r="T165" i="38"/>
  <c r="T164" i="38"/>
  <c r="T163" i="38"/>
  <c r="T162" i="38"/>
  <c r="T161" i="38"/>
  <c r="T160" i="38"/>
  <c r="T159" i="38"/>
  <c r="T158" i="38"/>
  <c r="T157" i="38"/>
  <c r="T156" i="38"/>
  <c r="T155" i="38"/>
  <c r="T154" i="38"/>
  <c r="T153" i="38"/>
  <c r="T152" i="38"/>
  <c r="T151" i="38"/>
  <c r="T150" i="38"/>
  <c r="T149" i="38"/>
  <c r="T148" i="38"/>
  <c r="T147" i="38"/>
  <c r="T146" i="38"/>
  <c r="T145" i="38"/>
  <c r="T144" i="38"/>
  <c r="T143" i="38"/>
  <c r="T142" i="38"/>
  <c r="T141" i="38"/>
  <c r="T140" i="38"/>
  <c r="T139" i="38"/>
  <c r="T138" i="38"/>
  <c r="T137" i="38"/>
  <c r="T136" i="38"/>
  <c r="T135" i="38"/>
  <c r="T134" i="38"/>
  <c r="T133" i="38"/>
  <c r="T132" i="38"/>
  <c r="T131" i="38"/>
  <c r="T130" i="38"/>
  <c r="T129" i="38"/>
  <c r="T128" i="38"/>
  <c r="T127" i="38"/>
  <c r="T126" i="38"/>
  <c r="T125" i="38"/>
  <c r="T124" i="38"/>
  <c r="T123" i="38"/>
  <c r="T122" i="38"/>
  <c r="T121" i="38"/>
  <c r="T120" i="38"/>
  <c r="T119" i="38"/>
  <c r="T118" i="38"/>
  <c r="T117" i="38"/>
  <c r="T116" i="38"/>
  <c r="T115" i="38"/>
  <c r="T114" i="38"/>
  <c r="T113" i="38"/>
  <c r="T112" i="38"/>
  <c r="T111" i="38"/>
  <c r="T110" i="38"/>
  <c r="T109" i="38"/>
  <c r="T108" i="38"/>
  <c r="T107" i="38"/>
  <c r="T106" i="38"/>
  <c r="T105" i="38"/>
  <c r="T104" i="38"/>
  <c r="T103" i="38"/>
  <c r="T102" i="38"/>
  <c r="T101" i="38"/>
  <c r="T100" i="38"/>
  <c r="T99" i="38"/>
  <c r="T98" i="38"/>
  <c r="T97" i="38"/>
  <c r="T96" i="38"/>
  <c r="T95" i="38"/>
  <c r="T94" i="38"/>
  <c r="T93" i="38"/>
  <c r="T92" i="38"/>
  <c r="T91" i="38"/>
  <c r="T90" i="38"/>
  <c r="T89" i="38"/>
  <c r="T88" i="38"/>
  <c r="T87" i="38"/>
  <c r="T86" i="38"/>
  <c r="T85" i="38"/>
  <c r="T84" i="38"/>
  <c r="T83" i="38"/>
  <c r="T82" i="38"/>
  <c r="T81" i="38"/>
  <c r="T80" i="38"/>
  <c r="T79" i="38"/>
  <c r="T78" i="38"/>
  <c r="T77" i="38"/>
  <c r="T76" i="38"/>
  <c r="T75" i="38"/>
  <c r="T74" i="38"/>
  <c r="T73" i="38"/>
  <c r="T72" i="38"/>
  <c r="T71" i="38"/>
  <c r="T70" i="38"/>
  <c r="T69" i="38"/>
  <c r="T68" i="38"/>
  <c r="T67" i="38"/>
  <c r="T66" i="38"/>
  <c r="T65" i="38"/>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6" i="38"/>
  <c r="T25" i="38"/>
  <c r="T24" i="38"/>
  <c r="T19" i="38"/>
  <c r="T18" i="38"/>
  <c r="T17" i="38"/>
  <c r="T15" i="38"/>
  <c r="T14" i="38"/>
  <c r="T13" i="38"/>
  <c r="T11" i="38"/>
  <c r="T10" i="38"/>
  <c r="T9" i="38"/>
  <c r="T6" i="38"/>
  <c r="I9" i="38"/>
  <c r="C390" i="38"/>
  <c r="A390" i="38" s="1"/>
  <c r="C389" i="38"/>
  <c r="A389" i="38" s="1"/>
  <c r="C388" i="38"/>
  <c r="A388" i="38" s="1"/>
  <c r="C387" i="38"/>
  <c r="A387" i="38" s="1"/>
  <c r="R4" i="47"/>
  <c r="Q4" i="47"/>
  <c r="P4" i="47"/>
  <c r="B28" i="50" l="1"/>
  <c r="B88" i="50" s="1"/>
  <c r="BA1" i="7"/>
  <c r="BB1" i="7" s="1"/>
  <c r="AZ1" i="7"/>
  <c r="A394" i="38" a="1"/>
  <c r="A394" i="38" s="1"/>
  <c r="A395" i="38" a="1"/>
  <c r="A395" i="38" s="1"/>
  <c r="F397" i="38"/>
  <c r="A397" i="38" s="1" a="1"/>
  <c r="A397" i="38" s="1"/>
  <c r="F396" i="38"/>
  <c r="A396" i="38" s="1" a="1"/>
  <c r="A396" i="38" s="1"/>
  <c r="I13" i="38"/>
  <c r="BA3" i="7" l="1"/>
  <c r="BC1" i="7"/>
  <c r="BD1" i="7" s="1"/>
  <c r="A398" i="38"/>
  <c r="B395" i="38" s="1"/>
  <c r="J13" i="38"/>
  <c r="AH13" i="38"/>
  <c r="BB3" i="7" l="1"/>
  <c r="B29" i="50"/>
  <c r="B89" i="50" s="1"/>
  <c r="BC3" i="7"/>
  <c r="BE1" i="7"/>
  <c r="BG1" i="7" s="1"/>
  <c r="B397" i="38"/>
  <c r="B396" i="38"/>
  <c r="B394" i="38"/>
  <c r="G6" i="38"/>
  <c r="I6" i="38"/>
  <c r="J6" i="38" s="1"/>
  <c r="L6" i="38"/>
  <c r="M6" i="38" s="1"/>
  <c r="O6" i="38"/>
  <c r="Q6" i="38" s="1"/>
  <c r="G7" i="38"/>
  <c r="L7" i="38"/>
  <c r="M7" i="38" s="1"/>
  <c r="O7" i="38"/>
  <c r="Q7" i="38" s="1"/>
  <c r="G8" i="38"/>
  <c r="L8" i="38"/>
  <c r="M8" i="38" s="1"/>
  <c r="O8" i="38"/>
  <c r="Q8" i="38" s="1"/>
  <c r="G9" i="38"/>
  <c r="L9" i="38"/>
  <c r="M9" i="38" s="1"/>
  <c r="O9" i="38"/>
  <c r="Q9" i="38" s="1"/>
  <c r="G10" i="38"/>
  <c r="I10" i="38"/>
  <c r="J10" i="38" s="1"/>
  <c r="L10" i="38"/>
  <c r="M10" i="38" s="1"/>
  <c r="O10" i="38"/>
  <c r="Q10" i="38" s="1"/>
  <c r="G11" i="38"/>
  <c r="I11" i="38"/>
  <c r="J11" i="38" s="1"/>
  <c r="L11" i="38"/>
  <c r="M11" i="38" s="1"/>
  <c r="O11" i="38"/>
  <c r="Q11" i="38" s="1"/>
  <c r="G12" i="38"/>
  <c r="L12" i="38"/>
  <c r="M12" i="38" s="1"/>
  <c r="O12" i="38"/>
  <c r="Q12" i="38" s="1"/>
  <c r="G13" i="38"/>
  <c r="L13" i="38"/>
  <c r="M13" i="38" s="1"/>
  <c r="O13" i="38"/>
  <c r="Q13" i="38" s="1"/>
  <c r="G14" i="38"/>
  <c r="L14" i="38"/>
  <c r="M14" i="38" s="1"/>
  <c r="O14" i="38"/>
  <c r="Q14" i="38" s="1"/>
  <c r="G15" i="38"/>
  <c r="I15" i="38"/>
  <c r="J15" i="38" s="1"/>
  <c r="L15" i="38"/>
  <c r="M15" i="38" s="1"/>
  <c r="O15" i="38"/>
  <c r="Q15" i="38" s="1"/>
  <c r="G16" i="38"/>
  <c r="L16" i="38"/>
  <c r="M16" i="38" s="1"/>
  <c r="O16" i="38"/>
  <c r="Q16" i="38" s="1"/>
  <c r="G17" i="38"/>
  <c r="L17" i="38"/>
  <c r="M17" i="38" s="1"/>
  <c r="O17" i="38"/>
  <c r="Q17" i="38" s="1"/>
  <c r="G18" i="38"/>
  <c r="L18" i="38"/>
  <c r="M18" i="38" s="1"/>
  <c r="O18" i="38"/>
  <c r="Q18" i="38" s="1"/>
  <c r="G19" i="38"/>
  <c r="L19" i="38"/>
  <c r="M19" i="38" s="1"/>
  <c r="O19" i="38"/>
  <c r="Q19" i="38" s="1"/>
  <c r="G20" i="38"/>
  <c r="L20" i="38"/>
  <c r="M20" i="38" s="1"/>
  <c r="O20" i="38"/>
  <c r="Q20" i="38" s="1"/>
  <c r="G21" i="38"/>
  <c r="L21" i="38"/>
  <c r="M21" i="38" s="1"/>
  <c r="O21" i="38"/>
  <c r="Q21" i="38" s="1"/>
  <c r="G22" i="38"/>
  <c r="L22" i="38"/>
  <c r="M22" i="38" s="1"/>
  <c r="O22" i="38"/>
  <c r="Q22" i="38" s="1"/>
  <c r="G23" i="38"/>
  <c r="L23" i="38"/>
  <c r="M23" i="38" s="1"/>
  <c r="O23" i="38"/>
  <c r="Q23" i="38" s="1"/>
  <c r="G24" i="38"/>
  <c r="I24" i="38"/>
  <c r="J24" i="38" s="1"/>
  <c r="L24" i="38"/>
  <c r="M24" i="38" s="1"/>
  <c r="O24" i="38"/>
  <c r="Q24" i="38" s="1"/>
  <c r="G25" i="38"/>
  <c r="I25" i="38"/>
  <c r="J25" i="38" s="1"/>
  <c r="L25" i="38"/>
  <c r="M25" i="38" s="1"/>
  <c r="O25" i="38"/>
  <c r="Q25" i="38" s="1"/>
  <c r="G26" i="38"/>
  <c r="I26" i="38"/>
  <c r="J26" i="38" s="1"/>
  <c r="L26" i="38"/>
  <c r="M26" i="38" s="1"/>
  <c r="O26" i="38"/>
  <c r="Q26" i="38" s="1"/>
  <c r="G27" i="38"/>
  <c r="O27" i="38"/>
  <c r="Q27" i="38" s="1"/>
  <c r="G28" i="38"/>
  <c r="O28" i="38"/>
  <c r="Q28" i="38" s="1"/>
  <c r="G29" i="38"/>
  <c r="I29" i="38"/>
  <c r="J29" i="38" s="1"/>
  <c r="L29" i="38"/>
  <c r="M29" i="38" s="1"/>
  <c r="O29" i="38"/>
  <c r="Q29" i="38" s="1"/>
  <c r="G30" i="38"/>
  <c r="I30" i="38"/>
  <c r="J30" i="38" s="1"/>
  <c r="L30" i="38"/>
  <c r="M30" i="38" s="1"/>
  <c r="O30" i="38"/>
  <c r="Q30" i="38" s="1"/>
  <c r="G31" i="38"/>
  <c r="I31" i="38"/>
  <c r="J31" i="38" s="1"/>
  <c r="L31" i="38"/>
  <c r="M31" i="38" s="1"/>
  <c r="O31" i="38"/>
  <c r="Q31" i="38" s="1"/>
  <c r="G32" i="38"/>
  <c r="I32" i="38"/>
  <c r="J32" i="38" s="1"/>
  <c r="L32" i="38"/>
  <c r="M32" i="38" s="1"/>
  <c r="O32" i="38"/>
  <c r="Q32" i="38" s="1"/>
  <c r="G33" i="38"/>
  <c r="I33" i="38"/>
  <c r="J33" i="38" s="1"/>
  <c r="L33" i="38"/>
  <c r="M33" i="38" s="1"/>
  <c r="O33" i="38"/>
  <c r="Q33" i="38" s="1"/>
  <c r="G34" i="38"/>
  <c r="I34" i="38"/>
  <c r="J34" i="38" s="1"/>
  <c r="L34" i="38"/>
  <c r="M34" i="38" s="1"/>
  <c r="O34" i="38"/>
  <c r="Q34" i="38" s="1"/>
  <c r="G35" i="38"/>
  <c r="I35" i="38"/>
  <c r="J35" i="38" s="1"/>
  <c r="L35" i="38"/>
  <c r="M35" i="38" s="1"/>
  <c r="O35" i="38"/>
  <c r="Q35" i="38" s="1"/>
  <c r="G36" i="38"/>
  <c r="I36" i="38"/>
  <c r="J36" i="38" s="1"/>
  <c r="L36" i="38"/>
  <c r="M36" i="38" s="1"/>
  <c r="O36" i="38"/>
  <c r="Q36" i="38" s="1"/>
  <c r="G37" i="38"/>
  <c r="I37" i="38"/>
  <c r="J37" i="38" s="1"/>
  <c r="L37" i="38"/>
  <c r="M37" i="38" s="1"/>
  <c r="O37" i="38"/>
  <c r="Q37" i="38" s="1"/>
  <c r="G38" i="38"/>
  <c r="I38" i="38"/>
  <c r="J38" i="38" s="1"/>
  <c r="L38" i="38"/>
  <c r="M38" i="38" s="1"/>
  <c r="O38" i="38"/>
  <c r="Q38" i="38" s="1"/>
  <c r="G39" i="38"/>
  <c r="I39" i="38"/>
  <c r="J39" i="38" s="1"/>
  <c r="L39" i="38"/>
  <c r="M39" i="38" s="1"/>
  <c r="O39" i="38"/>
  <c r="Q39" i="38" s="1"/>
  <c r="G40" i="38"/>
  <c r="I40" i="38"/>
  <c r="J40" i="38" s="1"/>
  <c r="L40" i="38"/>
  <c r="M40" i="38" s="1"/>
  <c r="O40" i="38"/>
  <c r="Q40" i="38" s="1"/>
  <c r="G41" i="38"/>
  <c r="I41" i="38"/>
  <c r="J41" i="38" s="1"/>
  <c r="L41" i="38"/>
  <c r="M41" i="38" s="1"/>
  <c r="O41" i="38"/>
  <c r="Q41" i="38" s="1"/>
  <c r="G42" i="38"/>
  <c r="I42" i="38"/>
  <c r="J42" i="38" s="1"/>
  <c r="L42" i="38"/>
  <c r="M42" i="38" s="1"/>
  <c r="O42" i="38"/>
  <c r="Q42" i="38" s="1"/>
  <c r="G43" i="38"/>
  <c r="I43" i="38"/>
  <c r="J43" i="38" s="1"/>
  <c r="L43" i="38"/>
  <c r="M43" i="38" s="1"/>
  <c r="O43" i="38"/>
  <c r="Q43" i="38" s="1"/>
  <c r="G44" i="38"/>
  <c r="I44" i="38"/>
  <c r="J44" i="38" s="1"/>
  <c r="L44" i="38"/>
  <c r="M44" i="38" s="1"/>
  <c r="O44" i="38"/>
  <c r="Q44" i="38" s="1"/>
  <c r="G45" i="38"/>
  <c r="I45" i="38"/>
  <c r="J45" i="38" s="1"/>
  <c r="L45" i="38"/>
  <c r="M45" i="38" s="1"/>
  <c r="O45" i="38"/>
  <c r="Q45" i="38" s="1"/>
  <c r="G46" i="38"/>
  <c r="I46" i="38"/>
  <c r="J46" i="38" s="1"/>
  <c r="L46" i="38"/>
  <c r="M46" i="38" s="1"/>
  <c r="O46" i="38"/>
  <c r="Q46" i="38" s="1"/>
  <c r="G47" i="38"/>
  <c r="I47" i="38"/>
  <c r="J47" i="38" s="1"/>
  <c r="L47" i="38"/>
  <c r="M47" i="38" s="1"/>
  <c r="O47" i="38"/>
  <c r="Q47" i="38" s="1"/>
  <c r="G48" i="38"/>
  <c r="I48" i="38"/>
  <c r="J48" i="38" s="1"/>
  <c r="L48" i="38"/>
  <c r="M48" i="38" s="1"/>
  <c r="O48" i="38"/>
  <c r="Q48" i="38" s="1"/>
  <c r="G49" i="38"/>
  <c r="I49" i="38"/>
  <c r="J49" i="38" s="1"/>
  <c r="L49" i="38"/>
  <c r="M49" i="38" s="1"/>
  <c r="O49" i="38"/>
  <c r="Q49" i="38" s="1"/>
  <c r="G50" i="38"/>
  <c r="I50" i="38"/>
  <c r="J50" i="38" s="1"/>
  <c r="L50" i="38"/>
  <c r="M50" i="38" s="1"/>
  <c r="O50" i="38"/>
  <c r="Q50" i="38" s="1"/>
  <c r="G51" i="38"/>
  <c r="I51" i="38"/>
  <c r="J51" i="38" s="1"/>
  <c r="L51" i="38"/>
  <c r="M51" i="38" s="1"/>
  <c r="O51" i="38"/>
  <c r="Q51" i="38" s="1"/>
  <c r="G52" i="38"/>
  <c r="I52" i="38"/>
  <c r="J52" i="38" s="1"/>
  <c r="L52" i="38"/>
  <c r="M52" i="38" s="1"/>
  <c r="O52" i="38"/>
  <c r="Q52" i="38" s="1"/>
  <c r="G53" i="38"/>
  <c r="I53" i="38"/>
  <c r="J53" i="38" s="1"/>
  <c r="L53" i="38"/>
  <c r="M53" i="38" s="1"/>
  <c r="O53" i="38"/>
  <c r="Q53" i="38" s="1"/>
  <c r="G54" i="38"/>
  <c r="I54" i="38"/>
  <c r="J54" i="38" s="1"/>
  <c r="L54" i="38"/>
  <c r="M54" i="38" s="1"/>
  <c r="O54" i="38"/>
  <c r="Q54" i="38" s="1"/>
  <c r="G55" i="38"/>
  <c r="I55" i="38"/>
  <c r="J55" i="38" s="1"/>
  <c r="L55" i="38"/>
  <c r="M55" i="38" s="1"/>
  <c r="O55" i="38"/>
  <c r="Q55" i="38" s="1"/>
  <c r="G56" i="38"/>
  <c r="I56" i="38"/>
  <c r="J56" i="38" s="1"/>
  <c r="L56" i="38"/>
  <c r="M56" i="38" s="1"/>
  <c r="O56" i="38"/>
  <c r="Q56" i="38" s="1"/>
  <c r="G57" i="38"/>
  <c r="I57" i="38"/>
  <c r="J57" i="38" s="1"/>
  <c r="L57" i="38"/>
  <c r="M57" i="38" s="1"/>
  <c r="O57" i="38"/>
  <c r="Q57" i="38" s="1"/>
  <c r="G58" i="38"/>
  <c r="I58" i="38"/>
  <c r="J58" i="38" s="1"/>
  <c r="L58" i="38"/>
  <c r="M58" i="38" s="1"/>
  <c r="O58" i="38"/>
  <c r="Q58" i="38" s="1"/>
  <c r="G59" i="38"/>
  <c r="I59" i="38"/>
  <c r="J59" i="38" s="1"/>
  <c r="L59" i="38"/>
  <c r="M59" i="38" s="1"/>
  <c r="O59" i="38"/>
  <c r="Q59" i="38" s="1"/>
  <c r="G60" i="38"/>
  <c r="I60" i="38"/>
  <c r="J60" i="38" s="1"/>
  <c r="L60" i="38"/>
  <c r="M60" i="38" s="1"/>
  <c r="O60" i="38"/>
  <c r="Q60" i="38" s="1"/>
  <c r="G61" i="38"/>
  <c r="I61" i="38"/>
  <c r="J61" i="38" s="1"/>
  <c r="L61" i="38"/>
  <c r="M61" i="38" s="1"/>
  <c r="O61" i="38"/>
  <c r="Q61" i="38" s="1"/>
  <c r="G62" i="38"/>
  <c r="I62" i="38"/>
  <c r="J62" i="38" s="1"/>
  <c r="L62" i="38"/>
  <c r="M62" i="38" s="1"/>
  <c r="O62" i="38"/>
  <c r="Q62" i="38" s="1"/>
  <c r="G63" i="38"/>
  <c r="I63" i="38"/>
  <c r="J63" i="38" s="1"/>
  <c r="L63" i="38"/>
  <c r="M63" i="38" s="1"/>
  <c r="O63" i="38"/>
  <c r="Q63" i="38" s="1"/>
  <c r="G64" i="38"/>
  <c r="I64" i="38"/>
  <c r="J64" i="38" s="1"/>
  <c r="L64" i="38"/>
  <c r="M64" i="38" s="1"/>
  <c r="O64" i="38"/>
  <c r="Q64" i="38" s="1"/>
  <c r="G65" i="38"/>
  <c r="I65" i="38"/>
  <c r="J65" i="38" s="1"/>
  <c r="L65" i="38"/>
  <c r="M65" i="38" s="1"/>
  <c r="O65" i="38"/>
  <c r="Q65" i="38" s="1"/>
  <c r="G66" i="38"/>
  <c r="I66" i="38"/>
  <c r="J66" i="38" s="1"/>
  <c r="L66" i="38"/>
  <c r="M66" i="38" s="1"/>
  <c r="O66" i="38"/>
  <c r="Q66" i="38" s="1"/>
  <c r="G67" i="38"/>
  <c r="I67" i="38"/>
  <c r="J67" i="38" s="1"/>
  <c r="L67" i="38"/>
  <c r="M67" i="38" s="1"/>
  <c r="O67" i="38"/>
  <c r="Q67" i="38" s="1"/>
  <c r="G68" i="38"/>
  <c r="I68" i="38"/>
  <c r="J68" i="38" s="1"/>
  <c r="L68" i="38"/>
  <c r="M68" i="38" s="1"/>
  <c r="O68" i="38"/>
  <c r="Q68" i="38" s="1"/>
  <c r="G69" i="38"/>
  <c r="I69" i="38"/>
  <c r="J69" i="38" s="1"/>
  <c r="L69" i="38"/>
  <c r="M69" i="38" s="1"/>
  <c r="O69" i="38"/>
  <c r="Q69" i="38" s="1"/>
  <c r="G70" i="38"/>
  <c r="I70" i="38"/>
  <c r="J70" i="38" s="1"/>
  <c r="L70" i="38"/>
  <c r="M70" i="38" s="1"/>
  <c r="O70" i="38"/>
  <c r="Q70" i="38" s="1"/>
  <c r="G71" i="38"/>
  <c r="I71" i="38"/>
  <c r="J71" i="38" s="1"/>
  <c r="L71" i="38"/>
  <c r="M71" i="38" s="1"/>
  <c r="O71" i="38"/>
  <c r="Q71" i="38" s="1"/>
  <c r="G72" i="38"/>
  <c r="I72" i="38"/>
  <c r="J72" i="38" s="1"/>
  <c r="L72" i="38"/>
  <c r="M72" i="38" s="1"/>
  <c r="O72" i="38"/>
  <c r="Q72" i="38" s="1"/>
  <c r="G73" i="38"/>
  <c r="I73" i="38"/>
  <c r="J73" i="38" s="1"/>
  <c r="L73" i="38"/>
  <c r="M73" i="38" s="1"/>
  <c r="O73" i="38"/>
  <c r="Q73" i="38" s="1"/>
  <c r="G74" i="38"/>
  <c r="I74" i="38"/>
  <c r="J74" i="38" s="1"/>
  <c r="L74" i="38"/>
  <c r="M74" i="38" s="1"/>
  <c r="O74" i="38"/>
  <c r="Q74" i="38" s="1"/>
  <c r="G75" i="38"/>
  <c r="I75" i="38"/>
  <c r="J75" i="38" s="1"/>
  <c r="L75" i="38"/>
  <c r="M75" i="38" s="1"/>
  <c r="O75" i="38"/>
  <c r="Q75" i="38" s="1"/>
  <c r="G76" i="38"/>
  <c r="I76" i="38"/>
  <c r="J76" i="38" s="1"/>
  <c r="L76" i="38"/>
  <c r="M76" i="38" s="1"/>
  <c r="O76" i="38"/>
  <c r="Q76" i="38" s="1"/>
  <c r="G77" i="38"/>
  <c r="I77" i="38"/>
  <c r="J77" i="38" s="1"/>
  <c r="L77" i="38"/>
  <c r="M77" i="38" s="1"/>
  <c r="O77" i="38"/>
  <c r="Q77" i="38" s="1"/>
  <c r="G78" i="38"/>
  <c r="I78" i="38"/>
  <c r="J78" i="38" s="1"/>
  <c r="L78" i="38"/>
  <c r="M78" i="38" s="1"/>
  <c r="O78" i="38"/>
  <c r="Q78" i="38" s="1"/>
  <c r="G79" i="38"/>
  <c r="I79" i="38"/>
  <c r="J79" i="38" s="1"/>
  <c r="L79" i="38"/>
  <c r="M79" i="38" s="1"/>
  <c r="O79" i="38"/>
  <c r="Q79" i="38" s="1"/>
  <c r="G80" i="38"/>
  <c r="I80" i="38"/>
  <c r="J80" i="38" s="1"/>
  <c r="L80" i="38"/>
  <c r="M80" i="38" s="1"/>
  <c r="O80" i="38"/>
  <c r="Q80" i="38" s="1"/>
  <c r="G81" i="38"/>
  <c r="I81" i="38"/>
  <c r="J81" i="38" s="1"/>
  <c r="L81" i="38"/>
  <c r="M81" i="38" s="1"/>
  <c r="O81" i="38"/>
  <c r="Q81" i="38" s="1"/>
  <c r="G82" i="38"/>
  <c r="I82" i="38"/>
  <c r="J82" i="38" s="1"/>
  <c r="L82" i="38"/>
  <c r="M82" i="38" s="1"/>
  <c r="O82" i="38"/>
  <c r="Q82" i="38" s="1"/>
  <c r="G83" i="38"/>
  <c r="I83" i="38"/>
  <c r="J83" i="38" s="1"/>
  <c r="L83" i="38"/>
  <c r="M83" i="38" s="1"/>
  <c r="O83" i="38"/>
  <c r="Q83" i="38" s="1"/>
  <c r="G84" i="38"/>
  <c r="I84" i="38"/>
  <c r="J84" i="38" s="1"/>
  <c r="L84" i="38"/>
  <c r="M84" i="38" s="1"/>
  <c r="O84" i="38"/>
  <c r="Q84" i="38" s="1"/>
  <c r="G85" i="38"/>
  <c r="I85" i="38"/>
  <c r="J85" i="38" s="1"/>
  <c r="L85" i="38"/>
  <c r="M85" i="38" s="1"/>
  <c r="O85" i="38"/>
  <c r="Q85" i="38" s="1"/>
  <c r="G86" i="38"/>
  <c r="I86" i="38"/>
  <c r="J86" i="38" s="1"/>
  <c r="L86" i="38"/>
  <c r="M86" i="38" s="1"/>
  <c r="O86" i="38"/>
  <c r="Q86" i="38" s="1"/>
  <c r="G87" i="38"/>
  <c r="I87" i="38"/>
  <c r="J87" i="38" s="1"/>
  <c r="L87" i="38"/>
  <c r="M87" i="38" s="1"/>
  <c r="O87" i="38"/>
  <c r="Q87" i="38" s="1"/>
  <c r="G88" i="38"/>
  <c r="I88" i="38"/>
  <c r="J88" i="38" s="1"/>
  <c r="L88" i="38"/>
  <c r="M88" i="38" s="1"/>
  <c r="O88" i="38"/>
  <c r="Q88" i="38" s="1"/>
  <c r="G89" i="38"/>
  <c r="I89" i="38"/>
  <c r="J89" i="38" s="1"/>
  <c r="L89" i="38"/>
  <c r="M89" i="38" s="1"/>
  <c r="O89" i="38"/>
  <c r="Q89" i="38" s="1"/>
  <c r="G90" i="38"/>
  <c r="I90" i="38"/>
  <c r="J90" i="38" s="1"/>
  <c r="L90" i="38"/>
  <c r="M90" i="38" s="1"/>
  <c r="O90" i="38"/>
  <c r="Q90" i="38" s="1"/>
  <c r="G91" i="38"/>
  <c r="I91" i="38"/>
  <c r="J91" i="38" s="1"/>
  <c r="L91" i="38"/>
  <c r="M91" i="38" s="1"/>
  <c r="O91" i="38"/>
  <c r="Q91" i="38" s="1"/>
  <c r="G92" i="38"/>
  <c r="I92" i="38"/>
  <c r="J92" i="38" s="1"/>
  <c r="L92" i="38"/>
  <c r="M92" i="38" s="1"/>
  <c r="O92" i="38"/>
  <c r="Q92" i="38" s="1"/>
  <c r="G93" i="38"/>
  <c r="I93" i="38"/>
  <c r="J93" i="38" s="1"/>
  <c r="L93" i="38"/>
  <c r="M93" i="38" s="1"/>
  <c r="O93" i="38"/>
  <c r="Q93" i="38" s="1"/>
  <c r="G94" i="38"/>
  <c r="I94" i="38"/>
  <c r="J94" i="38" s="1"/>
  <c r="L94" i="38"/>
  <c r="M94" i="38" s="1"/>
  <c r="O94" i="38"/>
  <c r="Q94" i="38" s="1"/>
  <c r="G95" i="38"/>
  <c r="I95" i="38"/>
  <c r="J95" i="38" s="1"/>
  <c r="L95" i="38"/>
  <c r="M95" i="38" s="1"/>
  <c r="O95" i="38"/>
  <c r="Q95" i="38" s="1"/>
  <c r="G96" i="38"/>
  <c r="I96" i="38"/>
  <c r="J96" i="38" s="1"/>
  <c r="L96" i="38"/>
  <c r="M96" i="38" s="1"/>
  <c r="O96" i="38"/>
  <c r="Q96" i="38" s="1"/>
  <c r="G97" i="38"/>
  <c r="I97" i="38"/>
  <c r="J97" i="38" s="1"/>
  <c r="L97" i="38"/>
  <c r="M97" i="38" s="1"/>
  <c r="O97" i="38"/>
  <c r="Q97" i="38" s="1"/>
  <c r="G98" i="38"/>
  <c r="I98" i="38"/>
  <c r="J98" i="38" s="1"/>
  <c r="L98" i="38"/>
  <c r="M98" i="38" s="1"/>
  <c r="O98" i="38"/>
  <c r="Q98" i="38" s="1"/>
  <c r="G99" i="38"/>
  <c r="I99" i="38"/>
  <c r="J99" i="38" s="1"/>
  <c r="L99" i="38"/>
  <c r="M99" i="38" s="1"/>
  <c r="O99" i="38"/>
  <c r="Q99" i="38" s="1"/>
  <c r="G100" i="38"/>
  <c r="I100" i="38"/>
  <c r="J100" i="38" s="1"/>
  <c r="L100" i="38"/>
  <c r="M100" i="38" s="1"/>
  <c r="O100" i="38"/>
  <c r="Q100" i="38" s="1"/>
  <c r="G101" i="38"/>
  <c r="I101" i="38"/>
  <c r="J101" i="38" s="1"/>
  <c r="L101" i="38"/>
  <c r="M101" i="38" s="1"/>
  <c r="O101" i="38"/>
  <c r="Q101" i="38" s="1"/>
  <c r="G102" i="38"/>
  <c r="I102" i="38"/>
  <c r="J102" i="38" s="1"/>
  <c r="L102" i="38"/>
  <c r="M102" i="38" s="1"/>
  <c r="O102" i="38"/>
  <c r="Q102" i="38" s="1"/>
  <c r="G103" i="38"/>
  <c r="I103" i="38"/>
  <c r="J103" i="38" s="1"/>
  <c r="L103" i="38"/>
  <c r="M103" i="38" s="1"/>
  <c r="O103" i="38"/>
  <c r="Q103" i="38" s="1"/>
  <c r="G104" i="38"/>
  <c r="I104" i="38"/>
  <c r="J104" i="38" s="1"/>
  <c r="L104" i="38"/>
  <c r="M104" i="38" s="1"/>
  <c r="O104" i="38"/>
  <c r="Q104" i="38" s="1"/>
  <c r="G105" i="38"/>
  <c r="I105" i="38"/>
  <c r="J105" i="38" s="1"/>
  <c r="L105" i="38"/>
  <c r="M105" i="38" s="1"/>
  <c r="O105" i="38"/>
  <c r="Q105" i="38" s="1"/>
  <c r="G106" i="38"/>
  <c r="I106" i="38"/>
  <c r="J106" i="38" s="1"/>
  <c r="L106" i="38"/>
  <c r="M106" i="38" s="1"/>
  <c r="O106" i="38"/>
  <c r="Q106" i="38" s="1"/>
  <c r="G107" i="38"/>
  <c r="I107" i="38"/>
  <c r="J107" i="38" s="1"/>
  <c r="L107" i="38"/>
  <c r="M107" i="38" s="1"/>
  <c r="O107" i="38"/>
  <c r="Q107" i="38" s="1"/>
  <c r="G108" i="38"/>
  <c r="I108" i="38"/>
  <c r="J108" i="38" s="1"/>
  <c r="L108" i="38"/>
  <c r="M108" i="38" s="1"/>
  <c r="O108" i="38"/>
  <c r="Q108" i="38" s="1"/>
  <c r="G109" i="38"/>
  <c r="I109" i="38"/>
  <c r="J109" i="38" s="1"/>
  <c r="L109" i="38"/>
  <c r="M109" i="38" s="1"/>
  <c r="O109" i="38"/>
  <c r="Q109" i="38" s="1"/>
  <c r="G110" i="38"/>
  <c r="I110" i="38"/>
  <c r="J110" i="38" s="1"/>
  <c r="L110" i="38"/>
  <c r="M110" i="38" s="1"/>
  <c r="O110" i="38"/>
  <c r="Q110" i="38" s="1"/>
  <c r="G111" i="38"/>
  <c r="I111" i="38"/>
  <c r="J111" i="38" s="1"/>
  <c r="L111" i="38"/>
  <c r="M111" i="38" s="1"/>
  <c r="O111" i="38"/>
  <c r="Q111" i="38" s="1"/>
  <c r="G112" i="38"/>
  <c r="I112" i="38"/>
  <c r="J112" i="38" s="1"/>
  <c r="L112" i="38"/>
  <c r="M112" i="38" s="1"/>
  <c r="O112" i="38"/>
  <c r="Q112" i="38" s="1"/>
  <c r="G113" i="38"/>
  <c r="I113" i="38"/>
  <c r="J113" i="38" s="1"/>
  <c r="L113" i="38"/>
  <c r="M113" i="38" s="1"/>
  <c r="O113" i="38"/>
  <c r="Q113" i="38" s="1"/>
  <c r="G114" i="38"/>
  <c r="I114" i="38"/>
  <c r="J114" i="38" s="1"/>
  <c r="L114" i="38"/>
  <c r="M114" i="38" s="1"/>
  <c r="O114" i="38"/>
  <c r="Q114" i="38" s="1"/>
  <c r="G115" i="38"/>
  <c r="I115" i="38"/>
  <c r="J115" i="38" s="1"/>
  <c r="L115" i="38"/>
  <c r="M115" i="38" s="1"/>
  <c r="O115" i="38"/>
  <c r="Q115" i="38" s="1"/>
  <c r="G116" i="38"/>
  <c r="I116" i="38"/>
  <c r="J116" i="38" s="1"/>
  <c r="L116" i="38"/>
  <c r="M116" i="38" s="1"/>
  <c r="O116" i="38"/>
  <c r="Q116" i="38" s="1"/>
  <c r="G117" i="38"/>
  <c r="I117" i="38"/>
  <c r="J117" i="38" s="1"/>
  <c r="L117" i="38"/>
  <c r="M117" i="38" s="1"/>
  <c r="O117" i="38"/>
  <c r="Q117" i="38" s="1"/>
  <c r="G118" i="38"/>
  <c r="I118" i="38"/>
  <c r="J118" i="38" s="1"/>
  <c r="L118" i="38"/>
  <c r="M118" i="38" s="1"/>
  <c r="O118" i="38"/>
  <c r="Q118" i="38" s="1"/>
  <c r="G119" i="38"/>
  <c r="I119" i="38"/>
  <c r="J119" i="38" s="1"/>
  <c r="L119" i="38"/>
  <c r="M119" i="38" s="1"/>
  <c r="O119" i="38"/>
  <c r="Q119" i="38" s="1"/>
  <c r="G120" i="38"/>
  <c r="I120" i="38"/>
  <c r="J120" i="38" s="1"/>
  <c r="L120" i="38"/>
  <c r="M120" i="38" s="1"/>
  <c r="O120" i="38"/>
  <c r="Q120" i="38" s="1"/>
  <c r="G121" i="38"/>
  <c r="I121" i="38"/>
  <c r="J121" i="38" s="1"/>
  <c r="L121" i="38"/>
  <c r="M121" i="38" s="1"/>
  <c r="O121" i="38"/>
  <c r="Q121" i="38" s="1"/>
  <c r="G122" i="38"/>
  <c r="I122" i="38"/>
  <c r="J122" i="38" s="1"/>
  <c r="L122" i="38"/>
  <c r="M122" i="38" s="1"/>
  <c r="O122" i="38"/>
  <c r="Q122" i="38" s="1"/>
  <c r="G123" i="38"/>
  <c r="I123" i="38"/>
  <c r="J123" i="38" s="1"/>
  <c r="L123" i="38"/>
  <c r="M123" i="38" s="1"/>
  <c r="O123" i="38"/>
  <c r="Q123" i="38" s="1"/>
  <c r="G124" i="38"/>
  <c r="I124" i="38"/>
  <c r="J124" i="38" s="1"/>
  <c r="L124" i="38"/>
  <c r="M124" i="38" s="1"/>
  <c r="O124" i="38"/>
  <c r="Q124" i="38" s="1"/>
  <c r="G125" i="38"/>
  <c r="I125" i="38"/>
  <c r="J125" i="38" s="1"/>
  <c r="L125" i="38"/>
  <c r="M125" i="38" s="1"/>
  <c r="O125" i="38"/>
  <c r="Q125" i="38" s="1"/>
  <c r="G126" i="38"/>
  <c r="I126" i="38"/>
  <c r="J126" i="38" s="1"/>
  <c r="L126" i="38"/>
  <c r="M126" i="38" s="1"/>
  <c r="O126" i="38"/>
  <c r="Q126" i="38" s="1"/>
  <c r="G127" i="38"/>
  <c r="I127" i="38"/>
  <c r="J127" i="38" s="1"/>
  <c r="L127" i="38"/>
  <c r="M127" i="38" s="1"/>
  <c r="O127" i="38"/>
  <c r="Q127" i="38" s="1"/>
  <c r="G128" i="38"/>
  <c r="I128" i="38"/>
  <c r="J128" i="38" s="1"/>
  <c r="L128" i="38"/>
  <c r="M128" i="38" s="1"/>
  <c r="O128" i="38"/>
  <c r="Q128" i="38" s="1"/>
  <c r="G129" i="38"/>
  <c r="I129" i="38"/>
  <c r="J129" i="38" s="1"/>
  <c r="L129" i="38"/>
  <c r="M129" i="38" s="1"/>
  <c r="O129" i="38"/>
  <c r="Q129" i="38" s="1"/>
  <c r="G130" i="38"/>
  <c r="I130" i="38"/>
  <c r="J130" i="38" s="1"/>
  <c r="L130" i="38"/>
  <c r="M130" i="38" s="1"/>
  <c r="O130" i="38"/>
  <c r="Q130" i="38" s="1"/>
  <c r="G131" i="38"/>
  <c r="I131" i="38"/>
  <c r="J131" i="38" s="1"/>
  <c r="L131" i="38"/>
  <c r="M131" i="38" s="1"/>
  <c r="O131" i="38"/>
  <c r="Q131" i="38" s="1"/>
  <c r="G132" i="38"/>
  <c r="I132" i="38"/>
  <c r="J132" i="38" s="1"/>
  <c r="L132" i="38"/>
  <c r="M132" i="38" s="1"/>
  <c r="O132" i="38"/>
  <c r="Q132" i="38" s="1"/>
  <c r="G133" i="38"/>
  <c r="I133" i="38"/>
  <c r="J133" i="38" s="1"/>
  <c r="L133" i="38"/>
  <c r="M133" i="38" s="1"/>
  <c r="O133" i="38"/>
  <c r="Q133" i="38" s="1"/>
  <c r="G134" i="38"/>
  <c r="I134" i="38"/>
  <c r="J134" i="38" s="1"/>
  <c r="L134" i="38"/>
  <c r="M134" i="38" s="1"/>
  <c r="O134" i="38"/>
  <c r="Q134" i="38" s="1"/>
  <c r="G135" i="38"/>
  <c r="I135" i="38"/>
  <c r="J135" i="38" s="1"/>
  <c r="L135" i="38"/>
  <c r="M135" i="38" s="1"/>
  <c r="O135" i="38"/>
  <c r="Q135" i="38" s="1"/>
  <c r="G136" i="38"/>
  <c r="I136" i="38"/>
  <c r="J136" i="38" s="1"/>
  <c r="L136" i="38"/>
  <c r="M136" i="38" s="1"/>
  <c r="O136" i="38"/>
  <c r="Q136" i="38" s="1"/>
  <c r="G137" i="38"/>
  <c r="I137" i="38"/>
  <c r="J137" i="38" s="1"/>
  <c r="L137" i="38"/>
  <c r="M137" i="38" s="1"/>
  <c r="O137" i="38"/>
  <c r="Q137" i="38" s="1"/>
  <c r="G138" i="38"/>
  <c r="I138" i="38"/>
  <c r="J138" i="38" s="1"/>
  <c r="L138" i="38"/>
  <c r="M138" i="38" s="1"/>
  <c r="O138" i="38"/>
  <c r="Q138" i="38" s="1"/>
  <c r="G139" i="38"/>
  <c r="I139" i="38"/>
  <c r="J139" i="38" s="1"/>
  <c r="L139" i="38"/>
  <c r="M139" i="38" s="1"/>
  <c r="O139" i="38"/>
  <c r="Q139" i="38" s="1"/>
  <c r="G140" i="38"/>
  <c r="I140" i="38"/>
  <c r="J140" i="38" s="1"/>
  <c r="L140" i="38"/>
  <c r="M140" i="38" s="1"/>
  <c r="O140" i="38"/>
  <c r="Q140" i="38" s="1"/>
  <c r="G141" i="38"/>
  <c r="I141" i="38"/>
  <c r="J141" i="38" s="1"/>
  <c r="L141" i="38"/>
  <c r="M141" i="38" s="1"/>
  <c r="O141" i="38"/>
  <c r="Q141" i="38" s="1"/>
  <c r="G142" i="38"/>
  <c r="I142" i="38"/>
  <c r="J142" i="38" s="1"/>
  <c r="L142" i="38"/>
  <c r="M142" i="38" s="1"/>
  <c r="O142" i="38"/>
  <c r="Q142" i="38" s="1"/>
  <c r="G143" i="38"/>
  <c r="I143" i="38"/>
  <c r="J143" i="38" s="1"/>
  <c r="L143" i="38"/>
  <c r="M143" i="38" s="1"/>
  <c r="O143" i="38"/>
  <c r="Q143" i="38" s="1"/>
  <c r="G144" i="38"/>
  <c r="I144" i="38"/>
  <c r="J144" i="38" s="1"/>
  <c r="L144" i="38"/>
  <c r="M144" i="38" s="1"/>
  <c r="O144" i="38"/>
  <c r="Q144" i="38" s="1"/>
  <c r="G145" i="38"/>
  <c r="I145" i="38"/>
  <c r="J145" i="38" s="1"/>
  <c r="L145" i="38"/>
  <c r="M145" i="38" s="1"/>
  <c r="O145" i="38"/>
  <c r="Q145" i="38" s="1"/>
  <c r="G146" i="38"/>
  <c r="I146" i="38"/>
  <c r="J146" i="38" s="1"/>
  <c r="L146" i="38"/>
  <c r="M146" i="38" s="1"/>
  <c r="O146" i="38"/>
  <c r="Q146" i="38" s="1"/>
  <c r="G147" i="38"/>
  <c r="I147" i="38"/>
  <c r="J147" i="38" s="1"/>
  <c r="L147" i="38"/>
  <c r="M147" i="38" s="1"/>
  <c r="O147" i="38"/>
  <c r="Q147" i="38" s="1"/>
  <c r="G148" i="38"/>
  <c r="I148" i="38"/>
  <c r="J148" i="38" s="1"/>
  <c r="L148" i="38"/>
  <c r="M148" i="38" s="1"/>
  <c r="O148" i="38"/>
  <c r="Q148" i="38" s="1"/>
  <c r="G149" i="38"/>
  <c r="I149" i="38"/>
  <c r="J149" i="38" s="1"/>
  <c r="L149" i="38"/>
  <c r="M149" i="38" s="1"/>
  <c r="O149" i="38"/>
  <c r="Q149" i="38" s="1"/>
  <c r="G150" i="38"/>
  <c r="I150" i="38"/>
  <c r="J150" i="38" s="1"/>
  <c r="L150" i="38"/>
  <c r="M150" i="38" s="1"/>
  <c r="O150" i="38"/>
  <c r="Q150" i="38" s="1"/>
  <c r="G151" i="38"/>
  <c r="I151" i="38"/>
  <c r="J151" i="38" s="1"/>
  <c r="L151" i="38"/>
  <c r="M151" i="38" s="1"/>
  <c r="O151" i="38"/>
  <c r="Q151" i="38" s="1"/>
  <c r="G152" i="38"/>
  <c r="I152" i="38"/>
  <c r="J152" i="38" s="1"/>
  <c r="L152" i="38"/>
  <c r="M152" i="38" s="1"/>
  <c r="O152" i="38"/>
  <c r="Q152" i="38" s="1"/>
  <c r="G153" i="38"/>
  <c r="I153" i="38"/>
  <c r="J153" i="38" s="1"/>
  <c r="L153" i="38"/>
  <c r="M153" i="38" s="1"/>
  <c r="O153" i="38"/>
  <c r="Q153" i="38" s="1"/>
  <c r="G154" i="38"/>
  <c r="I154" i="38"/>
  <c r="J154" i="38" s="1"/>
  <c r="L154" i="38"/>
  <c r="M154" i="38" s="1"/>
  <c r="O154" i="38"/>
  <c r="Q154" i="38" s="1"/>
  <c r="G155" i="38"/>
  <c r="I155" i="38"/>
  <c r="J155" i="38" s="1"/>
  <c r="L155" i="38"/>
  <c r="M155" i="38" s="1"/>
  <c r="O155" i="38"/>
  <c r="Q155" i="38" s="1"/>
  <c r="G156" i="38"/>
  <c r="I156" i="38"/>
  <c r="J156" i="38" s="1"/>
  <c r="L156" i="38"/>
  <c r="M156" i="38" s="1"/>
  <c r="O156" i="38"/>
  <c r="Q156" i="38" s="1"/>
  <c r="G157" i="38"/>
  <c r="I157" i="38"/>
  <c r="J157" i="38" s="1"/>
  <c r="L157" i="38"/>
  <c r="M157" i="38" s="1"/>
  <c r="O157" i="38"/>
  <c r="Q157" i="38" s="1"/>
  <c r="G158" i="38"/>
  <c r="I158" i="38"/>
  <c r="J158" i="38" s="1"/>
  <c r="L158" i="38"/>
  <c r="M158" i="38" s="1"/>
  <c r="O158" i="38"/>
  <c r="Q158" i="38" s="1"/>
  <c r="G159" i="38"/>
  <c r="I159" i="38"/>
  <c r="J159" i="38" s="1"/>
  <c r="L159" i="38"/>
  <c r="M159" i="38" s="1"/>
  <c r="O159" i="38"/>
  <c r="Q159" i="38" s="1"/>
  <c r="G160" i="38"/>
  <c r="I160" i="38"/>
  <c r="J160" i="38" s="1"/>
  <c r="L160" i="38"/>
  <c r="M160" i="38" s="1"/>
  <c r="O160" i="38"/>
  <c r="Q160" i="38" s="1"/>
  <c r="G161" i="38"/>
  <c r="I161" i="38"/>
  <c r="J161" i="38" s="1"/>
  <c r="L161" i="38"/>
  <c r="M161" i="38" s="1"/>
  <c r="O161" i="38"/>
  <c r="Q161" i="38" s="1"/>
  <c r="G162" i="38"/>
  <c r="I162" i="38"/>
  <c r="J162" i="38" s="1"/>
  <c r="L162" i="38"/>
  <c r="M162" i="38" s="1"/>
  <c r="O162" i="38"/>
  <c r="Q162" i="38" s="1"/>
  <c r="G163" i="38"/>
  <c r="I163" i="38"/>
  <c r="J163" i="38" s="1"/>
  <c r="L163" i="38"/>
  <c r="M163" i="38" s="1"/>
  <c r="O163" i="38"/>
  <c r="Q163" i="38" s="1"/>
  <c r="G164" i="38"/>
  <c r="I164" i="38"/>
  <c r="J164" i="38" s="1"/>
  <c r="L164" i="38"/>
  <c r="M164" i="38" s="1"/>
  <c r="O164" i="38"/>
  <c r="Q164" i="38" s="1"/>
  <c r="G165" i="38"/>
  <c r="I165" i="38"/>
  <c r="J165" i="38" s="1"/>
  <c r="L165" i="38"/>
  <c r="M165" i="38" s="1"/>
  <c r="O165" i="38"/>
  <c r="Q165" i="38" s="1"/>
  <c r="G166" i="38"/>
  <c r="I166" i="38"/>
  <c r="J166" i="38" s="1"/>
  <c r="L166" i="38"/>
  <c r="M166" i="38" s="1"/>
  <c r="O166" i="38"/>
  <c r="Q166" i="38" s="1"/>
  <c r="G167" i="38"/>
  <c r="I167" i="38"/>
  <c r="J167" i="38" s="1"/>
  <c r="L167" i="38"/>
  <c r="M167" i="38" s="1"/>
  <c r="O167" i="38"/>
  <c r="Q167" i="38" s="1"/>
  <c r="G168" i="38"/>
  <c r="I168" i="38"/>
  <c r="J168" i="38" s="1"/>
  <c r="L168" i="38"/>
  <c r="M168" i="38" s="1"/>
  <c r="O168" i="38"/>
  <c r="Q168" i="38" s="1"/>
  <c r="G169" i="38"/>
  <c r="I169" i="38"/>
  <c r="J169" i="38" s="1"/>
  <c r="L169" i="38"/>
  <c r="M169" i="38" s="1"/>
  <c r="O169" i="38"/>
  <c r="Q169" i="38" s="1"/>
  <c r="G170" i="38"/>
  <c r="I170" i="38"/>
  <c r="J170" i="38" s="1"/>
  <c r="L170" i="38"/>
  <c r="M170" i="38" s="1"/>
  <c r="O170" i="38"/>
  <c r="Q170" i="38" s="1"/>
  <c r="G171" i="38"/>
  <c r="I171" i="38"/>
  <c r="J171" i="38" s="1"/>
  <c r="L171" i="38"/>
  <c r="M171" i="38" s="1"/>
  <c r="O171" i="38"/>
  <c r="Q171" i="38" s="1"/>
  <c r="G172" i="38"/>
  <c r="I172" i="38"/>
  <c r="J172" i="38" s="1"/>
  <c r="L172" i="38"/>
  <c r="M172" i="38" s="1"/>
  <c r="O172" i="38"/>
  <c r="Q172" i="38" s="1"/>
  <c r="G173" i="38"/>
  <c r="I173" i="38"/>
  <c r="J173" i="38" s="1"/>
  <c r="L173" i="38"/>
  <c r="M173" i="38" s="1"/>
  <c r="O173" i="38"/>
  <c r="Q173" i="38" s="1"/>
  <c r="G174" i="38"/>
  <c r="I174" i="38"/>
  <c r="J174" i="38" s="1"/>
  <c r="L174" i="38"/>
  <c r="M174" i="38" s="1"/>
  <c r="O174" i="38"/>
  <c r="Q174" i="38" s="1"/>
  <c r="G175" i="38"/>
  <c r="I175" i="38"/>
  <c r="J175" i="38" s="1"/>
  <c r="L175" i="38"/>
  <c r="M175" i="38" s="1"/>
  <c r="O175" i="38"/>
  <c r="Q175" i="38" s="1"/>
  <c r="G176" i="38"/>
  <c r="I176" i="38"/>
  <c r="J176" i="38" s="1"/>
  <c r="L176" i="38"/>
  <c r="M176" i="38" s="1"/>
  <c r="O176" i="38"/>
  <c r="Q176" i="38" s="1"/>
  <c r="G177" i="38"/>
  <c r="I177" i="38"/>
  <c r="J177" i="38" s="1"/>
  <c r="L177" i="38"/>
  <c r="M177" i="38" s="1"/>
  <c r="O177" i="38"/>
  <c r="Q177" i="38" s="1"/>
  <c r="G178" i="38"/>
  <c r="I178" i="38"/>
  <c r="J178" i="38" s="1"/>
  <c r="L178" i="38"/>
  <c r="M178" i="38" s="1"/>
  <c r="O178" i="38"/>
  <c r="Q178" i="38" s="1"/>
  <c r="G179" i="38"/>
  <c r="I179" i="38"/>
  <c r="J179" i="38" s="1"/>
  <c r="L179" i="38"/>
  <c r="M179" i="38" s="1"/>
  <c r="O179" i="38"/>
  <c r="Q179" i="38" s="1"/>
  <c r="G180" i="38"/>
  <c r="I180" i="38"/>
  <c r="J180" i="38" s="1"/>
  <c r="L180" i="38"/>
  <c r="M180" i="38" s="1"/>
  <c r="O180" i="38"/>
  <c r="Q180" i="38" s="1"/>
  <c r="G181" i="38"/>
  <c r="I181" i="38"/>
  <c r="J181" i="38" s="1"/>
  <c r="L181" i="38"/>
  <c r="M181" i="38" s="1"/>
  <c r="O181" i="38"/>
  <c r="Q181" i="38" s="1"/>
  <c r="G182" i="38"/>
  <c r="I182" i="38"/>
  <c r="J182" i="38" s="1"/>
  <c r="L182" i="38"/>
  <c r="M182" i="38" s="1"/>
  <c r="O182" i="38"/>
  <c r="Q182" i="38" s="1"/>
  <c r="G183" i="38"/>
  <c r="I183" i="38"/>
  <c r="J183" i="38" s="1"/>
  <c r="L183" i="38"/>
  <c r="M183" i="38" s="1"/>
  <c r="O183" i="38"/>
  <c r="Q183" i="38" s="1"/>
  <c r="G184" i="38"/>
  <c r="I184" i="38"/>
  <c r="J184" i="38" s="1"/>
  <c r="L184" i="38"/>
  <c r="M184" i="38" s="1"/>
  <c r="O184" i="38"/>
  <c r="Q184" i="38" s="1"/>
  <c r="G185" i="38"/>
  <c r="I185" i="38"/>
  <c r="J185" i="38" s="1"/>
  <c r="L185" i="38"/>
  <c r="M185" i="38" s="1"/>
  <c r="O185" i="38"/>
  <c r="Q185" i="38" s="1"/>
  <c r="G186" i="38"/>
  <c r="I186" i="38"/>
  <c r="J186" i="38" s="1"/>
  <c r="L186" i="38"/>
  <c r="M186" i="38" s="1"/>
  <c r="O186" i="38"/>
  <c r="Q186" i="38" s="1"/>
  <c r="G187" i="38"/>
  <c r="I187" i="38"/>
  <c r="J187" i="38" s="1"/>
  <c r="L187" i="38"/>
  <c r="M187" i="38" s="1"/>
  <c r="O187" i="38"/>
  <c r="Q187" i="38" s="1"/>
  <c r="G188" i="38"/>
  <c r="I188" i="38"/>
  <c r="J188" i="38" s="1"/>
  <c r="L188" i="38"/>
  <c r="M188" i="38" s="1"/>
  <c r="O188" i="38"/>
  <c r="Q188" i="38" s="1"/>
  <c r="G189" i="38"/>
  <c r="I189" i="38"/>
  <c r="J189" i="38" s="1"/>
  <c r="L189" i="38"/>
  <c r="M189" i="38" s="1"/>
  <c r="O189" i="38"/>
  <c r="Q189" i="38" s="1"/>
  <c r="G190" i="38"/>
  <c r="I190" i="38"/>
  <c r="J190" i="38" s="1"/>
  <c r="L190" i="38"/>
  <c r="M190" i="38" s="1"/>
  <c r="O190" i="38"/>
  <c r="Q190" i="38" s="1"/>
  <c r="G191" i="38"/>
  <c r="I191" i="38"/>
  <c r="J191" i="38" s="1"/>
  <c r="L191" i="38"/>
  <c r="M191" i="38" s="1"/>
  <c r="O191" i="38"/>
  <c r="Q191" i="38" s="1"/>
  <c r="G192" i="38"/>
  <c r="I192" i="38"/>
  <c r="J192" i="38" s="1"/>
  <c r="L192" i="38"/>
  <c r="M192" i="38" s="1"/>
  <c r="O192" i="38"/>
  <c r="Q192" i="38" s="1"/>
  <c r="G193" i="38"/>
  <c r="I193" i="38"/>
  <c r="J193" i="38" s="1"/>
  <c r="L193" i="38"/>
  <c r="M193" i="38" s="1"/>
  <c r="O193" i="38"/>
  <c r="Q193" i="38" s="1"/>
  <c r="G194" i="38"/>
  <c r="I194" i="38"/>
  <c r="J194" i="38" s="1"/>
  <c r="L194" i="38"/>
  <c r="M194" i="38" s="1"/>
  <c r="O194" i="38"/>
  <c r="Q194" i="38" s="1"/>
  <c r="G195" i="38"/>
  <c r="I195" i="38"/>
  <c r="J195" i="38" s="1"/>
  <c r="L195" i="38"/>
  <c r="M195" i="38" s="1"/>
  <c r="O195" i="38"/>
  <c r="Q195" i="38" s="1"/>
  <c r="G196" i="38"/>
  <c r="I196" i="38"/>
  <c r="J196" i="38" s="1"/>
  <c r="L196" i="38"/>
  <c r="M196" i="38" s="1"/>
  <c r="O196" i="38"/>
  <c r="Q196" i="38" s="1"/>
  <c r="G197" i="38"/>
  <c r="I197" i="38"/>
  <c r="J197" i="38" s="1"/>
  <c r="L197" i="38"/>
  <c r="M197" i="38" s="1"/>
  <c r="O197" i="38"/>
  <c r="Q197" i="38" s="1"/>
  <c r="G198" i="38"/>
  <c r="I198" i="38"/>
  <c r="J198" i="38" s="1"/>
  <c r="L198" i="38"/>
  <c r="M198" i="38" s="1"/>
  <c r="O198" i="38"/>
  <c r="Q198" i="38" s="1"/>
  <c r="G199" i="38"/>
  <c r="I199" i="38"/>
  <c r="J199" i="38" s="1"/>
  <c r="L199" i="38"/>
  <c r="M199" i="38" s="1"/>
  <c r="O199" i="38"/>
  <c r="Q199" i="38" s="1"/>
  <c r="G200" i="38"/>
  <c r="I200" i="38"/>
  <c r="J200" i="38" s="1"/>
  <c r="L200" i="38"/>
  <c r="M200" i="38" s="1"/>
  <c r="O200" i="38"/>
  <c r="Q200" i="38" s="1"/>
  <c r="G201" i="38"/>
  <c r="I201" i="38"/>
  <c r="J201" i="38" s="1"/>
  <c r="L201" i="38"/>
  <c r="M201" i="38" s="1"/>
  <c r="O201" i="38"/>
  <c r="Q201" i="38" s="1"/>
  <c r="G202" i="38"/>
  <c r="I202" i="38"/>
  <c r="J202" i="38" s="1"/>
  <c r="L202" i="38"/>
  <c r="M202" i="38" s="1"/>
  <c r="O202" i="38"/>
  <c r="Q202" i="38" s="1"/>
  <c r="G203" i="38"/>
  <c r="I203" i="38"/>
  <c r="J203" i="38" s="1"/>
  <c r="L203" i="38"/>
  <c r="M203" i="38" s="1"/>
  <c r="O203" i="38"/>
  <c r="Q203" i="38" s="1"/>
  <c r="G204" i="38"/>
  <c r="I204" i="38"/>
  <c r="J204" i="38" s="1"/>
  <c r="L204" i="38"/>
  <c r="M204" i="38" s="1"/>
  <c r="O204" i="38"/>
  <c r="Q204" i="38" s="1"/>
  <c r="G205" i="38"/>
  <c r="I205" i="38"/>
  <c r="J205" i="38" s="1"/>
  <c r="L205" i="38"/>
  <c r="M205" i="38" s="1"/>
  <c r="O205" i="38"/>
  <c r="Q205" i="38" s="1"/>
  <c r="G206" i="38"/>
  <c r="I206" i="38"/>
  <c r="J206" i="38" s="1"/>
  <c r="L206" i="38"/>
  <c r="M206" i="38" s="1"/>
  <c r="O206" i="38"/>
  <c r="Q206" i="38" s="1"/>
  <c r="G207" i="38"/>
  <c r="I207" i="38"/>
  <c r="J207" i="38" s="1"/>
  <c r="L207" i="38"/>
  <c r="M207" i="38" s="1"/>
  <c r="O207" i="38"/>
  <c r="Q207" i="38" s="1"/>
  <c r="G208" i="38"/>
  <c r="I208" i="38"/>
  <c r="J208" i="38" s="1"/>
  <c r="L208" i="38"/>
  <c r="M208" i="38" s="1"/>
  <c r="O208" i="38"/>
  <c r="Q208" i="38" s="1"/>
  <c r="G209" i="38"/>
  <c r="I209" i="38"/>
  <c r="J209" i="38" s="1"/>
  <c r="L209" i="38"/>
  <c r="M209" i="38" s="1"/>
  <c r="O209" i="38"/>
  <c r="Q209" i="38" s="1"/>
  <c r="G210" i="38"/>
  <c r="I210" i="38"/>
  <c r="J210" i="38" s="1"/>
  <c r="L210" i="38"/>
  <c r="M210" i="38" s="1"/>
  <c r="O210" i="38"/>
  <c r="Q210" i="38" s="1"/>
  <c r="G211" i="38"/>
  <c r="I211" i="38"/>
  <c r="J211" i="38" s="1"/>
  <c r="L211" i="38"/>
  <c r="M211" i="38" s="1"/>
  <c r="O211" i="38"/>
  <c r="Q211" i="38" s="1"/>
  <c r="G212" i="38"/>
  <c r="I212" i="38"/>
  <c r="J212" i="38" s="1"/>
  <c r="L212" i="38"/>
  <c r="M212" i="38" s="1"/>
  <c r="O212" i="38"/>
  <c r="Q212" i="38" s="1"/>
  <c r="G213" i="38"/>
  <c r="I213" i="38"/>
  <c r="J213" i="38" s="1"/>
  <c r="L213" i="38"/>
  <c r="M213" i="38" s="1"/>
  <c r="O213" i="38"/>
  <c r="Q213" i="38" s="1"/>
  <c r="G214" i="38"/>
  <c r="I214" i="38"/>
  <c r="J214" i="38" s="1"/>
  <c r="L214" i="38"/>
  <c r="M214" i="38" s="1"/>
  <c r="O214" i="38"/>
  <c r="Q214" i="38" s="1"/>
  <c r="G215" i="38"/>
  <c r="I215" i="38"/>
  <c r="J215" i="38" s="1"/>
  <c r="L215" i="38"/>
  <c r="M215" i="38" s="1"/>
  <c r="O215" i="38"/>
  <c r="Q215" i="38" s="1"/>
  <c r="G216" i="38"/>
  <c r="I216" i="38"/>
  <c r="J216" i="38" s="1"/>
  <c r="L216" i="38"/>
  <c r="M216" i="38" s="1"/>
  <c r="O216" i="38"/>
  <c r="Q216" i="38" s="1"/>
  <c r="G217" i="38"/>
  <c r="I217" i="38"/>
  <c r="J217" i="38" s="1"/>
  <c r="L217" i="38"/>
  <c r="M217" i="38" s="1"/>
  <c r="O217" i="38"/>
  <c r="Q217" i="38" s="1"/>
  <c r="G218" i="38"/>
  <c r="I218" i="38"/>
  <c r="J218" i="38" s="1"/>
  <c r="L218" i="38"/>
  <c r="M218" i="38" s="1"/>
  <c r="O218" i="38"/>
  <c r="Q218" i="38" s="1"/>
  <c r="G219" i="38"/>
  <c r="I219" i="38"/>
  <c r="J219" i="38" s="1"/>
  <c r="L219" i="38"/>
  <c r="M219" i="38" s="1"/>
  <c r="O219" i="38"/>
  <c r="Q219" i="38" s="1"/>
  <c r="G220" i="38"/>
  <c r="I220" i="38"/>
  <c r="J220" i="38" s="1"/>
  <c r="L220" i="38"/>
  <c r="M220" i="38" s="1"/>
  <c r="O220" i="38"/>
  <c r="Q220" i="38" s="1"/>
  <c r="G221" i="38"/>
  <c r="I221" i="38"/>
  <c r="J221" i="38" s="1"/>
  <c r="L221" i="38"/>
  <c r="M221" i="38" s="1"/>
  <c r="O221" i="38"/>
  <c r="Q221" i="38" s="1"/>
  <c r="G222" i="38"/>
  <c r="I222" i="38"/>
  <c r="J222" i="38" s="1"/>
  <c r="L222" i="38"/>
  <c r="M222" i="38" s="1"/>
  <c r="O222" i="38"/>
  <c r="Q222" i="38" s="1"/>
  <c r="G223" i="38"/>
  <c r="I223" i="38"/>
  <c r="J223" i="38" s="1"/>
  <c r="L223" i="38"/>
  <c r="M223" i="38" s="1"/>
  <c r="O223" i="38"/>
  <c r="Q223" i="38" s="1"/>
  <c r="G224" i="38"/>
  <c r="I224" i="38"/>
  <c r="J224" i="38" s="1"/>
  <c r="L224" i="38"/>
  <c r="M224" i="38" s="1"/>
  <c r="O224" i="38"/>
  <c r="Q224" i="38" s="1"/>
  <c r="G225" i="38"/>
  <c r="I225" i="38"/>
  <c r="J225" i="38" s="1"/>
  <c r="L225" i="38"/>
  <c r="M225" i="38" s="1"/>
  <c r="O225" i="38"/>
  <c r="Q225" i="38" s="1"/>
  <c r="G226" i="38"/>
  <c r="I226" i="38"/>
  <c r="J226" i="38" s="1"/>
  <c r="L226" i="38"/>
  <c r="M226" i="38" s="1"/>
  <c r="O226" i="38"/>
  <c r="Q226" i="38" s="1"/>
  <c r="G227" i="38"/>
  <c r="I227" i="38"/>
  <c r="J227" i="38" s="1"/>
  <c r="L227" i="38"/>
  <c r="M227" i="38" s="1"/>
  <c r="O227" i="38"/>
  <c r="Q227" i="38" s="1"/>
  <c r="G228" i="38"/>
  <c r="I228" i="38"/>
  <c r="J228" i="38" s="1"/>
  <c r="L228" i="38"/>
  <c r="M228" i="38" s="1"/>
  <c r="O228" i="38"/>
  <c r="Q228" i="38" s="1"/>
  <c r="G229" i="38"/>
  <c r="I229" i="38"/>
  <c r="J229" i="38" s="1"/>
  <c r="L229" i="38"/>
  <c r="M229" i="38" s="1"/>
  <c r="O229" i="38"/>
  <c r="Q229" i="38" s="1"/>
  <c r="G230" i="38"/>
  <c r="I230" i="38"/>
  <c r="J230" i="38" s="1"/>
  <c r="L230" i="38"/>
  <c r="M230" i="38" s="1"/>
  <c r="O230" i="38"/>
  <c r="Q230" i="38" s="1"/>
  <c r="G231" i="38"/>
  <c r="I231" i="38"/>
  <c r="J231" i="38" s="1"/>
  <c r="L231" i="38"/>
  <c r="M231" i="38" s="1"/>
  <c r="O231" i="38"/>
  <c r="Q231" i="38" s="1"/>
  <c r="G232" i="38"/>
  <c r="I232" i="38"/>
  <c r="J232" i="38" s="1"/>
  <c r="L232" i="38"/>
  <c r="M232" i="38" s="1"/>
  <c r="O232" i="38"/>
  <c r="Q232" i="38" s="1"/>
  <c r="G233" i="38"/>
  <c r="I233" i="38"/>
  <c r="J233" i="38" s="1"/>
  <c r="L233" i="38"/>
  <c r="M233" i="38" s="1"/>
  <c r="O233" i="38"/>
  <c r="Q233" i="38" s="1"/>
  <c r="G234" i="38"/>
  <c r="I234" i="38"/>
  <c r="J234" i="38" s="1"/>
  <c r="L234" i="38"/>
  <c r="M234" i="38" s="1"/>
  <c r="O234" i="38"/>
  <c r="Q234" i="38" s="1"/>
  <c r="G235" i="38"/>
  <c r="I235" i="38"/>
  <c r="J235" i="38" s="1"/>
  <c r="L235" i="38"/>
  <c r="M235" i="38" s="1"/>
  <c r="O235" i="38"/>
  <c r="Q235" i="38" s="1"/>
  <c r="G236" i="38"/>
  <c r="I236" i="38"/>
  <c r="J236" i="38" s="1"/>
  <c r="L236" i="38"/>
  <c r="M236" i="38" s="1"/>
  <c r="O236" i="38"/>
  <c r="Q236" i="38" s="1"/>
  <c r="G237" i="38"/>
  <c r="I237" i="38"/>
  <c r="J237" i="38" s="1"/>
  <c r="L237" i="38"/>
  <c r="M237" i="38" s="1"/>
  <c r="O237" i="38"/>
  <c r="Q237" i="38" s="1"/>
  <c r="G238" i="38"/>
  <c r="I238" i="38"/>
  <c r="J238" i="38" s="1"/>
  <c r="L238" i="38"/>
  <c r="M238" i="38" s="1"/>
  <c r="O238" i="38"/>
  <c r="Q238" i="38" s="1"/>
  <c r="G239" i="38"/>
  <c r="I239" i="38"/>
  <c r="J239" i="38" s="1"/>
  <c r="L239" i="38"/>
  <c r="M239" i="38" s="1"/>
  <c r="O239" i="38"/>
  <c r="Q239" i="38" s="1"/>
  <c r="G240" i="38"/>
  <c r="I240" i="38"/>
  <c r="J240" i="38" s="1"/>
  <c r="L240" i="38"/>
  <c r="M240" i="38" s="1"/>
  <c r="O240" i="38"/>
  <c r="Q240" i="38" s="1"/>
  <c r="G241" i="38"/>
  <c r="I241" i="38"/>
  <c r="J241" i="38" s="1"/>
  <c r="L241" i="38"/>
  <c r="M241" i="38" s="1"/>
  <c r="O241" i="38"/>
  <c r="Q241" i="38" s="1"/>
  <c r="G242" i="38"/>
  <c r="I242" i="38"/>
  <c r="J242" i="38" s="1"/>
  <c r="L242" i="38"/>
  <c r="M242" i="38" s="1"/>
  <c r="O242" i="38"/>
  <c r="Q242" i="38" s="1"/>
  <c r="G243" i="38"/>
  <c r="I243" i="38"/>
  <c r="J243" i="38" s="1"/>
  <c r="L243" i="38"/>
  <c r="M243" i="38" s="1"/>
  <c r="O243" i="38"/>
  <c r="Q243" i="38" s="1"/>
  <c r="G244" i="38"/>
  <c r="I244" i="38"/>
  <c r="J244" i="38" s="1"/>
  <c r="L244" i="38"/>
  <c r="M244" i="38" s="1"/>
  <c r="O244" i="38"/>
  <c r="Q244" i="38" s="1"/>
  <c r="G245" i="38"/>
  <c r="I245" i="38"/>
  <c r="J245" i="38" s="1"/>
  <c r="L245" i="38"/>
  <c r="M245" i="38" s="1"/>
  <c r="O245" i="38"/>
  <c r="Q245" i="38" s="1"/>
  <c r="G246" i="38"/>
  <c r="I246" i="38"/>
  <c r="J246" i="38" s="1"/>
  <c r="L246" i="38"/>
  <c r="M246" i="38" s="1"/>
  <c r="O246" i="38"/>
  <c r="Q246" i="38" s="1"/>
  <c r="G247" i="38"/>
  <c r="I247" i="38"/>
  <c r="J247" i="38" s="1"/>
  <c r="L247" i="38"/>
  <c r="M247" i="38" s="1"/>
  <c r="O247" i="38"/>
  <c r="Q247" i="38" s="1"/>
  <c r="G248" i="38"/>
  <c r="I248" i="38"/>
  <c r="J248" i="38" s="1"/>
  <c r="L248" i="38"/>
  <c r="M248" i="38" s="1"/>
  <c r="O248" i="38"/>
  <c r="Q248" i="38" s="1"/>
  <c r="G249" i="38"/>
  <c r="I249" i="38"/>
  <c r="J249" i="38" s="1"/>
  <c r="L249" i="38"/>
  <c r="M249" i="38" s="1"/>
  <c r="O249" i="38"/>
  <c r="Q249" i="38" s="1"/>
  <c r="G250" i="38"/>
  <c r="I250" i="38"/>
  <c r="J250" i="38" s="1"/>
  <c r="L250" i="38"/>
  <c r="M250" i="38" s="1"/>
  <c r="O250" i="38"/>
  <c r="Q250" i="38" s="1"/>
  <c r="G251" i="38"/>
  <c r="I251" i="38"/>
  <c r="J251" i="38" s="1"/>
  <c r="L251" i="38"/>
  <c r="M251" i="38" s="1"/>
  <c r="O251" i="38"/>
  <c r="Q251" i="38" s="1"/>
  <c r="G252" i="38"/>
  <c r="I252" i="38"/>
  <c r="J252" i="38" s="1"/>
  <c r="L252" i="38"/>
  <c r="M252" i="38" s="1"/>
  <c r="O252" i="38"/>
  <c r="Q252" i="38" s="1"/>
  <c r="G253" i="38"/>
  <c r="I253" i="38"/>
  <c r="J253" i="38" s="1"/>
  <c r="L253" i="38"/>
  <c r="M253" i="38" s="1"/>
  <c r="O253" i="38"/>
  <c r="Q253" i="38" s="1"/>
  <c r="G254" i="38"/>
  <c r="I254" i="38"/>
  <c r="J254" i="38" s="1"/>
  <c r="L254" i="38"/>
  <c r="M254" i="38" s="1"/>
  <c r="O254" i="38"/>
  <c r="Q254" i="38" s="1"/>
  <c r="G255" i="38"/>
  <c r="I255" i="38"/>
  <c r="J255" i="38" s="1"/>
  <c r="L255" i="38"/>
  <c r="M255" i="38" s="1"/>
  <c r="O255" i="38"/>
  <c r="Q255" i="38" s="1"/>
  <c r="G256" i="38"/>
  <c r="I256" i="38"/>
  <c r="J256" i="38" s="1"/>
  <c r="L256" i="38"/>
  <c r="M256" i="38" s="1"/>
  <c r="O256" i="38"/>
  <c r="Q256" i="38" s="1"/>
  <c r="G257" i="38"/>
  <c r="I257" i="38"/>
  <c r="J257" i="38" s="1"/>
  <c r="L257" i="38"/>
  <c r="M257" i="38" s="1"/>
  <c r="O257" i="38"/>
  <c r="Q257" i="38" s="1"/>
  <c r="G258" i="38"/>
  <c r="I258" i="38"/>
  <c r="J258" i="38" s="1"/>
  <c r="L258" i="38"/>
  <c r="M258" i="38" s="1"/>
  <c r="O258" i="38"/>
  <c r="Q258" i="38" s="1"/>
  <c r="G259" i="38"/>
  <c r="I259" i="38"/>
  <c r="J259" i="38" s="1"/>
  <c r="L259" i="38"/>
  <c r="M259" i="38" s="1"/>
  <c r="O259" i="38"/>
  <c r="Q259" i="38" s="1"/>
  <c r="G260" i="38"/>
  <c r="I260" i="38"/>
  <c r="J260" i="38" s="1"/>
  <c r="L260" i="38"/>
  <c r="M260" i="38" s="1"/>
  <c r="O260" i="38"/>
  <c r="Q260" i="38" s="1"/>
  <c r="G261" i="38"/>
  <c r="I261" i="38"/>
  <c r="J261" i="38" s="1"/>
  <c r="L261" i="38"/>
  <c r="M261" i="38" s="1"/>
  <c r="O261" i="38"/>
  <c r="Q261" i="38" s="1"/>
  <c r="G262" i="38"/>
  <c r="I262" i="38"/>
  <c r="J262" i="38" s="1"/>
  <c r="L262" i="38"/>
  <c r="M262" i="38" s="1"/>
  <c r="O262" i="38"/>
  <c r="Q262" i="38" s="1"/>
  <c r="G263" i="38"/>
  <c r="I263" i="38"/>
  <c r="J263" i="38" s="1"/>
  <c r="L263" i="38"/>
  <c r="M263" i="38" s="1"/>
  <c r="O263" i="38"/>
  <c r="Q263" i="38" s="1"/>
  <c r="G264" i="38"/>
  <c r="I264" i="38"/>
  <c r="J264" i="38" s="1"/>
  <c r="L264" i="38"/>
  <c r="M264" i="38" s="1"/>
  <c r="O264" i="38"/>
  <c r="Q264" i="38" s="1"/>
  <c r="G265" i="38"/>
  <c r="I265" i="38"/>
  <c r="J265" i="38" s="1"/>
  <c r="L265" i="38"/>
  <c r="M265" i="38" s="1"/>
  <c r="O265" i="38"/>
  <c r="Q265" i="38" s="1"/>
  <c r="G266" i="38"/>
  <c r="I266" i="38"/>
  <c r="J266" i="38" s="1"/>
  <c r="L266" i="38"/>
  <c r="M266" i="38" s="1"/>
  <c r="O266" i="38"/>
  <c r="Q266" i="38" s="1"/>
  <c r="G267" i="38"/>
  <c r="I267" i="38"/>
  <c r="J267" i="38" s="1"/>
  <c r="L267" i="38"/>
  <c r="M267" i="38" s="1"/>
  <c r="O267" i="38"/>
  <c r="Q267" i="38" s="1"/>
  <c r="G268" i="38"/>
  <c r="I268" i="38"/>
  <c r="J268" i="38" s="1"/>
  <c r="L268" i="38"/>
  <c r="M268" i="38" s="1"/>
  <c r="O268" i="38"/>
  <c r="Q268" i="38" s="1"/>
  <c r="G269" i="38"/>
  <c r="I269" i="38"/>
  <c r="J269" i="38" s="1"/>
  <c r="L269" i="38"/>
  <c r="M269" i="38" s="1"/>
  <c r="O269" i="38"/>
  <c r="Q269" i="38" s="1"/>
  <c r="G270" i="38"/>
  <c r="I270" i="38"/>
  <c r="J270" i="38" s="1"/>
  <c r="L270" i="38"/>
  <c r="M270" i="38" s="1"/>
  <c r="O270" i="38"/>
  <c r="Q270" i="38" s="1"/>
  <c r="G271" i="38"/>
  <c r="I271" i="38"/>
  <c r="J271" i="38" s="1"/>
  <c r="L271" i="38"/>
  <c r="M271" i="38" s="1"/>
  <c r="O271" i="38"/>
  <c r="Q271" i="38" s="1"/>
  <c r="G272" i="38"/>
  <c r="I272" i="38"/>
  <c r="J272" i="38" s="1"/>
  <c r="L272" i="38"/>
  <c r="M272" i="38" s="1"/>
  <c r="O272" i="38"/>
  <c r="Q272" i="38" s="1"/>
  <c r="G273" i="38"/>
  <c r="I273" i="38"/>
  <c r="J273" i="38" s="1"/>
  <c r="L273" i="38"/>
  <c r="M273" i="38" s="1"/>
  <c r="O273" i="38"/>
  <c r="Q273" i="38" s="1"/>
  <c r="G274" i="38"/>
  <c r="I274" i="38"/>
  <c r="J274" i="38" s="1"/>
  <c r="L274" i="38"/>
  <c r="M274" i="38" s="1"/>
  <c r="O274" i="38"/>
  <c r="Q274" i="38" s="1"/>
  <c r="G275" i="38"/>
  <c r="I275" i="38"/>
  <c r="J275" i="38" s="1"/>
  <c r="L275" i="38"/>
  <c r="M275" i="38" s="1"/>
  <c r="O275" i="38"/>
  <c r="Q275" i="38" s="1"/>
  <c r="G276" i="38"/>
  <c r="I276" i="38"/>
  <c r="J276" i="38" s="1"/>
  <c r="L276" i="38"/>
  <c r="M276" i="38" s="1"/>
  <c r="O276" i="38"/>
  <c r="Q276" i="38" s="1"/>
  <c r="G277" i="38"/>
  <c r="I277" i="38"/>
  <c r="J277" i="38" s="1"/>
  <c r="L277" i="38"/>
  <c r="M277" i="38" s="1"/>
  <c r="O277" i="38"/>
  <c r="Q277" i="38" s="1"/>
  <c r="G278" i="38"/>
  <c r="I278" i="38"/>
  <c r="J278" i="38" s="1"/>
  <c r="L278" i="38"/>
  <c r="M278" i="38" s="1"/>
  <c r="O278" i="38"/>
  <c r="Q278" i="38" s="1"/>
  <c r="G279" i="38"/>
  <c r="I279" i="38"/>
  <c r="J279" i="38" s="1"/>
  <c r="L279" i="38"/>
  <c r="M279" i="38" s="1"/>
  <c r="O279" i="38"/>
  <c r="Q279" i="38" s="1"/>
  <c r="G280" i="38"/>
  <c r="I280" i="38"/>
  <c r="J280" i="38" s="1"/>
  <c r="L280" i="38"/>
  <c r="M280" i="38" s="1"/>
  <c r="O280" i="38"/>
  <c r="Q280" i="38" s="1"/>
  <c r="G281" i="38"/>
  <c r="I281" i="38"/>
  <c r="J281" i="38" s="1"/>
  <c r="L281" i="38"/>
  <c r="M281" i="38" s="1"/>
  <c r="O281" i="38"/>
  <c r="Q281" i="38" s="1"/>
  <c r="G282" i="38"/>
  <c r="I282" i="38"/>
  <c r="J282" i="38" s="1"/>
  <c r="L282" i="38"/>
  <c r="M282" i="38" s="1"/>
  <c r="O282" i="38"/>
  <c r="Q282" i="38" s="1"/>
  <c r="G283" i="38"/>
  <c r="I283" i="38"/>
  <c r="J283" i="38" s="1"/>
  <c r="L283" i="38"/>
  <c r="M283" i="38" s="1"/>
  <c r="O283" i="38"/>
  <c r="Q283" i="38" s="1"/>
  <c r="G284" i="38"/>
  <c r="I284" i="38"/>
  <c r="J284" i="38" s="1"/>
  <c r="L284" i="38"/>
  <c r="M284" i="38" s="1"/>
  <c r="O284" i="38"/>
  <c r="Q284" i="38" s="1"/>
  <c r="G285" i="38"/>
  <c r="I285" i="38"/>
  <c r="J285" i="38" s="1"/>
  <c r="L285" i="38"/>
  <c r="M285" i="38" s="1"/>
  <c r="O285" i="38"/>
  <c r="Q285" i="38" s="1"/>
  <c r="G286" i="38"/>
  <c r="I286" i="38"/>
  <c r="J286" i="38" s="1"/>
  <c r="L286" i="38"/>
  <c r="M286" i="38" s="1"/>
  <c r="O286" i="38"/>
  <c r="Q286" i="38" s="1"/>
  <c r="G287" i="38"/>
  <c r="I287" i="38"/>
  <c r="J287" i="38" s="1"/>
  <c r="L287" i="38"/>
  <c r="M287" i="38" s="1"/>
  <c r="O287" i="38"/>
  <c r="Q287" i="38" s="1"/>
  <c r="G288" i="38"/>
  <c r="I288" i="38"/>
  <c r="J288" i="38" s="1"/>
  <c r="L288" i="38"/>
  <c r="M288" i="38" s="1"/>
  <c r="O288" i="38"/>
  <c r="Q288" i="38" s="1"/>
  <c r="G289" i="38"/>
  <c r="I289" i="38"/>
  <c r="J289" i="38" s="1"/>
  <c r="L289" i="38"/>
  <c r="M289" i="38" s="1"/>
  <c r="O289" i="38"/>
  <c r="Q289" i="38" s="1"/>
  <c r="G290" i="38"/>
  <c r="I290" i="38"/>
  <c r="J290" i="38" s="1"/>
  <c r="L290" i="38"/>
  <c r="M290" i="38" s="1"/>
  <c r="O290" i="38"/>
  <c r="Q290" i="38" s="1"/>
  <c r="G291" i="38"/>
  <c r="I291" i="38"/>
  <c r="J291" i="38" s="1"/>
  <c r="L291" i="38"/>
  <c r="M291" i="38" s="1"/>
  <c r="O291" i="38"/>
  <c r="Q291" i="38" s="1"/>
  <c r="G292" i="38"/>
  <c r="I292" i="38"/>
  <c r="J292" i="38" s="1"/>
  <c r="L292" i="38"/>
  <c r="M292" i="38" s="1"/>
  <c r="O292" i="38"/>
  <c r="Q292" i="38" s="1"/>
  <c r="G293" i="38"/>
  <c r="I293" i="38"/>
  <c r="J293" i="38" s="1"/>
  <c r="L293" i="38"/>
  <c r="M293" i="38" s="1"/>
  <c r="O293" i="38"/>
  <c r="Q293" i="38" s="1"/>
  <c r="G294" i="38"/>
  <c r="I294" i="38"/>
  <c r="J294" i="38" s="1"/>
  <c r="L294" i="38"/>
  <c r="M294" i="38" s="1"/>
  <c r="O294" i="38"/>
  <c r="Q294" i="38" s="1"/>
  <c r="G295" i="38"/>
  <c r="I295" i="38"/>
  <c r="J295" i="38" s="1"/>
  <c r="L295" i="38"/>
  <c r="M295" i="38" s="1"/>
  <c r="O295" i="38"/>
  <c r="Q295" i="38" s="1"/>
  <c r="G296" i="38"/>
  <c r="I296" i="38"/>
  <c r="J296" i="38" s="1"/>
  <c r="L296" i="38"/>
  <c r="M296" i="38" s="1"/>
  <c r="O296" i="38"/>
  <c r="Q296" i="38" s="1"/>
  <c r="G297" i="38"/>
  <c r="I297" i="38"/>
  <c r="J297" i="38" s="1"/>
  <c r="L297" i="38"/>
  <c r="M297" i="38" s="1"/>
  <c r="O297" i="38"/>
  <c r="Q297" i="38" s="1"/>
  <c r="G298" i="38"/>
  <c r="I298" i="38"/>
  <c r="J298" i="38" s="1"/>
  <c r="L298" i="38"/>
  <c r="M298" i="38" s="1"/>
  <c r="O298" i="38"/>
  <c r="Q298" i="38" s="1"/>
  <c r="G299" i="38"/>
  <c r="I299" i="38"/>
  <c r="J299" i="38" s="1"/>
  <c r="L299" i="38"/>
  <c r="M299" i="38" s="1"/>
  <c r="O299" i="38"/>
  <c r="Q299" i="38" s="1"/>
  <c r="G300" i="38"/>
  <c r="I300" i="38"/>
  <c r="J300" i="38" s="1"/>
  <c r="L300" i="38"/>
  <c r="M300" i="38" s="1"/>
  <c r="O300" i="38"/>
  <c r="Q300" i="38" s="1"/>
  <c r="G301" i="38"/>
  <c r="I301" i="38"/>
  <c r="J301" i="38" s="1"/>
  <c r="L301" i="38"/>
  <c r="M301" i="38" s="1"/>
  <c r="O301" i="38"/>
  <c r="Q301" i="38" s="1"/>
  <c r="G302" i="38"/>
  <c r="I302" i="38"/>
  <c r="J302" i="38" s="1"/>
  <c r="L302" i="38"/>
  <c r="M302" i="38" s="1"/>
  <c r="O302" i="38"/>
  <c r="Q302" i="38" s="1"/>
  <c r="G303" i="38"/>
  <c r="I303" i="38"/>
  <c r="J303" i="38" s="1"/>
  <c r="L303" i="38"/>
  <c r="M303" i="38" s="1"/>
  <c r="O303" i="38"/>
  <c r="Q303" i="38" s="1"/>
  <c r="G304" i="38"/>
  <c r="I304" i="38"/>
  <c r="J304" i="38" s="1"/>
  <c r="L304" i="38"/>
  <c r="M304" i="38" s="1"/>
  <c r="O304" i="38"/>
  <c r="Q304" i="38" s="1"/>
  <c r="G305" i="38"/>
  <c r="I305" i="38"/>
  <c r="J305" i="38" s="1"/>
  <c r="L305" i="38"/>
  <c r="M305" i="38" s="1"/>
  <c r="O305" i="38"/>
  <c r="Q305" i="38" s="1"/>
  <c r="G306" i="38"/>
  <c r="I306" i="38"/>
  <c r="J306" i="38" s="1"/>
  <c r="L306" i="38"/>
  <c r="M306" i="38" s="1"/>
  <c r="O306" i="38"/>
  <c r="Q306" i="38" s="1"/>
  <c r="G307" i="38"/>
  <c r="I307" i="38"/>
  <c r="J307" i="38" s="1"/>
  <c r="L307" i="38"/>
  <c r="M307" i="38" s="1"/>
  <c r="O307" i="38"/>
  <c r="Q307" i="38" s="1"/>
  <c r="G308" i="38"/>
  <c r="I308" i="38"/>
  <c r="J308" i="38" s="1"/>
  <c r="L308" i="38"/>
  <c r="M308" i="38" s="1"/>
  <c r="O308" i="38"/>
  <c r="Q308" i="38" s="1"/>
  <c r="G309" i="38"/>
  <c r="I309" i="38"/>
  <c r="J309" i="38" s="1"/>
  <c r="L309" i="38"/>
  <c r="M309" i="38" s="1"/>
  <c r="O309" i="38"/>
  <c r="Q309" i="38" s="1"/>
  <c r="G310" i="38"/>
  <c r="I310" i="38"/>
  <c r="J310" i="38" s="1"/>
  <c r="L310" i="38"/>
  <c r="M310" i="38" s="1"/>
  <c r="O310" i="38"/>
  <c r="Q310" i="38" s="1"/>
  <c r="G311" i="38"/>
  <c r="I311" i="38"/>
  <c r="J311" i="38" s="1"/>
  <c r="L311" i="38"/>
  <c r="M311" i="38" s="1"/>
  <c r="O311" i="38"/>
  <c r="Q311" i="38" s="1"/>
  <c r="G312" i="38"/>
  <c r="I312" i="38"/>
  <c r="J312" i="38" s="1"/>
  <c r="L312" i="38"/>
  <c r="M312" i="38" s="1"/>
  <c r="O312" i="38"/>
  <c r="Q312" i="38" s="1"/>
  <c r="G313" i="38"/>
  <c r="I313" i="38"/>
  <c r="J313" i="38" s="1"/>
  <c r="L313" i="38"/>
  <c r="M313" i="38" s="1"/>
  <c r="O313" i="38"/>
  <c r="Q313" i="38" s="1"/>
  <c r="G314" i="38"/>
  <c r="I314" i="38"/>
  <c r="J314" i="38" s="1"/>
  <c r="L314" i="38"/>
  <c r="M314" i="38" s="1"/>
  <c r="O314" i="38"/>
  <c r="Q314" i="38" s="1"/>
  <c r="G315" i="38"/>
  <c r="I315" i="38"/>
  <c r="J315" i="38" s="1"/>
  <c r="L315" i="38"/>
  <c r="M315" i="38" s="1"/>
  <c r="O315" i="38"/>
  <c r="Q315" i="38" s="1"/>
  <c r="G316" i="38"/>
  <c r="I316" i="38"/>
  <c r="J316" i="38" s="1"/>
  <c r="L316" i="38"/>
  <c r="M316" i="38" s="1"/>
  <c r="O316" i="38"/>
  <c r="Q316" i="38" s="1"/>
  <c r="G317" i="38"/>
  <c r="I317" i="38"/>
  <c r="J317" i="38" s="1"/>
  <c r="L317" i="38"/>
  <c r="M317" i="38" s="1"/>
  <c r="O317" i="38"/>
  <c r="Q317" i="38" s="1"/>
  <c r="G318" i="38"/>
  <c r="I318" i="38"/>
  <c r="J318" i="38" s="1"/>
  <c r="L318" i="38"/>
  <c r="M318" i="38" s="1"/>
  <c r="O318" i="38"/>
  <c r="Q318" i="38" s="1"/>
  <c r="G319" i="38"/>
  <c r="I319" i="38"/>
  <c r="J319" i="38" s="1"/>
  <c r="L319" i="38"/>
  <c r="M319" i="38" s="1"/>
  <c r="O319" i="38"/>
  <c r="Q319" i="38" s="1"/>
  <c r="G320" i="38"/>
  <c r="I320" i="38"/>
  <c r="J320" i="38" s="1"/>
  <c r="L320" i="38"/>
  <c r="M320" i="38" s="1"/>
  <c r="O320" i="38"/>
  <c r="Q320" i="38" s="1"/>
  <c r="G321" i="38"/>
  <c r="I321" i="38"/>
  <c r="J321" i="38" s="1"/>
  <c r="L321" i="38"/>
  <c r="M321" i="38" s="1"/>
  <c r="O321" i="38"/>
  <c r="Q321" i="38" s="1"/>
  <c r="G322" i="38"/>
  <c r="I322" i="38"/>
  <c r="J322" i="38" s="1"/>
  <c r="L322" i="38"/>
  <c r="M322" i="38" s="1"/>
  <c r="O322" i="38"/>
  <c r="Q322" i="38" s="1"/>
  <c r="G323" i="38"/>
  <c r="I323" i="38"/>
  <c r="J323" i="38" s="1"/>
  <c r="L323" i="38"/>
  <c r="M323" i="38" s="1"/>
  <c r="O323" i="38"/>
  <c r="Q323" i="38" s="1"/>
  <c r="G324" i="38"/>
  <c r="I324" i="38"/>
  <c r="J324" i="38" s="1"/>
  <c r="L324" i="38"/>
  <c r="M324" i="38" s="1"/>
  <c r="O324" i="38"/>
  <c r="Q324" i="38" s="1"/>
  <c r="G325" i="38"/>
  <c r="I325" i="38"/>
  <c r="J325" i="38" s="1"/>
  <c r="L325" i="38"/>
  <c r="M325" i="38" s="1"/>
  <c r="O325" i="38"/>
  <c r="Q325" i="38" s="1"/>
  <c r="G326" i="38"/>
  <c r="I326" i="38"/>
  <c r="J326" i="38" s="1"/>
  <c r="L326" i="38"/>
  <c r="M326" i="38" s="1"/>
  <c r="O326" i="38"/>
  <c r="Q326" i="38" s="1"/>
  <c r="G327" i="38"/>
  <c r="I327" i="38"/>
  <c r="J327" i="38" s="1"/>
  <c r="L327" i="38"/>
  <c r="M327" i="38" s="1"/>
  <c r="O327" i="38"/>
  <c r="Q327" i="38" s="1"/>
  <c r="G328" i="38"/>
  <c r="I328" i="38"/>
  <c r="J328" i="38" s="1"/>
  <c r="L328" i="38"/>
  <c r="M328" i="38" s="1"/>
  <c r="O328" i="38"/>
  <c r="Q328" i="38" s="1"/>
  <c r="G329" i="38"/>
  <c r="I329" i="38"/>
  <c r="J329" i="38" s="1"/>
  <c r="L329" i="38"/>
  <c r="M329" i="38" s="1"/>
  <c r="O329" i="38"/>
  <c r="Q329" i="38" s="1"/>
  <c r="G330" i="38"/>
  <c r="I330" i="38"/>
  <c r="J330" i="38" s="1"/>
  <c r="L330" i="38"/>
  <c r="M330" i="38" s="1"/>
  <c r="O330" i="38"/>
  <c r="Q330" i="38" s="1"/>
  <c r="G331" i="38"/>
  <c r="I331" i="38"/>
  <c r="J331" i="38" s="1"/>
  <c r="L331" i="38"/>
  <c r="M331" i="38" s="1"/>
  <c r="O331" i="38"/>
  <c r="Q331" i="38" s="1"/>
  <c r="G332" i="38"/>
  <c r="I332" i="38"/>
  <c r="J332" i="38" s="1"/>
  <c r="L332" i="38"/>
  <c r="M332" i="38" s="1"/>
  <c r="O332" i="38"/>
  <c r="Q332" i="38" s="1"/>
  <c r="G333" i="38"/>
  <c r="I333" i="38"/>
  <c r="J333" i="38" s="1"/>
  <c r="L333" i="38"/>
  <c r="M333" i="38" s="1"/>
  <c r="O333" i="38"/>
  <c r="Q333" i="38" s="1"/>
  <c r="G334" i="38"/>
  <c r="I334" i="38"/>
  <c r="J334" i="38" s="1"/>
  <c r="L334" i="38"/>
  <c r="M334" i="38" s="1"/>
  <c r="O334" i="38"/>
  <c r="Q334" i="38" s="1"/>
  <c r="G335" i="38"/>
  <c r="I335" i="38"/>
  <c r="J335" i="38" s="1"/>
  <c r="L335" i="38"/>
  <c r="M335" i="38" s="1"/>
  <c r="O335" i="38"/>
  <c r="Q335" i="38" s="1"/>
  <c r="G336" i="38"/>
  <c r="I336" i="38"/>
  <c r="J336" i="38" s="1"/>
  <c r="L336" i="38"/>
  <c r="M336" i="38" s="1"/>
  <c r="O336" i="38"/>
  <c r="Q336" i="38" s="1"/>
  <c r="G337" i="38"/>
  <c r="I337" i="38"/>
  <c r="J337" i="38" s="1"/>
  <c r="L337" i="38"/>
  <c r="M337" i="38" s="1"/>
  <c r="O337" i="38"/>
  <c r="Q337" i="38" s="1"/>
  <c r="G338" i="38"/>
  <c r="I338" i="38"/>
  <c r="J338" i="38" s="1"/>
  <c r="L338" i="38"/>
  <c r="M338" i="38" s="1"/>
  <c r="O338" i="38"/>
  <c r="Q338" i="38" s="1"/>
  <c r="G339" i="38"/>
  <c r="I339" i="38"/>
  <c r="J339" i="38" s="1"/>
  <c r="L339" i="38"/>
  <c r="M339" i="38" s="1"/>
  <c r="O339" i="38"/>
  <c r="Q339" i="38" s="1"/>
  <c r="G340" i="38"/>
  <c r="I340" i="38"/>
  <c r="J340" i="38" s="1"/>
  <c r="L340" i="38"/>
  <c r="M340" i="38" s="1"/>
  <c r="O340" i="38"/>
  <c r="Q340" i="38" s="1"/>
  <c r="G341" i="38"/>
  <c r="I341" i="38"/>
  <c r="J341" i="38" s="1"/>
  <c r="L341" i="38"/>
  <c r="M341" i="38" s="1"/>
  <c r="O341" i="38"/>
  <c r="Q341" i="38" s="1"/>
  <c r="G342" i="38"/>
  <c r="I342" i="38"/>
  <c r="J342" i="38" s="1"/>
  <c r="L342" i="38"/>
  <c r="M342" i="38" s="1"/>
  <c r="O342" i="38"/>
  <c r="Q342" i="38" s="1"/>
  <c r="G343" i="38"/>
  <c r="I343" i="38"/>
  <c r="J343" i="38" s="1"/>
  <c r="L343" i="38"/>
  <c r="M343" i="38" s="1"/>
  <c r="O343" i="38"/>
  <c r="Q343" i="38" s="1"/>
  <c r="G344" i="38"/>
  <c r="I344" i="38"/>
  <c r="J344" i="38" s="1"/>
  <c r="L344" i="38"/>
  <c r="M344" i="38" s="1"/>
  <c r="O344" i="38"/>
  <c r="Q344" i="38" s="1"/>
  <c r="G345" i="38"/>
  <c r="I345" i="38"/>
  <c r="J345" i="38" s="1"/>
  <c r="L345" i="38"/>
  <c r="M345" i="38" s="1"/>
  <c r="O345" i="38"/>
  <c r="Q345" i="38" s="1"/>
  <c r="G346" i="38"/>
  <c r="I346" i="38"/>
  <c r="J346" i="38" s="1"/>
  <c r="L346" i="38"/>
  <c r="M346" i="38" s="1"/>
  <c r="O346" i="38"/>
  <c r="Q346" i="38" s="1"/>
  <c r="G347" i="38"/>
  <c r="I347" i="38"/>
  <c r="J347" i="38" s="1"/>
  <c r="L347" i="38"/>
  <c r="M347" i="38" s="1"/>
  <c r="O347" i="38"/>
  <c r="Q347" i="38" s="1"/>
  <c r="G348" i="38"/>
  <c r="I348" i="38"/>
  <c r="J348" i="38" s="1"/>
  <c r="L348" i="38"/>
  <c r="M348" i="38" s="1"/>
  <c r="O348" i="38"/>
  <c r="Q348" i="38" s="1"/>
  <c r="G349" i="38"/>
  <c r="I349" i="38"/>
  <c r="J349" i="38" s="1"/>
  <c r="L349" i="38"/>
  <c r="M349" i="38" s="1"/>
  <c r="O349" i="38"/>
  <c r="Q349" i="38" s="1"/>
  <c r="X3"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8" i="38"/>
  <c r="S6" i="38"/>
  <c r="S7" i="38"/>
  <c r="BD3" i="7" l="1"/>
  <c r="B30" i="50"/>
  <c r="B90" i="50" s="1"/>
  <c r="BF1" i="7"/>
  <c r="BE3" i="7"/>
  <c r="B31" i="50" s="1"/>
  <c r="B91" i="50" s="1"/>
  <c r="BI1" i="7"/>
  <c r="BG3" i="7"/>
  <c r="BH1" i="7"/>
  <c r="R10" i="38"/>
  <c r="R79" i="38"/>
  <c r="R330" i="38"/>
  <c r="R286" i="38"/>
  <c r="R68" i="38"/>
  <c r="R343" i="38"/>
  <c r="R339" i="38"/>
  <c r="R338" i="38"/>
  <c r="R254" i="38"/>
  <c r="R235" i="38"/>
  <c r="R56" i="38"/>
  <c r="R49" i="38"/>
  <c r="R47" i="38"/>
  <c r="R334" i="38"/>
  <c r="R90" i="38"/>
  <c r="R104" i="38"/>
  <c r="R96" i="38"/>
  <c r="R74" i="38"/>
  <c r="R298" i="38"/>
  <c r="R266" i="38"/>
  <c r="R217" i="38"/>
  <c r="R184" i="38"/>
  <c r="R114" i="38"/>
  <c r="R99" i="38"/>
  <c r="R78" i="38"/>
  <c r="R51" i="38"/>
  <c r="R29" i="38"/>
  <c r="R225" i="38"/>
  <c r="R220" i="38"/>
  <c r="R348" i="38"/>
  <c r="R335" i="38"/>
  <c r="R328" i="38"/>
  <c r="R242" i="38"/>
  <c r="R92" i="38"/>
  <c r="R73" i="38"/>
  <c r="R61" i="38"/>
  <c r="R32" i="38"/>
  <c r="R30" i="38"/>
  <c r="R64" i="38"/>
  <c r="R33" i="38"/>
  <c r="R11" i="38"/>
  <c r="R282" i="38"/>
  <c r="R250" i="38"/>
  <c r="R226" i="38"/>
  <c r="R176" i="38"/>
  <c r="R322" i="38"/>
  <c r="R302" i="38"/>
  <c r="R270" i="38"/>
  <c r="R98" i="38"/>
  <c r="R57" i="38"/>
  <c r="R45" i="38"/>
  <c r="R37" i="38"/>
  <c r="R35" i="38"/>
  <c r="R342" i="38"/>
  <c r="R318" i="38"/>
  <c r="R214" i="38"/>
  <c r="R122" i="38"/>
  <c r="R210" i="38"/>
  <c r="R91" i="38"/>
  <c r="R86" i="38"/>
  <c r="R83" i="38"/>
  <c r="R69" i="38"/>
  <c r="R40" i="38"/>
  <c r="R26" i="38"/>
  <c r="R24" i="38"/>
  <c r="R332" i="38"/>
  <c r="R346" i="38"/>
  <c r="R306" i="38"/>
  <c r="R274" i="38"/>
  <c r="R230" i="38"/>
  <c r="R326" i="38"/>
  <c r="R294" i="38"/>
  <c r="R262" i="38"/>
  <c r="U235" i="38"/>
  <c r="R228" i="38"/>
  <c r="R168" i="38"/>
  <c r="R160" i="38"/>
  <c r="R152" i="38"/>
  <c r="R324" i="38"/>
  <c r="R290" i="38"/>
  <c r="R258" i="38"/>
  <c r="R212" i="38"/>
  <c r="R314" i="38"/>
  <c r="R312" i="38"/>
  <c r="R310" i="38"/>
  <c r="R278" i="38"/>
  <c r="R246" i="38"/>
  <c r="R236" i="38"/>
  <c r="R340" i="38"/>
  <c r="R239" i="38"/>
  <c r="R221" i="38"/>
  <c r="R138" i="38"/>
  <c r="R130" i="38"/>
  <c r="R100" i="38"/>
  <c r="R89" i="38"/>
  <c r="R75" i="38"/>
  <c r="R53" i="38"/>
  <c r="R320" i="38"/>
  <c r="R311" i="38"/>
  <c r="R232" i="38"/>
  <c r="R229" i="38"/>
  <c r="R81" i="38"/>
  <c r="R60" i="38"/>
  <c r="R48" i="38"/>
  <c r="R237" i="38"/>
  <c r="R233" i="38"/>
  <c r="R222" i="38"/>
  <c r="R218" i="38"/>
  <c r="R103" i="38"/>
  <c r="R43" i="38"/>
  <c r="R344" i="38"/>
  <c r="R327" i="38"/>
  <c r="R315" i="38"/>
  <c r="R203" i="38"/>
  <c r="R199" i="38"/>
  <c r="R195" i="38"/>
  <c r="R191" i="38"/>
  <c r="R187" i="38"/>
  <c r="R173" i="38"/>
  <c r="R165" i="38"/>
  <c r="R157" i="38"/>
  <c r="R149" i="38"/>
  <c r="R87" i="38"/>
  <c r="R82" i="38"/>
  <c r="R67" i="38"/>
  <c r="R52" i="38"/>
  <c r="R41" i="38"/>
  <c r="R36" i="38"/>
  <c r="R257" i="38"/>
  <c r="R253" i="38"/>
  <c r="R249" i="38"/>
  <c r="R245" i="38"/>
  <c r="R241" i="38"/>
  <c r="R238" i="38"/>
  <c r="R234" i="38"/>
  <c r="R219" i="38"/>
  <c r="R207" i="38"/>
  <c r="R181" i="38"/>
  <c r="R146" i="38"/>
  <c r="R95" i="38"/>
  <c r="R336" i="38"/>
  <c r="R215" i="38"/>
  <c r="R134" i="38"/>
  <c r="R85" i="38"/>
  <c r="R65" i="38"/>
  <c r="R59" i="38"/>
  <c r="R44" i="38"/>
  <c r="R331" i="38"/>
  <c r="R316" i="38"/>
  <c r="R223" i="38"/>
  <c r="R77" i="38"/>
  <c r="R25" i="38"/>
  <c r="R231" i="38"/>
  <c r="R213" i="38"/>
  <c r="R175" i="38"/>
  <c r="R167" i="38"/>
  <c r="R159" i="38"/>
  <c r="R151" i="38"/>
  <c r="R71" i="38"/>
  <c r="R54" i="38"/>
  <c r="R42" i="38"/>
  <c r="R31" i="38"/>
  <c r="R15" i="38"/>
  <c r="R6" i="38"/>
  <c r="R94" i="38"/>
  <c r="R84" i="38"/>
  <c r="R76" i="38"/>
  <c r="R66" i="38"/>
  <c r="R105" i="38"/>
  <c r="R55" i="38"/>
  <c r="R38" i="38"/>
  <c r="R118" i="38"/>
  <c r="R62" i="38"/>
  <c r="R50" i="38"/>
  <c r="R39" i="38"/>
  <c r="R107" i="38"/>
  <c r="R106" i="38"/>
  <c r="R102" i="38"/>
  <c r="R97" i="38"/>
  <c r="R88" i="38"/>
  <c r="R80" i="38"/>
  <c r="R72" i="38"/>
  <c r="R63" i="38"/>
  <c r="R46" i="38"/>
  <c r="R34" i="38"/>
  <c r="R70" i="38"/>
  <c r="R58" i="38"/>
  <c r="R319" i="38"/>
  <c r="R323" i="38"/>
  <c r="R347" i="38"/>
  <c r="R227" i="38"/>
  <c r="R216" i="38"/>
  <c r="R307" i="38"/>
  <c r="R303" i="38"/>
  <c r="R299" i="38"/>
  <c r="R295" i="38"/>
  <c r="R291" i="38"/>
  <c r="R287" i="38"/>
  <c r="R283" i="38"/>
  <c r="R279" i="38"/>
  <c r="R275" i="38"/>
  <c r="R271" i="38"/>
  <c r="R267" i="38"/>
  <c r="R263" i="38"/>
  <c r="R259" i="38"/>
  <c r="R255" i="38"/>
  <c r="R251" i="38"/>
  <c r="R247" i="38"/>
  <c r="R243" i="38"/>
  <c r="R224" i="38"/>
  <c r="R308" i="38"/>
  <c r="R304" i="38"/>
  <c r="R300" i="38"/>
  <c r="R296" i="38"/>
  <c r="R292" i="38"/>
  <c r="R288" i="38"/>
  <c r="R284" i="38"/>
  <c r="R280" i="38"/>
  <c r="R276" i="38"/>
  <c r="R272" i="38"/>
  <c r="R268" i="38"/>
  <c r="R264" i="38"/>
  <c r="R260" i="38"/>
  <c r="R256" i="38"/>
  <c r="R252" i="38"/>
  <c r="R248" i="38"/>
  <c r="R244" i="38"/>
  <c r="R240" i="38"/>
  <c r="R211" i="38"/>
  <c r="R349" i="38"/>
  <c r="R345" i="38"/>
  <c r="R341" i="38"/>
  <c r="R337" i="38"/>
  <c r="R333" i="38"/>
  <c r="R329" i="38"/>
  <c r="R325" i="38"/>
  <c r="R321" i="38"/>
  <c r="R317" i="38"/>
  <c r="R313" i="38"/>
  <c r="R309" i="38"/>
  <c r="R305" i="38"/>
  <c r="R301" i="38"/>
  <c r="R297" i="38"/>
  <c r="R293" i="38"/>
  <c r="R289" i="38"/>
  <c r="R285" i="38"/>
  <c r="R281" i="38"/>
  <c r="R277" i="38"/>
  <c r="R273" i="38"/>
  <c r="R269" i="38"/>
  <c r="R265" i="38"/>
  <c r="R261" i="38"/>
  <c r="R208" i="38"/>
  <c r="R204" i="38"/>
  <c r="R200" i="38"/>
  <c r="R196" i="38"/>
  <c r="R192" i="38"/>
  <c r="R188" i="38"/>
  <c r="R178" i="38"/>
  <c r="R170" i="38"/>
  <c r="R162" i="38"/>
  <c r="R154" i="38"/>
  <c r="R209" i="38"/>
  <c r="R205" i="38"/>
  <c r="R201" i="38"/>
  <c r="R197" i="38"/>
  <c r="R193" i="38"/>
  <c r="R189" i="38"/>
  <c r="R206" i="38"/>
  <c r="R202" i="38"/>
  <c r="R198" i="38"/>
  <c r="R194" i="38"/>
  <c r="R190" i="38"/>
  <c r="R186" i="38"/>
  <c r="R183" i="38"/>
  <c r="R180" i="38"/>
  <c r="R172" i="38"/>
  <c r="R164" i="38"/>
  <c r="R156" i="38"/>
  <c r="R142" i="38"/>
  <c r="R126" i="38"/>
  <c r="R110" i="38"/>
  <c r="R101" i="38"/>
  <c r="R185" i="38"/>
  <c r="R177" i="38"/>
  <c r="R169" i="38"/>
  <c r="R161" i="38"/>
  <c r="R153" i="38"/>
  <c r="R108" i="38"/>
  <c r="R147" i="38"/>
  <c r="R143" i="38"/>
  <c r="R139" i="38"/>
  <c r="R135" i="38"/>
  <c r="R131" i="38"/>
  <c r="R127" i="38"/>
  <c r="R123" i="38"/>
  <c r="R119" i="38"/>
  <c r="R115" i="38"/>
  <c r="R111" i="38"/>
  <c r="R179" i="38"/>
  <c r="R171" i="38"/>
  <c r="R163" i="38"/>
  <c r="R155" i="38"/>
  <c r="R148" i="38"/>
  <c r="R144" i="38"/>
  <c r="R140" i="38"/>
  <c r="R136" i="38"/>
  <c r="R132" i="38"/>
  <c r="R128" i="38"/>
  <c r="R124" i="38"/>
  <c r="R120" i="38"/>
  <c r="R116" i="38"/>
  <c r="R112" i="38"/>
  <c r="R93" i="38"/>
  <c r="R182" i="38"/>
  <c r="R174" i="38"/>
  <c r="R166" i="38"/>
  <c r="R158" i="38"/>
  <c r="R150" i="38"/>
  <c r="R145" i="38"/>
  <c r="R141" i="38"/>
  <c r="R137" i="38"/>
  <c r="R133" i="38"/>
  <c r="R129" i="38"/>
  <c r="R125" i="38"/>
  <c r="R121" i="38"/>
  <c r="R117" i="38"/>
  <c r="R113" i="38"/>
  <c r="R109" i="38"/>
  <c r="E374" i="38"/>
  <c r="BH3" i="7" l="1"/>
  <c r="B32" i="50"/>
  <c r="B92" i="50" s="1"/>
  <c r="BF3" i="7"/>
  <c r="BK1" i="7"/>
  <c r="BI3" i="7"/>
  <c r="BJ1" i="7"/>
  <c r="U254" i="38"/>
  <c r="U78" i="38"/>
  <c r="U86" i="38"/>
  <c r="U35" i="38"/>
  <c r="U176" i="38"/>
  <c r="U30" i="38"/>
  <c r="U348" i="38"/>
  <c r="U74" i="38"/>
  <c r="U49" i="38"/>
  <c r="U338" i="38"/>
  <c r="U40" i="38"/>
  <c r="U91" i="38"/>
  <c r="U318" i="38"/>
  <c r="U37" i="38"/>
  <c r="U270" i="38"/>
  <c r="U226" i="38"/>
  <c r="U33" i="38"/>
  <c r="U32" i="38"/>
  <c r="U242" i="38"/>
  <c r="U220" i="38"/>
  <c r="U217" i="38"/>
  <c r="U96" i="38"/>
  <c r="U334" i="38"/>
  <c r="U56" i="38"/>
  <c r="U339" i="38"/>
  <c r="U330" i="38"/>
  <c r="U26" i="38"/>
  <c r="U214" i="38"/>
  <c r="U98" i="38"/>
  <c r="U92" i="38"/>
  <c r="U51" i="38"/>
  <c r="U184" i="38"/>
  <c r="U90" i="38"/>
  <c r="U286" i="38"/>
  <c r="U69" i="38"/>
  <c r="U210" i="38"/>
  <c r="U342" i="38"/>
  <c r="U45" i="38"/>
  <c r="U302" i="38"/>
  <c r="U250" i="38"/>
  <c r="U64" i="38"/>
  <c r="U61" i="38"/>
  <c r="U328" i="38"/>
  <c r="U225" i="38"/>
  <c r="U99" i="38"/>
  <c r="U266" i="38"/>
  <c r="U104" i="38"/>
  <c r="U47" i="38"/>
  <c r="U343" i="38"/>
  <c r="U79" i="38"/>
  <c r="U24" i="38"/>
  <c r="U83" i="38"/>
  <c r="U122" i="38"/>
  <c r="U57" i="38"/>
  <c r="U322" i="38"/>
  <c r="U282" i="38"/>
  <c r="U73" i="38"/>
  <c r="U335" i="38"/>
  <c r="U29" i="38"/>
  <c r="U114" i="38"/>
  <c r="U298" i="38"/>
  <c r="U68" i="38"/>
  <c r="U136" i="38"/>
  <c r="U193" i="38"/>
  <c r="U297" i="38"/>
  <c r="U109" i="38"/>
  <c r="U112" i="38"/>
  <c r="U119" i="38"/>
  <c r="U126" i="38"/>
  <c r="U190" i="38"/>
  <c r="U192" i="38"/>
  <c r="U113" i="38"/>
  <c r="U145" i="38"/>
  <c r="U116" i="38"/>
  <c r="U148" i="38"/>
  <c r="U123" i="38"/>
  <c r="U153" i="38"/>
  <c r="U142" i="38"/>
  <c r="U194" i="38"/>
  <c r="U205" i="38"/>
  <c r="U196" i="38"/>
  <c r="U277" i="38"/>
  <c r="U309" i="38"/>
  <c r="U341" i="38"/>
  <c r="U252" i="38"/>
  <c r="U284" i="38"/>
  <c r="U251" i="38"/>
  <c r="U283" i="38"/>
  <c r="U227" i="38"/>
  <c r="U46" i="38"/>
  <c r="U107" i="38"/>
  <c r="U84" i="38"/>
  <c r="U215" i="38"/>
  <c r="U146" i="38"/>
  <c r="U249" i="38"/>
  <c r="U52" i="38"/>
  <c r="U173" i="38"/>
  <c r="U344" i="38"/>
  <c r="U320" i="38"/>
  <c r="U138" i="38"/>
  <c r="U310" i="38"/>
  <c r="U290" i="38"/>
  <c r="U324" i="38"/>
  <c r="U168" i="38"/>
  <c r="U274" i="38"/>
  <c r="U127" i="38"/>
  <c r="U198" i="38"/>
  <c r="U281" i="38"/>
  <c r="U256" i="38"/>
  <c r="U255" i="38"/>
  <c r="U287" i="38"/>
  <c r="U347" i="38"/>
  <c r="U38" i="38"/>
  <c r="U94" i="38"/>
  <c r="U25" i="38"/>
  <c r="U336" i="38"/>
  <c r="U181" i="38"/>
  <c r="U253" i="38"/>
  <c r="U187" i="38"/>
  <c r="U48" i="38"/>
  <c r="U53" i="38"/>
  <c r="U221" i="38"/>
  <c r="U312" i="38"/>
  <c r="U228" i="38"/>
  <c r="U306" i="38"/>
  <c r="U332" i="38"/>
  <c r="U111" i="38"/>
  <c r="U150" i="38"/>
  <c r="U161" i="38"/>
  <c r="U156" i="38"/>
  <c r="U209" i="38"/>
  <c r="U200" i="38"/>
  <c r="U313" i="38"/>
  <c r="U345" i="38"/>
  <c r="U288" i="38"/>
  <c r="U63" i="38"/>
  <c r="U121" i="38"/>
  <c r="U158" i="38"/>
  <c r="U124" i="38"/>
  <c r="U163" i="38"/>
  <c r="U131" i="38"/>
  <c r="U169" i="38"/>
  <c r="U164" i="38"/>
  <c r="U202" i="38"/>
  <c r="U154" i="38"/>
  <c r="U204" i="38"/>
  <c r="U285" i="38"/>
  <c r="U317" i="38"/>
  <c r="U349" i="38"/>
  <c r="U260" i="38"/>
  <c r="U292" i="38"/>
  <c r="U259" i="38"/>
  <c r="U291" i="38"/>
  <c r="U323" i="38"/>
  <c r="U72" i="38"/>
  <c r="U55" i="38"/>
  <c r="U6" i="38"/>
  <c r="U151" i="38"/>
  <c r="U44" i="38"/>
  <c r="U207" i="38"/>
  <c r="U257" i="38"/>
  <c r="U67" i="38"/>
  <c r="U191" i="38"/>
  <c r="U103" i="38"/>
  <c r="U75" i="38"/>
  <c r="U239" i="38"/>
  <c r="U314" i="38"/>
  <c r="U101" i="38"/>
  <c r="U155" i="38"/>
  <c r="U166" i="38"/>
  <c r="U135" i="38"/>
  <c r="U172" i="38"/>
  <c r="U162" i="38"/>
  <c r="U208" i="38"/>
  <c r="U321" i="38"/>
  <c r="U211" i="38"/>
  <c r="U264" i="38"/>
  <c r="U296" i="38"/>
  <c r="U263" i="38"/>
  <c r="U295" i="38"/>
  <c r="U319" i="38"/>
  <c r="U80" i="38"/>
  <c r="U39" i="38"/>
  <c r="U105" i="38"/>
  <c r="U15" i="38"/>
  <c r="U159" i="38"/>
  <c r="U77" i="38"/>
  <c r="U59" i="38"/>
  <c r="U219" i="38"/>
  <c r="U82" i="38"/>
  <c r="U195" i="38"/>
  <c r="U218" i="38"/>
  <c r="U60" i="38"/>
  <c r="U340" i="38"/>
  <c r="U182" i="38"/>
  <c r="U117" i="38"/>
  <c r="U120" i="38"/>
  <c r="U125" i="38"/>
  <c r="U128" i="38"/>
  <c r="U171" i="38"/>
  <c r="U177" i="38"/>
  <c r="U206" i="38"/>
  <c r="U289" i="38"/>
  <c r="U129" i="38"/>
  <c r="U174" i="38"/>
  <c r="U132" i="38"/>
  <c r="U179" i="38"/>
  <c r="U139" i="38"/>
  <c r="U185" i="38"/>
  <c r="U180" i="38"/>
  <c r="U189" i="38"/>
  <c r="U170" i="38"/>
  <c r="U261" i="38"/>
  <c r="U293" i="38"/>
  <c r="U325" i="38"/>
  <c r="U268" i="38"/>
  <c r="U300" i="38"/>
  <c r="U267" i="38"/>
  <c r="U299" i="38"/>
  <c r="U58" i="38"/>
  <c r="U88" i="38"/>
  <c r="U31" i="38"/>
  <c r="U167" i="38"/>
  <c r="U223" i="38"/>
  <c r="U65" i="38"/>
  <c r="U234" i="38"/>
  <c r="U87" i="38"/>
  <c r="U199" i="38"/>
  <c r="U222" i="38"/>
  <c r="U81" i="38"/>
  <c r="U262" i="38"/>
  <c r="U346" i="38"/>
  <c r="U143" i="38"/>
  <c r="U178" i="38"/>
  <c r="U329" i="38"/>
  <c r="U240" i="38"/>
  <c r="U272" i="38"/>
  <c r="U304" i="38"/>
  <c r="U224" i="38"/>
  <c r="U271" i="38"/>
  <c r="U303" i="38"/>
  <c r="U70" i="38"/>
  <c r="U97" i="38"/>
  <c r="U50" i="38"/>
  <c r="U42" i="38"/>
  <c r="U175" i="38"/>
  <c r="U316" i="38"/>
  <c r="U85" i="38"/>
  <c r="U95" i="38"/>
  <c r="U238" i="38"/>
  <c r="U149" i="38"/>
  <c r="U203" i="38"/>
  <c r="U43" i="38"/>
  <c r="U233" i="38"/>
  <c r="U229" i="38"/>
  <c r="U89" i="38"/>
  <c r="U236" i="38"/>
  <c r="U212" i="38"/>
  <c r="U294" i="38"/>
  <c r="U230" i="38"/>
  <c r="U137" i="38"/>
  <c r="U93" i="38"/>
  <c r="U140" i="38"/>
  <c r="U115" i="38"/>
  <c r="U147" i="38"/>
  <c r="U110" i="38"/>
  <c r="U186" i="38"/>
  <c r="U197" i="38"/>
  <c r="U188" i="38"/>
  <c r="U269" i="38"/>
  <c r="U301" i="38"/>
  <c r="U333" i="38"/>
  <c r="U244" i="38"/>
  <c r="U276" i="38"/>
  <c r="U308" i="38"/>
  <c r="U243" i="38"/>
  <c r="U275" i="38"/>
  <c r="U307" i="38"/>
  <c r="U102" i="38"/>
  <c r="U62" i="38"/>
  <c r="U66" i="38"/>
  <c r="U54" i="38"/>
  <c r="U213" i="38"/>
  <c r="U331" i="38"/>
  <c r="U241" i="38"/>
  <c r="U36" i="38"/>
  <c r="U157" i="38"/>
  <c r="U315" i="38"/>
  <c r="U237" i="38"/>
  <c r="U232" i="38"/>
  <c r="U100" i="38"/>
  <c r="U246" i="38"/>
  <c r="U152" i="38"/>
  <c r="U326" i="38"/>
  <c r="U133" i="38"/>
  <c r="U183" i="38"/>
  <c r="U265" i="38"/>
  <c r="U141" i="38"/>
  <c r="U144" i="38"/>
  <c r="U108" i="38"/>
  <c r="U201" i="38"/>
  <c r="U273" i="38"/>
  <c r="U305" i="38"/>
  <c r="U337" i="38"/>
  <c r="U248" i="38"/>
  <c r="U280" i="38"/>
  <c r="U247" i="38"/>
  <c r="U279" i="38"/>
  <c r="U216" i="38"/>
  <c r="U34" i="38"/>
  <c r="U106" i="38"/>
  <c r="U118" i="38"/>
  <c r="U76" i="38"/>
  <c r="U71" i="38"/>
  <c r="U231" i="38"/>
  <c r="U134" i="38"/>
  <c r="U245" i="38"/>
  <c r="U41" i="38"/>
  <c r="U165" i="38"/>
  <c r="U327" i="38"/>
  <c r="U311" i="38"/>
  <c r="U130" i="38"/>
  <c r="U278" i="38"/>
  <c r="U258" i="38"/>
  <c r="U160" i="38"/>
  <c r="C3" i="48"/>
  <c r="BJ3" i="7" l="1"/>
  <c r="B33" i="50"/>
  <c r="B93" i="50" s="1"/>
  <c r="BM1" i="7"/>
  <c r="BK3" i="7"/>
  <c r="BL1" i="7"/>
  <c r="I369" i="38"/>
  <c r="J369" i="38" s="1"/>
  <c r="BL3" i="7" l="1"/>
  <c r="B34" i="50"/>
  <c r="B94" i="50" s="1"/>
  <c r="BM3" i="7"/>
  <c r="BN1" i="7"/>
  <c r="BO1" i="7"/>
  <c r="O373" i="38"/>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BN3" i="7" l="1"/>
  <c r="B35" i="50"/>
  <c r="B95" i="50" s="1"/>
  <c r="BP1" i="7"/>
  <c r="BO3" i="7"/>
  <c r="BQ1" i="7"/>
  <c r="A9" i="50"/>
  <c r="A69" i="50" s="1"/>
  <c r="A10" i="50"/>
  <c r="A70" i="50" s="1"/>
  <c r="A11" i="50"/>
  <c r="A71" i="50" s="1"/>
  <c r="A12" i="50"/>
  <c r="A72" i="50" s="1"/>
  <c r="A13" i="50"/>
  <c r="A73" i="50" s="1"/>
  <c r="A14" i="50"/>
  <c r="A74" i="50" s="1"/>
  <c r="A15" i="50"/>
  <c r="A75" i="50" s="1"/>
  <c r="A16" i="50"/>
  <c r="A76" i="50" s="1"/>
  <c r="A17" i="50"/>
  <c r="A77" i="50" s="1"/>
  <c r="A18" i="50"/>
  <c r="A78" i="50" s="1"/>
  <c r="A19" i="50"/>
  <c r="A79" i="50" s="1"/>
  <c r="A20" i="50"/>
  <c r="A80" i="50" s="1"/>
  <c r="A21" i="50"/>
  <c r="A81" i="50" s="1"/>
  <c r="A22" i="50"/>
  <c r="A82" i="50" s="1"/>
  <c r="A23" i="50"/>
  <c r="A83" i="50" s="1"/>
  <c r="A24" i="50"/>
  <c r="A84" i="50" s="1"/>
  <c r="A25" i="50"/>
  <c r="A85" i="50" s="1"/>
  <c r="A26" i="50"/>
  <c r="A86" i="50" s="1"/>
  <c r="A6" i="50"/>
  <c r="A66" i="50" s="1"/>
  <c r="A7" i="50"/>
  <c r="A67" i="50" s="1"/>
  <c r="A8" i="50"/>
  <c r="A68" i="50" s="1"/>
  <c r="C63" i="50"/>
  <c r="C5" i="50"/>
  <c r="AD3" i="38"/>
  <c r="AC3" i="38"/>
  <c r="AC348" i="38" s="1"/>
  <c r="X57" i="38"/>
  <c r="V1" i="38"/>
  <c r="AP6" i="38"/>
  <c r="AP7" i="38"/>
  <c r="AP8" i="38"/>
  <c r="AP9" i="38"/>
  <c r="AP10" i="38"/>
  <c r="AP11" i="38"/>
  <c r="AP12" i="38"/>
  <c r="AP13" i="38"/>
  <c r="AP14" i="38"/>
  <c r="AP15" i="38"/>
  <c r="AP16" i="38"/>
  <c r="AP17" i="38"/>
  <c r="AP18" i="38"/>
  <c r="AP19" i="38"/>
  <c r="AP20" i="38"/>
  <c r="AP21" i="38"/>
  <c r="AP22" i="38"/>
  <c r="AP23" i="38"/>
  <c r="AP24" i="38"/>
  <c r="AP25" i="38"/>
  <c r="AP26" i="38"/>
  <c r="AP27" i="38"/>
  <c r="AP28" i="38"/>
  <c r="AP29" i="38"/>
  <c r="AP30" i="38"/>
  <c r="AP31" i="38"/>
  <c r="AP32" i="38"/>
  <c r="AP33" i="38"/>
  <c r="AP34" i="38"/>
  <c r="AP35" i="38"/>
  <c r="AP36" i="38"/>
  <c r="AP37" i="38"/>
  <c r="AP38" i="38"/>
  <c r="AP39" i="38"/>
  <c r="AP40" i="38"/>
  <c r="AP41" i="38"/>
  <c r="AP42" i="38"/>
  <c r="AP43" i="38"/>
  <c r="AP44" i="38"/>
  <c r="AP45" i="38"/>
  <c r="AP47" i="38"/>
  <c r="AP48" i="38"/>
  <c r="AP49" i="38"/>
  <c r="AP50" i="38"/>
  <c r="AP51" i="38"/>
  <c r="AP52" i="38"/>
  <c r="AP53" i="38"/>
  <c r="AP55" i="38"/>
  <c r="AP57" i="38"/>
  <c r="AP59" i="38"/>
  <c r="AP60" i="38"/>
  <c r="AP61" i="38"/>
  <c r="AP63" i="38"/>
  <c r="AP64" i="38"/>
  <c r="AP65" i="38"/>
  <c r="AP66" i="38"/>
  <c r="AP67" i="38"/>
  <c r="AP68" i="38"/>
  <c r="AP69" i="38"/>
  <c r="AP71" i="38"/>
  <c r="AP72" i="38"/>
  <c r="AP73" i="38"/>
  <c r="AP74" i="38"/>
  <c r="AP75" i="38"/>
  <c r="AP76" i="38"/>
  <c r="AP77" i="38"/>
  <c r="AP79" i="38"/>
  <c r="AP80" i="38"/>
  <c r="AP82" i="38"/>
  <c r="AP83" i="38"/>
  <c r="AP84" i="38"/>
  <c r="AP85" i="38"/>
  <c r="AP86" i="38"/>
  <c r="AP87" i="38"/>
  <c r="AP88" i="38"/>
  <c r="AP89" i="38"/>
  <c r="AP90" i="38"/>
  <c r="AP91" i="38"/>
  <c r="AP92" i="38"/>
  <c r="AP93" i="38"/>
  <c r="AP95" i="38"/>
  <c r="AP96" i="38"/>
  <c r="AP98" i="38"/>
  <c r="AP99" i="38"/>
  <c r="AP101" i="38"/>
  <c r="AP102" i="38"/>
  <c r="AP103" i="38"/>
  <c r="AP104" i="38"/>
  <c r="AP105" i="38"/>
  <c r="AP107" i="38"/>
  <c r="AP108" i="38"/>
  <c r="AP109" i="38"/>
  <c r="AP111" i="38"/>
  <c r="AP112" i="38"/>
  <c r="AP114" i="38"/>
  <c r="AP115" i="38"/>
  <c r="AP116" i="38"/>
  <c r="AP117" i="38"/>
  <c r="AP118" i="38"/>
  <c r="AP119" i="38"/>
  <c r="AP120" i="38"/>
  <c r="AP121" i="38"/>
  <c r="AP122" i="38"/>
  <c r="AP123" i="38"/>
  <c r="AP124" i="38"/>
  <c r="AP127" i="38"/>
  <c r="AP128" i="38"/>
  <c r="AP130" i="38"/>
  <c r="AP131" i="38"/>
  <c r="AP132" i="38"/>
  <c r="AP133" i="38"/>
  <c r="AP134" i="38"/>
  <c r="AP136" i="38"/>
  <c r="AP137" i="38"/>
  <c r="AP138" i="38"/>
  <c r="AP140" i="38"/>
  <c r="AP143" i="38"/>
  <c r="AP144" i="38"/>
  <c r="AP146" i="38"/>
  <c r="AP147" i="38"/>
  <c r="AP148" i="38"/>
  <c r="AP149" i="38"/>
  <c r="AP150" i="38"/>
  <c r="AP151" i="38"/>
  <c r="AP152" i="38"/>
  <c r="AP153" i="38"/>
  <c r="AP154" i="38"/>
  <c r="AP155" i="38"/>
  <c r="AP159" i="38"/>
  <c r="AP160" i="38"/>
  <c r="AP162" i="38"/>
  <c r="AP163" i="38"/>
  <c r="AP165" i="38"/>
  <c r="AP166" i="38"/>
  <c r="AP167" i="38"/>
  <c r="AP168" i="38"/>
  <c r="AP169" i="38"/>
  <c r="AP170" i="38"/>
  <c r="AP172" i="38"/>
  <c r="AP175" i="38"/>
  <c r="AP176" i="38"/>
  <c r="AP178" i="38"/>
  <c r="AP179" i="38"/>
  <c r="AP180" i="38"/>
  <c r="AP181" i="38"/>
  <c r="AP182" i="38"/>
  <c r="AP183" i="38"/>
  <c r="AP184" i="38"/>
  <c r="AP185" i="38"/>
  <c r="AP186" i="38"/>
  <c r="AP187" i="38"/>
  <c r="AP188" i="38"/>
  <c r="AP190" i="38"/>
  <c r="AP191" i="38"/>
  <c r="AP192" i="38"/>
  <c r="AP194" i="38"/>
  <c r="AP196" i="38"/>
  <c r="AP199" i="38"/>
  <c r="AP200" i="38"/>
  <c r="AP201" i="38"/>
  <c r="AP202" i="38"/>
  <c r="AP204" i="38"/>
  <c r="AP206" i="38"/>
  <c r="AP207" i="38"/>
  <c r="AP209" i="38"/>
  <c r="AP210" i="38"/>
  <c r="AP212" i="38"/>
  <c r="AP215" i="38"/>
  <c r="AP216" i="38"/>
  <c r="AP217" i="38"/>
  <c r="AP218" i="38"/>
  <c r="AP220" i="38"/>
  <c r="AP222" i="38"/>
  <c r="AP223" i="38"/>
  <c r="AP224" i="38"/>
  <c r="AP225" i="38"/>
  <c r="AP226" i="38"/>
  <c r="AP228" i="38"/>
  <c r="AP231" i="38"/>
  <c r="AP232" i="38"/>
  <c r="AP233" i="38"/>
  <c r="AP234" i="38"/>
  <c r="AP235" i="38"/>
  <c r="AP236" i="38"/>
  <c r="AP239" i="38"/>
  <c r="AP241" i="38"/>
  <c r="AP242" i="38"/>
  <c r="AP244" i="38"/>
  <c r="AP247" i="38"/>
  <c r="AP248" i="38"/>
  <c r="AP249" i="38"/>
  <c r="AP250" i="38"/>
  <c r="AP252" i="38"/>
  <c r="AP254" i="38"/>
  <c r="AP256" i="38"/>
  <c r="AP257" i="38"/>
  <c r="AP258" i="38"/>
  <c r="AP259" i="38"/>
  <c r="AP260" i="38"/>
  <c r="AP262" i="38"/>
  <c r="AP264" i="38"/>
  <c r="AP265" i="38"/>
  <c r="AP267" i="38"/>
  <c r="AP268" i="38"/>
  <c r="AP270" i="38"/>
  <c r="AP272" i="38"/>
  <c r="AP273" i="38"/>
  <c r="AP274" i="38"/>
  <c r="AP275" i="38"/>
  <c r="AP276" i="38"/>
  <c r="AP278" i="38"/>
  <c r="AP280" i="38"/>
  <c r="AP282" i="38"/>
  <c r="AP283" i="38"/>
  <c r="AP284" i="38"/>
  <c r="AP286" i="38"/>
  <c r="AP287" i="38"/>
  <c r="AP288" i="38"/>
  <c r="AP289" i="38"/>
  <c r="AP290" i="38"/>
  <c r="AP291" i="38"/>
  <c r="AP293" i="38"/>
  <c r="AP294" i="38"/>
  <c r="AP295" i="38"/>
  <c r="AP296" i="38"/>
  <c r="AP298" i="38"/>
  <c r="AP299" i="38"/>
  <c r="AP300" i="38"/>
  <c r="AP301" i="38"/>
  <c r="AP302" i="38"/>
  <c r="AP303" i="38"/>
  <c r="AP305" i="38"/>
  <c r="AP307" i="38"/>
  <c r="AP308" i="38"/>
  <c r="AP309" i="38"/>
  <c r="AP310" i="38"/>
  <c r="AP311" i="38"/>
  <c r="AP313" i="38"/>
  <c r="AP314" i="38"/>
  <c r="AP315" i="38"/>
  <c r="AP316" i="38"/>
  <c r="AP318" i="38"/>
  <c r="AP319" i="38"/>
  <c r="AP320" i="38"/>
  <c r="AP321" i="38"/>
  <c r="AP322" i="38"/>
  <c r="AP323" i="38"/>
  <c r="AP324" i="38"/>
  <c r="AP326" i="38"/>
  <c r="AP328" i="38"/>
  <c r="AP329" i="38"/>
  <c r="AP330" i="38"/>
  <c r="AP332" i="38"/>
  <c r="AP334" i="38"/>
  <c r="AP336" i="38"/>
  <c r="AP337" i="38"/>
  <c r="AP338" i="38"/>
  <c r="AP339" i="38"/>
  <c r="AP340" i="38"/>
  <c r="AP341" i="38"/>
  <c r="AP342" i="38"/>
  <c r="AP343" i="38"/>
  <c r="AP344" i="38"/>
  <c r="AP345" i="38"/>
  <c r="AP346" i="38"/>
  <c r="AP347" i="38"/>
  <c r="AP348" i="38"/>
  <c r="AP349" i="38"/>
  <c r="G350" i="38"/>
  <c r="G351" i="38"/>
  <c r="AP351" i="38" s="1"/>
  <c r="G352" i="38"/>
  <c r="AP352" i="38" s="1"/>
  <c r="G353" i="38"/>
  <c r="G354" i="38"/>
  <c r="AP354" i="38" s="1"/>
  <c r="G355" i="38"/>
  <c r="AP355" i="38" s="1"/>
  <c r="G356" i="38"/>
  <c r="G357" i="38"/>
  <c r="G358" i="38"/>
  <c r="AP358" i="38" s="1"/>
  <c r="G359" i="38"/>
  <c r="G360" i="38"/>
  <c r="G361" i="38"/>
  <c r="AP361" i="38" s="1"/>
  <c r="G362" i="38"/>
  <c r="AP362" i="38" s="1"/>
  <c r="G363" i="38"/>
  <c r="G364" i="38"/>
  <c r="G365" i="38"/>
  <c r="AP365" i="38" s="1"/>
  <c r="G366" i="38"/>
  <c r="AP366" i="38" s="1"/>
  <c r="G367" i="38"/>
  <c r="G368" i="38"/>
  <c r="AP368" i="38" s="1"/>
  <c r="G369" i="38"/>
  <c r="AP369" i="38" s="1"/>
  <c r="G370" i="38"/>
  <c r="AP370" i="38" s="1"/>
  <c r="G371" i="38"/>
  <c r="AP371" i="38" s="1"/>
  <c r="G372" i="38"/>
  <c r="AP372" i="38" s="1"/>
  <c r="G373" i="38"/>
  <c r="AP373" i="38" s="1"/>
  <c r="A3" i="38"/>
  <c r="A1" i="7" s="1"/>
  <c r="B8" i="25"/>
  <c r="B9" i="25"/>
  <c r="B13"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30" i="7"/>
  <c r="G31"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7" i="7"/>
  <c r="G178" i="7"/>
  <c r="G184" i="7"/>
  <c r="G185" i="7"/>
  <c r="G191" i="7"/>
  <c r="G192" i="7"/>
  <c r="G193" i="7"/>
  <c r="G194" i="7"/>
  <c r="G195" i="7"/>
  <c r="G196" i="7"/>
  <c r="G197" i="7"/>
  <c r="G198" i="7"/>
  <c r="G199" i="7"/>
  <c r="G200" i="7"/>
  <c r="G201" i="7"/>
  <c r="G202" i="7"/>
  <c r="G203" i="7"/>
  <c r="G204" i="7"/>
  <c r="G205" i="7"/>
  <c r="G206" i="7"/>
  <c r="G207" i="7"/>
  <c r="G208" i="7"/>
  <c r="G209" i="7"/>
  <c r="G210"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4" i="7"/>
  <c r="G325" i="7"/>
  <c r="G326" i="7"/>
  <c r="G327" i="7"/>
  <c r="G328" i="7"/>
  <c r="G329" i="7"/>
  <c r="G330" i="7"/>
  <c r="G331" i="7"/>
  <c r="G332" i="7"/>
  <c r="G333" i="7"/>
  <c r="G334" i="7"/>
  <c r="G335"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70" i="50" s="1"/>
  <c r="Q3" i="7"/>
  <c r="R3" i="7" s="1"/>
  <c r="S3" i="7"/>
  <c r="B12" i="50" s="1"/>
  <c r="B72" i="50" s="1"/>
  <c r="U3" i="7"/>
  <c r="V3" i="7" s="1"/>
  <c r="W3" i="7"/>
  <c r="B14" i="50" s="1"/>
  <c r="B74" i="50" s="1"/>
  <c r="Y3" i="7"/>
  <c r="Z3" i="7" s="1"/>
  <c r="AA3" i="7"/>
  <c r="AB3" i="7" s="1"/>
  <c r="AC3" i="7"/>
  <c r="AD3" i="7" s="1"/>
  <c r="AE3" i="7"/>
  <c r="AF3" i="7" s="1"/>
  <c r="AG3" i="7"/>
  <c r="AH3" i="7" s="1"/>
  <c r="AI3" i="7"/>
  <c r="AJ3" i="7" s="1"/>
  <c r="AK3" i="7"/>
  <c r="B21" i="50" s="1"/>
  <c r="B81" i="50" s="1"/>
  <c r="AM3" i="7"/>
  <c r="B22" i="50" s="1"/>
  <c r="B82" i="50" s="1"/>
  <c r="AO3" i="7"/>
  <c r="AP3" i="7" s="1"/>
  <c r="AQ3" i="7"/>
  <c r="B24" i="50" s="1"/>
  <c r="B84" i="50" s="1"/>
  <c r="AS3" i="7"/>
  <c r="AT3" i="7" s="1"/>
  <c r="AU3" i="7"/>
  <c r="B26" i="50" s="1"/>
  <c r="B86" i="50" s="1"/>
  <c r="AW3" i="7"/>
  <c r="K374" i="7"/>
  <c r="V383" i="38"/>
  <c r="AQ7" i="38"/>
  <c r="AR7" i="38"/>
  <c r="A378" i="38"/>
  <c r="AQ8" i="38"/>
  <c r="AR8" i="38"/>
  <c r="AQ9" i="38"/>
  <c r="AR9" i="38"/>
  <c r="AQ10" i="38"/>
  <c r="AR10" i="38"/>
  <c r="AQ11" i="38"/>
  <c r="AR11" i="38"/>
  <c r="AQ12" i="38"/>
  <c r="AR12" i="38"/>
  <c r="AQ13" i="38"/>
  <c r="AR13" i="38"/>
  <c r="AQ14" i="38"/>
  <c r="AR14" i="38"/>
  <c r="AQ15" i="38"/>
  <c r="AR15" i="38"/>
  <c r="AQ16" i="38"/>
  <c r="AR16" i="38"/>
  <c r="AQ17" i="38"/>
  <c r="AR17" i="38"/>
  <c r="AQ18" i="38"/>
  <c r="AR18" i="38"/>
  <c r="AQ19" i="38"/>
  <c r="AR19" i="38"/>
  <c r="AQ20" i="38"/>
  <c r="AR20" i="38"/>
  <c r="AQ21" i="38"/>
  <c r="AR21" i="38"/>
  <c r="AQ22" i="38"/>
  <c r="AR22" i="38"/>
  <c r="AQ23" i="38"/>
  <c r="AR23" i="38"/>
  <c r="AQ24" i="38"/>
  <c r="AR24" i="38"/>
  <c r="AQ25" i="38"/>
  <c r="AR25" i="38"/>
  <c r="AQ26" i="38"/>
  <c r="AR26" i="38"/>
  <c r="B1" i="47"/>
  <c r="G1" i="47"/>
  <c r="A2" i="47"/>
  <c r="A3" i="47"/>
  <c r="A6" i="47" s="1"/>
  <c r="AD4" i="38"/>
  <c r="AQ27" i="38"/>
  <c r="AQ28" i="38"/>
  <c r="AQ29" i="38"/>
  <c r="AQ30" i="38"/>
  <c r="AQ31" i="38"/>
  <c r="AQ32" i="38"/>
  <c r="AQ33" i="38"/>
  <c r="AQ34" i="38"/>
  <c r="AQ35" i="38"/>
  <c r="AQ36" i="38"/>
  <c r="AQ6" i="38"/>
  <c r="AR27" i="38"/>
  <c r="AR28" i="38"/>
  <c r="AR29" i="38"/>
  <c r="AR30" i="38"/>
  <c r="AR31" i="38"/>
  <c r="AR32" i="38"/>
  <c r="AR33" i="38"/>
  <c r="AR34" i="38"/>
  <c r="AR35" i="38"/>
  <c r="AR36" i="38"/>
  <c r="AR6" i="38"/>
  <c r="AQ37" i="38"/>
  <c r="AQ38" i="38"/>
  <c r="AQ39" i="38"/>
  <c r="AQ40" i="38"/>
  <c r="AQ41" i="38"/>
  <c r="AQ42" i="38"/>
  <c r="AQ43" i="38"/>
  <c r="AQ44" i="38"/>
  <c r="AQ45" i="38"/>
  <c r="AQ46" i="38"/>
  <c r="AQ47" i="38"/>
  <c r="AQ48" i="38"/>
  <c r="AQ49" i="38"/>
  <c r="AQ50" i="38"/>
  <c r="AQ51" i="38"/>
  <c r="AQ52" i="38"/>
  <c r="AQ53" i="38"/>
  <c r="AQ54" i="38"/>
  <c r="AQ55" i="38"/>
  <c r="AQ56" i="38"/>
  <c r="AQ57" i="38"/>
  <c r="AQ58" i="38"/>
  <c r="AQ59" i="38"/>
  <c r="AQ60" i="38"/>
  <c r="AQ61" i="38"/>
  <c r="AQ62" i="38"/>
  <c r="AQ63" i="38"/>
  <c r="AQ64"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Q65" i="38"/>
  <c r="AQ66" i="38"/>
  <c r="AQ67" i="38"/>
  <c r="AQ68" i="38"/>
  <c r="AQ69" i="38"/>
  <c r="AQ70" i="38"/>
  <c r="AQ71" i="38"/>
  <c r="AQ72" i="38"/>
  <c r="AQ73" i="38"/>
  <c r="AQ74" i="38"/>
  <c r="AQ75" i="38"/>
  <c r="AQ76" i="38"/>
  <c r="AQ77" i="38"/>
  <c r="AQ78" i="38"/>
  <c r="AQ79" i="38"/>
  <c r="AQ80" i="38"/>
  <c r="AQ81" i="38"/>
  <c r="AQ82" i="38"/>
  <c r="AQ83" i="38"/>
  <c r="AQ84" i="38"/>
  <c r="AQ85" i="38"/>
  <c r="AQ86" i="38"/>
  <c r="AQ87" i="38"/>
  <c r="AQ88" i="38"/>
  <c r="AQ89" i="38"/>
  <c r="AQ90" i="38"/>
  <c r="AQ91" i="38"/>
  <c r="AQ92" i="38"/>
  <c r="AQ93" i="38"/>
  <c r="AQ94" i="38"/>
  <c r="AQ95"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91" i="38"/>
  <c r="AR92" i="38"/>
  <c r="AR93" i="38"/>
  <c r="AR94" i="38"/>
  <c r="AR95" i="38"/>
  <c r="AQ96" i="38"/>
  <c r="AQ97" i="38"/>
  <c r="AQ98" i="38"/>
  <c r="AQ99" i="38"/>
  <c r="AQ100" i="38"/>
  <c r="AQ101" i="38"/>
  <c r="AQ102" i="38"/>
  <c r="AQ103" i="38"/>
  <c r="AQ104" i="38"/>
  <c r="AQ105" i="38"/>
  <c r="AQ106" i="38"/>
  <c r="AQ107" i="38"/>
  <c r="AQ108" i="38"/>
  <c r="AQ109" i="38"/>
  <c r="AQ110" i="38"/>
  <c r="AQ111" i="38"/>
  <c r="AQ112" i="38"/>
  <c r="AQ113" i="38"/>
  <c r="AQ114" i="38"/>
  <c r="AQ115" i="38"/>
  <c r="AQ116" i="38"/>
  <c r="AQ117" i="38"/>
  <c r="AQ118" i="38"/>
  <c r="AQ119" i="38"/>
  <c r="AQ120" i="38"/>
  <c r="AQ121" i="38"/>
  <c r="AQ122" i="38"/>
  <c r="AQ123" i="38"/>
  <c r="AQ124" i="38"/>
  <c r="AQ125" i="38"/>
  <c r="AR96" i="38"/>
  <c r="AR97" i="38"/>
  <c r="AR98" i="38"/>
  <c r="AR99" i="38"/>
  <c r="AR100" i="38"/>
  <c r="AR101" i="38"/>
  <c r="AR102" i="38"/>
  <c r="AR103" i="38"/>
  <c r="AR104" i="38"/>
  <c r="AR105" i="38"/>
  <c r="AR106" i="38"/>
  <c r="AR107" i="38"/>
  <c r="AR108" i="38"/>
  <c r="AR109" i="38"/>
  <c r="AR110" i="38"/>
  <c r="AR111" i="38"/>
  <c r="AR112" i="38"/>
  <c r="AR113" i="38"/>
  <c r="AR114" i="38"/>
  <c r="AR115" i="38"/>
  <c r="AR116" i="38"/>
  <c r="AR117" i="38"/>
  <c r="AR118" i="38"/>
  <c r="AR119" i="38"/>
  <c r="AR120" i="38"/>
  <c r="AR121" i="38"/>
  <c r="AR122" i="38"/>
  <c r="AR123" i="38"/>
  <c r="AR124" i="38"/>
  <c r="AR125" i="38"/>
  <c r="AQ126" i="38"/>
  <c r="AQ127" i="38"/>
  <c r="AQ128" i="38"/>
  <c r="AQ129" i="38"/>
  <c r="AQ130" i="38"/>
  <c r="AQ131" i="38"/>
  <c r="AQ132" i="38"/>
  <c r="AQ133" i="38"/>
  <c r="AQ134" i="38"/>
  <c r="AQ135" i="38"/>
  <c r="AQ136" i="38"/>
  <c r="AQ137" i="38"/>
  <c r="AQ138" i="38"/>
  <c r="AQ139" i="38"/>
  <c r="AQ140" i="38"/>
  <c r="AQ141" i="38"/>
  <c r="AQ142" i="38"/>
  <c r="AQ143" i="38"/>
  <c r="AQ144" i="38"/>
  <c r="AQ145" i="38"/>
  <c r="AQ146" i="38"/>
  <c r="AQ147" i="38"/>
  <c r="AQ148" i="38"/>
  <c r="AQ149" i="38"/>
  <c r="AQ150" i="38"/>
  <c r="AQ151" i="38"/>
  <c r="AQ152" i="38"/>
  <c r="AQ153" i="38"/>
  <c r="AQ154" i="38"/>
  <c r="AQ155" i="38"/>
  <c r="AQ156" i="38"/>
  <c r="AR126" i="38"/>
  <c r="AR127" i="38"/>
  <c r="AR128" i="38"/>
  <c r="AR129" i="38"/>
  <c r="AR130" i="38"/>
  <c r="AR131" i="38"/>
  <c r="AR132" i="38"/>
  <c r="AR133" i="38"/>
  <c r="AR134" i="38"/>
  <c r="AR135" i="38"/>
  <c r="AR136" i="38"/>
  <c r="AR137" i="38"/>
  <c r="AR138" i="38"/>
  <c r="AR139" i="38"/>
  <c r="AR140" i="38"/>
  <c r="AR141" i="38"/>
  <c r="AR142" i="38"/>
  <c r="AR143" i="38"/>
  <c r="AR144" i="38"/>
  <c r="AR145" i="38"/>
  <c r="AR146" i="38"/>
  <c r="AR147" i="38"/>
  <c r="AR148" i="38"/>
  <c r="AR149" i="38"/>
  <c r="AR150" i="38"/>
  <c r="AR151" i="38"/>
  <c r="AR152" i="38"/>
  <c r="AR153" i="38"/>
  <c r="AR154" i="38"/>
  <c r="AR155" i="38"/>
  <c r="AR156" i="38"/>
  <c r="AQ157" i="38"/>
  <c r="AQ158" i="38"/>
  <c r="AQ159" i="38"/>
  <c r="AQ160" i="38"/>
  <c r="AQ161" i="38"/>
  <c r="AQ162" i="38"/>
  <c r="AQ163" i="38"/>
  <c r="AQ164" i="38"/>
  <c r="AQ165" i="38"/>
  <c r="AQ166" i="38"/>
  <c r="AQ167" i="38"/>
  <c r="AQ168" i="38"/>
  <c r="AQ169" i="38"/>
  <c r="AQ170" i="38"/>
  <c r="AQ171" i="38"/>
  <c r="AQ172" i="38"/>
  <c r="AQ173" i="38"/>
  <c r="AQ174" i="38"/>
  <c r="AQ175" i="38"/>
  <c r="AQ176" i="38"/>
  <c r="AQ177" i="38"/>
  <c r="AQ178" i="38"/>
  <c r="AQ179" i="38"/>
  <c r="AQ180" i="38"/>
  <c r="AQ181" i="38"/>
  <c r="AQ182" i="38"/>
  <c r="AQ183" i="38"/>
  <c r="AQ184" i="38"/>
  <c r="AQ185" i="38"/>
  <c r="AQ186" i="38"/>
  <c r="AR157" i="38"/>
  <c r="AR158" i="38"/>
  <c r="AR159" i="38"/>
  <c r="AR160" i="38"/>
  <c r="AR161" i="38"/>
  <c r="AR162" i="38"/>
  <c r="AR163" i="38"/>
  <c r="AR164" i="38"/>
  <c r="AR165" i="38"/>
  <c r="AR166" i="38"/>
  <c r="AR167" i="38"/>
  <c r="AR168" i="38"/>
  <c r="AR169" i="38"/>
  <c r="AR170" i="38"/>
  <c r="AR171" i="38"/>
  <c r="AR172" i="38"/>
  <c r="AR173" i="38"/>
  <c r="AR174" i="38"/>
  <c r="AR175" i="38"/>
  <c r="AR176" i="38"/>
  <c r="AR177" i="38"/>
  <c r="AR178" i="38"/>
  <c r="AR179" i="38"/>
  <c r="AR180" i="38"/>
  <c r="AR181" i="38"/>
  <c r="AR182" i="38"/>
  <c r="AR183" i="38"/>
  <c r="AR184" i="38"/>
  <c r="AR185" i="38"/>
  <c r="AR186" i="38"/>
  <c r="AQ187" i="38"/>
  <c r="AQ188" i="38"/>
  <c r="AQ189" i="38"/>
  <c r="AQ190" i="38"/>
  <c r="AQ191" i="38"/>
  <c r="AQ192" i="38"/>
  <c r="AQ193" i="38"/>
  <c r="AQ194" i="38"/>
  <c r="AQ195" i="38"/>
  <c r="AQ196" i="38"/>
  <c r="AQ197" i="38"/>
  <c r="AQ198" i="38"/>
  <c r="AQ199" i="38"/>
  <c r="AQ200" i="38"/>
  <c r="AQ201" i="38"/>
  <c r="AQ202" i="38"/>
  <c r="AQ203" i="38"/>
  <c r="AQ204" i="38"/>
  <c r="AQ205" i="38"/>
  <c r="AQ206" i="38"/>
  <c r="AQ207" i="38"/>
  <c r="AQ208" i="38"/>
  <c r="AQ209" i="38"/>
  <c r="AQ210" i="38"/>
  <c r="AQ211" i="38"/>
  <c r="AQ212" i="38"/>
  <c r="AQ213" i="38"/>
  <c r="AQ214" i="38"/>
  <c r="AQ215" i="38"/>
  <c r="AQ216" i="38"/>
  <c r="AQ217" i="38"/>
  <c r="AR187" i="38"/>
  <c r="AR188" i="38"/>
  <c r="AR189" i="38"/>
  <c r="AR190" i="38"/>
  <c r="AR191" i="38"/>
  <c r="AR192" i="38"/>
  <c r="AR193" i="38"/>
  <c r="AR194" i="38"/>
  <c r="AR195" i="38"/>
  <c r="AR196" i="38"/>
  <c r="AR197" i="38"/>
  <c r="AR198" i="38"/>
  <c r="AR199" i="38"/>
  <c r="AR200" i="38"/>
  <c r="AR201" i="38"/>
  <c r="AR202" i="38"/>
  <c r="AR203" i="38"/>
  <c r="AR204" i="38"/>
  <c r="AR205" i="38"/>
  <c r="AR206" i="38"/>
  <c r="AR207" i="38"/>
  <c r="AR208" i="38"/>
  <c r="AR209" i="38"/>
  <c r="AR210" i="38"/>
  <c r="AR211" i="38"/>
  <c r="AR212" i="38"/>
  <c r="AR213" i="38"/>
  <c r="AR214" i="38"/>
  <c r="AR215" i="38"/>
  <c r="AR216" i="38"/>
  <c r="AR217" i="38"/>
  <c r="AQ218" i="38"/>
  <c r="AQ219" i="38"/>
  <c r="AQ220" i="38"/>
  <c r="AQ221" i="38"/>
  <c r="AQ222" i="38"/>
  <c r="AQ223" i="38"/>
  <c r="AQ224" i="38"/>
  <c r="AQ225" i="38"/>
  <c r="AQ226" i="38"/>
  <c r="AQ227" i="38"/>
  <c r="AQ228" i="38"/>
  <c r="AQ229" i="38"/>
  <c r="AQ230" i="38"/>
  <c r="AQ231" i="38"/>
  <c r="AQ232" i="38"/>
  <c r="AQ233" i="38"/>
  <c r="AQ234" i="38"/>
  <c r="AQ235" i="38"/>
  <c r="AQ236" i="38"/>
  <c r="AQ237" i="38"/>
  <c r="AQ238" i="38"/>
  <c r="AQ239" i="38"/>
  <c r="AQ240" i="38"/>
  <c r="AQ241" i="38"/>
  <c r="AQ242" i="38"/>
  <c r="AQ243" i="38"/>
  <c r="AQ244" i="38"/>
  <c r="AQ245" i="38"/>
  <c r="AQ246" i="38"/>
  <c r="AQ247" i="38"/>
  <c r="AQ248" i="38"/>
  <c r="AR218" i="38"/>
  <c r="AR219" i="38"/>
  <c r="AR220" i="38"/>
  <c r="AR221" i="38"/>
  <c r="AR222" i="38"/>
  <c r="AR223" i="38"/>
  <c r="AR224" i="38"/>
  <c r="AR225" i="38"/>
  <c r="AR226" i="38"/>
  <c r="AR227" i="38"/>
  <c r="AR228" i="38"/>
  <c r="AR229" i="38"/>
  <c r="AR230" i="38"/>
  <c r="AR231" i="38"/>
  <c r="AR232" i="38"/>
  <c r="AR233" i="38"/>
  <c r="AR234" i="38"/>
  <c r="AR235" i="38"/>
  <c r="AR236" i="38"/>
  <c r="AR237" i="38"/>
  <c r="AR238" i="38"/>
  <c r="AR239" i="38"/>
  <c r="AR240" i="38"/>
  <c r="AR241" i="38"/>
  <c r="AR242" i="38"/>
  <c r="AR243" i="38"/>
  <c r="AR244" i="38"/>
  <c r="AR245" i="38"/>
  <c r="AR246" i="38"/>
  <c r="AR247" i="38"/>
  <c r="AR248" i="38"/>
  <c r="AQ249" i="38"/>
  <c r="AQ250" i="38"/>
  <c r="AQ251" i="38"/>
  <c r="AQ252" i="38"/>
  <c r="AQ253" i="38"/>
  <c r="AQ254" i="38"/>
  <c r="AQ255" i="38"/>
  <c r="AQ256" i="38"/>
  <c r="AQ257" i="38"/>
  <c r="AQ258" i="38"/>
  <c r="AQ259" i="38"/>
  <c r="AQ260" i="38"/>
  <c r="AQ261" i="38"/>
  <c r="AQ262" i="38"/>
  <c r="AQ263" i="38"/>
  <c r="AQ264" i="38"/>
  <c r="AQ265" i="38"/>
  <c r="AQ266" i="38"/>
  <c r="AQ267" i="38"/>
  <c r="AQ268" i="38"/>
  <c r="AQ269" i="38"/>
  <c r="AQ270" i="38"/>
  <c r="AQ271" i="38"/>
  <c r="AQ272" i="38"/>
  <c r="AQ273" i="38"/>
  <c r="AQ274" i="38"/>
  <c r="AQ275" i="38"/>
  <c r="AQ276" i="38"/>
  <c r="AQ277" i="38"/>
  <c r="AQ278" i="38"/>
  <c r="AR249" i="38"/>
  <c r="AR250" i="38"/>
  <c r="AR251" i="38"/>
  <c r="AR252" i="38"/>
  <c r="AR253" i="38"/>
  <c r="AR254" i="38"/>
  <c r="AR255" i="38"/>
  <c r="AR256" i="38"/>
  <c r="AR257" i="38"/>
  <c r="AR258" i="38"/>
  <c r="AR259" i="38"/>
  <c r="AR260" i="38"/>
  <c r="AR261" i="38"/>
  <c r="AR262" i="38"/>
  <c r="AR263" i="38"/>
  <c r="AR264" i="38"/>
  <c r="AR265" i="38"/>
  <c r="AR266" i="38"/>
  <c r="AR267" i="38"/>
  <c r="AR268" i="38"/>
  <c r="AR269" i="38"/>
  <c r="AR270" i="38"/>
  <c r="AR271" i="38"/>
  <c r="AR272" i="38"/>
  <c r="AR273" i="38"/>
  <c r="AR274" i="38"/>
  <c r="AR275" i="38"/>
  <c r="AR276" i="38"/>
  <c r="AR277" i="38"/>
  <c r="AR278" i="38"/>
  <c r="AQ279" i="38"/>
  <c r="AQ280" i="38"/>
  <c r="AQ281" i="38"/>
  <c r="AQ282" i="38"/>
  <c r="AQ283" i="38"/>
  <c r="AQ284" i="38"/>
  <c r="AQ285" i="38"/>
  <c r="AQ286" i="38"/>
  <c r="AQ287" i="38"/>
  <c r="AQ288" i="38"/>
  <c r="AQ289" i="38"/>
  <c r="AQ290" i="38"/>
  <c r="AQ291" i="38"/>
  <c r="AQ292" i="38"/>
  <c r="AQ293" i="38"/>
  <c r="AQ294" i="38"/>
  <c r="AQ295" i="38"/>
  <c r="AQ296" i="38"/>
  <c r="AQ297" i="38"/>
  <c r="AQ298" i="38"/>
  <c r="AQ299" i="38"/>
  <c r="AQ300" i="38"/>
  <c r="AQ301" i="38"/>
  <c r="AQ302" i="38"/>
  <c r="AQ303" i="38"/>
  <c r="AQ304" i="38"/>
  <c r="AQ305" i="38"/>
  <c r="AQ306" i="38"/>
  <c r="AQ307" i="38"/>
  <c r="AQ308" i="38"/>
  <c r="AQ309" i="38"/>
  <c r="AR279" i="38"/>
  <c r="AR280" i="38"/>
  <c r="AR281" i="38"/>
  <c r="AR282" i="38"/>
  <c r="AR283" i="38"/>
  <c r="AR284" i="38"/>
  <c r="AR285" i="38"/>
  <c r="AR286" i="38"/>
  <c r="AR287" i="38"/>
  <c r="AR288" i="38"/>
  <c r="AR289" i="38"/>
  <c r="AR290" i="38"/>
  <c r="AR291" i="38"/>
  <c r="AR292" i="38"/>
  <c r="AR293" i="38"/>
  <c r="AR294" i="38"/>
  <c r="AR295" i="38"/>
  <c r="AR296" i="38"/>
  <c r="AR297" i="38"/>
  <c r="AR298" i="38"/>
  <c r="AR299" i="38"/>
  <c r="AR300" i="38"/>
  <c r="AR301" i="38"/>
  <c r="AR302" i="38"/>
  <c r="AR303" i="38"/>
  <c r="AR304" i="38"/>
  <c r="AR305" i="38"/>
  <c r="AR306" i="38"/>
  <c r="AR307" i="38"/>
  <c r="AR308" i="38"/>
  <c r="AR309" i="38"/>
  <c r="AQ310" i="38"/>
  <c r="AQ311" i="38"/>
  <c r="AQ312" i="38"/>
  <c r="AQ313" i="38"/>
  <c r="AQ314" i="38"/>
  <c r="AQ315" i="38"/>
  <c r="AQ316" i="38"/>
  <c r="AQ317" i="38"/>
  <c r="AQ318" i="38"/>
  <c r="AQ319" i="38"/>
  <c r="AQ320" i="38"/>
  <c r="AQ321" i="38"/>
  <c r="AQ322" i="38"/>
  <c r="AQ323" i="38"/>
  <c r="AQ324" i="38"/>
  <c r="AQ325" i="38"/>
  <c r="AQ326" i="38"/>
  <c r="AQ327" i="38"/>
  <c r="AQ328" i="38"/>
  <c r="AQ329" i="38"/>
  <c r="AQ330" i="38"/>
  <c r="AQ331" i="38"/>
  <c r="AQ332" i="38"/>
  <c r="AQ333" i="38"/>
  <c r="AQ334" i="38"/>
  <c r="AQ335" i="38"/>
  <c r="AQ336" i="38"/>
  <c r="AQ337" i="38"/>
  <c r="AQ338" i="38"/>
  <c r="AQ339" i="38"/>
  <c r="AR310" i="38"/>
  <c r="AR311" i="38"/>
  <c r="AR312" i="38"/>
  <c r="AR313" i="38"/>
  <c r="AR314" i="38"/>
  <c r="AR315" i="38"/>
  <c r="AR316" i="38"/>
  <c r="AR317" i="38"/>
  <c r="AR318" i="38"/>
  <c r="AR319" i="38"/>
  <c r="AR320" i="38"/>
  <c r="AR321" i="38"/>
  <c r="AR322" i="38"/>
  <c r="AR323" i="38"/>
  <c r="AR324" i="38"/>
  <c r="AR325" i="38"/>
  <c r="AR326" i="38"/>
  <c r="AR327" i="38"/>
  <c r="AR328" i="38"/>
  <c r="AR329" i="38"/>
  <c r="AR330" i="38"/>
  <c r="AR331" i="38"/>
  <c r="AR332" i="38"/>
  <c r="AR333" i="38"/>
  <c r="AR334" i="38"/>
  <c r="AR335" i="38"/>
  <c r="AR336" i="38"/>
  <c r="AR337" i="38"/>
  <c r="AR338" i="38"/>
  <c r="AR339" i="38"/>
  <c r="AQ347" i="38"/>
  <c r="AQ340" i="38"/>
  <c r="AQ341" i="38"/>
  <c r="AQ342" i="38"/>
  <c r="AQ343" i="38"/>
  <c r="AQ344" i="38"/>
  <c r="AQ345" i="38"/>
  <c r="AQ346" i="38"/>
  <c r="AQ348" i="38"/>
  <c r="AQ349" i="38"/>
  <c r="AQ350" i="38"/>
  <c r="AQ351" i="38"/>
  <c r="AQ352" i="38"/>
  <c r="AQ353" i="38"/>
  <c r="AQ354" i="38"/>
  <c r="AQ355" i="38"/>
  <c r="AQ356" i="38"/>
  <c r="AQ357" i="38"/>
  <c r="AQ358" i="38"/>
  <c r="AQ359" i="38"/>
  <c r="AQ360" i="38"/>
  <c r="AQ361" i="38"/>
  <c r="AQ362" i="38"/>
  <c r="AQ363" i="38"/>
  <c r="AQ364" i="38"/>
  <c r="AQ365" i="38"/>
  <c r="AQ366" i="38"/>
  <c r="AQ367" i="38"/>
  <c r="AQ368" i="38"/>
  <c r="AQ369" i="38"/>
  <c r="AQ370" i="38"/>
  <c r="AR347" i="38"/>
  <c r="AR340" i="38"/>
  <c r="AR341" i="38"/>
  <c r="AR342" i="38"/>
  <c r="AR343" i="38"/>
  <c r="AR344" i="38"/>
  <c r="AR345" i="38"/>
  <c r="AR346" i="38"/>
  <c r="AR348" i="38"/>
  <c r="AR349" i="38"/>
  <c r="AR350" i="38"/>
  <c r="AR351" i="38"/>
  <c r="AR352" i="38"/>
  <c r="AR353" i="38"/>
  <c r="AR354" i="38"/>
  <c r="AR355" i="38"/>
  <c r="AR356" i="38"/>
  <c r="AR357" i="38"/>
  <c r="AR358" i="38"/>
  <c r="AR359" i="38"/>
  <c r="AR360" i="38"/>
  <c r="AR361" i="38"/>
  <c r="AR362" i="38"/>
  <c r="AR363" i="38"/>
  <c r="AR364" i="38"/>
  <c r="AR365" i="38"/>
  <c r="AR366" i="38"/>
  <c r="AR367" i="38"/>
  <c r="AR368" i="38"/>
  <c r="AR369" i="38"/>
  <c r="AR370" i="38"/>
  <c r="H21" i="47"/>
  <c r="A22" i="47"/>
  <c r="H22" i="47"/>
  <c r="A26" i="47"/>
  <c r="H24" i="47"/>
  <c r="H25" i="47"/>
  <c r="H26" i="47"/>
  <c r="B2" i="20"/>
  <c r="M3" i="20"/>
  <c r="M4" i="20"/>
  <c r="H5" i="20"/>
  <c r="M5" i="20"/>
  <c r="M6" i="20"/>
  <c r="M7" i="20"/>
  <c r="M8" i="20"/>
  <c r="H9" i="20"/>
  <c r="M9" i="20"/>
  <c r="L10" i="20"/>
  <c r="E12" i="20"/>
  <c r="Q12" i="20"/>
  <c r="V379" i="38"/>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Q59" i="49"/>
  <c r="B1" i="6"/>
  <c r="C1" i="6"/>
  <c r="F1" i="6"/>
  <c r="G1" i="6"/>
  <c r="B4" i="6"/>
  <c r="E1" i="38"/>
  <c r="I1" i="38"/>
  <c r="A2" i="38"/>
  <c r="G5" i="38"/>
  <c r="AP5" i="38" s="1"/>
  <c r="AQ371" i="38"/>
  <c r="AR371" i="38"/>
  <c r="AQ372" i="38"/>
  <c r="AR372" i="38"/>
  <c r="AQ373" i="38"/>
  <c r="AR373" i="38"/>
  <c r="AF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5" i="25"/>
  <c r="B5" i="48"/>
  <c r="B11" i="25"/>
  <c r="B12" i="25"/>
  <c r="B17" i="25"/>
  <c r="B14" i="25"/>
  <c r="B16" i="25"/>
  <c r="B10" i="25"/>
  <c r="BP3" i="7" l="1"/>
  <c r="B36" i="50"/>
  <c r="B96" i="50" s="1"/>
  <c r="AX3" i="7"/>
  <c r="B27" i="50"/>
  <c r="B87" i="50" s="1"/>
  <c r="BQ3" i="7"/>
  <c r="BR1" i="7"/>
  <c r="BS1" i="7"/>
  <c r="C4" i="50"/>
  <c r="C65" i="50" s="1"/>
  <c r="D5" i="50"/>
  <c r="A391" i="38"/>
  <c r="A7" i="47"/>
  <c r="AW15" i="38"/>
  <c r="AW14" i="38"/>
  <c r="R3" i="48"/>
  <c r="AT5" i="38"/>
  <c r="AS5" i="38"/>
  <c r="AC119" i="38"/>
  <c r="X262" i="38"/>
  <c r="X232" i="38"/>
  <c r="X174" i="38"/>
  <c r="AC241" i="38"/>
  <c r="X220" i="38"/>
  <c r="X217" i="38"/>
  <c r="X177" i="38"/>
  <c r="X19" i="38"/>
  <c r="AN3" i="7"/>
  <c r="AC250" i="38"/>
  <c r="B20" i="50"/>
  <c r="B80" i="50" s="1"/>
  <c r="AC243" i="38"/>
  <c r="AC85" i="38"/>
  <c r="B18" i="50"/>
  <c r="B78" i="50" s="1"/>
  <c r="AC103" i="38"/>
  <c r="AC343" i="38"/>
  <c r="AC233" i="38"/>
  <c r="AC65" i="38"/>
  <c r="B13" i="50"/>
  <c r="B73" i="50" s="1"/>
  <c r="A377" i="38"/>
  <c r="AO5" i="38" s="1"/>
  <c r="AC314" i="38"/>
  <c r="AC132" i="38"/>
  <c r="AC338" i="38"/>
  <c r="AC245" i="38"/>
  <c r="AC84" i="38"/>
  <c r="B9" i="50"/>
  <c r="B69" i="50" s="1"/>
  <c r="AC114" i="38"/>
  <c r="AC68" i="38"/>
  <c r="AC353" i="38"/>
  <c r="X12" i="38"/>
  <c r="X186" i="38"/>
  <c r="X123" i="38"/>
  <c r="A5" i="47"/>
  <c r="AV3" i="7"/>
  <c r="V382" i="38"/>
  <c r="E3" i="38" s="1"/>
  <c r="X243" i="38"/>
  <c r="X315" i="38"/>
  <c r="X222" i="38"/>
  <c r="X296" i="38"/>
  <c r="B23" i="50"/>
  <c r="B83" i="50" s="1"/>
  <c r="B16" i="50"/>
  <c r="B76" i="50" s="1"/>
  <c r="B17" i="50"/>
  <c r="B77" i="50" s="1"/>
  <c r="B25" i="50"/>
  <c r="B85" i="50" s="1"/>
  <c r="X340" i="38"/>
  <c r="X64" i="38"/>
  <c r="X254" i="38"/>
  <c r="X105" i="38"/>
  <c r="X35" i="38"/>
  <c r="X280" i="38"/>
  <c r="X237" i="38"/>
  <c r="B6" i="50"/>
  <c r="B66" i="50" s="1"/>
  <c r="P3" i="7"/>
  <c r="X183" i="38"/>
  <c r="X190" i="38"/>
  <c r="X299" i="38"/>
  <c r="X365" i="38"/>
  <c r="X317" i="38"/>
  <c r="X286" i="38"/>
  <c r="X79" i="38"/>
  <c r="B11" i="50"/>
  <c r="B71" i="50" s="1"/>
  <c r="AW11" i="38"/>
  <c r="AR3" i="7"/>
  <c r="AL3" i="7"/>
  <c r="AW370" i="38"/>
  <c r="AE370" i="38" s="1"/>
  <c r="T3" i="7"/>
  <c r="B15" i="50"/>
  <c r="B75" i="50" s="1"/>
  <c r="B19" i="50"/>
  <c r="B79" i="50" s="1"/>
  <c r="AW366" i="38"/>
  <c r="AE366" i="38" s="1"/>
  <c r="AP306" i="38"/>
  <c r="AW306" i="38"/>
  <c r="AW222" i="38"/>
  <c r="AW159" i="38"/>
  <c r="A40" i="48"/>
  <c r="A6" i="48"/>
  <c r="V5" i="48"/>
  <c r="AW369" i="38"/>
  <c r="AE369" i="38" s="1"/>
  <c r="AP238" i="38"/>
  <c r="AW238" i="38"/>
  <c r="AP266" i="38"/>
  <c r="AW265" i="38"/>
  <c r="AW121" i="38"/>
  <c r="AW339" i="38"/>
  <c r="AW8" i="38"/>
  <c r="AW241" i="38"/>
  <c r="AP325" i="38"/>
  <c r="AW325" i="38"/>
  <c r="AW295" i="38"/>
  <c r="AW282" i="38"/>
  <c r="AP193" i="38"/>
  <c r="AW192" i="38"/>
  <c r="AP156" i="38"/>
  <c r="AW153" i="38"/>
  <c r="AP58" i="38"/>
  <c r="AW57" i="38"/>
  <c r="AC169" i="38"/>
  <c r="AC194" i="38"/>
  <c r="AC60" i="38"/>
  <c r="AC305" i="38"/>
  <c r="AC360" i="38"/>
  <c r="AC367" i="38"/>
  <c r="AC365" i="38"/>
  <c r="AC204" i="38"/>
  <c r="AC142" i="38"/>
  <c r="AC5" i="38"/>
  <c r="AC283" i="38"/>
  <c r="AC336" i="38"/>
  <c r="AC238" i="38"/>
  <c r="AC30" i="38"/>
  <c r="AC112" i="38"/>
  <c r="AC257" i="38"/>
  <c r="AC180" i="38"/>
  <c r="AC221" i="38"/>
  <c r="AC141" i="38"/>
  <c r="AC123" i="38"/>
  <c r="AC317" i="38"/>
  <c r="AC49" i="38"/>
  <c r="AC89" i="38"/>
  <c r="AC133" i="38"/>
  <c r="AC75" i="38"/>
  <c r="AC108" i="38"/>
  <c r="AC248" i="38"/>
  <c r="AC223" i="38"/>
  <c r="AC73" i="38"/>
  <c r="AC209" i="38"/>
  <c r="AC90" i="38"/>
  <c r="AC154" i="38"/>
  <c r="AC198" i="38"/>
  <c r="AC200" i="38"/>
  <c r="AC249" i="38"/>
  <c r="AC258" i="38"/>
  <c r="AC344" i="38"/>
  <c r="AC196" i="38"/>
  <c r="AC173" i="38"/>
  <c r="AC210" i="38"/>
  <c r="AC45" i="38"/>
  <c r="AC83" i="38"/>
  <c r="AC242" i="38"/>
  <c r="AC224" i="38"/>
  <c r="AC100" i="38"/>
  <c r="AC166" i="38"/>
  <c r="AC363" i="38"/>
  <c r="AC182" i="38"/>
  <c r="AC327" i="38"/>
  <c r="AC13" i="38"/>
  <c r="AC156" i="38"/>
  <c r="AC302" i="38"/>
  <c r="AC366" i="38"/>
  <c r="AC149" i="38"/>
  <c r="AC178" i="38"/>
  <c r="AC320" i="38"/>
  <c r="AC291" i="38"/>
  <c r="AC150" i="38"/>
  <c r="AC25" i="38"/>
  <c r="M10" i="20"/>
  <c r="D6" i="20" s="1"/>
  <c r="AW85" i="38"/>
  <c r="AW115" i="38"/>
  <c r="AW343" i="38"/>
  <c r="AW9" i="38"/>
  <c r="C2" i="23"/>
  <c r="X3" i="7"/>
  <c r="AW148" i="38"/>
  <c r="AW17" i="38"/>
  <c r="B7" i="50"/>
  <c r="B67" i="50" s="1"/>
  <c r="AW358" i="38"/>
  <c r="AW270" i="38"/>
  <c r="AW247" i="38"/>
  <c r="AW133" i="38"/>
  <c r="AW34" i="38"/>
  <c r="AC357" i="38"/>
  <c r="AC93" i="38"/>
  <c r="AC11" i="38"/>
  <c r="AC197" i="38"/>
  <c r="AC324" i="38"/>
  <c r="AC237" i="38"/>
  <c r="AC22" i="38"/>
  <c r="AC71" i="38"/>
  <c r="AC186" i="38"/>
  <c r="AC253" i="38"/>
  <c r="AC268" i="38"/>
  <c r="AC208" i="38"/>
  <c r="AC311" i="38"/>
  <c r="AC275" i="38"/>
  <c r="AC72" i="38"/>
  <c r="AC289" i="38"/>
  <c r="AC131" i="38"/>
  <c r="AC64" i="38"/>
  <c r="AC187" i="38"/>
  <c r="AC240" i="38"/>
  <c r="AC239" i="38"/>
  <c r="AC63" i="38"/>
  <c r="AC105" i="38"/>
  <c r="AC87" i="38"/>
  <c r="AC270" i="38"/>
  <c r="AC361" i="38"/>
  <c r="AC126" i="38"/>
  <c r="AC288" i="38"/>
  <c r="AC295" i="38"/>
  <c r="AC134" i="38"/>
  <c r="AC145" i="38"/>
  <c r="AC349" i="38"/>
  <c r="AC261" i="38"/>
  <c r="AC293" i="38"/>
  <c r="AC271" i="38"/>
  <c r="AC57" i="38"/>
  <c r="AC326" i="38"/>
  <c r="R357" i="38"/>
  <c r="AC79" i="38"/>
  <c r="AC110" i="38"/>
  <c r="AC269" i="38"/>
  <c r="AC118" i="38"/>
  <c r="AC205" i="38"/>
  <c r="AC280" i="38"/>
  <c r="AC370" i="38"/>
  <c r="AC230" i="38"/>
  <c r="AC35" i="38"/>
  <c r="AC38" i="38"/>
  <c r="AC307" i="38"/>
  <c r="AC287" i="38"/>
  <c r="AC323" i="38"/>
  <c r="AC247" i="38"/>
  <c r="AC86" i="38"/>
  <c r="AC304" i="38"/>
  <c r="AC46" i="38"/>
  <c r="AC170" i="38"/>
  <c r="AC333" i="38"/>
  <c r="AC167" i="38"/>
  <c r="AC260" i="38"/>
  <c r="AC175" i="38"/>
  <c r="AC143" i="38"/>
  <c r="AC159" i="38"/>
  <c r="AC231" i="38"/>
  <c r="AC47" i="38"/>
  <c r="AC177" i="38"/>
  <c r="AC294" i="38"/>
  <c r="AC191" i="38"/>
  <c r="AC70" i="38"/>
  <c r="AC33" i="38"/>
  <c r="AC185" i="38"/>
  <c r="AC312" i="38"/>
  <c r="AC77" i="38"/>
  <c r="AC216" i="38"/>
  <c r="AC96" i="38"/>
  <c r="AC116" i="38"/>
  <c r="X129" i="38"/>
  <c r="AC217" i="38"/>
  <c r="AC117" i="38"/>
  <c r="AC106" i="38"/>
  <c r="AC306" i="38"/>
  <c r="AC95" i="38"/>
  <c r="AC213" i="38"/>
  <c r="AC188" i="38"/>
  <c r="AC229" i="38"/>
  <c r="AC301" i="38"/>
  <c r="AC334" i="38"/>
  <c r="AC42" i="38"/>
  <c r="AC276" i="38"/>
  <c r="AC273" i="38"/>
  <c r="AC104" i="38"/>
  <c r="AC155" i="38"/>
  <c r="AC14" i="38"/>
  <c r="AC285" i="38"/>
  <c r="AC165" i="38"/>
  <c r="AC330" i="38"/>
  <c r="AC286" i="38"/>
  <c r="AC183" i="38"/>
  <c r="AC164" i="38"/>
  <c r="AC109" i="38"/>
  <c r="AC147" i="38"/>
  <c r="AC292" i="38"/>
  <c r="AC319" i="38"/>
  <c r="AC225" i="38"/>
  <c r="AC212" i="38"/>
  <c r="AC277" i="38"/>
  <c r="AC37" i="38"/>
  <c r="AC26" i="38"/>
  <c r="AC102" i="38"/>
  <c r="AC94" i="38"/>
  <c r="AC51" i="38"/>
  <c r="AC29" i="38"/>
  <c r="AC251" i="38"/>
  <c r="AC92" i="38"/>
  <c r="AC226" i="38"/>
  <c r="AC23" i="38"/>
  <c r="AC236" i="38"/>
  <c r="AC232" i="38"/>
  <c r="AC356" i="38"/>
  <c r="AC59" i="38"/>
  <c r="AC321" i="38"/>
  <c r="AC53" i="38"/>
  <c r="AC308" i="38"/>
  <c r="AC358" i="38"/>
  <c r="AC107" i="38"/>
  <c r="AC369" i="38"/>
  <c r="AC244" i="38"/>
  <c r="AC364" i="38"/>
  <c r="AC296" i="38"/>
  <c r="AC124" i="38"/>
  <c r="AC36" i="38"/>
  <c r="AC158" i="38"/>
  <c r="AC203" i="38"/>
  <c r="AC290" i="38"/>
  <c r="AC7" i="38"/>
  <c r="AC235" i="38"/>
  <c r="AC176" i="38"/>
  <c r="AC211" i="38"/>
  <c r="AC129" i="38"/>
  <c r="AC146" i="38"/>
  <c r="AC111" i="38"/>
  <c r="AC61" i="38"/>
  <c r="AC329" i="38"/>
  <c r="AC313" i="38"/>
  <c r="AC332" i="38"/>
  <c r="AC297" i="38"/>
  <c r="AC82" i="38"/>
  <c r="AC69" i="38"/>
  <c r="AC252" i="38"/>
  <c r="AC322" i="38"/>
  <c r="AC256" i="38"/>
  <c r="AC43" i="38"/>
  <c r="AC97" i="38"/>
  <c r="AC8" i="38"/>
  <c r="AC281" i="38"/>
  <c r="AC27" i="38"/>
  <c r="AC52" i="38"/>
  <c r="AC234" i="38"/>
  <c r="AC171" i="38"/>
  <c r="AC316" i="38"/>
  <c r="AC15" i="38"/>
  <c r="AC9" i="38"/>
  <c r="AC371" i="38"/>
  <c r="AC328" i="38"/>
  <c r="AC373" i="38"/>
  <c r="AC152" i="38"/>
  <c r="AC284" i="38"/>
  <c r="AC120" i="38"/>
  <c r="AC339" i="38"/>
  <c r="AC340" i="38"/>
  <c r="AC136" i="38"/>
  <c r="AC32" i="38"/>
  <c r="AC125" i="38"/>
  <c r="AC181" i="38"/>
  <c r="AC139" i="38"/>
  <c r="AC278" i="38"/>
  <c r="AC359" i="38"/>
  <c r="AC113" i="38"/>
  <c r="AC262" i="38"/>
  <c r="AC88" i="38"/>
  <c r="AC325" i="38"/>
  <c r="AC54" i="38"/>
  <c r="AC199" i="38"/>
  <c r="AC189" i="38"/>
  <c r="AC137" i="38"/>
  <c r="AC193" i="38"/>
  <c r="AC266" i="38"/>
  <c r="AC219" i="38"/>
  <c r="AC368" i="38"/>
  <c r="AC39" i="38"/>
  <c r="AC184" i="38"/>
  <c r="AC350" i="38"/>
  <c r="AC220" i="38"/>
  <c r="AC318" i="38"/>
  <c r="AC259" i="38"/>
  <c r="AC78" i="38"/>
  <c r="AC347" i="38"/>
  <c r="AC346" i="38"/>
  <c r="AC135" i="38"/>
  <c r="AC160" i="38"/>
  <c r="AC352" i="38"/>
  <c r="AC76" i="38"/>
  <c r="AC41" i="38"/>
  <c r="AC21" i="38"/>
  <c r="AC214" i="38"/>
  <c r="AC121" i="38"/>
  <c r="AC246" i="38"/>
  <c r="AC67" i="38"/>
  <c r="AC303" i="38"/>
  <c r="AC162" i="38"/>
  <c r="AC20" i="38"/>
  <c r="AC50" i="38"/>
  <c r="AC300" i="38"/>
  <c r="AC128" i="38"/>
  <c r="AC345" i="38"/>
  <c r="AC48" i="38"/>
  <c r="AC372" i="38"/>
  <c r="AC337" i="38"/>
  <c r="AC263" i="38"/>
  <c r="AC174" i="38"/>
  <c r="AC299" i="38"/>
  <c r="AC267" i="38"/>
  <c r="AC28" i="38"/>
  <c r="AC362" i="38"/>
  <c r="AC17" i="38"/>
  <c r="AC55" i="38"/>
  <c r="AC206" i="38"/>
  <c r="AC272" i="38"/>
  <c r="AC161" i="38"/>
  <c r="AC99" i="38"/>
  <c r="AC6" i="38"/>
  <c r="AC98" i="38"/>
  <c r="AC40" i="38"/>
  <c r="AC74" i="38"/>
  <c r="AC115" i="38"/>
  <c r="AC44" i="38"/>
  <c r="AC168" i="38"/>
  <c r="AC341" i="38"/>
  <c r="AC227" i="38"/>
  <c r="AC298" i="38"/>
  <c r="AC331" i="38"/>
  <c r="AC354" i="38"/>
  <c r="AC66" i="38"/>
  <c r="AC265" i="38"/>
  <c r="AC279" i="38"/>
  <c r="AC138" i="38"/>
  <c r="AC309" i="38"/>
  <c r="X122" i="38"/>
  <c r="X202" i="38"/>
  <c r="X120" i="38"/>
  <c r="X302" i="38"/>
  <c r="X54" i="38"/>
  <c r="X288" i="38"/>
  <c r="X214" i="38"/>
  <c r="X244" i="38"/>
  <c r="X25" i="38"/>
  <c r="X325" i="38"/>
  <c r="X267" i="38"/>
  <c r="X234" i="38"/>
  <c r="X62" i="38"/>
  <c r="X353" i="38"/>
  <c r="X212" i="38"/>
  <c r="X224" i="38"/>
  <c r="X144" i="38"/>
  <c r="X331" i="38"/>
  <c r="X159" i="38"/>
  <c r="X28" i="38"/>
  <c r="X209" i="38"/>
  <c r="X266" i="38"/>
  <c r="X107" i="38"/>
  <c r="X207" i="38"/>
  <c r="X201" i="38"/>
  <c r="X43" i="38"/>
  <c r="X89" i="38"/>
  <c r="X23" i="38"/>
  <c r="X68" i="38"/>
  <c r="X151" i="38"/>
  <c r="X92" i="38"/>
  <c r="X304" i="38"/>
  <c r="X101" i="38"/>
  <c r="X56" i="38"/>
  <c r="X102" i="38"/>
  <c r="X51" i="38"/>
  <c r="X15" i="38"/>
  <c r="X231" i="38"/>
  <c r="X295" i="38"/>
  <c r="X119" i="38"/>
  <c r="X249" i="38"/>
  <c r="X69" i="38"/>
  <c r="X228" i="38"/>
  <c r="X210" i="38"/>
  <c r="X161" i="38"/>
  <c r="X270" i="38"/>
  <c r="X320" i="38"/>
  <c r="X96" i="38"/>
  <c r="X104" i="38"/>
  <c r="X90" i="38"/>
  <c r="X81" i="38"/>
  <c r="X160" i="38"/>
  <c r="X316" i="38"/>
  <c r="X372" i="38"/>
  <c r="X327" i="38"/>
  <c r="X314" i="38"/>
  <c r="X194" i="38"/>
  <c r="X310" i="38"/>
  <c r="X216" i="38"/>
  <c r="X364" i="38"/>
  <c r="X78" i="38"/>
  <c r="X233" i="38"/>
  <c r="X255" i="38"/>
  <c r="X294" i="38"/>
  <c r="X59" i="38"/>
  <c r="X247" i="38"/>
  <c r="X326" i="38"/>
  <c r="X282" i="38"/>
  <c r="X205" i="38"/>
  <c r="X188" i="38"/>
  <c r="X126" i="38"/>
  <c r="X75" i="38"/>
  <c r="X192" i="38"/>
  <c r="X152" i="38"/>
  <c r="X155" i="38"/>
  <c r="X26" i="38"/>
  <c r="X265" i="38"/>
  <c r="X141" i="38"/>
  <c r="X206" i="38"/>
  <c r="X32" i="38"/>
  <c r="X350" i="38"/>
  <c r="X11" i="38"/>
  <c r="X307" i="38"/>
  <c r="AC310" i="38"/>
  <c r="AC58" i="38"/>
  <c r="AC80" i="38"/>
  <c r="AC190" i="38"/>
  <c r="AC179" i="38"/>
  <c r="AC10" i="38"/>
  <c r="AC355" i="38"/>
  <c r="AC255" i="38"/>
  <c r="AC351" i="38"/>
  <c r="AC19" i="38"/>
  <c r="AC163" i="38"/>
  <c r="AC192" i="38"/>
  <c r="AC56" i="38"/>
  <c r="AC16" i="38"/>
  <c r="AC264" i="38"/>
  <c r="AC122" i="38"/>
  <c r="AC315" i="38"/>
  <c r="AC144" i="38"/>
  <c r="AC31" i="38"/>
  <c r="AC172" i="38"/>
  <c r="AC228" i="38"/>
  <c r="AC222" i="38"/>
  <c r="AC62" i="38"/>
  <c r="AC157" i="38"/>
  <c r="AC335" i="38"/>
  <c r="AC140" i="38"/>
  <c r="AC201" i="38"/>
  <c r="AC342" i="38"/>
  <c r="AC282" i="38"/>
  <c r="AC91" i="38"/>
  <c r="AC34" i="38"/>
  <c r="AC254" i="38"/>
  <c r="AC151" i="38"/>
  <c r="AC12" i="38"/>
  <c r="AC101" i="38"/>
  <c r="AC202" i="38"/>
  <c r="AC218" i="38"/>
  <c r="AC130" i="38"/>
  <c r="AC81" i="38"/>
  <c r="AC215" i="38"/>
  <c r="AC207" i="38"/>
  <c r="AC127" i="38"/>
  <c r="AC274" i="38"/>
  <c r="AC195" i="38"/>
  <c r="AC18" i="38"/>
  <c r="AC24" i="38"/>
  <c r="AC153" i="38"/>
  <c r="AC148" i="38"/>
  <c r="AP364" i="38"/>
  <c r="AW364" i="38"/>
  <c r="AE364" i="38" s="1"/>
  <c r="AW356" i="38"/>
  <c r="AW354" i="38"/>
  <c r="AP356" i="38"/>
  <c r="AW351" i="38"/>
  <c r="AW347" i="38"/>
  <c r="AW340" i="38"/>
  <c r="AP246" i="38"/>
  <c r="AW246" i="38"/>
  <c r="AW87" i="38"/>
  <c r="AW102" i="38"/>
  <c r="AW117" i="38"/>
  <c r="AW151" i="38"/>
  <c r="AW186" i="38"/>
  <c r="AW294" i="38"/>
  <c r="AW314" i="38"/>
  <c r="AW71" i="38"/>
  <c r="AW21" i="38"/>
  <c r="AW45" i="38"/>
  <c r="AW98" i="38"/>
  <c r="AW127" i="38"/>
  <c r="AW140" i="38"/>
  <c r="AW203" i="38"/>
  <c r="AW188" i="38"/>
  <c r="AW322" i="38"/>
  <c r="AW334" i="38"/>
  <c r="AW277" i="38"/>
  <c r="AP277" i="38"/>
  <c r="AW272" i="38"/>
  <c r="AW263" i="38"/>
  <c r="AP263" i="38"/>
  <c r="AP227" i="38"/>
  <c r="AW227" i="38"/>
  <c r="AW225" i="38"/>
  <c r="AW226" i="38"/>
  <c r="AW224" i="38"/>
  <c r="AP221" i="38"/>
  <c r="AW221" i="38"/>
  <c r="AW220" i="38"/>
  <c r="AW218" i="38"/>
  <c r="AP214" i="38"/>
  <c r="AW213" i="38"/>
  <c r="AW214" i="38"/>
  <c r="AW162" i="38"/>
  <c r="AW164" i="38"/>
  <c r="AP164" i="38"/>
  <c r="AW160" i="38"/>
  <c r="AW149" i="38"/>
  <c r="AW365" i="38"/>
  <c r="AE365" i="38" s="1"/>
  <c r="AP367" i="38"/>
  <c r="AW367" i="38"/>
  <c r="AE367" i="38" s="1"/>
  <c r="AP360" i="38"/>
  <c r="AW360" i="38"/>
  <c r="AP292" i="38"/>
  <c r="AW292" i="38"/>
  <c r="AW286" i="38"/>
  <c r="AW290" i="38"/>
  <c r="AW287" i="38"/>
  <c r="AW291" i="38"/>
  <c r="AW285" i="38"/>
  <c r="AW284" i="38"/>
  <c r="AW283" i="38"/>
  <c r="AP285" i="38"/>
  <c r="AW271" i="38"/>
  <c r="AP271" i="38"/>
  <c r="AP253" i="38"/>
  <c r="AW248" i="38"/>
  <c r="AW253" i="38"/>
  <c r="AW207" i="38"/>
  <c r="AW206" i="38"/>
  <c r="AW208" i="38"/>
  <c r="AP208" i="38"/>
  <c r="AP62" i="38"/>
  <c r="AW58" i="38"/>
  <c r="AW60" i="38"/>
  <c r="AW59" i="38"/>
  <c r="AW119" i="38"/>
  <c r="AW135" i="38"/>
  <c r="AW163" i="38"/>
  <c r="AW181" i="38"/>
  <c r="AW185" i="38"/>
  <c r="AW310" i="38"/>
  <c r="AW311" i="38"/>
  <c r="AW337" i="38"/>
  <c r="AW348" i="38"/>
  <c r="AW69" i="38"/>
  <c r="AW52" i="38"/>
  <c r="AW73" i="38"/>
  <c r="AW62" i="38"/>
  <c r="AW39" i="38"/>
  <c r="AW82" i="38"/>
  <c r="AW235" i="38"/>
  <c r="AW217" i="38"/>
  <c r="AW281" i="38"/>
  <c r="AW252" i="38"/>
  <c r="AW194" i="38"/>
  <c r="AW297" i="38"/>
  <c r="AW346" i="38"/>
  <c r="AP333" i="38"/>
  <c r="AW333" i="38"/>
  <c r="AW332" i="38"/>
  <c r="AW329" i="38"/>
  <c r="AW328" i="38"/>
  <c r="AW296" i="38"/>
  <c r="AW320" i="38"/>
  <c r="AW304" i="38"/>
  <c r="AW305" i="38"/>
  <c r="AW268" i="38"/>
  <c r="AW269" i="38"/>
  <c r="AP269" i="38"/>
  <c r="AW264" i="38"/>
  <c r="AW254" i="38"/>
  <c r="AW255" i="38"/>
  <c r="AP255" i="38"/>
  <c r="AP195" i="38"/>
  <c r="AW193" i="38"/>
  <c r="AW195" i="38"/>
  <c r="AP189" i="38"/>
  <c r="AW189" i="38"/>
  <c r="AW177" i="38"/>
  <c r="AW184" i="38"/>
  <c r="AW179" i="38"/>
  <c r="AW187" i="38"/>
  <c r="AW176" i="38"/>
  <c r="AW183" i="38"/>
  <c r="AW180" i="38"/>
  <c r="AP174" i="38"/>
  <c r="AW172" i="38"/>
  <c r="AW169" i="38"/>
  <c r="AW168" i="38"/>
  <c r="AW170" i="38"/>
  <c r="AW100" i="38"/>
  <c r="AP100" i="38"/>
  <c r="AW64" i="38"/>
  <c r="AW99" i="38"/>
  <c r="AW84" i="38"/>
  <c r="AW88" i="38"/>
  <c r="AW104" i="38"/>
  <c r="AW154" i="38"/>
  <c r="AW165" i="38"/>
  <c r="AW182" i="38"/>
  <c r="AW299" i="38"/>
  <c r="AW307" i="38"/>
  <c r="AW342" i="38"/>
  <c r="AW355" i="38"/>
  <c r="AW37" i="38"/>
  <c r="AW49" i="38"/>
  <c r="AW7" i="38"/>
  <c r="AW22" i="38"/>
  <c r="AW61" i="38"/>
  <c r="AW130" i="38"/>
  <c r="AW174" i="38"/>
  <c r="AW273" i="38"/>
  <c r="AW262" i="38"/>
  <c r="AW230" i="38"/>
  <c r="AW190" i="38"/>
  <c r="AW276" i="38"/>
  <c r="AW278" i="38"/>
  <c r="AW279" i="38"/>
  <c r="AP279" i="38"/>
  <c r="AW260" i="38"/>
  <c r="AP261" i="38"/>
  <c r="AW259" i="38"/>
  <c r="AW257" i="38"/>
  <c r="AW261" i="38"/>
  <c r="AW256" i="38"/>
  <c r="AW239" i="38"/>
  <c r="AW240" i="38"/>
  <c r="AP240" i="38"/>
  <c r="AW234" i="38"/>
  <c r="AW231" i="38"/>
  <c r="AP139" i="38"/>
  <c r="AW139" i="38"/>
  <c r="AW134" i="38"/>
  <c r="AP135" i="38"/>
  <c r="AP129" i="38"/>
  <c r="AW129" i="38"/>
  <c r="AW128" i="38"/>
  <c r="AP125" i="38"/>
  <c r="AW125" i="38"/>
  <c r="AW123" i="38"/>
  <c r="AW112" i="38"/>
  <c r="AW120" i="38"/>
  <c r="AW116" i="38"/>
  <c r="AW124" i="38"/>
  <c r="AW113" i="38"/>
  <c r="AW122" i="38"/>
  <c r="AW118" i="38"/>
  <c r="AP110" i="38"/>
  <c r="AW108" i="38"/>
  <c r="AW107" i="38"/>
  <c r="AW110" i="38"/>
  <c r="AW109" i="38"/>
  <c r="AP106" i="38"/>
  <c r="AW103" i="38"/>
  <c r="AW105" i="38"/>
  <c r="AW101" i="38"/>
  <c r="AW106" i="38"/>
  <c r="AW56" i="38"/>
  <c r="AW55" i="38"/>
  <c r="AW47" i="38"/>
  <c r="AW53" i="38"/>
  <c r="AW50" i="38"/>
  <c r="AP56" i="38"/>
  <c r="AW38" i="38"/>
  <c r="AW54" i="38"/>
  <c r="AW36" i="38"/>
  <c r="AW16" i="38"/>
  <c r="AW48" i="38"/>
  <c r="AW353" i="38"/>
  <c r="AP353" i="38"/>
  <c r="AW350" i="38"/>
  <c r="AW352" i="38"/>
  <c r="AW345" i="38"/>
  <c r="AW338" i="38"/>
  <c r="AW336" i="38"/>
  <c r="AW344" i="38"/>
  <c r="AP335" i="38"/>
  <c r="AW335" i="38"/>
  <c r="AP327" i="38"/>
  <c r="AW323" i="38"/>
  <c r="AW327" i="38"/>
  <c r="AW321" i="38"/>
  <c r="AW324" i="38"/>
  <c r="AW318" i="38"/>
  <c r="AW319" i="38"/>
  <c r="AP317" i="38"/>
  <c r="AW317" i="38"/>
  <c r="AW315" i="38"/>
  <c r="AW316" i="38"/>
  <c r="AW313" i="38"/>
  <c r="AP304" i="38"/>
  <c r="AW302" i="38"/>
  <c r="AW298" i="38"/>
  <c r="AW301" i="38"/>
  <c r="AW303" i="38"/>
  <c r="AP297" i="38"/>
  <c r="AW293" i="38"/>
  <c r="AP243" i="38"/>
  <c r="AW243" i="38"/>
  <c r="AW242" i="38"/>
  <c r="AP237" i="38"/>
  <c r="AW237" i="38"/>
  <c r="AW233" i="38"/>
  <c r="AW236" i="38"/>
  <c r="AP230" i="38"/>
  <c r="AW229" i="38"/>
  <c r="AW223" i="38"/>
  <c r="AP171" i="38"/>
  <c r="AW171" i="38"/>
  <c r="AW167" i="38"/>
  <c r="AW166" i="38"/>
  <c r="AP161" i="38"/>
  <c r="AW161" i="38"/>
  <c r="AP157" i="38"/>
  <c r="AW157" i="38"/>
  <c r="AW156" i="38"/>
  <c r="AW144" i="38"/>
  <c r="AW143" i="38"/>
  <c r="AW152" i="38"/>
  <c r="AW147" i="38"/>
  <c r="AW155" i="38"/>
  <c r="AW146" i="38"/>
  <c r="AW150" i="38"/>
  <c r="AP142" i="38"/>
  <c r="AW142" i="38"/>
  <c r="AW136" i="38"/>
  <c r="AW138" i="38"/>
  <c r="AW137" i="38"/>
  <c r="AW131" i="38"/>
  <c r="AW132" i="38"/>
  <c r="AP46" i="38"/>
  <c r="AW26" i="38"/>
  <c r="AW41" i="38"/>
  <c r="AW32" i="38"/>
  <c r="AW27" i="38"/>
  <c r="AW31" i="38"/>
  <c r="AW19" i="38"/>
  <c r="AW10" i="38"/>
  <c r="AW40" i="38"/>
  <c r="AW29" i="38"/>
  <c r="AW46" i="38"/>
  <c r="AW42" i="38"/>
  <c r="AW23" i="38"/>
  <c r="AW30" i="38"/>
  <c r="AW13" i="38"/>
  <c r="AW18" i="38"/>
  <c r="AW25" i="38"/>
  <c r="AW33" i="38"/>
  <c r="AW28" i="38"/>
  <c r="AW24" i="38"/>
  <c r="AW43" i="38"/>
  <c r="AW44" i="38"/>
  <c r="AW6" i="38"/>
  <c r="AW35" i="38"/>
  <c r="AW20" i="38"/>
  <c r="AW12" i="38"/>
  <c r="AW373" i="38"/>
  <c r="AE373" i="38" s="1"/>
  <c r="AW372" i="38"/>
  <c r="AE372" i="38" s="1"/>
  <c r="AW371" i="38"/>
  <c r="AE371" i="38" s="1"/>
  <c r="AW368" i="38"/>
  <c r="AE368" i="38" s="1"/>
  <c r="AP363" i="38"/>
  <c r="AW362" i="38"/>
  <c r="AW363" i="38"/>
  <c r="AE363" i="38" s="1"/>
  <c r="AW361" i="38"/>
  <c r="AP359" i="38"/>
  <c r="AW359" i="38"/>
  <c r="AP312" i="38"/>
  <c r="AW309" i="38"/>
  <c r="AW308" i="38"/>
  <c r="AW312" i="38"/>
  <c r="AP211" i="38"/>
  <c r="AW209" i="38"/>
  <c r="AW210" i="38"/>
  <c r="AW211" i="38"/>
  <c r="AP205" i="38"/>
  <c r="AW204" i="38"/>
  <c r="AW205" i="38"/>
  <c r="AW200" i="38"/>
  <c r="AP198" i="38"/>
  <c r="AW198" i="38"/>
  <c r="AW196" i="38"/>
  <c r="AW191" i="38"/>
  <c r="AP97" i="38"/>
  <c r="AW95" i="38"/>
  <c r="AW96" i="38"/>
  <c r="AW97" i="38"/>
  <c r="AW94" i="38"/>
  <c r="AW89" i="38"/>
  <c r="AW86" i="38"/>
  <c r="AW93" i="38"/>
  <c r="AW79" i="38"/>
  <c r="AW90" i="38"/>
  <c r="AW83" i="38"/>
  <c r="AP78" i="38"/>
  <c r="AW78" i="38"/>
  <c r="AW77" i="38"/>
  <c r="AW74" i="38"/>
  <c r="AW76" i="38"/>
  <c r="AW75" i="38"/>
  <c r="AW72" i="38"/>
  <c r="AW67" i="38"/>
  <c r="AW68" i="38"/>
  <c r="AW63" i="38"/>
  <c r="AW66" i="38"/>
  <c r="AW326" i="38"/>
  <c r="AW289" i="38"/>
  <c r="AW288" i="38"/>
  <c r="AP281" i="38"/>
  <c r="AW280" i="38"/>
  <c r="AP251" i="38"/>
  <c r="AW251" i="38"/>
  <c r="AW250" i="38"/>
  <c r="AW249" i="38"/>
  <c r="AP245" i="38"/>
  <c r="AW245" i="38"/>
  <c r="AW244" i="38"/>
  <c r="AP229" i="38"/>
  <c r="AW228" i="38"/>
  <c r="AP219" i="38"/>
  <c r="AW219" i="38"/>
  <c r="AP213" i="38"/>
  <c r="AW212" i="38"/>
  <c r="AP203" i="38"/>
  <c r="AW201" i="38"/>
  <c r="AW202" i="38"/>
  <c r="AP197" i="38"/>
  <c r="AW197" i="38"/>
  <c r="AP177" i="38"/>
  <c r="AW175" i="38"/>
  <c r="AP173" i="38"/>
  <c r="AW173" i="38"/>
  <c r="AP145" i="38"/>
  <c r="AW145" i="38"/>
  <c r="AP141" i="38"/>
  <c r="AW141" i="38"/>
  <c r="AP113" i="38"/>
  <c r="AW111" i="38"/>
  <c r="AP81" i="38"/>
  <c r="AW80" i="38"/>
  <c r="AW81" i="38"/>
  <c r="AP357" i="38"/>
  <c r="AW357" i="38"/>
  <c r="AW349" i="38"/>
  <c r="AP350" i="38"/>
  <c r="AP331" i="38"/>
  <c r="AW330" i="38"/>
  <c r="AW331" i="38"/>
  <c r="AW300" i="38"/>
  <c r="AW275" i="38"/>
  <c r="AW274" i="38"/>
  <c r="AW266" i="38"/>
  <c r="AW267" i="38"/>
  <c r="AW258" i="38"/>
  <c r="AW232" i="38"/>
  <c r="AW215" i="38"/>
  <c r="AW216" i="38"/>
  <c r="AW199" i="38"/>
  <c r="AW178" i="38"/>
  <c r="AP158" i="38"/>
  <c r="AW158" i="38"/>
  <c r="AP126" i="38"/>
  <c r="AW126" i="38"/>
  <c r="AW114" i="38"/>
  <c r="AP94" i="38"/>
  <c r="AW92" i="38"/>
  <c r="AW91" i="38"/>
  <c r="AP70" i="38"/>
  <c r="AW70" i="38"/>
  <c r="AW65" i="38"/>
  <c r="AP54" i="38"/>
  <c r="AW51" i="38"/>
  <c r="R372" i="38"/>
  <c r="R364" i="38"/>
  <c r="X128" i="38"/>
  <c r="X180" i="38"/>
  <c r="X346" i="38"/>
  <c r="X264" i="38"/>
  <c r="X5" i="38"/>
  <c r="X154" i="38"/>
  <c r="X236" i="38"/>
  <c r="X293" i="38"/>
  <c r="X93" i="38"/>
  <c r="X103" i="38"/>
  <c r="X211" i="38"/>
  <c r="X84" i="38"/>
  <c r="X77" i="38"/>
  <c r="X323" i="38"/>
  <c r="X82" i="38"/>
  <c r="X259" i="38"/>
  <c r="X67" i="38"/>
  <c r="X239" i="38"/>
  <c r="X319" i="38"/>
  <c r="X176" i="38"/>
  <c r="X46" i="38"/>
  <c r="X100" i="38"/>
  <c r="X354" i="38"/>
  <c r="X337" i="38"/>
  <c r="X273" i="38"/>
  <c r="X52" i="38"/>
  <c r="X168" i="38"/>
  <c r="X322" i="38"/>
  <c r="X14" i="38"/>
  <c r="X318" i="38"/>
  <c r="X352" i="38"/>
  <c r="X112" i="38"/>
  <c r="X135" i="38"/>
  <c r="X371" i="38"/>
  <c r="X355" i="38"/>
  <c r="X240" i="38"/>
  <c r="X91" i="38"/>
  <c r="X324" i="38"/>
  <c r="X138" i="38"/>
  <c r="X164" i="38"/>
  <c r="X173" i="38"/>
  <c r="X303" i="38"/>
  <c r="X21" i="38"/>
  <c r="X27" i="38"/>
  <c r="X258" i="38"/>
  <c r="X85" i="38"/>
  <c r="X363" i="38"/>
  <c r="X349" i="38"/>
  <c r="X347" i="38"/>
  <c r="X300" i="38"/>
  <c r="X49" i="38"/>
  <c r="X172" i="38"/>
  <c r="X86" i="38"/>
  <c r="X366" i="38"/>
  <c r="X88" i="38"/>
  <c r="X373" i="38"/>
  <c r="X116" i="38"/>
  <c r="X150" i="38"/>
  <c r="X13" i="38"/>
  <c r="X58" i="38"/>
  <c r="X136" i="38"/>
  <c r="X156" i="38"/>
  <c r="X47" i="38"/>
  <c r="X223" i="38"/>
  <c r="X321" i="38"/>
  <c r="X71" i="38"/>
  <c r="X48" i="38"/>
  <c r="X16" i="38"/>
  <c r="X7" i="38"/>
  <c r="X298" i="38"/>
  <c r="X361" i="38"/>
  <c r="X22" i="38"/>
  <c r="X45" i="38"/>
  <c r="X292" i="38"/>
  <c r="X275" i="38"/>
  <c r="X313" i="38"/>
  <c r="X367" i="38"/>
  <c r="X117" i="38"/>
  <c r="X127" i="38"/>
  <c r="X356" i="38"/>
  <c r="X333" i="38"/>
  <c r="X184" i="38"/>
  <c r="X219" i="38"/>
  <c r="X31" i="38"/>
  <c r="X306" i="38"/>
  <c r="X200" i="38"/>
  <c r="X278" i="38"/>
  <c r="X6" i="38"/>
  <c r="X238" i="38"/>
  <c r="X196" i="38"/>
  <c r="X175" i="38"/>
  <c r="X163" i="38"/>
  <c r="X218" i="38"/>
  <c r="X98" i="38"/>
  <c r="X338" i="38"/>
  <c r="X114" i="38"/>
  <c r="X76" i="38"/>
  <c r="X297" i="38"/>
  <c r="X357" i="38"/>
  <c r="X272" i="38"/>
  <c r="X309" i="38"/>
  <c r="X63" i="38"/>
  <c r="X111" i="38"/>
  <c r="X269" i="38"/>
  <c r="X153" i="38"/>
  <c r="X36" i="38"/>
  <c r="X213" i="38"/>
  <c r="X131" i="38"/>
  <c r="X348" i="38"/>
  <c r="X227" i="38"/>
  <c r="X208" i="38"/>
  <c r="X44" i="38"/>
  <c r="X53" i="38"/>
  <c r="X271" i="38"/>
  <c r="X106" i="38"/>
  <c r="X145" i="38"/>
  <c r="X110" i="38"/>
  <c r="X335" i="38"/>
  <c r="X311" i="38"/>
  <c r="X369" i="38"/>
  <c r="X130" i="38"/>
  <c r="X226" i="38"/>
  <c r="X187" i="38"/>
  <c r="X142" i="38"/>
  <c r="X359" i="38"/>
  <c r="X289" i="38"/>
  <c r="X60" i="38"/>
  <c r="X261" i="38"/>
  <c r="X181" i="38"/>
  <c r="X195" i="38"/>
  <c r="X80" i="38"/>
  <c r="X339" i="38"/>
  <c r="X37" i="38"/>
  <c r="X17" i="38"/>
  <c r="X158" i="38"/>
  <c r="X279" i="38"/>
  <c r="X139" i="38"/>
  <c r="X268" i="38"/>
  <c r="X257" i="38"/>
  <c r="X351" i="38"/>
  <c r="X221" i="38"/>
  <c r="X137" i="38"/>
  <c r="X360" i="38"/>
  <c r="X109" i="38"/>
  <c r="X74" i="38"/>
  <c r="X336" i="38"/>
  <c r="X260" i="38"/>
  <c r="X40" i="38"/>
  <c r="X241" i="38"/>
  <c r="X182" i="38"/>
  <c r="X248" i="38"/>
  <c r="X167" i="38"/>
  <c r="X179" i="38"/>
  <c r="X204" i="38"/>
  <c r="X341" i="38"/>
  <c r="X50" i="38"/>
  <c r="X140" i="38"/>
  <c r="X132" i="38"/>
  <c r="X108" i="38"/>
  <c r="X230" i="38"/>
  <c r="X287" i="38"/>
  <c r="X330" i="38"/>
  <c r="X97" i="38"/>
  <c r="X170" i="38"/>
  <c r="X29" i="38"/>
  <c r="X189" i="38"/>
  <c r="X8" i="38"/>
  <c r="X246" i="38"/>
  <c r="X193" i="38"/>
  <c r="X263" i="38"/>
  <c r="X55" i="38"/>
  <c r="X133" i="38"/>
  <c r="X250" i="38"/>
  <c r="X281" i="38"/>
  <c r="X10" i="38"/>
  <c r="X225" i="38"/>
  <c r="X143" i="38"/>
  <c r="X72" i="38"/>
  <c r="X171" i="38"/>
  <c r="X115" i="38"/>
  <c r="X178" i="38"/>
  <c r="X215" i="38"/>
  <c r="X73" i="38"/>
  <c r="X328" i="38"/>
  <c r="X18" i="38"/>
  <c r="X199" i="38"/>
  <c r="X362" i="38"/>
  <c r="X203" i="38"/>
  <c r="X229" i="38"/>
  <c r="X235" i="38"/>
  <c r="X99" i="38"/>
  <c r="X157" i="38"/>
  <c r="X9" i="38"/>
  <c r="X308" i="38"/>
  <c r="X61" i="38"/>
  <c r="X345" i="38"/>
  <c r="X41" i="38"/>
  <c r="X30" i="38"/>
  <c r="X245" i="38"/>
  <c r="X358" i="38"/>
  <c r="J4" i="47"/>
  <c r="P23" i="47" s="1"/>
  <c r="AN4" i="38"/>
  <c r="D4" i="6" s="1"/>
  <c r="X33" i="38"/>
  <c r="X70" i="38"/>
  <c r="X185" i="38"/>
  <c r="X134" i="38"/>
  <c r="X146" i="38"/>
  <c r="X169" i="38"/>
  <c r="X66" i="38"/>
  <c r="X118" i="38"/>
  <c r="X39" i="38"/>
  <c r="X285" i="38"/>
  <c r="X312" i="38"/>
  <c r="X342" i="38"/>
  <c r="X125" i="38"/>
  <c r="X147" i="38"/>
  <c r="X94" i="38"/>
  <c r="X95" i="38"/>
  <c r="X251" i="38"/>
  <c r="X191" i="38"/>
  <c r="X242" i="38"/>
  <c r="X38" i="38"/>
  <c r="X121" i="38"/>
  <c r="X24" i="38"/>
  <c r="X20" i="38"/>
  <c r="X256" i="38"/>
  <c r="X332" i="38"/>
  <c r="X197" i="38"/>
  <c r="X305" i="38"/>
  <c r="X65" i="38"/>
  <c r="X277" i="38"/>
  <c r="X274" i="38"/>
  <c r="X162" i="38"/>
  <c r="X252" i="38"/>
  <c r="X329" i="38"/>
  <c r="X370" i="38"/>
  <c r="X283" i="38"/>
  <c r="X198" i="38"/>
  <c r="X87" i="38"/>
  <c r="X368" i="38"/>
  <c r="X124" i="38"/>
  <c r="X290" i="38"/>
  <c r="X83" i="38"/>
  <c r="X34" i="38"/>
  <c r="X166" i="38"/>
  <c r="X149" i="38"/>
  <c r="X253" i="38"/>
  <c r="X113" i="38"/>
  <c r="X42" i="38"/>
  <c r="X165" i="38"/>
  <c r="X301" i="38"/>
  <c r="X148" i="38"/>
  <c r="X291" i="38"/>
  <c r="X344" i="38"/>
  <c r="X334" i="38"/>
  <c r="X276" i="38"/>
  <c r="X284" i="38"/>
  <c r="X343" i="38"/>
  <c r="R4" i="48"/>
  <c r="R353" i="38"/>
  <c r="R370" i="38"/>
  <c r="R366" i="38"/>
  <c r="A381" i="38"/>
  <c r="R368" i="38"/>
  <c r="R359" i="38"/>
  <c r="R355" i="38"/>
  <c r="R351" i="38"/>
  <c r="A3" i="49"/>
  <c r="A6" i="38"/>
  <c r="C27" i="50" s="1"/>
  <c r="E3" i="49"/>
  <c r="R361" i="38"/>
  <c r="F2" i="23"/>
  <c r="E2" i="23"/>
  <c r="AQ374" i="38"/>
  <c r="AR374" i="38"/>
  <c r="B8" i="50"/>
  <c r="B68" i="50" s="1"/>
  <c r="L3" i="7"/>
  <c r="AW341" i="38"/>
  <c r="R371" i="38"/>
  <c r="R367" i="38"/>
  <c r="R363" i="38"/>
  <c r="R360" i="38"/>
  <c r="R352" i="38"/>
  <c r="R373" i="38"/>
  <c r="R365" i="38"/>
  <c r="R358" i="38"/>
  <c r="R354" i="38"/>
  <c r="U11" i="38"/>
  <c r="R356" i="38"/>
  <c r="B6" i="48"/>
  <c r="BR3" i="7" l="1"/>
  <c r="B37" i="50"/>
  <c r="B97" i="50" s="1"/>
  <c r="C48" i="50"/>
  <c r="C57" i="50"/>
  <c r="C105" i="50"/>
  <c r="C89" i="50"/>
  <c r="C104" i="50"/>
  <c r="C88" i="50"/>
  <c r="C101" i="50"/>
  <c r="C103" i="50"/>
  <c r="C87" i="50"/>
  <c r="C118" i="50"/>
  <c r="C102" i="50"/>
  <c r="C117" i="50"/>
  <c r="C116" i="50"/>
  <c r="C100" i="50"/>
  <c r="C114" i="50"/>
  <c r="C98" i="50"/>
  <c r="C113" i="50"/>
  <c r="C97" i="50"/>
  <c r="C112" i="50"/>
  <c r="C96" i="50"/>
  <c r="C107" i="50"/>
  <c r="C111" i="50"/>
  <c r="C95" i="50"/>
  <c r="C91" i="50"/>
  <c r="C110" i="50"/>
  <c r="C94" i="50"/>
  <c r="C109" i="50"/>
  <c r="C93" i="50"/>
  <c r="C108" i="50"/>
  <c r="C92" i="50"/>
  <c r="C106" i="50"/>
  <c r="C90" i="50"/>
  <c r="C99" i="50"/>
  <c r="C115" i="50"/>
  <c r="D57" i="50"/>
  <c r="D48" i="50"/>
  <c r="C42" i="50"/>
  <c r="C43" i="50"/>
  <c r="C44" i="50"/>
  <c r="C29" i="50"/>
  <c r="C45" i="50"/>
  <c r="C30" i="50"/>
  <c r="C46" i="50"/>
  <c r="C31" i="50"/>
  <c r="C47" i="50"/>
  <c r="C49" i="50"/>
  <c r="C32" i="50"/>
  <c r="C33" i="50"/>
  <c r="C50" i="50"/>
  <c r="D58" i="50"/>
  <c r="D56" i="50"/>
  <c r="D55" i="50"/>
  <c r="D54" i="50"/>
  <c r="D53" i="50"/>
  <c r="D52" i="50"/>
  <c r="D51" i="50"/>
  <c r="D50" i="50"/>
  <c r="D49" i="50"/>
  <c r="D47" i="50"/>
  <c r="D46" i="50"/>
  <c r="D45" i="50"/>
  <c r="D44" i="50"/>
  <c r="D43" i="50"/>
  <c r="D42" i="50"/>
  <c r="D41" i="50"/>
  <c r="D40" i="50"/>
  <c r="D39" i="50"/>
  <c r="D38" i="50"/>
  <c r="D37" i="50"/>
  <c r="D36" i="50"/>
  <c r="D35" i="50"/>
  <c r="D34" i="50"/>
  <c r="D33" i="50"/>
  <c r="D32" i="50"/>
  <c r="D31" i="50"/>
  <c r="D30" i="50"/>
  <c r="D29" i="50"/>
  <c r="C34" i="50"/>
  <c r="C51" i="50"/>
  <c r="C35" i="50"/>
  <c r="C52" i="50"/>
  <c r="C36" i="50"/>
  <c r="C53" i="50"/>
  <c r="C37" i="50"/>
  <c r="C54" i="50"/>
  <c r="C38" i="50"/>
  <c r="C55" i="50"/>
  <c r="C39" i="50"/>
  <c r="C56" i="50"/>
  <c r="C40" i="50"/>
  <c r="C58" i="50"/>
  <c r="C41" i="50"/>
  <c r="E5" i="50"/>
  <c r="D27" i="50"/>
  <c r="D28" i="50"/>
  <c r="C82" i="50"/>
  <c r="C28" i="50"/>
  <c r="BS3" i="7"/>
  <c r="BT1" i="7"/>
  <c r="BU1" i="7"/>
  <c r="B389" i="38"/>
  <c r="B390" i="38"/>
  <c r="B387" i="38"/>
  <c r="B388" i="38"/>
  <c r="A8" i="47"/>
  <c r="U367" i="38"/>
  <c r="AD367" i="38" s="1"/>
  <c r="U370" i="38"/>
  <c r="V370" i="38" s="1"/>
  <c r="U371" i="38"/>
  <c r="AD371" i="38" s="1"/>
  <c r="U373" i="38"/>
  <c r="V373" i="38" s="1"/>
  <c r="U368" i="38"/>
  <c r="V368" i="38" s="1"/>
  <c r="AI368" i="38" s="1"/>
  <c r="U372" i="38"/>
  <c r="V372" i="38" s="1"/>
  <c r="E371" i="7" s="1"/>
  <c r="F371" i="7" s="1"/>
  <c r="U356" i="38"/>
  <c r="AD356" i="38" s="1"/>
  <c r="U352" i="38"/>
  <c r="V352" i="38" s="1"/>
  <c r="AI352" i="38" s="1"/>
  <c r="U353" i="38"/>
  <c r="AD353" i="38" s="1"/>
  <c r="U357" i="38"/>
  <c r="AD357" i="38" s="1"/>
  <c r="U360" i="38"/>
  <c r="AD360" i="38" s="1"/>
  <c r="U358" i="38"/>
  <c r="V358" i="38" s="1"/>
  <c r="U363" i="38"/>
  <c r="V363" i="38" s="1"/>
  <c r="AI363" i="38" s="1"/>
  <c r="U351" i="38"/>
  <c r="AD351" i="38" s="1"/>
  <c r="U365" i="38"/>
  <c r="V365" i="38" s="1"/>
  <c r="U355" i="38"/>
  <c r="V355" i="38" s="1"/>
  <c r="AI355" i="38" s="1"/>
  <c r="U364" i="38"/>
  <c r="V364" i="38" s="1"/>
  <c r="U359" i="38"/>
  <c r="AD359" i="38" s="1"/>
  <c r="U361" i="38"/>
  <c r="V361" i="38" s="1"/>
  <c r="AI361" i="38" s="1"/>
  <c r="U354" i="38"/>
  <c r="V354" i="38" s="1"/>
  <c r="U366" i="38"/>
  <c r="AD366" i="38" s="1"/>
  <c r="G323" i="7"/>
  <c r="G336" i="7"/>
  <c r="G322" i="7"/>
  <c r="V158" i="38"/>
  <c r="G85" i="7"/>
  <c r="G183" i="7"/>
  <c r="G176" i="7"/>
  <c r="G186" i="7"/>
  <c r="G179" i="7"/>
  <c r="G187" i="7"/>
  <c r="G211" i="7"/>
  <c r="G180" i="7"/>
  <c r="G188" i="7"/>
  <c r="I92" i="7"/>
  <c r="G181" i="7"/>
  <c r="G189" i="7"/>
  <c r="G182" i="7"/>
  <c r="G190" i="7"/>
  <c r="V39" i="38"/>
  <c r="V115" i="38"/>
  <c r="AI115" i="38" s="1"/>
  <c r="G25" i="7"/>
  <c r="G33" i="7"/>
  <c r="G26" i="7"/>
  <c r="G34" i="7"/>
  <c r="G27" i="7"/>
  <c r="G35" i="7"/>
  <c r="G28" i="7"/>
  <c r="G29" i="7"/>
  <c r="G32" i="7"/>
  <c r="V305" i="38"/>
  <c r="AI305" i="38" s="1"/>
  <c r="AD86" i="38"/>
  <c r="V41" i="38"/>
  <c r="AD290" i="38"/>
  <c r="AD180" i="38"/>
  <c r="AD143" i="38"/>
  <c r="V87" i="38"/>
  <c r="V235" i="38"/>
  <c r="V172" i="38"/>
  <c r="V131" i="38"/>
  <c r="V339" i="38"/>
  <c r="V270" i="38"/>
  <c r="AD325" i="38"/>
  <c r="AD151" i="38"/>
  <c r="AD123" i="38"/>
  <c r="V6" i="48"/>
  <c r="V26" i="38"/>
  <c r="AD32" i="38"/>
  <c r="AD284" i="38"/>
  <c r="V66" i="38"/>
  <c r="V130" i="38"/>
  <c r="AD178" i="38"/>
  <c r="AD242" i="38"/>
  <c r="AD136" i="38"/>
  <c r="AD173" i="38"/>
  <c r="AD283" i="38"/>
  <c r="V347" i="38"/>
  <c r="AD45" i="38"/>
  <c r="V93" i="38"/>
  <c r="AD221" i="38"/>
  <c r="V207" i="38"/>
  <c r="AD291" i="38"/>
  <c r="AD67" i="38"/>
  <c r="AD116" i="38"/>
  <c r="AD42" i="38"/>
  <c r="V74" i="38"/>
  <c r="AD186" i="38"/>
  <c r="V234" i="38"/>
  <c r="AD282" i="38"/>
  <c r="AD312" i="38"/>
  <c r="AD348" i="38"/>
  <c r="V46" i="38"/>
  <c r="V304" i="38"/>
  <c r="AI304" i="38" s="1"/>
  <c r="AD183" i="38"/>
  <c r="AD94" i="38"/>
  <c r="AD188" i="38"/>
  <c r="AD344" i="38"/>
  <c r="AD324" i="38"/>
  <c r="AD122" i="38"/>
  <c r="AD53" i="38"/>
  <c r="V88" i="38"/>
  <c r="AD346" i="38"/>
  <c r="AD311" i="38"/>
  <c r="V125" i="38"/>
  <c r="AI125" i="38" s="1"/>
  <c r="V181" i="38"/>
  <c r="AI181" i="38" s="1"/>
  <c r="V241" i="38"/>
  <c r="AD220" i="38"/>
  <c r="AD333" i="38"/>
  <c r="V179" i="38"/>
  <c r="AI179" i="38" s="1"/>
  <c r="V44" i="38"/>
  <c r="AD248" i="38"/>
  <c r="AD11" i="38"/>
  <c r="AD35" i="38"/>
  <c r="V114" i="38"/>
  <c r="AD60" i="38"/>
  <c r="V80" i="38"/>
  <c r="V108" i="38"/>
  <c r="AI108" i="38" s="1"/>
  <c r="V164" i="38"/>
  <c r="AD345" i="38"/>
  <c r="AD33" i="38"/>
  <c r="V109" i="38"/>
  <c r="V187" i="38"/>
  <c r="AI187" i="38" s="1"/>
  <c r="AD43" i="38"/>
  <c r="AD155" i="38"/>
  <c r="AD349" i="38"/>
  <c r="AD261" i="38"/>
  <c r="V193" i="38"/>
  <c r="E192" i="7" s="1"/>
  <c r="F192" i="7" s="1"/>
  <c r="AD233" i="38"/>
  <c r="AD332" i="38"/>
  <c r="AD310" i="38"/>
  <c r="AD277" i="38"/>
  <c r="V213" i="38"/>
  <c r="AD171" i="38"/>
  <c r="AD319" i="38"/>
  <c r="AD102" i="38"/>
  <c r="AD214" i="38"/>
  <c r="V298" i="38"/>
  <c r="AD200" i="38"/>
  <c r="V165" i="38"/>
  <c r="V227" i="38"/>
  <c r="AI227" i="38" s="1"/>
  <c r="V323" i="38"/>
  <c r="AI323" i="38" s="1"/>
  <c r="AD281" i="38"/>
  <c r="V36" i="38"/>
  <c r="V184" i="38"/>
  <c r="AD34" i="38"/>
  <c r="AD126" i="38"/>
  <c r="AD174" i="38"/>
  <c r="AD190" i="38"/>
  <c r="AD206" i="38"/>
  <c r="AD318" i="38"/>
  <c r="V52" i="38"/>
  <c r="V156" i="38"/>
  <c r="AD176" i="38"/>
  <c r="V276" i="38"/>
  <c r="AD340" i="38"/>
  <c r="V25" i="38"/>
  <c r="V101" i="38"/>
  <c r="AI101" i="38" s="1"/>
  <c r="AD255" i="38"/>
  <c r="V263" i="38"/>
  <c r="AI263" i="38" s="1"/>
  <c r="AD343" i="38"/>
  <c r="V81" i="38"/>
  <c r="AD129" i="38"/>
  <c r="AD117" i="38"/>
  <c r="V29" i="38"/>
  <c r="V73" i="38"/>
  <c r="V137" i="38"/>
  <c r="V185" i="38"/>
  <c r="V249" i="38"/>
  <c r="E248" i="7" s="1"/>
  <c r="F248" i="7" s="1"/>
  <c r="AD59" i="38"/>
  <c r="AD337" i="38"/>
  <c r="V38" i="38"/>
  <c r="AD150" i="38"/>
  <c r="AD182" i="38"/>
  <c r="AD262" i="38"/>
  <c r="V326" i="38"/>
  <c r="V342" i="38"/>
  <c r="AD144" i="38"/>
  <c r="AD192" i="38"/>
  <c r="V212" i="38"/>
  <c r="V189" i="38"/>
  <c r="AD191" i="38"/>
  <c r="AD95" i="38"/>
  <c r="V199" i="38"/>
  <c r="AI199" i="38" s="1"/>
  <c r="AD157" i="38"/>
  <c r="AD177" i="38"/>
  <c r="C66" i="50"/>
  <c r="C73" i="50"/>
  <c r="C81" i="50"/>
  <c r="C70" i="50"/>
  <c r="C83" i="50"/>
  <c r="C76" i="50"/>
  <c r="C74" i="50"/>
  <c r="C86" i="50"/>
  <c r="C69" i="50"/>
  <c r="C68" i="50"/>
  <c r="C71" i="50"/>
  <c r="C75" i="50"/>
  <c r="C85" i="50"/>
  <c r="C80" i="50"/>
  <c r="C84" i="50"/>
  <c r="C77" i="50"/>
  <c r="C67" i="50"/>
  <c r="C78" i="50"/>
  <c r="D65" i="50"/>
  <c r="C79" i="50"/>
  <c r="C72" i="50"/>
  <c r="AP374" i="38"/>
  <c r="A7" i="48"/>
  <c r="V215" i="38"/>
  <c r="AD166" i="38"/>
  <c r="F3" i="49"/>
  <c r="AM6" i="38"/>
  <c r="AS6" i="38"/>
  <c r="D6" i="38"/>
  <c r="B6" i="38"/>
  <c r="AD297" i="38"/>
  <c r="E33" i="23"/>
  <c r="D33" i="23" s="1"/>
  <c r="G2" i="23"/>
  <c r="H2" i="23"/>
  <c r="C6" i="38"/>
  <c r="B7" i="48"/>
  <c r="BT3" i="7" l="1"/>
  <c r="B38" i="50"/>
  <c r="B98" i="50" s="1"/>
  <c r="D81" i="50"/>
  <c r="D104" i="50"/>
  <c r="D88" i="50"/>
  <c r="D116" i="50"/>
  <c r="D103" i="50"/>
  <c r="D87" i="50"/>
  <c r="D100" i="50"/>
  <c r="D118" i="50"/>
  <c r="D102" i="50"/>
  <c r="D117" i="50"/>
  <c r="D101" i="50"/>
  <c r="D115" i="50"/>
  <c r="D99" i="50"/>
  <c r="D113" i="50"/>
  <c r="D97" i="50"/>
  <c r="D112" i="50"/>
  <c r="D96" i="50"/>
  <c r="D111" i="50"/>
  <c r="D95" i="50"/>
  <c r="D90" i="50"/>
  <c r="D105" i="50"/>
  <c r="D110" i="50"/>
  <c r="D94" i="50"/>
  <c r="D109" i="50"/>
  <c r="D93" i="50"/>
  <c r="D108" i="50"/>
  <c r="D92" i="50"/>
  <c r="D107" i="50"/>
  <c r="D91" i="50"/>
  <c r="D106" i="50"/>
  <c r="D114" i="50"/>
  <c r="D89" i="50"/>
  <c r="D98" i="50"/>
  <c r="C120" i="50"/>
  <c r="E57" i="50"/>
  <c r="E48" i="50"/>
  <c r="E58" i="50"/>
  <c r="E56" i="50"/>
  <c r="E55" i="50"/>
  <c r="E54" i="50"/>
  <c r="E53" i="50"/>
  <c r="E52" i="50"/>
  <c r="E51" i="50"/>
  <c r="E50" i="50"/>
  <c r="E49" i="50"/>
  <c r="E47" i="50"/>
  <c r="E46" i="50"/>
  <c r="E45" i="50"/>
  <c r="E44" i="50"/>
  <c r="E43" i="50"/>
  <c r="E42" i="50"/>
  <c r="E41" i="50"/>
  <c r="E40" i="50"/>
  <c r="E39" i="50"/>
  <c r="E38" i="50"/>
  <c r="E37" i="50"/>
  <c r="E36" i="50"/>
  <c r="E35" i="50"/>
  <c r="E34" i="50"/>
  <c r="E33" i="50"/>
  <c r="E32" i="50"/>
  <c r="E31" i="50"/>
  <c r="E30" i="50"/>
  <c r="E29" i="50"/>
  <c r="F5" i="50"/>
  <c r="E27" i="50"/>
  <c r="E28" i="50"/>
  <c r="G3" i="49"/>
  <c r="BU3" i="7"/>
  <c r="BV1" i="7"/>
  <c r="BW1" i="7"/>
  <c r="E211" i="7"/>
  <c r="F211" i="7" s="1"/>
  <c r="E206" i="7"/>
  <c r="F206" i="7" s="1"/>
  <c r="E338" i="7"/>
  <c r="F338" i="7" s="1"/>
  <c r="AX6" i="38"/>
  <c r="BV3" i="7" l="1"/>
  <c r="B39" i="50"/>
  <c r="B99" i="50" s="1"/>
  <c r="F57" i="50"/>
  <c r="F48" i="50"/>
  <c r="F58" i="50"/>
  <c r="F56" i="50"/>
  <c r="F55" i="50"/>
  <c r="F54" i="50"/>
  <c r="F53" i="50"/>
  <c r="F52" i="50"/>
  <c r="F51" i="50"/>
  <c r="F50" i="50"/>
  <c r="F49" i="50"/>
  <c r="F47" i="50"/>
  <c r="F46" i="50"/>
  <c r="F45" i="50"/>
  <c r="F44" i="50"/>
  <c r="F43" i="50"/>
  <c r="F42" i="50"/>
  <c r="F41" i="50"/>
  <c r="F40" i="50"/>
  <c r="F39" i="50"/>
  <c r="F38" i="50"/>
  <c r="F37" i="50"/>
  <c r="F36" i="50"/>
  <c r="F35" i="50"/>
  <c r="F34" i="50"/>
  <c r="F33" i="50"/>
  <c r="F32" i="50"/>
  <c r="F31" i="50"/>
  <c r="F30" i="50"/>
  <c r="F29" i="50"/>
  <c r="G5" i="50"/>
  <c r="F27" i="50"/>
  <c r="F28" i="50"/>
  <c r="H3" i="49"/>
  <c r="BW3" i="7"/>
  <c r="BX1" i="7"/>
  <c r="BY1" i="7"/>
  <c r="A9" i="47"/>
  <c r="I374" i="7"/>
  <c r="I2" i="7"/>
  <c r="G2" i="7"/>
  <c r="G374" i="7"/>
  <c r="V59" i="38"/>
  <c r="AD73" i="38"/>
  <c r="AU73" i="38" s="1"/>
  <c r="AD364" i="38"/>
  <c r="AU364" i="38" s="1"/>
  <c r="V177" i="38"/>
  <c r="AU177" i="38" s="1"/>
  <c r="V192" i="38"/>
  <c r="AU192" i="38" s="1"/>
  <c r="V262" i="38"/>
  <c r="AU262" i="38" s="1"/>
  <c r="V129" i="38"/>
  <c r="V122" i="38"/>
  <c r="V220" i="38"/>
  <c r="AU220" i="38" s="1"/>
  <c r="V183" i="38"/>
  <c r="AI52" i="38"/>
  <c r="V178" i="38"/>
  <c r="V174" i="38"/>
  <c r="E173" i="7" s="1"/>
  <c r="F173" i="7" s="1"/>
  <c r="AI249" i="38"/>
  <c r="E65" i="50"/>
  <c r="D86" i="50"/>
  <c r="V186" i="38"/>
  <c r="AI186" i="38" s="1"/>
  <c r="AD181" i="38"/>
  <c r="AU181" i="38" s="1"/>
  <c r="V346" i="38"/>
  <c r="AU346" i="38" s="1"/>
  <c r="AD298" i="38"/>
  <c r="AU298" i="38" s="1"/>
  <c r="AI156" i="38"/>
  <c r="V123" i="38"/>
  <c r="AU123" i="38" s="1"/>
  <c r="AD156" i="38"/>
  <c r="AU156" i="38" s="1"/>
  <c r="V190" i="38"/>
  <c r="AD81" i="38"/>
  <c r="AU81" i="38" s="1"/>
  <c r="AD80" i="38"/>
  <c r="AU80" i="38" s="1"/>
  <c r="AD373" i="38"/>
  <c r="AU373" i="38" s="1"/>
  <c r="E367" i="7"/>
  <c r="F367" i="7" s="1"/>
  <c r="V43" i="38"/>
  <c r="AI80" i="38"/>
  <c r="V102" i="38"/>
  <c r="AD227" i="38"/>
  <c r="AU227" i="38" s="1"/>
  <c r="V144" i="38"/>
  <c r="AU144" i="38" s="1"/>
  <c r="AD101" i="38"/>
  <c r="AU101" i="38" s="1"/>
  <c r="AD241" i="38"/>
  <c r="AU241" i="38" s="1"/>
  <c r="AD52" i="38"/>
  <c r="AU52" i="38" s="1"/>
  <c r="V290" i="38"/>
  <c r="V255" i="38"/>
  <c r="AI255" i="38" s="1"/>
  <c r="E178" i="7"/>
  <c r="F178" i="7" s="1"/>
  <c r="V155" i="38"/>
  <c r="AI155" i="38" s="1"/>
  <c r="AD249" i="38"/>
  <c r="AU249" i="38" s="1"/>
  <c r="AD354" i="38"/>
  <c r="AU354" i="38" s="1"/>
  <c r="V42" i="38"/>
  <c r="E41" i="7" s="1"/>
  <c r="F41" i="7" s="1"/>
  <c r="AD74" i="38"/>
  <c r="AU74" i="38" s="1"/>
  <c r="V242" i="38"/>
  <c r="E241" i="7" s="1"/>
  <c r="F241" i="7" s="1"/>
  <c r="AD276" i="38"/>
  <c r="AU276" i="38" s="1"/>
  <c r="V310" i="38"/>
  <c r="AU310" i="38" s="1"/>
  <c r="V281" i="38"/>
  <c r="AU281" i="38" s="1"/>
  <c r="D82" i="50"/>
  <c r="D83" i="50"/>
  <c r="E351" i="7"/>
  <c r="F351" i="7" s="1"/>
  <c r="AD199" i="38"/>
  <c r="AU199" i="38" s="1"/>
  <c r="AD352" i="38"/>
  <c r="AU352" i="38" s="1"/>
  <c r="V340" i="38"/>
  <c r="V325" i="38"/>
  <c r="D69" i="50"/>
  <c r="V60" i="38"/>
  <c r="AI60" i="38" s="1"/>
  <c r="AI25" i="38"/>
  <c r="AD25" i="38"/>
  <c r="AU25" i="38" s="1"/>
  <c r="V357" i="38"/>
  <c r="E356" i="7" s="1"/>
  <c r="F356" i="7" s="1"/>
  <c r="AD108" i="38"/>
  <c r="AU108" i="38" s="1"/>
  <c r="AD39" i="38"/>
  <c r="AU39" i="38" s="1"/>
  <c r="V117" i="38"/>
  <c r="AI117" i="38" s="1"/>
  <c r="AD355" i="38"/>
  <c r="AU355" i="38" s="1"/>
  <c r="V366" i="38"/>
  <c r="E262" i="7"/>
  <c r="F262" i="7" s="1"/>
  <c r="AD304" i="38"/>
  <c r="AU304" i="38" s="1"/>
  <c r="V180" i="38"/>
  <c r="AU180" i="38" s="1"/>
  <c r="AD131" i="38"/>
  <c r="AU131" i="38" s="1"/>
  <c r="AD368" i="38"/>
  <c r="AU368" i="38" s="1"/>
  <c r="AD263" i="38"/>
  <c r="AU263" i="38" s="1"/>
  <c r="AD342" i="38"/>
  <c r="AU342" i="38" s="1"/>
  <c r="AI29" i="38"/>
  <c r="AD193" i="38"/>
  <c r="AU193" i="38" s="1"/>
  <c r="AD38" i="38"/>
  <c r="AU38" i="38" s="1"/>
  <c r="E303" i="7"/>
  <c r="F303" i="7" s="1"/>
  <c r="AD270" i="38"/>
  <c r="AU270" i="38" s="1"/>
  <c r="AD365" i="38"/>
  <c r="AU365" i="38" s="1"/>
  <c r="AD358" i="38"/>
  <c r="AU358" i="38" s="1"/>
  <c r="AI87" i="38"/>
  <c r="V337" i="38"/>
  <c r="E336" i="7" s="1"/>
  <c r="F336" i="7" s="1"/>
  <c r="D71" i="50"/>
  <c r="D74" i="50"/>
  <c r="AD109" i="38"/>
  <c r="AU109" i="38" s="1"/>
  <c r="V353" i="38"/>
  <c r="AU353" i="38" s="1"/>
  <c r="D68" i="50"/>
  <c r="AD41" i="38"/>
  <c r="AU41" i="38" s="1"/>
  <c r="AD87" i="38"/>
  <c r="AU87" i="38" s="1"/>
  <c r="AI41" i="38"/>
  <c r="V33" i="38"/>
  <c r="AI33" i="38" s="1"/>
  <c r="AD29" i="38"/>
  <c r="AU29" i="38" s="1"/>
  <c r="D84" i="50"/>
  <c r="D66" i="50"/>
  <c r="D78" i="50"/>
  <c r="V345" i="38"/>
  <c r="E354" i="7" s="1"/>
  <c r="F354" i="7" s="1"/>
  <c r="V176" i="38"/>
  <c r="AU176" i="38" s="1"/>
  <c r="V86" i="38"/>
  <c r="AU86" i="38" s="1"/>
  <c r="AI193" i="38"/>
  <c r="D72" i="50"/>
  <c r="D80" i="50"/>
  <c r="D73" i="50"/>
  <c r="D76" i="50"/>
  <c r="D77" i="50"/>
  <c r="D79" i="50"/>
  <c r="D67" i="50"/>
  <c r="D70" i="50"/>
  <c r="D75" i="50"/>
  <c r="D85" i="50"/>
  <c r="AD158" i="38"/>
  <c r="AU158" i="38" s="1"/>
  <c r="AD326" i="38"/>
  <c r="AU326" i="38" s="1"/>
  <c r="AD363" i="38"/>
  <c r="AU363" i="38" s="1"/>
  <c r="AD125" i="38"/>
  <c r="AU125" i="38" s="1"/>
  <c r="V283" i="38"/>
  <c r="AI283" i="38" s="1"/>
  <c r="AI207" i="38"/>
  <c r="AD370" i="38"/>
  <c r="AU370" i="38" s="1"/>
  <c r="V151" i="38"/>
  <c r="AI151" i="38" s="1"/>
  <c r="AD179" i="38"/>
  <c r="AU179" i="38" s="1"/>
  <c r="V319" i="38"/>
  <c r="AU319" i="38" s="1"/>
  <c r="AD187" i="38"/>
  <c r="AU187" i="38" s="1"/>
  <c r="V95" i="38"/>
  <c r="AD185" i="38"/>
  <c r="AU185" i="38" s="1"/>
  <c r="A8" i="48"/>
  <c r="V7" i="48"/>
  <c r="V367" i="38"/>
  <c r="E366" i="7" s="1"/>
  <c r="F366" i="7" s="1"/>
  <c r="V277" i="38"/>
  <c r="AI277" i="38" s="1"/>
  <c r="V311" i="38"/>
  <c r="AI311" i="38" s="1"/>
  <c r="AI276" i="38"/>
  <c r="AD372" i="38"/>
  <c r="AU372" i="38" s="1"/>
  <c r="AI372" i="38"/>
  <c r="V200" i="38"/>
  <c r="AU200" i="38" s="1"/>
  <c r="AD189" i="38"/>
  <c r="AU189" i="38" s="1"/>
  <c r="V171" i="38"/>
  <c r="AU171" i="38" s="1"/>
  <c r="V191" i="38"/>
  <c r="AU191" i="38" s="1"/>
  <c r="AD137" i="38"/>
  <c r="AU137" i="38" s="1"/>
  <c r="AD207" i="38"/>
  <c r="AU207" i="38" s="1"/>
  <c r="V349" i="38"/>
  <c r="V261" i="38"/>
  <c r="AI261" i="38" s="1"/>
  <c r="AD235" i="38"/>
  <c r="AU235" i="38" s="1"/>
  <c r="AI339" i="38"/>
  <c r="AD339" i="38"/>
  <c r="AU339" i="38" s="1"/>
  <c r="V182" i="38"/>
  <c r="AD66" i="38"/>
  <c r="AU66" i="38" s="1"/>
  <c r="V34" i="38"/>
  <c r="AI34" i="38" s="1"/>
  <c r="AI235" i="38"/>
  <c r="V343" i="38"/>
  <c r="AD234" i="38"/>
  <c r="AU234" i="38" s="1"/>
  <c r="V136" i="38"/>
  <c r="E360" i="7"/>
  <c r="F360" i="7" s="1"/>
  <c r="AD213" i="38"/>
  <c r="AU213" i="38" s="1"/>
  <c r="V157" i="38"/>
  <c r="V53" i="38"/>
  <c r="AI53" i="38" s="1"/>
  <c r="V143" i="38"/>
  <c r="AU143" i="38" s="1"/>
  <c r="AD361" i="38"/>
  <c r="AU361" i="38" s="1"/>
  <c r="V359" i="38"/>
  <c r="AI359" i="38" s="1"/>
  <c r="V214" i="38"/>
  <c r="AI214" i="38" s="1"/>
  <c r="AD347" i="38"/>
  <c r="AU347" i="38" s="1"/>
  <c r="V291" i="38"/>
  <c r="V166" i="38"/>
  <c r="V126" i="38"/>
  <c r="AU126" i="38" s="1"/>
  <c r="AI347" i="38"/>
  <c r="V360" i="38"/>
  <c r="AU360" i="38" s="1"/>
  <c r="AD115" i="38"/>
  <c r="AU115" i="38" s="1"/>
  <c r="V32" i="38"/>
  <c r="AI32" i="38" s="1"/>
  <c r="V333" i="38"/>
  <c r="AD164" i="38"/>
  <c r="AU164" i="38" s="1"/>
  <c r="AD114" i="38"/>
  <c r="AU114" i="38" s="1"/>
  <c r="AI131" i="38"/>
  <c r="E322" i="7"/>
  <c r="F322" i="7" s="1"/>
  <c r="V351" i="38"/>
  <c r="AU351" i="38" s="1"/>
  <c r="V67" i="38"/>
  <c r="E164" i="7" s="1"/>
  <c r="F164" i="7" s="1"/>
  <c r="AD305" i="38"/>
  <c r="AU305" i="38" s="1"/>
  <c r="AD215" i="38"/>
  <c r="AU215" i="38" s="1"/>
  <c r="AD323" i="38"/>
  <c r="AU323" i="38" s="1"/>
  <c r="V173" i="38"/>
  <c r="AI173" i="38" s="1"/>
  <c r="AI241" i="38"/>
  <c r="V11" i="38"/>
  <c r="AI11" i="38" s="1"/>
  <c r="AI172" i="38"/>
  <c r="V45" i="38"/>
  <c r="AD172" i="38"/>
  <c r="AU172" i="38" s="1"/>
  <c r="AI185" i="38"/>
  <c r="V371" i="38"/>
  <c r="E370" i="7" s="1"/>
  <c r="F370" i="7" s="1"/>
  <c r="AD269" i="38"/>
  <c r="V269" i="38"/>
  <c r="AD184" i="38"/>
  <c r="AU184" i="38" s="1"/>
  <c r="AD93" i="38"/>
  <c r="AU93" i="38" s="1"/>
  <c r="AI364" i="38"/>
  <c r="V221" i="38"/>
  <c r="AU221" i="38" s="1"/>
  <c r="AI93" i="38"/>
  <c r="AI165" i="38"/>
  <c r="AI189" i="38"/>
  <c r="E188" i="7"/>
  <c r="F188" i="7" s="1"/>
  <c r="AD212" i="38"/>
  <c r="AU212" i="38" s="1"/>
  <c r="AI213" i="38"/>
  <c r="AI212" i="38"/>
  <c r="AD165" i="38"/>
  <c r="AU165" i="38" s="1"/>
  <c r="AI109" i="38"/>
  <c r="V312" i="38"/>
  <c r="E311" i="7" s="1"/>
  <c r="F311" i="7" s="1"/>
  <c r="E363" i="7"/>
  <c r="F363" i="7" s="1"/>
  <c r="Y6" i="38"/>
  <c r="Z6" i="38"/>
  <c r="AY6" i="38" s="1"/>
  <c r="AD36" i="38"/>
  <c r="AU36" i="38" s="1"/>
  <c r="V297" i="38"/>
  <c r="V35" i="38"/>
  <c r="V284" i="38"/>
  <c r="E283" i="7" s="1"/>
  <c r="F283" i="7" s="1"/>
  <c r="V228" i="38"/>
  <c r="AD228" i="38"/>
  <c r="V30" i="38"/>
  <c r="AI30" i="38" s="1"/>
  <c r="AD30" i="38"/>
  <c r="AD130" i="38"/>
  <c r="AU130" i="38" s="1"/>
  <c r="V318" i="38"/>
  <c r="E317" i="7" s="1"/>
  <c r="F317" i="7" s="1"/>
  <c r="V256" i="38"/>
  <c r="AD256" i="38"/>
  <c r="AI81" i="38"/>
  <c r="E369" i="7"/>
  <c r="F369" i="7" s="1"/>
  <c r="AI370" i="38"/>
  <c r="V282" i="38"/>
  <c r="AI282" i="38" s="1"/>
  <c r="AD88" i="38"/>
  <c r="AU88" i="38" s="1"/>
  <c r="E136" i="7"/>
  <c r="F136" i="7" s="1"/>
  <c r="AI137" i="38"/>
  <c r="I2" i="23"/>
  <c r="J2" i="23"/>
  <c r="AI46" i="38"/>
  <c r="AI130" i="38"/>
  <c r="E43" i="7"/>
  <c r="F43" i="7" s="1"/>
  <c r="AI44" i="38"/>
  <c r="AI26" i="38"/>
  <c r="AI184" i="38"/>
  <c r="AI88" i="38"/>
  <c r="E364" i="7"/>
  <c r="F364" i="7" s="1"/>
  <c r="AI365" i="38"/>
  <c r="AI38" i="38"/>
  <c r="AI358" i="38"/>
  <c r="AI326" i="38"/>
  <c r="AI234" i="38"/>
  <c r="E233" i="7"/>
  <c r="F233" i="7" s="1"/>
  <c r="AI114" i="38"/>
  <c r="E163" i="7"/>
  <c r="F163" i="7" s="1"/>
  <c r="AI164" i="38"/>
  <c r="V94" i="38"/>
  <c r="E183" i="7" s="1"/>
  <c r="F183" i="7" s="1"/>
  <c r="AI74" i="38"/>
  <c r="V206" i="38"/>
  <c r="V188" i="38"/>
  <c r="AI73" i="38"/>
  <c r="V324" i="38"/>
  <c r="V356" i="38"/>
  <c r="E113" i="7" s="1"/>
  <c r="F113" i="7" s="1"/>
  <c r="AD44" i="38"/>
  <c r="V348" i="38"/>
  <c r="V248" i="38"/>
  <c r="AI270" i="38"/>
  <c r="AI215" i="38"/>
  <c r="V150" i="38"/>
  <c r="E372" i="7"/>
  <c r="F372" i="7" s="1"/>
  <c r="AI373" i="38"/>
  <c r="E297" i="7"/>
  <c r="F297" i="7" s="1"/>
  <c r="AI298" i="38"/>
  <c r="AI158" i="38"/>
  <c r="AD46" i="38"/>
  <c r="AI354" i="38"/>
  <c r="AI36" i="38"/>
  <c r="V116" i="38"/>
  <c r="V344" i="38"/>
  <c r="E353" i="7" s="1"/>
  <c r="F353" i="7" s="1"/>
  <c r="V332" i="38"/>
  <c r="AD26" i="38"/>
  <c r="AI66" i="38"/>
  <c r="AI39" i="38"/>
  <c r="E38" i="7"/>
  <c r="F38" i="7" s="1"/>
  <c r="E341" i="7"/>
  <c r="F341" i="7" s="1"/>
  <c r="AI342" i="38"/>
  <c r="B8" i="48"/>
  <c r="BX3" i="7" l="1"/>
  <c r="B40" i="50"/>
  <c r="B100" i="50" s="1"/>
  <c r="E73" i="50"/>
  <c r="E103" i="50"/>
  <c r="E87" i="50"/>
  <c r="E118" i="50"/>
  <c r="E102" i="50"/>
  <c r="E117" i="50"/>
  <c r="E101" i="50"/>
  <c r="E99" i="50"/>
  <c r="E116" i="50"/>
  <c r="E100" i="50"/>
  <c r="E115" i="50"/>
  <c r="E114" i="50"/>
  <c r="E98" i="50"/>
  <c r="E112" i="50"/>
  <c r="E96" i="50"/>
  <c r="E111" i="50"/>
  <c r="E95" i="50"/>
  <c r="E110" i="50"/>
  <c r="E94" i="50"/>
  <c r="E109" i="50"/>
  <c r="E93" i="50"/>
  <c r="E105" i="50"/>
  <c r="E108" i="50"/>
  <c r="E92" i="50"/>
  <c r="E107" i="50"/>
  <c r="E91" i="50"/>
  <c r="E89" i="50"/>
  <c r="E106" i="50"/>
  <c r="E90" i="50"/>
  <c r="E104" i="50"/>
  <c r="E88" i="50"/>
  <c r="E97" i="50"/>
  <c r="E113" i="50"/>
  <c r="D120" i="50"/>
  <c r="G57" i="50"/>
  <c r="G48" i="50"/>
  <c r="G58" i="50"/>
  <c r="G56" i="50"/>
  <c r="G55" i="50"/>
  <c r="G54" i="50"/>
  <c r="G53" i="50"/>
  <c r="G52" i="50"/>
  <c r="G51" i="50"/>
  <c r="G50" i="50"/>
  <c r="G49" i="50"/>
  <c r="G47" i="50"/>
  <c r="G46" i="50"/>
  <c r="G45" i="50"/>
  <c r="G44" i="50"/>
  <c r="G43" i="50"/>
  <c r="G42" i="50"/>
  <c r="G41" i="50"/>
  <c r="G40" i="50"/>
  <c r="G39" i="50"/>
  <c r="G38" i="50"/>
  <c r="G37" i="50"/>
  <c r="G36" i="50"/>
  <c r="G35" i="50"/>
  <c r="G34" i="50"/>
  <c r="G33" i="50"/>
  <c r="G32" i="50"/>
  <c r="G31" i="50"/>
  <c r="G30" i="50"/>
  <c r="G29" i="50"/>
  <c r="H5" i="50"/>
  <c r="G27" i="50"/>
  <c r="G28" i="50"/>
  <c r="I3" i="49"/>
  <c r="BZ1" i="7"/>
  <c r="CA1" i="7"/>
  <c r="BY3" i="7"/>
  <c r="E346" i="7"/>
  <c r="F346" i="7" s="1"/>
  <c r="E135" i="7"/>
  <c r="F135" i="7" s="1"/>
  <c r="E58" i="7"/>
  <c r="F58" i="7" s="1"/>
  <c r="E42" i="7"/>
  <c r="F42" i="7" s="1"/>
  <c r="E339" i="7"/>
  <c r="F339" i="7" s="1"/>
  <c r="E177" i="7"/>
  <c r="F177" i="7" s="1"/>
  <c r="E114" i="7"/>
  <c r="F114" i="7" s="1"/>
  <c r="AI183" i="38"/>
  <c r="E240" i="7"/>
  <c r="F240" i="7" s="1"/>
  <c r="E184" i="7"/>
  <c r="F184" i="7" s="1"/>
  <c r="E362" i="7"/>
  <c r="F362" i="7" s="1"/>
  <c r="E365" i="7"/>
  <c r="F365" i="7" s="1"/>
  <c r="E348" i="7"/>
  <c r="F348" i="7" s="1"/>
  <c r="BZ3" i="7" l="1"/>
  <c r="B41" i="50"/>
  <c r="B101" i="50" s="1"/>
  <c r="H57" i="50"/>
  <c r="H48" i="50"/>
  <c r="H58" i="50"/>
  <c r="H56" i="50"/>
  <c r="H55" i="50"/>
  <c r="H54" i="50"/>
  <c r="H53" i="50"/>
  <c r="H52" i="50"/>
  <c r="H51" i="50"/>
  <c r="H50" i="50"/>
  <c r="H49" i="50"/>
  <c r="H47" i="50"/>
  <c r="H46" i="50"/>
  <c r="H45" i="50"/>
  <c r="H44" i="50"/>
  <c r="H43" i="50"/>
  <c r="H42" i="50"/>
  <c r="H41" i="50"/>
  <c r="H40" i="50"/>
  <c r="H39" i="50"/>
  <c r="H38" i="50"/>
  <c r="H37" i="50"/>
  <c r="H36" i="50"/>
  <c r="H35" i="50"/>
  <c r="H34" i="50"/>
  <c r="H33" i="50"/>
  <c r="H32" i="50"/>
  <c r="H31" i="50"/>
  <c r="H30" i="50"/>
  <c r="H29" i="50"/>
  <c r="I5" i="50"/>
  <c r="H27" i="50"/>
  <c r="H28" i="50"/>
  <c r="CC1" i="7"/>
  <c r="CE1" i="7" s="1"/>
  <c r="CA3" i="7"/>
  <c r="CB1" i="7"/>
  <c r="A10" i="47"/>
  <c r="AI59" i="38"/>
  <c r="AU59" i="38"/>
  <c r="AI177" i="38"/>
  <c r="AI192" i="38"/>
  <c r="AI129" i="38"/>
  <c r="E191" i="7"/>
  <c r="F191" i="7" s="1"/>
  <c r="E261" i="7"/>
  <c r="F261" i="7" s="1"/>
  <c r="AI262" i="38"/>
  <c r="AI122" i="38"/>
  <c r="AI220" i="38"/>
  <c r="AU178" i="38"/>
  <c r="AU122" i="38"/>
  <c r="AU129" i="38"/>
  <c r="AI178" i="38"/>
  <c r="E219" i="7"/>
  <c r="F219" i="7" s="1"/>
  <c r="E182" i="7"/>
  <c r="F182" i="7" s="1"/>
  <c r="AI174" i="38"/>
  <c r="AU183" i="38"/>
  <c r="AU102" i="38"/>
  <c r="AU174" i="38"/>
  <c r="E66" i="50"/>
  <c r="E74" i="50"/>
  <c r="E83" i="50"/>
  <c r="E76" i="50"/>
  <c r="E77" i="50"/>
  <c r="E72" i="50"/>
  <c r="E78" i="50"/>
  <c r="E68" i="50"/>
  <c r="E67" i="50"/>
  <c r="E82" i="50"/>
  <c r="E116" i="7"/>
  <c r="F116" i="7" s="1"/>
  <c r="E86" i="50"/>
  <c r="E79" i="50"/>
  <c r="F65" i="50"/>
  <c r="E84" i="50"/>
  <c r="E81" i="50"/>
  <c r="E75" i="50"/>
  <c r="E70" i="50"/>
  <c r="E71" i="50"/>
  <c r="E80" i="50"/>
  <c r="E85" i="50"/>
  <c r="E69" i="50"/>
  <c r="AU186" i="38"/>
  <c r="E345" i="7"/>
  <c r="F345" i="7" s="1"/>
  <c r="AU190" i="38"/>
  <c r="AI346" i="38"/>
  <c r="AI190" i="38"/>
  <c r="E352" i="7"/>
  <c r="F352" i="7" s="1"/>
  <c r="AU43" i="38"/>
  <c r="E143" i="7"/>
  <c r="F143" i="7" s="1"/>
  <c r="AI102" i="38"/>
  <c r="AI123" i="38"/>
  <c r="AI180" i="38"/>
  <c r="AI42" i="38"/>
  <c r="AI43" i="38"/>
  <c r="AI144" i="38"/>
  <c r="AU242" i="38"/>
  <c r="AU255" i="38"/>
  <c r="AU155" i="38"/>
  <c r="AI290" i="38"/>
  <c r="AU290" i="38"/>
  <c r="AU325" i="38"/>
  <c r="AI353" i="38"/>
  <c r="E154" i="7"/>
  <c r="F154" i="7" s="1"/>
  <c r="AU42" i="38"/>
  <c r="AI337" i="38"/>
  <c r="AI281" i="38"/>
  <c r="AI242" i="38"/>
  <c r="AI325" i="38"/>
  <c r="E59" i="7"/>
  <c r="F59" i="7" s="1"/>
  <c r="AI166" i="38"/>
  <c r="AI86" i="38"/>
  <c r="AI310" i="38"/>
  <c r="AU157" i="38"/>
  <c r="AU357" i="38"/>
  <c r="AU337" i="38"/>
  <c r="AU366" i="38"/>
  <c r="AU117" i="38"/>
  <c r="AU340" i="38"/>
  <c r="E179" i="7"/>
  <c r="F179" i="7" s="1"/>
  <c r="AI357" i="38"/>
  <c r="AI340" i="38"/>
  <c r="AI366" i="38"/>
  <c r="AU60" i="38"/>
  <c r="AI157" i="38"/>
  <c r="AI176" i="38"/>
  <c r="AU33" i="38"/>
  <c r="AU343" i="38"/>
  <c r="AI143" i="38"/>
  <c r="AU277" i="38"/>
  <c r="E32" i="7"/>
  <c r="F32" i="7" s="1"/>
  <c r="AI95" i="38"/>
  <c r="AI136" i="38"/>
  <c r="AU11" i="38"/>
  <c r="AU345" i="38"/>
  <c r="AU95" i="38"/>
  <c r="AI345" i="38"/>
  <c r="E282" i="7"/>
  <c r="F282" i="7" s="1"/>
  <c r="AU283" i="38"/>
  <c r="AU359" i="38"/>
  <c r="AI191" i="38"/>
  <c r="AU182" i="38"/>
  <c r="AU367" i="38"/>
  <c r="AI367" i="38"/>
  <c r="AU349" i="38"/>
  <c r="AI182" i="38"/>
  <c r="AU151" i="38"/>
  <c r="AU34" i="38"/>
  <c r="AI349" i="38"/>
  <c r="AI319" i="38"/>
  <c r="AI171" i="38"/>
  <c r="AU53" i="38"/>
  <c r="E310" i="7"/>
  <c r="F310" i="7" s="1"/>
  <c r="AU311" i="38"/>
  <c r="A9" i="48"/>
  <c r="V8" i="48"/>
  <c r="AU214" i="38"/>
  <c r="AU261" i="38"/>
  <c r="AI200" i="38"/>
  <c r="AU136" i="38"/>
  <c r="AU284" i="38"/>
  <c r="AU166" i="38"/>
  <c r="AU291" i="38"/>
  <c r="E358" i="7"/>
  <c r="F358" i="7" s="1"/>
  <c r="AI333" i="38"/>
  <c r="AU333" i="38"/>
  <c r="AI343" i="38"/>
  <c r="AI291" i="38"/>
  <c r="AU32" i="38"/>
  <c r="AI312" i="38"/>
  <c r="AI126" i="38"/>
  <c r="AU371" i="38"/>
  <c r="AI360" i="38"/>
  <c r="AI351" i="38"/>
  <c r="E350" i="7"/>
  <c r="F350" i="7" s="1"/>
  <c r="E359" i="7"/>
  <c r="F359" i="7" s="1"/>
  <c r="E10" i="7"/>
  <c r="F10" i="7" s="1"/>
  <c r="AU312" i="38"/>
  <c r="AI67" i="38"/>
  <c r="AU67" i="38"/>
  <c r="AI371" i="38"/>
  <c r="AU173" i="38"/>
  <c r="E268" i="7"/>
  <c r="F268" i="7" s="1"/>
  <c r="AI269" i="38"/>
  <c r="AU269" i="38"/>
  <c r="AI45" i="38"/>
  <c r="AU45" i="38"/>
  <c r="AI284" i="38"/>
  <c r="AI221" i="38"/>
  <c r="E220" i="7"/>
  <c r="F220" i="7" s="1"/>
  <c r="AU228" i="38"/>
  <c r="AI35" i="38"/>
  <c r="AI228" i="38"/>
  <c r="AU35" i="38"/>
  <c r="AU282" i="38"/>
  <c r="AU297" i="38"/>
  <c r="E296" i="7"/>
  <c r="F296" i="7" s="1"/>
  <c r="AI297" i="38"/>
  <c r="L2" i="23"/>
  <c r="K2" i="23"/>
  <c r="AU318" i="38"/>
  <c r="AI256" i="38"/>
  <c r="AU30" i="38"/>
  <c r="J3" i="49"/>
  <c r="AI318" i="38"/>
  <c r="AU256" i="38"/>
  <c r="AI248" i="38"/>
  <c r="AU248" i="38"/>
  <c r="E247" i="7"/>
  <c r="F247" i="7" s="1"/>
  <c r="AU26" i="38"/>
  <c r="AU324" i="38"/>
  <c r="AI324" i="38"/>
  <c r="AI188" i="38"/>
  <c r="AU188" i="38"/>
  <c r="AI206" i="38"/>
  <c r="AU206" i="38"/>
  <c r="E205" i="7"/>
  <c r="F205" i="7" s="1"/>
  <c r="AI94" i="38"/>
  <c r="AU94" i="38"/>
  <c r="AU44" i="38"/>
  <c r="AU344" i="38"/>
  <c r="AI344" i="38"/>
  <c r="AU46" i="38"/>
  <c r="E331" i="7"/>
  <c r="F331" i="7" s="1"/>
  <c r="AU332" i="38"/>
  <c r="AI332" i="38"/>
  <c r="AU116" i="38"/>
  <c r="AI116" i="38"/>
  <c r="E115" i="7"/>
  <c r="F115" i="7" s="1"/>
  <c r="AI150" i="38"/>
  <c r="AU150" i="38"/>
  <c r="E149" i="7"/>
  <c r="F149" i="7" s="1"/>
  <c r="AU348" i="38"/>
  <c r="AI348" i="38"/>
  <c r="E355" i="7"/>
  <c r="F355" i="7" s="1"/>
  <c r="AI356" i="38"/>
  <c r="AU356" i="38"/>
  <c r="B9" i="48"/>
  <c r="CB3" i="7" l="1"/>
  <c r="B42" i="50"/>
  <c r="B102" i="50" s="1"/>
  <c r="E120" i="50"/>
  <c r="F71" i="50"/>
  <c r="F118" i="50"/>
  <c r="F102" i="50"/>
  <c r="F98" i="50"/>
  <c r="F117" i="50"/>
  <c r="F101" i="50"/>
  <c r="F116" i="50"/>
  <c r="F100" i="50"/>
  <c r="F114" i="50"/>
  <c r="F115" i="50"/>
  <c r="F99" i="50"/>
  <c r="F113" i="50"/>
  <c r="F97" i="50"/>
  <c r="F111" i="50"/>
  <c r="F95" i="50"/>
  <c r="F103" i="50"/>
  <c r="F110" i="50"/>
  <c r="F94" i="50"/>
  <c r="F109" i="50"/>
  <c r="F93" i="50"/>
  <c r="F108" i="50"/>
  <c r="F92" i="50"/>
  <c r="F107" i="50"/>
  <c r="F91" i="50"/>
  <c r="F106" i="50"/>
  <c r="F90" i="50"/>
  <c r="F105" i="50"/>
  <c r="F89" i="50"/>
  <c r="F104" i="50"/>
  <c r="F88" i="50"/>
  <c r="F96" i="50"/>
  <c r="F112" i="50"/>
  <c r="F87" i="50"/>
  <c r="I57" i="50"/>
  <c r="I48" i="50"/>
  <c r="I58" i="50"/>
  <c r="I56" i="50"/>
  <c r="I55" i="50"/>
  <c r="I54" i="50"/>
  <c r="I53" i="50"/>
  <c r="I52" i="50"/>
  <c r="I51" i="50"/>
  <c r="I50" i="50"/>
  <c r="I49" i="50"/>
  <c r="I47" i="50"/>
  <c r="I46" i="50"/>
  <c r="I45" i="50"/>
  <c r="I44" i="50"/>
  <c r="I43" i="50"/>
  <c r="I42" i="50"/>
  <c r="I41" i="50"/>
  <c r="I40" i="50"/>
  <c r="I39" i="50"/>
  <c r="I38" i="50"/>
  <c r="I37" i="50"/>
  <c r="I36" i="50"/>
  <c r="I35" i="50"/>
  <c r="I34" i="50"/>
  <c r="I33" i="50"/>
  <c r="I32" i="50"/>
  <c r="I31" i="50"/>
  <c r="I30" i="50"/>
  <c r="I29" i="50"/>
  <c r="J5" i="50"/>
  <c r="I27" i="50"/>
  <c r="I28" i="50"/>
  <c r="CE3" i="7"/>
  <c r="CG1" i="7"/>
  <c r="CF1" i="7"/>
  <c r="CD1" i="7"/>
  <c r="CC3" i="7"/>
  <c r="A11" i="47"/>
  <c r="F77" i="50"/>
  <c r="F85" i="50"/>
  <c r="F70" i="50"/>
  <c r="F68" i="50"/>
  <c r="F86" i="50"/>
  <c r="F81" i="50"/>
  <c r="F78" i="50"/>
  <c r="F82" i="50"/>
  <c r="F76" i="50"/>
  <c r="F80" i="50"/>
  <c r="F83" i="50"/>
  <c r="F84" i="50"/>
  <c r="G65" i="50"/>
  <c r="F69" i="50"/>
  <c r="F75" i="50"/>
  <c r="F74" i="50"/>
  <c r="F67" i="50"/>
  <c r="F79" i="50"/>
  <c r="F73" i="50"/>
  <c r="F66" i="50"/>
  <c r="F72" i="50"/>
  <c r="V9" i="48"/>
  <c r="A10" i="48"/>
  <c r="M2" i="23"/>
  <c r="N2" i="23"/>
  <c r="K3" i="49"/>
  <c r="B10" i="48"/>
  <c r="CF3" i="7" l="1"/>
  <c r="B44" i="50"/>
  <c r="B104" i="50" s="1"/>
  <c r="CD3" i="7"/>
  <c r="B43" i="50"/>
  <c r="B103" i="50" s="1"/>
  <c r="G82" i="50"/>
  <c r="G117" i="50"/>
  <c r="G101" i="50"/>
  <c r="G116" i="50"/>
  <c r="G100" i="50"/>
  <c r="G97" i="50"/>
  <c r="G115" i="50"/>
  <c r="G99" i="50"/>
  <c r="G114" i="50"/>
  <c r="G98" i="50"/>
  <c r="G113" i="50"/>
  <c r="G112" i="50"/>
  <c r="G96" i="50"/>
  <c r="G110" i="50"/>
  <c r="G94" i="50"/>
  <c r="G87" i="50"/>
  <c r="G109" i="50"/>
  <c r="G93" i="50"/>
  <c r="G108" i="50"/>
  <c r="G92" i="50"/>
  <c r="G107" i="50"/>
  <c r="G91" i="50"/>
  <c r="G118" i="50"/>
  <c r="G106" i="50"/>
  <c r="G90" i="50"/>
  <c r="G103" i="50"/>
  <c r="G105" i="50"/>
  <c r="G89" i="50"/>
  <c r="G104" i="50"/>
  <c r="G88" i="50"/>
  <c r="G111" i="50"/>
  <c r="G102" i="50"/>
  <c r="G95" i="50"/>
  <c r="F120" i="50"/>
  <c r="J57" i="50"/>
  <c r="J48" i="50"/>
  <c r="J58" i="50"/>
  <c r="J56" i="50"/>
  <c r="J55" i="50"/>
  <c r="J54" i="50"/>
  <c r="J53" i="50"/>
  <c r="J52" i="50"/>
  <c r="J51" i="50"/>
  <c r="J50" i="50"/>
  <c r="J49" i="50"/>
  <c r="J47" i="50"/>
  <c r="J46" i="50"/>
  <c r="J45" i="50"/>
  <c r="J44" i="50"/>
  <c r="J43" i="50"/>
  <c r="J42" i="50"/>
  <c r="J41" i="50"/>
  <c r="J40" i="50"/>
  <c r="J39" i="50"/>
  <c r="J38" i="50"/>
  <c r="J37" i="50"/>
  <c r="J36" i="50"/>
  <c r="J35" i="50"/>
  <c r="J34" i="50"/>
  <c r="J33" i="50"/>
  <c r="J32" i="50"/>
  <c r="J31" i="50"/>
  <c r="J30" i="50"/>
  <c r="J29" i="50"/>
  <c r="K5" i="50"/>
  <c r="J28" i="50"/>
  <c r="J27" i="50"/>
  <c r="CH1" i="7"/>
  <c r="CG3" i="7"/>
  <c r="CI1" i="7"/>
  <c r="A12" i="47"/>
  <c r="V6" i="38"/>
  <c r="G77" i="50"/>
  <c r="G73" i="50"/>
  <c r="G67" i="50"/>
  <c r="G83" i="50"/>
  <c r="H65" i="50"/>
  <c r="G71" i="50"/>
  <c r="G68" i="50"/>
  <c r="G75" i="50"/>
  <c r="G86" i="50"/>
  <c r="G78" i="50"/>
  <c r="G81" i="50"/>
  <c r="G69" i="50"/>
  <c r="G66" i="50"/>
  <c r="G80" i="50"/>
  <c r="G76" i="50"/>
  <c r="G79" i="50"/>
  <c r="G74" i="50"/>
  <c r="G72" i="50"/>
  <c r="G70" i="50"/>
  <c r="G85" i="50"/>
  <c r="G84" i="50"/>
  <c r="AE5" i="38"/>
  <c r="V10" i="48"/>
  <c r="A11" i="48"/>
  <c r="L3" i="49"/>
  <c r="O2" i="23"/>
  <c r="P2" i="23"/>
  <c r="B11" i="48"/>
  <c r="CH3" i="7" l="1"/>
  <c r="B45" i="50"/>
  <c r="B105" i="50" s="1"/>
  <c r="G120" i="50"/>
  <c r="H75" i="50"/>
  <c r="H116" i="50"/>
  <c r="H100" i="50"/>
  <c r="H96" i="50"/>
  <c r="H115" i="50"/>
  <c r="H99" i="50"/>
  <c r="H95" i="50"/>
  <c r="H114" i="50"/>
  <c r="H98" i="50"/>
  <c r="H112" i="50"/>
  <c r="H113" i="50"/>
  <c r="H97" i="50"/>
  <c r="H111" i="50"/>
  <c r="H109" i="50"/>
  <c r="H93" i="50"/>
  <c r="H108" i="50"/>
  <c r="H92" i="50"/>
  <c r="H102" i="50"/>
  <c r="H117" i="50"/>
  <c r="H107" i="50"/>
  <c r="H91" i="50"/>
  <c r="H106" i="50"/>
  <c r="H90" i="50"/>
  <c r="H105" i="50"/>
  <c r="H89" i="50"/>
  <c r="H104" i="50"/>
  <c r="H88" i="50"/>
  <c r="H103" i="50"/>
  <c r="H87" i="50"/>
  <c r="H118" i="50"/>
  <c r="H94" i="50"/>
  <c r="H110" i="50"/>
  <c r="H101" i="50"/>
  <c r="K57" i="50"/>
  <c r="K48" i="50"/>
  <c r="K58" i="50"/>
  <c r="K56" i="50"/>
  <c r="K55" i="50"/>
  <c r="K54" i="50"/>
  <c r="K53" i="50"/>
  <c r="K52" i="50"/>
  <c r="K51" i="50"/>
  <c r="K50" i="50"/>
  <c r="K49" i="50"/>
  <c r="K47" i="50"/>
  <c r="K46" i="50"/>
  <c r="K45" i="50"/>
  <c r="K44" i="50"/>
  <c r="K43" i="50"/>
  <c r="K42" i="50"/>
  <c r="K41" i="50"/>
  <c r="K40" i="50"/>
  <c r="K39" i="50"/>
  <c r="K38" i="50"/>
  <c r="K37" i="50"/>
  <c r="K36" i="50"/>
  <c r="K35" i="50"/>
  <c r="K34" i="50"/>
  <c r="K33" i="50"/>
  <c r="K32" i="50"/>
  <c r="K31" i="50"/>
  <c r="K30" i="50"/>
  <c r="K29" i="50"/>
  <c r="L5" i="50"/>
  <c r="L48" i="50" s="1"/>
  <c r="K28" i="50"/>
  <c r="K27" i="50"/>
  <c r="CI3" i="7"/>
  <c r="CK1" i="7"/>
  <c r="CJ1" i="7"/>
  <c r="I11" i="50"/>
  <c r="F22" i="50"/>
  <c r="F25" i="50"/>
  <c r="D14" i="50"/>
  <c r="G23" i="50"/>
  <c r="A5" i="7"/>
  <c r="H8" i="50"/>
  <c r="E19" i="50"/>
  <c r="F23" i="50"/>
  <c r="G6" i="50"/>
  <c r="J20" i="50"/>
  <c r="C12" i="50"/>
  <c r="C18" i="50"/>
  <c r="C15" i="50"/>
  <c r="C17" i="50"/>
  <c r="G12" i="50"/>
  <c r="E18" i="50"/>
  <c r="I18" i="50"/>
  <c r="J15" i="50"/>
  <c r="F8" i="50"/>
  <c r="G20" i="50"/>
  <c r="H6" i="50"/>
  <c r="G8" i="50"/>
  <c r="D9" i="50"/>
  <c r="G9" i="50"/>
  <c r="C13" i="50"/>
  <c r="H18" i="50"/>
  <c r="E24" i="50"/>
  <c r="G13" i="50"/>
  <c r="J8" i="50"/>
  <c r="J16" i="50"/>
  <c r="G19" i="50"/>
  <c r="E13" i="50"/>
  <c r="J18" i="50"/>
  <c r="G18" i="50"/>
  <c r="D6" i="50"/>
  <c r="J23" i="50"/>
  <c r="I6" i="50"/>
  <c r="D22" i="50"/>
  <c r="F12" i="50"/>
  <c r="J9" i="50"/>
  <c r="F7" i="50"/>
  <c r="D8" i="50"/>
  <c r="C25" i="50"/>
  <c r="G17" i="50"/>
  <c r="H11" i="50"/>
  <c r="G25" i="50"/>
  <c r="D23" i="50"/>
  <c r="H15" i="50"/>
  <c r="C22" i="50"/>
  <c r="D7" i="50"/>
  <c r="E16" i="50"/>
  <c r="C23" i="50"/>
  <c r="G15" i="50"/>
  <c r="H19" i="50"/>
  <c r="H10" i="50"/>
  <c r="C19" i="50"/>
  <c r="H26" i="50"/>
  <c r="E22" i="50"/>
  <c r="J7" i="50"/>
  <c r="C20" i="50"/>
  <c r="I26" i="50"/>
  <c r="E23" i="50"/>
  <c r="J21" i="50"/>
  <c r="C24" i="50"/>
  <c r="E25" i="50"/>
  <c r="J26" i="50"/>
  <c r="F9" i="50"/>
  <c r="J12" i="50"/>
  <c r="I16" i="50"/>
  <c r="F21" i="50"/>
  <c r="C8" i="50"/>
  <c r="F17" i="50"/>
  <c r="G24" i="50"/>
  <c r="J25" i="50"/>
  <c r="H24" i="50"/>
  <c r="G21" i="50"/>
  <c r="I8" i="50"/>
  <c r="H23" i="50"/>
  <c r="F20" i="50"/>
  <c r="I21" i="50"/>
  <c r="H16" i="50"/>
  <c r="G16" i="50"/>
  <c r="I19" i="50"/>
  <c r="E9" i="50"/>
  <c r="C11" i="50"/>
  <c r="E21" i="50"/>
  <c r="D15" i="50"/>
  <c r="G26" i="50"/>
  <c r="F24" i="50"/>
  <c r="J14" i="50"/>
  <c r="J10" i="50"/>
  <c r="E6" i="50"/>
  <c r="E11" i="50"/>
  <c r="F11" i="50"/>
  <c r="D18" i="50"/>
  <c r="J19" i="50"/>
  <c r="C21" i="50"/>
  <c r="F26" i="50"/>
  <c r="G22" i="50"/>
  <c r="J22" i="50"/>
  <c r="F10" i="50"/>
  <c r="I24" i="50"/>
  <c r="G7" i="50"/>
  <c r="I10" i="50"/>
  <c r="E17" i="50"/>
  <c r="D12" i="50"/>
  <c r="F13" i="50"/>
  <c r="G10" i="50"/>
  <c r="H17" i="50"/>
  <c r="J6" i="50"/>
  <c r="J24" i="50"/>
  <c r="I25" i="50"/>
  <c r="I12" i="50"/>
  <c r="D19" i="50"/>
  <c r="D13" i="50"/>
  <c r="D25" i="50"/>
  <c r="D17" i="50"/>
  <c r="J11" i="50"/>
  <c r="D21" i="50"/>
  <c r="I20" i="50"/>
  <c r="I23" i="50"/>
  <c r="I13" i="50"/>
  <c r="D16" i="50"/>
  <c r="E26" i="50"/>
  <c r="D26" i="50"/>
  <c r="F18" i="50"/>
  <c r="C9" i="50"/>
  <c r="C16" i="50"/>
  <c r="D24" i="50"/>
  <c r="C6" i="50"/>
  <c r="E14" i="50"/>
  <c r="H14" i="50"/>
  <c r="D20" i="50"/>
  <c r="E12" i="50"/>
  <c r="H9" i="50"/>
  <c r="H12" i="50"/>
  <c r="I9" i="50"/>
  <c r="I15" i="50"/>
  <c r="E8" i="50"/>
  <c r="F14" i="50"/>
  <c r="F6" i="50"/>
  <c r="E10" i="50"/>
  <c r="J17" i="50"/>
  <c r="H25" i="50"/>
  <c r="I22" i="50"/>
  <c r="F16" i="50"/>
  <c r="H20" i="50"/>
  <c r="D11" i="50"/>
  <c r="C10" i="50"/>
  <c r="E7" i="50"/>
  <c r="H21" i="50"/>
  <c r="G14" i="50"/>
  <c r="H22" i="50"/>
  <c r="F15" i="50"/>
  <c r="I14" i="50"/>
  <c r="H13" i="50"/>
  <c r="I7" i="50"/>
  <c r="H7" i="50"/>
  <c r="C14" i="50"/>
  <c r="F19" i="50"/>
  <c r="C7" i="50"/>
  <c r="G11" i="50"/>
  <c r="C26" i="50"/>
  <c r="E15" i="50"/>
  <c r="J13" i="50"/>
  <c r="I17" i="50"/>
  <c r="E20" i="50"/>
  <c r="D10" i="50"/>
  <c r="K21" i="50"/>
  <c r="K9" i="50"/>
  <c r="K20" i="50"/>
  <c r="K7" i="50"/>
  <c r="K15" i="50"/>
  <c r="K17" i="50"/>
  <c r="K24" i="50"/>
  <c r="K22" i="50"/>
  <c r="K14" i="50"/>
  <c r="K6" i="50"/>
  <c r="K11" i="50"/>
  <c r="K23" i="50"/>
  <c r="K26" i="50"/>
  <c r="K13" i="50"/>
  <c r="K16" i="50"/>
  <c r="K10" i="50"/>
  <c r="K25" i="50"/>
  <c r="K12" i="50"/>
  <c r="K8" i="50"/>
  <c r="K18" i="50"/>
  <c r="K19" i="50"/>
  <c r="C5" i="7"/>
  <c r="CJ3" i="7" l="1"/>
  <c r="B46" i="50"/>
  <c r="B106" i="50" s="1"/>
  <c r="L11" i="50"/>
  <c r="L57" i="50"/>
  <c r="L17" i="50"/>
  <c r="L15" i="50"/>
  <c r="L24" i="50"/>
  <c r="L16" i="50"/>
  <c r="L25" i="50"/>
  <c r="L7" i="50"/>
  <c r="L22" i="50"/>
  <c r="L58" i="50"/>
  <c r="L56" i="50"/>
  <c r="L55" i="50"/>
  <c r="L54" i="50"/>
  <c r="L53" i="50"/>
  <c r="L52" i="50"/>
  <c r="L51" i="50"/>
  <c r="L50" i="50"/>
  <c r="L49" i="50"/>
  <c r="L47" i="50"/>
  <c r="L46" i="50"/>
  <c r="L45" i="50"/>
  <c r="L44" i="50"/>
  <c r="L43" i="50"/>
  <c r="L42" i="50"/>
  <c r="L41" i="50"/>
  <c r="L40" i="50"/>
  <c r="L39" i="50"/>
  <c r="L38" i="50"/>
  <c r="L37" i="50"/>
  <c r="L36" i="50"/>
  <c r="L35" i="50"/>
  <c r="L34" i="50"/>
  <c r="L33" i="50"/>
  <c r="L32" i="50"/>
  <c r="L31" i="50"/>
  <c r="L30" i="50"/>
  <c r="L29" i="50"/>
  <c r="L20" i="50"/>
  <c r="L19" i="50"/>
  <c r="L14" i="50"/>
  <c r="L21" i="50"/>
  <c r="L18" i="50"/>
  <c r="L9" i="50"/>
  <c r="L26" i="50"/>
  <c r="L23" i="50"/>
  <c r="L10" i="50"/>
  <c r="L8" i="50"/>
  <c r="L12" i="50"/>
  <c r="L6" i="50"/>
  <c r="L13" i="50"/>
  <c r="M5" i="50"/>
  <c r="L27" i="50"/>
  <c r="L28" i="50"/>
  <c r="E29" i="49"/>
  <c r="E27" i="49"/>
  <c r="E25" i="49"/>
  <c r="E31" i="49"/>
  <c r="E48" i="49"/>
  <c r="E28" i="49"/>
  <c r="E33" i="49"/>
  <c r="E34" i="49"/>
  <c r="E37" i="49"/>
  <c r="E44" i="49"/>
  <c r="E45" i="49"/>
  <c r="E49" i="49"/>
  <c r="E47" i="49"/>
  <c r="E30" i="49"/>
  <c r="E43" i="49"/>
  <c r="E40" i="49"/>
  <c r="E46" i="49"/>
  <c r="E35" i="49"/>
  <c r="E39" i="49"/>
  <c r="E42" i="49"/>
  <c r="E32" i="49"/>
  <c r="E26" i="49"/>
  <c r="E36" i="49"/>
  <c r="E41" i="49"/>
  <c r="E38" i="49"/>
  <c r="CL1" i="7"/>
  <c r="CM1" i="7"/>
  <c r="CK3" i="7"/>
  <c r="G60" i="50"/>
  <c r="G61" i="50" s="1"/>
  <c r="C60" i="50"/>
  <c r="C61" i="50" s="1"/>
  <c r="I60" i="50"/>
  <c r="I61" i="50" s="1"/>
  <c r="H60" i="50"/>
  <c r="H61" i="50" s="1"/>
  <c r="K60" i="50"/>
  <c r="K61" i="50" s="1"/>
  <c r="D60" i="50"/>
  <c r="D61" i="50" s="1"/>
  <c r="J60" i="50"/>
  <c r="J61" i="50" s="1"/>
  <c r="F60" i="50"/>
  <c r="F61" i="50" s="1"/>
  <c r="E60" i="50"/>
  <c r="E61" i="50" s="1"/>
  <c r="D5" i="7"/>
  <c r="B5" i="7"/>
  <c r="A13" i="47"/>
  <c r="AY5" i="38"/>
  <c r="AZ6" i="38" s="1"/>
  <c r="AZ5" i="38"/>
  <c r="AD6" i="38"/>
  <c r="H79" i="50"/>
  <c r="H67" i="50"/>
  <c r="H80" i="50"/>
  <c r="I65" i="50"/>
  <c r="H76" i="50"/>
  <c r="H68" i="50"/>
  <c r="H84" i="50"/>
  <c r="H73" i="50"/>
  <c r="H86" i="50"/>
  <c r="H85" i="50"/>
  <c r="H66" i="50"/>
  <c r="H83" i="50"/>
  <c r="H81" i="50"/>
  <c r="H69" i="50"/>
  <c r="H70" i="50"/>
  <c r="H82" i="50"/>
  <c r="H77" i="50"/>
  <c r="H71" i="50"/>
  <c r="H78" i="50"/>
  <c r="H72" i="50"/>
  <c r="H74" i="50"/>
  <c r="A12" i="48"/>
  <c r="V11" i="48"/>
  <c r="R2" i="23"/>
  <c r="Q2" i="23"/>
  <c r="M3" i="49"/>
  <c r="B12" i="48"/>
  <c r="DJ5" i="7"/>
  <c r="CL3" i="7" l="1"/>
  <c r="B47" i="50"/>
  <c r="B107" i="50" s="1"/>
  <c r="H120" i="50"/>
  <c r="I77" i="50"/>
  <c r="I115" i="50"/>
  <c r="I99" i="50"/>
  <c r="I114" i="50"/>
  <c r="I98" i="50"/>
  <c r="I113" i="50"/>
  <c r="I97" i="50"/>
  <c r="I112" i="50"/>
  <c r="I96" i="50"/>
  <c r="I111" i="50"/>
  <c r="I95" i="50"/>
  <c r="I110" i="50"/>
  <c r="I94" i="50"/>
  <c r="I108" i="50"/>
  <c r="I92" i="50"/>
  <c r="I117" i="50"/>
  <c r="I107" i="50"/>
  <c r="I91" i="50"/>
  <c r="I106" i="50"/>
  <c r="I90" i="50"/>
  <c r="I105" i="50"/>
  <c r="I89" i="50"/>
  <c r="I101" i="50"/>
  <c r="I104" i="50"/>
  <c r="I88" i="50"/>
  <c r="I116" i="50"/>
  <c r="I103" i="50"/>
  <c r="I87" i="50"/>
  <c r="I118" i="50"/>
  <c r="I102" i="50"/>
  <c r="I109" i="50"/>
  <c r="I100" i="50"/>
  <c r="I93" i="50"/>
  <c r="M57" i="50"/>
  <c r="M48" i="50"/>
  <c r="M58" i="50"/>
  <c r="M56" i="50"/>
  <c r="M55" i="50"/>
  <c r="M54" i="50"/>
  <c r="M53" i="50"/>
  <c r="M52" i="50"/>
  <c r="M51" i="50"/>
  <c r="M50" i="50"/>
  <c r="M49" i="50"/>
  <c r="M47" i="50"/>
  <c r="M46" i="50"/>
  <c r="M45" i="50"/>
  <c r="M44" i="50"/>
  <c r="M43" i="50"/>
  <c r="M42" i="50"/>
  <c r="M41" i="50"/>
  <c r="M40" i="50"/>
  <c r="M39" i="50"/>
  <c r="M38" i="50"/>
  <c r="M37" i="50"/>
  <c r="M36" i="50"/>
  <c r="M35" i="50"/>
  <c r="M34" i="50"/>
  <c r="M33" i="50"/>
  <c r="M32" i="50"/>
  <c r="M31" i="50"/>
  <c r="M30" i="50"/>
  <c r="M29" i="50"/>
  <c r="L60" i="50"/>
  <c r="L61" i="50" s="1"/>
  <c r="N5" i="50"/>
  <c r="M27" i="50"/>
  <c r="M28" i="50"/>
  <c r="M8" i="50"/>
  <c r="M19" i="50"/>
  <c r="M15" i="50"/>
  <c r="M18" i="50"/>
  <c r="M21" i="50"/>
  <c r="M12" i="50"/>
  <c r="M7" i="50"/>
  <c r="M17" i="50"/>
  <c r="M20" i="50"/>
  <c r="M22" i="50"/>
  <c r="M13" i="50"/>
  <c r="M14" i="50"/>
  <c r="M23" i="50"/>
  <c r="M26" i="50"/>
  <c r="M24" i="50"/>
  <c r="M10" i="50"/>
  <c r="M6" i="50"/>
  <c r="M9" i="50"/>
  <c r="M11" i="50"/>
  <c r="M25" i="50"/>
  <c r="M16" i="50"/>
  <c r="CM3" i="7"/>
  <c r="CO1" i="7"/>
  <c r="CN1" i="7"/>
  <c r="J9" i="38"/>
  <c r="R9" i="38" s="1"/>
  <c r="A14" i="47"/>
  <c r="AK6" i="38"/>
  <c r="I72" i="50"/>
  <c r="AB6" i="38"/>
  <c r="AA6" i="38"/>
  <c r="AI6" i="38"/>
  <c r="AU6" i="38"/>
  <c r="AL6" i="38"/>
  <c r="E5" i="7"/>
  <c r="F5" i="7" s="1"/>
  <c r="AJ6" i="38"/>
  <c r="I66" i="50"/>
  <c r="I67" i="50"/>
  <c r="I75" i="50"/>
  <c r="I71" i="50"/>
  <c r="J65" i="50"/>
  <c r="I78" i="50"/>
  <c r="I69" i="50"/>
  <c r="I80" i="50"/>
  <c r="I79" i="50"/>
  <c r="I86" i="50"/>
  <c r="I85" i="50"/>
  <c r="I84" i="50"/>
  <c r="I68" i="50"/>
  <c r="I76" i="50"/>
  <c r="I70" i="50"/>
  <c r="I81" i="50"/>
  <c r="I73" i="50"/>
  <c r="I82" i="50"/>
  <c r="I74" i="50"/>
  <c r="I83" i="50"/>
  <c r="V12" i="48"/>
  <c r="A13" i="48"/>
  <c r="N3" i="49"/>
  <c r="T2" i="23"/>
  <c r="S2" i="23"/>
  <c r="B13" i="48"/>
  <c r="CN3" i="7" l="1"/>
  <c r="B48" i="50"/>
  <c r="B108" i="50" s="1"/>
  <c r="I120" i="50"/>
  <c r="J72" i="50"/>
  <c r="J114" i="50"/>
  <c r="J98" i="50"/>
  <c r="J94" i="50"/>
  <c r="J113" i="50"/>
  <c r="J97" i="50"/>
  <c r="J112" i="50"/>
  <c r="J96" i="50"/>
  <c r="J110" i="50"/>
  <c r="J111" i="50"/>
  <c r="J95" i="50"/>
  <c r="J109" i="50"/>
  <c r="J93" i="50"/>
  <c r="J107" i="50"/>
  <c r="J91" i="50"/>
  <c r="J100" i="50"/>
  <c r="J106" i="50"/>
  <c r="J90" i="50"/>
  <c r="J105" i="50"/>
  <c r="J89" i="50"/>
  <c r="J116" i="50"/>
  <c r="J104" i="50"/>
  <c r="J88" i="50"/>
  <c r="J103" i="50"/>
  <c r="J87" i="50"/>
  <c r="J118" i="50"/>
  <c r="J102" i="50"/>
  <c r="J117" i="50"/>
  <c r="J101" i="50"/>
  <c r="J115" i="50"/>
  <c r="J108" i="50"/>
  <c r="J99" i="50"/>
  <c r="J92" i="50"/>
  <c r="N57" i="50"/>
  <c r="N48" i="50"/>
  <c r="N58" i="50"/>
  <c r="N56" i="50"/>
  <c r="N55" i="50"/>
  <c r="N54" i="50"/>
  <c r="N53" i="50"/>
  <c r="N52" i="50"/>
  <c r="N51" i="50"/>
  <c r="N50" i="50"/>
  <c r="N49" i="50"/>
  <c r="N47" i="50"/>
  <c r="N46" i="50"/>
  <c r="N45" i="50"/>
  <c r="N44" i="50"/>
  <c r="N43" i="50"/>
  <c r="N42" i="50"/>
  <c r="N41" i="50"/>
  <c r="N40" i="50"/>
  <c r="N39" i="50"/>
  <c r="N38" i="50"/>
  <c r="N37" i="50"/>
  <c r="N36" i="50"/>
  <c r="N35" i="50"/>
  <c r="N34" i="50"/>
  <c r="N33" i="50"/>
  <c r="N32" i="50"/>
  <c r="N31" i="50"/>
  <c r="N30" i="50"/>
  <c r="N29" i="50"/>
  <c r="M60" i="50"/>
  <c r="M61" i="50" s="1"/>
  <c r="O5" i="50"/>
  <c r="N27" i="50"/>
  <c r="N28" i="50"/>
  <c r="N22" i="50"/>
  <c r="N26" i="50"/>
  <c r="N6" i="50"/>
  <c r="N20" i="50"/>
  <c r="N14" i="50"/>
  <c r="N9" i="50"/>
  <c r="N19" i="50"/>
  <c r="N13" i="50"/>
  <c r="N21" i="50"/>
  <c r="N15" i="50"/>
  <c r="N18" i="50"/>
  <c r="N23" i="50"/>
  <c r="N25" i="50"/>
  <c r="N24" i="50"/>
  <c r="N11" i="50"/>
  <c r="N16" i="50"/>
  <c r="N17" i="50"/>
  <c r="N12" i="50"/>
  <c r="N8" i="50"/>
  <c r="N10" i="50"/>
  <c r="N7" i="50"/>
  <c r="CO3" i="7"/>
  <c r="CQ1" i="7"/>
  <c r="CP1" i="7"/>
  <c r="U9" i="38"/>
  <c r="V9" i="38" s="1"/>
  <c r="A15" i="47"/>
  <c r="AV6" i="38"/>
  <c r="E6" i="38" s="1"/>
  <c r="AE6" i="38"/>
  <c r="B5" i="6" s="1"/>
  <c r="J77" i="50"/>
  <c r="K65" i="50"/>
  <c r="J67" i="50"/>
  <c r="J81" i="50"/>
  <c r="J85" i="50"/>
  <c r="J66" i="50"/>
  <c r="J79" i="50"/>
  <c r="J78" i="50"/>
  <c r="J69" i="50"/>
  <c r="J68" i="50"/>
  <c r="J84" i="50"/>
  <c r="J83" i="50"/>
  <c r="J82" i="50"/>
  <c r="J86" i="50"/>
  <c r="J75" i="50"/>
  <c r="J70" i="50"/>
  <c r="J74" i="50"/>
  <c r="J71" i="50"/>
  <c r="J73" i="50"/>
  <c r="J80" i="50"/>
  <c r="J76" i="50"/>
  <c r="A14" i="48"/>
  <c r="V13" i="48"/>
  <c r="O3" i="49"/>
  <c r="U2" i="23"/>
  <c r="V2" i="23"/>
  <c r="B14" i="48"/>
  <c r="CP3" i="7" l="1"/>
  <c r="B49" i="50"/>
  <c r="B109" i="50" s="1"/>
  <c r="J120" i="50"/>
  <c r="K73" i="50"/>
  <c r="K113" i="50"/>
  <c r="K97" i="50"/>
  <c r="K92" i="50"/>
  <c r="K112" i="50"/>
  <c r="K96" i="50"/>
  <c r="K109" i="50"/>
  <c r="K111" i="50"/>
  <c r="K95" i="50"/>
  <c r="K110" i="50"/>
  <c r="K94" i="50"/>
  <c r="K93" i="50"/>
  <c r="K108" i="50"/>
  <c r="K106" i="50"/>
  <c r="K90" i="50"/>
  <c r="K105" i="50"/>
  <c r="K89" i="50"/>
  <c r="K104" i="50"/>
  <c r="K88" i="50"/>
  <c r="K99" i="50"/>
  <c r="K114" i="50"/>
  <c r="K103" i="50"/>
  <c r="K87" i="50"/>
  <c r="K115" i="50"/>
  <c r="K118" i="50"/>
  <c r="K102" i="50"/>
  <c r="K117" i="50"/>
  <c r="K101" i="50"/>
  <c r="K116" i="50"/>
  <c r="K100" i="50"/>
  <c r="K91" i="50"/>
  <c r="K107" i="50"/>
  <c r="K98" i="50"/>
  <c r="O57" i="50"/>
  <c r="O48" i="50"/>
  <c r="O58" i="50"/>
  <c r="O56" i="50"/>
  <c r="O55" i="50"/>
  <c r="O54" i="50"/>
  <c r="O53" i="50"/>
  <c r="O52" i="50"/>
  <c r="O51" i="50"/>
  <c r="O50" i="50"/>
  <c r="O49" i="50"/>
  <c r="O47" i="50"/>
  <c r="O46" i="50"/>
  <c r="O45" i="50"/>
  <c r="O44" i="50"/>
  <c r="O43" i="50"/>
  <c r="O42" i="50"/>
  <c r="O41" i="50"/>
  <c r="O40" i="50"/>
  <c r="O39" i="50"/>
  <c r="O38" i="50"/>
  <c r="O37" i="50"/>
  <c r="O36" i="50"/>
  <c r="O35" i="50"/>
  <c r="O34" i="50"/>
  <c r="O33" i="50"/>
  <c r="O32" i="50"/>
  <c r="O31" i="50"/>
  <c r="O30" i="50"/>
  <c r="O29" i="50"/>
  <c r="P5" i="50"/>
  <c r="O27" i="50"/>
  <c r="O28" i="50"/>
  <c r="O21" i="50"/>
  <c r="O19" i="50"/>
  <c r="O26" i="50"/>
  <c r="O15" i="50"/>
  <c r="O11" i="50"/>
  <c r="O8" i="50"/>
  <c r="O24" i="50"/>
  <c r="O6" i="50"/>
  <c r="O25" i="50"/>
  <c r="O17" i="50"/>
  <c r="O23" i="50"/>
  <c r="O14" i="50"/>
  <c r="O9" i="50"/>
  <c r="O18" i="50"/>
  <c r="O16" i="50"/>
  <c r="O20" i="50"/>
  <c r="O7" i="50"/>
  <c r="O12" i="50"/>
  <c r="O13" i="50"/>
  <c r="O22" i="50"/>
  <c r="O10" i="50"/>
  <c r="N60" i="50"/>
  <c r="N61" i="50" s="1"/>
  <c r="CR1" i="7"/>
  <c r="CS1" i="7"/>
  <c r="CQ3" i="7"/>
  <c r="A16" i="47"/>
  <c r="U10" i="38"/>
  <c r="AD9" i="38"/>
  <c r="K85" i="50"/>
  <c r="K66" i="50"/>
  <c r="K75" i="50"/>
  <c r="K69" i="50"/>
  <c r="K79" i="50"/>
  <c r="K84" i="50"/>
  <c r="K81" i="50"/>
  <c r="K86" i="50"/>
  <c r="K74" i="50"/>
  <c r="K76" i="50"/>
  <c r="L65" i="50"/>
  <c r="K67" i="50"/>
  <c r="K80" i="50"/>
  <c r="K77" i="50"/>
  <c r="K70" i="50"/>
  <c r="K83" i="50"/>
  <c r="K71" i="50"/>
  <c r="K68" i="50"/>
  <c r="K72" i="50"/>
  <c r="K78" i="50"/>
  <c r="K82" i="50"/>
  <c r="AI9" i="38"/>
  <c r="A15" i="48"/>
  <c r="V14" i="48"/>
  <c r="P3" i="49"/>
  <c r="W2" i="23"/>
  <c r="X2" i="23"/>
  <c r="Y2" i="23" s="1"/>
  <c r="B15" i="48"/>
  <c r="CR3" i="7" l="1"/>
  <c r="B50" i="50"/>
  <c r="B110" i="50" s="1"/>
  <c r="K120" i="50"/>
  <c r="L68" i="50"/>
  <c r="L112" i="50"/>
  <c r="L96" i="50"/>
  <c r="L92" i="50"/>
  <c r="L111" i="50"/>
  <c r="L95" i="50"/>
  <c r="L91" i="50"/>
  <c r="L110" i="50"/>
  <c r="L94" i="50"/>
  <c r="L108" i="50"/>
  <c r="L109" i="50"/>
  <c r="L93" i="50"/>
  <c r="L107" i="50"/>
  <c r="L105" i="50"/>
  <c r="L89" i="50"/>
  <c r="L113" i="50"/>
  <c r="L104" i="50"/>
  <c r="L88" i="50"/>
  <c r="L103" i="50"/>
  <c r="L87" i="50"/>
  <c r="L118" i="50"/>
  <c r="L102" i="50"/>
  <c r="L114" i="50"/>
  <c r="L117" i="50"/>
  <c r="L101" i="50"/>
  <c r="L116" i="50"/>
  <c r="L100" i="50"/>
  <c r="L98" i="50"/>
  <c r="L115" i="50"/>
  <c r="L99" i="50"/>
  <c r="L97" i="50"/>
  <c r="L106" i="50"/>
  <c r="L90" i="50"/>
  <c r="P57" i="50"/>
  <c r="P48" i="50"/>
  <c r="P58" i="50"/>
  <c r="P56" i="50"/>
  <c r="P55" i="50"/>
  <c r="P54" i="50"/>
  <c r="P53" i="50"/>
  <c r="P52" i="50"/>
  <c r="P51" i="50"/>
  <c r="P50" i="50"/>
  <c r="P49" i="50"/>
  <c r="P47" i="50"/>
  <c r="P46" i="50"/>
  <c r="P45" i="50"/>
  <c r="P44" i="50"/>
  <c r="P43" i="50"/>
  <c r="P42" i="50"/>
  <c r="P41" i="50"/>
  <c r="P40" i="50"/>
  <c r="P39" i="50"/>
  <c r="P38" i="50"/>
  <c r="P37" i="50"/>
  <c r="P36" i="50"/>
  <c r="P35" i="50"/>
  <c r="P34" i="50"/>
  <c r="P33" i="50"/>
  <c r="P32" i="50"/>
  <c r="P31" i="50"/>
  <c r="P30" i="50"/>
  <c r="P29" i="50"/>
  <c r="Q5" i="50"/>
  <c r="P27" i="50"/>
  <c r="P28" i="50"/>
  <c r="P25" i="50"/>
  <c r="P18" i="50"/>
  <c r="P23" i="50"/>
  <c r="P21" i="50"/>
  <c r="P16" i="50"/>
  <c r="P22" i="50"/>
  <c r="P7" i="50"/>
  <c r="P9" i="50"/>
  <c r="P20" i="50"/>
  <c r="P13" i="50"/>
  <c r="P17" i="50"/>
  <c r="P11" i="50"/>
  <c r="P8" i="50"/>
  <c r="P19" i="50"/>
  <c r="P10" i="50"/>
  <c r="P14" i="50"/>
  <c r="P6" i="50"/>
  <c r="P12" i="50"/>
  <c r="P24" i="50"/>
  <c r="P15" i="50"/>
  <c r="P26" i="50"/>
  <c r="O60" i="50"/>
  <c r="O61" i="50" s="1"/>
  <c r="CT1" i="7"/>
  <c r="CU1" i="7"/>
  <c r="CS3" i="7"/>
  <c r="CT3" i="7" l="1"/>
  <c r="B51" i="50"/>
  <c r="B111" i="50" s="1"/>
  <c r="Q57" i="50"/>
  <c r="Q48" i="50"/>
  <c r="Q58" i="50"/>
  <c r="Q56" i="50"/>
  <c r="Q55" i="50"/>
  <c r="Q54" i="50"/>
  <c r="Q53" i="50"/>
  <c r="Q52" i="50"/>
  <c r="Q51" i="50"/>
  <c r="Q50" i="50"/>
  <c r="Q49" i="50"/>
  <c r="Q47" i="50"/>
  <c r="Q46" i="50"/>
  <c r="Q45" i="50"/>
  <c r="Q44" i="50"/>
  <c r="Q43" i="50"/>
  <c r="Q42" i="50"/>
  <c r="Q41" i="50"/>
  <c r="Q40" i="50"/>
  <c r="Q39" i="50"/>
  <c r="Q38" i="50"/>
  <c r="Q37" i="50"/>
  <c r="Q36" i="50"/>
  <c r="Q35" i="50"/>
  <c r="Q34" i="50"/>
  <c r="Q33" i="50"/>
  <c r="Q32" i="50"/>
  <c r="Q31" i="50"/>
  <c r="Q30" i="50"/>
  <c r="Q29" i="50"/>
  <c r="R5" i="50"/>
  <c r="Q27" i="50"/>
  <c r="Q28" i="50"/>
  <c r="Q18" i="50"/>
  <c r="Q19" i="50"/>
  <c r="Q24" i="50"/>
  <c r="Q12" i="50"/>
  <c r="Q6" i="50"/>
  <c r="Q8" i="50"/>
  <c r="Q11" i="50"/>
  <c r="Q10" i="50"/>
  <c r="Q22" i="50"/>
  <c r="Q17" i="50"/>
  <c r="Q20" i="50"/>
  <c r="Q9" i="50"/>
  <c r="Q23" i="50"/>
  <c r="Q14" i="50"/>
  <c r="Q13" i="50"/>
  <c r="Q25" i="50"/>
  <c r="Q21" i="50"/>
  <c r="Q16" i="50"/>
  <c r="Q26" i="50"/>
  <c r="Q7" i="50"/>
  <c r="Q15" i="50"/>
  <c r="P60" i="50"/>
  <c r="P61" i="50" s="1"/>
  <c r="CU3" i="7"/>
  <c r="CW1" i="7"/>
  <c r="CY1" i="7" s="1"/>
  <c r="DA1" i="7" s="1"/>
  <c r="CV1" i="7"/>
  <c r="A17" i="47"/>
  <c r="AD10" i="38"/>
  <c r="V10" i="38"/>
  <c r="AU9" i="38"/>
  <c r="L69" i="50"/>
  <c r="L71" i="50"/>
  <c r="L79" i="50"/>
  <c r="L66" i="50"/>
  <c r="L74" i="50"/>
  <c r="L75" i="50"/>
  <c r="L78" i="50"/>
  <c r="L85" i="50"/>
  <c r="L67" i="50"/>
  <c r="L81" i="50"/>
  <c r="L70" i="50"/>
  <c r="L84" i="50"/>
  <c r="L76" i="50"/>
  <c r="L73" i="50"/>
  <c r="L83" i="50"/>
  <c r="L77" i="50"/>
  <c r="L80" i="50"/>
  <c r="L86" i="50"/>
  <c r="M65" i="50"/>
  <c r="L72" i="50"/>
  <c r="L82" i="50"/>
  <c r="A16" i="48"/>
  <c r="V15" i="48"/>
  <c r="Q3" i="49"/>
  <c r="B16" i="48"/>
  <c r="CV3" i="7" l="1"/>
  <c r="B52" i="50"/>
  <c r="B112" i="50" s="1"/>
  <c r="M111" i="50"/>
  <c r="M95" i="50"/>
  <c r="M91" i="50"/>
  <c r="M90" i="50"/>
  <c r="M110" i="50"/>
  <c r="M94" i="50"/>
  <c r="M107" i="50"/>
  <c r="M109" i="50"/>
  <c r="M93" i="50"/>
  <c r="M108" i="50"/>
  <c r="M92" i="50"/>
  <c r="M106" i="50"/>
  <c r="M104" i="50"/>
  <c r="M88" i="50"/>
  <c r="M103" i="50"/>
  <c r="M87" i="50"/>
  <c r="M118" i="50"/>
  <c r="M102" i="50"/>
  <c r="M117" i="50"/>
  <c r="M101" i="50"/>
  <c r="M116" i="50"/>
  <c r="M100" i="50"/>
  <c r="M115" i="50"/>
  <c r="M99" i="50"/>
  <c r="M114" i="50"/>
  <c r="M98" i="50"/>
  <c r="M113" i="50"/>
  <c r="M97" i="50"/>
  <c r="M112" i="50"/>
  <c r="M96" i="50"/>
  <c r="M89" i="50"/>
  <c r="M105" i="50"/>
  <c r="L120" i="50"/>
  <c r="R57" i="50"/>
  <c r="R48" i="50"/>
  <c r="R58" i="50"/>
  <c r="R56" i="50"/>
  <c r="R55" i="50"/>
  <c r="R54" i="50"/>
  <c r="R53" i="50"/>
  <c r="R52" i="50"/>
  <c r="R51" i="50"/>
  <c r="R50" i="50"/>
  <c r="R49" i="50"/>
  <c r="R47" i="50"/>
  <c r="R46" i="50"/>
  <c r="R45" i="50"/>
  <c r="R44" i="50"/>
  <c r="R43" i="50"/>
  <c r="R42" i="50"/>
  <c r="R41" i="50"/>
  <c r="R40" i="50"/>
  <c r="R39" i="50"/>
  <c r="R38" i="50"/>
  <c r="R37" i="50"/>
  <c r="R36" i="50"/>
  <c r="R35" i="50"/>
  <c r="R34" i="50"/>
  <c r="R33" i="50"/>
  <c r="R32" i="50"/>
  <c r="R31" i="50"/>
  <c r="R30" i="50"/>
  <c r="R29" i="50"/>
  <c r="S5" i="50"/>
  <c r="R27" i="50"/>
  <c r="R28" i="50"/>
  <c r="R24" i="50"/>
  <c r="R19" i="50"/>
  <c r="R13" i="50"/>
  <c r="R26" i="50"/>
  <c r="R9" i="50"/>
  <c r="R14" i="50"/>
  <c r="R20" i="50"/>
  <c r="R16" i="50"/>
  <c r="R10" i="50"/>
  <c r="R11" i="50"/>
  <c r="R12" i="50"/>
  <c r="R8" i="50"/>
  <c r="R22" i="50"/>
  <c r="R15" i="50"/>
  <c r="R23" i="50"/>
  <c r="R18" i="50"/>
  <c r="R17" i="50"/>
  <c r="R25" i="50"/>
  <c r="R6" i="50"/>
  <c r="R21" i="50"/>
  <c r="R7" i="50"/>
  <c r="Q60" i="50"/>
  <c r="Q61" i="50" s="1"/>
  <c r="DA3" i="7"/>
  <c r="B55" i="50" s="1"/>
  <c r="DC1" i="7"/>
  <c r="DB1" i="7"/>
  <c r="CY3" i="7"/>
  <c r="B54" i="50" s="1"/>
  <c r="CZ1" i="7"/>
  <c r="CW3" i="7"/>
  <c r="B53" i="50" s="1"/>
  <c r="CX1" i="7"/>
  <c r="E124" i="7"/>
  <c r="F124" i="7" s="1"/>
  <c r="DB3" i="7" l="1"/>
  <c r="B115" i="50"/>
  <c r="CX3" i="7"/>
  <c r="B113" i="50"/>
  <c r="CZ3" i="7"/>
  <c r="B114" i="50"/>
  <c r="S57" i="50"/>
  <c r="S48" i="50"/>
  <c r="S58" i="50"/>
  <c r="S56" i="50"/>
  <c r="S55" i="50"/>
  <c r="S54" i="50"/>
  <c r="S53" i="50"/>
  <c r="S52" i="50"/>
  <c r="S51" i="50"/>
  <c r="S50" i="50"/>
  <c r="S49" i="50"/>
  <c r="S47" i="50"/>
  <c r="S46" i="50"/>
  <c r="S45" i="50"/>
  <c r="S44" i="50"/>
  <c r="S43" i="50"/>
  <c r="S42" i="50"/>
  <c r="S41" i="50"/>
  <c r="S40" i="50"/>
  <c r="S39" i="50"/>
  <c r="S38" i="50"/>
  <c r="S37" i="50"/>
  <c r="S36" i="50"/>
  <c r="S35" i="50"/>
  <c r="S34" i="50"/>
  <c r="S33" i="50"/>
  <c r="S32" i="50"/>
  <c r="S31" i="50"/>
  <c r="S30" i="50"/>
  <c r="S29" i="50"/>
  <c r="T5" i="50"/>
  <c r="T48" i="50" s="1"/>
  <c r="S27" i="50"/>
  <c r="S28" i="50"/>
  <c r="S25" i="50"/>
  <c r="S13" i="50"/>
  <c r="S26" i="50"/>
  <c r="S12" i="50"/>
  <c r="S8" i="50"/>
  <c r="S14" i="50"/>
  <c r="S17" i="50"/>
  <c r="S20" i="50"/>
  <c r="S7" i="50"/>
  <c r="S22" i="50"/>
  <c r="S10" i="50"/>
  <c r="S15" i="50"/>
  <c r="S9" i="50"/>
  <c r="S11" i="50"/>
  <c r="S19" i="50"/>
  <c r="S6" i="50"/>
  <c r="S18" i="50"/>
  <c r="S24" i="50"/>
  <c r="S23" i="50"/>
  <c r="S21" i="50"/>
  <c r="S16" i="50"/>
  <c r="R60" i="50"/>
  <c r="R61" i="50" s="1"/>
  <c r="DC3" i="7"/>
  <c r="B56" i="50" s="1"/>
  <c r="DE1" i="7"/>
  <c r="DD1" i="7"/>
  <c r="R13" i="38"/>
  <c r="AU10" i="38"/>
  <c r="AI10" i="38"/>
  <c r="M67" i="50"/>
  <c r="M76" i="50"/>
  <c r="M84" i="50"/>
  <c r="M85" i="50"/>
  <c r="M81" i="50"/>
  <c r="M77" i="50"/>
  <c r="M73" i="50"/>
  <c r="M71" i="50"/>
  <c r="M66" i="50"/>
  <c r="M75" i="50"/>
  <c r="M83" i="50"/>
  <c r="M69" i="50"/>
  <c r="M74" i="50"/>
  <c r="M72" i="50"/>
  <c r="M86" i="50"/>
  <c r="M79" i="50"/>
  <c r="M78" i="50"/>
  <c r="M68" i="50"/>
  <c r="M80" i="50"/>
  <c r="M82" i="50"/>
  <c r="N65" i="50"/>
  <c r="M70" i="50"/>
  <c r="V16" i="48"/>
  <c r="A17" i="48"/>
  <c r="B17" i="48"/>
  <c r="DD3" i="7" l="1"/>
  <c r="B116" i="50"/>
  <c r="N70" i="50"/>
  <c r="N110" i="50"/>
  <c r="N94" i="50"/>
  <c r="N109" i="50"/>
  <c r="N93" i="50"/>
  <c r="N90" i="50"/>
  <c r="N89" i="50"/>
  <c r="N108" i="50"/>
  <c r="N92" i="50"/>
  <c r="N106" i="50"/>
  <c r="N107" i="50"/>
  <c r="N91" i="50"/>
  <c r="N105" i="50"/>
  <c r="N103" i="50"/>
  <c r="N87" i="50"/>
  <c r="N118" i="50"/>
  <c r="N102" i="50"/>
  <c r="N117" i="50"/>
  <c r="N101" i="50"/>
  <c r="N116" i="50"/>
  <c r="N100" i="50"/>
  <c r="N115" i="50"/>
  <c r="N99" i="50"/>
  <c r="N96" i="50"/>
  <c r="N111" i="50"/>
  <c r="N114" i="50"/>
  <c r="N98" i="50"/>
  <c r="N113" i="50"/>
  <c r="N97" i="50"/>
  <c r="N112" i="50"/>
  <c r="N95" i="50"/>
  <c r="N88" i="50"/>
  <c r="N104" i="50"/>
  <c r="M120" i="50"/>
  <c r="T15" i="50"/>
  <c r="T57" i="50"/>
  <c r="T10" i="50"/>
  <c r="T14" i="50"/>
  <c r="T17" i="50"/>
  <c r="T7" i="50"/>
  <c r="T19" i="50"/>
  <c r="T24" i="50"/>
  <c r="T58" i="50"/>
  <c r="T56" i="50"/>
  <c r="T55" i="50"/>
  <c r="T54" i="50"/>
  <c r="T53" i="50"/>
  <c r="T52" i="50"/>
  <c r="T51" i="50"/>
  <c r="T50" i="50"/>
  <c r="T49" i="50"/>
  <c r="T47" i="50"/>
  <c r="T46" i="50"/>
  <c r="T45" i="50"/>
  <c r="T44" i="50"/>
  <c r="T43" i="50"/>
  <c r="T42" i="50"/>
  <c r="T41" i="50"/>
  <c r="T40" i="50"/>
  <c r="T39" i="50"/>
  <c r="T38" i="50"/>
  <c r="T37" i="50"/>
  <c r="T36" i="50"/>
  <c r="T35" i="50"/>
  <c r="T34" i="50"/>
  <c r="T33" i="50"/>
  <c r="T32" i="50"/>
  <c r="T31" i="50"/>
  <c r="T30" i="50"/>
  <c r="T29" i="50"/>
  <c r="T11" i="50"/>
  <c r="T18" i="50"/>
  <c r="T26" i="50"/>
  <c r="T22" i="50"/>
  <c r="S60" i="50"/>
  <c r="S61" i="50" s="1"/>
  <c r="U5" i="50"/>
  <c r="U48" i="50" s="1"/>
  <c r="T27" i="50"/>
  <c r="T28" i="50"/>
  <c r="T13" i="50"/>
  <c r="T20" i="50"/>
  <c r="T16" i="50"/>
  <c r="T21" i="50"/>
  <c r="T8" i="50"/>
  <c r="T12" i="50"/>
  <c r="T9" i="50"/>
  <c r="T6" i="50"/>
  <c r="T23" i="50"/>
  <c r="T25" i="50"/>
  <c r="DE3" i="7"/>
  <c r="B57" i="50" s="1"/>
  <c r="DG1" i="7"/>
  <c r="DF1" i="7"/>
  <c r="U13" i="38"/>
  <c r="I14" i="38"/>
  <c r="N68" i="50"/>
  <c r="N80" i="50"/>
  <c r="N71" i="50"/>
  <c r="N77" i="50"/>
  <c r="N66" i="50"/>
  <c r="N67" i="50"/>
  <c r="N79" i="50"/>
  <c r="N73" i="50"/>
  <c r="N78" i="50"/>
  <c r="N76" i="50"/>
  <c r="N75" i="50"/>
  <c r="N81" i="50"/>
  <c r="N74" i="50"/>
  <c r="N85" i="50"/>
  <c r="O65" i="50"/>
  <c r="N69" i="50"/>
  <c r="N84" i="50"/>
  <c r="N72" i="50"/>
  <c r="N86" i="50"/>
  <c r="N83" i="50"/>
  <c r="N82" i="50"/>
  <c r="A18" i="48"/>
  <c r="V17" i="48"/>
  <c r="B18" i="48"/>
  <c r="DF3" i="7" l="1"/>
  <c r="B117" i="50"/>
  <c r="N120" i="50"/>
  <c r="U17" i="50"/>
  <c r="U23" i="50"/>
  <c r="U6" i="50"/>
  <c r="U9" i="50"/>
  <c r="O85" i="50"/>
  <c r="O109" i="50"/>
  <c r="O93" i="50"/>
  <c r="O89" i="50"/>
  <c r="O108" i="50"/>
  <c r="O92" i="50"/>
  <c r="O105" i="50"/>
  <c r="O107" i="50"/>
  <c r="O91" i="50"/>
  <c r="O106" i="50"/>
  <c r="O90" i="50"/>
  <c r="O104" i="50"/>
  <c r="O118" i="50"/>
  <c r="O102" i="50"/>
  <c r="O117" i="50"/>
  <c r="O101" i="50"/>
  <c r="O95" i="50"/>
  <c r="O110" i="50"/>
  <c r="O116" i="50"/>
  <c r="O100" i="50"/>
  <c r="O115" i="50"/>
  <c r="O99" i="50"/>
  <c r="O114" i="50"/>
  <c r="O98" i="50"/>
  <c r="O113" i="50"/>
  <c r="O97" i="50"/>
  <c r="O112" i="50"/>
  <c r="O96" i="50"/>
  <c r="O111" i="50"/>
  <c r="O103" i="50"/>
  <c r="O87" i="50"/>
  <c r="O94" i="50"/>
  <c r="O88" i="50"/>
  <c r="U25" i="50"/>
  <c r="U12" i="50"/>
  <c r="U15" i="50"/>
  <c r="U57" i="50"/>
  <c r="U8" i="50"/>
  <c r="U58" i="50"/>
  <c r="U56" i="50"/>
  <c r="U55" i="50"/>
  <c r="U54" i="50"/>
  <c r="U53" i="50"/>
  <c r="U52" i="50"/>
  <c r="U51" i="50"/>
  <c r="U50" i="50"/>
  <c r="U49" i="50"/>
  <c r="U47" i="50"/>
  <c r="U46" i="50"/>
  <c r="U45" i="50"/>
  <c r="U44" i="50"/>
  <c r="U43" i="50"/>
  <c r="U42" i="50"/>
  <c r="U41" i="50"/>
  <c r="U40" i="50"/>
  <c r="U39" i="50"/>
  <c r="U38" i="50"/>
  <c r="U37" i="50"/>
  <c r="U36" i="50"/>
  <c r="U35" i="50"/>
  <c r="U34" i="50"/>
  <c r="U33" i="50"/>
  <c r="U32" i="50"/>
  <c r="U31" i="50"/>
  <c r="U30" i="50"/>
  <c r="U29" i="50"/>
  <c r="T60" i="50"/>
  <c r="T61" i="50" s="1"/>
  <c r="U13" i="50"/>
  <c r="U16" i="50"/>
  <c r="U7" i="50"/>
  <c r="U19" i="50"/>
  <c r="U22" i="50"/>
  <c r="U21" i="50"/>
  <c r="U14" i="50"/>
  <c r="U20" i="50"/>
  <c r="U24" i="50"/>
  <c r="V5" i="50"/>
  <c r="U27" i="50"/>
  <c r="U28" i="50"/>
  <c r="U26" i="50"/>
  <c r="U18" i="50"/>
  <c r="U10" i="50"/>
  <c r="U11" i="50"/>
  <c r="DH1" i="7"/>
  <c r="DG3" i="7"/>
  <c r="B58" i="50" s="1"/>
  <c r="J14" i="38"/>
  <c r="R14" i="38" s="1"/>
  <c r="V13" i="38"/>
  <c r="O77" i="50"/>
  <c r="O74" i="50"/>
  <c r="O84" i="50"/>
  <c r="O72" i="50"/>
  <c r="O81" i="50"/>
  <c r="O70" i="50"/>
  <c r="O73" i="50"/>
  <c r="O71" i="50"/>
  <c r="P65" i="50"/>
  <c r="O66" i="50"/>
  <c r="O75" i="50"/>
  <c r="O79" i="50"/>
  <c r="O76" i="50"/>
  <c r="O86" i="50"/>
  <c r="O83" i="50"/>
  <c r="O82" i="50"/>
  <c r="O69" i="50"/>
  <c r="O78" i="50"/>
  <c r="O67" i="50"/>
  <c r="O80" i="50"/>
  <c r="O68" i="50"/>
  <c r="AD15" i="38"/>
  <c r="V18" i="48"/>
  <c r="A19" i="48"/>
  <c r="B19" i="48"/>
  <c r="DH3" i="7" l="1"/>
  <c r="B118" i="50"/>
  <c r="O120" i="50"/>
  <c r="P75" i="50"/>
  <c r="P108" i="50"/>
  <c r="P92" i="50"/>
  <c r="P107" i="50"/>
  <c r="P91" i="50"/>
  <c r="P104" i="50"/>
  <c r="P106" i="50"/>
  <c r="P90" i="50"/>
  <c r="P105" i="50"/>
  <c r="P89" i="50"/>
  <c r="P88" i="50"/>
  <c r="P103" i="50"/>
  <c r="P117" i="50"/>
  <c r="P101" i="50"/>
  <c r="P94" i="50"/>
  <c r="P116" i="50"/>
  <c r="P100" i="50"/>
  <c r="P115" i="50"/>
  <c r="P99" i="50"/>
  <c r="P114" i="50"/>
  <c r="P98" i="50"/>
  <c r="P113" i="50"/>
  <c r="P97" i="50"/>
  <c r="P112" i="50"/>
  <c r="P96" i="50"/>
  <c r="P111" i="50"/>
  <c r="P95" i="50"/>
  <c r="P110" i="50"/>
  <c r="P109" i="50"/>
  <c r="P102" i="50"/>
  <c r="P118" i="50"/>
  <c r="P93" i="50"/>
  <c r="P87" i="50"/>
  <c r="V57" i="50"/>
  <c r="V48" i="50"/>
  <c r="V21" i="50"/>
  <c r="V58" i="50"/>
  <c r="V56" i="50"/>
  <c r="V55" i="50"/>
  <c r="V54" i="50"/>
  <c r="V53" i="50"/>
  <c r="V52" i="50"/>
  <c r="V51" i="50"/>
  <c r="V50" i="50"/>
  <c r="V49" i="50"/>
  <c r="V47" i="50"/>
  <c r="V46" i="50"/>
  <c r="V45" i="50"/>
  <c r="V44" i="50"/>
  <c r="V43" i="50"/>
  <c r="V42" i="50"/>
  <c r="V41" i="50"/>
  <c r="V40" i="50"/>
  <c r="V39" i="50"/>
  <c r="V38" i="50"/>
  <c r="V37" i="50"/>
  <c r="V36" i="50"/>
  <c r="V35" i="50"/>
  <c r="V34" i="50"/>
  <c r="V33" i="50"/>
  <c r="V32" i="50"/>
  <c r="V31" i="50"/>
  <c r="V30" i="50"/>
  <c r="V29" i="50"/>
  <c r="V24" i="50"/>
  <c r="V18" i="50"/>
  <c r="V9" i="50"/>
  <c r="V13" i="50"/>
  <c r="V10" i="50"/>
  <c r="V15" i="50"/>
  <c r="V22" i="50"/>
  <c r="V17" i="50"/>
  <c r="U60" i="50"/>
  <c r="U61" i="50" s="1"/>
  <c r="V25" i="50"/>
  <c r="V12" i="50"/>
  <c r="V14" i="50"/>
  <c r="V11" i="50"/>
  <c r="W5" i="50"/>
  <c r="V27" i="50"/>
  <c r="V28" i="50"/>
  <c r="V16" i="50"/>
  <c r="V8" i="50"/>
  <c r="V26" i="50"/>
  <c r="V20" i="50"/>
  <c r="V23" i="50"/>
  <c r="V19" i="50"/>
  <c r="V6" i="50"/>
  <c r="V7" i="50"/>
  <c r="AI13" i="38"/>
  <c r="W57" i="50" l="1"/>
  <c r="W48" i="50"/>
  <c r="W58" i="50"/>
  <c r="W56" i="50"/>
  <c r="W55" i="50"/>
  <c r="W54" i="50"/>
  <c r="W53" i="50"/>
  <c r="W52" i="50"/>
  <c r="W51" i="50"/>
  <c r="W50" i="50"/>
  <c r="W49" i="50"/>
  <c r="W47" i="50"/>
  <c r="W46" i="50"/>
  <c r="W45" i="50"/>
  <c r="W44" i="50"/>
  <c r="W43" i="50"/>
  <c r="W42" i="50"/>
  <c r="W41" i="50"/>
  <c r="W40" i="50"/>
  <c r="W39" i="50"/>
  <c r="W38" i="50"/>
  <c r="W37" i="50"/>
  <c r="W36" i="50"/>
  <c r="W35" i="50"/>
  <c r="W34" i="50"/>
  <c r="W33" i="50"/>
  <c r="W32" i="50"/>
  <c r="W31" i="50"/>
  <c r="W30" i="50"/>
  <c r="W29" i="50"/>
  <c r="X5" i="50"/>
  <c r="W27" i="50"/>
  <c r="W28" i="50"/>
  <c r="I16" i="38"/>
  <c r="J16" i="38" s="1"/>
  <c r="U14" i="38"/>
  <c r="AD14" i="38" s="1"/>
  <c r="AD13" i="38"/>
  <c r="E12" i="7"/>
  <c r="F12" i="7" s="1"/>
  <c r="P82" i="50"/>
  <c r="P66" i="50"/>
  <c r="P70" i="50"/>
  <c r="P67" i="50"/>
  <c r="Q65" i="50"/>
  <c r="P77" i="50"/>
  <c r="P84" i="50"/>
  <c r="P68" i="50"/>
  <c r="P78" i="50"/>
  <c r="P83" i="50"/>
  <c r="P72" i="50"/>
  <c r="P85" i="50"/>
  <c r="P71" i="50"/>
  <c r="P86" i="50"/>
  <c r="P80" i="50"/>
  <c r="P69" i="50"/>
  <c r="P74" i="50"/>
  <c r="P76" i="50"/>
  <c r="P79" i="50"/>
  <c r="P73" i="50"/>
  <c r="P81" i="50"/>
  <c r="V15" i="38"/>
  <c r="A20" i="48"/>
  <c r="V19" i="48"/>
  <c r="W19" i="50"/>
  <c r="W7" i="50"/>
  <c r="W25" i="50"/>
  <c r="W24" i="50"/>
  <c r="W10" i="50"/>
  <c r="W20" i="50"/>
  <c r="W16" i="50"/>
  <c r="W9" i="50"/>
  <c r="W8" i="50"/>
  <c r="W17" i="50"/>
  <c r="W18" i="50"/>
  <c r="W21" i="50"/>
  <c r="W15" i="50"/>
  <c r="W12" i="50"/>
  <c r="W14" i="50"/>
  <c r="W6" i="50"/>
  <c r="W11" i="50"/>
  <c r="W23" i="50"/>
  <c r="W22" i="50"/>
  <c r="W26" i="50"/>
  <c r="W13" i="50"/>
  <c r="V60" i="50"/>
  <c r="V61" i="50" s="1"/>
  <c r="B20" i="48"/>
  <c r="R65" i="50" l="1"/>
  <c r="R71" i="50" s="1"/>
  <c r="Q107" i="50"/>
  <c r="Q91" i="50"/>
  <c r="Q87" i="50"/>
  <c r="Q106" i="50"/>
  <c r="Q90" i="50"/>
  <c r="Q105" i="50"/>
  <c r="Q89" i="50"/>
  <c r="Q104" i="50"/>
  <c r="Q88" i="50"/>
  <c r="Q103" i="50"/>
  <c r="Q118" i="50"/>
  <c r="Q102" i="50"/>
  <c r="Q116" i="50"/>
  <c r="Q100" i="50"/>
  <c r="Q115" i="50"/>
  <c r="Q99" i="50"/>
  <c r="Q114" i="50"/>
  <c r="Q98" i="50"/>
  <c r="Q113" i="50"/>
  <c r="Q97" i="50"/>
  <c r="Q112" i="50"/>
  <c r="Q96" i="50"/>
  <c r="Q108" i="50"/>
  <c r="Q111" i="50"/>
  <c r="Q95" i="50"/>
  <c r="Q93" i="50"/>
  <c r="Q110" i="50"/>
  <c r="Q94" i="50"/>
  <c r="Q109" i="50"/>
  <c r="Q92" i="50"/>
  <c r="Q117" i="50"/>
  <c r="Q101" i="50"/>
  <c r="P120" i="50"/>
  <c r="X57" i="50"/>
  <c r="X48" i="50"/>
  <c r="X58" i="50"/>
  <c r="X56" i="50"/>
  <c r="X55" i="50"/>
  <c r="X54" i="50"/>
  <c r="X53" i="50"/>
  <c r="X52" i="50"/>
  <c r="X51" i="50"/>
  <c r="X50" i="50"/>
  <c r="X49" i="50"/>
  <c r="X47" i="50"/>
  <c r="X46" i="50"/>
  <c r="X45" i="50"/>
  <c r="X44" i="50"/>
  <c r="X43" i="50"/>
  <c r="X42" i="50"/>
  <c r="X41" i="50"/>
  <c r="X40" i="50"/>
  <c r="X39" i="50"/>
  <c r="X38" i="50"/>
  <c r="X37" i="50"/>
  <c r="X36" i="50"/>
  <c r="X35" i="50"/>
  <c r="X34" i="50"/>
  <c r="X33" i="50"/>
  <c r="X32" i="50"/>
  <c r="X31" i="50"/>
  <c r="X30" i="50"/>
  <c r="X29" i="50"/>
  <c r="Y5" i="50"/>
  <c r="X27" i="50"/>
  <c r="X28" i="50"/>
  <c r="R16" i="38"/>
  <c r="I17" i="38"/>
  <c r="J17" i="38" s="1"/>
  <c r="R17" i="38" s="1"/>
  <c r="U17" i="38" s="1"/>
  <c r="V14" i="38"/>
  <c r="AU13" i="38"/>
  <c r="Q73" i="50"/>
  <c r="Q66" i="50"/>
  <c r="Q71" i="50"/>
  <c r="Q76" i="50"/>
  <c r="Q79" i="50"/>
  <c r="Q70" i="50"/>
  <c r="Q85" i="50"/>
  <c r="Q69" i="50"/>
  <c r="Q83" i="50"/>
  <c r="Q75" i="50"/>
  <c r="Q68" i="50"/>
  <c r="Q78" i="50"/>
  <c r="Q74" i="50"/>
  <c r="Q84" i="50"/>
  <c r="Q81" i="50"/>
  <c r="Q67" i="50"/>
  <c r="Q72" i="50"/>
  <c r="Q82" i="50"/>
  <c r="Q80" i="50"/>
  <c r="Q86" i="50"/>
  <c r="Q77" i="50"/>
  <c r="AU15" i="38"/>
  <c r="AI15" i="38"/>
  <c r="A21" i="48"/>
  <c r="V20" i="48"/>
  <c r="X24" i="50"/>
  <c r="X21" i="50"/>
  <c r="X26" i="50"/>
  <c r="X10" i="50"/>
  <c r="X8" i="50"/>
  <c r="X9" i="50"/>
  <c r="X17" i="50"/>
  <c r="X13" i="50"/>
  <c r="X7" i="50"/>
  <c r="X14" i="50"/>
  <c r="X15" i="50"/>
  <c r="X16" i="50"/>
  <c r="X12" i="50"/>
  <c r="X25" i="50"/>
  <c r="X20" i="50"/>
  <c r="X23" i="50"/>
  <c r="X19" i="50"/>
  <c r="X18" i="50"/>
  <c r="X22" i="50"/>
  <c r="X6" i="50"/>
  <c r="X11" i="50"/>
  <c r="W60" i="50"/>
  <c r="W61" i="50" s="1"/>
  <c r="R75" i="50" l="1"/>
  <c r="R73" i="50"/>
  <c r="R85" i="50"/>
  <c r="R83" i="50"/>
  <c r="R79" i="50"/>
  <c r="S65" i="50"/>
  <c r="S97" i="50" s="1"/>
  <c r="R67" i="50"/>
  <c r="R76" i="50"/>
  <c r="R78" i="50"/>
  <c r="R74" i="50"/>
  <c r="R70" i="50"/>
  <c r="R82" i="50"/>
  <c r="R69" i="50"/>
  <c r="R81" i="50"/>
  <c r="R66" i="50"/>
  <c r="R80" i="50"/>
  <c r="R77" i="50"/>
  <c r="R84" i="50"/>
  <c r="R68" i="50"/>
  <c r="R86" i="50"/>
  <c r="R72" i="50"/>
  <c r="Q120" i="50"/>
  <c r="R106" i="50"/>
  <c r="R90" i="50"/>
  <c r="R102" i="50"/>
  <c r="R105" i="50"/>
  <c r="R89" i="50"/>
  <c r="R104" i="50"/>
  <c r="R88" i="50"/>
  <c r="R118" i="50"/>
  <c r="R103" i="50"/>
  <c r="R87" i="50"/>
  <c r="R117" i="50"/>
  <c r="R101" i="50"/>
  <c r="R115" i="50"/>
  <c r="R99" i="50"/>
  <c r="R107" i="50"/>
  <c r="R114" i="50"/>
  <c r="R98" i="50"/>
  <c r="R113" i="50"/>
  <c r="R97" i="50"/>
  <c r="R112" i="50"/>
  <c r="R96" i="50"/>
  <c r="R111" i="50"/>
  <c r="R95" i="50"/>
  <c r="R92" i="50"/>
  <c r="R110" i="50"/>
  <c r="R94" i="50"/>
  <c r="R109" i="50"/>
  <c r="R93" i="50"/>
  <c r="R108" i="50"/>
  <c r="R100" i="50"/>
  <c r="R91" i="50"/>
  <c r="R116" i="50"/>
  <c r="Y57" i="50"/>
  <c r="Y48" i="50"/>
  <c r="Y58" i="50"/>
  <c r="Y56" i="50"/>
  <c r="Y55" i="50"/>
  <c r="Y54" i="50"/>
  <c r="Y53" i="50"/>
  <c r="Y52" i="50"/>
  <c r="Y51" i="50"/>
  <c r="Y50" i="50"/>
  <c r="Y49" i="50"/>
  <c r="Y47" i="50"/>
  <c r="Y46" i="50"/>
  <c r="Y45" i="50"/>
  <c r="Y44" i="50"/>
  <c r="Y43" i="50"/>
  <c r="Y42" i="50"/>
  <c r="Y41" i="50"/>
  <c r="Y40" i="50"/>
  <c r="Y39" i="50"/>
  <c r="Y38" i="50"/>
  <c r="Y37" i="50"/>
  <c r="Y36" i="50"/>
  <c r="Y35" i="50"/>
  <c r="Y34" i="50"/>
  <c r="Y33" i="50"/>
  <c r="Y32" i="50"/>
  <c r="Y31" i="50"/>
  <c r="Y30" i="50"/>
  <c r="Y29" i="50"/>
  <c r="Z5" i="50"/>
  <c r="Y27" i="50"/>
  <c r="Y28" i="50"/>
  <c r="AI14" i="38"/>
  <c r="E125" i="7"/>
  <c r="F125" i="7" s="1"/>
  <c r="B21" i="48"/>
  <c r="S104" i="50" l="1"/>
  <c r="S117" i="50"/>
  <c r="S105" i="50"/>
  <c r="S88" i="50"/>
  <c r="S103" i="50"/>
  <c r="S89" i="50"/>
  <c r="S99" i="50"/>
  <c r="S111" i="50"/>
  <c r="S95" i="50"/>
  <c r="S96" i="50"/>
  <c r="S106" i="50"/>
  <c r="S91" i="50"/>
  <c r="S112" i="50"/>
  <c r="S113" i="50"/>
  <c r="S90" i="50"/>
  <c r="S98" i="50"/>
  <c r="S92" i="50"/>
  <c r="S114" i="50"/>
  <c r="S108" i="50"/>
  <c r="S93" i="50"/>
  <c r="S116" i="50"/>
  <c r="S100" i="50"/>
  <c r="S109" i="50"/>
  <c r="S101" i="50"/>
  <c r="S94" i="50"/>
  <c r="S118" i="50"/>
  <c r="S107" i="50"/>
  <c r="S102" i="50"/>
  <c r="S110" i="50"/>
  <c r="S87" i="50"/>
  <c r="S115" i="50"/>
  <c r="R120" i="50"/>
  <c r="Z57" i="50"/>
  <c r="Z48" i="50"/>
  <c r="Z58" i="50"/>
  <c r="Z56" i="50"/>
  <c r="Z55" i="50"/>
  <c r="Z54" i="50"/>
  <c r="Z53" i="50"/>
  <c r="Z52" i="50"/>
  <c r="Z51" i="50"/>
  <c r="Z50" i="50"/>
  <c r="Z49" i="50"/>
  <c r="Z47" i="50"/>
  <c r="Z46" i="50"/>
  <c r="Z45" i="50"/>
  <c r="Z44" i="50"/>
  <c r="Z43" i="50"/>
  <c r="Z42" i="50"/>
  <c r="Z41" i="50"/>
  <c r="Z40" i="50"/>
  <c r="Z39" i="50"/>
  <c r="Z38" i="50"/>
  <c r="Z37" i="50"/>
  <c r="Z36" i="50"/>
  <c r="Z35" i="50"/>
  <c r="Z34" i="50"/>
  <c r="Z33" i="50"/>
  <c r="Z32" i="50"/>
  <c r="Z31" i="50"/>
  <c r="Z30" i="50"/>
  <c r="Z29" i="50"/>
  <c r="AA5" i="50"/>
  <c r="Z27" i="50"/>
  <c r="Z28" i="50"/>
  <c r="T16" i="38"/>
  <c r="U16" i="38" s="1"/>
  <c r="V16" i="38" s="1"/>
  <c r="I18" i="38"/>
  <c r="J18" i="38" s="1"/>
  <c r="R18" i="38" s="1"/>
  <c r="AU14" i="38"/>
  <c r="E13" i="7"/>
  <c r="F13" i="7" s="1"/>
  <c r="V21" i="48"/>
  <c r="A22" i="48"/>
  <c r="S78" i="50"/>
  <c r="S76" i="50"/>
  <c r="S67" i="50"/>
  <c r="S79" i="50"/>
  <c r="S70" i="50"/>
  <c r="S86" i="50"/>
  <c r="S77" i="50"/>
  <c r="S84" i="50"/>
  <c r="T65" i="50"/>
  <c r="S81" i="50"/>
  <c r="S71" i="50"/>
  <c r="S75" i="50"/>
  <c r="S80" i="50"/>
  <c r="S68" i="50"/>
  <c r="S85" i="50"/>
  <c r="S73" i="50"/>
  <c r="S83" i="50"/>
  <c r="S72" i="50"/>
  <c r="S82" i="50"/>
  <c r="S74" i="50"/>
  <c r="S69" i="50"/>
  <c r="S66" i="50"/>
  <c r="X60" i="50"/>
  <c r="X61" i="50" s="1"/>
  <c r="Y14" i="50"/>
  <c r="Y12" i="50"/>
  <c r="Y10" i="50"/>
  <c r="Y23" i="50"/>
  <c r="Y9" i="50"/>
  <c r="Y20" i="50"/>
  <c r="Y24" i="50"/>
  <c r="Y15" i="50"/>
  <c r="Y22" i="50"/>
  <c r="Y6" i="50"/>
  <c r="Y25" i="50"/>
  <c r="Y17" i="50"/>
  <c r="Y16" i="50"/>
  <c r="Y18" i="50"/>
  <c r="Y26" i="50"/>
  <c r="Y13" i="50"/>
  <c r="Y21" i="50"/>
  <c r="Y19" i="50"/>
  <c r="Y8" i="50"/>
  <c r="Y7" i="50"/>
  <c r="Y11" i="50"/>
  <c r="B22" i="48"/>
  <c r="S120" i="50" l="1"/>
  <c r="T104" i="50"/>
  <c r="T88" i="50"/>
  <c r="T100" i="50"/>
  <c r="T103" i="50"/>
  <c r="T87" i="50"/>
  <c r="T118" i="50"/>
  <c r="T102" i="50"/>
  <c r="T116" i="50"/>
  <c r="T117" i="50"/>
  <c r="T101" i="50"/>
  <c r="T115" i="50"/>
  <c r="T99" i="50"/>
  <c r="T113" i="50"/>
  <c r="T97" i="50"/>
  <c r="T90" i="50"/>
  <c r="T112" i="50"/>
  <c r="T96" i="50"/>
  <c r="T106" i="50"/>
  <c r="T111" i="50"/>
  <c r="T95" i="50"/>
  <c r="T110" i="50"/>
  <c r="T94" i="50"/>
  <c r="T109" i="50"/>
  <c r="T93" i="50"/>
  <c r="T105" i="50"/>
  <c r="T108" i="50"/>
  <c r="T92" i="50"/>
  <c r="T107" i="50"/>
  <c r="T91" i="50"/>
  <c r="T114" i="50"/>
  <c r="T98" i="50"/>
  <c r="T89" i="50"/>
  <c r="AA57" i="50"/>
  <c r="AA48" i="50"/>
  <c r="AA58" i="50"/>
  <c r="AA56" i="50"/>
  <c r="AA55" i="50"/>
  <c r="AA54" i="50"/>
  <c r="AA53" i="50"/>
  <c r="AA52" i="50"/>
  <c r="AA51" i="50"/>
  <c r="AA50" i="50"/>
  <c r="AA49" i="50"/>
  <c r="AA47" i="50"/>
  <c r="AA46" i="50"/>
  <c r="AA45" i="50"/>
  <c r="AA44" i="50"/>
  <c r="AA43" i="50"/>
  <c r="AA42" i="50"/>
  <c r="AA41" i="50"/>
  <c r="AA40" i="50"/>
  <c r="AA39" i="50"/>
  <c r="AA38" i="50"/>
  <c r="AA37" i="50"/>
  <c r="AA36" i="50"/>
  <c r="AA35" i="50"/>
  <c r="AA34" i="50"/>
  <c r="AA33" i="50"/>
  <c r="AA32" i="50"/>
  <c r="AA31" i="50"/>
  <c r="AA30" i="50"/>
  <c r="AA29" i="50"/>
  <c r="AB5" i="50"/>
  <c r="AA27" i="50"/>
  <c r="AA28" i="50"/>
  <c r="I19" i="38"/>
  <c r="J19" i="38" s="1"/>
  <c r="AB57" i="50" l="1"/>
  <c r="AB48" i="50"/>
  <c r="AB58" i="50"/>
  <c r="AB56" i="50"/>
  <c r="AB55" i="50"/>
  <c r="AB54" i="50"/>
  <c r="AB53" i="50"/>
  <c r="AB52" i="50"/>
  <c r="AB51" i="50"/>
  <c r="AB50" i="50"/>
  <c r="AB49" i="50"/>
  <c r="AB47" i="50"/>
  <c r="AB46" i="50"/>
  <c r="AB45" i="50"/>
  <c r="AB44" i="50"/>
  <c r="AB43" i="50"/>
  <c r="AB42" i="50"/>
  <c r="AB41" i="50"/>
  <c r="AB40" i="50"/>
  <c r="AB39" i="50"/>
  <c r="AB38" i="50"/>
  <c r="AB37" i="50"/>
  <c r="AB36" i="50"/>
  <c r="AB35" i="50"/>
  <c r="AB34" i="50"/>
  <c r="AB33" i="50"/>
  <c r="AB32" i="50"/>
  <c r="AB31" i="50"/>
  <c r="AB30" i="50"/>
  <c r="AB29" i="50"/>
  <c r="AC5" i="50"/>
  <c r="AB27" i="50"/>
  <c r="AB28" i="50"/>
  <c r="R19" i="38"/>
  <c r="U19" i="38" s="1"/>
  <c r="AC57" i="50" l="1"/>
  <c r="AC48" i="50"/>
  <c r="AC58" i="50"/>
  <c r="AC56" i="50"/>
  <c r="AC55" i="50"/>
  <c r="AC54" i="50"/>
  <c r="AC53" i="50"/>
  <c r="AC52" i="50"/>
  <c r="AC51" i="50"/>
  <c r="AC50" i="50"/>
  <c r="AC49" i="50"/>
  <c r="AC47" i="50"/>
  <c r="AC46" i="50"/>
  <c r="AC45" i="50"/>
  <c r="AC44" i="50"/>
  <c r="AC43" i="50"/>
  <c r="AC42" i="50"/>
  <c r="AC41" i="50"/>
  <c r="AC40" i="50"/>
  <c r="AC39" i="50"/>
  <c r="AC38" i="50"/>
  <c r="AC37" i="50"/>
  <c r="AC36" i="50"/>
  <c r="AC35" i="50"/>
  <c r="AC34" i="50"/>
  <c r="AC33" i="50"/>
  <c r="AC32" i="50"/>
  <c r="AC31" i="50"/>
  <c r="AC30" i="50"/>
  <c r="AC29" i="50"/>
  <c r="AD5" i="50"/>
  <c r="AC27" i="50"/>
  <c r="AC28" i="50"/>
  <c r="AD16" i="38"/>
  <c r="AU16" i="38" s="1"/>
  <c r="AI16" i="38"/>
  <c r="E15" i="7"/>
  <c r="F15" i="7" s="1"/>
  <c r="U18" i="38"/>
  <c r="AD18" i="38" s="1"/>
  <c r="V17" i="38"/>
  <c r="E128" i="7" s="1"/>
  <c r="F128" i="7" s="1"/>
  <c r="T79" i="50"/>
  <c r="T86" i="50"/>
  <c r="T72" i="50"/>
  <c r="T81" i="50"/>
  <c r="T77" i="50"/>
  <c r="T85" i="50"/>
  <c r="T75" i="50"/>
  <c r="T76" i="50"/>
  <c r="T80" i="50"/>
  <c r="U65" i="50"/>
  <c r="T74" i="50"/>
  <c r="T83" i="50"/>
  <c r="T66" i="50"/>
  <c r="T73" i="50"/>
  <c r="T84" i="50"/>
  <c r="T82" i="50"/>
  <c r="T67" i="50"/>
  <c r="T70" i="50"/>
  <c r="T68" i="50"/>
  <c r="T78" i="50"/>
  <c r="T69" i="50"/>
  <c r="T71" i="50"/>
  <c r="A23" i="48"/>
  <c r="V22" i="48"/>
  <c r="Y60" i="50"/>
  <c r="Y61" i="50" s="1"/>
  <c r="Z8" i="50"/>
  <c r="Z16" i="50"/>
  <c r="Z20" i="50"/>
  <c r="Z6" i="50"/>
  <c r="Z7" i="50"/>
  <c r="Z15" i="50"/>
  <c r="Z24" i="50"/>
  <c r="Z26" i="50"/>
  <c r="Z18" i="50"/>
  <c r="Z12" i="50"/>
  <c r="Z14" i="50"/>
  <c r="Z25" i="50"/>
  <c r="Z17" i="50"/>
  <c r="Z21" i="50"/>
  <c r="Z9" i="50"/>
  <c r="Z22" i="50"/>
  <c r="Z10" i="50"/>
  <c r="Z13" i="50"/>
  <c r="Z19" i="50"/>
  <c r="Z11" i="50"/>
  <c r="Z23" i="50"/>
  <c r="B23" i="48"/>
  <c r="U103" i="50" l="1"/>
  <c r="U87" i="50"/>
  <c r="U118" i="50"/>
  <c r="U102" i="50"/>
  <c r="U115" i="50"/>
  <c r="U117" i="50"/>
  <c r="U101" i="50"/>
  <c r="U116" i="50"/>
  <c r="U100" i="50"/>
  <c r="U99" i="50"/>
  <c r="U114" i="50"/>
  <c r="U98" i="50"/>
  <c r="U112" i="50"/>
  <c r="U96" i="50"/>
  <c r="U111" i="50"/>
  <c r="U95" i="50"/>
  <c r="U110" i="50"/>
  <c r="U94" i="50"/>
  <c r="U109" i="50"/>
  <c r="U93" i="50"/>
  <c r="U108" i="50"/>
  <c r="U92" i="50"/>
  <c r="U89" i="50"/>
  <c r="U104" i="50"/>
  <c r="U107" i="50"/>
  <c r="U91" i="50"/>
  <c r="U105" i="50"/>
  <c r="U106" i="50"/>
  <c r="U90" i="50"/>
  <c r="U97" i="50"/>
  <c r="U113" i="50"/>
  <c r="U88" i="50"/>
  <c r="T120" i="50"/>
  <c r="AD57" i="50"/>
  <c r="AD48" i="50"/>
  <c r="AD58" i="50"/>
  <c r="AD56" i="50"/>
  <c r="AD55" i="50"/>
  <c r="AD54" i="50"/>
  <c r="AD53" i="50"/>
  <c r="AD52" i="50"/>
  <c r="AD51" i="50"/>
  <c r="AD50" i="50"/>
  <c r="AD49" i="50"/>
  <c r="AD47" i="50"/>
  <c r="AD46" i="50"/>
  <c r="AD45" i="50"/>
  <c r="AD44" i="50"/>
  <c r="AD43" i="50"/>
  <c r="AD42" i="50"/>
  <c r="AD41" i="50"/>
  <c r="AD40" i="50"/>
  <c r="AD39" i="50"/>
  <c r="AD38" i="50"/>
  <c r="AD37" i="50"/>
  <c r="AD36" i="50"/>
  <c r="AD35" i="50"/>
  <c r="AD34" i="50"/>
  <c r="AD33" i="50"/>
  <c r="AD32" i="50"/>
  <c r="AD31" i="50"/>
  <c r="AD30" i="50"/>
  <c r="AD29" i="50"/>
  <c r="AE5" i="50"/>
  <c r="AD27" i="50"/>
  <c r="AD28" i="50"/>
  <c r="AD17" i="38"/>
  <c r="AI17" i="38"/>
  <c r="V18" i="38"/>
  <c r="A24" i="48"/>
  <c r="V23" i="48"/>
  <c r="U72" i="50"/>
  <c r="U78" i="50"/>
  <c r="U79" i="50"/>
  <c r="U66" i="50"/>
  <c r="U67" i="50"/>
  <c r="U75" i="50"/>
  <c r="U86" i="50"/>
  <c r="U68" i="50"/>
  <c r="U81" i="50"/>
  <c r="U71" i="50"/>
  <c r="U80" i="50"/>
  <c r="U77" i="50"/>
  <c r="U69" i="50"/>
  <c r="U85" i="50"/>
  <c r="U82" i="50"/>
  <c r="U74" i="50"/>
  <c r="U73" i="50"/>
  <c r="U83" i="50"/>
  <c r="U76" i="50"/>
  <c r="U70" i="50"/>
  <c r="U84" i="50"/>
  <c r="V65" i="50"/>
  <c r="AA7" i="50"/>
  <c r="AA26" i="50"/>
  <c r="AA13" i="50"/>
  <c r="AA16" i="50"/>
  <c r="AA18" i="50"/>
  <c r="AA9" i="50"/>
  <c r="AA12" i="50"/>
  <c r="AA15" i="50"/>
  <c r="AA20" i="50"/>
  <c r="AA11" i="50"/>
  <c r="AA17" i="50"/>
  <c r="AA21" i="50"/>
  <c r="AA14" i="50"/>
  <c r="AA19" i="50"/>
  <c r="AA24" i="50"/>
  <c r="AA6" i="50"/>
  <c r="AA25" i="50"/>
  <c r="AA23" i="50"/>
  <c r="AA10" i="50"/>
  <c r="AA22" i="50"/>
  <c r="AA8" i="50"/>
  <c r="Z60" i="50"/>
  <c r="Z61" i="50" s="1"/>
  <c r="B24" i="48"/>
  <c r="V118" i="50" l="1"/>
  <c r="V102" i="50"/>
  <c r="V114" i="50"/>
  <c r="V117" i="50"/>
  <c r="V101" i="50"/>
  <c r="V98" i="50"/>
  <c r="V116" i="50"/>
  <c r="V100" i="50"/>
  <c r="V115" i="50"/>
  <c r="V99" i="50"/>
  <c r="V113" i="50"/>
  <c r="V97" i="50"/>
  <c r="V111" i="50"/>
  <c r="V95" i="50"/>
  <c r="V104" i="50"/>
  <c r="V110" i="50"/>
  <c r="V94" i="50"/>
  <c r="V103" i="50"/>
  <c r="V109" i="50"/>
  <c r="V93" i="50"/>
  <c r="V108" i="50"/>
  <c r="V92" i="50"/>
  <c r="V88" i="50"/>
  <c r="V107" i="50"/>
  <c r="V91" i="50"/>
  <c r="V106" i="50"/>
  <c r="V90" i="50"/>
  <c r="V105" i="50"/>
  <c r="V89" i="50"/>
  <c r="V96" i="50"/>
  <c r="V87" i="50"/>
  <c r="V112" i="50"/>
  <c r="U120" i="50"/>
  <c r="AE57" i="50"/>
  <c r="AE48" i="50"/>
  <c r="AE58" i="50"/>
  <c r="AE56" i="50"/>
  <c r="AE55" i="50"/>
  <c r="AE54" i="50"/>
  <c r="AE53" i="50"/>
  <c r="AE52" i="50"/>
  <c r="AE51" i="50"/>
  <c r="AE50" i="50"/>
  <c r="AE49" i="50"/>
  <c r="AE47" i="50"/>
  <c r="AE46" i="50"/>
  <c r="AE45" i="50"/>
  <c r="AE44" i="50"/>
  <c r="AE43" i="50"/>
  <c r="AE42" i="50"/>
  <c r="AE41" i="50"/>
  <c r="AE40" i="50"/>
  <c r="AE39" i="50"/>
  <c r="AE38" i="50"/>
  <c r="AE37" i="50"/>
  <c r="AE36" i="50"/>
  <c r="AE35" i="50"/>
  <c r="AE34" i="50"/>
  <c r="AE33" i="50"/>
  <c r="AE32" i="50"/>
  <c r="AE31" i="50"/>
  <c r="AE30" i="50"/>
  <c r="AE29" i="50"/>
  <c r="AF5" i="50"/>
  <c r="AE27" i="50"/>
  <c r="AE28" i="50"/>
  <c r="E129" i="7"/>
  <c r="F129" i="7" s="1"/>
  <c r="AF57" i="50" l="1"/>
  <c r="AF48" i="50"/>
  <c r="AF58" i="50"/>
  <c r="AF56" i="50"/>
  <c r="AF55" i="50"/>
  <c r="AF54" i="50"/>
  <c r="AF53" i="50"/>
  <c r="AF52" i="50"/>
  <c r="AF51" i="50"/>
  <c r="AF50" i="50"/>
  <c r="AF49" i="50"/>
  <c r="AF47" i="50"/>
  <c r="AF46" i="50"/>
  <c r="AF45" i="50"/>
  <c r="AF44" i="50"/>
  <c r="AF43" i="50"/>
  <c r="AF42" i="50"/>
  <c r="AF41" i="50"/>
  <c r="AF40" i="50"/>
  <c r="AF39" i="50"/>
  <c r="AF38" i="50"/>
  <c r="AF37" i="50"/>
  <c r="AF36" i="50"/>
  <c r="AF35" i="50"/>
  <c r="AF34" i="50"/>
  <c r="AF33" i="50"/>
  <c r="AF32" i="50"/>
  <c r="AF31" i="50"/>
  <c r="AF30" i="50"/>
  <c r="AF29" i="50"/>
  <c r="AG5" i="50"/>
  <c r="AF27" i="50"/>
  <c r="AF28" i="50"/>
  <c r="AD19" i="38"/>
  <c r="AU17" i="38"/>
  <c r="V19" i="38"/>
  <c r="AU18" i="38"/>
  <c r="AI18" i="38"/>
  <c r="V74" i="50"/>
  <c r="V78" i="50"/>
  <c r="V72" i="50"/>
  <c r="V86" i="50"/>
  <c r="V70" i="50"/>
  <c r="V81" i="50"/>
  <c r="V83" i="50"/>
  <c r="V67" i="50"/>
  <c r="V69" i="50"/>
  <c r="V66" i="50"/>
  <c r="V77" i="50"/>
  <c r="V68" i="50"/>
  <c r="V71" i="50"/>
  <c r="V73" i="50"/>
  <c r="V82" i="50"/>
  <c r="V75" i="50"/>
  <c r="V80" i="50"/>
  <c r="W65" i="50"/>
  <c r="V85" i="50"/>
  <c r="V76" i="50"/>
  <c r="V79" i="50"/>
  <c r="V84" i="50"/>
  <c r="V24" i="48"/>
  <c r="A25" i="48"/>
  <c r="AA60" i="50"/>
  <c r="AA61" i="50" s="1"/>
  <c r="AB8" i="50"/>
  <c r="AB16" i="50"/>
  <c r="AB22" i="50"/>
  <c r="AB15" i="50"/>
  <c r="AB9" i="50"/>
  <c r="AB12" i="50"/>
  <c r="AB6" i="50"/>
  <c r="AB13" i="50"/>
  <c r="AB19" i="50"/>
  <c r="AB25" i="50"/>
  <c r="AB10" i="50"/>
  <c r="AB7" i="50"/>
  <c r="AB18" i="50"/>
  <c r="AB23" i="50"/>
  <c r="AB26" i="50"/>
  <c r="AB17" i="50"/>
  <c r="AB11" i="50"/>
  <c r="AB14" i="50"/>
  <c r="AB21" i="50"/>
  <c r="AB24" i="50"/>
  <c r="AB20" i="50"/>
  <c r="B25" i="48"/>
  <c r="W117" i="50" l="1"/>
  <c r="W101" i="50"/>
  <c r="W116" i="50"/>
  <c r="W100" i="50"/>
  <c r="W113" i="50"/>
  <c r="W115" i="50"/>
  <c r="W99" i="50"/>
  <c r="W114" i="50"/>
  <c r="W98" i="50"/>
  <c r="W97" i="50"/>
  <c r="W112" i="50"/>
  <c r="W96" i="50"/>
  <c r="W110" i="50"/>
  <c r="W94" i="50"/>
  <c r="W118" i="50"/>
  <c r="W109" i="50"/>
  <c r="W93" i="50"/>
  <c r="W87" i="50"/>
  <c r="W108" i="50"/>
  <c r="W92" i="50"/>
  <c r="W103" i="50"/>
  <c r="W107" i="50"/>
  <c r="W91" i="50"/>
  <c r="W106" i="50"/>
  <c r="W90" i="50"/>
  <c r="W102" i="50"/>
  <c r="W105" i="50"/>
  <c r="W89" i="50"/>
  <c r="W104" i="50"/>
  <c r="W88" i="50"/>
  <c r="W95" i="50"/>
  <c r="W111" i="50"/>
  <c r="V120" i="50"/>
  <c r="AG57" i="50"/>
  <c r="AH57" i="50" s="1"/>
  <c r="AG48" i="50"/>
  <c r="AH48" i="50" s="1"/>
  <c r="AG58" i="50"/>
  <c r="AH58" i="50" s="1"/>
  <c r="AG56" i="50"/>
  <c r="AH56" i="50" s="1"/>
  <c r="AG55" i="50"/>
  <c r="AH55" i="50" s="1"/>
  <c r="AG54" i="50"/>
  <c r="AH54" i="50" s="1"/>
  <c r="AG53" i="50"/>
  <c r="AH53" i="50" s="1"/>
  <c r="AG52" i="50"/>
  <c r="AH52" i="50" s="1"/>
  <c r="AG51" i="50"/>
  <c r="AH51" i="50" s="1"/>
  <c r="AG50" i="50"/>
  <c r="AH50" i="50" s="1"/>
  <c r="AG49" i="50"/>
  <c r="AH49" i="50" s="1"/>
  <c r="AG47" i="50"/>
  <c r="AH47" i="50" s="1"/>
  <c r="AG46" i="50"/>
  <c r="AH46" i="50" s="1"/>
  <c r="AG45" i="50"/>
  <c r="AH45" i="50" s="1"/>
  <c r="AG44" i="50"/>
  <c r="AH44" i="50" s="1"/>
  <c r="AG43" i="50"/>
  <c r="AH43" i="50" s="1"/>
  <c r="AG42" i="50"/>
  <c r="AH42" i="50" s="1"/>
  <c r="AG41" i="50"/>
  <c r="AH41" i="50" s="1"/>
  <c r="AG40" i="50"/>
  <c r="AH40" i="50" s="1"/>
  <c r="AG39" i="50"/>
  <c r="AH39" i="50" s="1"/>
  <c r="AG38" i="50"/>
  <c r="AH38" i="50" s="1"/>
  <c r="AG37" i="50"/>
  <c r="AH37" i="50" s="1"/>
  <c r="AG36" i="50"/>
  <c r="AH36" i="50" s="1"/>
  <c r="AG35" i="50"/>
  <c r="AH35" i="50" s="1"/>
  <c r="AG34" i="50"/>
  <c r="AH34" i="50" s="1"/>
  <c r="AG33" i="50"/>
  <c r="AH33" i="50" s="1"/>
  <c r="AG32" i="50"/>
  <c r="AH32" i="50" s="1"/>
  <c r="AG31" i="50"/>
  <c r="AH31" i="50" s="1"/>
  <c r="AG30" i="50"/>
  <c r="AH30" i="50" s="1"/>
  <c r="AG29" i="50"/>
  <c r="AH29" i="50" s="1"/>
  <c r="AG27" i="50"/>
  <c r="AH27" i="50" s="1"/>
  <c r="AG28" i="50"/>
  <c r="AH28" i="50" s="1"/>
  <c r="E8" i="7"/>
  <c r="F8" i="7" s="1"/>
  <c r="E130" i="7"/>
  <c r="F130" i="7" s="1"/>
  <c r="AU19" i="38" l="1"/>
  <c r="AI19" i="38"/>
  <c r="W86" i="50"/>
  <c r="W80" i="50"/>
  <c r="W68" i="50"/>
  <c r="W72" i="50"/>
  <c r="W76" i="50"/>
  <c r="X65" i="50"/>
  <c r="W83" i="50"/>
  <c r="W81" i="50"/>
  <c r="W84" i="50"/>
  <c r="W74" i="50"/>
  <c r="W71" i="50"/>
  <c r="W85" i="50"/>
  <c r="W82" i="50"/>
  <c r="W77" i="50"/>
  <c r="W79" i="50"/>
  <c r="W75" i="50"/>
  <c r="W70" i="50"/>
  <c r="W67" i="50"/>
  <c r="W69" i="50"/>
  <c r="W78" i="50"/>
  <c r="W73" i="50"/>
  <c r="W66" i="50"/>
  <c r="A26" i="48"/>
  <c r="V25" i="48"/>
  <c r="AC21" i="50"/>
  <c r="AC26" i="50"/>
  <c r="AC19" i="50"/>
  <c r="AC12" i="50"/>
  <c r="AC7" i="50"/>
  <c r="AC24" i="50"/>
  <c r="AC13" i="50"/>
  <c r="AC10" i="50"/>
  <c r="AC22" i="50"/>
  <c r="AC6" i="50"/>
  <c r="AC17" i="50"/>
  <c r="AC20" i="50"/>
  <c r="AC9" i="50"/>
  <c r="AC11" i="50"/>
  <c r="AC16" i="50"/>
  <c r="AC14" i="50"/>
  <c r="AC15" i="50"/>
  <c r="AC25" i="50"/>
  <c r="AC23" i="50"/>
  <c r="AC8" i="50"/>
  <c r="AC18" i="50"/>
  <c r="AB60" i="50"/>
  <c r="AB61" i="50" s="1"/>
  <c r="B26" i="48"/>
  <c r="W120" i="50" l="1"/>
  <c r="X116" i="50"/>
  <c r="X100" i="50"/>
  <c r="X112" i="50"/>
  <c r="X95" i="50"/>
  <c r="X115" i="50"/>
  <c r="X99" i="50"/>
  <c r="X114" i="50"/>
  <c r="X98" i="50"/>
  <c r="X96" i="50"/>
  <c r="X113" i="50"/>
  <c r="X97" i="50"/>
  <c r="X111" i="50"/>
  <c r="X109" i="50"/>
  <c r="X93" i="50"/>
  <c r="X108" i="50"/>
  <c r="X92" i="50"/>
  <c r="X107" i="50"/>
  <c r="X91" i="50"/>
  <c r="X106" i="50"/>
  <c r="X90" i="50"/>
  <c r="X102" i="50"/>
  <c r="X105" i="50"/>
  <c r="X89" i="50"/>
  <c r="X104" i="50"/>
  <c r="X88" i="50"/>
  <c r="X118" i="50"/>
  <c r="X103" i="50"/>
  <c r="X87" i="50"/>
  <c r="X117" i="50"/>
  <c r="X94" i="50"/>
  <c r="X101" i="50"/>
  <c r="X110" i="50"/>
  <c r="E9" i="7"/>
  <c r="F9" i="7" s="1"/>
  <c r="X71" i="50" l="1"/>
  <c r="X66" i="50"/>
  <c r="X84" i="50"/>
  <c r="X69" i="50"/>
  <c r="X82" i="50"/>
  <c r="X85" i="50"/>
  <c r="X77" i="50"/>
  <c r="X83" i="50"/>
  <c r="X80" i="50"/>
  <c r="X76" i="50"/>
  <c r="X68" i="50"/>
  <c r="X75" i="50"/>
  <c r="X67" i="50"/>
  <c r="X86" i="50"/>
  <c r="X78" i="50"/>
  <c r="X72" i="50"/>
  <c r="X74" i="50"/>
  <c r="X73" i="50"/>
  <c r="X81" i="50"/>
  <c r="X70" i="50"/>
  <c r="Y65" i="50"/>
  <c r="X79" i="50"/>
  <c r="A27" i="48"/>
  <c r="V26" i="48"/>
  <c r="AC60" i="50"/>
  <c r="AC61" i="50" s="1"/>
  <c r="AD9" i="50"/>
  <c r="AD12" i="50"/>
  <c r="AD18" i="50"/>
  <c r="AD23" i="50"/>
  <c r="AD20" i="50"/>
  <c r="AD14" i="50"/>
  <c r="AD13" i="50"/>
  <c r="AD24" i="50"/>
  <c r="AD25" i="50"/>
  <c r="AD7" i="50"/>
  <c r="AD21" i="50"/>
  <c r="AD26" i="50"/>
  <c r="AD6" i="50"/>
  <c r="AD8" i="50"/>
  <c r="AD11" i="50"/>
  <c r="AD10" i="50"/>
  <c r="AD15" i="50"/>
  <c r="AD17" i="50"/>
  <c r="AD16" i="50"/>
  <c r="AD22" i="50"/>
  <c r="AD19" i="50"/>
  <c r="B27" i="48"/>
  <c r="Y115" i="50" l="1"/>
  <c r="Y99" i="50"/>
  <c r="Y114" i="50"/>
  <c r="Y98" i="50"/>
  <c r="Y111" i="50"/>
  <c r="Y95" i="50"/>
  <c r="Y113" i="50"/>
  <c r="Y97" i="50"/>
  <c r="Y112" i="50"/>
  <c r="Y96" i="50"/>
  <c r="Y94" i="50"/>
  <c r="Y110" i="50"/>
  <c r="Y108" i="50"/>
  <c r="Y92" i="50"/>
  <c r="Y107" i="50"/>
  <c r="Y91" i="50"/>
  <c r="Y106" i="50"/>
  <c r="Y90" i="50"/>
  <c r="Y116" i="50"/>
  <c r="Y105" i="50"/>
  <c r="Y89" i="50"/>
  <c r="Y104" i="50"/>
  <c r="Y88" i="50"/>
  <c r="Y117" i="50"/>
  <c r="Y103" i="50"/>
  <c r="Y87" i="50"/>
  <c r="Y118" i="50"/>
  <c r="Y102" i="50"/>
  <c r="Y101" i="50"/>
  <c r="Y100" i="50"/>
  <c r="Y93" i="50"/>
  <c r="Y109" i="50"/>
  <c r="X120" i="50"/>
  <c r="Y68" i="50"/>
  <c r="Y83" i="50"/>
  <c r="Y75" i="50"/>
  <c r="Y69" i="50"/>
  <c r="Y79" i="50"/>
  <c r="Y71" i="50"/>
  <c r="Y70" i="50"/>
  <c r="Y80" i="50"/>
  <c r="Y85" i="50"/>
  <c r="Y74" i="50"/>
  <c r="Y81" i="50"/>
  <c r="Y73" i="50"/>
  <c r="Y76" i="50"/>
  <c r="Y66" i="50"/>
  <c r="Y72" i="50"/>
  <c r="Y82" i="50"/>
  <c r="Y78" i="50"/>
  <c r="Y84" i="50"/>
  <c r="Z65" i="50"/>
  <c r="Y77" i="50"/>
  <c r="Y86" i="50"/>
  <c r="Y67" i="50"/>
  <c r="A28" i="48"/>
  <c r="V27" i="48"/>
  <c r="AD60" i="50"/>
  <c r="AD61" i="50" s="1"/>
  <c r="AE8" i="50"/>
  <c r="AE18" i="50"/>
  <c r="AE10" i="50"/>
  <c r="AE6" i="50"/>
  <c r="AE19" i="50"/>
  <c r="AE20" i="50"/>
  <c r="AE13" i="50"/>
  <c r="AE16" i="50"/>
  <c r="AE15" i="50"/>
  <c r="AE22" i="50"/>
  <c r="AE11" i="50"/>
  <c r="AE9" i="50"/>
  <c r="AE26" i="50"/>
  <c r="AE24" i="50"/>
  <c r="AE25" i="50"/>
  <c r="AE17" i="50"/>
  <c r="AE12" i="50"/>
  <c r="AE21" i="50"/>
  <c r="AE7" i="50"/>
  <c r="AE23" i="50"/>
  <c r="AE14" i="50"/>
  <c r="B28" i="48"/>
  <c r="Z114" i="50" l="1"/>
  <c r="Z98" i="50"/>
  <c r="Z110" i="50"/>
  <c r="Z113" i="50"/>
  <c r="Z97" i="50"/>
  <c r="Z112" i="50"/>
  <c r="Z96" i="50"/>
  <c r="Z94" i="50"/>
  <c r="Z111" i="50"/>
  <c r="Z95" i="50"/>
  <c r="Z109" i="50"/>
  <c r="Z107" i="50"/>
  <c r="Z91" i="50"/>
  <c r="Z106" i="50"/>
  <c r="Z90" i="50"/>
  <c r="Z105" i="50"/>
  <c r="Z89" i="50"/>
  <c r="Z104" i="50"/>
  <c r="Z88" i="50"/>
  <c r="Z116" i="50"/>
  <c r="Z103" i="50"/>
  <c r="Z87" i="50"/>
  <c r="Z118" i="50"/>
  <c r="Z102" i="50"/>
  <c r="Z115" i="50"/>
  <c r="Z117" i="50"/>
  <c r="Z101" i="50"/>
  <c r="Z100" i="50"/>
  <c r="Z108" i="50"/>
  <c r="Z93" i="50"/>
  <c r="Z99" i="50"/>
  <c r="Z92" i="50"/>
  <c r="Y120" i="50"/>
  <c r="AD24" i="38"/>
  <c r="V24" i="38"/>
  <c r="AI24" i="38" s="1"/>
  <c r="Z81" i="50"/>
  <c r="Z67" i="50"/>
  <c r="Z82" i="50"/>
  <c r="Z71" i="50"/>
  <c r="Z84" i="50"/>
  <c r="Z78" i="50"/>
  <c r="Z79" i="50"/>
  <c r="Z75" i="50"/>
  <c r="Z80" i="50"/>
  <c r="Z83" i="50"/>
  <c r="Z69" i="50"/>
  <c r="Z70" i="50"/>
  <c r="Z72" i="50"/>
  <c r="Z68" i="50"/>
  <c r="Z76" i="50"/>
  <c r="Z73" i="50"/>
  <c r="Z74" i="50"/>
  <c r="Z85" i="50"/>
  <c r="Z77" i="50"/>
  <c r="Z66" i="50"/>
  <c r="Z86" i="50"/>
  <c r="AA65" i="50"/>
  <c r="A29" i="48"/>
  <c r="V28" i="48"/>
  <c r="AF23" i="50"/>
  <c r="AF16" i="50"/>
  <c r="AF19" i="50"/>
  <c r="AF26" i="50"/>
  <c r="AF14" i="50"/>
  <c r="AF18" i="50"/>
  <c r="AF7" i="50"/>
  <c r="AF12" i="50"/>
  <c r="AF10" i="50"/>
  <c r="AF17" i="50"/>
  <c r="AF15" i="50"/>
  <c r="AF13" i="50"/>
  <c r="AF22" i="50"/>
  <c r="AF6" i="50"/>
  <c r="AF8" i="50"/>
  <c r="AF25" i="50"/>
  <c r="AF20" i="50"/>
  <c r="AF11" i="50"/>
  <c r="AF21" i="50"/>
  <c r="AF9" i="50"/>
  <c r="AF24" i="50"/>
  <c r="AE60" i="50"/>
  <c r="AE61" i="50" s="1"/>
  <c r="B29" i="48"/>
  <c r="Z120" i="50" l="1"/>
  <c r="AA113" i="50"/>
  <c r="AA97" i="50"/>
  <c r="AA112" i="50"/>
  <c r="AA96" i="50"/>
  <c r="AA93" i="50"/>
  <c r="AA111" i="50"/>
  <c r="AA95" i="50"/>
  <c r="AA110" i="50"/>
  <c r="AA94" i="50"/>
  <c r="AA109" i="50"/>
  <c r="AA108" i="50"/>
  <c r="AA92" i="50"/>
  <c r="AA106" i="50"/>
  <c r="AA90" i="50"/>
  <c r="AA105" i="50"/>
  <c r="AA89" i="50"/>
  <c r="AA115" i="50"/>
  <c r="AA114" i="50"/>
  <c r="AA104" i="50"/>
  <c r="AA88" i="50"/>
  <c r="AA103" i="50"/>
  <c r="AA87" i="50"/>
  <c r="AA99" i="50"/>
  <c r="AA118" i="50"/>
  <c r="AA102" i="50"/>
  <c r="AA117" i="50"/>
  <c r="AA101" i="50"/>
  <c r="AA116" i="50"/>
  <c r="AA100" i="50"/>
  <c r="AA107" i="50"/>
  <c r="AA98" i="50"/>
  <c r="AA91" i="50"/>
  <c r="AU24" i="38"/>
  <c r="AA86" i="50"/>
  <c r="AA66" i="50"/>
  <c r="AA78" i="50"/>
  <c r="AA84" i="50"/>
  <c r="AA69" i="50"/>
  <c r="AA71" i="50"/>
  <c r="AA67" i="50"/>
  <c r="AA72" i="50"/>
  <c r="AA77" i="50"/>
  <c r="AA81" i="50"/>
  <c r="AA76" i="50"/>
  <c r="AA82" i="50"/>
  <c r="AA75" i="50"/>
  <c r="AB65" i="50"/>
  <c r="AA68" i="50"/>
  <c r="AA70" i="50"/>
  <c r="AA74" i="50"/>
  <c r="AA85" i="50"/>
  <c r="AA79" i="50"/>
  <c r="AA83" i="50"/>
  <c r="AA73" i="50"/>
  <c r="AA80" i="50"/>
  <c r="A30" i="48"/>
  <c r="V29" i="48"/>
  <c r="AG20" i="50"/>
  <c r="AG14" i="50"/>
  <c r="AG12" i="50"/>
  <c r="AG21" i="50"/>
  <c r="AG16" i="50"/>
  <c r="AH16" i="50" s="1"/>
  <c r="AG24" i="50"/>
  <c r="AH24" i="50" s="1"/>
  <c r="AG13" i="50"/>
  <c r="AG25" i="50"/>
  <c r="AG11" i="50"/>
  <c r="AI11" i="50" s="1"/>
  <c r="AG15" i="50"/>
  <c r="AH15" i="50" s="1"/>
  <c r="AG17" i="50"/>
  <c r="AG6" i="50"/>
  <c r="AG23" i="50"/>
  <c r="AG8" i="50"/>
  <c r="AG18" i="50"/>
  <c r="AI18" i="50" s="1"/>
  <c r="AG26" i="50"/>
  <c r="AG22" i="50"/>
  <c r="AH22" i="50" s="1"/>
  <c r="AG19" i="50"/>
  <c r="AG9" i="50"/>
  <c r="AG10" i="50"/>
  <c r="AG7" i="50"/>
  <c r="AF60" i="50"/>
  <c r="AF61" i="50" s="1"/>
  <c r="B30" i="48"/>
  <c r="AB112" i="50" l="1"/>
  <c r="AB96" i="50"/>
  <c r="AB108" i="50"/>
  <c r="AB111" i="50"/>
  <c r="AB95" i="50"/>
  <c r="AB110" i="50"/>
  <c r="AB94" i="50"/>
  <c r="AB92" i="50"/>
  <c r="AB109" i="50"/>
  <c r="AB93" i="50"/>
  <c r="AB107" i="50"/>
  <c r="AB91" i="50"/>
  <c r="AB105" i="50"/>
  <c r="AB89" i="50"/>
  <c r="AB104" i="50"/>
  <c r="AB88" i="50"/>
  <c r="AB103" i="50"/>
  <c r="AB87" i="50"/>
  <c r="AB118" i="50"/>
  <c r="AB102" i="50"/>
  <c r="AB117" i="50"/>
  <c r="AB101" i="50"/>
  <c r="AB98" i="50"/>
  <c r="AB113" i="50"/>
  <c r="AB116" i="50"/>
  <c r="AB100" i="50"/>
  <c r="AB115" i="50"/>
  <c r="AB99" i="50"/>
  <c r="AB114" i="50"/>
  <c r="AB90" i="50"/>
  <c r="AB97" i="50"/>
  <c r="AB106" i="50"/>
  <c r="AA120" i="50"/>
  <c r="AI15" i="50"/>
  <c r="AB68" i="50"/>
  <c r="AB69" i="50"/>
  <c r="AB71" i="50"/>
  <c r="AB86" i="50"/>
  <c r="AB82" i="50"/>
  <c r="AB77" i="50"/>
  <c r="AB83" i="50"/>
  <c r="AB70" i="50"/>
  <c r="AB76" i="50"/>
  <c r="AB78" i="50"/>
  <c r="AB72" i="50"/>
  <c r="AC65" i="50"/>
  <c r="AB66" i="50"/>
  <c r="AB67" i="50"/>
  <c r="AB79" i="50"/>
  <c r="AB85" i="50"/>
  <c r="AB81" i="50"/>
  <c r="AB74" i="50"/>
  <c r="AB75" i="50"/>
  <c r="AB84" i="50"/>
  <c r="AB80" i="50"/>
  <c r="AB73" i="50"/>
  <c r="V30" i="48"/>
  <c r="A31" i="48"/>
  <c r="AI22" i="50"/>
  <c r="AI16" i="50"/>
  <c r="AH18" i="50"/>
  <c r="AH11" i="50"/>
  <c r="AH25" i="50"/>
  <c r="AI25" i="50"/>
  <c r="AI21" i="50"/>
  <c r="AH21" i="50"/>
  <c r="AI10" i="50"/>
  <c r="AH10" i="50"/>
  <c r="AH26" i="50"/>
  <c r="AI26" i="50"/>
  <c r="AG60" i="50"/>
  <c r="AG61" i="50" s="1"/>
  <c r="AH61" i="50" s="1"/>
  <c r="AH6" i="50"/>
  <c r="AI6" i="50"/>
  <c r="AI20" i="50"/>
  <c r="AH20" i="50"/>
  <c r="AI19" i="50"/>
  <c r="AH19" i="50"/>
  <c r="AH8" i="50"/>
  <c r="AI8" i="50"/>
  <c r="AH17" i="50"/>
  <c r="AI17" i="50"/>
  <c r="AI13" i="50"/>
  <c r="AH13" i="50"/>
  <c r="AI12" i="50"/>
  <c r="AH12" i="50"/>
  <c r="AI24" i="50"/>
  <c r="AH9" i="50"/>
  <c r="AI9" i="50"/>
  <c r="AI7" i="50"/>
  <c r="AH7" i="50"/>
  <c r="AH23" i="50"/>
  <c r="AI23" i="50"/>
  <c r="AH14" i="50"/>
  <c r="AI14" i="50"/>
  <c r="B31" i="48"/>
  <c r="AC111" i="50" l="1"/>
  <c r="AC95" i="50"/>
  <c r="AC110" i="50"/>
  <c r="AC94" i="50"/>
  <c r="AC91" i="50"/>
  <c r="AC109" i="50"/>
  <c r="AC93" i="50"/>
  <c r="AC108" i="50"/>
  <c r="AC92" i="50"/>
  <c r="AC107" i="50"/>
  <c r="AC90" i="50"/>
  <c r="AC106" i="50"/>
  <c r="AC104" i="50"/>
  <c r="AC88" i="50"/>
  <c r="AC103" i="50"/>
  <c r="AC87" i="50"/>
  <c r="AC97" i="50"/>
  <c r="AC118" i="50"/>
  <c r="AC102" i="50"/>
  <c r="AC117" i="50"/>
  <c r="AC101" i="50"/>
  <c r="AC113" i="50"/>
  <c r="AC112" i="50"/>
  <c r="AC116" i="50"/>
  <c r="AC100" i="50"/>
  <c r="AC115" i="50"/>
  <c r="AC99" i="50"/>
  <c r="AC114" i="50"/>
  <c r="AC98" i="50"/>
  <c r="AC96" i="50"/>
  <c r="AC89" i="50"/>
  <c r="AC105" i="50"/>
  <c r="AB120" i="50"/>
  <c r="A32" i="48"/>
  <c r="V31" i="48"/>
  <c r="AC75" i="50"/>
  <c r="AC69" i="50"/>
  <c r="AC82" i="50"/>
  <c r="AC85" i="50"/>
  <c r="AD65" i="50"/>
  <c r="AC84" i="50"/>
  <c r="AC80" i="50"/>
  <c r="AC76" i="50"/>
  <c r="AC74" i="50"/>
  <c r="AC86" i="50"/>
  <c r="AC77" i="50"/>
  <c r="AC83" i="50"/>
  <c r="AC71" i="50"/>
  <c r="AC66" i="50"/>
  <c r="AC68" i="50"/>
  <c r="AC73" i="50"/>
  <c r="AC79" i="50"/>
  <c r="AC72" i="50"/>
  <c r="AC81" i="50"/>
  <c r="AC70" i="50"/>
  <c r="AC67" i="50"/>
  <c r="AC78" i="50"/>
  <c r="AH60" i="50"/>
  <c r="B32" i="48"/>
  <c r="AD110" i="50" l="1"/>
  <c r="AD94" i="50"/>
  <c r="AD106" i="50"/>
  <c r="AD109" i="50"/>
  <c r="AD93" i="50"/>
  <c r="AD108" i="50"/>
  <c r="AD92" i="50"/>
  <c r="AD107" i="50"/>
  <c r="AD91" i="50"/>
  <c r="AD90" i="50"/>
  <c r="AD89" i="50"/>
  <c r="AD105" i="50"/>
  <c r="AD103" i="50"/>
  <c r="AD87" i="50"/>
  <c r="AD118" i="50"/>
  <c r="AD102" i="50"/>
  <c r="AD117" i="50"/>
  <c r="AD101" i="50"/>
  <c r="AD111" i="50"/>
  <c r="AD116" i="50"/>
  <c r="AD100" i="50"/>
  <c r="AD112" i="50"/>
  <c r="AD96" i="50"/>
  <c r="AD115" i="50"/>
  <c r="AD99" i="50"/>
  <c r="AD114" i="50"/>
  <c r="AD98" i="50"/>
  <c r="AD113" i="50"/>
  <c r="AD97" i="50"/>
  <c r="AD104" i="50"/>
  <c r="AD95" i="50"/>
  <c r="AD88" i="50"/>
  <c r="AC120" i="50"/>
  <c r="AD78" i="50"/>
  <c r="AD86" i="50"/>
  <c r="AD66" i="50"/>
  <c r="AD74" i="50"/>
  <c r="AD82" i="50"/>
  <c r="AD71" i="50"/>
  <c r="AD81" i="50"/>
  <c r="AD77" i="50"/>
  <c r="AE65" i="50"/>
  <c r="AD79" i="50"/>
  <c r="AD84" i="50"/>
  <c r="AD72" i="50"/>
  <c r="AD76" i="50"/>
  <c r="AD68" i="50"/>
  <c r="AD70" i="50"/>
  <c r="AD80" i="50"/>
  <c r="AD67" i="50"/>
  <c r="AD69" i="50"/>
  <c r="AD85" i="50"/>
  <c r="AD83" i="50"/>
  <c r="AD75" i="50"/>
  <c r="AD73" i="50"/>
  <c r="V32" i="48"/>
  <c r="A33" i="48"/>
  <c r="B33" i="48"/>
  <c r="AE109" i="50" l="1"/>
  <c r="AE93" i="50"/>
  <c r="AE108" i="50"/>
  <c r="AE92" i="50"/>
  <c r="AE107" i="50"/>
  <c r="AE91" i="50"/>
  <c r="AE89" i="50"/>
  <c r="AE106" i="50"/>
  <c r="AE90" i="50"/>
  <c r="AE105" i="50"/>
  <c r="AE88" i="50"/>
  <c r="AE104" i="50"/>
  <c r="AE118" i="50"/>
  <c r="AE102" i="50"/>
  <c r="AE117" i="50"/>
  <c r="AE101" i="50"/>
  <c r="AE116" i="50"/>
  <c r="AE100" i="50"/>
  <c r="AE110" i="50"/>
  <c r="AE115" i="50"/>
  <c r="AE99" i="50"/>
  <c r="AE111" i="50"/>
  <c r="AE114" i="50"/>
  <c r="AE98" i="50"/>
  <c r="AE113" i="50"/>
  <c r="AE97" i="50"/>
  <c r="AE112" i="50"/>
  <c r="AE96" i="50"/>
  <c r="AE95" i="50"/>
  <c r="AE103" i="50"/>
  <c r="AE87" i="50"/>
  <c r="AE94" i="50"/>
  <c r="AD120" i="50"/>
  <c r="A34" i="48"/>
  <c r="V33" i="48"/>
  <c r="AE78" i="50"/>
  <c r="AE84" i="50"/>
  <c r="AE85" i="50"/>
  <c r="AE75" i="50"/>
  <c r="AE79" i="50"/>
  <c r="AE86" i="50"/>
  <c r="AE73" i="50"/>
  <c r="AE69" i="50"/>
  <c r="AE77" i="50"/>
  <c r="AE82" i="50"/>
  <c r="AE76" i="50"/>
  <c r="AE70" i="50"/>
  <c r="AE83" i="50"/>
  <c r="AE81" i="50"/>
  <c r="AE74" i="50"/>
  <c r="AE71" i="50"/>
  <c r="AF65" i="50"/>
  <c r="AE66" i="50"/>
  <c r="AE67" i="50"/>
  <c r="AE68" i="50"/>
  <c r="AE80" i="50"/>
  <c r="AE72" i="50"/>
  <c r="B34" i="48"/>
  <c r="AF108" i="50" l="1"/>
  <c r="AF92" i="50"/>
  <c r="AF104" i="50"/>
  <c r="AF107" i="50"/>
  <c r="AF91" i="50"/>
  <c r="AF88" i="50"/>
  <c r="AF106" i="50"/>
  <c r="AF90" i="50"/>
  <c r="AF105" i="50"/>
  <c r="AF89" i="50"/>
  <c r="AF103" i="50"/>
  <c r="AF118" i="50"/>
  <c r="AF117" i="50"/>
  <c r="AF101" i="50"/>
  <c r="AF109" i="50"/>
  <c r="AF116" i="50"/>
  <c r="AF100" i="50"/>
  <c r="AF115" i="50"/>
  <c r="AF99" i="50"/>
  <c r="AF114" i="50"/>
  <c r="AF98" i="50"/>
  <c r="AF110" i="50"/>
  <c r="AF94" i="50"/>
  <c r="AF113" i="50"/>
  <c r="AF97" i="50"/>
  <c r="AF112" i="50"/>
  <c r="AF96" i="50"/>
  <c r="AF111" i="50"/>
  <c r="AF95" i="50"/>
  <c r="AF93" i="50"/>
  <c r="AF87" i="50"/>
  <c r="AF102" i="50"/>
  <c r="AE120" i="50"/>
  <c r="V31" i="38"/>
  <c r="AF67" i="50"/>
  <c r="AF85" i="50"/>
  <c r="AF82" i="50"/>
  <c r="AF68" i="50"/>
  <c r="AF84" i="50"/>
  <c r="AF69" i="50"/>
  <c r="AF70" i="50"/>
  <c r="AF83" i="50"/>
  <c r="AF80" i="50"/>
  <c r="AF81" i="50"/>
  <c r="AF77" i="50"/>
  <c r="AF74" i="50"/>
  <c r="AF86" i="50"/>
  <c r="AF73" i="50"/>
  <c r="AF76" i="50"/>
  <c r="AF79" i="50"/>
  <c r="AG65" i="50"/>
  <c r="AF71" i="50"/>
  <c r="AF72" i="50"/>
  <c r="AF66" i="50"/>
  <c r="AF78" i="50"/>
  <c r="AF75" i="50"/>
  <c r="A35" i="48"/>
  <c r="V34" i="48"/>
  <c r="B35" i="48"/>
  <c r="AF120" i="50" l="1"/>
  <c r="AG107" i="50"/>
  <c r="AG91" i="50"/>
  <c r="AG106" i="50"/>
  <c r="AG90" i="50"/>
  <c r="AG105" i="50"/>
  <c r="AG89" i="50"/>
  <c r="AG103" i="50"/>
  <c r="AG87" i="50"/>
  <c r="AG104" i="50"/>
  <c r="AG88" i="50"/>
  <c r="AG118" i="50"/>
  <c r="AG102" i="50"/>
  <c r="AG116" i="50"/>
  <c r="AG100" i="50"/>
  <c r="AG115" i="50"/>
  <c r="AG99" i="50"/>
  <c r="AG114" i="50"/>
  <c r="AG98" i="50"/>
  <c r="AG93" i="50"/>
  <c r="AG113" i="50"/>
  <c r="AG97" i="50"/>
  <c r="AG109" i="50"/>
  <c r="AG108" i="50"/>
  <c r="AG112" i="50"/>
  <c r="AG96" i="50"/>
  <c r="AG111" i="50"/>
  <c r="AG95" i="50"/>
  <c r="AG110" i="50"/>
  <c r="AG94" i="50"/>
  <c r="AG101" i="50"/>
  <c r="AG117" i="50"/>
  <c r="AG92" i="50"/>
  <c r="AD31" i="38"/>
  <c r="AI31" i="38"/>
  <c r="AG79" i="50"/>
  <c r="AG71" i="50"/>
  <c r="AG68" i="50"/>
  <c r="AG77" i="50"/>
  <c r="AI77" i="50" s="1"/>
  <c r="AG85" i="50"/>
  <c r="AG69" i="50"/>
  <c r="AG84" i="50"/>
  <c r="AG81" i="50"/>
  <c r="AH81" i="50" s="1"/>
  <c r="AJ81" i="50" s="1"/>
  <c r="AG86" i="50"/>
  <c r="AG66" i="50"/>
  <c r="AG72" i="50"/>
  <c r="AH72" i="50" s="1"/>
  <c r="AJ72" i="50" s="1"/>
  <c r="AG74" i="50"/>
  <c r="AG82" i="50"/>
  <c r="AH82" i="50" s="1"/>
  <c r="AJ82" i="50" s="1"/>
  <c r="AG75" i="50"/>
  <c r="AH75" i="50" s="1"/>
  <c r="AJ75" i="50" s="1"/>
  <c r="AG70" i="50"/>
  <c r="AH70" i="50" s="1"/>
  <c r="AJ70" i="50" s="1"/>
  <c r="AG80" i="50"/>
  <c r="AG83" i="50"/>
  <c r="AG73" i="50"/>
  <c r="AG76" i="50"/>
  <c r="AI76" i="50" s="1"/>
  <c r="AG67" i="50"/>
  <c r="AG78" i="50"/>
  <c r="V35" i="48"/>
  <c r="AI101" i="50" l="1"/>
  <c r="AH101" i="50"/>
  <c r="AJ101" i="50" s="1"/>
  <c r="AI118" i="50"/>
  <c r="AH118" i="50"/>
  <c r="AJ118" i="50" s="1"/>
  <c r="AH111" i="50"/>
  <c r="AJ111" i="50" s="1"/>
  <c r="AI111" i="50"/>
  <c r="AI88" i="50"/>
  <c r="AH88" i="50"/>
  <c r="AJ88" i="50" s="1"/>
  <c r="AI117" i="50"/>
  <c r="AH117" i="50"/>
  <c r="AJ117" i="50" s="1"/>
  <c r="AH110" i="50"/>
  <c r="AJ110" i="50" s="1"/>
  <c r="AI110" i="50"/>
  <c r="AH103" i="50"/>
  <c r="AJ103" i="50" s="1"/>
  <c r="AI103" i="50"/>
  <c r="AH102" i="50"/>
  <c r="AJ102" i="50" s="1"/>
  <c r="AI102" i="50"/>
  <c r="AI97" i="50"/>
  <c r="AH97" i="50"/>
  <c r="AJ97" i="50" s="1"/>
  <c r="AI105" i="50"/>
  <c r="AH105" i="50"/>
  <c r="AJ105" i="50" s="1"/>
  <c r="AH115" i="50"/>
  <c r="AJ115" i="50" s="1"/>
  <c r="AI115" i="50"/>
  <c r="AH116" i="50"/>
  <c r="AJ116" i="50" s="1"/>
  <c r="AI116" i="50"/>
  <c r="AH104" i="50"/>
  <c r="AJ104" i="50" s="1"/>
  <c r="AI104" i="50"/>
  <c r="AI113" i="50"/>
  <c r="AH113" i="50"/>
  <c r="AJ113" i="50" s="1"/>
  <c r="AI90" i="50"/>
  <c r="AH90" i="50"/>
  <c r="AJ90" i="50" s="1"/>
  <c r="AI87" i="50"/>
  <c r="AH87" i="50"/>
  <c r="AJ87" i="50" s="1"/>
  <c r="AI93" i="50"/>
  <c r="AH93" i="50"/>
  <c r="AJ93" i="50" s="1"/>
  <c r="AH106" i="50"/>
  <c r="AJ106" i="50" s="1"/>
  <c r="AI106" i="50"/>
  <c r="AG120" i="50"/>
  <c r="AI120" i="50" s="1"/>
  <c r="AH96" i="50"/>
  <c r="AJ96" i="50" s="1"/>
  <c r="AI96" i="50"/>
  <c r="AI89" i="50"/>
  <c r="AH89" i="50"/>
  <c r="AJ89" i="50" s="1"/>
  <c r="AI91" i="50"/>
  <c r="AH91" i="50"/>
  <c r="AJ91" i="50" s="1"/>
  <c r="AI94" i="50"/>
  <c r="AH94" i="50"/>
  <c r="AJ94" i="50" s="1"/>
  <c r="AH112" i="50"/>
  <c r="AJ112" i="50" s="1"/>
  <c r="AI112" i="50"/>
  <c r="AH108" i="50"/>
  <c r="AJ108" i="50" s="1"/>
  <c r="AI108" i="50"/>
  <c r="AI109" i="50"/>
  <c r="AH109" i="50"/>
  <c r="AJ109" i="50" s="1"/>
  <c r="AI98" i="50"/>
  <c r="AH98" i="50"/>
  <c r="AJ98" i="50" s="1"/>
  <c r="AH114" i="50"/>
  <c r="AJ114" i="50" s="1"/>
  <c r="AI114" i="50"/>
  <c r="AH107" i="50"/>
  <c r="AJ107" i="50" s="1"/>
  <c r="AI107" i="50"/>
  <c r="AH100" i="50"/>
  <c r="AJ100" i="50" s="1"/>
  <c r="AI100" i="50"/>
  <c r="AH95" i="50"/>
  <c r="AJ95" i="50" s="1"/>
  <c r="AI95" i="50"/>
  <c r="AH92" i="50"/>
  <c r="AJ92" i="50" s="1"/>
  <c r="AI92" i="50"/>
  <c r="AH99" i="50"/>
  <c r="AJ99" i="50" s="1"/>
  <c r="AI99" i="50"/>
  <c r="AI72" i="50"/>
  <c r="AU31" i="38"/>
  <c r="AI81" i="50"/>
  <c r="AI82" i="50"/>
  <c r="AI75" i="50"/>
  <c r="AH84" i="50"/>
  <c r="AJ84" i="50" s="1"/>
  <c r="AI84" i="50"/>
  <c r="AI68" i="50"/>
  <c r="AH68" i="50"/>
  <c r="AJ68" i="50" s="1"/>
  <c r="AH69" i="50"/>
  <c r="AJ69" i="50" s="1"/>
  <c r="AI69" i="50"/>
  <c r="AI70" i="50"/>
  <c r="AI67" i="50"/>
  <c r="AH67" i="50"/>
  <c r="AJ67" i="50" s="1"/>
  <c r="AH83" i="50"/>
  <c r="AJ83" i="50" s="1"/>
  <c r="AI83" i="50"/>
  <c r="AH86" i="50"/>
  <c r="AJ86" i="50" s="1"/>
  <c r="AI86" i="50"/>
  <c r="AH85" i="50"/>
  <c r="AJ85" i="50" s="1"/>
  <c r="AI85" i="50"/>
  <c r="AI79" i="50"/>
  <c r="AH79" i="50"/>
  <c r="AJ79" i="50" s="1"/>
  <c r="AH76" i="50"/>
  <c r="AJ76" i="50" s="1"/>
  <c r="AH77" i="50"/>
  <c r="AJ77" i="50" s="1"/>
  <c r="AI78" i="50"/>
  <c r="AH78" i="50"/>
  <c r="AJ78" i="50" s="1"/>
  <c r="AI73" i="50"/>
  <c r="AH73" i="50"/>
  <c r="AJ73" i="50" s="1"/>
  <c r="AH66" i="50"/>
  <c r="AI66" i="50"/>
  <c r="AH71" i="50"/>
  <c r="AJ71" i="50" s="1"/>
  <c r="AI71" i="50"/>
  <c r="AI80" i="50"/>
  <c r="AH80" i="50"/>
  <c r="AJ80" i="50" s="1"/>
  <c r="AH74" i="50"/>
  <c r="AJ74" i="50" s="1"/>
  <c r="AI74" i="50"/>
  <c r="AH120" i="50" l="1"/>
  <c r="AJ120" i="50" s="1"/>
  <c r="AJ66" i="50"/>
  <c r="AD37" i="38" l="1"/>
  <c r="V37" i="38" l="1"/>
  <c r="E142" i="7" l="1"/>
  <c r="F142" i="7" s="1"/>
  <c r="AI37" i="38" l="1"/>
  <c r="AU37" i="38"/>
  <c r="V40" i="38" l="1"/>
  <c r="AD40" i="38"/>
  <c r="E14" i="7" l="1"/>
  <c r="F14" i="7" s="1"/>
  <c r="AI40" i="38" l="1"/>
  <c r="AU40" i="38"/>
  <c r="V47" i="38" l="1"/>
  <c r="AD47" i="38"/>
  <c r="E16" i="7" l="1"/>
  <c r="F16" i="7" s="1"/>
  <c r="V48" i="38" l="1"/>
  <c r="AI47" i="38"/>
  <c r="AD48" i="38"/>
  <c r="AU47" i="38"/>
  <c r="AI48" i="38" l="1"/>
  <c r="E17" i="7"/>
  <c r="F17" i="7" s="1"/>
  <c r="AU48" i="38" l="1"/>
  <c r="V49" i="38"/>
  <c r="E47" i="7"/>
  <c r="F47" i="7" s="1"/>
  <c r="AD49" i="38"/>
  <c r="E150" i="7" l="1"/>
  <c r="F150" i="7" s="1"/>
  <c r="AI49" i="38" l="1"/>
  <c r="AD50" i="38"/>
  <c r="V50" i="38"/>
  <c r="AU49" i="38"/>
  <c r="V51" i="38" l="1"/>
  <c r="AD51" i="38"/>
  <c r="AU50" i="38"/>
  <c r="AI50" i="38"/>
  <c r="AU51" i="38" l="1"/>
  <c r="AI51" i="38"/>
  <c r="V54" i="38" l="1"/>
  <c r="AD55" i="38"/>
  <c r="AD54" i="38"/>
  <c r="E18" i="7" l="1"/>
  <c r="F18" i="7" s="1"/>
  <c r="AI54" i="38" l="1"/>
  <c r="V55" i="38"/>
  <c r="AU54" i="38"/>
  <c r="AU55" i="38" l="1"/>
  <c r="V56" i="38"/>
  <c r="AI55" i="38"/>
  <c r="AD57" i="38"/>
  <c r="AD56" i="38"/>
  <c r="E155" i="7" l="1"/>
  <c r="F155" i="7" s="1"/>
  <c r="E55" i="7" l="1"/>
  <c r="F55" i="7" s="1"/>
  <c r="AI56" i="38"/>
  <c r="V57" i="38"/>
  <c r="AU56" i="38"/>
  <c r="AI57" i="38" l="1"/>
  <c r="E156" i="7"/>
  <c r="F156" i="7" s="1"/>
  <c r="V58" i="38" l="1"/>
  <c r="E56" i="7"/>
  <c r="F56" i="7" s="1"/>
  <c r="AU57" i="38"/>
  <c r="AD58" i="38"/>
  <c r="E157" i="7" l="1"/>
  <c r="F157" i="7" s="1"/>
  <c r="AI58" i="38" l="1"/>
  <c r="AU58" i="38"/>
  <c r="AD61" i="38" l="1"/>
  <c r="V61" i="38"/>
  <c r="V62" i="38" l="1"/>
  <c r="AD62" i="38"/>
  <c r="AU61" i="38"/>
  <c r="E60" i="7"/>
  <c r="F60" i="7" s="1"/>
  <c r="AI61" i="38"/>
  <c r="E61" i="7" l="1"/>
  <c r="F61" i="7" s="1"/>
  <c r="AI62" i="38"/>
  <c r="AD63" i="38"/>
  <c r="V64" i="38"/>
  <c r="V63" i="38"/>
  <c r="AU62" i="38"/>
  <c r="AD64" i="38" l="1"/>
  <c r="AU64" i="38" s="1"/>
  <c r="AI64" i="38"/>
  <c r="E63" i="7"/>
  <c r="F63" i="7" s="1"/>
  <c r="AU63" i="38"/>
  <c r="AI63" i="38"/>
  <c r="E62" i="7"/>
  <c r="F62" i="7" s="1"/>
  <c r="AD65" i="38" l="1"/>
  <c r="V65" i="38"/>
  <c r="AU65" i="38" l="1"/>
  <c r="AI65" i="38"/>
  <c r="AD68" i="38" l="1"/>
  <c r="V68" i="38"/>
  <c r="V69" i="38" l="1"/>
  <c r="AD69" i="38"/>
  <c r="AU68" i="38"/>
  <c r="AI68" i="38"/>
  <c r="E23" i="7" l="1"/>
  <c r="F23" i="7" s="1"/>
  <c r="AD70" i="38" l="1"/>
  <c r="AI69" i="38"/>
  <c r="V70" i="38"/>
  <c r="E165" i="7" s="1"/>
  <c r="F165" i="7" s="1"/>
  <c r="AU69" i="38"/>
  <c r="V71" i="38" l="1"/>
  <c r="AD71" i="38"/>
  <c r="AI70" i="38"/>
  <c r="AU70" i="38"/>
  <c r="AI71" i="38" l="1"/>
  <c r="E70" i="7"/>
  <c r="F70" i="7" s="1"/>
  <c r="AD72" i="38"/>
  <c r="V72" i="38"/>
  <c r="AU71" i="38"/>
  <c r="AU72" i="38" l="1"/>
  <c r="AI72" i="38"/>
  <c r="V75" i="38" l="1"/>
  <c r="AD75" i="38"/>
  <c r="E24" i="7" l="1"/>
  <c r="F24" i="7" s="1"/>
  <c r="AI75" i="38" l="1"/>
  <c r="V76" i="38"/>
  <c r="AD76" i="38"/>
  <c r="AU75" i="38"/>
  <c r="E25" i="7" l="1"/>
  <c r="F25" i="7" s="1"/>
  <c r="AI76" i="38" l="1"/>
  <c r="AU76" i="38"/>
  <c r="AD77" i="38"/>
  <c r="AD78" i="38"/>
  <c r="V77" i="38"/>
  <c r="E170" i="7" s="1"/>
  <c r="F170" i="7" s="1"/>
  <c r="V78" i="38" l="1"/>
  <c r="E171" i="7" s="1"/>
  <c r="F171" i="7" s="1"/>
  <c r="AI77" i="38"/>
  <c r="AU77" i="38"/>
  <c r="AD79" i="38" l="1"/>
  <c r="V79" i="38"/>
  <c r="E172" i="7" s="1"/>
  <c r="F172" i="7" s="1"/>
  <c r="AU78" i="38"/>
  <c r="AI78" i="38"/>
  <c r="AU79" i="38" l="1"/>
  <c r="AI79" i="38"/>
  <c r="AD82" i="38" l="1"/>
  <c r="V83" i="38"/>
  <c r="V82" i="38"/>
  <c r="AI83" i="38" l="1"/>
  <c r="AD83" i="38"/>
  <c r="AI82" i="38"/>
  <c r="AU82" i="38"/>
  <c r="AD84" i="38" l="1"/>
  <c r="V84" i="38"/>
  <c r="E175" i="7" s="1"/>
  <c r="F175" i="7" s="1"/>
  <c r="AU83" i="38"/>
  <c r="AD85" i="38" l="1"/>
  <c r="V85" i="38"/>
  <c r="E176" i="7" s="1"/>
  <c r="F176" i="7" s="1"/>
  <c r="AU84" i="38"/>
  <c r="AI84" i="38"/>
  <c r="AI85" i="38" l="1"/>
  <c r="AU85" i="38"/>
  <c r="AD89" i="38" l="1"/>
  <c r="V89" i="38"/>
  <c r="E28" i="7" s="1"/>
  <c r="F28" i="7" s="1"/>
  <c r="AD90" i="38" l="1"/>
  <c r="V90" i="38"/>
  <c r="E29" i="7" s="1"/>
  <c r="F29" i="7" s="1"/>
  <c r="AI89" i="38"/>
  <c r="AU89" i="38"/>
  <c r="AD91" i="38" l="1"/>
  <c r="V92" i="38"/>
  <c r="E181" i="7" s="1"/>
  <c r="F181" i="7" s="1"/>
  <c r="V91" i="38"/>
  <c r="E180" i="7" s="1"/>
  <c r="F180" i="7" s="1"/>
  <c r="AU90" i="38"/>
  <c r="AI90" i="38"/>
  <c r="AD92" i="38" l="1"/>
  <c r="AI92" i="38"/>
  <c r="AI91" i="38"/>
  <c r="E90" i="7"/>
  <c r="F90" i="7" s="1"/>
  <c r="AU91" i="38"/>
  <c r="AU92" i="38" l="1"/>
  <c r="AD96" i="38" l="1"/>
  <c r="V96" i="38"/>
  <c r="E30" i="7" s="1"/>
  <c r="F30" i="7" s="1"/>
  <c r="AD98" i="38" l="1"/>
  <c r="AD97" i="38"/>
  <c r="V97" i="38"/>
  <c r="E31" i="7" s="1"/>
  <c r="F31" i="7" s="1"/>
  <c r="AI96" i="38"/>
  <c r="AU96" i="38"/>
  <c r="AU97" i="38" l="1"/>
  <c r="V98" i="38"/>
  <c r="AI97" i="38"/>
  <c r="AI98" i="38" l="1"/>
  <c r="E185" i="7"/>
  <c r="F185" i="7" s="1"/>
  <c r="V99" i="38" l="1"/>
  <c r="AU98" i="38"/>
  <c r="AD99" i="38"/>
  <c r="E186" i="7" l="1"/>
  <c r="F186" i="7" s="1"/>
  <c r="AD100" i="38" l="1"/>
  <c r="AI99" i="38"/>
  <c r="V100" i="38"/>
  <c r="E187" i="7" s="1"/>
  <c r="F187" i="7" s="1"/>
  <c r="AU99" i="38"/>
  <c r="AU100" i="38" l="1"/>
  <c r="E99" i="7"/>
  <c r="F99" i="7" s="1"/>
  <c r="AI100" i="38"/>
  <c r="AD103" i="38" l="1"/>
  <c r="AD104" i="38"/>
  <c r="V103" i="38"/>
  <c r="E33" i="7" s="1"/>
  <c r="F33" i="7" s="1"/>
  <c r="V104" i="38" l="1"/>
  <c r="AI103" i="38"/>
  <c r="AU103" i="38"/>
  <c r="E34" i="7" l="1"/>
  <c r="F34" i="7" s="1"/>
  <c r="AI104" i="38" l="1"/>
  <c r="AU104" i="38"/>
  <c r="AD105" i="38"/>
  <c r="V105" i="38"/>
  <c r="E35" i="7" s="1"/>
  <c r="F35" i="7" s="1"/>
  <c r="V106" i="38" l="1"/>
  <c r="AD107" i="38"/>
  <c r="AD106" i="38"/>
  <c r="AI105" i="38"/>
  <c r="AU105" i="38"/>
  <c r="E189" i="7" l="1"/>
  <c r="F189" i="7" s="1"/>
  <c r="AI106" i="38" l="1"/>
  <c r="V107" i="38"/>
  <c r="E190" i="7" s="1"/>
  <c r="F190" i="7" s="1"/>
  <c r="AU106" i="38"/>
  <c r="AI107" i="38" l="1"/>
  <c r="AU107" i="38"/>
  <c r="V110" i="38" l="1"/>
  <c r="V111" i="38"/>
  <c r="E37" i="7" s="1"/>
  <c r="F37" i="7" s="1"/>
  <c r="AD110" i="38"/>
  <c r="E36" i="7" l="1"/>
  <c r="F36" i="7" s="1"/>
  <c r="AI110" i="38" l="1"/>
  <c r="E109" i="7"/>
  <c r="F109" i="7" s="1"/>
  <c r="E110" i="7"/>
  <c r="F110" i="7" s="1"/>
  <c r="AI111" i="38"/>
  <c r="AD111" i="38"/>
  <c r="AU110" i="38"/>
  <c r="AU111" i="38" l="1"/>
  <c r="V112" i="38" l="1"/>
  <c r="V113" i="38"/>
  <c r="AD112" i="38"/>
  <c r="AI112" i="38" l="1"/>
  <c r="E111" i="7"/>
  <c r="F111" i="7" s="1"/>
  <c r="AI113" i="38"/>
  <c r="E112" i="7"/>
  <c r="F112" i="7" s="1"/>
  <c r="AD113" i="38"/>
  <c r="AU112" i="38"/>
  <c r="AU113" i="38" l="1"/>
  <c r="AD118" i="38" l="1"/>
  <c r="V118" i="38"/>
  <c r="E39" i="7" s="1"/>
  <c r="F39" i="7" s="1"/>
  <c r="V119" i="38" l="1"/>
  <c r="AD120" i="38"/>
  <c r="AD119" i="38"/>
  <c r="AI118" i="38"/>
  <c r="E117" i="7"/>
  <c r="F117" i="7" s="1"/>
  <c r="AU118" i="38"/>
  <c r="E198" i="7" l="1"/>
  <c r="F198" i="7" s="1"/>
  <c r="AI119" i="38" l="1"/>
  <c r="V120" i="38"/>
  <c r="AU119" i="38"/>
  <c r="E199" i="7" l="1"/>
  <c r="F199" i="7" s="1"/>
  <c r="E119" i="7" l="1"/>
  <c r="F119" i="7" s="1"/>
  <c r="AI120" i="38"/>
  <c r="V121" i="38"/>
  <c r="AU120" i="38"/>
  <c r="AD121" i="38"/>
  <c r="AI121" i="38" l="1"/>
  <c r="AU121" i="38"/>
  <c r="V124" i="38" l="1"/>
  <c r="E40" i="7" s="1"/>
  <c r="F40" i="7" s="1"/>
  <c r="AD124" i="38" l="1"/>
  <c r="E123" i="7"/>
  <c r="F123" i="7" s="1"/>
  <c r="AI124" i="38"/>
  <c r="AU124" i="38" l="1"/>
  <c r="AD127" i="38" l="1"/>
  <c r="AD128" i="38"/>
  <c r="V127" i="38"/>
  <c r="V128" i="38" l="1"/>
  <c r="AU127" i="38"/>
  <c r="AI127" i="38"/>
  <c r="E126" i="7"/>
  <c r="F126" i="7" s="1"/>
  <c r="AU128" i="38" l="1"/>
  <c r="AI128" i="38"/>
  <c r="E127" i="7"/>
  <c r="F127" i="7" s="1"/>
  <c r="V132" i="38" l="1"/>
  <c r="E44" i="7" s="1"/>
  <c r="F44" i="7" s="1"/>
  <c r="AI132" i="38" l="1"/>
  <c r="AD132" i="38"/>
  <c r="V133" i="38" l="1"/>
  <c r="AD133" i="38"/>
  <c r="AU132" i="38"/>
  <c r="AD134" i="38" l="1"/>
  <c r="V134" i="38"/>
  <c r="E132" i="7"/>
  <c r="F132" i="7" s="1"/>
  <c r="AI133" i="38"/>
  <c r="AU133" i="38"/>
  <c r="AD135" i="38" l="1"/>
  <c r="V135" i="38"/>
  <c r="AI134" i="38"/>
  <c r="AU134" i="38"/>
  <c r="E133" i="7"/>
  <c r="F133" i="7" s="1"/>
  <c r="AI135" i="38" l="1"/>
  <c r="AU135" i="38"/>
  <c r="E134" i="7"/>
  <c r="F134" i="7" s="1"/>
  <c r="V138" i="38" l="1"/>
  <c r="AD138" i="38"/>
  <c r="E45" i="7" l="1"/>
  <c r="F45" i="7" s="1"/>
  <c r="E137" i="7" l="1"/>
  <c r="F137" i="7" s="1"/>
  <c r="AI138" i="38"/>
  <c r="V139" i="38"/>
  <c r="AD139" i="38"/>
  <c r="AU138" i="38"/>
  <c r="E46" i="7" l="1"/>
  <c r="F46" i="7" s="1"/>
  <c r="AD140" i="38" l="1"/>
  <c r="E138" i="7"/>
  <c r="F138" i="7" s="1"/>
  <c r="AI139" i="38"/>
  <c r="AU139" i="38"/>
  <c r="V140" i="38"/>
  <c r="E212" i="7" s="1"/>
  <c r="F212" i="7" s="1"/>
  <c r="AD141" i="38" l="1"/>
  <c r="V141" i="38"/>
  <c r="E213" i="7" s="1"/>
  <c r="F213" i="7" s="1"/>
  <c r="AU140" i="38"/>
  <c r="AI140" i="38"/>
  <c r="E139" i="7"/>
  <c r="F139" i="7" s="1"/>
  <c r="AU141" i="38" l="1"/>
  <c r="AD142" i="38"/>
  <c r="V142" i="38"/>
  <c r="E214" i="7" s="1"/>
  <c r="F214" i="7" s="1"/>
  <c r="E140" i="7"/>
  <c r="F140" i="7" s="1"/>
  <c r="AI141" i="38"/>
  <c r="E141" i="7" l="1"/>
  <c r="F141" i="7" s="1"/>
  <c r="AI142" i="38"/>
  <c r="AU142" i="38"/>
  <c r="AD145" i="38" l="1"/>
  <c r="V145" i="38"/>
  <c r="E48" i="7" s="1"/>
  <c r="F48" i="7" s="1"/>
  <c r="V146" i="38" l="1"/>
  <c r="V147" i="38"/>
  <c r="AD146" i="38"/>
  <c r="AI145" i="38"/>
  <c r="E144" i="7"/>
  <c r="F144" i="7" s="1"/>
  <c r="AU145" i="38"/>
  <c r="E49" i="7" l="1"/>
  <c r="F49" i="7" s="1"/>
  <c r="AI146" i="38" l="1"/>
  <c r="E145" i="7"/>
  <c r="F145" i="7" s="1"/>
  <c r="V148" i="38"/>
  <c r="AD147" i="38"/>
  <c r="E146" i="7"/>
  <c r="F146" i="7" s="1"/>
  <c r="AI147" i="38"/>
  <c r="AU146" i="38"/>
  <c r="AU147" i="38" l="1"/>
  <c r="AD149" i="38"/>
  <c r="AD148" i="38"/>
  <c r="AU148" i="38" s="1"/>
  <c r="AI148" i="38"/>
  <c r="E147" i="7"/>
  <c r="F147" i="7" s="1"/>
  <c r="V149" i="38" l="1"/>
  <c r="AU149" i="38" l="1"/>
  <c r="AI149" i="38"/>
  <c r="E148" i="7"/>
  <c r="F148" i="7" s="1"/>
  <c r="V152" i="38" l="1"/>
  <c r="AD152" i="38"/>
  <c r="E50" i="7" l="1"/>
  <c r="F50" i="7" s="1"/>
  <c r="AI152" i="38" l="1"/>
  <c r="E151" i="7"/>
  <c r="F151" i="7" s="1"/>
  <c r="AD153" i="38"/>
  <c r="V153" i="38"/>
  <c r="E51" i="7" s="1"/>
  <c r="F51" i="7" s="1"/>
  <c r="AU152" i="38"/>
  <c r="AD154" i="38" l="1"/>
  <c r="V154" i="38"/>
  <c r="E52" i="7" s="1"/>
  <c r="F52" i="7" s="1"/>
  <c r="AU153" i="38"/>
  <c r="AI153" i="38"/>
  <c r="E152" i="7"/>
  <c r="F152" i="7" s="1"/>
  <c r="AU154" i="38" l="1"/>
  <c r="AI154" i="38"/>
  <c r="E153" i="7"/>
  <c r="F153" i="7" s="1"/>
  <c r="V159" i="38" l="1"/>
  <c r="V160" i="38"/>
  <c r="E54" i="7" s="1"/>
  <c r="F54" i="7" s="1"/>
  <c r="AD159" i="38"/>
  <c r="AI159" i="38" l="1"/>
  <c r="E53" i="7"/>
  <c r="F53" i="7" s="1"/>
  <c r="E158" i="7" l="1"/>
  <c r="F158" i="7" s="1"/>
  <c r="AD160" i="38"/>
  <c r="AI160" i="38"/>
  <c r="E159" i="7"/>
  <c r="F159" i="7" s="1"/>
  <c r="AU159" i="38"/>
  <c r="AU160" i="38" l="1"/>
  <c r="V161" i="38" l="1"/>
  <c r="AD161" i="38"/>
  <c r="AI161" i="38" l="1"/>
  <c r="E160" i="7"/>
  <c r="F160" i="7" s="1"/>
  <c r="V162" i="38"/>
  <c r="AD162" i="38"/>
  <c r="AU161" i="38"/>
  <c r="E226" i="7" l="1"/>
  <c r="F226" i="7" s="1"/>
  <c r="V163" i="38" l="1"/>
  <c r="E161" i="7"/>
  <c r="F161" i="7" s="1"/>
  <c r="AD163" i="38"/>
  <c r="AI162" i="38"/>
  <c r="AU162" i="38"/>
  <c r="E227" i="7" l="1"/>
  <c r="F227" i="7" s="1"/>
  <c r="E162" i="7" l="1"/>
  <c r="F162" i="7" s="1"/>
  <c r="AI163" i="38"/>
  <c r="AU163" i="38"/>
  <c r="AD167" i="38" l="1"/>
  <c r="V167" i="38" l="1"/>
  <c r="AI167" i="38" l="1"/>
  <c r="E57" i="7"/>
  <c r="F57" i="7" s="1"/>
  <c r="E166" i="7" l="1"/>
  <c r="F166" i="7" s="1"/>
  <c r="AU167" i="38"/>
  <c r="AD168" i="38"/>
  <c r="V168" i="38"/>
  <c r="V169" i="38" l="1"/>
  <c r="V170" i="38"/>
  <c r="AD169" i="38"/>
  <c r="AU168" i="38"/>
  <c r="E167" i="7"/>
  <c r="F167" i="7" s="1"/>
  <c r="AI168" i="38"/>
  <c r="AI169" i="38" l="1"/>
  <c r="E168" i="7"/>
  <c r="F168" i="7" s="1"/>
  <c r="AD170" i="38"/>
  <c r="AI170" i="38"/>
  <c r="E169" i="7"/>
  <c r="F169" i="7" s="1"/>
  <c r="AU169" i="38"/>
  <c r="AU170" i="38" l="1"/>
  <c r="V175" i="38" l="1"/>
  <c r="AD175" i="38"/>
  <c r="E174" i="7" l="1"/>
  <c r="F174" i="7" s="1"/>
  <c r="E234" i="7"/>
  <c r="F234" i="7" s="1"/>
  <c r="AI175" i="38" l="1"/>
  <c r="AU175" i="38"/>
  <c r="V194" i="38" l="1"/>
  <c r="E64" i="7" s="1"/>
  <c r="F64" i="7" s="1"/>
  <c r="E193" i="7" l="1"/>
  <c r="F193" i="7" s="1"/>
  <c r="AI194" i="38"/>
  <c r="AD194" i="38"/>
  <c r="AD195" i="38" l="1"/>
  <c r="V195" i="38"/>
  <c r="E65" i="7" s="1"/>
  <c r="F65" i="7" s="1"/>
  <c r="AU194" i="38"/>
  <c r="V196" i="38" l="1"/>
  <c r="AD196" i="38"/>
  <c r="AU195" i="38"/>
  <c r="AI195" i="38"/>
  <c r="E194" i="7"/>
  <c r="F194" i="7" s="1"/>
  <c r="E195" i="7" l="1"/>
  <c r="F195" i="7" s="1"/>
  <c r="AI196" i="38"/>
  <c r="AD197" i="38"/>
  <c r="V197" i="38"/>
  <c r="AU196" i="38"/>
  <c r="V198" i="38" l="1"/>
  <c r="AD198" i="38"/>
  <c r="E196" i="7"/>
  <c r="F196" i="7" s="1"/>
  <c r="AU197" i="38"/>
  <c r="AI197" i="38"/>
  <c r="AI198" i="38" l="1"/>
  <c r="E197" i="7"/>
  <c r="F197" i="7" s="1"/>
  <c r="AU198" i="38"/>
  <c r="V201" i="38" l="1"/>
  <c r="AD201" i="38"/>
  <c r="E66" i="7" l="1"/>
  <c r="F66" i="7" s="1"/>
  <c r="AI201" i="38" l="1"/>
  <c r="E200" i="7"/>
  <c r="F200" i="7" s="1"/>
  <c r="AD202" i="38"/>
  <c r="V202" i="38"/>
  <c r="E67" i="7" s="1"/>
  <c r="F67" i="7" s="1"/>
  <c r="AU201" i="38"/>
  <c r="AD203" i="38" l="1"/>
  <c r="V204" i="38"/>
  <c r="E255" i="7" s="1"/>
  <c r="F255" i="7" s="1"/>
  <c r="V203" i="38"/>
  <c r="E254" i="7" s="1"/>
  <c r="F254" i="7" s="1"/>
  <c r="E201" i="7"/>
  <c r="F201" i="7" s="1"/>
  <c r="AU202" i="38"/>
  <c r="AI202" i="38"/>
  <c r="E203" i="7" l="1"/>
  <c r="F203" i="7" s="1"/>
  <c r="AI204" i="38"/>
  <c r="AD204" i="38"/>
  <c r="AI203" i="38"/>
  <c r="AU203" i="38"/>
  <c r="E202" i="7"/>
  <c r="F202" i="7" s="1"/>
  <c r="V205" i="38" l="1"/>
  <c r="AD205" i="38"/>
  <c r="AU204" i="38"/>
  <c r="AI205" i="38" l="1"/>
  <c r="E204" i="7"/>
  <c r="F204" i="7" s="1"/>
  <c r="AU205" i="38"/>
  <c r="V208" i="38" l="1"/>
  <c r="AD208" i="38"/>
  <c r="E68" i="7" l="1"/>
  <c r="F68" i="7" s="1"/>
  <c r="E207" i="7" l="1"/>
  <c r="F207" i="7" s="1"/>
  <c r="AI208" i="38"/>
  <c r="AD209" i="38"/>
  <c r="V209" i="38"/>
  <c r="E69" i="7" s="1"/>
  <c r="F69" i="7" s="1"/>
  <c r="AU208" i="38"/>
  <c r="V211" i="38" l="1"/>
  <c r="E260" i="7" s="1"/>
  <c r="F260" i="7" s="1"/>
  <c r="V210" i="38"/>
  <c r="AD210" i="38"/>
  <c r="AU209" i="38"/>
  <c r="AI209" i="38"/>
  <c r="E208" i="7"/>
  <c r="F208" i="7" s="1"/>
  <c r="E210" i="7" l="1"/>
  <c r="F210" i="7" s="1"/>
  <c r="AI211" i="38"/>
  <c r="AD211" i="38"/>
  <c r="AU211" i="38" s="1"/>
  <c r="E209" i="7"/>
  <c r="F209" i="7" s="1"/>
  <c r="AU210" i="38"/>
  <c r="AI210" i="38"/>
  <c r="V216" i="38" l="1"/>
  <c r="AD216" i="38"/>
  <c r="E71" i="7" l="1"/>
  <c r="F71" i="7" s="1"/>
  <c r="V217" i="38" l="1"/>
  <c r="AI216" i="38"/>
  <c r="E215" i="7"/>
  <c r="F215" i="7" s="1"/>
  <c r="AD217" i="38"/>
  <c r="AU216" i="38"/>
  <c r="AU217" i="38" l="1"/>
  <c r="AI217" i="38"/>
  <c r="E216" i="7"/>
  <c r="F216" i="7" s="1"/>
  <c r="V218" i="38"/>
  <c r="AI218" i="38" s="1"/>
  <c r="AD218" i="38"/>
  <c r="E217" i="7" l="1"/>
  <c r="F217" i="7" s="1"/>
  <c r="AD219" i="38"/>
  <c r="V219" i="38"/>
  <c r="AU218" i="38"/>
  <c r="E218" i="7" l="1"/>
  <c r="F218" i="7" s="1"/>
  <c r="AU219" i="38"/>
  <c r="AI219" i="38"/>
  <c r="V222" i="38" l="1"/>
  <c r="AD222" i="38"/>
  <c r="E72" i="7" l="1"/>
  <c r="F72" i="7" s="1"/>
  <c r="E221" i="7" l="1"/>
  <c r="F221" i="7" s="1"/>
  <c r="AI222" i="38"/>
  <c r="AD224" i="38"/>
  <c r="V223" i="38"/>
  <c r="AD223" i="38"/>
  <c r="AU222" i="38"/>
  <c r="E222" i="7" l="1"/>
  <c r="F222" i="7" s="1"/>
  <c r="E73" i="7"/>
  <c r="F73" i="7" s="1"/>
  <c r="AU223" i="38" l="1"/>
  <c r="V225" i="38"/>
  <c r="V224" i="38"/>
  <c r="AI223" i="38"/>
  <c r="E223" i="7" l="1"/>
  <c r="F223" i="7" s="1"/>
  <c r="E269" i="7"/>
  <c r="F269" i="7" s="1"/>
  <c r="AU224" i="38" l="1"/>
  <c r="AI224" i="38"/>
  <c r="AD225" i="38"/>
  <c r="AI225" i="38"/>
  <c r="E224" i="7"/>
  <c r="F224" i="7" s="1"/>
  <c r="AD226" i="38" l="1"/>
  <c r="AU225" i="38"/>
  <c r="V226" i="38"/>
  <c r="AI226" i="38" l="1"/>
  <c r="AU226" i="38"/>
  <c r="E225" i="7"/>
  <c r="F225" i="7" s="1"/>
  <c r="AD229" i="38" l="1"/>
  <c r="V229" i="38"/>
  <c r="E74" i="7" s="1"/>
  <c r="F74" i="7" s="1"/>
  <c r="AD230" i="38" l="1"/>
  <c r="V230" i="38"/>
  <c r="E75" i="7" s="1"/>
  <c r="F75" i="7" s="1"/>
  <c r="E228" i="7"/>
  <c r="F228" i="7" s="1"/>
  <c r="AU229" i="38"/>
  <c r="AI229" i="38"/>
  <c r="AD231" i="38" l="1"/>
  <c r="V231" i="38"/>
  <c r="E229" i="7"/>
  <c r="F229" i="7" s="1"/>
  <c r="AI230" i="38"/>
  <c r="AU230" i="38"/>
  <c r="V233" i="38" l="1"/>
  <c r="V232" i="38"/>
  <c r="AD232" i="38"/>
  <c r="E230" i="7"/>
  <c r="F230" i="7" s="1"/>
  <c r="AU231" i="38"/>
  <c r="AI231" i="38"/>
  <c r="E275" i="7" l="1"/>
  <c r="F275" i="7" s="1"/>
  <c r="AI233" i="38"/>
  <c r="E276" i="7"/>
  <c r="F276" i="7" s="1"/>
  <c r="E232" i="7" l="1"/>
  <c r="F232" i="7" s="1"/>
  <c r="AU233" i="38"/>
  <c r="E231" i="7"/>
  <c r="F231" i="7" s="1"/>
  <c r="AI232" i="38"/>
  <c r="AU232" i="38"/>
  <c r="V236" i="38" l="1"/>
  <c r="E76" i="7" s="1"/>
  <c r="F76" i="7" s="1"/>
  <c r="AD236" i="38"/>
  <c r="AD237" i="38" l="1"/>
  <c r="AD238" i="38"/>
  <c r="V237" i="38"/>
  <c r="E77" i="7" s="1"/>
  <c r="F77" i="7" s="1"/>
  <c r="E235" i="7"/>
  <c r="F235" i="7" s="1"/>
  <c r="AI236" i="38"/>
  <c r="AU236" i="38"/>
  <c r="V238" i="38" l="1"/>
  <c r="E236" i="7"/>
  <c r="F236" i="7" s="1"/>
  <c r="AI237" i="38"/>
  <c r="AU237" i="38"/>
  <c r="V240" i="38" l="1"/>
  <c r="E281" i="7" s="1"/>
  <c r="F281" i="7" s="1"/>
  <c r="V239" i="38"/>
  <c r="E280" i="7" s="1"/>
  <c r="F280" i="7" s="1"/>
  <c r="AD239" i="38"/>
  <c r="AI238" i="38"/>
  <c r="E237" i="7"/>
  <c r="F237" i="7" s="1"/>
  <c r="AU238" i="38"/>
  <c r="AI240" i="38" l="1"/>
  <c r="E239" i="7"/>
  <c r="F239" i="7" s="1"/>
  <c r="AD240" i="38"/>
  <c r="AU240" i="38" s="1"/>
  <c r="AU239" i="38"/>
  <c r="AI239" i="38"/>
  <c r="E238" i="7"/>
  <c r="F238" i="7" s="1"/>
  <c r="AD243" i="38" l="1"/>
  <c r="V243" i="38"/>
  <c r="E78" i="7" s="1"/>
  <c r="F78" i="7" s="1"/>
  <c r="V244" i="38" l="1"/>
  <c r="AD244" i="38"/>
  <c r="AI243" i="38"/>
  <c r="E242" i="7"/>
  <c r="F242" i="7" s="1"/>
  <c r="AU243" i="38"/>
  <c r="E79" i="7" l="1"/>
  <c r="F79" i="7" s="1"/>
  <c r="AI244" i="38" l="1"/>
  <c r="E243" i="7"/>
  <c r="F243" i="7" s="1"/>
  <c r="AD245" i="38"/>
  <c r="V245" i="38"/>
  <c r="AU244" i="38"/>
  <c r="AD246" i="38" l="1"/>
  <c r="V246" i="38"/>
  <c r="AU245" i="38"/>
  <c r="AI245" i="38"/>
  <c r="E244" i="7"/>
  <c r="F244" i="7" s="1"/>
  <c r="V247" i="38" l="1"/>
  <c r="E246" i="7" s="1"/>
  <c r="F246" i="7" s="1"/>
  <c r="AD247" i="38"/>
  <c r="AU246" i="38"/>
  <c r="E245" i="7"/>
  <c r="F245" i="7" s="1"/>
  <c r="AI246" i="38"/>
  <c r="AI247" i="38" l="1"/>
  <c r="AU247" i="38"/>
  <c r="AD250" i="38" l="1"/>
  <c r="V250" i="38"/>
  <c r="E80" i="7" s="1"/>
  <c r="F80" i="7" s="1"/>
  <c r="V251" i="38" l="1"/>
  <c r="AD251" i="38"/>
  <c r="AU250" i="38"/>
  <c r="E249" i="7"/>
  <c r="F249" i="7" s="1"/>
  <c r="AI250" i="38"/>
  <c r="E81" i="7" l="1"/>
  <c r="F81" i="7" s="1"/>
  <c r="E250" i="7" l="1"/>
  <c r="F250" i="7" s="1"/>
  <c r="AI251" i="38"/>
  <c r="AD252" i="38"/>
  <c r="V252" i="38"/>
  <c r="E289" i="7" s="1"/>
  <c r="F289" i="7" s="1"/>
  <c r="AU251" i="38"/>
  <c r="V253" i="38" l="1"/>
  <c r="AD253" i="38"/>
  <c r="AI252" i="38"/>
  <c r="E251" i="7"/>
  <c r="F251" i="7" s="1"/>
  <c r="AU252" i="38"/>
  <c r="E290" i="7" l="1"/>
  <c r="F290" i="7" s="1"/>
  <c r="E252" i="7" l="1"/>
  <c r="F252" i="7" s="1"/>
  <c r="AI253" i="38"/>
  <c r="AD254" i="38"/>
  <c r="V254" i="38"/>
  <c r="AU253" i="38"/>
  <c r="AI254" i="38" l="1"/>
  <c r="AU254" i="38"/>
  <c r="E253" i="7"/>
  <c r="F253" i="7" s="1"/>
  <c r="AD257" i="38" l="1"/>
  <c r="V257" i="38"/>
  <c r="E82" i="7" s="1"/>
  <c r="F82" i="7" s="1"/>
  <c r="AD258" i="38" l="1"/>
  <c r="V258" i="38"/>
  <c r="E83" i="7" s="1"/>
  <c r="F83" i="7" s="1"/>
  <c r="AU257" i="38"/>
  <c r="AI257" i="38"/>
  <c r="E256" i="7"/>
  <c r="F256" i="7" s="1"/>
  <c r="AD259" i="38" l="1"/>
  <c r="V259" i="38"/>
  <c r="AU258" i="38"/>
  <c r="E257" i="7"/>
  <c r="F257" i="7" s="1"/>
  <c r="AI258" i="38"/>
  <c r="AD260" i="38" l="1"/>
  <c r="V260" i="38"/>
  <c r="E258" i="7"/>
  <c r="F258" i="7" s="1"/>
  <c r="AU259" i="38"/>
  <c r="AI259" i="38"/>
  <c r="E259" i="7" l="1"/>
  <c r="F259" i="7" s="1"/>
  <c r="AU260" i="38"/>
  <c r="AI260" i="38"/>
  <c r="AD264" i="38" l="1"/>
  <c r="AD265" i="38"/>
  <c r="V264" i="38"/>
  <c r="E84" i="7" s="1"/>
  <c r="F84" i="7" s="1"/>
  <c r="V265" i="38" l="1"/>
  <c r="E85" i="7" s="1"/>
  <c r="F85" i="7" s="1"/>
  <c r="AI264" i="38"/>
  <c r="AU264" i="38"/>
  <c r="E263" i="7"/>
  <c r="F263" i="7" s="1"/>
  <c r="V266" i="38" l="1"/>
  <c r="AD266" i="38"/>
  <c r="E264" i="7"/>
  <c r="F264" i="7" s="1"/>
  <c r="AU265" i="38"/>
  <c r="AI265" i="38"/>
  <c r="V267" i="38" l="1"/>
  <c r="E266" i="7" s="1"/>
  <c r="F266" i="7" s="1"/>
  <c r="AU266" i="38"/>
  <c r="AI266" i="38"/>
  <c r="E265" i="7"/>
  <c r="F265" i="7" s="1"/>
  <c r="AD267" i="38"/>
  <c r="AI267" i="38" l="1"/>
  <c r="AU267" i="38"/>
  <c r="AD268" i="38"/>
  <c r="V268" i="38"/>
  <c r="AU268" i="38" l="1"/>
  <c r="E267" i="7"/>
  <c r="F267" i="7" s="1"/>
  <c r="AI268" i="38"/>
  <c r="V271" i="38" l="1"/>
  <c r="AD271" i="38"/>
  <c r="E86" i="7" l="1"/>
  <c r="F86" i="7" s="1"/>
  <c r="AD272" i="38" l="1"/>
  <c r="E270" i="7"/>
  <c r="F270" i="7" s="1"/>
  <c r="AI271" i="38"/>
  <c r="V272" i="38"/>
  <c r="E87" i="7" s="1"/>
  <c r="F87" i="7" s="1"/>
  <c r="AU271" i="38"/>
  <c r="AD273" i="38" l="1"/>
  <c r="V273" i="38"/>
  <c r="E304" i="7" s="1"/>
  <c r="F304" i="7" s="1"/>
  <c r="AU272" i="38"/>
  <c r="E271" i="7"/>
  <c r="F271" i="7" s="1"/>
  <c r="AI272" i="38"/>
  <c r="AD274" i="38" l="1"/>
  <c r="V274" i="38"/>
  <c r="E272" i="7"/>
  <c r="F272" i="7" s="1"/>
  <c r="AI273" i="38"/>
  <c r="AU273" i="38"/>
  <c r="AD275" i="38" l="1"/>
  <c r="V275" i="38"/>
  <c r="E273" i="7"/>
  <c r="F273" i="7" s="1"/>
  <c r="AI274" i="38"/>
  <c r="AU274" i="38"/>
  <c r="E274" i="7" l="1"/>
  <c r="F274" i="7" s="1"/>
  <c r="AI275" i="38"/>
  <c r="AU275" i="38"/>
  <c r="AD278" i="38" l="1"/>
  <c r="V278" i="38"/>
  <c r="E88" i="7" s="1"/>
  <c r="F88" i="7" s="1"/>
  <c r="V279" i="38" l="1"/>
  <c r="AD279" i="38"/>
  <c r="AI278" i="38"/>
  <c r="E277" i="7"/>
  <c r="F277" i="7" s="1"/>
  <c r="AU278" i="38"/>
  <c r="E89" i="7" l="1"/>
  <c r="F89" i="7" s="1"/>
  <c r="AI279" i="38" l="1"/>
  <c r="E278" i="7"/>
  <c r="F278" i="7" s="1"/>
  <c r="V280" i="38"/>
  <c r="AD280" i="38"/>
  <c r="AU279" i="38"/>
  <c r="E309" i="7" l="1"/>
  <c r="F309" i="7" s="1"/>
  <c r="AI280" i="38" l="1"/>
  <c r="E279" i="7"/>
  <c r="F279" i="7" s="1"/>
  <c r="AU280" i="38"/>
  <c r="AD285" i="38" l="1"/>
  <c r="V285" i="38"/>
  <c r="E91" i="7" s="1"/>
  <c r="F91" i="7" s="1"/>
  <c r="V286" i="38" l="1"/>
  <c r="AD286" i="38"/>
  <c r="E284" i="7"/>
  <c r="F284" i="7" s="1"/>
  <c r="AI285" i="38"/>
  <c r="AU285" i="38"/>
  <c r="E92" i="7" l="1"/>
  <c r="F92" i="7" s="1"/>
  <c r="AI286" i="38" l="1"/>
  <c r="E285" i="7"/>
  <c r="F285" i="7" s="1"/>
  <c r="AD287" i="38"/>
  <c r="V287" i="38"/>
  <c r="AU286" i="38"/>
  <c r="V288" i="38" l="1"/>
  <c r="AD288" i="38"/>
  <c r="E286" i="7"/>
  <c r="F286" i="7" s="1"/>
  <c r="AU287" i="38"/>
  <c r="AI287" i="38"/>
  <c r="E287" i="7" l="1"/>
  <c r="F287" i="7" s="1"/>
  <c r="AI288" i="38"/>
  <c r="AD289" i="38"/>
  <c r="V289" i="38"/>
  <c r="AU288" i="38"/>
  <c r="E288" i="7" l="1"/>
  <c r="F288" i="7" s="1"/>
  <c r="AI289" i="38"/>
  <c r="AU289" i="38"/>
  <c r="AD292" i="38" l="1"/>
  <c r="V292" i="38" l="1"/>
  <c r="E93" i="7" s="1"/>
  <c r="F93" i="7" s="1"/>
  <c r="V293" i="38" l="1"/>
  <c r="AD293" i="38"/>
  <c r="AI292" i="38"/>
  <c r="AU292" i="38"/>
  <c r="E291" i="7"/>
  <c r="F291" i="7" s="1"/>
  <c r="E94" i="7" l="1"/>
  <c r="F94" i="7" s="1"/>
  <c r="E292" i="7" l="1"/>
  <c r="F292" i="7" s="1"/>
  <c r="AI293" i="38"/>
  <c r="AD294" i="38"/>
  <c r="V294" i="38"/>
  <c r="E318" i="7" s="1"/>
  <c r="F318" i="7" s="1"/>
  <c r="AU293" i="38"/>
  <c r="V295" i="38" l="1"/>
  <c r="AD296" i="38"/>
  <c r="AD295" i="38"/>
  <c r="E293" i="7"/>
  <c r="F293" i="7" s="1"/>
  <c r="AU294" i="38"/>
  <c r="AI294" i="38"/>
  <c r="AI295" i="38" l="1"/>
  <c r="E294" i="7"/>
  <c r="F294" i="7" s="1"/>
  <c r="V296" i="38"/>
  <c r="AU295" i="38"/>
  <c r="E295" i="7" l="1"/>
  <c r="F295" i="7" s="1"/>
  <c r="AI296" i="38"/>
  <c r="AU296" i="38"/>
  <c r="V299" i="38" l="1"/>
  <c r="AD299" i="38"/>
  <c r="E95" i="7" l="1"/>
  <c r="F95" i="7" s="1"/>
  <c r="AD300" i="38" l="1"/>
  <c r="AI299" i="38"/>
  <c r="E298" i="7"/>
  <c r="F298" i="7" s="1"/>
  <c r="V300" i="38"/>
  <c r="E96" i="7" s="1"/>
  <c r="F96" i="7" s="1"/>
  <c r="AU299" i="38"/>
  <c r="V301" i="38" l="1"/>
  <c r="AD301" i="38"/>
  <c r="AI300" i="38"/>
  <c r="AU300" i="38"/>
  <c r="E299" i="7"/>
  <c r="F299" i="7" s="1"/>
  <c r="E323" i="7" l="1"/>
  <c r="F323" i="7" s="1"/>
  <c r="E300" i="7" l="1"/>
  <c r="F300" i="7" s="1"/>
  <c r="AI301" i="38"/>
  <c r="V302" i="38"/>
  <c r="AD302" i="38"/>
  <c r="AU301" i="38"/>
  <c r="E324" i="7" l="1"/>
  <c r="F324" i="7" s="1"/>
  <c r="AD303" i="38" l="1"/>
  <c r="E301" i="7"/>
  <c r="F301" i="7" s="1"/>
  <c r="AI302" i="38"/>
  <c r="AU302" i="38"/>
  <c r="V303" i="38"/>
  <c r="E325" i="7" s="1"/>
  <c r="F325" i="7" s="1"/>
  <c r="AI303" i="38" l="1"/>
  <c r="AU303" i="38"/>
  <c r="E302" i="7"/>
  <c r="F302" i="7" s="1"/>
  <c r="V306" i="38" l="1"/>
  <c r="E97" i="7" s="1"/>
  <c r="F97" i="7" s="1"/>
  <c r="AD306" i="38"/>
  <c r="AD307" i="38" l="1"/>
  <c r="V307" i="38"/>
  <c r="E98" i="7" s="1"/>
  <c r="F98" i="7" s="1"/>
  <c r="AU306" i="38"/>
  <c r="E305" i="7"/>
  <c r="F305" i="7" s="1"/>
  <c r="AI306" i="38"/>
  <c r="AD308" i="38" l="1"/>
  <c r="AD309" i="38"/>
  <c r="V308" i="38"/>
  <c r="AU307" i="38"/>
  <c r="E306" i="7"/>
  <c r="F306" i="7" s="1"/>
  <c r="AI307" i="38"/>
  <c r="V309" i="38" l="1"/>
  <c r="AI308" i="38"/>
  <c r="E307" i="7"/>
  <c r="F307" i="7" s="1"/>
  <c r="AU308" i="38"/>
  <c r="AI309" i="38" l="1"/>
  <c r="AU309" i="38"/>
  <c r="E308" i="7"/>
  <c r="F308" i="7" s="1"/>
  <c r="V313" i="38" l="1"/>
  <c r="AD313" i="38"/>
  <c r="AI313" i="38" l="1"/>
  <c r="E100" i="7"/>
  <c r="F100" i="7" s="1"/>
  <c r="AD314" i="38" l="1"/>
  <c r="V314" i="38"/>
  <c r="E101" i="7" s="1"/>
  <c r="F101" i="7" s="1"/>
  <c r="E312" i="7"/>
  <c r="F312" i="7" s="1"/>
  <c r="AU313" i="38"/>
  <c r="V315" i="38" l="1"/>
  <c r="V316" i="38"/>
  <c r="AD315" i="38"/>
  <c r="AI314" i="38"/>
  <c r="E313" i="7"/>
  <c r="F313" i="7" s="1"/>
  <c r="AU314" i="38"/>
  <c r="E332" i="7" l="1"/>
  <c r="F332" i="7" s="1"/>
  <c r="E314" i="7" l="1"/>
  <c r="F314" i="7" s="1"/>
  <c r="AI315" i="38"/>
  <c r="V317" i="38"/>
  <c r="AI316" i="38"/>
  <c r="E315" i="7"/>
  <c r="F315" i="7" s="1"/>
  <c r="AD316" i="38"/>
  <c r="AU316" i="38" s="1"/>
  <c r="AU315" i="38"/>
  <c r="AD317" i="38" l="1"/>
  <c r="AU317" i="38" s="1"/>
  <c r="AI317" i="38"/>
  <c r="E316" i="7"/>
  <c r="F316" i="7" s="1"/>
  <c r="AD320" i="38" l="1"/>
  <c r="V320" i="38"/>
  <c r="E102" i="7" s="1"/>
  <c r="F102" i="7" s="1"/>
  <c r="AD321" i="38" l="1"/>
  <c r="V322" i="38"/>
  <c r="V321" i="38"/>
  <c r="E103" i="7" s="1"/>
  <c r="F103" i="7" s="1"/>
  <c r="AI320" i="38"/>
  <c r="E319" i="7"/>
  <c r="F319" i="7" s="1"/>
  <c r="AU320" i="38"/>
  <c r="E321" i="7" l="1"/>
  <c r="F321" i="7" s="1"/>
  <c r="AI322" i="38"/>
  <c r="AD322" i="38"/>
  <c r="AI321" i="38"/>
  <c r="E320" i="7"/>
  <c r="F320" i="7" s="1"/>
  <c r="AU321" i="38"/>
  <c r="AU322" i="38" l="1"/>
  <c r="AD327" i="38" l="1"/>
  <c r="V327" i="38" l="1"/>
  <c r="E104" i="7" s="1"/>
  <c r="F104" i="7" s="1"/>
  <c r="V328" i="38" l="1"/>
  <c r="E105" i="7" s="1"/>
  <c r="F105" i="7" s="1"/>
  <c r="AD328" i="38"/>
  <c r="E326" i="7"/>
  <c r="F326" i="7" s="1"/>
  <c r="AU327" i="38"/>
  <c r="AI327" i="38"/>
  <c r="V329" i="38" l="1"/>
  <c r="AD329" i="38"/>
  <c r="AU328" i="38"/>
  <c r="AI328" i="38"/>
  <c r="E327" i="7"/>
  <c r="F327" i="7" s="1"/>
  <c r="E342" i="7" l="1"/>
  <c r="F342" i="7" s="1"/>
  <c r="AI329" i="38" l="1"/>
  <c r="E328" i="7"/>
  <c r="F328" i="7" s="1"/>
  <c r="AU329" i="38"/>
  <c r="V330" i="38"/>
  <c r="AD330" i="38"/>
  <c r="E343" i="7" l="1"/>
  <c r="F343" i="7" s="1"/>
  <c r="E329" i="7" l="1"/>
  <c r="F329" i="7" s="1"/>
  <c r="AI330" i="38"/>
  <c r="AD331" i="38"/>
  <c r="AU330" i="38"/>
  <c r="V331" i="38"/>
  <c r="E344" i="7" s="1"/>
  <c r="F344" i="7" s="1"/>
  <c r="AI331" i="38" l="1"/>
  <c r="AU331" i="38"/>
  <c r="E330" i="7"/>
  <c r="F330" i="7" s="1"/>
  <c r="AD335" i="38" l="1"/>
  <c r="V334" i="38"/>
  <c r="AD334" i="38"/>
  <c r="E106" i="7" l="1"/>
  <c r="F106" i="7" s="1"/>
  <c r="AI334" i="38" l="1"/>
  <c r="E333" i="7"/>
  <c r="F333" i="7" s="1"/>
  <c r="V335" i="38"/>
  <c r="E107" i="7" s="1"/>
  <c r="F107" i="7" s="1"/>
  <c r="AU334" i="38"/>
  <c r="V336" i="38" l="1"/>
  <c r="AD336" i="38"/>
  <c r="AI335" i="38"/>
  <c r="AU335" i="38"/>
  <c r="E334" i="7"/>
  <c r="F334" i="7" s="1"/>
  <c r="E347" i="7" l="1"/>
  <c r="F347" i="7" s="1"/>
  <c r="AI336" i="38" l="1"/>
  <c r="E335" i="7"/>
  <c r="F335" i="7" s="1"/>
  <c r="AU336" i="38"/>
  <c r="AD338" i="38" l="1"/>
  <c r="V338" i="38"/>
  <c r="E337" i="7" l="1"/>
  <c r="F337" i="7" s="1"/>
  <c r="AI338" i="38"/>
  <c r="AU338" i="38"/>
  <c r="AD341" i="38" l="1"/>
  <c r="V341" i="38"/>
  <c r="E108" i="7" s="1"/>
  <c r="F108" i="7" s="1"/>
  <c r="E340" i="7" l="1"/>
  <c r="F340" i="7" s="1"/>
  <c r="AI341" i="38"/>
  <c r="AU341" i="38"/>
  <c r="R369" i="38" l="1"/>
  <c r="U369" i="38" l="1"/>
  <c r="V369" i="38" s="1"/>
  <c r="E118" i="7" s="1"/>
  <c r="F118" i="7" s="1"/>
  <c r="AD369" i="38" l="1"/>
  <c r="E368" i="7"/>
  <c r="F368" i="7" s="1"/>
  <c r="AI369" i="38"/>
  <c r="AU369" i="38" l="1"/>
  <c r="AD5" i="38" l="1"/>
  <c r="E131" i="7"/>
  <c r="F131" i="7" s="1"/>
  <c r="E121" i="7"/>
  <c r="F121" i="7" s="1"/>
  <c r="E9" i="49" l="1"/>
  <c r="E15" i="49"/>
  <c r="E11" i="49"/>
  <c r="E13" i="49"/>
  <c r="E5" i="49"/>
  <c r="E10" i="49"/>
  <c r="E24" i="49"/>
  <c r="E16" i="49"/>
  <c r="E17" i="49"/>
  <c r="E22" i="49"/>
  <c r="E19" i="49"/>
  <c r="E23" i="49"/>
  <c r="E6" i="49"/>
  <c r="E12" i="49"/>
  <c r="E21" i="49"/>
  <c r="E8" i="49"/>
  <c r="E18" i="49"/>
  <c r="E14" i="49"/>
  <c r="E20" i="49"/>
  <c r="E7" i="49" l="1"/>
  <c r="E59" i="49" s="1"/>
  <c r="E4" i="49"/>
  <c r="E120" i="7"/>
  <c r="F120" i="7" s="1"/>
  <c r="A7" i="38"/>
  <c r="A5" i="38"/>
  <c r="C7" i="38"/>
  <c r="A39" i="48" l="1"/>
  <c r="E58" i="49"/>
  <c r="AM5" i="38"/>
  <c r="A8" i="38"/>
  <c r="D7" i="48" s="1"/>
  <c r="A38" i="48"/>
  <c r="D5" i="38"/>
  <c r="I5" i="48"/>
  <c r="F5" i="48"/>
  <c r="Q5" i="48"/>
  <c r="H5" i="48"/>
  <c r="L5" i="48"/>
  <c r="D5" i="48"/>
  <c r="X5" i="48"/>
  <c r="N5" i="48"/>
  <c r="M5" i="48"/>
  <c r="G5" i="48"/>
  <c r="I6" i="48"/>
  <c r="Q6" i="48"/>
  <c r="F6" i="48"/>
  <c r="X6" i="48"/>
  <c r="D6" i="48"/>
  <c r="L6" i="48"/>
  <c r="H6" i="48"/>
  <c r="J5" i="48"/>
  <c r="R5" i="48"/>
  <c r="C5" i="48"/>
  <c r="C3" i="23"/>
  <c r="B3" i="23" s="1"/>
  <c r="A6" i="7"/>
  <c r="B7" i="38"/>
  <c r="AS7" i="38"/>
  <c r="D7" i="38"/>
  <c r="AM7" i="38"/>
  <c r="C6" i="7"/>
  <c r="AX7" i="38"/>
  <c r="AX5" i="38"/>
  <c r="DJ6" i="7"/>
  <c r="P5" i="48" l="1"/>
  <c r="O5" i="48"/>
  <c r="W5" i="48" s="1"/>
  <c r="F7" i="48"/>
  <c r="E7" i="48" s="1"/>
  <c r="I7" i="48"/>
  <c r="X7" i="48"/>
  <c r="H7" i="48"/>
  <c r="Q7" i="48"/>
  <c r="L7" i="48"/>
  <c r="E6" i="48"/>
  <c r="E5" i="48"/>
  <c r="AT6" i="38"/>
  <c r="AT7" i="38" s="1"/>
  <c r="AO6" i="38"/>
  <c r="AO7" i="38" s="1"/>
  <c r="A7" i="7"/>
  <c r="AS8" i="38"/>
  <c r="B8" i="38"/>
  <c r="AM8" i="38"/>
  <c r="D8" i="38"/>
  <c r="A9" i="38"/>
  <c r="V5" i="38"/>
  <c r="B6" i="7"/>
  <c r="D6" i="7"/>
  <c r="Z7" i="38"/>
  <c r="Y7" i="38" s="1"/>
  <c r="I7" i="38" s="1"/>
  <c r="J7" i="38" s="1"/>
  <c r="U5" i="48"/>
  <c r="T5" i="48"/>
  <c r="S5" i="48"/>
  <c r="C8" i="38"/>
  <c r="C7" i="7"/>
  <c r="AX8" i="38"/>
  <c r="DJ7" i="7"/>
  <c r="R7" i="38" l="1"/>
  <c r="G6" i="48"/>
  <c r="AJ5" i="38"/>
  <c r="AK5" i="38"/>
  <c r="AL5" i="38"/>
  <c r="AB5" i="38"/>
  <c r="A8" i="7"/>
  <c r="AS9" i="38"/>
  <c r="B9" i="38"/>
  <c r="D9" i="38"/>
  <c r="AM9" i="38"/>
  <c r="A10" i="38"/>
  <c r="D9" i="48" s="1"/>
  <c r="L8" i="48"/>
  <c r="X8" i="48"/>
  <c r="H8" i="48"/>
  <c r="J8" i="48"/>
  <c r="Q8" i="48"/>
  <c r="D8" i="48"/>
  <c r="F8" i="48"/>
  <c r="I8" i="48"/>
  <c r="G8" i="48"/>
  <c r="R8" i="48"/>
  <c r="AO8" i="38"/>
  <c r="Z8" i="38"/>
  <c r="Y8" i="38"/>
  <c r="I8" i="38" s="1"/>
  <c r="J8" i="38" s="1"/>
  <c r="AT8" i="38"/>
  <c r="B7" i="7"/>
  <c r="D7" i="7"/>
  <c r="N6" i="48"/>
  <c r="C8" i="7"/>
  <c r="C9" i="38"/>
  <c r="DJ8" i="7"/>
  <c r="AX9" i="38"/>
  <c r="R8" i="38" l="1"/>
  <c r="G7" i="48"/>
  <c r="T7" i="38"/>
  <c r="U7" i="38" s="1"/>
  <c r="V7" i="38" s="1"/>
  <c r="H9" i="48"/>
  <c r="F9" i="48"/>
  <c r="E9" i="48" s="1"/>
  <c r="R9" i="48"/>
  <c r="J9" i="48"/>
  <c r="G9" i="48"/>
  <c r="I9" i="48"/>
  <c r="Q9" i="48"/>
  <c r="L9" i="48"/>
  <c r="X9" i="48"/>
  <c r="AT9" i="38"/>
  <c r="E8" i="48"/>
  <c r="D8" i="7"/>
  <c r="B8" i="7"/>
  <c r="M7" i="48"/>
  <c r="A11" i="38"/>
  <c r="A9" i="7"/>
  <c r="B10" i="38"/>
  <c r="AS10" i="38"/>
  <c r="D10" i="38"/>
  <c r="AM10" i="38"/>
  <c r="Z9" i="38"/>
  <c r="Y9" i="38"/>
  <c r="AO9" i="38"/>
  <c r="C11" i="38"/>
  <c r="C10" i="38"/>
  <c r="C9" i="7"/>
  <c r="DJ9" i="7"/>
  <c r="AX10" i="38"/>
  <c r="T8" i="38" l="1"/>
  <c r="U8" i="38" s="1"/>
  <c r="V8" i="38" s="1"/>
  <c r="E6" i="7"/>
  <c r="F6" i="7" s="1"/>
  <c r="AI7" i="38"/>
  <c r="J6" i="48"/>
  <c r="AK7" i="38"/>
  <c r="AB7" i="38"/>
  <c r="AL7" i="38"/>
  <c r="AJ7" i="38"/>
  <c r="AA7" i="38"/>
  <c r="AD7" i="38"/>
  <c r="B9" i="7"/>
  <c r="D9" i="7"/>
  <c r="AS11" i="38"/>
  <c r="AM11" i="38"/>
  <c r="B11" i="38"/>
  <c r="A12" i="38"/>
  <c r="Q11" i="48" s="1"/>
  <c r="D11" i="38"/>
  <c r="A10" i="7"/>
  <c r="F10" i="48"/>
  <c r="G10" i="48"/>
  <c r="D10" i="48"/>
  <c r="Q10" i="48"/>
  <c r="X10" i="48"/>
  <c r="I10" i="48"/>
  <c r="H10" i="48"/>
  <c r="L10" i="48"/>
  <c r="J10" i="48"/>
  <c r="R10" i="48"/>
  <c r="AK9" i="38"/>
  <c r="AJ9" i="38"/>
  <c r="AB9" i="38"/>
  <c r="AL9" i="38"/>
  <c r="AA9" i="38"/>
  <c r="AY9" i="38"/>
  <c r="N8" i="48"/>
  <c r="Z10" i="38"/>
  <c r="AY10" i="38" s="1"/>
  <c r="Y10" i="38"/>
  <c r="AO10" i="38"/>
  <c r="AT10" i="38"/>
  <c r="C10" i="7"/>
  <c r="DJ10" i="7"/>
  <c r="AX11" i="38"/>
  <c r="AD8" i="38" l="1"/>
  <c r="R7" i="48" s="1"/>
  <c r="E122" i="7"/>
  <c r="F122" i="7" s="1"/>
  <c r="AI8" i="38"/>
  <c r="E7" i="7"/>
  <c r="F7" i="7" s="1"/>
  <c r="J7" i="48"/>
  <c r="AJ8" i="38"/>
  <c r="AA8" i="38"/>
  <c r="AB8" i="38"/>
  <c r="AK8" i="38"/>
  <c r="AL8" i="38"/>
  <c r="AE7" i="38"/>
  <c r="AE8" i="38" s="1"/>
  <c r="AE9" i="38" s="1"/>
  <c r="AY7" i="38"/>
  <c r="AN6" i="38"/>
  <c r="D6" i="6" s="1"/>
  <c r="AN7" i="38"/>
  <c r="D7" i="6" s="1"/>
  <c r="R6" i="48"/>
  <c r="AV7" i="38"/>
  <c r="AU7" i="38"/>
  <c r="I11" i="48"/>
  <c r="H11" i="48"/>
  <c r="L11" i="48"/>
  <c r="AT11" i="38"/>
  <c r="E10" i="48"/>
  <c r="F11" i="48"/>
  <c r="D11" i="48"/>
  <c r="X11" i="48"/>
  <c r="B10" i="7"/>
  <c r="D10" i="7"/>
  <c r="AO11" i="38"/>
  <c r="AJ10" i="38"/>
  <c r="AL10" i="38"/>
  <c r="AK10" i="38"/>
  <c r="AB10" i="38"/>
  <c r="AA10" i="38"/>
  <c r="AV10" i="38" s="1"/>
  <c r="M9" i="48"/>
  <c r="AM12" i="38"/>
  <c r="AS12" i="38"/>
  <c r="A13" i="38"/>
  <c r="D12" i="38"/>
  <c r="B12" i="38"/>
  <c r="A11" i="7"/>
  <c r="AV9" i="38"/>
  <c r="Y11" i="38"/>
  <c r="Z11" i="38"/>
  <c r="AY11" i="38" s="1"/>
  <c r="C12" i="38"/>
  <c r="C11" i="7"/>
  <c r="C13" i="38"/>
  <c r="DJ11" i="7"/>
  <c r="AX12" i="38"/>
  <c r="AN9" i="38" l="1"/>
  <c r="D9" i="6" s="1"/>
  <c r="AN8" i="38"/>
  <c r="D5" i="6" s="1"/>
  <c r="AN10" i="38"/>
  <c r="D10" i="6" s="1"/>
  <c r="AU8" i="38"/>
  <c r="AN11" i="38"/>
  <c r="D11" i="6" s="1"/>
  <c r="AV8" i="38"/>
  <c r="E8" i="38" s="1"/>
  <c r="C7" i="48" s="1"/>
  <c r="AY8" i="38"/>
  <c r="AZ11" i="38" s="1"/>
  <c r="T7" i="48"/>
  <c r="U7" i="48"/>
  <c r="P7" i="48"/>
  <c r="O7" i="48"/>
  <c r="S7" i="48"/>
  <c r="C4" i="23"/>
  <c r="B4" i="23" s="1"/>
  <c r="E7" i="38"/>
  <c r="C6" i="48" s="1"/>
  <c r="AZ7" i="38"/>
  <c r="AE10" i="38"/>
  <c r="AT12" i="38"/>
  <c r="E11" i="48"/>
  <c r="B11" i="7"/>
  <c r="D11" i="7"/>
  <c r="AO12" i="38"/>
  <c r="B13" i="38"/>
  <c r="AS13" i="38"/>
  <c r="D13" i="38"/>
  <c r="AM13" i="38"/>
  <c r="A12" i="7"/>
  <c r="A14" i="38"/>
  <c r="F13" i="48" s="1"/>
  <c r="F12" i="48"/>
  <c r="Q12" i="48"/>
  <c r="I12" i="48"/>
  <c r="L12" i="48"/>
  <c r="H12" i="48"/>
  <c r="J12" i="48"/>
  <c r="D12" i="48"/>
  <c r="G12" i="48"/>
  <c r="R12" i="48"/>
  <c r="X12" i="48"/>
  <c r="Z12" i="38"/>
  <c r="Y12" i="38"/>
  <c r="J12" i="38" s="1"/>
  <c r="S9" i="48"/>
  <c r="O9" i="48"/>
  <c r="T9" i="48"/>
  <c r="U9" i="48"/>
  <c r="P9" i="48"/>
  <c r="E10" i="38"/>
  <c r="C9" i="48" s="1"/>
  <c r="C7" i="23"/>
  <c r="B7" i="23" s="1"/>
  <c r="E9" i="38"/>
  <c r="C8" i="48" s="1"/>
  <c r="C6" i="23"/>
  <c r="B6" i="23" s="1"/>
  <c r="M6" i="48"/>
  <c r="AL11" i="38"/>
  <c r="AA11" i="38"/>
  <c r="AB11" i="38"/>
  <c r="AJ11" i="38"/>
  <c r="AK11" i="38"/>
  <c r="C12" i="7"/>
  <c r="DJ12" i="7"/>
  <c r="AX13" i="38"/>
  <c r="R12" i="38" l="1"/>
  <c r="G11" i="48"/>
  <c r="D8" i="6"/>
  <c r="AZ8" i="38"/>
  <c r="AZ9" i="38"/>
  <c r="AZ10" i="38"/>
  <c r="AE11" i="38"/>
  <c r="AT13" i="38"/>
  <c r="L13" i="48"/>
  <c r="R13" i="48"/>
  <c r="D13" i="48"/>
  <c r="E13" i="48" s="1"/>
  <c r="J13" i="48"/>
  <c r="E12" i="48"/>
  <c r="H13" i="48"/>
  <c r="G13" i="48"/>
  <c r="Q13" i="48"/>
  <c r="N7" i="48"/>
  <c r="N11" i="48"/>
  <c r="T6" i="48"/>
  <c r="S6" i="48"/>
  <c r="P6" i="48"/>
  <c r="U6" i="48"/>
  <c r="O6" i="48"/>
  <c r="B6" i="6"/>
  <c r="B7" i="6" s="1"/>
  <c r="B8" i="6" s="1"/>
  <c r="B9" i="6" s="1"/>
  <c r="AV11" i="38"/>
  <c r="A13" i="7"/>
  <c r="B14" i="38"/>
  <c r="AS14" i="38"/>
  <c r="D14" i="38"/>
  <c r="AM14" i="38"/>
  <c r="A15" i="38"/>
  <c r="B12" i="7"/>
  <c r="D12" i="7"/>
  <c r="Z13" i="38"/>
  <c r="N12" i="48" s="1"/>
  <c r="Y13" i="38"/>
  <c r="X13" i="48"/>
  <c r="AO13" i="38"/>
  <c r="I13" i="48"/>
  <c r="C13" i="7"/>
  <c r="C14" i="38"/>
  <c r="DJ13" i="7"/>
  <c r="AX14" i="38"/>
  <c r="T12" i="38" l="1"/>
  <c r="U12" i="38" s="1"/>
  <c r="AD12" i="38" s="1"/>
  <c r="AT14" i="38"/>
  <c r="A14" i="7"/>
  <c r="B15" i="38"/>
  <c r="AS15" i="38"/>
  <c r="D15" i="38"/>
  <c r="AM15" i="38"/>
  <c r="A16" i="38"/>
  <c r="H15" i="48" s="1"/>
  <c r="J14" i="48"/>
  <c r="R14" i="48"/>
  <c r="X14" i="48"/>
  <c r="L14" i="48"/>
  <c r="F14" i="48"/>
  <c r="G14" i="48"/>
  <c r="H14" i="48"/>
  <c r="I14" i="48"/>
  <c r="Q14" i="48"/>
  <c r="Z14" i="38"/>
  <c r="Y14" i="38"/>
  <c r="W6" i="48"/>
  <c r="W7" i="48" s="1"/>
  <c r="AO14" i="38"/>
  <c r="M8" i="48"/>
  <c r="AJ13" i="38"/>
  <c r="AB13" i="38"/>
  <c r="AA13" i="38"/>
  <c r="AL13" i="38"/>
  <c r="AK13" i="38"/>
  <c r="B13" i="7"/>
  <c r="D13" i="7"/>
  <c r="C5" i="23"/>
  <c r="B5" i="23" s="1"/>
  <c r="E11" i="38"/>
  <c r="C10" i="48" s="1"/>
  <c r="C8" i="23"/>
  <c r="B8" i="23" s="1"/>
  <c r="C15" i="38"/>
  <c r="C14" i="7"/>
  <c r="AX15" i="38"/>
  <c r="DJ14" i="7"/>
  <c r="V12" i="38" l="1"/>
  <c r="R11" i="48"/>
  <c r="AN15" i="38"/>
  <c r="D15" i="6" s="1"/>
  <c r="AN17" i="38"/>
  <c r="D17" i="6" s="1"/>
  <c r="AN18" i="38"/>
  <c r="D18" i="6" s="1"/>
  <c r="AN14" i="38"/>
  <c r="D14" i="6" s="1"/>
  <c r="AN13" i="38"/>
  <c r="D13" i="6" s="1"/>
  <c r="AN12" i="38"/>
  <c r="D12" i="6" s="1"/>
  <c r="AN19" i="38"/>
  <c r="D19" i="6" s="1"/>
  <c r="AN16" i="38"/>
  <c r="D16" i="6" s="1"/>
  <c r="J15" i="48"/>
  <c r="R15" i="48"/>
  <c r="Q15" i="48"/>
  <c r="L15" i="48"/>
  <c r="F15" i="48"/>
  <c r="I15" i="48"/>
  <c r="D15" i="48"/>
  <c r="X15" i="48"/>
  <c r="G15" i="48"/>
  <c r="A15" i="7"/>
  <c r="AS16" i="38"/>
  <c r="B16" i="38"/>
  <c r="D16" i="38"/>
  <c r="AM16" i="38"/>
  <c r="A17" i="38"/>
  <c r="Z15" i="38"/>
  <c r="Y15" i="38"/>
  <c r="AY13" i="38"/>
  <c r="AV13" i="38"/>
  <c r="E13" i="38" s="1"/>
  <c r="C12" i="48" s="1"/>
  <c r="AO15" i="38"/>
  <c r="O8" i="48"/>
  <c r="U8" i="48"/>
  <c r="S8" i="48"/>
  <c r="T8" i="48"/>
  <c r="P8" i="48"/>
  <c r="AT15" i="38"/>
  <c r="AB14" i="38"/>
  <c r="AL14" i="38"/>
  <c r="AK14" i="38"/>
  <c r="AJ14" i="38"/>
  <c r="AA14" i="38"/>
  <c r="M13" i="48"/>
  <c r="AY14" i="38"/>
  <c r="N13" i="48"/>
  <c r="B14" i="7"/>
  <c r="D14" i="7"/>
  <c r="C15" i="7"/>
  <c r="C16" i="38"/>
  <c r="DJ15" i="7"/>
  <c r="AX16" i="38"/>
  <c r="AU12" i="38" l="1"/>
  <c r="AI12" i="38"/>
  <c r="E11" i="7"/>
  <c r="F11" i="7" s="1"/>
  <c r="J11" i="48"/>
  <c r="AK12" i="38"/>
  <c r="AJ12" i="38"/>
  <c r="AA12" i="38"/>
  <c r="AB12" i="38"/>
  <c r="AL12" i="38"/>
  <c r="E15" i="48"/>
  <c r="AO16" i="38"/>
  <c r="AT16" i="38"/>
  <c r="B15" i="7"/>
  <c r="D15" i="7"/>
  <c r="A16" i="7"/>
  <c r="B17" i="38"/>
  <c r="AS17" i="38"/>
  <c r="D17" i="38"/>
  <c r="AM17" i="38"/>
  <c r="A18" i="38"/>
  <c r="T13" i="48"/>
  <c r="O13" i="48"/>
  <c r="S13" i="48"/>
  <c r="U13" i="48"/>
  <c r="P13" i="48"/>
  <c r="AV14" i="38"/>
  <c r="E14" i="38" s="1"/>
  <c r="C13" i="48" s="1"/>
  <c r="AJ15" i="38"/>
  <c r="AK15" i="38"/>
  <c r="AL15" i="38"/>
  <c r="AB15" i="38"/>
  <c r="AA15" i="38"/>
  <c r="AV15" i="38" s="1"/>
  <c r="E15" i="38" s="1"/>
  <c r="Z16" i="38"/>
  <c r="AY16" i="38" s="1"/>
  <c r="Y16" i="38"/>
  <c r="W8" i="48"/>
  <c r="W9" i="48" s="1"/>
  <c r="C17" i="38"/>
  <c r="C16" i="7"/>
  <c r="AX17" i="38"/>
  <c r="DJ16" i="7"/>
  <c r="AV12" i="38" l="1"/>
  <c r="E12" i="38" s="1"/>
  <c r="C11" i="48" s="1"/>
  <c r="AY12" i="38"/>
  <c r="AE12" i="38"/>
  <c r="AE13" i="38" s="1"/>
  <c r="AE14" i="38" s="1"/>
  <c r="AE15" i="38" s="1"/>
  <c r="AY15" i="38"/>
  <c r="AO17" i="38"/>
  <c r="A19" i="38"/>
  <c r="A17" i="7"/>
  <c r="AS18" i="38"/>
  <c r="B18" i="38"/>
  <c r="D18" i="38"/>
  <c r="AM18" i="38"/>
  <c r="Z17" i="38"/>
  <c r="AY17" i="38" s="1"/>
  <c r="Y17" i="38"/>
  <c r="AT17" i="38"/>
  <c r="D16" i="7"/>
  <c r="B16" i="7"/>
  <c r="AL16" i="38"/>
  <c r="AJ16" i="38"/>
  <c r="AK16" i="38"/>
  <c r="AB16" i="38"/>
  <c r="AA16" i="38"/>
  <c r="AV16" i="38" s="1"/>
  <c r="E16" i="38" s="1"/>
  <c r="C19" i="38"/>
  <c r="C18" i="38"/>
  <c r="C17" i="7"/>
  <c r="DJ17" i="7"/>
  <c r="AX18" i="38"/>
  <c r="AZ15" i="38" l="1"/>
  <c r="AZ12" i="38"/>
  <c r="AZ14" i="38"/>
  <c r="AZ13" i="38"/>
  <c r="AZ17" i="38"/>
  <c r="AZ16" i="38"/>
  <c r="AO18" i="38"/>
  <c r="AE16" i="38"/>
  <c r="D19" i="38"/>
  <c r="B19" i="38"/>
  <c r="A20" i="38"/>
  <c r="AS19" i="38"/>
  <c r="AM19" i="38"/>
  <c r="A18" i="7"/>
  <c r="D17" i="7"/>
  <c r="B17" i="7"/>
  <c r="AL17" i="38"/>
  <c r="AK17" i="38"/>
  <c r="AJ17" i="38"/>
  <c r="AB17" i="38"/>
  <c r="AA17" i="38"/>
  <c r="AV17" i="38" s="1"/>
  <c r="E17" i="38" s="1"/>
  <c r="Z18" i="38"/>
  <c r="AY18" i="38" s="1"/>
  <c r="AZ18" i="38" s="1"/>
  <c r="Y18" i="38"/>
  <c r="AT18" i="38"/>
  <c r="C20" i="38"/>
  <c r="C18" i="7"/>
  <c r="AX19" i="38"/>
  <c r="DJ18" i="7"/>
  <c r="AO19" i="38" l="1"/>
  <c r="AE17" i="38"/>
  <c r="AT19" i="38"/>
  <c r="D18" i="7"/>
  <c r="B18" i="7"/>
  <c r="AM20" i="38"/>
  <c r="B20" i="38"/>
  <c r="AS20" i="38"/>
  <c r="D20" i="38"/>
  <c r="A19" i="7"/>
  <c r="A21" i="38"/>
  <c r="Z19" i="38"/>
  <c r="Y19" i="38"/>
  <c r="AK18" i="38"/>
  <c r="AL18" i="38"/>
  <c r="AJ18" i="38"/>
  <c r="AB18" i="38"/>
  <c r="AA18" i="38"/>
  <c r="AV18" i="38" s="1"/>
  <c r="E18" i="38" s="1"/>
  <c r="C19" i="7"/>
  <c r="AX20" i="38"/>
  <c r="DJ19" i="7"/>
  <c r="AO20" i="38" l="1"/>
  <c r="AE18" i="38"/>
  <c r="AT20" i="38"/>
  <c r="AJ19" i="38"/>
  <c r="AL19" i="38"/>
  <c r="AK19" i="38"/>
  <c r="AB19" i="38"/>
  <c r="AA19" i="38"/>
  <c r="AV19" i="38" s="1"/>
  <c r="E19" i="38" s="1"/>
  <c r="A20" i="7"/>
  <c r="B21" i="38"/>
  <c r="AS21" i="38"/>
  <c r="D21" i="38"/>
  <c r="AM21" i="38"/>
  <c r="A22" i="38"/>
  <c r="Z20" i="38"/>
  <c r="Y20" i="38"/>
  <c r="J20" i="38" s="1"/>
  <c r="R20" i="38" s="1"/>
  <c r="N9" i="48"/>
  <c r="AY19" i="38"/>
  <c r="AZ19" i="38" s="1"/>
  <c r="D19" i="7"/>
  <c r="B19" i="7"/>
  <c r="C21" i="38"/>
  <c r="C20" i="7"/>
  <c r="AX21" i="38"/>
  <c r="DJ20" i="7"/>
  <c r="AO21" i="38" l="1"/>
  <c r="T20" i="38"/>
  <c r="U20" i="38" s="1"/>
  <c r="AD20" i="38" s="1"/>
  <c r="AE19" i="38"/>
  <c r="A21" i="7"/>
  <c r="B22" i="38"/>
  <c r="AS22" i="38"/>
  <c r="D22" i="38"/>
  <c r="AM22" i="38"/>
  <c r="A23" i="38"/>
  <c r="N10" i="48"/>
  <c r="M10" i="48"/>
  <c r="D20" i="7"/>
  <c r="B20" i="7"/>
  <c r="Z21" i="38"/>
  <c r="Y21" i="38"/>
  <c r="J21" i="38" s="1"/>
  <c r="R21" i="38" s="1"/>
  <c r="AT21" i="38"/>
  <c r="C22" i="38"/>
  <c r="C21" i="7"/>
  <c r="AX22" i="38"/>
  <c r="DJ21" i="7"/>
  <c r="V20" i="38" l="1"/>
  <c r="AI20" i="38" s="1"/>
  <c r="AO22" i="38"/>
  <c r="T21" i="38"/>
  <c r="U21" i="38" s="1"/>
  <c r="AD21" i="38" s="1"/>
  <c r="AN20" i="38"/>
  <c r="D20" i="6" s="1"/>
  <c r="O10" i="48"/>
  <c r="W10" i="48" s="1"/>
  <c r="P10" i="48"/>
  <c r="AE20" i="38"/>
  <c r="A22" i="7"/>
  <c r="B23" i="38"/>
  <c r="AS23" i="38"/>
  <c r="D23" i="38"/>
  <c r="AM23" i="38"/>
  <c r="A24" i="38"/>
  <c r="S10" i="48"/>
  <c r="T10" i="48"/>
  <c r="U10" i="48"/>
  <c r="Z22" i="38"/>
  <c r="Y22" i="38"/>
  <c r="J22" i="38" s="1"/>
  <c r="R22" i="38" s="1"/>
  <c r="B10" i="6"/>
  <c r="B11" i="6" s="1"/>
  <c r="B12" i="6" s="1"/>
  <c r="B13" i="6" s="1"/>
  <c r="B14" i="6" s="1"/>
  <c r="B15" i="6" s="1"/>
  <c r="B16" i="6" s="1"/>
  <c r="B17" i="6" s="1"/>
  <c r="B18" i="6" s="1"/>
  <c r="B19" i="6" s="1"/>
  <c r="AT22" i="38"/>
  <c r="D21" i="7"/>
  <c r="B21" i="7"/>
  <c r="C22" i="7"/>
  <c r="C23" i="38"/>
  <c r="DJ22" i="7"/>
  <c r="AX23" i="38"/>
  <c r="AB20" i="38" l="1"/>
  <c r="AJ20" i="38"/>
  <c r="E19" i="7"/>
  <c r="F19" i="7" s="1"/>
  <c r="AU20" i="38"/>
  <c r="AK20" i="38"/>
  <c r="AL20" i="38"/>
  <c r="AA20" i="38"/>
  <c r="AO23" i="38"/>
  <c r="V21" i="38"/>
  <c r="E20" i="7" s="1"/>
  <c r="F20" i="7" s="1"/>
  <c r="AN21" i="38"/>
  <c r="D21" i="6" s="1"/>
  <c r="T22" i="38"/>
  <c r="U22" i="38" s="1"/>
  <c r="AD22" i="38" s="1"/>
  <c r="A23" i="7"/>
  <c r="AS24" i="38"/>
  <c r="B24" i="38"/>
  <c r="D24" i="38"/>
  <c r="AM24" i="38"/>
  <c r="A25" i="38"/>
  <c r="AT23" i="38"/>
  <c r="D22" i="7"/>
  <c r="B22" i="7"/>
  <c r="Z23" i="38"/>
  <c r="Y23" i="38"/>
  <c r="J23" i="38" s="1"/>
  <c r="R23" i="38" s="1"/>
  <c r="C23" i="7"/>
  <c r="C24" i="38"/>
  <c r="DJ23" i="7"/>
  <c r="AX24" i="38"/>
  <c r="AU21" i="38" l="1"/>
  <c r="AI21" i="38"/>
  <c r="AY20" i="38"/>
  <c r="AZ20" i="38" s="1"/>
  <c r="AV20" i="38"/>
  <c r="E20" i="38" s="1"/>
  <c r="B20" i="6"/>
  <c r="AO24" i="38"/>
  <c r="AJ21" i="38"/>
  <c r="AL21" i="38"/>
  <c r="AB21" i="38"/>
  <c r="AA21" i="38"/>
  <c r="AK21" i="38"/>
  <c r="V22" i="38"/>
  <c r="AN22" i="38"/>
  <c r="D22" i="6" s="1"/>
  <c r="T23" i="38"/>
  <c r="U23" i="38" s="1"/>
  <c r="V23" i="38" s="1"/>
  <c r="Z24" i="38"/>
  <c r="AY24" i="38" s="1"/>
  <c r="Y24" i="38"/>
  <c r="A26" i="38"/>
  <c r="A24" i="7"/>
  <c r="B25" i="38"/>
  <c r="AS25" i="38"/>
  <c r="AM25" i="38"/>
  <c r="D25" i="38"/>
  <c r="AT24" i="38"/>
  <c r="B23" i="7"/>
  <c r="D23" i="7"/>
  <c r="C24" i="7"/>
  <c r="C25" i="38"/>
  <c r="C26" i="38"/>
  <c r="AX25" i="38"/>
  <c r="DJ24" i="7"/>
  <c r="AO25" i="38" l="1"/>
  <c r="AY21" i="38"/>
  <c r="AZ21" i="38" s="1"/>
  <c r="B21" i="6"/>
  <c r="AE21" i="38"/>
  <c r="AV21" i="38"/>
  <c r="E21" i="38" s="1"/>
  <c r="AI23" i="38"/>
  <c r="E22" i="7"/>
  <c r="F22" i="7" s="1"/>
  <c r="AJ23" i="38"/>
  <c r="AK23" i="38"/>
  <c r="AA23" i="38"/>
  <c r="AB23" i="38"/>
  <c r="AL23" i="38"/>
  <c r="AD23" i="38"/>
  <c r="AI22" i="38"/>
  <c r="AU22" i="38"/>
  <c r="E21" i="7"/>
  <c r="F21" i="7" s="1"/>
  <c r="AJ22" i="38"/>
  <c r="AA22" i="38"/>
  <c r="AL22" i="38"/>
  <c r="AB22" i="38"/>
  <c r="AK22" i="38"/>
  <c r="Z25" i="38"/>
  <c r="AY25" i="38" s="1"/>
  <c r="Y25" i="38"/>
  <c r="B26" i="38"/>
  <c r="AM26" i="38"/>
  <c r="A27" i="38"/>
  <c r="D26" i="38"/>
  <c r="AS26" i="38"/>
  <c r="A25" i="7"/>
  <c r="AL24" i="38"/>
  <c r="AK24" i="38"/>
  <c r="AB24" i="38"/>
  <c r="AJ24" i="38"/>
  <c r="AA24" i="38"/>
  <c r="AV24" i="38" s="1"/>
  <c r="E24" i="38" s="1"/>
  <c r="AT25" i="38"/>
  <c r="B24" i="7"/>
  <c r="D24" i="7"/>
  <c r="C25" i="7"/>
  <c r="C27" i="38"/>
  <c r="AX26" i="38"/>
  <c r="DJ25" i="7"/>
  <c r="AO26" i="38" l="1"/>
  <c r="AV22" i="38"/>
  <c r="E22" i="38" s="1"/>
  <c r="AE22" i="38"/>
  <c r="AE23" i="38" s="1"/>
  <c r="AY22" i="38"/>
  <c r="AZ22" i="38" s="1"/>
  <c r="B22" i="6"/>
  <c r="B23" i="6" s="1"/>
  <c r="B24" i="6" s="1"/>
  <c r="AN23" i="38"/>
  <c r="D23" i="6" s="1"/>
  <c r="AN26" i="38"/>
  <c r="D26" i="6" s="1"/>
  <c r="AN24" i="38"/>
  <c r="D24" i="6" s="1"/>
  <c r="AN25" i="38"/>
  <c r="D25" i="6" s="1"/>
  <c r="AV23" i="38"/>
  <c r="E23" i="38" s="1"/>
  <c r="AY23" i="38"/>
  <c r="AU23" i="38"/>
  <c r="AE24" i="38"/>
  <c r="AT26" i="38"/>
  <c r="Z26" i="38"/>
  <c r="AY26" i="38" s="1"/>
  <c r="Y26" i="38"/>
  <c r="D25" i="7"/>
  <c r="B25" i="7"/>
  <c r="AS27" i="38"/>
  <c r="AM27" i="38"/>
  <c r="D27" i="38"/>
  <c r="B27" i="38"/>
  <c r="A26" i="7"/>
  <c r="A28" i="38"/>
  <c r="AB25" i="38"/>
  <c r="AK25" i="38"/>
  <c r="AL25" i="38"/>
  <c r="AJ25" i="38"/>
  <c r="AA25" i="38"/>
  <c r="AV25" i="38" s="1"/>
  <c r="E25" i="38" s="1"/>
  <c r="C26" i="7"/>
  <c r="DJ26" i="7"/>
  <c r="AX27" i="38"/>
  <c r="AZ24" i="38" l="1"/>
  <c r="AO27" i="38"/>
  <c r="AZ23" i="38"/>
  <c r="AZ25" i="38"/>
  <c r="AZ26" i="38"/>
  <c r="AE25" i="38"/>
  <c r="B25" i="6"/>
  <c r="Z27" i="38"/>
  <c r="Y27" i="38"/>
  <c r="A27" i="7"/>
  <c r="B28" i="38"/>
  <c r="AS28" i="38"/>
  <c r="D28" i="38"/>
  <c r="AM28" i="38"/>
  <c r="A29" i="38"/>
  <c r="M11" i="48"/>
  <c r="AB26" i="38"/>
  <c r="AA26" i="38"/>
  <c r="AV26" i="38" s="1"/>
  <c r="AL26" i="38"/>
  <c r="AK26" i="38"/>
  <c r="AJ26" i="38"/>
  <c r="D26" i="7"/>
  <c r="B26" i="7"/>
  <c r="AT27" i="38"/>
  <c r="C27" i="7"/>
  <c r="C28" i="38"/>
  <c r="AX28" i="38"/>
  <c r="DJ27" i="7"/>
  <c r="AO28" i="38" l="1"/>
  <c r="M27" i="38"/>
  <c r="R27" i="38" s="1"/>
  <c r="T27" i="38" s="1"/>
  <c r="U27" i="38" s="1"/>
  <c r="AD27" i="38" s="1"/>
  <c r="AE26" i="38"/>
  <c r="A28" i="7"/>
  <c r="AS29" i="38"/>
  <c r="B29" i="38"/>
  <c r="D29" i="38"/>
  <c r="AM29" i="38"/>
  <c r="A30" i="38"/>
  <c r="AT28" i="38"/>
  <c r="O11" i="48"/>
  <c r="T11" i="48"/>
  <c r="P11" i="48"/>
  <c r="U11" i="48"/>
  <c r="S11" i="48"/>
  <c r="D27" i="7"/>
  <c r="B27" i="7"/>
  <c r="C9" i="23"/>
  <c r="B9" i="23" s="1"/>
  <c r="E26" i="38"/>
  <c r="B26" i="6"/>
  <c r="M12" i="48"/>
  <c r="Z28" i="38"/>
  <c r="Y28" i="38"/>
  <c r="C28" i="7"/>
  <c r="C29" i="38"/>
  <c r="AX29" i="38"/>
  <c r="DJ28" i="7"/>
  <c r="AO29" i="38" l="1"/>
  <c r="M28" i="38"/>
  <c r="R28" i="38" s="1"/>
  <c r="T28" i="38" s="1"/>
  <c r="U28" i="38" s="1"/>
  <c r="AD28" i="38" s="1"/>
  <c r="V27" i="38"/>
  <c r="AU27" i="38" s="1"/>
  <c r="AN27" i="38"/>
  <c r="D27" i="6" s="1"/>
  <c r="W11" i="48"/>
  <c r="Z29" i="38"/>
  <c r="Y29" i="38"/>
  <c r="C10" i="23"/>
  <c r="B10" i="23" s="1"/>
  <c r="P12" i="48"/>
  <c r="S12" i="48"/>
  <c r="O12" i="48"/>
  <c r="U12" i="48"/>
  <c r="T12" i="48"/>
  <c r="AT29" i="38"/>
  <c r="A29" i="7"/>
  <c r="AS30" i="38"/>
  <c r="B30" i="38"/>
  <c r="D30" i="38"/>
  <c r="AM30" i="38"/>
  <c r="A31" i="38"/>
  <c r="B28" i="7"/>
  <c r="D28" i="7"/>
  <c r="C29" i="7"/>
  <c r="C30" i="38"/>
  <c r="DJ29" i="7"/>
  <c r="AX30" i="38"/>
  <c r="AO30" i="38" l="1"/>
  <c r="AK27" i="38"/>
  <c r="AL27" i="38"/>
  <c r="E26" i="7"/>
  <c r="F26" i="7" s="1"/>
  <c r="AI27" i="38"/>
  <c r="V28" i="38"/>
  <c r="AN68" i="38"/>
  <c r="D68" i="6" s="1"/>
  <c r="AN304" i="38"/>
  <c r="D304" i="6" s="1"/>
  <c r="AN189" i="38"/>
  <c r="D189" i="6" s="1"/>
  <c r="AN239" i="38"/>
  <c r="D239" i="6" s="1"/>
  <c r="AN51" i="38"/>
  <c r="D51" i="6" s="1"/>
  <c r="AN186" i="38"/>
  <c r="D186" i="6" s="1"/>
  <c r="AN343" i="38"/>
  <c r="D343" i="6" s="1"/>
  <c r="AN150" i="38"/>
  <c r="D150" i="6" s="1"/>
  <c r="AN37" i="38"/>
  <c r="D37" i="6" s="1"/>
  <c r="AN140" i="38"/>
  <c r="D140" i="6" s="1"/>
  <c r="AN32" i="38"/>
  <c r="D32" i="6" s="1"/>
  <c r="AN77" i="38"/>
  <c r="D77" i="6" s="1"/>
  <c r="AN322" i="38"/>
  <c r="D322" i="6" s="1"/>
  <c r="AN311" i="38"/>
  <c r="D311" i="6" s="1"/>
  <c r="AN155" i="38"/>
  <c r="D155" i="6" s="1"/>
  <c r="AN305" i="38"/>
  <c r="D305" i="6" s="1"/>
  <c r="AN233" i="38"/>
  <c r="D233" i="6" s="1"/>
  <c r="AN288" i="38"/>
  <c r="D288" i="6" s="1"/>
  <c r="AN298" i="38"/>
  <c r="D298" i="6" s="1"/>
  <c r="AN42" i="38"/>
  <c r="D42" i="6" s="1"/>
  <c r="AN215" i="38"/>
  <c r="D215" i="6" s="1"/>
  <c r="AN187" i="38"/>
  <c r="D187" i="6" s="1"/>
  <c r="AN240" i="38"/>
  <c r="D240" i="6" s="1"/>
  <c r="AN78" i="38"/>
  <c r="D78" i="6" s="1"/>
  <c r="AN211" i="38"/>
  <c r="D211" i="6" s="1"/>
  <c r="AN290" i="38"/>
  <c r="D290" i="6" s="1"/>
  <c r="AN83" i="38"/>
  <c r="D83" i="6" s="1"/>
  <c r="AN43" i="38"/>
  <c r="D43" i="6" s="1"/>
  <c r="AN161" i="38"/>
  <c r="D161" i="6" s="1"/>
  <c r="AN244" i="38"/>
  <c r="D244" i="6" s="1"/>
  <c r="AN142" i="38"/>
  <c r="D142" i="6" s="1"/>
  <c r="AN349" i="38"/>
  <c r="D349" i="6" s="1"/>
  <c r="AN274" i="38"/>
  <c r="D274" i="6" s="1"/>
  <c r="AN86" i="38"/>
  <c r="D86" i="6" s="1"/>
  <c r="AN45" i="38"/>
  <c r="D45" i="6" s="1"/>
  <c r="AN79" i="38"/>
  <c r="D79" i="6" s="1"/>
  <c r="AN87" i="38"/>
  <c r="D87" i="6" s="1"/>
  <c r="AN108" i="38"/>
  <c r="D108" i="6" s="1"/>
  <c r="AN236" i="38"/>
  <c r="D236" i="6" s="1"/>
  <c r="AN216" i="38"/>
  <c r="D216" i="6" s="1"/>
  <c r="AN85" i="38"/>
  <c r="D85" i="6" s="1"/>
  <c r="AN90" i="38"/>
  <c r="D90" i="6" s="1"/>
  <c r="AN107" i="38"/>
  <c r="D107" i="6" s="1"/>
  <c r="AN287" i="38"/>
  <c r="D287" i="6" s="1"/>
  <c r="AN190" i="38"/>
  <c r="D190" i="6" s="1"/>
  <c r="AN337" i="38"/>
  <c r="D337" i="6" s="1"/>
  <c r="AN324" i="38"/>
  <c r="D324" i="6" s="1"/>
  <c r="AN282" i="38"/>
  <c r="D282" i="6" s="1"/>
  <c r="AN124" i="38"/>
  <c r="D124" i="6" s="1"/>
  <c r="AN241" i="38"/>
  <c r="D241" i="6" s="1"/>
  <c r="AN251" i="38"/>
  <c r="D251" i="6" s="1"/>
  <c r="AN58" i="38"/>
  <c r="D58" i="6" s="1"/>
  <c r="AN220" i="38"/>
  <c r="D220" i="6" s="1"/>
  <c r="AN163" i="38"/>
  <c r="D163" i="6" s="1"/>
  <c r="AN329" i="38"/>
  <c r="D329" i="6" s="1"/>
  <c r="AN200" i="38"/>
  <c r="D200" i="6" s="1"/>
  <c r="AN95" i="38"/>
  <c r="D95" i="6" s="1"/>
  <c r="AN303" i="38"/>
  <c r="D303" i="6" s="1"/>
  <c r="AN130" i="38"/>
  <c r="D130" i="6" s="1"/>
  <c r="AN182" i="38"/>
  <c r="D182" i="6" s="1"/>
  <c r="AN323" i="38"/>
  <c r="D323" i="6" s="1"/>
  <c r="AN249" i="38"/>
  <c r="D249" i="6" s="1"/>
  <c r="AN301" i="38"/>
  <c r="D301" i="6" s="1"/>
  <c r="AN346" i="38"/>
  <c r="D346" i="6" s="1"/>
  <c r="AN120" i="38"/>
  <c r="D120" i="6" s="1"/>
  <c r="AN243" i="38"/>
  <c r="D243" i="6" s="1"/>
  <c r="AN134" i="38"/>
  <c r="D134" i="6" s="1"/>
  <c r="AN72" i="38"/>
  <c r="D72" i="6" s="1"/>
  <c r="AN180" i="38"/>
  <c r="D180" i="6" s="1"/>
  <c r="AN111" i="38"/>
  <c r="D111" i="6" s="1"/>
  <c r="AN156" i="38"/>
  <c r="D156" i="6" s="1"/>
  <c r="AN52" i="38"/>
  <c r="D52" i="6" s="1"/>
  <c r="AN227" i="38"/>
  <c r="D227" i="6" s="1"/>
  <c r="AN306" i="38"/>
  <c r="D306" i="6" s="1"/>
  <c r="AN221" i="38"/>
  <c r="D221" i="6" s="1"/>
  <c r="AN333" i="38"/>
  <c r="D333" i="6" s="1"/>
  <c r="AN60" i="38"/>
  <c r="D60" i="6" s="1"/>
  <c r="AN31" i="38"/>
  <c r="D31" i="6" s="1"/>
  <c r="AN197" i="38"/>
  <c r="D197" i="6" s="1"/>
  <c r="AN118" i="38"/>
  <c r="D118" i="6" s="1"/>
  <c r="AN36" i="38"/>
  <c r="D36" i="6" s="1"/>
  <c r="AN178" i="38"/>
  <c r="D178" i="6" s="1"/>
  <c r="AN292" i="38"/>
  <c r="D292" i="6" s="1"/>
  <c r="AN248" i="38"/>
  <c r="D248" i="6" s="1"/>
  <c r="AN281" i="38"/>
  <c r="D281" i="6" s="1"/>
  <c r="AN29" i="38"/>
  <c r="D29" i="6" s="1"/>
  <c r="AN103" i="38"/>
  <c r="D103" i="6" s="1"/>
  <c r="AN149" i="38"/>
  <c r="D149" i="6" s="1"/>
  <c r="AN70" i="38"/>
  <c r="D70" i="6" s="1"/>
  <c r="AN327" i="38"/>
  <c r="D327" i="6" s="1"/>
  <c r="AN300" i="38"/>
  <c r="D300" i="6" s="1"/>
  <c r="AN55" i="38"/>
  <c r="D55" i="6" s="1"/>
  <c r="AN185" i="38"/>
  <c r="D185" i="6" s="1"/>
  <c r="AN105" i="38"/>
  <c r="D105" i="6" s="1"/>
  <c r="AN259" i="38"/>
  <c r="D259" i="6" s="1"/>
  <c r="AN284" i="38"/>
  <c r="D284" i="6" s="1"/>
  <c r="AN209" i="38"/>
  <c r="D209" i="6" s="1"/>
  <c r="AN238" i="38"/>
  <c r="D238" i="6" s="1"/>
  <c r="AN321" i="38"/>
  <c r="D321" i="6" s="1"/>
  <c r="AN131" i="38"/>
  <c r="D131" i="6" s="1"/>
  <c r="AN137" i="38"/>
  <c r="D137" i="6" s="1"/>
  <c r="AN53" i="38"/>
  <c r="D53" i="6" s="1"/>
  <c r="AN326" i="38"/>
  <c r="D326" i="6" s="1"/>
  <c r="AN141" i="38"/>
  <c r="D141" i="6" s="1"/>
  <c r="AN192" i="38"/>
  <c r="D192" i="6" s="1"/>
  <c r="AN205" i="38"/>
  <c r="D205" i="6" s="1"/>
  <c r="AN59" i="38"/>
  <c r="D59" i="6" s="1"/>
  <c r="AN145" i="38"/>
  <c r="D145" i="6" s="1"/>
  <c r="AN138" i="38"/>
  <c r="D138" i="6" s="1"/>
  <c r="AN339" i="38"/>
  <c r="D339" i="6" s="1"/>
  <c r="AN62" i="38"/>
  <c r="D62" i="6" s="1"/>
  <c r="AN177" i="38"/>
  <c r="D177" i="6" s="1"/>
  <c r="AN121" i="38"/>
  <c r="D121" i="6" s="1"/>
  <c r="AN146" i="38"/>
  <c r="D146" i="6" s="1"/>
  <c r="AN119" i="38"/>
  <c r="D119" i="6" s="1"/>
  <c r="AN195" i="38"/>
  <c r="D195" i="6" s="1"/>
  <c r="AN132" i="38"/>
  <c r="D132" i="6" s="1"/>
  <c r="AN88" i="38"/>
  <c r="D88" i="6" s="1"/>
  <c r="AN313" i="38"/>
  <c r="D313" i="6" s="1"/>
  <c r="AN115" i="38"/>
  <c r="D115" i="6" s="1"/>
  <c r="AN206" i="38"/>
  <c r="D206" i="6" s="1"/>
  <c r="AN122" i="38"/>
  <c r="D122" i="6" s="1"/>
  <c r="AN262" i="38"/>
  <c r="D262" i="6" s="1"/>
  <c r="AN235" i="38"/>
  <c r="D235" i="6" s="1"/>
  <c r="AN75" i="38"/>
  <c r="D75" i="6" s="1"/>
  <c r="AN97" i="38"/>
  <c r="D97" i="6" s="1"/>
  <c r="AN117" i="38"/>
  <c r="D117" i="6" s="1"/>
  <c r="AN265" i="38"/>
  <c r="D265" i="6" s="1"/>
  <c r="AN256" i="38"/>
  <c r="D256" i="6" s="1"/>
  <c r="AN164" i="38"/>
  <c r="D164" i="6" s="1"/>
  <c r="AN152" i="38"/>
  <c r="D152" i="6" s="1"/>
  <c r="AN196" i="38"/>
  <c r="D196" i="6" s="1"/>
  <c r="AN320" i="38"/>
  <c r="D320" i="6" s="1"/>
  <c r="AN286" i="38"/>
  <c r="D286" i="6" s="1"/>
  <c r="AN50" i="38"/>
  <c r="D50" i="6" s="1"/>
  <c r="AN257" i="38"/>
  <c r="D257" i="6" s="1"/>
  <c r="AN183" i="38"/>
  <c r="D183" i="6" s="1"/>
  <c r="AN160" i="38"/>
  <c r="D160" i="6" s="1"/>
  <c r="AN167" i="38"/>
  <c r="D167" i="6" s="1"/>
  <c r="AN170" i="38"/>
  <c r="D170" i="6" s="1"/>
  <c r="AN204" i="38"/>
  <c r="D204" i="6" s="1"/>
  <c r="AN110" i="38"/>
  <c r="D110" i="6" s="1"/>
  <c r="AN154" i="38"/>
  <c r="D154" i="6" s="1"/>
  <c r="AN172" i="38"/>
  <c r="D172" i="6" s="1"/>
  <c r="AN253" i="38"/>
  <c r="D253" i="6" s="1"/>
  <c r="AN188" i="38"/>
  <c r="D188" i="6" s="1"/>
  <c r="AN139" i="38"/>
  <c r="D139" i="6" s="1"/>
  <c r="AN56" i="38"/>
  <c r="D56" i="6" s="1"/>
  <c r="AN47" i="38"/>
  <c r="D47" i="6" s="1"/>
  <c r="AN73" i="38"/>
  <c r="D73" i="6" s="1"/>
  <c r="AN267" i="38"/>
  <c r="D267" i="6" s="1"/>
  <c r="AN296" i="38"/>
  <c r="D296" i="6" s="1"/>
  <c r="AN264" i="38"/>
  <c r="D264" i="6" s="1"/>
  <c r="AN217" i="38"/>
  <c r="D217" i="6" s="1"/>
  <c r="AN234" i="38"/>
  <c r="D234" i="6" s="1"/>
  <c r="AN222" i="38"/>
  <c r="D222" i="6" s="1"/>
  <c r="AN67" i="38"/>
  <c r="D67" i="6" s="1"/>
  <c r="AN135" i="38"/>
  <c r="D135" i="6" s="1"/>
  <c r="AN332" i="38"/>
  <c r="D332" i="6" s="1"/>
  <c r="AN102" i="38"/>
  <c r="D102" i="6" s="1"/>
  <c r="AN28" i="38"/>
  <c r="D28" i="6" s="1"/>
  <c r="AN317" i="38"/>
  <c r="D317" i="6" s="1"/>
  <c r="AN203" i="38"/>
  <c r="D203" i="6" s="1"/>
  <c r="AN293" i="38"/>
  <c r="D293" i="6" s="1"/>
  <c r="AN258" i="38"/>
  <c r="D258" i="6" s="1"/>
  <c r="AN30" i="38"/>
  <c r="D30" i="6" s="1"/>
  <c r="AN263" i="38"/>
  <c r="D263" i="6" s="1"/>
  <c r="AN144" i="38"/>
  <c r="D144" i="6" s="1"/>
  <c r="AN194" i="38"/>
  <c r="D194" i="6" s="1"/>
  <c r="AN336" i="38"/>
  <c r="D336" i="6" s="1"/>
  <c r="AN153" i="38"/>
  <c r="D153" i="6" s="1"/>
  <c r="AN174" i="38"/>
  <c r="D174" i="6" s="1"/>
  <c r="AN294" i="38"/>
  <c r="D294" i="6" s="1"/>
  <c r="AN123" i="38"/>
  <c r="D123" i="6" s="1"/>
  <c r="AN66" i="38"/>
  <c r="D66" i="6" s="1"/>
  <c r="AN291" i="38"/>
  <c r="D291" i="6" s="1"/>
  <c r="AN237" i="38"/>
  <c r="D237" i="6" s="1"/>
  <c r="AN171" i="38"/>
  <c r="D171" i="6" s="1"/>
  <c r="AN310" i="38"/>
  <c r="D310" i="6" s="1"/>
  <c r="AN232" i="38"/>
  <c r="D232" i="6" s="1"/>
  <c r="AN318" i="38"/>
  <c r="D318" i="6" s="1"/>
  <c r="AN33" i="38"/>
  <c r="D33" i="6" s="1"/>
  <c r="AN295" i="38"/>
  <c r="D295" i="6" s="1"/>
  <c r="AN283" i="38"/>
  <c r="D283" i="6" s="1"/>
  <c r="AN302" i="38"/>
  <c r="D302" i="6" s="1"/>
  <c r="AN114" i="38"/>
  <c r="D114" i="6" s="1"/>
  <c r="AN116" i="38"/>
  <c r="D116" i="6" s="1"/>
  <c r="AN309" i="38"/>
  <c r="D309" i="6" s="1"/>
  <c r="AN307" i="38"/>
  <c r="D307" i="6" s="1"/>
  <c r="AN129" i="38"/>
  <c r="D129" i="6" s="1"/>
  <c r="AN100" i="38"/>
  <c r="D100" i="6" s="1"/>
  <c r="AN312" i="38"/>
  <c r="D312" i="6" s="1"/>
  <c r="AN223" i="38"/>
  <c r="D223" i="6" s="1"/>
  <c r="AN126" i="38"/>
  <c r="D126" i="6" s="1"/>
  <c r="AN247" i="38"/>
  <c r="D247" i="6" s="1"/>
  <c r="AN225" i="38"/>
  <c r="D225" i="6" s="1"/>
  <c r="AN173" i="38"/>
  <c r="D173" i="6" s="1"/>
  <c r="AN338" i="38"/>
  <c r="D338" i="6" s="1"/>
  <c r="AN128" i="38"/>
  <c r="D128" i="6" s="1"/>
  <c r="AN270" i="38"/>
  <c r="D270" i="6" s="1"/>
  <c r="AN279" i="38"/>
  <c r="D279" i="6" s="1"/>
  <c r="AN345" i="38"/>
  <c r="D345" i="6" s="1"/>
  <c r="AN91" i="38"/>
  <c r="D91" i="6" s="1"/>
  <c r="AN334" i="38"/>
  <c r="D334" i="6" s="1"/>
  <c r="AN125" i="38"/>
  <c r="D125" i="6" s="1"/>
  <c r="AN44" i="38"/>
  <c r="D44" i="6" s="1"/>
  <c r="AN109" i="38"/>
  <c r="D109" i="6" s="1"/>
  <c r="AN213" i="38"/>
  <c r="D213" i="6" s="1"/>
  <c r="AN184" i="38"/>
  <c r="D184" i="6" s="1"/>
  <c r="AN162" i="38"/>
  <c r="D162" i="6" s="1"/>
  <c r="AN331" i="38"/>
  <c r="D331" i="6" s="1"/>
  <c r="AN169" i="38"/>
  <c r="D169" i="6" s="1"/>
  <c r="AN269" i="38"/>
  <c r="D269" i="6" s="1"/>
  <c r="AN46" i="38"/>
  <c r="D46" i="6" s="1"/>
  <c r="AN143" i="38"/>
  <c r="D143" i="6" s="1"/>
  <c r="AN252" i="38"/>
  <c r="D252" i="6" s="1"/>
  <c r="AN273" i="38"/>
  <c r="D273" i="6" s="1"/>
  <c r="AN57" i="38"/>
  <c r="D57" i="6" s="1"/>
  <c r="AN316" i="38"/>
  <c r="D316" i="6" s="1"/>
  <c r="AN76" i="38"/>
  <c r="D76" i="6" s="1"/>
  <c r="AN246" i="38"/>
  <c r="D246" i="6" s="1"/>
  <c r="AN268" i="38"/>
  <c r="D268" i="6" s="1"/>
  <c r="AN226" i="38"/>
  <c r="D226" i="6" s="1"/>
  <c r="AN344" i="38"/>
  <c r="D344" i="6" s="1"/>
  <c r="AN278" i="38"/>
  <c r="D278" i="6" s="1"/>
  <c r="AN48" i="38"/>
  <c r="D48" i="6" s="1"/>
  <c r="AN315" i="38"/>
  <c r="D315" i="6" s="1"/>
  <c r="AN347" i="38"/>
  <c r="D347" i="6" s="1"/>
  <c r="AN82" i="38"/>
  <c r="D82" i="6" s="1"/>
  <c r="AN159" i="38"/>
  <c r="D159" i="6" s="1"/>
  <c r="AN176" i="38"/>
  <c r="D176" i="6" s="1"/>
  <c r="AN104" i="38"/>
  <c r="D104" i="6" s="1"/>
  <c r="AN94" i="38"/>
  <c r="D94" i="6" s="1"/>
  <c r="AN96" i="38"/>
  <c r="D96" i="6" s="1"/>
  <c r="AN165" i="38"/>
  <c r="D165" i="6" s="1"/>
  <c r="AN133" i="38"/>
  <c r="D133" i="6" s="1"/>
  <c r="AN63" i="38"/>
  <c r="D63" i="6" s="1"/>
  <c r="AN245" i="38"/>
  <c r="D245" i="6" s="1"/>
  <c r="AN319" i="38"/>
  <c r="D319" i="6" s="1"/>
  <c r="AN64" i="38"/>
  <c r="D64" i="6" s="1"/>
  <c r="AN181" i="38"/>
  <c r="D181" i="6" s="1"/>
  <c r="AN92" i="38"/>
  <c r="D92" i="6" s="1"/>
  <c r="AN80" i="38"/>
  <c r="D80" i="6" s="1"/>
  <c r="AN157" i="38"/>
  <c r="D157" i="6" s="1"/>
  <c r="AN254" i="38"/>
  <c r="D254" i="6" s="1"/>
  <c r="AN34" i="38"/>
  <c r="D34" i="6" s="1"/>
  <c r="AN342" i="38"/>
  <c r="D342" i="6" s="1"/>
  <c r="AN201" i="38"/>
  <c r="D201" i="6" s="1"/>
  <c r="AN151" i="38"/>
  <c r="D151" i="6" s="1"/>
  <c r="AN147" i="38"/>
  <c r="D147" i="6" s="1"/>
  <c r="AN280" i="38"/>
  <c r="D280" i="6" s="1"/>
  <c r="AN179" i="38"/>
  <c r="D179" i="6" s="1"/>
  <c r="AN202" i="38"/>
  <c r="D202" i="6" s="1"/>
  <c r="AN340" i="38"/>
  <c r="D340" i="6" s="1"/>
  <c r="AN219" i="38"/>
  <c r="D219" i="6" s="1"/>
  <c r="AN272" i="38"/>
  <c r="D272" i="6" s="1"/>
  <c r="AN271" i="38"/>
  <c r="D271" i="6" s="1"/>
  <c r="AN289" i="38"/>
  <c r="D289" i="6" s="1"/>
  <c r="AN158" i="38"/>
  <c r="D158" i="6" s="1"/>
  <c r="AN266" i="38"/>
  <c r="D266" i="6" s="1"/>
  <c r="AN74" i="38"/>
  <c r="D74" i="6" s="1"/>
  <c r="AN285" i="38"/>
  <c r="D285" i="6" s="1"/>
  <c r="AN61" i="38"/>
  <c r="D61" i="6" s="1"/>
  <c r="AN49" i="38"/>
  <c r="D49" i="6" s="1"/>
  <c r="AN99" i="38"/>
  <c r="D99" i="6" s="1"/>
  <c r="AN242" i="38"/>
  <c r="D242" i="6" s="1"/>
  <c r="AN330" i="38"/>
  <c r="D330" i="6" s="1"/>
  <c r="AN255" i="38"/>
  <c r="D255" i="6" s="1"/>
  <c r="AN229" i="38"/>
  <c r="D229" i="6" s="1"/>
  <c r="AN191" i="38"/>
  <c r="D191" i="6" s="1"/>
  <c r="AN325" i="38"/>
  <c r="D325" i="6" s="1"/>
  <c r="AN275" i="38"/>
  <c r="D275" i="6" s="1"/>
  <c r="AN276" i="38"/>
  <c r="D276" i="6" s="1"/>
  <c r="AN40" i="38"/>
  <c r="D40" i="6" s="1"/>
  <c r="AN71" i="38"/>
  <c r="D71" i="6" s="1"/>
  <c r="AN69" i="38"/>
  <c r="D69" i="6" s="1"/>
  <c r="AN101" i="38"/>
  <c r="D101" i="6" s="1"/>
  <c r="AN218" i="38"/>
  <c r="D218" i="6" s="1"/>
  <c r="AN260" i="38"/>
  <c r="D260" i="6" s="1"/>
  <c r="AN84" i="38"/>
  <c r="D84" i="6" s="1"/>
  <c r="AN175" i="38"/>
  <c r="D175" i="6" s="1"/>
  <c r="AN113" i="38"/>
  <c r="D113" i="6" s="1"/>
  <c r="AN250" i="38"/>
  <c r="D250" i="6" s="1"/>
  <c r="AN89" i="38"/>
  <c r="D89" i="6" s="1"/>
  <c r="AN65" i="38"/>
  <c r="D65" i="6" s="1"/>
  <c r="AN207" i="38"/>
  <c r="D207" i="6" s="1"/>
  <c r="AN214" i="38"/>
  <c r="D214" i="6" s="1"/>
  <c r="AN198" i="38"/>
  <c r="D198" i="6" s="1"/>
  <c r="AN93" i="38"/>
  <c r="D93" i="6" s="1"/>
  <c r="AN199" i="38"/>
  <c r="D199" i="6" s="1"/>
  <c r="AN106" i="38"/>
  <c r="D106" i="6" s="1"/>
  <c r="AN328" i="38"/>
  <c r="D328" i="6" s="1"/>
  <c r="AN212" i="38"/>
  <c r="D212" i="6" s="1"/>
  <c r="AN335" i="38"/>
  <c r="D335" i="6" s="1"/>
  <c r="AN166" i="38"/>
  <c r="D166" i="6" s="1"/>
  <c r="AN208" i="38"/>
  <c r="D208" i="6" s="1"/>
  <c r="AN224" i="38"/>
  <c r="D224" i="6" s="1"/>
  <c r="AN228" i="38"/>
  <c r="D228" i="6" s="1"/>
  <c r="AN148" i="38"/>
  <c r="D148" i="6" s="1"/>
  <c r="AN231" i="38"/>
  <c r="D231" i="6" s="1"/>
  <c r="AN277" i="38"/>
  <c r="D277" i="6" s="1"/>
  <c r="AN210" i="38"/>
  <c r="D210" i="6" s="1"/>
  <c r="AN230" i="38"/>
  <c r="D230" i="6" s="1"/>
  <c r="AN112" i="38"/>
  <c r="D112" i="6" s="1"/>
  <c r="AN193" i="38"/>
  <c r="D193" i="6" s="1"/>
  <c r="AN261" i="38"/>
  <c r="D261" i="6" s="1"/>
  <c r="AN98" i="38"/>
  <c r="D98" i="6" s="1"/>
  <c r="AN39" i="38"/>
  <c r="D39" i="6" s="1"/>
  <c r="AN314" i="38"/>
  <c r="D314" i="6" s="1"/>
  <c r="AN308" i="38"/>
  <c r="D308" i="6" s="1"/>
  <c r="AN348" i="38"/>
  <c r="D348" i="6" s="1"/>
  <c r="AN127" i="38"/>
  <c r="D127" i="6" s="1"/>
  <c r="AN81" i="38"/>
  <c r="D81" i="6" s="1"/>
  <c r="AN35" i="38"/>
  <c r="D35" i="6" s="1"/>
  <c r="AN41" i="38"/>
  <c r="D41" i="6" s="1"/>
  <c r="AN297" i="38"/>
  <c r="D297" i="6" s="1"/>
  <c r="AN341" i="38"/>
  <c r="D341" i="6" s="1"/>
  <c r="AN168" i="38"/>
  <c r="D168" i="6" s="1"/>
  <c r="AN299" i="38"/>
  <c r="D299" i="6" s="1"/>
  <c r="AN38" i="38"/>
  <c r="D38" i="6" s="1"/>
  <c r="AN54" i="38"/>
  <c r="D54" i="6" s="1"/>
  <c r="AN136" i="38"/>
  <c r="D136" i="6" s="1"/>
  <c r="AI28" i="38"/>
  <c r="AU28" i="38"/>
  <c r="E27" i="7"/>
  <c r="F27" i="7" s="1"/>
  <c r="AB27" i="38"/>
  <c r="AJ27" i="38"/>
  <c r="AA27" i="38"/>
  <c r="A30" i="7"/>
  <c r="B31" i="38"/>
  <c r="AS31" i="38"/>
  <c r="D31" i="38"/>
  <c r="AM31" i="38"/>
  <c r="A32" i="38"/>
  <c r="AJ29" i="38"/>
  <c r="AK29" i="38"/>
  <c r="AB29" i="38"/>
  <c r="AL29" i="38"/>
  <c r="AA29" i="38"/>
  <c r="AV29" i="38" s="1"/>
  <c r="E29" i="38" s="1"/>
  <c r="Z30" i="38"/>
  <c r="AY30" i="38" s="1"/>
  <c r="Y30" i="38"/>
  <c r="D29" i="7"/>
  <c r="B29" i="7"/>
  <c r="W12" i="48"/>
  <c r="W13" i="48" s="1"/>
  <c r="AT30" i="38"/>
  <c r="C30" i="7"/>
  <c r="C31" i="38"/>
  <c r="DJ30" i="7"/>
  <c r="AX31" i="38"/>
  <c r="AO31" i="38" l="1"/>
  <c r="AA28" i="38"/>
  <c r="AK28" i="38"/>
  <c r="AJ28" i="38"/>
  <c r="AL28" i="38"/>
  <c r="AB28" i="38"/>
  <c r="AV27" i="38"/>
  <c r="E27" i="38" s="1"/>
  <c r="AY27" i="38"/>
  <c r="AZ27" i="38" s="1"/>
  <c r="AE27" i="38"/>
  <c r="AE28" i="38" s="1"/>
  <c r="B27" i="6"/>
  <c r="AY29" i="38"/>
  <c r="AE29" i="38"/>
  <c r="A33" i="38"/>
  <c r="A31" i="7"/>
  <c r="AS32" i="38"/>
  <c r="B32" i="38"/>
  <c r="D32" i="38"/>
  <c r="AM32" i="38"/>
  <c r="Z31" i="38"/>
  <c r="AY31" i="38" s="1"/>
  <c r="Y31" i="38"/>
  <c r="AT31" i="38"/>
  <c r="D30" i="7"/>
  <c r="B30" i="7"/>
  <c r="AK30" i="38"/>
  <c r="AL30" i="38"/>
  <c r="AJ30" i="38"/>
  <c r="AB30" i="38"/>
  <c r="AA30" i="38"/>
  <c r="AV30" i="38" s="1"/>
  <c r="E30" i="38" s="1"/>
  <c r="C32" i="38"/>
  <c r="C33" i="38"/>
  <c r="C31" i="7"/>
  <c r="DJ31" i="7"/>
  <c r="AX32" i="38"/>
  <c r="AO32" i="38" l="1"/>
  <c r="B28" i="6"/>
  <c r="B29" i="6" s="1"/>
  <c r="B30" i="6" s="1"/>
  <c r="AV28" i="38"/>
  <c r="E28" i="38" s="1"/>
  <c r="AY28" i="38"/>
  <c r="AZ30" i="38" s="1"/>
  <c r="AE30" i="38"/>
  <c r="AK31" i="38"/>
  <c r="AL31" i="38"/>
  <c r="AB31" i="38"/>
  <c r="AJ31" i="38"/>
  <c r="AA31" i="38"/>
  <c r="AV31" i="38" s="1"/>
  <c r="E31" i="38" s="1"/>
  <c r="B31" i="7"/>
  <c r="D31" i="7"/>
  <c r="Z32" i="38"/>
  <c r="AY32" i="38" s="1"/>
  <c r="Y32" i="38"/>
  <c r="AT32" i="38"/>
  <c r="AM33" i="38"/>
  <c r="AS33" i="38"/>
  <c r="B33" i="38"/>
  <c r="D33" i="38"/>
  <c r="A34" i="38"/>
  <c r="A32" i="7"/>
  <c r="C34" i="38"/>
  <c r="C32" i="7"/>
  <c r="AX33" i="38"/>
  <c r="DJ32" i="7"/>
  <c r="AO33" i="38" l="1"/>
  <c r="AZ32" i="38"/>
  <c r="AZ29" i="38"/>
  <c r="AZ28" i="38"/>
  <c r="AZ31" i="38"/>
  <c r="AE31" i="38"/>
  <c r="Z33" i="38"/>
  <c r="AY33" i="38" s="1"/>
  <c r="AZ33" i="38" s="1"/>
  <c r="Y33" i="38"/>
  <c r="AJ32" i="38"/>
  <c r="AK32" i="38"/>
  <c r="AA32" i="38"/>
  <c r="AV32" i="38" s="1"/>
  <c r="E32" i="38" s="1"/>
  <c r="AL32" i="38"/>
  <c r="AB32" i="38"/>
  <c r="AT33" i="38"/>
  <c r="B31" i="6"/>
  <c r="D34" i="38"/>
  <c r="AO34" i="38" s="1"/>
  <c r="AS34" i="38"/>
  <c r="B34" i="38"/>
  <c r="AM34" i="38"/>
  <c r="A33" i="7"/>
  <c r="A35" i="38"/>
  <c r="B32" i="7"/>
  <c r="D32" i="7"/>
  <c r="C33" i="7"/>
  <c r="AX34" i="38"/>
  <c r="DJ33" i="7"/>
  <c r="AE32" i="38" l="1"/>
  <c r="B32" i="6"/>
  <c r="AT34" i="38"/>
  <c r="Z34" i="38"/>
  <c r="AY34" i="38" s="1"/>
  <c r="AZ34" i="38" s="1"/>
  <c r="Y34" i="38"/>
  <c r="D33" i="7"/>
  <c r="B33" i="7"/>
  <c r="AB33" i="38"/>
  <c r="AK33" i="38"/>
  <c r="AL33" i="38"/>
  <c r="AA33" i="38"/>
  <c r="AV33" i="38" s="1"/>
  <c r="AJ33" i="38"/>
  <c r="A34" i="7"/>
  <c r="AS35" i="38"/>
  <c r="B35" i="38"/>
  <c r="D35" i="38"/>
  <c r="AO35" i="38" s="1"/>
  <c r="AM35" i="38"/>
  <c r="A36" i="38"/>
  <c r="C34" i="7"/>
  <c r="C35" i="38"/>
  <c r="AX35" i="38"/>
  <c r="DJ34" i="7"/>
  <c r="AE33" i="38" l="1"/>
  <c r="AT35" i="38"/>
  <c r="B33" i="6"/>
  <c r="D34" i="7"/>
  <c r="B34" i="7"/>
  <c r="A35" i="7"/>
  <c r="AS36" i="38"/>
  <c r="B36" i="38"/>
  <c r="D36" i="38"/>
  <c r="AO36" i="38" s="1"/>
  <c r="AM36" i="38"/>
  <c r="A37" i="38"/>
  <c r="C11" i="23"/>
  <c r="B11" i="23" s="1"/>
  <c r="E33" i="38"/>
  <c r="Z35" i="38"/>
  <c r="AY35" i="38" s="1"/>
  <c r="AZ35" i="38" s="1"/>
  <c r="Y35" i="38"/>
  <c r="AJ34" i="38"/>
  <c r="AL34" i="38"/>
  <c r="AK34" i="38"/>
  <c r="AB34" i="38"/>
  <c r="AA34" i="38"/>
  <c r="AV34" i="38" s="1"/>
  <c r="C35" i="7"/>
  <c r="C36" i="38"/>
  <c r="DJ35" i="7"/>
  <c r="AX36" i="38"/>
  <c r="AE34" i="38" l="1"/>
  <c r="AK35" i="38"/>
  <c r="AL35" i="38"/>
  <c r="AB35" i="38"/>
  <c r="AJ35" i="38"/>
  <c r="AA35" i="38"/>
  <c r="AV35" i="38" s="1"/>
  <c r="E35" i="38" s="1"/>
  <c r="Z36" i="38"/>
  <c r="AY36" i="38" s="1"/>
  <c r="AZ36" i="38" s="1"/>
  <c r="Y36" i="38"/>
  <c r="AT36" i="38"/>
  <c r="A36" i="7"/>
  <c r="AS37" i="38"/>
  <c r="B37" i="38"/>
  <c r="AM37" i="38"/>
  <c r="D37" i="38"/>
  <c r="A38" i="38"/>
  <c r="C12" i="23"/>
  <c r="B12" i="23" s="1"/>
  <c r="E34" i="38"/>
  <c r="D35" i="7"/>
  <c r="B35" i="7"/>
  <c r="B34" i="6"/>
  <c r="C37" i="38"/>
  <c r="C36" i="7"/>
  <c r="DJ36" i="7"/>
  <c r="AX37" i="38"/>
  <c r="AE35" i="38" l="1"/>
  <c r="B35" i="6"/>
  <c r="Z37" i="38"/>
  <c r="AY37" i="38" s="1"/>
  <c r="AZ37" i="38" s="1"/>
  <c r="Y37" i="38"/>
  <c r="AJ36" i="38"/>
  <c r="AA36" i="38"/>
  <c r="AV36" i="38" s="1"/>
  <c r="E36" i="38" s="1"/>
  <c r="AB36" i="38"/>
  <c r="AL36" i="38"/>
  <c r="AK36" i="38"/>
  <c r="B36" i="7"/>
  <c r="D36" i="7"/>
  <c r="AT37" i="38"/>
  <c r="A37" i="7"/>
  <c r="B38" i="38"/>
  <c r="AS38" i="38"/>
  <c r="D38" i="38"/>
  <c r="AM38" i="38"/>
  <c r="A39" i="38"/>
  <c r="C37" i="7"/>
  <c r="C38" i="38"/>
  <c r="DJ37" i="7"/>
  <c r="AX38" i="38"/>
  <c r="AE36" i="38" l="1"/>
  <c r="AT38" i="38"/>
  <c r="B36" i="6"/>
  <c r="D37" i="7"/>
  <c r="B37" i="7"/>
  <c r="A40" i="38"/>
  <c r="A38" i="7"/>
  <c r="B39" i="38"/>
  <c r="AS39" i="38"/>
  <c r="AM39" i="38"/>
  <c r="D39" i="38"/>
  <c r="Z38" i="38"/>
  <c r="AY38" i="38" s="1"/>
  <c r="AZ38" i="38" s="1"/>
  <c r="Y38" i="38"/>
  <c r="AJ37" i="38"/>
  <c r="AB37" i="38"/>
  <c r="AA37" i="38"/>
  <c r="AV37" i="38" s="1"/>
  <c r="E37" i="38" s="1"/>
  <c r="AL37" i="38"/>
  <c r="AK37" i="38"/>
  <c r="C39" i="38"/>
  <c r="C40" i="38"/>
  <c r="C38" i="7"/>
  <c r="DJ38" i="7"/>
  <c r="AX39" i="38"/>
  <c r="AE37" i="38" l="1"/>
  <c r="AO37" i="38"/>
  <c r="AO38" i="38" s="1"/>
  <c r="AO39" i="38" s="1"/>
  <c r="AB38" i="38"/>
  <c r="AJ38" i="38"/>
  <c r="AK38" i="38"/>
  <c r="AL38" i="38"/>
  <c r="AA38" i="38"/>
  <c r="AV38" i="38" s="1"/>
  <c r="E38" i="38" s="1"/>
  <c r="B38" i="7"/>
  <c r="D38" i="7"/>
  <c r="AT39" i="38"/>
  <c r="Z39" i="38"/>
  <c r="AY39" i="38" s="1"/>
  <c r="AZ39" i="38" s="1"/>
  <c r="Y39" i="38"/>
  <c r="AM40" i="38"/>
  <c r="A41" i="38"/>
  <c r="B40" i="38"/>
  <c r="D40" i="38"/>
  <c r="AS40" i="38"/>
  <c r="A39" i="7"/>
  <c r="B37" i="6"/>
  <c r="C39" i="7"/>
  <c r="C41" i="38"/>
  <c r="DJ39" i="7"/>
  <c r="AX40" i="38"/>
  <c r="AE38" i="38" l="1"/>
  <c r="AO40" i="38"/>
  <c r="AB39" i="38"/>
  <c r="AL39" i="38"/>
  <c r="AA39" i="38"/>
  <c r="AV39" i="38" s="1"/>
  <c r="E39" i="38" s="1"/>
  <c r="AJ39" i="38"/>
  <c r="AK39" i="38"/>
  <c r="D41" i="38"/>
  <c r="AS41" i="38"/>
  <c r="AM41" i="38"/>
  <c r="B41" i="38"/>
  <c r="A40" i="7"/>
  <c r="A42" i="38"/>
  <c r="AT40" i="38"/>
  <c r="Z40" i="38"/>
  <c r="AY40" i="38" s="1"/>
  <c r="AZ40" i="38" s="1"/>
  <c r="Y40" i="38"/>
  <c r="B38" i="6"/>
  <c r="D39" i="7"/>
  <c r="B39" i="7"/>
  <c r="C40" i="7"/>
  <c r="DJ40" i="7"/>
  <c r="AX41" i="38"/>
  <c r="AO41" i="38" l="1"/>
  <c r="B39" i="6"/>
  <c r="AE39" i="38"/>
  <c r="AT41" i="38"/>
  <c r="D40" i="7"/>
  <c r="B40" i="7"/>
  <c r="AL40" i="38"/>
  <c r="AJ40" i="38"/>
  <c r="AA40" i="38"/>
  <c r="AV40" i="38" s="1"/>
  <c r="E40" i="38" s="1"/>
  <c r="AB40" i="38"/>
  <c r="AK40" i="38"/>
  <c r="Z41" i="38"/>
  <c r="AY41" i="38" s="1"/>
  <c r="AZ41" i="38" s="1"/>
  <c r="Y41" i="38"/>
  <c r="A41" i="7"/>
  <c r="B42" i="38"/>
  <c r="AS42" i="38"/>
  <c r="D42" i="38"/>
  <c r="AM42" i="38"/>
  <c r="A43" i="38"/>
  <c r="C42" i="38"/>
  <c r="C41" i="7"/>
  <c r="AX42" i="38"/>
  <c r="DJ41" i="7"/>
  <c r="AO42" i="38" l="1"/>
  <c r="AE40" i="38"/>
  <c r="AT42" i="38"/>
  <c r="B40" i="6"/>
  <c r="D41" i="7"/>
  <c r="B41" i="7"/>
  <c r="A42" i="7"/>
  <c r="B43" i="38"/>
  <c r="AS43" i="38"/>
  <c r="D43" i="38"/>
  <c r="AM43" i="38"/>
  <c r="A44" i="38"/>
  <c r="AB41" i="38"/>
  <c r="AJ41" i="38"/>
  <c r="AA41" i="38"/>
  <c r="AV41" i="38" s="1"/>
  <c r="E41" i="38" s="1"/>
  <c r="AL41" i="38"/>
  <c r="AK41" i="38"/>
  <c r="Z42" i="38"/>
  <c r="AY42" i="38" s="1"/>
  <c r="AZ42" i="38" s="1"/>
  <c r="Y42" i="38"/>
  <c r="C42" i="7"/>
  <c r="C43" i="38"/>
  <c r="DJ42" i="7"/>
  <c r="AX43" i="38"/>
  <c r="AO43" i="38" l="1"/>
  <c r="AE41" i="38"/>
  <c r="A43" i="7"/>
  <c r="AS44" i="38"/>
  <c r="B44" i="38"/>
  <c r="D44" i="38"/>
  <c r="AM44" i="38"/>
  <c r="A45" i="38"/>
  <c r="AT43" i="38"/>
  <c r="D42" i="7"/>
  <c r="B42" i="7"/>
  <c r="AB42" i="38"/>
  <c r="AJ42" i="38"/>
  <c r="AK42" i="38"/>
  <c r="AA42" i="38"/>
  <c r="AV42" i="38" s="1"/>
  <c r="E42" i="38" s="1"/>
  <c r="AL42" i="38"/>
  <c r="Z43" i="38"/>
  <c r="AY43" i="38" s="1"/>
  <c r="AZ43" i="38" s="1"/>
  <c r="Y43" i="38"/>
  <c r="B41" i="6"/>
  <c r="C43" i="7"/>
  <c r="C44" i="38"/>
  <c r="DJ43" i="7"/>
  <c r="AX44" i="38"/>
  <c r="AO44" i="38" l="1"/>
  <c r="AE42" i="38"/>
  <c r="Z44" i="38"/>
  <c r="AY44" i="38" s="1"/>
  <c r="AZ44" i="38" s="1"/>
  <c r="Y44" i="38"/>
  <c r="AT44" i="38"/>
  <c r="B42" i="6"/>
  <c r="B43" i="7"/>
  <c r="D43" i="7"/>
  <c r="A44" i="7"/>
  <c r="B45" i="38"/>
  <c r="AS45" i="38"/>
  <c r="D45" i="38"/>
  <c r="AM45" i="38"/>
  <c r="A46" i="38"/>
  <c r="AK43" i="38"/>
  <c r="AB43" i="38"/>
  <c r="AJ43" i="38"/>
  <c r="AL43" i="38"/>
  <c r="AA43" i="38"/>
  <c r="AV43" i="38" s="1"/>
  <c r="E43" i="38" s="1"/>
  <c r="C45" i="38"/>
  <c r="C44" i="7"/>
  <c r="DJ44" i="7"/>
  <c r="AX45" i="38"/>
  <c r="AO45" i="38" l="1"/>
  <c r="AE43" i="38"/>
  <c r="Z45" i="38"/>
  <c r="AY45" i="38" s="1"/>
  <c r="AZ45" i="38" s="1"/>
  <c r="Y45" i="38"/>
  <c r="A47" i="38"/>
  <c r="A45" i="7"/>
  <c r="B46" i="38"/>
  <c r="AS46" i="38"/>
  <c r="D46" i="38"/>
  <c r="AM46" i="38"/>
  <c r="B44" i="7"/>
  <c r="D44" i="7"/>
  <c r="B43" i="6"/>
  <c r="AB44" i="38"/>
  <c r="AL44" i="38"/>
  <c r="AK44" i="38"/>
  <c r="AA44" i="38"/>
  <c r="AV44" i="38" s="1"/>
  <c r="E44" i="38" s="1"/>
  <c r="AJ44" i="38"/>
  <c r="AT45" i="38"/>
  <c r="C46" i="38"/>
  <c r="C45" i="7"/>
  <c r="C47" i="38"/>
  <c r="AX46" i="38"/>
  <c r="DJ45" i="7"/>
  <c r="AO46" i="38" l="1"/>
  <c r="AE44" i="38"/>
  <c r="B44" i="6"/>
  <c r="D45" i="7"/>
  <c r="B45" i="7"/>
  <c r="Y46" i="38"/>
  <c r="Z46" i="38"/>
  <c r="AY46" i="38" s="1"/>
  <c r="AZ46" i="38" s="1"/>
  <c r="D47" i="38"/>
  <c r="AS47" i="38"/>
  <c r="A48" i="38"/>
  <c r="B47" i="38"/>
  <c r="AM47" i="38"/>
  <c r="A46" i="7"/>
  <c r="AJ45" i="38"/>
  <c r="AL45" i="38"/>
  <c r="AB45" i="38"/>
  <c r="AK45" i="38"/>
  <c r="AA45" i="38"/>
  <c r="AV45" i="38" s="1"/>
  <c r="E45" i="38" s="1"/>
  <c r="AT46" i="38"/>
  <c r="C48" i="38"/>
  <c r="C46" i="7"/>
  <c r="AX47" i="38"/>
  <c r="DJ46" i="7"/>
  <c r="AO47" i="38" l="1"/>
  <c r="AE45" i="38"/>
  <c r="AT47" i="38"/>
  <c r="AS48" i="38"/>
  <c r="B48" i="38"/>
  <c r="D48" i="38"/>
  <c r="AM48" i="38"/>
  <c r="A47" i="7"/>
  <c r="A49" i="38"/>
  <c r="AB46" i="38"/>
  <c r="AL46" i="38"/>
  <c r="AK46" i="38"/>
  <c r="AA46" i="38"/>
  <c r="AV46" i="38" s="1"/>
  <c r="E46" i="38" s="1"/>
  <c r="AJ46" i="38"/>
  <c r="Z47" i="38"/>
  <c r="AY47" i="38" s="1"/>
  <c r="AZ47" i="38" s="1"/>
  <c r="Y47" i="38"/>
  <c r="D46" i="7"/>
  <c r="B46" i="7"/>
  <c r="B45" i="6"/>
  <c r="C47" i="7"/>
  <c r="DJ47" i="7"/>
  <c r="AX48" i="38"/>
  <c r="AO48" i="38" l="1"/>
  <c r="AE46" i="38"/>
  <c r="AT48" i="38"/>
  <c r="B47" i="7"/>
  <c r="D47" i="7"/>
  <c r="Z48" i="38"/>
  <c r="AY48" i="38" s="1"/>
  <c r="AZ48" i="38" s="1"/>
  <c r="Y48" i="38"/>
  <c r="B46" i="6"/>
  <c r="AK47" i="38"/>
  <c r="AJ47" i="38"/>
  <c r="AL47" i="38"/>
  <c r="AB47" i="38"/>
  <c r="AA47" i="38"/>
  <c r="AV47" i="38" s="1"/>
  <c r="E47" i="38" s="1"/>
  <c r="A48" i="7"/>
  <c r="AS49" i="38"/>
  <c r="D49" i="38"/>
  <c r="B49" i="38"/>
  <c r="AM49" i="38"/>
  <c r="A50" i="38"/>
  <c r="C48" i="7"/>
  <c r="C49" i="38"/>
  <c r="AX49" i="38"/>
  <c r="DJ48" i="7"/>
  <c r="AO49" i="38" l="1"/>
  <c r="AE47" i="38"/>
  <c r="AT49" i="38"/>
  <c r="AB48" i="38"/>
  <c r="AJ48" i="38"/>
  <c r="AA48" i="38"/>
  <c r="AV48" i="38" s="1"/>
  <c r="E48" i="38" s="1"/>
  <c r="AK48" i="38"/>
  <c r="AL48" i="38"/>
  <c r="A49" i="7"/>
  <c r="AS50" i="38"/>
  <c r="B50" i="38"/>
  <c r="D50" i="38"/>
  <c r="AM50" i="38"/>
  <c r="A51" i="38"/>
  <c r="D48" i="7"/>
  <c r="B48" i="7"/>
  <c r="B47" i="6"/>
  <c r="Z49" i="38"/>
  <c r="AY49" i="38" s="1"/>
  <c r="AZ49" i="38" s="1"/>
  <c r="Y49" i="38"/>
  <c r="C49" i="7"/>
  <c r="C50" i="38"/>
  <c r="DJ49" i="7"/>
  <c r="AX50" i="38"/>
  <c r="AO50" i="38" l="1"/>
  <c r="AE48" i="38"/>
  <c r="A50" i="7"/>
  <c r="B51" i="38"/>
  <c r="AS51" i="38"/>
  <c r="D51" i="38"/>
  <c r="AM51" i="38"/>
  <c r="A52" i="38"/>
  <c r="D49" i="7"/>
  <c r="B49" i="7"/>
  <c r="AL49" i="38"/>
  <c r="AJ49" i="38"/>
  <c r="AA49" i="38"/>
  <c r="AV49" i="38" s="1"/>
  <c r="E49" i="38" s="1"/>
  <c r="AB49" i="38"/>
  <c r="AK49" i="38"/>
  <c r="AT50" i="38"/>
  <c r="Z50" i="38"/>
  <c r="AY50" i="38" s="1"/>
  <c r="AZ50" i="38" s="1"/>
  <c r="Y50" i="38"/>
  <c r="B48" i="6"/>
  <c r="C51" i="38"/>
  <c r="C50" i="7"/>
  <c r="AX51" i="38"/>
  <c r="DJ50" i="7"/>
  <c r="AO51" i="38" l="1"/>
  <c r="AE49" i="38"/>
  <c r="A51" i="7"/>
  <c r="B52" i="38"/>
  <c r="AS52" i="38"/>
  <c r="D52" i="38"/>
  <c r="AM52" i="38"/>
  <c r="A53" i="38"/>
  <c r="AL50" i="38"/>
  <c r="AJ50" i="38"/>
  <c r="AK50" i="38"/>
  <c r="AB50" i="38"/>
  <c r="AA50" i="38"/>
  <c r="AV50" i="38" s="1"/>
  <c r="E50" i="38" s="1"/>
  <c r="B49" i="6"/>
  <c r="Z51" i="38"/>
  <c r="AY51" i="38" s="1"/>
  <c r="AZ51" i="38" s="1"/>
  <c r="Y51" i="38"/>
  <c r="AT51" i="38"/>
  <c r="B50" i="7"/>
  <c r="D50" i="7"/>
  <c r="C52" i="38"/>
  <c r="C51" i="7"/>
  <c r="AX52" i="38"/>
  <c r="DJ51" i="7"/>
  <c r="B50" i="6" l="1"/>
  <c r="AO52" i="38"/>
  <c r="AE50" i="38"/>
  <c r="Z52" i="38"/>
  <c r="AY52" i="38" s="1"/>
  <c r="AZ52" i="38" s="1"/>
  <c r="Y52" i="38"/>
  <c r="A54" i="38"/>
  <c r="A52" i="7"/>
  <c r="AS53" i="38"/>
  <c r="B53" i="38"/>
  <c r="D53" i="38"/>
  <c r="AM53" i="38"/>
  <c r="AT52" i="38"/>
  <c r="D51" i="7"/>
  <c r="B51" i="7"/>
  <c r="AA51" i="38"/>
  <c r="AV51" i="38" s="1"/>
  <c r="E51" i="38" s="1"/>
  <c r="AK51" i="38"/>
  <c r="AJ51" i="38"/>
  <c r="AL51" i="38"/>
  <c r="AB51" i="38"/>
  <c r="C53" i="38"/>
  <c r="C52" i="7"/>
  <c r="C54" i="38"/>
  <c r="AX53" i="38"/>
  <c r="DJ52" i="7"/>
  <c r="AO53" i="38" l="1"/>
  <c r="AE51" i="38"/>
  <c r="AT53" i="38"/>
  <c r="D52" i="7"/>
  <c r="B52" i="7"/>
  <c r="D54" i="38"/>
  <c r="AM54" i="38"/>
  <c r="A55" i="38"/>
  <c r="B54" i="38"/>
  <c r="AS54" i="38"/>
  <c r="A53" i="7"/>
  <c r="Y53" i="38"/>
  <c r="Z53" i="38"/>
  <c r="AY53" i="38" s="1"/>
  <c r="AZ53" i="38" s="1"/>
  <c r="AB52" i="38"/>
  <c r="AL52" i="38"/>
  <c r="AA52" i="38"/>
  <c r="AV52" i="38" s="1"/>
  <c r="E52" i="38" s="1"/>
  <c r="AJ52" i="38"/>
  <c r="AK52" i="38"/>
  <c r="B51" i="6"/>
  <c r="C53" i="7"/>
  <c r="C55" i="38"/>
  <c r="DJ53" i="7"/>
  <c r="AX54" i="38"/>
  <c r="AO54" i="38" l="1"/>
  <c r="AE52" i="38"/>
  <c r="AT54" i="38"/>
  <c r="D53" i="7"/>
  <c r="B53" i="7"/>
  <c r="B55" i="38"/>
  <c r="AS55" i="38"/>
  <c r="D55" i="38"/>
  <c r="AM55" i="38"/>
  <c r="A54" i="7"/>
  <c r="A56" i="38"/>
  <c r="AK53" i="38"/>
  <c r="AL53" i="38"/>
  <c r="AJ53" i="38"/>
  <c r="AA53" i="38"/>
  <c r="AV53" i="38" s="1"/>
  <c r="E53" i="38" s="1"/>
  <c r="AB53" i="38"/>
  <c r="Z54" i="38"/>
  <c r="AY54" i="38" s="1"/>
  <c r="AZ54" i="38" s="1"/>
  <c r="Y54" i="38"/>
  <c r="B52" i="6"/>
  <c r="C54" i="7"/>
  <c r="AX55" i="38"/>
  <c r="DJ54" i="7"/>
  <c r="AO55" i="38" l="1"/>
  <c r="AE53" i="38"/>
  <c r="AT55" i="38"/>
  <c r="A55" i="7"/>
  <c r="AS56" i="38"/>
  <c r="B56" i="38"/>
  <c r="D56" i="38"/>
  <c r="AM56" i="38"/>
  <c r="A57" i="38"/>
  <c r="B54" i="7"/>
  <c r="D54" i="7"/>
  <c r="Z55" i="38"/>
  <c r="AY55" i="38" s="1"/>
  <c r="AZ55" i="38" s="1"/>
  <c r="Y55" i="38"/>
  <c r="B53" i="6"/>
  <c r="AJ54" i="38"/>
  <c r="AL54" i="38"/>
  <c r="AA54" i="38"/>
  <c r="AV54" i="38" s="1"/>
  <c r="E54" i="38" s="1"/>
  <c r="AK54" i="38"/>
  <c r="AB54" i="38"/>
  <c r="C56" i="38"/>
  <c r="C55" i="7"/>
  <c r="DJ55" i="7"/>
  <c r="AX56" i="38"/>
  <c r="AO56" i="38" l="1"/>
  <c r="AE54" i="38"/>
  <c r="B54" i="6"/>
  <c r="Z56" i="38"/>
  <c r="AY56" i="38" s="1"/>
  <c r="AZ56" i="38" s="1"/>
  <c r="Y56" i="38"/>
  <c r="AT56" i="38"/>
  <c r="D55" i="7"/>
  <c r="B55" i="7"/>
  <c r="AB55" i="38"/>
  <c r="AA55" i="38"/>
  <c r="AV55" i="38" s="1"/>
  <c r="E55" i="38" s="1"/>
  <c r="AK55" i="38"/>
  <c r="AL55" i="38"/>
  <c r="AJ55" i="38"/>
  <c r="A56" i="7"/>
  <c r="AS57" i="38"/>
  <c r="B57" i="38"/>
  <c r="D57" i="38"/>
  <c r="AM57" i="38"/>
  <c r="A58" i="38"/>
  <c r="C57" i="38"/>
  <c r="C56" i="7"/>
  <c r="AX57" i="38"/>
  <c r="DJ56" i="7"/>
  <c r="AO57" i="38" l="1"/>
  <c r="AE55" i="38"/>
  <c r="Z57" i="38"/>
  <c r="AY57" i="38" s="1"/>
  <c r="AZ57" i="38" s="1"/>
  <c r="Y57" i="38"/>
  <c r="AB56" i="38"/>
  <c r="AA56" i="38"/>
  <c r="AV56" i="38" s="1"/>
  <c r="E56" i="38" s="1"/>
  <c r="AL56" i="38"/>
  <c r="AK56" i="38"/>
  <c r="AJ56" i="38"/>
  <c r="A57" i="7"/>
  <c r="B58" i="38"/>
  <c r="AS58" i="38"/>
  <c r="D58" i="38"/>
  <c r="AM58" i="38"/>
  <c r="A59" i="38"/>
  <c r="B56" i="7"/>
  <c r="D56" i="7"/>
  <c r="AT57" i="38"/>
  <c r="B55" i="6"/>
  <c r="C57" i="7"/>
  <c r="C58" i="38"/>
  <c r="AX58" i="38"/>
  <c r="DJ57" i="7"/>
  <c r="AO58" i="38" l="1"/>
  <c r="AE56" i="38"/>
  <c r="B56" i="6"/>
  <c r="Z58" i="38"/>
  <c r="AY58" i="38" s="1"/>
  <c r="AZ58" i="38" s="1"/>
  <c r="Y58" i="38"/>
  <c r="AK57" i="38"/>
  <c r="AJ57" i="38"/>
  <c r="AB57" i="38"/>
  <c r="AL57" i="38"/>
  <c r="AA57" i="38"/>
  <c r="AV57" i="38" s="1"/>
  <c r="E57" i="38" s="1"/>
  <c r="A58" i="7"/>
  <c r="AS59" i="38"/>
  <c r="B59" i="38"/>
  <c r="D59" i="38"/>
  <c r="AM59" i="38"/>
  <c r="A60" i="38"/>
  <c r="AT58" i="38"/>
  <c r="B57" i="7"/>
  <c r="D57" i="7"/>
  <c r="C58" i="7"/>
  <c r="C59" i="38"/>
  <c r="AX59" i="38"/>
  <c r="DJ58" i="7"/>
  <c r="AO59" i="38" l="1"/>
  <c r="AE57" i="38"/>
  <c r="Z59" i="38"/>
  <c r="AY59" i="38" s="1"/>
  <c r="AZ59" i="38" s="1"/>
  <c r="Y59" i="38"/>
  <c r="AT59" i="38"/>
  <c r="D58" i="7"/>
  <c r="B58" i="7"/>
  <c r="B57" i="6"/>
  <c r="AJ58" i="38"/>
  <c r="AL58" i="38"/>
  <c r="AB58" i="38"/>
  <c r="AK58" i="38"/>
  <c r="AA58" i="38"/>
  <c r="AV58" i="38" s="1"/>
  <c r="E58" i="38" s="1"/>
  <c r="A61" i="38"/>
  <c r="A59" i="7"/>
  <c r="B60" i="38"/>
  <c r="AS60" i="38"/>
  <c r="D60" i="38"/>
  <c r="AM60" i="38"/>
  <c r="C61" i="38"/>
  <c r="C60" i="38"/>
  <c r="C59" i="7"/>
  <c r="AX60" i="38"/>
  <c r="DJ59" i="7"/>
  <c r="AO60" i="38" l="1"/>
  <c r="AE58" i="38"/>
  <c r="AS61" i="38"/>
  <c r="AM61" i="38"/>
  <c r="A62" i="38"/>
  <c r="D61" i="38"/>
  <c r="B61" i="38"/>
  <c r="A60" i="7"/>
  <c r="Y60" i="38"/>
  <c r="Z60" i="38"/>
  <c r="AY60" i="38" s="1"/>
  <c r="AZ60" i="38" s="1"/>
  <c r="AT60" i="38"/>
  <c r="AB59" i="38"/>
  <c r="AK59" i="38"/>
  <c r="AA59" i="38"/>
  <c r="AV59" i="38" s="1"/>
  <c r="E59" i="38" s="1"/>
  <c r="AJ59" i="38"/>
  <c r="AL59" i="38"/>
  <c r="D59" i="7"/>
  <c r="B59" i="7"/>
  <c r="B58" i="6"/>
  <c r="C60" i="7"/>
  <c r="C62" i="38"/>
  <c r="DJ60" i="7"/>
  <c r="AX61" i="38"/>
  <c r="AO61" i="38" l="1"/>
  <c r="AE59" i="38"/>
  <c r="AT61" i="38"/>
  <c r="AJ60" i="38"/>
  <c r="AL60" i="38"/>
  <c r="AK60" i="38"/>
  <c r="AB60" i="38"/>
  <c r="AA60" i="38"/>
  <c r="AV60" i="38" s="1"/>
  <c r="E60" i="38" s="1"/>
  <c r="B60" i="7"/>
  <c r="D60" i="7"/>
  <c r="B62" i="38"/>
  <c r="AS62" i="38"/>
  <c r="D62" i="38"/>
  <c r="AM62" i="38"/>
  <c r="A61" i="7"/>
  <c r="A63" i="38"/>
  <c r="Z61" i="38"/>
  <c r="AY61" i="38" s="1"/>
  <c r="AZ61" i="38" s="1"/>
  <c r="Y61" i="38"/>
  <c r="B59" i="6"/>
  <c r="C61" i="7"/>
  <c r="AX62" i="38"/>
  <c r="DJ61" i="7"/>
  <c r="AO62" i="38" l="1"/>
  <c r="AE60" i="38"/>
  <c r="Z62" i="38"/>
  <c r="AY62" i="38" s="1"/>
  <c r="AZ62" i="38" s="1"/>
  <c r="Y62" i="38"/>
  <c r="A62" i="7"/>
  <c r="AS63" i="38"/>
  <c r="B63" i="38"/>
  <c r="D63" i="38"/>
  <c r="AM63" i="38"/>
  <c r="A64" i="38"/>
  <c r="AT62" i="38"/>
  <c r="B61" i="7"/>
  <c r="D61" i="7"/>
  <c r="B60" i="6"/>
  <c r="AL61" i="38"/>
  <c r="AK61" i="38"/>
  <c r="AA61" i="38"/>
  <c r="AV61" i="38" s="1"/>
  <c r="E61" i="38" s="1"/>
  <c r="AB61" i="38"/>
  <c r="AJ61" i="38"/>
  <c r="C62" i="7"/>
  <c r="C63" i="38"/>
  <c r="AX63" i="38"/>
  <c r="DJ62" i="7"/>
  <c r="AO63" i="38" l="1"/>
  <c r="AE61" i="38"/>
  <c r="B61" i="6"/>
  <c r="Z63" i="38"/>
  <c r="AY63" i="38" s="1"/>
  <c r="AZ63" i="38" s="1"/>
  <c r="Y63" i="38"/>
  <c r="D62" i="7"/>
  <c r="B62" i="7"/>
  <c r="A63" i="7"/>
  <c r="B64" i="38"/>
  <c r="AS64" i="38"/>
  <c r="D64" i="38"/>
  <c r="AM64" i="38"/>
  <c r="A65" i="38"/>
  <c r="AT63" i="38"/>
  <c r="AL62" i="38"/>
  <c r="AA62" i="38"/>
  <c r="AV62" i="38" s="1"/>
  <c r="E62" i="38" s="1"/>
  <c r="AJ62" i="38"/>
  <c r="AK62" i="38"/>
  <c r="AB62" i="38"/>
  <c r="C63" i="7"/>
  <c r="C64" i="38"/>
  <c r="AX64" i="38"/>
  <c r="DJ63" i="7"/>
  <c r="AO64" i="38" l="1"/>
  <c r="AE62" i="38"/>
  <c r="Z64" i="38"/>
  <c r="AY64" i="38" s="1"/>
  <c r="AZ64" i="38" s="1"/>
  <c r="Y64" i="38"/>
  <c r="AT64" i="38"/>
  <c r="D63" i="7"/>
  <c r="B63" i="7"/>
  <c r="AJ63" i="38"/>
  <c r="AK63" i="38"/>
  <c r="AL63" i="38"/>
  <c r="AB63" i="38"/>
  <c r="AA63" i="38"/>
  <c r="AV63" i="38" s="1"/>
  <c r="E63" i="38" s="1"/>
  <c r="A64" i="7"/>
  <c r="B65" i="38"/>
  <c r="AS65" i="38"/>
  <c r="AM65" i="38"/>
  <c r="D65" i="38"/>
  <c r="A66" i="38"/>
  <c r="B62" i="6"/>
  <c r="C64" i="7"/>
  <c r="C65" i="38"/>
  <c r="AX65" i="38"/>
  <c r="DJ64" i="7"/>
  <c r="AE63" i="38" l="1"/>
  <c r="AT65" i="38"/>
  <c r="B64" i="7"/>
  <c r="D64" i="7"/>
  <c r="A65" i="7"/>
  <c r="B66" i="38"/>
  <c r="AS66" i="38"/>
  <c r="D66" i="38"/>
  <c r="AM66" i="38"/>
  <c r="A67" i="38"/>
  <c r="AK64" i="38"/>
  <c r="AB64" i="38"/>
  <c r="AL64" i="38"/>
  <c r="AJ64" i="38"/>
  <c r="AA64" i="38"/>
  <c r="AV64" i="38" s="1"/>
  <c r="E64" i="38" s="1"/>
  <c r="B63" i="6"/>
  <c r="Z65" i="38"/>
  <c r="AY65" i="38" s="1"/>
  <c r="AZ65" i="38" s="1"/>
  <c r="Y65" i="38"/>
  <c r="C65" i="7"/>
  <c r="C66" i="38"/>
  <c r="AX66" i="38"/>
  <c r="DJ65" i="7"/>
  <c r="AE64" i="38" l="1"/>
  <c r="AO65" i="38" s="1"/>
  <c r="AT66" i="38"/>
  <c r="Z66" i="38"/>
  <c r="AY66" i="38" s="1"/>
  <c r="AZ66" i="38" s="1"/>
  <c r="Y66" i="38"/>
  <c r="A68" i="38"/>
  <c r="A66" i="7"/>
  <c r="B67" i="38"/>
  <c r="AS67" i="38"/>
  <c r="AM67" i="38"/>
  <c r="D67" i="38"/>
  <c r="AA65" i="38"/>
  <c r="AV65" i="38" s="1"/>
  <c r="E65" i="38" s="1"/>
  <c r="AK65" i="38"/>
  <c r="AJ65" i="38"/>
  <c r="AB65" i="38"/>
  <c r="AL65" i="38"/>
  <c r="D65" i="7"/>
  <c r="B65" i="7"/>
  <c r="B64" i="6"/>
  <c r="C67" i="38"/>
  <c r="C66" i="7"/>
  <c r="C68" i="38"/>
  <c r="DJ66" i="7"/>
  <c r="AX67" i="38"/>
  <c r="AE65" i="38" l="1"/>
  <c r="AT67" i="38"/>
  <c r="AA66" i="38"/>
  <c r="AV66" i="38" s="1"/>
  <c r="E66" i="38" s="1"/>
  <c r="AL66" i="38"/>
  <c r="AJ66" i="38"/>
  <c r="AK66" i="38"/>
  <c r="AB66" i="38"/>
  <c r="Z67" i="38"/>
  <c r="AY67" i="38" s="1"/>
  <c r="AZ67" i="38" s="1"/>
  <c r="Y67" i="38"/>
  <c r="B66" i="7"/>
  <c r="D66" i="7"/>
  <c r="B65" i="6"/>
  <c r="B66" i="6" s="1"/>
  <c r="A69" i="38"/>
  <c r="AM68" i="38"/>
  <c r="D68" i="38"/>
  <c r="AS68" i="38"/>
  <c r="B68" i="38"/>
  <c r="A67" i="7"/>
  <c r="C67" i="7"/>
  <c r="C69" i="38"/>
  <c r="AX68" i="38"/>
  <c r="DJ67" i="7"/>
  <c r="AE66" i="38" l="1"/>
  <c r="AO66" i="38"/>
  <c r="Z68" i="38"/>
  <c r="AY68" i="38" s="1"/>
  <c r="AZ68" i="38" s="1"/>
  <c r="Y68" i="38"/>
  <c r="AS69" i="38"/>
  <c r="D69" i="38"/>
  <c r="B69" i="38"/>
  <c r="AM69" i="38"/>
  <c r="A68" i="7"/>
  <c r="A70" i="38"/>
  <c r="AK67" i="38"/>
  <c r="AL67" i="38"/>
  <c r="AJ67" i="38"/>
  <c r="AA67" i="38"/>
  <c r="AV67" i="38" s="1"/>
  <c r="E67" i="38" s="1"/>
  <c r="AB67" i="38"/>
  <c r="B67" i="7"/>
  <c r="D67" i="7"/>
  <c r="AT68" i="38"/>
  <c r="C68" i="7"/>
  <c r="AX69" i="38"/>
  <c r="DJ68" i="7"/>
  <c r="AO67" i="38" l="1"/>
  <c r="AO68" i="38" s="1"/>
  <c r="AO69" i="38" s="1"/>
  <c r="AE67" i="38"/>
  <c r="A69" i="7"/>
  <c r="B70" i="38"/>
  <c r="AS70" i="38"/>
  <c r="AM70" i="38"/>
  <c r="D70" i="38"/>
  <c r="A71" i="38"/>
  <c r="AT69" i="38"/>
  <c r="B67" i="6"/>
  <c r="D68" i="7"/>
  <c r="B68" i="7"/>
  <c r="AA68" i="38"/>
  <c r="AV68" i="38" s="1"/>
  <c r="E68" i="38" s="1"/>
  <c r="AJ68" i="38"/>
  <c r="AB68" i="38"/>
  <c r="AL68" i="38"/>
  <c r="AK68" i="38"/>
  <c r="Z69" i="38"/>
  <c r="AY69" i="38" s="1"/>
  <c r="AZ69" i="38" s="1"/>
  <c r="Y69" i="38"/>
  <c r="C70" i="38"/>
  <c r="C69" i="7"/>
  <c r="DJ69" i="7"/>
  <c r="AX70" i="38"/>
  <c r="AO70" i="38" l="1"/>
  <c r="AE68" i="38"/>
  <c r="Z70" i="38"/>
  <c r="AY70" i="38" s="1"/>
  <c r="AZ70" i="38" s="1"/>
  <c r="Y70" i="38"/>
  <c r="A70" i="7"/>
  <c r="B71" i="38"/>
  <c r="AS71" i="38"/>
  <c r="D71" i="38"/>
  <c r="AM71" i="38"/>
  <c r="A72" i="38"/>
  <c r="B68" i="6"/>
  <c r="AJ69" i="38"/>
  <c r="AK69" i="38"/>
  <c r="AA69" i="38"/>
  <c r="AV69" i="38" s="1"/>
  <c r="E69" i="38" s="1"/>
  <c r="AB69" i="38"/>
  <c r="AL69" i="38"/>
  <c r="AT70" i="38"/>
  <c r="D69" i="7"/>
  <c r="B69" i="7"/>
  <c r="C71" i="38"/>
  <c r="C70" i="7"/>
  <c r="DJ70" i="7"/>
  <c r="AX71" i="38"/>
  <c r="AO71" i="38" l="1"/>
  <c r="AE69" i="38"/>
  <c r="B69" i="6"/>
  <c r="A71" i="7"/>
  <c r="B72" i="38"/>
  <c r="AS72" i="38"/>
  <c r="D72" i="38"/>
  <c r="AM72" i="38"/>
  <c r="A73" i="38"/>
  <c r="AB70" i="38"/>
  <c r="AJ70" i="38"/>
  <c r="AL70" i="38"/>
  <c r="AA70" i="38"/>
  <c r="AV70" i="38" s="1"/>
  <c r="E70" i="38" s="1"/>
  <c r="AK70" i="38"/>
  <c r="Z71" i="38"/>
  <c r="AY71" i="38" s="1"/>
  <c r="AZ71" i="38" s="1"/>
  <c r="Y71" i="38"/>
  <c r="AT71" i="38"/>
  <c r="D70" i="7"/>
  <c r="B70" i="7"/>
  <c r="C71" i="7"/>
  <c r="C72" i="38"/>
  <c r="DJ71" i="7"/>
  <c r="AX72" i="38"/>
  <c r="AO72" i="38" l="1"/>
  <c r="AE70" i="38"/>
  <c r="A72" i="7"/>
  <c r="B73" i="38"/>
  <c r="AS73" i="38"/>
  <c r="D73" i="38"/>
  <c r="AM73" i="38"/>
  <c r="A74" i="38"/>
  <c r="AT72" i="38"/>
  <c r="Z72" i="38"/>
  <c r="AY72" i="38" s="1"/>
  <c r="AZ72" i="38" s="1"/>
  <c r="Y72" i="38"/>
  <c r="D71" i="7"/>
  <c r="B71" i="7"/>
  <c r="AB71" i="38"/>
  <c r="AL71" i="38"/>
  <c r="AJ71" i="38"/>
  <c r="AA71" i="38"/>
  <c r="AV71" i="38" s="1"/>
  <c r="E71" i="38" s="1"/>
  <c r="AK71" i="38"/>
  <c r="B70" i="6"/>
  <c r="C72" i="7"/>
  <c r="C73" i="38"/>
  <c r="AX73" i="38"/>
  <c r="DJ72" i="7"/>
  <c r="AO73" i="38" l="1"/>
  <c r="AE71" i="38"/>
  <c r="B71" i="6"/>
  <c r="A75" i="38"/>
  <c r="A73" i="7"/>
  <c r="AS74" i="38"/>
  <c r="B74" i="38"/>
  <c r="AM74" i="38"/>
  <c r="D74" i="38"/>
  <c r="Y73" i="38"/>
  <c r="Z73" i="38"/>
  <c r="AY73" i="38" s="1"/>
  <c r="AZ73" i="38" s="1"/>
  <c r="AT73" i="38"/>
  <c r="AK72" i="38"/>
  <c r="AL72" i="38"/>
  <c r="AA72" i="38"/>
  <c r="AV72" i="38" s="1"/>
  <c r="E72" i="38" s="1"/>
  <c r="AB72" i="38"/>
  <c r="AJ72" i="38"/>
  <c r="B72" i="7"/>
  <c r="D72" i="7"/>
  <c r="C73" i="7"/>
  <c r="C74" i="38"/>
  <c r="C75" i="38"/>
  <c r="AX74" i="38"/>
  <c r="DJ73" i="7"/>
  <c r="AO74" i="38" l="1"/>
  <c r="AE72" i="38"/>
  <c r="B72" i="6"/>
  <c r="AB73" i="38"/>
  <c r="AA73" i="38"/>
  <c r="AV73" i="38" s="1"/>
  <c r="E73" i="38" s="1"/>
  <c r="AL73" i="38"/>
  <c r="AJ73" i="38"/>
  <c r="AK73" i="38"/>
  <c r="Y74" i="38"/>
  <c r="Z74" i="38"/>
  <c r="AY74" i="38" s="1"/>
  <c r="AZ74" i="38" s="1"/>
  <c r="D73" i="7"/>
  <c r="B73" i="7"/>
  <c r="AT74" i="38"/>
  <c r="B75" i="38"/>
  <c r="A76" i="38"/>
  <c r="AS75" i="38"/>
  <c r="AM75" i="38"/>
  <c r="D75" i="38"/>
  <c r="A74" i="7"/>
  <c r="C74" i="7"/>
  <c r="C76" i="38"/>
  <c r="AX75" i="38"/>
  <c r="DJ74" i="7"/>
  <c r="AO75" i="38" l="1"/>
  <c r="AE73" i="38"/>
  <c r="D76" i="38"/>
  <c r="AM76" i="38"/>
  <c r="AS76" i="38"/>
  <c r="B76" i="38"/>
  <c r="A75" i="7"/>
  <c r="A77" i="38"/>
  <c r="AL74" i="38"/>
  <c r="AK74" i="38"/>
  <c r="AB74" i="38"/>
  <c r="AA74" i="38"/>
  <c r="AV74" i="38" s="1"/>
  <c r="E74" i="38" s="1"/>
  <c r="AJ74" i="38"/>
  <c r="Z75" i="38"/>
  <c r="AY75" i="38" s="1"/>
  <c r="AZ75" i="38" s="1"/>
  <c r="Y75" i="38"/>
  <c r="B74" i="7"/>
  <c r="D74" i="7"/>
  <c r="AT75" i="38"/>
  <c r="B73" i="6"/>
  <c r="C75" i="7"/>
  <c r="AX76" i="38"/>
  <c r="DJ75" i="7"/>
  <c r="AO76" i="38" l="1"/>
  <c r="AT76" i="38"/>
  <c r="AE74" i="38"/>
  <c r="AJ75" i="38"/>
  <c r="AK75" i="38"/>
  <c r="AA75" i="38"/>
  <c r="AV75" i="38" s="1"/>
  <c r="E75" i="38" s="1"/>
  <c r="AB75" i="38"/>
  <c r="AL75" i="38"/>
  <c r="D75" i="7"/>
  <c r="B75" i="7"/>
  <c r="B74" i="6"/>
  <c r="Z76" i="38"/>
  <c r="AY76" i="38" s="1"/>
  <c r="AZ76" i="38" s="1"/>
  <c r="Y76" i="38"/>
  <c r="A76" i="7"/>
  <c r="AS77" i="38"/>
  <c r="B77" i="38"/>
  <c r="D77" i="38"/>
  <c r="AM77" i="38"/>
  <c r="A78" i="38"/>
  <c r="C76" i="7"/>
  <c r="C77" i="38"/>
  <c r="DJ76" i="7"/>
  <c r="AX77" i="38"/>
  <c r="AO77" i="38" l="1"/>
  <c r="B75" i="6"/>
  <c r="AE75" i="38"/>
  <c r="AT77" i="38"/>
  <c r="B76" i="7"/>
  <c r="D76" i="7"/>
  <c r="A77" i="7"/>
  <c r="AS78" i="38"/>
  <c r="B78" i="38"/>
  <c r="D78" i="38"/>
  <c r="AM78" i="38"/>
  <c r="A79" i="38"/>
  <c r="AB76" i="38"/>
  <c r="AA76" i="38"/>
  <c r="AV76" i="38" s="1"/>
  <c r="E76" i="38" s="1"/>
  <c r="AJ76" i="38"/>
  <c r="AK76" i="38"/>
  <c r="AL76" i="38"/>
  <c r="Z77" i="38"/>
  <c r="AY77" i="38" s="1"/>
  <c r="AZ77" i="38" s="1"/>
  <c r="Y77" i="38"/>
  <c r="C77" i="7"/>
  <c r="C78" i="38"/>
  <c r="AX78" i="38"/>
  <c r="DJ77" i="7"/>
  <c r="AO78" i="38" l="1"/>
  <c r="AE76" i="38"/>
  <c r="Z78" i="38"/>
  <c r="AY78" i="38" s="1"/>
  <c r="AZ78" i="38" s="1"/>
  <c r="Y78" i="38"/>
  <c r="B77" i="7"/>
  <c r="D77" i="7"/>
  <c r="A78" i="7"/>
  <c r="B79" i="38"/>
  <c r="AS79" i="38"/>
  <c r="D79" i="38"/>
  <c r="AM79" i="38"/>
  <c r="A80" i="38"/>
  <c r="AT78" i="38"/>
  <c r="B76" i="6"/>
  <c r="AJ77" i="38"/>
  <c r="AB77" i="38"/>
  <c r="AL77" i="38"/>
  <c r="AK77" i="38"/>
  <c r="AA77" i="38"/>
  <c r="AV77" i="38" s="1"/>
  <c r="E77" i="38" s="1"/>
  <c r="C78" i="7"/>
  <c r="C79" i="38"/>
  <c r="DJ78" i="7"/>
  <c r="AX79" i="38"/>
  <c r="AO79" i="38" l="1"/>
  <c r="B77" i="6"/>
  <c r="AE77" i="38"/>
  <c r="A79" i="7"/>
  <c r="AS80" i="38"/>
  <c r="B80" i="38"/>
  <c r="D80" i="38"/>
  <c r="AM80" i="38"/>
  <c r="A81" i="38"/>
  <c r="AA78" i="38"/>
  <c r="AV78" i="38" s="1"/>
  <c r="E78" i="38" s="1"/>
  <c r="AJ78" i="38"/>
  <c r="AB78" i="38"/>
  <c r="AL78" i="38"/>
  <c r="AK78" i="38"/>
  <c r="Z79" i="38"/>
  <c r="AY79" i="38" s="1"/>
  <c r="AZ79" i="38" s="1"/>
  <c r="Y79" i="38"/>
  <c r="AT79" i="38"/>
  <c r="B78" i="7"/>
  <c r="D78" i="7"/>
  <c r="C79" i="7"/>
  <c r="C80" i="38"/>
  <c r="AX80" i="38"/>
  <c r="DJ79" i="7"/>
  <c r="AO80" i="38" l="1"/>
  <c r="AE78" i="38"/>
  <c r="Z80" i="38"/>
  <c r="AY80" i="38" s="1"/>
  <c r="AZ80" i="38" s="1"/>
  <c r="Y80" i="38"/>
  <c r="B78" i="6"/>
  <c r="A82" i="38"/>
  <c r="A80" i="7"/>
  <c r="AS81" i="38"/>
  <c r="B81" i="38"/>
  <c r="D81" i="38"/>
  <c r="AM81" i="38"/>
  <c r="AT80" i="38"/>
  <c r="AK79" i="38"/>
  <c r="AB79" i="38"/>
  <c r="AL79" i="38"/>
  <c r="AA79" i="38"/>
  <c r="AV79" i="38" s="1"/>
  <c r="E79" i="38" s="1"/>
  <c r="AJ79" i="38"/>
  <c r="D79" i="7"/>
  <c r="B79" i="7"/>
  <c r="C80" i="7"/>
  <c r="C82" i="38"/>
  <c r="C81" i="38"/>
  <c r="DJ80" i="7"/>
  <c r="AX81" i="38"/>
  <c r="AO81" i="38" l="1"/>
  <c r="AE79" i="38"/>
  <c r="B79" i="6"/>
  <c r="AM82" i="38"/>
  <c r="AS82" i="38"/>
  <c r="A83" i="38"/>
  <c r="B82" i="38"/>
  <c r="D82" i="38"/>
  <c r="A81" i="7"/>
  <c r="AT81" i="38"/>
  <c r="Y81" i="38"/>
  <c r="Z81" i="38"/>
  <c r="AY81" i="38" s="1"/>
  <c r="AZ81" i="38" s="1"/>
  <c r="D80" i="7"/>
  <c r="B80" i="7"/>
  <c r="AJ80" i="38"/>
  <c r="AA80" i="38"/>
  <c r="AV80" i="38" s="1"/>
  <c r="E80" i="38" s="1"/>
  <c r="AL80" i="38"/>
  <c r="AB80" i="38"/>
  <c r="AK80" i="38"/>
  <c r="C83" i="38"/>
  <c r="C81" i="7"/>
  <c r="DJ81" i="7"/>
  <c r="AX82" i="38"/>
  <c r="AO82" i="38" l="1"/>
  <c r="AE80" i="38"/>
  <c r="B81" i="7"/>
  <c r="D81" i="7"/>
  <c r="AS83" i="38"/>
  <c r="AM83" i="38"/>
  <c r="B83" i="38"/>
  <c r="D83" i="38"/>
  <c r="A82" i="7"/>
  <c r="A84" i="38"/>
  <c r="B80" i="6"/>
  <c r="AA81" i="38"/>
  <c r="AV81" i="38" s="1"/>
  <c r="E81" i="38" s="1"/>
  <c r="AB81" i="38"/>
  <c r="AL81" i="38"/>
  <c r="AK81" i="38"/>
  <c r="AJ81" i="38"/>
  <c r="AT82" i="38"/>
  <c r="Z82" i="38"/>
  <c r="AY82" i="38" s="1"/>
  <c r="AZ82" i="38" s="1"/>
  <c r="Y82" i="38"/>
  <c r="C82" i="7"/>
  <c r="AX83" i="38"/>
  <c r="DJ82" i="7"/>
  <c r="AO83" i="38" l="1"/>
  <c r="AE81" i="38"/>
  <c r="Z83" i="38"/>
  <c r="AY83" i="38" s="1"/>
  <c r="AZ83" i="38" s="1"/>
  <c r="Y83" i="38"/>
  <c r="A83" i="7"/>
  <c r="B84" i="38"/>
  <c r="AS84" i="38"/>
  <c r="D84" i="38"/>
  <c r="AO84" i="38" s="1"/>
  <c r="AM84" i="38"/>
  <c r="A85" i="38"/>
  <c r="AK82" i="38"/>
  <c r="AA82" i="38"/>
  <c r="AV82" i="38" s="1"/>
  <c r="E82" i="38" s="1"/>
  <c r="AL82" i="38"/>
  <c r="AB82" i="38"/>
  <c r="AJ82" i="38"/>
  <c r="B81" i="6"/>
  <c r="D82" i="7"/>
  <c r="B82" i="7"/>
  <c r="AT83" i="38"/>
  <c r="C83" i="7"/>
  <c r="C84" i="38"/>
  <c r="DJ83" i="7"/>
  <c r="AX84" i="38"/>
  <c r="AE82" i="38" l="1"/>
  <c r="A84" i="7"/>
  <c r="AS85" i="38"/>
  <c r="B85" i="38"/>
  <c r="D85" i="38"/>
  <c r="AO85" i="38" s="1"/>
  <c r="AM85" i="38"/>
  <c r="A86" i="38"/>
  <c r="D83" i="7"/>
  <c r="B83" i="7"/>
  <c r="AT84" i="38"/>
  <c r="Z84" i="38"/>
  <c r="AY84" i="38" s="1"/>
  <c r="AZ84" i="38" s="1"/>
  <c r="Y84" i="38"/>
  <c r="AK83" i="38"/>
  <c r="AJ83" i="38"/>
  <c r="AL83" i="38"/>
  <c r="AB83" i="38"/>
  <c r="AA83" i="38"/>
  <c r="AV83" i="38" s="1"/>
  <c r="E83" i="38" s="1"/>
  <c r="B82" i="6"/>
  <c r="C84" i="7"/>
  <c r="C85" i="38"/>
  <c r="AX85" i="38"/>
  <c r="DJ84" i="7"/>
  <c r="AE83" i="38" l="1"/>
  <c r="B83" i="6"/>
  <c r="A85" i="7"/>
  <c r="B86" i="38"/>
  <c r="AS86" i="38"/>
  <c r="D86" i="38"/>
  <c r="AO86" i="38" s="1"/>
  <c r="AM86" i="38"/>
  <c r="A87" i="38"/>
  <c r="AB84" i="38"/>
  <c r="AJ84" i="38"/>
  <c r="AL84" i="38"/>
  <c r="AA84" i="38"/>
  <c r="AV84" i="38" s="1"/>
  <c r="E84" i="38" s="1"/>
  <c r="AK84" i="38"/>
  <c r="Z85" i="38"/>
  <c r="AY85" i="38" s="1"/>
  <c r="AZ85" i="38" s="1"/>
  <c r="Y85" i="38"/>
  <c r="AT85" i="38"/>
  <c r="B84" i="7"/>
  <c r="D84" i="7"/>
  <c r="C86" i="38"/>
  <c r="C85" i="7"/>
  <c r="AX86" i="38"/>
  <c r="DJ85" i="7"/>
  <c r="AE84" i="38" l="1"/>
  <c r="AA85" i="38"/>
  <c r="AV85" i="38" s="1"/>
  <c r="E85" i="38" s="1"/>
  <c r="AL85" i="38"/>
  <c r="AK85" i="38"/>
  <c r="AB85" i="38"/>
  <c r="AJ85" i="38"/>
  <c r="A86" i="7"/>
  <c r="AS87" i="38"/>
  <c r="B87" i="38"/>
  <c r="D87" i="38"/>
  <c r="AO87" i="38" s="1"/>
  <c r="AM87" i="38"/>
  <c r="A88" i="38"/>
  <c r="B84" i="6"/>
  <c r="Y86" i="38"/>
  <c r="Z86" i="38"/>
  <c r="AY86" i="38" s="1"/>
  <c r="AZ86" i="38" s="1"/>
  <c r="AT86" i="38"/>
  <c r="B85" i="7"/>
  <c r="D85" i="7"/>
  <c r="C87" i="38"/>
  <c r="C86" i="7"/>
  <c r="AX87" i="38"/>
  <c r="DJ86" i="7"/>
  <c r="AE85" i="38" l="1"/>
  <c r="B85" i="6"/>
  <c r="Z87" i="38"/>
  <c r="AY87" i="38" s="1"/>
  <c r="AZ87" i="38" s="1"/>
  <c r="Y87" i="38"/>
  <c r="A89" i="38"/>
  <c r="A87" i="7"/>
  <c r="AS88" i="38"/>
  <c r="B88" i="38"/>
  <c r="AM88" i="38"/>
  <c r="D88" i="38"/>
  <c r="AO88" i="38" s="1"/>
  <c r="AT87" i="38"/>
  <c r="D86" i="7"/>
  <c r="B86" i="7"/>
  <c r="AL86" i="38"/>
  <c r="AB86" i="38"/>
  <c r="AK86" i="38"/>
  <c r="AJ86" i="38"/>
  <c r="AA86" i="38"/>
  <c r="AV86" i="38" s="1"/>
  <c r="E86" i="38" s="1"/>
  <c r="C87" i="7"/>
  <c r="C88" i="38"/>
  <c r="C89" i="38"/>
  <c r="DJ87" i="7"/>
  <c r="AX88" i="38"/>
  <c r="B86" i="6" l="1"/>
  <c r="AE86" i="38"/>
  <c r="Y88" i="38"/>
  <c r="Z88" i="38"/>
  <c r="AY88" i="38" s="1"/>
  <c r="AZ88" i="38" s="1"/>
  <c r="B87" i="7"/>
  <c r="D87" i="7"/>
  <c r="AT88" i="38"/>
  <c r="A90" i="38"/>
  <c r="B89" i="38"/>
  <c r="AM89" i="38"/>
  <c r="D89" i="38"/>
  <c r="AO89" i="38" s="1"/>
  <c r="AS89" i="38"/>
  <c r="A88" i="7"/>
  <c r="AA87" i="38"/>
  <c r="AV87" i="38" s="1"/>
  <c r="E87" i="38" s="1"/>
  <c r="AB87" i="38"/>
  <c r="AK87" i="38"/>
  <c r="AJ87" i="38"/>
  <c r="AL87" i="38"/>
  <c r="C88" i="7"/>
  <c r="C90" i="38"/>
  <c r="AX89" i="38"/>
  <c r="DJ88" i="7"/>
  <c r="AE87" i="38" l="1"/>
  <c r="Z89" i="38"/>
  <c r="AY89" i="38" s="1"/>
  <c r="AZ89" i="38" s="1"/>
  <c r="Y89" i="38"/>
  <c r="B88" i="7"/>
  <c r="D88" i="7"/>
  <c r="AT89" i="38"/>
  <c r="AS90" i="38"/>
  <c r="B90" i="38"/>
  <c r="D90" i="38"/>
  <c r="AO90" i="38" s="1"/>
  <c r="AM90" i="38"/>
  <c r="A89" i="7"/>
  <c r="A91" i="38"/>
  <c r="AB88" i="38"/>
  <c r="AK88" i="38"/>
  <c r="AA88" i="38"/>
  <c r="AV88" i="38" s="1"/>
  <c r="E88" i="38" s="1"/>
  <c r="AL88" i="38"/>
  <c r="AJ88" i="38"/>
  <c r="B87" i="6"/>
  <c r="C89" i="7"/>
  <c r="DJ89" i="7"/>
  <c r="AX90" i="38"/>
  <c r="AE88" i="38" l="1"/>
  <c r="Z90" i="38"/>
  <c r="AY90" i="38" s="1"/>
  <c r="AZ90" i="38" s="1"/>
  <c r="Y90" i="38"/>
  <c r="B88" i="6"/>
  <c r="AB89" i="38"/>
  <c r="AL89" i="38"/>
  <c r="AA89" i="38"/>
  <c r="AV89" i="38" s="1"/>
  <c r="E89" i="38" s="1"/>
  <c r="AJ89" i="38"/>
  <c r="AK89" i="38"/>
  <c r="A90" i="7"/>
  <c r="D91" i="38"/>
  <c r="AO91" i="38" s="1"/>
  <c r="AS91" i="38"/>
  <c r="B91" i="38"/>
  <c r="AM91" i="38"/>
  <c r="A92" i="38"/>
  <c r="B89" i="7"/>
  <c r="D89" i="7"/>
  <c r="AT90" i="38"/>
  <c r="C91" i="38"/>
  <c r="C90" i="7"/>
  <c r="DJ90" i="7"/>
  <c r="AX91" i="38"/>
  <c r="AE89" i="38" l="1"/>
  <c r="B90" i="7"/>
  <c r="D90" i="7"/>
  <c r="B89" i="6"/>
  <c r="Z91" i="38"/>
  <c r="AY91" i="38" s="1"/>
  <c r="AZ91" i="38" s="1"/>
  <c r="Y91" i="38"/>
  <c r="AT91" i="38"/>
  <c r="AK90" i="38"/>
  <c r="AL90" i="38"/>
  <c r="AA90" i="38"/>
  <c r="AV90" i="38" s="1"/>
  <c r="E90" i="38" s="1"/>
  <c r="AB90" i="38"/>
  <c r="AJ90" i="38"/>
  <c r="A91" i="7"/>
  <c r="B92" i="38"/>
  <c r="AS92" i="38"/>
  <c r="D92" i="38"/>
  <c r="AO92" i="38" s="1"/>
  <c r="AM92" i="38"/>
  <c r="A93" i="38"/>
  <c r="C92" i="38"/>
  <c r="C91" i="7"/>
  <c r="AX92" i="38"/>
  <c r="DJ91" i="7"/>
  <c r="AE90" i="38" l="1"/>
  <c r="AT92" i="38"/>
  <c r="B91" i="7"/>
  <c r="D91" i="7"/>
  <c r="A92" i="7"/>
  <c r="AS93" i="38"/>
  <c r="B93" i="38"/>
  <c r="D93" i="38"/>
  <c r="AO93" i="38" s="1"/>
  <c r="AM93" i="38"/>
  <c r="A94" i="38"/>
  <c r="B90" i="6"/>
  <c r="AJ91" i="38"/>
  <c r="AK91" i="38"/>
  <c r="AL91" i="38"/>
  <c r="AB91" i="38"/>
  <c r="AA91" i="38"/>
  <c r="AV91" i="38" s="1"/>
  <c r="E91" i="38" s="1"/>
  <c r="Z92" i="38"/>
  <c r="AY92" i="38" s="1"/>
  <c r="AZ92" i="38" s="1"/>
  <c r="Y92" i="38"/>
  <c r="C93" i="38"/>
  <c r="C92" i="7"/>
  <c r="AX93" i="38"/>
  <c r="DJ92" i="7"/>
  <c r="AE91" i="38" l="1"/>
  <c r="B91" i="6"/>
  <c r="A93" i="7"/>
  <c r="B94" i="38"/>
  <c r="AS94" i="38"/>
  <c r="D94" i="38"/>
  <c r="AO94" i="38" s="1"/>
  <c r="AM94" i="38"/>
  <c r="A95" i="38"/>
  <c r="AT93" i="38"/>
  <c r="Y93" i="38"/>
  <c r="Z93" i="38"/>
  <c r="AY93" i="38" s="1"/>
  <c r="AZ93" i="38" s="1"/>
  <c r="B92" i="7"/>
  <c r="D92" i="7"/>
  <c r="AL92" i="38"/>
  <c r="AB92" i="38"/>
  <c r="AJ92" i="38"/>
  <c r="AK92" i="38"/>
  <c r="AA92" i="38"/>
  <c r="AV92" i="38" s="1"/>
  <c r="E92" i="38" s="1"/>
  <c r="C94" i="38"/>
  <c r="C93" i="7"/>
  <c r="AX94" i="38"/>
  <c r="DJ93" i="7"/>
  <c r="AE92" i="38" l="1"/>
  <c r="A96" i="38"/>
  <c r="A94" i="7"/>
  <c r="AS95" i="38"/>
  <c r="B95" i="38"/>
  <c r="AM95" i="38"/>
  <c r="D95" i="38"/>
  <c r="AO95" i="38" s="1"/>
  <c r="AK93" i="38"/>
  <c r="AA93" i="38"/>
  <c r="AV93" i="38" s="1"/>
  <c r="E93" i="38" s="1"/>
  <c r="AL93" i="38"/>
  <c r="AB93" i="38"/>
  <c r="AJ93" i="38"/>
  <c r="Y94" i="38"/>
  <c r="Z94" i="38"/>
  <c r="AY94" i="38" s="1"/>
  <c r="AZ94" i="38" s="1"/>
  <c r="AT94" i="38"/>
  <c r="D93" i="7"/>
  <c r="B93" i="7"/>
  <c r="B92" i="6"/>
  <c r="C96" i="38"/>
  <c r="C94" i="7"/>
  <c r="C95" i="38"/>
  <c r="AX95" i="38"/>
  <c r="DJ94" i="7"/>
  <c r="AE93" i="38" l="1"/>
  <c r="B93" i="6"/>
  <c r="Z95" i="38"/>
  <c r="AY95" i="38" s="1"/>
  <c r="AZ95" i="38" s="1"/>
  <c r="Y95" i="38"/>
  <c r="AJ94" i="38"/>
  <c r="AL94" i="38"/>
  <c r="AB94" i="38"/>
  <c r="AK94" i="38"/>
  <c r="AA94" i="38"/>
  <c r="AV94" i="38" s="1"/>
  <c r="E94" i="38" s="1"/>
  <c r="AT95" i="38"/>
  <c r="B94" i="7"/>
  <c r="D94" i="7"/>
  <c r="A97" i="38"/>
  <c r="AM96" i="38"/>
  <c r="D96" i="38"/>
  <c r="B96" i="38"/>
  <c r="AS96" i="38"/>
  <c r="A95" i="7"/>
  <c r="C95" i="7"/>
  <c r="C97" i="38"/>
  <c r="DJ95" i="7"/>
  <c r="AX96" i="38"/>
  <c r="AE94" i="38" l="1"/>
  <c r="Z96" i="38"/>
  <c r="AY96" i="38" s="1"/>
  <c r="AZ96" i="38" s="1"/>
  <c r="Y96" i="38"/>
  <c r="B97" i="38"/>
  <c r="AM97" i="38"/>
  <c r="AS97" i="38"/>
  <c r="D97" i="38"/>
  <c r="A96" i="7"/>
  <c r="A98" i="38"/>
  <c r="AA95" i="38"/>
  <c r="AV95" i="38" s="1"/>
  <c r="E95" i="38" s="1"/>
  <c r="AK95" i="38"/>
  <c r="AL95" i="38"/>
  <c r="AB95" i="38"/>
  <c r="AJ95" i="38"/>
  <c r="D95" i="7"/>
  <c r="B95" i="7"/>
  <c r="AT96" i="38"/>
  <c r="B94" i="6"/>
  <c r="C96" i="7"/>
  <c r="AX97" i="38"/>
  <c r="DJ96" i="7"/>
  <c r="AE95" i="38" l="1"/>
  <c r="AO96" i="38" s="1"/>
  <c r="B95" i="6"/>
  <c r="B96" i="7"/>
  <c r="D96" i="7"/>
  <c r="AJ96" i="38"/>
  <c r="AL96" i="38"/>
  <c r="AB96" i="38"/>
  <c r="AA96" i="38"/>
  <c r="AV96" i="38" s="1"/>
  <c r="E96" i="38" s="1"/>
  <c r="AK96" i="38"/>
  <c r="A97" i="7"/>
  <c r="B98" i="38"/>
  <c r="AS98" i="38"/>
  <c r="AM98" i="38"/>
  <c r="D98" i="38"/>
  <c r="A99" i="38"/>
  <c r="AT97" i="38"/>
  <c r="Z97" i="38"/>
  <c r="AY97" i="38" s="1"/>
  <c r="AZ97" i="38" s="1"/>
  <c r="Y97" i="38"/>
  <c r="C98" i="38"/>
  <c r="C97" i="7"/>
  <c r="AX98" i="38"/>
  <c r="DJ97" i="7"/>
  <c r="AE96" i="38" l="1"/>
  <c r="Z98" i="38"/>
  <c r="AY98" i="38" s="1"/>
  <c r="AZ98" i="38" s="1"/>
  <c r="Y98" i="38"/>
  <c r="B97" i="7"/>
  <c r="D97" i="7"/>
  <c r="AK97" i="38"/>
  <c r="AJ97" i="38"/>
  <c r="AA97" i="38"/>
  <c r="AV97" i="38" s="1"/>
  <c r="E97" i="38" s="1"/>
  <c r="AB97" i="38"/>
  <c r="AL97" i="38"/>
  <c r="AT98" i="38"/>
  <c r="A98" i="7"/>
  <c r="B99" i="38"/>
  <c r="AS99" i="38"/>
  <c r="D99" i="38"/>
  <c r="AM99" i="38"/>
  <c r="A100" i="38"/>
  <c r="B96" i="6"/>
  <c r="C98" i="7"/>
  <c r="C99" i="38"/>
  <c r="AX99" i="38"/>
  <c r="DJ98" i="7"/>
  <c r="AE97" i="38" l="1"/>
  <c r="AO97" i="38"/>
  <c r="AT99" i="38"/>
  <c r="A99" i="7"/>
  <c r="B100" i="38"/>
  <c r="AS100" i="38"/>
  <c r="AM100" i="38"/>
  <c r="D100" i="38"/>
  <c r="A101" i="38"/>
  <c r="Z99" i="38"/>
  <c r="AY99" i="38" s="1"/>
  <c r="AZ99" i="38" s="1"/>
  <c r="Y99" i="38"/>
  <c r="AJ98" i="38"/>
  <c r="AK98" i="38"/>
  <c r="AB98" i="38"/>
  <c r="AL98" i="38"/>
  <c r="AA98" i="38"/>
  <c r="AV98" i="38" s="1"/>
  <c r="E98" i="38" s="1"/>
  <c r="D98" i="7"/>
  <c r="B98" i="7"/>
  <c r="B97" i="6"/>
  <c r="C100" i="38"/>
  <c r="C99" i="7"/>
  <c r="AX100" i="38"/>
  <c r="DJ99" i="7"/>
  <c r="AO98" i="38" l="1"/>
  <c r="AO99" i="38" s="1"/>
  <c r="AO100" i="38" s="1"/>
  <c r="AE98" i="38"/>
  <c r="AT100" i="38"/>
  <c r="AA99" i="38"/>
  <c r="AV99" i="38" s="1"/>
  <c r="E99" i="38" s="1"/>
  <c r="AK99" i="38"/>
  <c r="AB99" i="38"/>
  <c r="AJ99" i="38"/>
  <c r="AL99" i="38"/>
  <c r="Z100" i="38"/>
  <c r="AY100" i="38" s="1"/>
  <c r="AZ100" i="38" s="1"/>
  <c r="Y100" i="38"/>
  <c r="D99" i="7"/>
  <c r="B99" i="7"/>
  <c r="A102" i="38"/>
  <c r="A100" i="7"/>
  <c r="B101" i="38"/>
  <c r="AS101" i="38"/>
  <c r="D101" i="38"/>
  <c r="AM101" i="38"/>
  <c r="B98" i="6"/>
  <c r="C102" i="38"/>
  <c r="C100" i="7"/>
  <c r="C101" i="38"/>
  <c r="AX101" i="38"/>
  <c r="DJ100" i="7"/>
  <c r="AO101" i="38" l="1"/>
  <c r="AE99" i="38"/>
  <c r="B99" i="6"/>
  <c r="AM102" i="38"/>
  <c r="AS102" i="38"/>
  <c r="A103" i="38"/>
  <c r="D102" i="38"/>
  <c r="B102" i="38"/>
  <c r="A101" i="7"/>
  <c r="B100" i="7"/>
  <c r="D100" i="7"/>
  <c r="AK100" i="38"/>
  <c r="AJ100" i="38"/>
  <c r="AL100" i="38"/>
  <c r="AB100" i="38"/>
  <c r="AA100" i="38"/>
  <c r="AV100" i="38" s="1"/>
  <c r="E100" i="38" s="1"/>
  <c r="Z101" i="38"/>
  <c r="AY101" i="38" s="1"/>
  <c r="AZ101" i="38" s="1"/>
  <c r="Y101" i="38"/>
  <c r="AT101" i="38"/>
  <c r="C101" i="7"/>
  <c r="C103" i="38"/>
  <c r="DJ101" i="7"/>
  <c r="AX102" i="38"/>
  <c r="AO102" i="38" l="1"/>
  <c r="AE100" i="38"/>
  <c r="B100" i="6"/>
  <c r="D101" i="7"/>
  <c r="B101" i="7"/>
  <c r="AS103" i="38"/>
  <c r="A104" i="38"/>
  <c r="AM103" i="38"/>
  <c r="D103" i="38"/>
  <c r="B103" i="38"/>
  <c r="A102" i="7"/>
  <c r="AK101" i="38"/>
  <c r="AA101" i="38"/>
  <c r="AV101" i="38" s="1"/>
  <c r="E101" i="38" s="1"/>
  <c r="AB101" i="38"/>
  <c r="AJ101" i="38"/>
  <c r="AL101" i="38"/>
  <c r="AT102" i="38"/>
  <c r="Y102" i="38"/>
  <c r="Z102" i="38"/>
  <c r="AY102" i="38" s="1"/>
  <c r="AZ102" i="38" s="1"/>
  <c r="C104" i="38"/>
  <c r="C102" i="7"/>
  <c r="AX103" i="38"/>
  <c r="DJ102" i="7"/>
  <c r="AO103" i="38" l="1"/>
  <c r="AE101" i="38"/>
  <c r="AT103" i="38"/>
  <c r="Z103" i="38"/>
  <c r="AY103" i="38" s="1"/>
  <c r="AZ103" i="38" s="1"/>
  <c r="Y103" i="38"/>
  <c r="B102" i="7"/>
  <c r="D102" i="7"/>
  <c r="AM104" i="38"/>
  <c r="B104" i="38"/>
  <c r="AS104" i="38"/>
  <c r="D104" i="38"/>
  <c r="A105" i="38"/>
  <c r="A103" i="7"/>
  <c r="AB102" i="38"/>
  <c r="AA102" i="38"/>
  <c r="AV102" i="38" s="1"/>
  <c r="E102" i="38" s="1"/>
  <c r="AJ102" i="38"/>
  <c r="AL102" i="38"/>
  <c r="AK102" i="38"/>
  <c r="B101" i="6"/>
  <c r="C103" i="7"/>
  <c r="C105" i="38"/>
  <c r="AX104" i="38"/>
  <c r="DJ103" i="7"/>
  <c r="AO104" i="38" l="1"/>
  <c r="AE102" i="38"/>
  <c r="AT104" i="38"/>
  <c r="Z104" i="38"/>
  <c r="AY104" i="38" s="1"/>
  <c r="AZ104" i="38" s="1"/>
  <c r="Y104" i="38"/>
  <c r="B103" i="7"/>
  <c r="D103" i="7"/>
  <c r="B102" i="6"/>
  <c r="AL103" i="38"/>
  <c r="AK103" i="38"/>
  <c r="AB103" i="38"/>
  <c r="AJ103" i="38"/>
  <c r="AA103" i="38"/>
  <c r="AV103" i="38" s="1"/>
  <c r="E103" i="38" s="1"/>
  <c r="AS105" i="38"/>
  <c r="AM105" i="38"/>
  <c r="B105" i="38"/>
  <c r="D105" i="38"/>
  <c r="AO105" i="38" s="1"/>
  <c r="A104" i="7"/>
  <c r="A106" i="38"/>
  <c r="C104" i="7"/>
  <c r="AX105" i="38"/>
  <c r="DJ104" i="7"/>
  <c r="AE103" i="38" l="1"/>
  <c r="AT105" i="38"/>
  <c r="Z105" i="38"/>
  <c r="AY105" i="38" s="1"/>
  <c r="AZ105" i="38" s="1"/>
  <c r="Y105" i="38"/>
  <c r="B103" i="6"/>
  <c r="A105" i="7"/>
  <c r="AS106" i="38"/>
  <c r="B106" i="38"/>
  <c r="D106" i="38"/>
  <c r="AO106" i="38" s="1"/>
  <c r="AM106" i="38"/>
  <c r="A107" i="38"/>
  <c r="AJ104" i="38"/>
  <c r="AK104" i="38"/>
  <c r="AL104" i="38"/>
  <c r="AA104" i="38"/>
  <c r="AV104" i="38" s="1"/>
  <c r="E104" i="38" s="1"/>
  <c r="AB104" i="38"/>
  <c r="D104" i="7"/>
  <c r="B104" i="7"/>
  <c r="C106" i="38"/>
  <c r="C105" i="7"/>
  <c r="AX106" i="38"/>
  <c r="DJ105" i="7"/>
  <c r="AE104" i="38" l="1"/>
  <c r="D105" i="7"/>
  <c r="B105" i="7"/>
  <c r="B104" i="6"/>
  <c r="A106" i="7"/>
  <c r="AS107" i="38"/>
  <c r="B107" i="38"/>
  <c r="D107" i="38"/>
  <c r="AO107" i="38" s="1"/>
  <c r="AM107" i="38"/>
  <c r="A108" i="38"/>
  <c r="AB105" i="38"/>
  <c r="AL105" i="38"/>
  <c r="AJ105" i="38"/>
  <c r="AA105" i="38"/>
  <c r="AV105" i="38" s="1"/>
  <c r="E105" i="38" s="1"/>
  <c r="AK105" i="38"/>
  <c r="Z106" i="38"/>
  <c r="AY106" i="38" s="1"/>
  <c r="AZ106" i="38" s="1"/>
  <c r="Y106" i="38"/>
  <c r="AT106" i="38"/>
  <c r="C106" i="7"/>
  <c r="C107" i="38"/>
  <c r="DJ106" i="7"/>
  <c r="AX107" i="38"/>
  <c r="AE105" i="38" l="1"/>
  <c r="D106" i="7"/>
  <c r="B106" i="7"/>
  <c r="Z107" i="38"/>
  <c r="AY107" i="38" s="1"/>
  <c r="AZ107" i="38" s="1"/>
  <c r="Y107" i="38"/>
  <c r="AJ106" i="38"/>
  <c r="AA106" i="38"/>
  <c r="AV106" i="38" s="1"/>
  <c r="E106" i="38" s="1"/>
  <c r="AL106" i="38"/>
  <c r="AB106" i="38"/>
  <c r="AK106" i="38"/>
  <c r="A107" i="7"/>
  <c r="AS108" i="38"/>
  <c r="B108" i="38"/>
  <c r="D108" i="38"/>
  <c r="AO108" i="38" s="1"/>
  <c r="AM108" i="38"/>
  <c r="A109" i="38"/>
  <c r="AT107" i="38"/>
  <c r="B105" i="6"/>
  <c r="C108" i="38"/>
  <c r="C107" i="7"/>
  <c r="DJ107" i="7"/>
  <c r="AX108" i="38"/>
  <c r="AE106" i="38" l="1"/>
  <c r="AT108" i="38"/>
  <c r="B107" i="7"/>
  <c r="D107" i="7"/>
  <c r="AJ107" i="38"/>
  <c r="AL107" i="38"/>
  <c r="AK107" i="38"/>
  <c r="AA107" i="38"/>
  <c r="AV107" i="38" s="1"/>
  <c r="E107" i="38" s="1"/>
  <c r="AB107" i="38"/>
  <c r="A110" i="38"/>
  <c r="A108" i="7"/>
  <c r="AS109" i="38"/>
  <c r="B109" i="38"/>
  <c r="AM109" i="38"/>
  <c r="D109" i="38"/>
  <c r="AO109" i="38" s="1"/>
  <c r="B106" i="6"/>
  <c r="Z108" i="38"/>
  <c r="AY108" i="38" s="1"/>
  <c r="AZ108" i="38" s="1"/>
  <c r="Y108" i="38"/>
  <c r="C108" i="7"/>
  <c r="C109" i="38"/>
  <c r="C110" i="38"/>
  <c r="AX109" i="38"/>
  <c r="DJ108" i="7"/>
  <c r="AE107" i="38" l="1"/>
  <c r="AT109" i="38"/>
  <c r="B110" i="38"/>
  <c r="AM110" i="38"/>
  <c r="D110" i="38"/>
  <c r="AO110" i="38" s="1"/>
  <c r="A111" i="38"/>
  <c r="AS110" i="38"/>
  <c r="A109" i="7"/>
  <c r="Y109" i="38"/>
  <c r="Z109" i="38"/>
  <c r="AY109" i="38" s="1"/>
  <c r="AZ109" i="38" s="1"/>
  <c r="B107" i="6"/>
  <c r="D108" i="7"/>
  <c r="B108" i="7"/>
  <c r="AJ108" i="38"/>
  <c r="AL108" i="38"/>
  <c r="AK108" i="38"/>
  <c r="AB108" i="38"/>
  <c r="AA108" i="38"/>
  <c r="AV108" i="38" s="1"/>
  <c r="E108" i="38" s="1"/>
  <c r="C109" i="7"/>
  <c r="C111" i="38"/>
  <c r="DJ109" i="7"/>
  <c r="AX110" i="38"/>
  <c r="B108" i="6" l="1"/>
  <c r="AE108" i="38"/>
  <c r="AT110" i="38"/>
  <c r="AS111" i="38"/>
  <c r="AM111" i="38"/>
  <c r="B111" i="38"/>
  <c r="D111" i="38"/>
  <c r="AO111" i="38" s="1"/>
  <c r="A110" i="7"/>
  <c r="A112" i="38"/>
  <c r="Z110" i="38"/>
  <c r="AY110" i="38" s="1"/>
  <c r="AZ110" i="38" s="1"/>
  <c r="Y110" i="38"/>
  <c r="AK109" i="38"/>
  <c r="AJ109" i="38"/>
  <c r="AA109" i="38"/>
  <c r="AV109" i="38" s="1"/>
  <c r="E109" i="38" s="1"/>
  <c r="AL109" i="38"/>
  <c r="AB109" i="38"/>
  <c r="D109" i="7"/>
  <c r="B109" i="7"/>
  <c r="C110" i="7"/>
  <c r="AX111" i="38"/>
  <c r="DJ110" i="7"/>
  <c r="AE109" i="38" l="1"/>
  <c r="AT111" i="38"/>
  <c r="AB110" i="38"/>
  <c r="AL110" i="38"/>
  <c r="AK110" i="38"/>
  <c r="AA110" i="38"/>
  <c r="AV110" i="38" s="1"/>
  <c r="E110" i="38" s="1"/>
  <c r="AJ110" i="38"/>
  <c r="A111" i="7"/>
  <c r="D112" i="38"/>
  <c r="AO112" i="38" s="1"/>
  <c r="AS112" i="38"/>
  <c r="B112" i="38"/>
  <c r="AM112" i="38"/>
  <c r="A113" i="38"/>
  <c r="D110" i="7"/>
  <c r="B110" i="7"/>
  <c r="Z111" i="38"/>
  <c r="AY111" i="38" s="1"/>
  <c r="AZ111" i="38" s="1"/>
  <c r="Y111" i="38"/>
  <c r="B109" i="6"/>
  <c r="C112" i="38"/>
  <c r="C111" i="7"/>
  <c r="DJ111" i="7"/>
  <c r="AX112" i="38"/>
  <c r="AE110" i="38" l="1"/>
  <c r="A112" i="7"/>
  <c r="AS113" i="38"/>
  <c r="B113" i="38"/>
  <c r="D113" i="38"/>
  <c r="AO113" i="38" s="1"/>
  <c r="AM113" i="38"/>
  <c r="A114" i="38"/>
  <c r="AL111" i="38"/>
  <c r="AA111" i="38"/>
  <c r="AV111" i="38" s="1"/>
  <c r="E111" i="38" s="1"/>
  <c r="AB111" i="38"/>
  <c r="AJ111" i="38"/>
  <c r="AK111" i="38"/>
  <c r="Z112" i="38"/>
  <c r="AY112" i="38" s="1"/>
  <c r="AZ112" i="38" s="1"/>
  <c r="Y112" i="38"/>
  <c r="AT112" i="38"/>
  <c r="B111" i="7"/>
  <c r="D111" i="7"/>
  <c r="B110" i="6"/>
  <c r="C112" i="7"/>
  <c r="C113" i="38"/>
  <c r="DJ112" i="7"/>
  <c r="AX113" i="38"/>
  <c r="AE111" i="38" l="1"/>
  <c r="AB112" i="38"/>
  <c r="AJ112" i="38"/>
  <c r="AK112" i="38"/>
  <c r="AL112" i="38"/>
  <c r="AA112" i="38"/>
  <c r="AV112" i="38" s="1"/>
  <c r="E112" i="38" s="1"/>
  <c r="Z113" i="38"/>
  <c r="AY113" i="38" s="1"/>
  <c r="AZ113" i="38" s="1"/>
  <c r="Y113" i="38"/>
  <c r="B112" i="7"/>
  <c r="D112" i="7"/>
  <c r="A113" i="7"/>
  <c r="B114" i="38"/>
  <c r="AS114" i="38"/>
  <c r="D114" i="38"/>
  <c r="AO114" i="38" s="1"/>
  <c r="AM114" i="38"/>
  <c r="A115" i="38"/>
  <c r="B111" i="6"/>
  <c r="AT113" i="38"/>
  <c r="C114" i="38"/>
  <c r="C113" i="7"/>
  <c r="AX114" i="38"/>
  <c r="DJ113" i="7"/>
  <c r="AE112" i="38" l="1"/>
  <c r="D113" i="7"/>
  <c r="B113" i="7"/>
  <c r="A114" i="7"/>
  <c r="B115" i="38"/>
  <c r="AS115" i="38"/>
  <c r="D115" i="38"/>
  <c r="AO115" i="38" s="1"/>
  <c r="AM115" i="38"/>
  <c r="A116" i="38"/>
  <c r="AT114" i="38"/>
  <c r="AJ113" i="38"/>
  <c r="AB113" i="38"/>
  <c r="AL113" i="38"/>
  <c r="AK113" i="38"/>
  <c r="AA113" i="38"/>
  <c r="AV113" i="38" s="1"/>
  <c r="E113" i="38" s="1"/>
  <c r="B112" i="6"/>
  <c r="Z114" i="38"/>
  <c r="AY114" i="38" s="1"/>
  <c r="AZ114" i="38" s="1"/>
  <c r="Y114" i="38"/>
  <c r="C114" i="7"/>
  <c r="C115" i="38"/>
  <c r="AX115" i="38"/>
  <c r="DJ114" i="7"/>
  <c r="AE113" i="38" l="1"/>
  <c r="B113" i="6"/>
  <c r="A117" i="38"/>
  <c r="A115" i="7"/>
  <c r="B116" i="38"/>
  <c r="AS116" i="38"/>
  <c r="AM116" i="38"/>
  <c r="D116" i="38"/>
  <c r="AO116" i="38" s="1"/>
  <c r="AT115" i="38"/>
  <c r="D114" i="7"/>
  <c r="B114" i="7"/>
  <c r="Z115" i="38"/>
  <c r="AY115" i="38" s="1"/>
  <c r="AZ115" i="38" s="1"/>
  <c r="Y115" i="38"/>
  <c r="AB114" i="38"/>
  <c r="AK114" i="38"/>
  <c r="AA114" i="38"/>
  <c r="AV114" i="38" s="1"/>
  <c r="E114" i="38" s="1"/>
  <c r="AJ114" i="38"/>
  <c r="AL114" i="38"/>
  <c r="C116" i="38"/>
  <c r="C117" i="38"/>
  <c r="C115" i="7"/>
  <c r="DJ115" i="7"/>
  <c r="AX116" i="38"/>
  <c r="AE114" i="38" l="1"/>
  <c r="B114" i="6"/>
  <c r="Y116" i="38"/>
  <c r="Z116" i="38"/>
  <c r="AY116" i="38" s="1"/>
  <c r="AZ116" i="38" s="1"/>
  <c r="AB115" i="38"/>
  <c r="AA115" i="38"/>
  <c r="AV115" i="38" s="1"/>
  <c r="E115" i="38" s="1"/>
  <c r="AK115" i="38"/>
  <c r="AL115" i="38"/>
  <c r="AJ115" i="38"/>
  <c r="D115" i="7"/>
  <c r="B115" i="7"/>
  <c r="AT116" i="38"/>
  <c r="AM117" i="38"/>
  <c r="B117" i="38"/>
  <c r="A118" i="38"/>
  <c r="D117" i="38"/>
  <c r="AO117" i="38" s="1"/>
  <c r="AS117" i="38"/>
  <c r="A116" i="7"/>
  <c r="C118" i="38"/>
  <c r="C116" i="7"/>
  <c r="DJ116" i="7"/>
  <c r="AX117" i="38"/>
  <c r="AE115" i="38" l="1"/>
  <c r="AS118" i="38"/>
  <c r="B118" i="38"/>
  <c r="D118" i="38"/>
  <c r="AO118" i="38" s="1"/>
  <c r="AM118" i="38"/>
  <c r="A117" i="7"/>
  <c r="A119" i="38"/>
  <c r="D116" i="7"/>
  <c r="B116" i="7"/>
  <c r="AL116" i="38"/>
  <c r="AB116" i="38"/>
  <c r="AJ116" i="38"/>
  <c r="AK116" i="38"/>
  <c r="AA116" i="38"/>
  <c r="AV116" i="38" s="1"/>
  <c r="E116" i="38" s="1"/>
  <c r="Z117" i="38"/>
  <c r="AY117" i="38" s="1"/>
  <c r="AZ117" i="38" s="1"/>
  <c r="Y117" i="38"/>
  <c r="AT117" i="38"/>
  <c r="B115" i="6"/>
  <c r="C117" i="7"/>
  <c r="DJ117" i="7"/>
  <c r="AX118" i="38"/>
  <c r="AE116" i="38" l="1"/>
  <c r="AT118" i="38"/>
  <c r="A118" i="7"/>
  <c r="AS119" i="38"/>
  <c r="B119" i="38"/>
  <c r="D119" i="38"/>
  <c r="AO119" i="38" s="1"/>
  <c r="AM119" i="38"/>
  <c r="A120" i="38"/>
  <c r="D117" i="7"/>
  <c r="B117" i="7"/>
  <c r="B116" i="6"/>
  <c r="Z118" i="38"/>
  <c r="AY118" i="38" s="1"/>
  <c r="AZ118" i="38" s="1"/>
  <c r="Y118" i="38"/>
  <c r="AL117" i="38"/>
  <c r="AK117" i="38"/>
  <c r="AJ117" i="38"/>
  <c r="AA117" i="38"/>
  <c r="AV117" i="38" s="1"/>
  <c r="E117" i="38" s="1"/>
  <c r="AB117" i="38"/>
  <c r="C118" i="7"/>
  <c r="C119" i="38"/>
  <c r="DJ118" i="7"/>
  <c r="AX119" i="38"/>
  <c r="AE117" i="38" l="1"/>
  <c r="B117" i="6"/>
  <c r="A119" i="7"/>
  <c r="B120" i="38"/>
  <c r="AS120" i="38"/>
  <c r="D120" i="38"/>
  <c r="AO120" i="38" s="1"/>
  <c r="AM120" i="38"/>
  <c r="A121" i="38"/>
  <c r="Z119" i="38"/>
  <c r="AY119" i="38" s="1"/>
  <c r="AZ119" i="38" s="1"/>
  <c r="Y119" i="38"/>
  <c r="AT119" i="38"/>
  <c r="AA118" i="38"/>
  <c r="AV118" i="38" s="1"/>
  <c r="E118" i="38" s="1"/>
  <c r="AL118" i="38"/>
  <c r="AJ118" i="38"/>
  <c r="AK118" i="38"/>
  <c r="AB118" i="38"/>
  <c r="D118" i="7"/>
  <c r="B118" i="7"/>
  <c r="C119" i="7"/>
  <c r="C120" i="38"/>
  <c r="DJ119" i="7"/>
  <c r="AX120" i="38"/>
  <c r="AE118" i="38" l="1"/>
  <c r="AS121" i="38"/>
  <c r="B121" i="38"/>
  <c r="D121" i="38"/>
  <c r="AO121" i="38" s="1"/>
  <c r="AM121" i="38"/>
  <c r="A120" i="7"/>
  <c r="A122" i="38"/>
  <c r="B119" i="7"/>
  <c r="D119" i="7"/>
  <c r="AK119" i="38"/>
  <c r="AL119" i="38"/>
  <c r="AB119" i="38"/>
  <c r="AJ119" i="38"/>
  <c r="AA119" i="38"/>
  <c r="AV119" i="38" s="1"/>
  <c r="E119" i="38" s="1"/>
  <c r="Z120" i="38"/>
  <c r="AY120" i="38" s="1"/>
  <c r="AZ120" i="38" s="1"/>
  <c r="Y120" i="38"/>
  <c r="AT120" i="38"/>
  <c r="B118" i="6"/>
  <c r="C120" i="7"/>
  <c r="C121" i="38"/>
  <c r="AX121" i="38"/>
  <c r="DJ120" i="7"/>
  <c r="AE119" i="38" l="1"/>
  <c r="D120" i="7"/>
  <c r="B120" i="7"/>
  <c r="AS122" i="38"/>
  <c r="B122" i="38"/>
  <c r="A121" i="7"/>
  <c r="D122" i="38"/>
  <c r="AO122" i="38" s="1"/>
  <c r="AM122" i="38"/>
  <c r="A123" i="38"/>
  <c r="B119" i="6"/>
  <c r="AB120" i="38"/>
  <c r="AK120" i="38"/>
  <c r="AJ120" i="38"/>
  <c r="AA120" i="38"/>
  <c r="AV120" i="38" s="1"/>
  <c r="E120" i="38" s="1"/>
  <c r="AL120" i="38"/>
  <c r="Z121" i="38"/>
  <c r="AY121" i="38" s="1"/>
  <c r="AZ121" i="38" s="1"/>
  <c r="Y121" i="38"/>
  <c r="AT121" i="38"/>
  <c r="C121" i="7"/>
  <c r="C122" i="38"/>
  <c r="AX122" i="38"/>
  <c r="DJ121" i="7"/>
  <c r="AE120" i="38" l="1"/>
  <c r="B120" i="6"/>
  <c r="A124" i="38"/>
  <c r="B123" i="38"/>
  <c r="AS123" i="38"/>
  <c r="A122" i="7"/>
  <c r="D123" i="38"/>
  <c r="AO123" i="38" s="1"/>
  <c r="AM123" i="38"/>
  <c r="D121" i="7"/>
  <c r="B121" i="7"/>
  <c r="Z122" i="38"/>
  <c r="AY122" i="38" s="1"/>
  <c r="AZ122" i="38" s="1"/>
  <c r="Y122" i="38"/>
  <c r="AT122" i="38"/>
  <c r="AL121" i="38"/>
  <c r="AB121" i="38"/>
  <c r="AJ121" i="38"/>
  <c r="AK121" i="38"/>
  <c r="AA121" i="38"/>
  <c r="AV121" i="38" s="1"/>
  <c r="E121" i="38" s="1"/>
  <c r="C124" i="38"/>
  <c r="C123" i="38"/>
  <c r="C122" i="7"/>
  <c r="AX123" i="38"/>
  <c r="DJ122" i="7"/>
  <c r="AE121" i="38" l="1"/>
  <c r="Y123" i="38"/>
  <c r="Z123" i="38"/>
  <c r="AY123" i="38" s="1"/>
  <c r="AZ123" i="38" s="1"/>
  <c r="B122" i="7"/>
  <c r="D122" i="7"/>
  <c r="AA122" i="38"/>
  <c r="AV122" i="38" s="1"/>
  <c r="E122" i="38" s="1"/>
  <c r="AB122" i="38"/>
  <c r="AJ122" i="38"/>
  <c r="AL122" i="38"/>
  <c r="AK122" i="38"/>
  <c r="AT123" i="38"/>
  <c r="D124" i="38"/>
  <c r="AO124" i="38" s="1"/>
  <c r="B124" i="38"/>
  <c r="AS124" i="38"/>
  <c r="AM124" i="38"/>
  <c r="A125" i="38"/>
  <c r="A123" i="7"/>
  <c r="B121" i="6"/>
  <c r="C123" i="7"/>
  <c r="C125" i="38"/>
  <c r="AX124" i="38"/>
  <c r="DJ123" i="7"/>
  <c r="AE122" i="38" l="1"/>
  <c r="AT124" i="38"/>
  <c r="Z124" i="38"/>
  <c r="AY124" i="38" s="1"/>
  <c r="AZ124" i="38" s="1"/>
  <c r="Y124" i="38"/>
  <c r="D125" i="38"/>
  <c r="AO125" i="38" s="1"/>
  <c r="AM125" i="38"/>
  <c r="B125" i="38"/>
  <c r="AS125" i="38"/>
  <c r="A126" i="38"/>
  <c r="A124" i="7"/>
  <c r="B122" i="6"/>
  <c r="D123" i="7"/>
  <c r="B123" i="7"/>
  <c r="AA123" i="38"/>
  <c r="AV123" i="38" s="1"/>
  <c r="E123" i="38" s="1"/>
  <c r="AL123" i="38"/>
  <c r="AK123" i="38"/>
  <c r="AB123" i="38"/>
  <c r="AJ123" i="38"/>
  <c r="C126" i="38"/>
  <c r="C124" i="7"/>
  <c r="AX125" i="38"/>
  <c r="DJ124" i="7"/>
  <c r="AE123" i="38" l="1"/>
  <c r="AT125" i="38"/>
  <c r="Z125" i="38"/>
  <c r="AY125" i="38" s="1"/>
  <c r="AZ125" i="38" s="1"/>
  <c r="Y125" i="38"/>
  <c r="B123" i="6"/>
  <c r="B124" i="7"/>
  <c r="D124" i="7"/>
  <c r="AB124" i="38"/>
  <c r="AJ124" i="38"/>
  <c r="AA124" i="38"/>
  <c r="AV124" i="38" s="1"/>
  <c r="E124" i="38" s="1"/>
  <c r="AL124" i="38"/>
  <c r="AK124" i="38"/>
  <c r="AS126" i="38"/>
  <c r="B126" i="38"/>
  <c r="D126" i="38"/>
  <c r="AM126" i="38"/>
  <c r="A125" i="7"/>
  <c r="A127" i="38"/>
  <c r="C125" i="7"/>
  <c r="AX126" i="38"/>
  <c r="DJ125" i="7"/>
  <c r="AE124" i="38" l="1"/>
  <c r="AT126" i="38"/>
  <c r="Z126" i="38"/>
  <c r="AY126" i="38" s="1"/>
  <c r="AZ126" i="38" s="1"/>
  <c r="Y126" i="38"/>
  <c r="AS127" i="38"/>
  <c r="B127" i="38"/>
  <c r="A126" i="7"/>
  <c r="D127" i="38"/>
  <c r="AM127" i="38"/>
  <c r="A128" i="38"/>
  <c r="AL125" i="38"/>
  <c r="AJ125" i="38"/>
  <c r="AK125" i="38"/>
  <c r="AB125" i="38"/>
  <c r="AA125" i="38"/>
  <c r="AV125" i="38" s="1"/>
  <c r="E125" i="38" s="1"/>
  <c r="B124" i="6"/>
  <c r="D125" i="7"/>
  <c r="B125" i="7"/>
  <c r="C127" i="38"/>
  <c r="C126" i="7"/>
  <c r="AX127" i="38"/>
  <c r="DJ126" i="7"/>
  <c r="AE125" i="38" l="1"/>
  <c r="AO126" i="38" s="1"/>
  <c r="B128" i="38"/>
  <c r="AS128" i="38"/>
  <c r="A127" i="7"/>
  <c r="D128" i="38"/>
  <c r="AM128" i="38"/>
  <c r="A129" i="38"/>
  <c r="D126" i="7"/>
  <c r="B126" i="7"/>
  <c r="AJ126" i="38"/>
  <c r="AL126" i="38"/>
  <c r="AB126" i="38"/>
  <c r="AA126" i="38"/>
  <c r="AV126" i="38" s="1"/>
  <c r="E126" i="38" s="1"/>
  <c r="AK126" i="38"/>
  <c r="Z127" i="38"/>
  <c r="AY127" i="38" s="1"/>
  <c r="AZ127" i="38" s="1"/>
  <c r="Y127" i="38"/>
  <c r="AT127" i="38"/>
  <c r="B125" i="6"/>
  <c r="C128" i="38"/>
  <c r="C127" i="7"/>
  <c r="AX128" i="38"/>
  <c r="DJ127" i="7"/>
  <c r="AE126" i="38" l="1"/>
  <c r="Z128" i="38"/>
  <c r="AY128" i="38" s="1"/>
  <c r="AZ128" i="38" s="1"/>
  <c r="Y128" i="38"/>
  <c r="B129" i="38"/>
  <c r="AS129" i="38"/>
  <c r="A128" i="7"/>
  <c r="D129" i="38"/>
  <c r="AM129" i="38"/>
  <c r="A130" i="38"/>
  <c r="B127" i="7"/>
  <c r="D127" i="7"/>
  <c r="AT128" i="38"/>
  <c r="AB127" i="38"/>
  <c r="AJ127" i="38"/>
  <c r="AK127" i="38"/>
  <c r="AL127" i="38"/>
  <c r="AA127" i="38"/>
  <c r="AV127" i="38" s="1"/>
  <c r="E127" i="38" s="1"/>
  <c r="B126" i="6"/>
  <c r="C128" i="7"/>
  <c r="C129" i="38"/>
  <c r="AX129" i="38"/>
  <c r="DJ128" i="7"/>
  <c r="AE127" i="38" l="1"/>
  <c r="AO127" i="38"/>
  <c r="AO128" i="38" s="1"/>
  <c r="B127" i="6"/>
  <c r="A131" i="38"/>
  <c r="AS130" i="38"/>
  <c r="B130" i="38"/>
  <c r="A129" i="7"/>
  <c r="D130" i="38"/>
  <c r="AM130" i="38"/>
  <c r="Y129" i="38"/>
  <c r="Z129" i="38"/>
  <c r="AY129" i="38" s="1"/>
  <c r="AZ129" i="38" s="1"/>
  <c r="AT129" i="38"/>
  <c r="AB128" i="38"/>
  <c r="AL128" i="38"/>
  <c r="AJ128" i="38"/>
  <c r="AK128" i="38"/>
  <c r="AA128" i="38"/>
  <c r="AV128" i="38" s="1"/>
  <c r="E128" i="38" s="1"/>
  <c r="B128" i="7"/>
  <c r="D128" i="7"/>
  <c r="C129" i="7"/>
  <c r="C131" i="38"/>
  <c r="C130" i="38"/>
  <c r="DJ129" i="7"/>
  <c r="AX130" i="38"/>
  <c r="AE128" i="38" l="1"/>
  <c r="AO129" i="38" s="1"/>
  <c r="AO130" i="38" s="1"/>
  <c r="B128" i="6"/>
  <c r="AJ129" i="38"/>
  <c r="AK129" i="38"/>
  <c r="AA129" i="38"/>
  <c r="AV129" i="38" s="1"/>
  <c r="E129" i="38" s="1"/>
  <c r="AB129" i="38"/>
  <c r="AL129" i="38"/>
  <c r="Y130" i="38"/>
  <c r="Z130" i="38"/>
  <c r="AY130" i="38" s="1"/>
  <c r="AZ130" i="38" s="1"/>
  <c r="B129" i="7"/>
  <c r="D129" i="7"/>
  <c r="AT130" i="38"/>
  <c r="AS131" i="38"/>
  <c r="A132" i="38"/>
  <c r="AM131" i="38"/>
  <c r="D131" i="38"/>
  <c r="B131" i="38"/>
  <c r="A130" i="7"/>
  <c r="C130" i="7"/>
  <c r="C132" i="38"/>
  <c r="AX131" i="38"/>
  <c r="DJ130" i="7"/>
  <c r="AO131" i="38" l="1"/>
  <c r="AE129" i="38"/>
  <c r="B129" i="6"/>
  <c r="AS132" i="38"/>
  <c r="AM132" i="38"/>
  <c r="D132" i="38"/>
  <c r="B132" i="38"/>
  <c r="A131" i="7"/>
  <c r="A133" i="38"/>
  <c r="AA130" i="38"/>
  <c r="AV130" i="38" s="1"/>
  <c r="E130" i="38" s="1"/>
  <c r="AK130" i="38"/>
  <c r="AB130" i="38"/>
  <c r="AL130" i="38"/>
  <c r="AJ130" i="38"/>
  <c r="D130" i="7"/>
  <c r="B130" i="7"/>
  <c r="Z131" i="38"/>
  <c r="AY131" i="38" s="1"/>
  <c r="AZ131" i="38" s="1"/>
  <c r="Y131" i="38"/>
  <c r="AT131" i="38"/>
  <c r="C131" i="7"/>
  <c r="AX132" i="38"/>
  <c r="DJ131" i="7"/>
  <c r="AO132" i="38" l="1"/>
  <c r="AE130" i="38"/>
  <c r="AT132" i="38"/>
  <c r="B131" i="7"/>
  <c r="D131" i="7"/>
  <c r="Z132" i="38"/>
  <c r="AY132" i="38" s="1"/>
  <c r="AZ132" i="38" s="1"/>
  <c r="Y132" i="38"/>
  <c r="B133" i="38"/>
  <c r="AS133" i="38"/>
  <c r="A132" i="7"/>
  <c r="D133" i="38"/>
  <c r="AM133" i="38"/>
  <c r="A134" i="38"/>
  <c r="B130" i="6"/>
  <c r="AK131" i="38"/>
  <c r="AA131" i="38"/>
  <c r="AV131" i="38" s="1"/>
  <c r="E131" i="38" s="1"/>
  <c r="AB131" i="38"/>
  <c r="AJ131" i="38"/>
  <c r="AL131" i="38"/>
  <c r="C133" i="38"/>
  <c r="C132" i="7"/>
  <c r="DJ132" i="7"/>
  <c r="AX133" i="38"/>
  <c r="AO133" i="38" l="1"/>
  <c r="AE131" i="38"/>
  <c r="B131" i="6"/>
  <c r="B134" i="38"/>
  <c r="AS134" i="38"/>
  <c r="A133" i="7"/>
  <c r="D134" i="38"/>
  <c r="AM134" i="38"/>
  <c r="A135" i="38"/>
  <c r="D132" i="7"/>
  <c r="B132" i="7"/>
  <c r="AA132" i="38"/>
  <c r="AV132" i="38" s="1"/>
  <c r="E132" i="38" s="1"/>
  <c r="AJ132" i="38"/>
  <c r="AK132" i="38"/>
  <c r="AB132" i="38"/>
  <c r="AL132" i="38"/>
  <c r="Z133" i="38"/>
  <c r="AY133" i="38" s="1"/>
  <c r="AZ133" i="38" s="1"/>
  <c r="Y133" i="38"/>
  <c r="AT133" i="38"/>
  <c r="C134" i="38"/>
  <c r="C133" i="7"/>
  <c r="DJ133" i="7"/>
  <c r="AX134" i="38"/>
  <c r="AO134" i="38" l="1"/>
  <c r="AE132" i="38"/>
  <c r="Z134" i="38"/>
  <c r="AY134" i="38" s="1"/>
  <c r="AZ134" i="38" s="1"/>
  <c r="Y134" i="38"/>
  <c r="AS135" i="38"/>
  <c r="B135" i="38"/>
  <c r="A134" i="7"/>
  <c r="D135" i="38"/>
  <c r="AM135" i="38"/>
  <c r="A136" i="38"/>
  <c r="AL133" i="38"/>
  <c r="AK133" i="38"/>
  <c r="AJ133" i="38"/>
  <c r="AB133" i="38"/>
  <c r="AA133" i="38"/>
  <c r="AV133" i="38" s="1"/>
  <c r="E133" i="38" s="1"/>
  <c r="B133" i="7"/>
  <c r="D133" i="7"/>
  <c r="AT134" i="38"/>
  <c r="B132" i="6"/>
  <c r="C135" i="38"/>
  <c r="C134" i="7"/>
  <c r="AX135" i="38"/>
  <c r="DJ134" i="7"/>
  <c r="AO135" i="38" l="1"/>
  <c r="AE133" i="38"/>
  <c r="B136" i="38"/>
  <c r="AS136" i="38"/>
  <c r="A135" i="7"/>
  <c r="D136" i="38"/>
  <c r="AM136" i="38"/>
  <c r="A137" i="38"/>
  <c r="D134" i="7"/>
  <c r="B134" i="7"/>
  <c r="AT135" i="38"/>
  <c r="B133" i="6"/>
  <c r="AJ134" i="38"/>
  <c r="AA134" i="38"/>
  <c r="AV134" i="38" s="1"/>
  <c r="E134" i="38" s="1"/>
  <c r="AK134" i="38"/>
  <c r="AB134" i="38"/>
  <c r="AL134" i="38"/>
  <c r="Z135" i="38"/>
  <c r="AY135" i="38" s="1"/>
  <c r="AZ135" i="38" s="1"/>
  <c r="Y135" i="38"/>
  <c r="C136" i="38"/>
  <c r="C135" i="7"/>
  <c r="DJ135" i="7"/>
  <c r="AX136" i="38"/>
  <c r="AO136" i="38" l="1"/>
  <c r="AE134" i="38"/>
  <c r="Y136" i="38"/>
  <c r="Z136" i="38"/>
  <c r="AY136" i="38" s="1"/>
  <c r="AZ136" i="38" s="1"/>
  <c r="D135" i="7"/>
  <c r="B135" i="7"/>
  <c r="B134" i="6"/>
  <c r="A138" i="38"/>
  <c r="B137" i="38"/>
  <c r="AS137" i="38"/>
  <c r="A136" i="7"/>
  <c r="D137" i="38"/>
  <c r="AM137" i="38"/>
  <c r="AT136" i="38"/>
  <c r="AK135" i="38"/>
  <c r="AA135" i="38"/>
  <c r="AV135" i="38" s="1"/>
  <c r="E135" i="38" s="1"/>
  <c r="AJ135" i="38"/>
  <c r="AB135" i="38"/>
  <c r="AL135" i="38"/>
  <c r="C138" i="38"/>
  <c r="C137" i="38"/>
  <c r="C136" i="7"/>
  <c r="AX137" i="38"/>
  <c r="DJ136" i="7"/>
  <c r="AO137" i="38" l="1"/>
  <c r="AE135" i="38"/>
  <c r="B135" i="6"/>
  <c r="D136" i="7"/>
  <c r="B136" i="7"/>
  <c r="Z137" i="38"/>
  <c r="AY137" i="38" s="1"/>
  <c r="AZ137" i="38" s="1"/>
  <c r="Y137" i="38"/>
  <c r="AM138" i="38"/>
  <c r="B138" i="38"/>
  <c r="AS138" i="38"/>
  <c r="A139" i="38"/>
  <c r="D138" i="38"/>
  <c r="A137" i="7"/>
  <c r="AT137" i="38"/>
  <c r="AA136" i="38"/>
  <c r="AV136" i="38" s="1"/>
  <c r="E136" i="38" s="1"/>
  <c r="AK136" i="38"/>
  <c r="AL136" i="38"/>
  <c r="AB136" i="38"/>
  <c r="AJ136" i="38"/>
  <c r="C139" i="38"/>
  <c r="C137" i="7"/>
  <c r="DJ137" i="7"/>
  <c r="AX138" i="38"/>
  <c r="AO138" i="38" l="1"/>
  <c r="AE136" i="38"/>
  <c r="AT138" i="38"/>
  <c r="D137" i="7"/>
  <c r="B137" i="7"/>
  <c r="D139" i="38"/>
  <c r="B139" i="38"/>
  <c r="AS139" i="38"/>
  <c r="AM139" i="38"/>
  <c r="A138" i="7"/>
  <c r="A140" i="38"/>
  <c r="AL137" i="38"/>
  <c r="AK137" i="38"/>
  <c r="AJ137" i="38"/>
  <c r="AB137" i="38"/>
  <c r="AA137" i="38"/>
  <c r="AV137" i="38" s="1"/>
  <c r="E137" i="38" s="1"/>
  <c r="B136" i="6"/>
  <c r="Z138" i="38"/>
  <c r="AY138" i="38" s="1"/>
  <c r="AZ138" i="38" s="1"/>
  <c r="Y138" i="38"/>
  <c r="C138" i="7"/>
  <c r="AX139" i="38"/>
  <c r="DJ138" i="7"/>
  <c r="AO139" i="38" l="1"/>
  <c r="B137" i="6"/>
  <c r="AE137" i="38"/>
  <c r="AT139" i="38"/>
  <c r="Z139" i="38"/>
  <c r="AY139" i="38" s="1"/>
  <c r="AZ139" i="38" s="1"/>
  <c r="Y139" i="38"/>
  <c r="AL138" i="38"/>
  <c r="AA138" i="38"/>
  <c r="AV138" i="38" s="1"/>
  <c r="E138" i="38" s="1"/>
  <c r="AJ138" i="38"/>
  <c r="AB138" i="38"/>
  <c r="AK138" i="38"/>
  <c r="B140" i="38"/>
  <c r="AS140" i="38"/>
  <c r="A139" i="7"/>
  <c r="D140" i="38"/>
  <c r="AM140" i="38"/>
  <c r="A141" i="38"/>
  <c r="B138" i="7"/>
  <c r="D138" i="7"/>
  <c r="C140" i="38"/>
  <c r="C139" i="7"/>
  <c r="DJ139" i="7"/>
  <c r="AX140" i="38"/>
  <c r="AO140" i="38" l="1"/>
  <c r="B138" i="6"/>
  <c r="AE138" i="38"/>
  <c r="AT140" i="38"/>
  <c r="Z140" i="38"/>
  <c r="AY140" i="38" s="1"/>
  <c r="AZ140" i="38" s="1"/>
  <c r="Y140" i="38"/>
  <c r="B139" i="7"/>
  <c r="D139" i="7"/>
  <c r="AJ139" i="38"/>
  <c r="AA139" i="38"/>
  <c r="AV139" i="38" s="1"/>
  <c r="E139" i="38" s="1"/>
  <c r="AB139" i="38"/>
  <c r="AK139" i="38"/>
  <c r="AL139" i="38"/>
  <c r="B141" i="38"/>
  <c r="AS141" i="38"/>
  <c r="A140" i="7"/>
  <c r="D141" i="38"/>
  <c r="AM141" i="38"/>
  <c r="A142" i="38"/>
  <c r="C141" i="38"/>
  <c r="C140" i="7"/>
  <c r="DJ140" i="7"/>
  <c r="AX141" i="38"/>
  <c r="AO141" i="38" l="1"/>
  <c r="AE139" i="38"/>
  <c r="AT141" i="38"/>
  <c r="Z141" i="38"/>
  <c r="AY141" i="38" s="1"/>
  <c r="AZ141" i="38" s="1"/>
  <c r="Y141" i="38"/>
  <c r="B139" i="6"/>
  <c r="A143" i="38"/>
  <c r="B142" i="38"/>
  <c r="AS142" i="38"/>
  <c r="A141" i="7"/>
  <c r="D142" i="38"/>
  <c r="AO142" i="38" s="1"/>
  <c r="AM142" i="38"/>
  <c r="AB140" i="38"/>
  <c r="AJ140" i="38"/>
  <c r="AK140" i="38"/>
  <c r="AL140" i="38"/>
  <c r="AA140" i="38"/>
  <c r="AV140" i="38" s="1"/>
  <c r="E140" i="38" s="1"/>
  <c r="D140" i="7"/>
  <c r="B140" i="7"/>
  <c r="C143" i="38"/>
  <c r="C141" i="7"/>
  <c r="C142" i="38"/>
  <c r="AX142" i="38"/>
  <c r="DJ141" i="7"/>
  <c r="AE140" i="38" l="1"/>
  <c r="B140" i="6"/>
  <c r="B141" i="7"/>
  <c r="D141" i="7"/>
  <c r="D143" i="38"/>
  <c r="AO143" i="38" s="1"/>
  <c r="B143" i="38"/>
  <c r="AS143" i="38"/>
  <c r="AM143" i="38"/>
  <c r="A142" i="7"/>
  <c r="A144" i="38"/>
  <c r="Z142" i="38"/>
  <c r="AY142" i="38" s="1"/>
  <c r="AZ142" i="38" s="1"/>
  <c r="Y142" i="38"/>
  <c r="AT142" i="38"/>
  <c r="AL141" i="38"/>
  <c r="AK141" i="38"/>
  <c r="AJ141" i="38"/>
  <c r="AB141" i="38"/>
  <c r="AA141" i="38"/>
  <c r="AV141" i="38" s="1"/>
  <c r="E141" i="38" s="1"/>
  <c r="C142" i="7"/>
  <c r="AX143" i="38"/>
  <c r="DJ142" i="7"/>
  <c r="B141" i="6" l="1"/>
  <c r="AE141" i="38"/>
  <c r="AT143" i="38"/>
  <c r="AL142" i="38"/>
  <c r="AA142" i="38"/>
  <c r="AV142" i="38" s="1"/>
  <c r="E142" i="38" s="1"/>
  <c r="AK142" i="38"/>
  <c r="AJ142" i="38"/>
  <c r="AB142" i="38"/>
  <c r="Y143" i="38"/>
  <c r="Z143" i="38"/>
  <c r="AY143" i="38" s="1"/>
  <c r="AZ143" i="38" s="1"/>
  <c r="A145" i="38"/>
  <c r="AS144" i="38"/>
  <c r="B144" i="38"/>
  <c r="A143" i="7"/>
  <c r="D144" i="38"/>
  <c r="AO144" i="38" s="1"/>
  <c r="AM144" i="38"/>
  <c r="D142" i="7"/>
  <c r="B142" i="7"/>
  <c r="C144" i="38"/>
  <c r="C145" i="38"/>
  <c r="C143" i="7"/>
  <c r="AX144" i="38"/>
  <c r="DJ143" i="7"/>
  <c r="AE142" i="38" l="1"/>
  <c r="B143" i="7"/>
  <c r="D143" i="7"/>
  <c r="AT144" i="38"/>
  <c r="A146" i="38"/>
  <c r="AM145" i="38"/>
  <c r="D145" i="38"/>
  <c r="AO145" i="38" s="1"/>
  <c r="B145" i="38"/>
  <c r="AS145" i="38"/>
  <c r="A144" i="7"/>
  <c r="AB143" i="38"/>
  <c r="AK143" i="38"/>
  <c r="AL143" i="38"/>
  <c r="AA143" i="38"/>
  <c r="AV143" i="38" s="1"/>
  <c r="E143" i="38" s="1"/>
  <c r="AJ143" i="38"/>
  <c r="Z144" i="38"/>
  <c r="AY144" i="38" s="1"/>
  <c r="AZ144" i="38" s="1"/>
  <c r="Y144" i="38"/>
  <c r="B142" i="6"/>
  <c r="C144" i="7"/>
  <c r="C146" i="38"/>
  <c r="AX145" i="38"/>
  <c r="DJ144" i="7"/>
  <c r="AE143" i="38" l="1"/>
  <c r="AT145" i="38"/>
  <c r="AM146" i="38"/>
  <c r="D146" i="38"/>
  <c r="AO146" i="38" s="1"/>
  <c r="AS146" i="38"/>
  <c r="B146" i="38"/>
  <c r="A145" i="7"/>
  <c r="A147" i="38"/>
  <c r="B143" i="6"/>
  <c r="AA144" i="38"/>
  <c r="AV144" i="38" s="1"/>
  <c r="E144" i="38" s="1"/>
  <c r="AB144" i="38"/>
  <c r="AJ144" i="38"/>
  <c r="AK144" i="38"/>
  <c r="AL144" i="38"/>
  <c r="B144" i="7"/>
  <c r="D144" i="7"/>
  <c r="Z145" i="38"/>
  <c r="AY145" i="38" s="1"/>
  <c r="AZ145" i="38" s="1"/>
  <c r="Y145" i="38"/>
  <c r="C145" i="7"/>
  <c r="AX146" i="38"/>
  <c r="DJ145" i="7"/>
  <c r="AE144" i="38" l="1"/>
  <c r="AT146" i="38"/>
  <c r="B144" i="6"/>
  <c r="D145" i="7"/>
  <c r="B145" i="7"/>
  <c r="AK145" i="38"/>
  <c r="AJ145" i="38"/>
  <c r="AA145" i="38"/>
  <c r="AV145" i="38" s="1"/>
  <c r="E145" i="38" s="1"/>
  <c r="AB145" i="38"/>
  <c r="AL145" i="38"/>
  <c r="AS147" i="38"/>
  <c r="B147" i="38"/>
  <c r="A146" i="7"/>
  <c r="D147" i="38"/>
  <c r="AO147" i="38" s="1"/>
  <c r="AM147" i="38"/>
  <c r="A148" i="38"/>
  <c r="Z146" i="38"/>
  <c r="AY146" i="38" s="1"/>
  <c r="AZ146" i="38" s="1"/>
  <c r="Y146" i="38"/>
  <c r="C147" i="38"/>
  <c r="C146" i="7"/>
  <c r="DJ146" i="7"/>
  <c r="AX147" i="38"/>
  <c r="AE145" i="38" l="1"/>
  <c r="B146" i="7"/>
  <c r="D146" i="7"/>
  <c r="Z147" i="38"/>
  <c r="AY147" i="38" s="1"/>
  <c r="AZ147" i="38" s="1"/>
  <c r="Y147" i="38"/>
  <c r="AT147" i="38"/>
  <c r="AK146" i="38"/>
  <c r="AJ146" i="38"/>
  <c r="AA146" i="38"/>
  <c r="AV146" i="38" s="1"/>
  <c r="E146" i="38" s="1"/>
  <c r="AL146" i="38"/>
  <c r="AB146" i="38"/>
  <c r="B145" i="6"/>
  <c r="B146" i="6" s="1"/>
  <c r="AS148" i="38"/>
  <c r="B148" i="38"/>
  <c r="A147" i="7"/>
  <c r="D148" i="38"/>
  <c r="AO148" i="38" s="1"/>
  <c r="AM148" i="38"/>
  <c r="A149" i="38"/>
  <c r="C148" i="38"/>
  <c r="C147" i="7"/>
  <c r="AX148" i="38"/>
  <c r="DJ147" i="7"/>
  <c r="AE146" i="38" l="1"/>
  <c r="AT148" i="38"/>
  <c r="AS149" i="38"/>
  <c r="B149" i="38"/>
  <c r="A148" i="7"/>
  <c r="D149" i="38"/>
  <c r="AO149" i="38" s="1"/>
  <c r="AM149" i="38"/>
  <c r="A150" i="38"/>
  <c r="AK147" i="38"/>
  <c r="AJ147" i="38"/>
  <c r="AB147" i="38"/>
  <c r="AL147" i="38"/>
  <c r="AA147" i="38"/>
  <c r="AV147" i="38" s="1"/>
  <c r="E147" i="38" s="1"/>
  <c r="Z148" i="38"/>
  <c r="AY148" i="38" s="1"/>
  <c r="AZ148" i="38" s="1"/>
  <c r="Y148" i="38"/>
  <c r="B147" i="7"/>
  <c r="D147" i="7"/>
  <c r="C149" i="38"/>
  <c r="C148" i="7"/>
  <c r="DJ148" i="7"/>
  <c r="AX149" i="38"/>
  <c r="AE147" i="38" l="1"/>
  <c r="B150" i="38"/>
  <c r="AS150" i="38"/>
  <c r="A149" i="7"/>
  <c r="D150" i="38"/>
  <c r="AO150" i="38" s="1"/>
  <c r="AM150" i="38"/>
  <c r="A151" i="38"/>
  <c r="AT149" i="38"/>
  <c r="Z149" i="38"/>
  <c r="AY149" i="38" s="1"/>
  <c r="AZ149" i="38" s="1"/>
  <c r="Y149" i="38"/>
  <c r="B148" i="7"/>
  <c r="D148" i="7"/>
  <c r="AJ148" i="38"/>
  <c r="AB148" i="38"/>
  <c r="AK148" i="38"/>
  <c r="AL148" i="38"/>
  <c r="AA148" i="38"/>
  <c r="AV148" i="38" s="1"/>
  <c r="E148" i="38" s="1"/>
  <c r="B147" i="6"/>
  <c r="C150" i="38"/>
  <c r="C149" i="7"/>
  <c r="AX150" i="38"/>
  <c r="DJ149" i="7"/>
  <c r="AE148" i="38" l="1"/>
  <c r="B148" i="6"/>
  <c r="Z150" i="38"/>
  <c r="AY150" i="38" s="1"/>
  <c r="AZ150" i="38" s="1"/>
  <c r="Y150" i="38"/>
  <c r="D149" i="7"/>
  <c r="B149" i="7"/>
  <c r="AL149" i="38"/>
  <c r="AA149" i="38"/>
  <c r="AV149" i="38" s="1"/>
  <c r="E149" i="38" s="1"/>
  <c r="AB149" i="38"/>
  <c r="AJ149" i="38"/>
  <c r="AK149" i="38"/>
  <c r="A152" i="38"/>
  <c r="B151" i="38"/>
  <c r="AS151" i="38"/>
  <c r="A150" i="7"/>
  <c r="D151" i="38"/>
  <c r="AO151" i="38" s="1"/>
  <c r="AM151" i="38"/>
  <c r="AT150" i="38"/>
  <c r="C152" i="38"/>
  <c r="C151" i="38"/>
  <c r="C150" i="7"/>
  <c r="AX151" i="38"/>
  <c r="DJ150" i="7"/>
  <c r="AE149" i="38" l="1"/>
  <c r="AT151" i="38"/>
  <c r="D152" i="38"/>
  <c r="AO152" i="38" s="1"/>
  <c r="A153" i="38"/>
  <c r="AM152" i="38"/>
  <c r="B152" i="38"/>
  <c r="AS152" i="38"/>
  <c r="A151" i="7"/>
  <c r="B149" i="6"/>
  <c r="AB150" i="38"/>
  <c r="AJ150" i="38"/>
  <c r="AL150" i="38"/>
  <c r="AA150" i="38"/>
  <c r="AV150" i="38" s="1"/>
  <c r="E150" i="38" s="1"/>
  <c r="AK150" i="38"/>
  <c r="Y151" i="38"/>
  <c r="Z151" i="38"/>
  <c r="AY151" i="38" s="1"/>
  <c r="AZ151" i="38" s="1"/>
  <c r="D150" i="7"/>
  <c r="B150" i="7"/>
  <c r="C151" i="7"/>
  <c r="C153" i="38"/>
  <c r="AX152" i="38"/>
  <c r="DJ151" i="7"/>
  <c r="AE150" i="38" l="1"/>
  <c r="AT152" i="38"/>
  <c r="AL151" i="38"/>
  <c r="AA151" i="38"/>
  <c r="AV151" i="38" s="1"/>
  <c r="E151" i="38" s="1"/>
  <c r="AB151" i="38"/>
  <c r="AJ151" i="38"/>
  <c r="AK151" i="38"/>
  <c r="Z152" i="38"/>
  <c r="AY152" i="38" s="1"/>
  <c r="AZ152" i="38" s="1"/>
  <c r="Y152" i="38"/>
  <c r="AS153" i="38"/>
  <c r="AM153" i="38"/>
  <c r="D153" i="38"/>
  <c r="AO153" i="38" s="1"/>
  <c r="B153" i="38"/>
  <c r="A154" i="38"/>
  <c r="A152" i="7"/>
  <c r="B150" i="6"/>
  <c r="B151" i="7"/>
  <c r="D151" i="7"/>
  <c r="C152" i="7"/>
  <c r="C154" i="38"/>
  <c r="AX153" i="38"/>
  <c r="DJ152" i="7"/>
  <c r="B151" i="6" l="1"/>
  <c r="AE151" i="38"/>
  <c r="AT153" i="38"/>
  <c r="D152" i="7"/>
  <c r="B152" i="7"/>
  <c r="Z153" i="38"/>
  <c r="AY153" i="38" s="1"/>
  <c r="AZ153" i="38" s="1"/>
  <c r="Y153" i="38"/>
  <c r="AS154" i="38"/>
  <c r="AM154" i="38"/>
  <c r="B154" i="38"/>
  <c r="D154" i="38"/>
  <c r="AO154" i="38" s="1"/>
  <c r="A153" i="7"/>
  <c r="A155" i="38"/>
  <c r="AK152" i="38"/>
  <c r="AL152" i="38"/>
  <c r="AB152" i="38"/>
  <c r="AA152" i="38"/>
  <c r="AV152" i="38" s="1"/>
  <c r="E152" i="38" s="1"/>
  <c r="AJ152" i="38"/>
  <c r="C153" i="7"/>
  <c r="DJ153" i="7"/>
  <c r="AX154" i="38"/>
  <c r="AE152" i="38" l="1"/>
  <c r="AT154" i="38"/>
  <c r="AK153" i="38"/>
  <c r="AL153" i="38"/>
  <c r="AJ153" i="38"/>
  <c r="AB153" i="38"/>
  <c r="AA153" i="38"/>
  <c r="AV153" i="38" s="1"/>
  <c r="E153" i="38" s="1"/>
  <c r="AS155" i="38"/>
  <c r="B155" i="38"/>
  <c r="A154" i="7"/>
  <c r="D155" i="38"/>
  <c r="AO155" i="38" s="1"/>
  <c r="AM155" i="38"/>
  <c r="A156" i="38"/>
  <c r="D153" i="7"/>
  <c r="B153" i="7"/>
  <c r="Z154" i="38"/>
  <c r="AY154" i="38" s="1"/>
  <c r="AZ154" i="38" s="1"/>
  <c r="Y154" i="38"/>
  <c r="B152" i="6"/>
  <c r="C155" i="38"/>
  <c r="C154" i="7"/>
  <c r="DJ154" i="7"/>
  <c r="AX155" i="38"/>
  <c r="AE153" i="38" l="1"/>
  <c r="B156" i="38"/>
  <c r="AS156" i="38"/>
  <c r="A155" i="7"/>
  <c r="D156" i="38"/>
  <c r="AO156" i="38" s="1"/>
  <c r="AM156" i="38"/>
  <c r="A157" i="38"/>
  <c r="AT155" i="38"/>
  <c r="B153" i="6"/>
  <c r="Z155" i="38"/>
  <c r="AY155" i="38" s="1"/>
  <c r="AZ155" i="38" s="1"/>
  <c r="Y155" i="38"/>
  <c r="D154" i="7"/>
  <c r="B154" i="7"/>
  <c r="AJ154" i="38"/>
  <c r="AK154" i="38"/>
  <c r="AB154" i="38"/>
  <c r="AL154" i="38"/>
  <c r="AA154" i="38"/>
  <c r="AV154" i="38" s="1"/>
  <c r="E154" i="38" s="1"/>
  <c r="C156" i="38"/>
  <c r="C155" i="7"/>
  <c r="DJ155" i="7"/>
  <c r="AX156" i="38"/>
  <c r="B154" i="6" l="1"/>
  <c r="AE154" i="38"/>
  <c r="AB155" i="38"/>
  <c r="AL155" i="38"/>
  <c r="AJ155" i="38"/>
  <c r="AK155" i="38"/>
  <c r="AA155" i="38"/>
  <c r="AV155" i="38" s="1"/>
  <c r="E155" i="38" s="1"/>
  <c r="Z156" i="38"/>
  <c r="AY156" i="38" s="1"/>
  <c r="AZ156" i="38" s="1"/>
  <c r="Y156" i="38"/>
  <c r="B155" i="7"/>
  <c r="D155" i="7"/>
  <c r="AT156" i="38"/>
  <c r="AS157" i="38"/>
  <c r="B157" i="38"/>
  <c r="A156" i="7"/>
  <c r="AM157" i="38"/>
  <c r="D157" i="38"/>
  <c r="A158" i="38"/>
  <c r="C156" i="7"/>
  <c r="C157" i="38"/>
  <c r="DJ156" i="7"/>
  <c r="AX157" i="38"/>
  <c r="B155" i="6" l="1"/>
  <c r="AE155" i="38"/>
  <c r="AT157" i="38"/>
  <c r="A159" i="38"/>
  <c r="B158" i="38"/>
  <c r="AS158" i="38"/>
  <c r="A157" i="7"/>
  <c r="AM158" i="38"/>
  <c r="D158" i="38"/>
  <c r="AL156" i="38"/>
  <c r="AJ156" i="38"/>
  <c r="AK156" i="38"/>
  <c r="AB156" i="38"/>
  <c r="AA156" i="38"/>
  <c r="AV156" i="38" s="1"/>
  <c r="E156" i="38" s="1"/>
  <c r="Z157" i="38"/>
  <c r="AY157" i="38" s="1"/>
  <c r="AZ157" i="38" s="1"/>
  <c r="Y157" i="38"/>
  <c r="D156" i="7"/>
  <c r="B156" i="7"/>
  <c r="C158" i="38"/>
  <c r="C159" i="38"/>
  <c r="C157" i="7"/>
  <c r="DJ157" i="7"/>
  <c r="AX158" i="38"/>
  <c r="AE156" i="38" l="1"/>
  <c r="AO157" i="38" s="1"/>
  <c r="B157" i="7"/>
  <c r="D157" i="7"/>
  <c r="Y158" i="38"/>
  <c r="Z158" i="38"/>
  <c r="AY158" i="38" s="1"/>
  <c r="AZ158" i="38" s="1"/>
  <c r="AS159" i="38"/>
  <c r="D159" i="38"/>
  <c r="B159" i="38"/>
  <c r="A160" i="38"/>
  <c r="AM159" i="38"/>
  <c r="A158" i="7"/>
  <c r="AT158" i="38"/>
  <c r="AJ157" i="38"/>
  <c r="AK157" i="38"/>
  <c r="AA157" i="38"/>
  <c r="AV157" i="38" s="1"/>
  <c r="E157" i="38" s="1"/>
  <c r="AB157" i="38"/>
  <c r="AL157" i="38"/>
  <c r="B156" i="6"/>
  <c r="C160" i="38"/>
  <c r="C158" i="7"/>
  <c r="DJ158" i="7"/>
  <c r="AX159" i="38"/>
  <c r="AE157" i="38" l="1"/>
  <c r="AT159" i="38"/>
  <c r="Z159" i="38"/>
  <c r="AY159" i="38" s="1"/>
  <c r="AZ159" i="38" s="1"/>
  <c r="Y159" i="38"/>
  <c r="B157" i="6"/>
  <c r="D158" i="7"/>
  <c r="B158" i="7"/>
  <c r="D160" i="38"/>
  <c r="B160" i="38"/>
  <c r="AS160" i="38"/>
  <c r="AM160" i="38"/>
  <c r="A159" i="7"/>
  <c r="A161" i="38"/>
  <c r="AA158" i="38"/>
  <c r="AV158" i="38" s="1"/>
  <c r="E158" i="38" s="1"/>
  <c r="AK158" i="38"/>
  <c r="AJ158" i="38"/>
  <c r="AL158" i="38"/>
  <c r="AB158" i="38"/>
  <c r="C159" i="7"/>
  <c r="AX160" i="38"/>
  <c r="DJ159" i="7"/>
  <c r="AE158" i="38" l="1"/>
  <c r="AO158" i="38"/>
  <c r="AO159" i="38" s="1"/>
  <c r="AO160" i="38" s="1"/>
  <c r="AT160" i="38"/>
  <c r="Z160" i="38"/>
  <c r="AY160" i="38" s="1"/>
  <c r="AZ160" i="38" s="1"/>
  <c r="Y160" i="38"/>
  <c r="AS161" i="38"/>
  <c r="B161" i="38"/>
  <c r="A160" i="7"/>
  <c r="D161" i="38"/>
  <c r="AM161" i="38"/>
  <c r="A162" i="38"/>
  <c r="D159" i="7"/>
  <c r="B159" i="7"/>
  <c r="B158" i="6"/>
  <c r="AB159" i="38"/>
  <c r="AA159" i="38"/>
  <c r="AV159" i="38" s="1"/>
  <c r="E159" i="38" s="1"/>
  <c r="AL159" i="38"/>
  <c r="AK159" i="38"/>
  <c r="AJ159" i="38"/>
  <c r="C160" i="7"/>
  <c r="C161" i="38"/>
  <c r="AX161" i="38"/>
  <c r="DJ160" i="7"/>
  <c r="AE159" i="38" l="1"/>
  <c r="AO161" i="38"/>
  <c r="B159" i="6"/>
  <c r="Z161" i="38"/>
  <c r="AY161" i="38" s="1"/>
  <c r="AZ161" i="38" s="1"/>
  <c r="Y161" i="38"/>
  <c r="AT161" i="38"/>
  <c r="AK160" i="38"/>
  <c r="AA160" i="38"/>
  <c r="AV160" i="38" s="1"/>
  <c r="E160" i="38" s="1"/>
  <c r="AB160" i="38"/>
  <c r="AJ160" i="38"/>
  <c r="AL160" i="38"/>
  <c r="AS162" i="38"/>
  <c r="B162" i="38"/>
  <c r="A161" i="7"/>
  <c r="D162" i="38"/>
  <c r="AM162" i="38"/>
  <c r="A163" i="38"/>
  <c r="D160" i="7"/>
  <c r="B160" i="7"/>
  <c r="C162" i="38"/>
  <c r="C161" i="7"/>
  <c r="DJ161" i="7"/>
  <c r="AX162" i="38"/>
  <c r="AO162" i="38" l="1"/>
  <c r="AE160" i="38"/>
  <c r="D161" i="7"/>
  <c r="B161" i="7"/>
  <c r="AB161" i="38"/>
  <c r="AJ161" i="38"/>
  <c r="AL161" i="38"/>
  <c r="AK161" i="38"/>
  <c r="AA161" i="38"/>
  <c r="AV161" i="38" s="1"/>
  <c r="E161" i="38" s="1"/>
  <c r="AT162" i="38"/>
  <c r="A164" i="38"/>
  <c r="AS163" i="38"/>
  <c r="B163" i="38"/>
  <c r="A162" i="7"/>
  <c r="D163" i="38"/>
  <c r="AO163" i="38" s="1"/>
  <c r="AM163" i="38"/>
  <c r="Z162" i="38"/>
  <c r="AY162" i="38" s="1"/>
  <c r="AZ162" i="38" s="1"/>
  <c r="Y162" i="38"/>
  <c r="B160" i="6"/>
  <c r="C162" i="7"/>
  <c r="C163" i="38"/>
  <c r="C164" i="38"/>
  <c r="DJ162" i="7"/>
  <c r="AX163" i="38"/>
  <c r="AE161" i="38" l="1"/>
  <c r="AT163" i="38"/>
  <c r="AS164" i="38"/>
  <c r="B164" i="38"/>
  <c r="D164" i="38"/>
  <c r="AO164" i="38" s="1"/>
  <c r="AM164" i="38"/>
  <c r="A163" i="7"/>
  <c r="A165" i="38"/>
  <c r="D162" i="7"/>
  <c r="B162" i="7"/>
  <c r="B161" i="6"/>
  <c r="AK162" i="38"/>
  <c r="AA162" i="38"/>
  <c r="AV162" i="38" s="1"/>
  <c r="E162" i="38" s="1"/>
  <c r="AL162" i="38"/>
  <c r="AB162" i="38"/>
  <c r="AJ162" i="38"/>
  <c r="Z163" i="38"/>
  <c r="AY163" i="38" s="1"/>
  <c r="AZ163" i="38" s="1"/>
  <c r="Y163" i="38"/>
  <c r="C163" i="7"/>
  <c r="DJ163" i="7"/>
  <c r="AX164" i="38"/>
  <c r="AE162" i="38" l="1"/>
  <c r="B162" i="6"/>
  <c r="AT164" i="38"/>
  <c r="Z164" i="38"/>
  <c r="AY164" i="38" s="1"/>
  <c r="AZ164" i="38" s="1"/>
  <c r="Y164" i="38"/>
  <c r="AJ163" i="38"/>
  <c r="AL163" i="38"/>
  <c r="AK163" i="38"/>
  <c r="AA163" i="38"/>
  <c r="AV163" i="38" s="1"/>
  <c r="E163" i="38" s="1"/>
  <c r="AB163" i="38"/>
  <c r="B163" i="7"/>
  <c r="D163" i="7"/>
  <c r="A166" i="38"/>
  <c r="AS165" i="38"/>
  <c r="B165" i="38"/>
  <c r="A164" i="7"/>
  <c r="D165" i="38"/>
  <c r="AO165" i="38" s="1"/>
  <c r="AM165" i="38"/>
  <c r="C165" i="38"/>
  <c r="C164" i="7"/>
  <c r="C166" i="38"/>
  <c r="AX165" i="38"/>
  <c r="DJ164" i="7"/>
  <c r="AE163" i="38" l="1"/>
  <c r="AT165" i="38"/>
  <c r="Z165" i="38"/>
  <c r="AY165" i="38" s="1"/>
  <c r="AZ165" i="38" s="1"/>
  <c r="Y165" i="38"/>
  <c r="AL164" i="38"/>
  <c r="AJ164" i="38"/>
  <c r="AA164" i="38"/>
  <c r="AV164" i="38" s="1"/>
  <c r="E164" i="38" s="1"/>
  <c r="AB164" i="38"/>
  <c r="AK164" i="38"/>
  <c r="B166" i="38"/>
  <c r="AS166" i="38"/>
  <c r="D166" i="38"/>
  <c r="AO166" i="38" s="1"/>
  <c r="A167" i="38"/>
  <c r="AM166" i="38"/>
  <c r="A165" i="7"/>
  <c r="D164" i="7"/>
  <c r="B164" i="7"/>
  <c r="B163" i="6"/>
  <c r="C165" i="7"/>
  <c r="C167" i="38"/>
  <c r="DJ165" i="7"/>
  <c r="AX166" i="38"/>
  <c r="AE164" i="38" l="1"/>
  <c r="AT166" i="38"/>
  <c r="Y166" i="38"/>
  <c r="Z166" i="38"/>
  <c r="AY166" i="38" s="1"/>
  <c r="AZ166" i="38" s="1"/>
  <c r="B165" i="7"/>
  <c r="D165" i="7"/>
  <c r="B164" i="6"/>
  <c r="AK165" i="38"/>
  <c r="AA165" i="38"/>
  <c r="AV165" i="38" s="1"/>
  <c r="E165" i="38" s="1"/>
  <c r="AB165" i="38"/>
  <c r="AJ165" i="38"/>
  <c r="AL165" i="38"/>
  <c r="D167" i="38"/>
  <c r="AO167" i="38" s="1"/>
  <c r="B167" i="38"/>
  <c r="AM167" i="38"/>
  <c r="AS167" i="38"/>
  <c r="A166" i="7"/>
  <c r="A168" i="38"/>
  <c r="C166" i="7"/>
  <c r="AX167" i="38"/>
  <c r="DJ166" i="7"/>
  <c r="AE165" i="38" l="1"/>
  <c r="AT167" i="38"/>
  <c r="B165" i="6"/>
  <c r="Z167" i="38"/>
  <c r="AY167" i="38" s="1"/>
  <c r="AZ167" i="38" s="1"/>
  <c r="Y167" i="38"/>
  <c r="AS168" i="38"/>
  <c r="B168" i="38"/>
  <c r="A167" i="7"/>
  <c r="D168" i="38"/>
  <c r="AO168" i="38" s="1"/>
  <c r="AM168" i="38"/>
  <c r="A169" i="38"/>
  <c r="D166" i="7"/>
  <c r="B166" i="7"/>
  <c r="AA166" i="38"/>
  <c r="AV166" i="38" s="1"/>
  <c r="E166" i="38" s="1"/>
  <c r="AK166" i="38"/>
  <c r="AL166" i="38"/>
  <c r="AB166" i="38"/>
  <c r="AJ166" i="38"/>
  <c r="C168" i="38"/>
  <c r="C167" i="7"/>
  <c r="AX168" i="38"/>
  <c r="DJ167" i="7"/>
  <c r="AE166" i="38" l="1"/>
  <c r="AT168" i="38"/>
  <c r="B169" i="38"/>
  <c r="AS169" i="38"/>
  <c r="D169" i="38"/>
  <c r="AO169" i="38" s="1"/>
  <c r="A168" i="7"/>
  <c r="AM169" i="38"/>
  <c r="A170" i="38"/>
  <c r="B167" i="7"/>
  <c r="D167" i="7"/>
  <c r="AK167" i="38"/>
  <c r="AJ167" i="38"/>
  <c r="AL167" i="38"/>
  <c r="AA167" i="38"/>
  <c r="AV167" i="38" s="1"/>
  <c r="E167" i="38" s="1"/>
  <c r="AB167" i="38"/>
  <c r="Z168" i="38"/>
  <c r="AY168" i="38" s="1"/>
  <c r="AZ168" i="38" s="1"/>
  <c r="Y168" i="38"/>
  <c r="B166" i="6"/>
  <c r="C169" i="38"/>
  <c r="C168" i="7"/>
  <c r="AX169" i="38"/>
  <c r="DJ168" i="7"/>
  <c r="AE167" i="38" l="1"/>
  <c r="B170" i="38"/>
  <c r="AS170" i="38"/>
  <c r="A169" i="7"/>
  <c r="D170" i="38"/>
  <c r="AO170" i="38" s="1"/>
  <c r="AM170" i="38"/>
  <c r="A171" i="38"/>
  <c r="B168" i="7"/>
  <c r="D168" i="7"/>
  <c r="AT169" i="38"/>
  <c r="B167" i="6"/>
  <c r="AJ168" i="38"/>
  <c r="AK168" i="38"/>
  <c r="AB168" i="38"/>
  <c r="AL168" i="38"/>
  <c r="AA168" i="38"/>
  <c r="AV168" i="38" s="1"/>
  <c r="E168" i="38" s="1"/>
  <c r="Z169" i="38"/>
  <c r="AY169" i="38" s="1"/>
  <c r="AZ169" i="38" s="1"/>
  <c r="Y169" i="38"/>
  <c r="C169" i="7"/>
  <c r="C170" i="38"/>
  <c r="AX170" i="38"/>
  <c r="DJ169" i="7"/>
  <c r="AE168" i="38" l="1"/>
  <c r="B168" i="6"/>
  <c r="B171" i="38"/>
  <c r="AS171" i="38"/>
  <c r="A170" i="7"/>
  <c r="D171" i="38"/>
  <c r="AO171" i="38" s="1"/>
  <c r="AM171" i="38"/>
  <c r="A172" i="38"/>
  <c r="B169" i="7"/>
  <c r="D169" i="7"/>
  <c r="Z170" i="38"/>
  <c r="AY170" i="38" s="1"/>
  <c r="AZ170" i="38" s="1"/>
  <c r="Y170" i="38"/>
  <c r="AT170" i="38"/>
  <c r="AB169" i="38"/>
  <c r="AA169" i="38"/>
  <c r="AV169" i="38" s="1"/>
  <c r="E169" i="38" s="1"/>
  <c r="AJ169" i="38"/>
  <c r="AK169" i="38"/>
  <c r="AL169" i="38"/>
  <c r="C170" i="7"/>
  <c r="C171" i="38"/>
  <c r="AX171" i="38"/>
  <c r="DJ170" i="7"/>
  <c r="AE169" i="38" l="1"/>
  <c r="AK170" i="38"/>
  <c r="AJ170" i="38"/>
  <c r="AL170" i="38"/>
  <c r="AB170" i="38"/>
  <c r="AA170" i="38"/>
  <c r="AV170" i="38" s="1"/>
  <c r="E170" i="38" s="1"/>
  <c r="A173" i="38"/>
  <c r="AS172" i="38"/>
  <c r="B172" i="38"/>
  <c r="A171" i="7"/>
  <c r="D172" i="38"/>
  <c r="AO172" i="38" s="1"/>
  <c r="AM172" i="38"/>
  <c r="D170" i="7"/>
  <c r="B170" i="7"/>
  <c r="Z171" i="38"/>
  <c r="AY171" i="38" s="1"/>
  <c r="AZ171" i="38" s="1"/>
  <c r="Y171" i="38"/>
  <c r="AT171" i="38"/>
  <c r="B169" i="6"/>
  <c r="C172" i="38"/>
  <c r="C171" i="7"/>
  <c r="C173" i="38"/>
  <c r="DJ171" i="7"/>
  <c r="AX172" i="38"/>
  <c r="AE170" i="38" l="1"/>
  <c r="Y172" i="38"/>
  <c r="Z172" i="38"/>
  <c r="AY172" i="38" s="1"/>
  <c r="AZ172" i="38" s="1"/>
  <c r="D171" i="7"/>
  <c r="B171" i="7"/>
  <c r="B170" i="6"/>
  <c r="AT172" i="38"/>
  <c r="B173" i="38"/>
  <c r="AS173" i="38"/>
  <c r="A174" i="38"/>
  <c r="AM173" i="38"/>
  <c r="D173" i="38"/>
  <c r="AO173" i="38" s="1"/>
  <c r="A172" i="7"/>
  <c r="AB171" i="38"/>
  <c r="AL171" i="38"/>
  <c r="AJ171" i="38"/>
  <c r="AK171" i="38"/>
  <c r="AA171" i="38"/>
  <c r="AV171" i="38" s="1"/>
  <c r="E171" i="38" s="1"/>
  <c r="C174" i="38"/>
  <c r="C172" i="7"/>
  <c r="AX173" i="38"/>
  <c r="DJ172" i="7"/>
  <c r="AE171" i="38" l="1"/>
  <c r="B171" i="6"/>
  <c r="AT173" i="38"/>
  <c r="AM174" i="38"/>
  <c r="B174" i="38"/>
  <c r="AS174" i="38"/>
  <c r="D174" i="38"/>
  <c r="AO174" i="38" s="1"/>
  <c r="A173" i="7"/>
  <c r="A175" i="38"/>
  <c r="Z173" i="38"/>
  <c r="AY173" i="38" s="1"/>
  <c r="AZ173" i="38" s="1"/>
  <c r="Y173" i="38"/>
  <c r="D172" i="7"/>
  <c r="B172" i="7"/>
  <c r="AJ172" i="38"/>
  <c r="AB172" i="38"/>
  <c r="AL172" i="38"/>
  <c r="AK172" i="38"/>
  <c r="AA172" i="38"/>
  <c r="AV172" i="38" s="1"/>
  <c r="E172" i="38" s="1"/>
  <c r="C173" i="7"/>
  <c r="DJ173" i="7"/>
  <c r="AX174" i="38"/>
  <c r="AE172" i="38" l="1"/>
  <c r="B172" i="6"/>
  <c r="AL173" i="38"/>
  <c r="AK173" i="38"/>
  <c r="AJ173" i="38"/>
  <c r="AA173" i="38"/>
  <c r="AV173" i="38" s="1"/>
  <c r="E173" i="38" s="1"/>
  <c r="AB173" i="38"/>
  <c r="AS175" i="38"/>
  <c r="B175" i="38"/>
  <c r="A174" i="7"/>
  <c r="D175" i="38"/>
  <c r="AO175" i="38" s="1"/>
  <c r="AM175" i="38"/>
  <c r="A176" i="38"/>
  <c r="D173" i="7"/>
  <c r="B173" i="7"/>
  <c r="AT174" i="38"/>
  <c r="Z174" i="38"/>
  <c r="AY174" i="38" s="1"/>
  <c r="AZ174" i="38" s="1"/>
  <c r="Y174" i="38"/>
  <c r="C174" i="7"/>
  <c r="C175" i="38"/>
  <c r="AX175" i="38"/>
  <c r="DJ174" i="7"/>
  <c r="AE173" i="38" l="1"/>
  <c r="B173" i="6"/>
  <c r="AS176" i="38"/>
  <c r="B176" i="38"/>
  <c r="A175" i="7"/>
  <c r="D176" i="38"/>
  <c r="AO176" i="38" s="1"/>
  <c r="AM176" i="38"/>
  <c r="A177" i="38"/>
  <c r="Z175" i="38"/>
  <c r="AY175" i="38" s="1"/>
  <c r="AZ175" i="38" s="1"/>
  <c r="Y175" i="38"/>
  <c r="B174" i="7"/>
  <c r="D174" i="7"/>
  <c r="AJ174" i="38"/>
  <c r="AB174" i="38"/>
  <c r="AA174" i="38"/>
  <c r="AV174" i="38" s="1"/>
  <c r="E174" i="38" s="1"/>
  <c r="AK174" i="38"/>
  <c r="AL174" i="38"/>
  <c r="AT175" i="38"/>
  <c r="C176" i="38"/>
  <c r="C175" i="7"/>
  <c r="DJ175" i="7"/>
  <c r="AX176" i="38"/>
  <c r="AE174" i="38" l="1"/>
  <c r="B174" i="6"/>
  <c r="AK175" i="38"/>
  <c r="AL175" i="38"/>
  <c r="AB175" i="38"/>
  <c r="AJ175" i="38"/>
  <c r="AA175" i="38"/>
  <c r="AV175" i="38" s="1"/>
  <c r="E175" i="38" s="1"/>
  <c r="B175" i="7"/>
  <c r="D175" i="7"/>
  <c r="AT176" i="38"/>
  <c r="B177" i="38"/>
  <c r="AS177" i="38"/>
  <c r="A176" i="7"/>
  <c r="D177" i="38"/>
  <c r="AO177" i="38" s="1"/>
  <c r="AM177" i="38"/>
  <c r="A178" i="38"/>
  <c r="Y176" i="38"/>
  <c r="Z176" i="38"/>
  <c r="AY176" i="38" s="1"/>
  <c r="AZ176" i="38" s="1"/>
  <c r="C176" i="7"/>
  <c r="C177" i="38"/>
  <c r="DJ176" i="7"/>
  <c r="AX177" i="38"/>
  <c r="AE175" i="38" l="1"/>
  <c r="D176" i="7"/>
  <c r="B176" i="7"/>
  <c r="Z177" i="38"/>
  <c r="AY177" i="38" s="1"/>
  <c r="AZ177" i="38" s="1"/>
  <c r="Y177" i="38"/>
  <c r="AT177" i="38"/>
  <c r="B175" i="6"/>
  <c r="AA176" i="38"/>
  <c r="AV176" i="38" s="1"/>
  <c r="E176" i="38" s="1"/>
  <c r="AJ176" i="38"/>
  <c r="AB176" i="38"/>
  <c r="AL176" i="38"/>
  <c r="AK176" i="38"/>
  <c r="AS178" i="38"/>
  <c r="B178" i="38"/>
  <c r="A177" i="7"/>
  <c r="D178" i="38"/>
  <c r="AO178" i="38" s="1"/>
  <c r="AM178" i="38"/>
  <c r="A179" i="38"/>
  <c r="C177" i="7"/>
  <c r="C178" i="38"/>
  <c r="AX178" i="38"/>
  <c r="DJ177" i="7"/>
  <c r="AE176" i="38" l="1"/>
  <c r="AT178" i="38"/>
  <c r="B176" i="6"/>
  <c r="AL177" i="38"/>
  <c r="AJ177" i="38"/>
  <c r="AB177" i="38"/>
  <c r="AK177" i="38"/>
  <c r="AA177" i="38"/>
  <c r="AV177" i="38" s="1"/>
  <c r="E177" i="38" s="1"/>
  <c r="Z178" i="38"/>
  <c r="AY178" i="38" s="1"/>
  <c r="AZ178" i="38" s="1"/>
  <c r="Y178" i="38"/>
  <c r="A180" i="38"/>
  <c r="B179" i="38"/>
  <c r="AS179" i="38"/>
  <c r="A178" i="7"/>
  <c r="D179" i="38"/>
  <c r="AO179" i="38" s="1"/>
  <c r="AM179" i="38"/>
  <c r="D177" i="7"/>
  <c r="B177" i="7"/>
  <c r="C180" i="38"/>
  <c r="C178" i="7"/>
  <c r="C179" i="38"/>
  <c r="DJ178" i="7"/>
  <c r="AX179" i="38"/>
  <c r="AE177" i="38" l="1"/>
  <c r="AT179" i="38"/>
  <c r="D178" i="7"/>
  <c r="B178" i="7"/>
  <c r="B180" i="38"/>
  <c r="AS180" i="38"/>
  <c r="A181" i="38"/>
  <c r="AM180" i="38"/>
  <c r="D180" i="38"/>
  <c r="AO180" i="38" s="1"/>
  <c r="A179" i="7"/>
  <c r="AJ178" i="38"/>
  <c r="AA178" i="38"/>
  <c r="AV178" i="38" s="1"/>
  <c r="E178" i="38" s="1"/>
  <c r="AL178" i="38"/>
  <c r="AB178" i="38"/>
  <c r="AK178" i="38"/>
  <c r="Y179" i="38"/>
  <c r="Z179" i="38"/>
  <c r="AY179" i="38" s="1"/>
  <c r="AZ179" i="38" s="1"/>
  <c r="B177" i="6"/>
  <c r="C181" i="38"/>
  <c r="C179" i="7"/>
  <c r="DJ179" i="7"/>
  <c r="AX180" i="38"/>
  <c r="AE178" i="38" l="1"/>
  <c r="Y180" i="38"/>
  <c r="Z180" i="38"/>
  <c r="AY180" i="38" s="1"/>
  <c r="AZ180" i="38" s="1"/>
  <c r="D179" i="7"/>
  <c r="B179" i="7"/>
  <c r="B181" i="38"/>
  <c r="AM181" i="38"/>
  <c r="AS181" i="38"/>
  <c r="D181" i="38"/>
  <c r="AO181" i="38" s="1"/>
  <c r="A180" i="7"/>
  <c r="A182" i="38"/>
  <c r="B178" i="6"/>
  <c r="AT180" i="38"/>
  <c r="AK179" i="38"/>
  <c r="AJ179" i="38"/>
  <c r="AL179" i="38"/>
  <c r="AA179" i="38"/>
  <c r="AV179" i="38" s="1"/>
  <c r="E179" i="38" s="1"/>
  <c r="AB179" i="38"/>
  <c r="C180" i="7"/>
  <c r="AX181" i="38"/>
  <c r="DJ180" i="7"/>
  <c r="AE179" i="38" l="1"/>
  <c r="B179" i="6"/>
  <c r="Y181" i="38"/>
  <c r="Z181" i="38"/>
  <c r="AY181" i="38" s="1"/>
  <c r="AZ181" i="38" s="1"/>
  <c r="B182" i="38"/>
  <c r="AS182" i="38"/>
  <c r="A181" i="7"/>
  <c r="D182" i="38"/>
  <c r="AO182" i="38" s="1"/>
  <c r="AM182" i="38"/>
  <c r="A183" i="38"/>
  <c r="B180" i="7"/>
  <c r="D180" i="7"/>
  <c r="AT181" i="38"/>
  <c r="AB180" i="38"/>
  <c r="AL180" i="38"/>
  <c r="AK180" i="38"/>
  <c r="AA180" i="38"/>
  <c r="AV180" i="38" s="1"/>
  <c r="E180" i="38" s="1"/>
  <c r="AJ180" i="38"/>
  <c r="C182" i="38"/>
  <c r="C181" i="7"/>
  <c r="DJ181" i="7"/>
  <c r="AX182" i="38"/>
  <c r="AE180" i="38" l="1"/>
  <c r="Y182" i="38"/>
  <c r="Z182" i="38"/>
  <c r="AY182" i="38" s="1"/>
  <c r="AZ182" i="38" s="1"/>
  <c r="AT182" i="38"/>
  <c r="AS183" i="38"/>
  <c r="B183" i="38"/>
  <c r="A182" i="7"/>
  <c r="D183" i="38"/>
  <c r="AO183" i="38" s="1"/>
  <c r="AM183" i="38"/>
  <c r="A184" i="38"/>
  <c r="AA181" i="38"/>
  <c r="AV181" i="38" s="1"/>
  <c r="E181" i="38" s="1"/>
  <c r="AB181" i="38"/>
  <c r="AK181" i="38"/>
  <c r="AL181" i="38"/>
  <c r="AJ181" i="38"/>
  <c r="D181" i="7"/>
  <c r="B181" i="7"/>
  <c r="B180" i="6"/>
  <c r="C183" i="38"/>
  <c r="C182" i="7"/>
  <c r="DJ182" i="7"/>
  <c r="AX183" i="38"/>
  <c r="AE181" i="38" l="1"/>
  <c r="AT183" i="38"/>
  <c r="B184" i="38"/>
  <c r="AS184" i="38"/>
  <c r="A183" i="7"/>
  <c r="D184" i="38"/>
  <c r="AO184" i="38" s="1"/>
  <c r="AM184" i="38"/>
  <c r="A185" i="38"/>
  <c r="Y183" i="38"/>
  <c r="Z183" i="38"/>
  <c r="AY183" i="38" s="1"/>
  <c r="AZ183" i="38" s="1"/>
  <c r="B181" i="6"/>
  <c r="D182" i="7"/>
  <c r="B182" i="7"/>
  <c r="AB182" i="38"/>
  <c r="AJ182" i="38"/>
  <c r="AK182" i="38"/>
  <c r="AA182" i="38"/>
  <c r="AV182" i="38" s="1"/>
  <c r="E182" i="38" s="1"/>
  <c r="AL182" i="38"/>
  <c r="C183" i="7"/>
  <c r="C184" i="38"/>
  <c r="AX184" i="38"/>
  <c r="DJ183" i="7"/>
  <c r="AE182" i="38" l="1"/>
  <c r="B182" i="6"/>
  <c r="AS185" i="38"/>
  <c r="B185" i="38"/>
  <c r="A184" i="7"/>
  <c r="D185" i="38"/>
  <c r="AO185" i="38" s="1"/>
  <c r="AM185" i="38"/>
  <c r="A186" i="38"/>
  <c r="Y184" i="38"/>
  <c r="Z184" i="38"/>
  <c r="AY184" i="38" s="1"/>
  <c r="AZ184" i="38" s="1"/>
  <c r="AT184" i="38"/>
  <c r="AL183" i="38"/>
  <c r="AK183" i="38"/>
  <c r="AJ183" i="38"/>
  <c r="AA183" i="38"/>
  <c r="AV183" i="38" s="1"/>
  <c r="E183" i="38" s="1"/>
  <c r="AB183" i="38"/>
  <c r="B183" i="7"/>
  <c r="D183" i="7"/>
  <c r="C185" i="38"/>
  <c r="C184" i="7"/>
  <c r="DJ184" i="7"/>
  <c r="AX185" i="38"/>
  <c r="AE183" i="38" l="1"/>
  <c r="B183" i="6"/>
  <c r="AK184" i="38"/>
  <c r="AJ184" i="38"/>
  <c r="AB184" i="38"/>
  <c r="AL184" i="38"/>
  <c r="AA184" i="38"/>
  <c r="AV184" i="38" s="1"/>
  <c r="E184" i="38" s="1"/>
  <c r="Z185" i="38"/>
  <c r="AY185" i="38" s="1"/>
  <c r="AZ185" i="38" s="1"/>
  <c r="Y185" i="38"/>
  <c r="A187" i="38"/>
  <c r="B186" i="38"/>
  <c r="AS186" i="38"/>
  <c r="A185" i="7"/>
  <c r="D186" i="38"/>
  <c r="AO186" i="38" s="1"/>
  <c r="AM186" i="38"/>
  <c r="D184" i="7"/>
  <c r="B184" i="7"/>
  <c r="AT185" i="38"/>
  <c r="C186" i="38"/>
  <c r="C187" i="38"/>
  <c r="C185" i="7"/>
  <c r="DJ185" i="7"/>
  <c r="AX186" i="38"/>
  <c r="AE184" i="38" l="1"/>
  <c r="D185" i="7"/>
  <c r="B185" i="7"/>
  <c r="AT186" i="38"/>
  <c r="D187" i="38"/>
  <c r="B187" i="38"/>
  <c r="A188" i="38"/>
  <c r="AM187" i="38"/>
  <c r="AS187" i="38"/>
  <c r="A186" i="7"/>
  <c r="AL185" i="38"/>
  <c r="AK185" i="38"/>
  <c r="AA185" i="38"/>
  <c r="AV185" i="38" s="1"/>
  <c r="E185" i="38" s="1"/>
  <c r="AJ185" i="38"/>
  <c r="AB185" i="38"/>
  <c r="Z186" i="38"/>
  <c r="AY186" i="38" s="1"/>
  <c r="AZ186" i="38" s="1"/>
  <c r="Y186" i="38"/>
  <c r="B184" i="6"/>
  <c r="C186" i="7"/>
  <c r="C188" i="38"/>
  <c r="DJ186" i="7"/>
  <c r="AX187" i="38"/>
  <c r="AE185" i="38" l="1"/>
  <c r="AT187" i="38"/>
  <c r="Z187" i="38"/>
  <c r="AY187" i="38" s="1"/>
  <c r="AZ187" i="38" s="1"/>
  <c r="Y187" i="38"/>
  <c r="D188" i="38"/>
  <c r="AM188" i="38"/>
  <c r="B188" i="38"/>
  <c r="AS188" i="38"/>
  <c r="A187" i="7"/>
  <c r="A189" i="38"/>
  <c r="B185" i="6"/>
  <c r="AL186" i="38"/>
  <c r="AK186" i="38"/>
  <c r="AJ186" i="38"/>
  <c r="AA186" i="38"/>
  <c r="AV186" i="38" s="1"/>
  <c r="E186" i="38" s="1"/>
  <c r="AB186" i="38"/>
  <c r="B186" i="7"/>
  <c r="D186" i="7"/>
  <c r="C187" i="7"/>
  <c r="AX188" i="38"/>
  <c r="DJ187" i="7"/>
  <c r="AE186" i="38" l="1"/>
  <c r="AO187" i="38" s="1"/>
  <c r="AT188" i="38"/>
  <c r="Y188" i="38"/>
  <c r="Z188" i="38"/>
  <c r="AY188" i="38" s="1"/>
  <c r="AZ188" i="38" s="1"/>
  <c r="AS189" i="38"/>
  <c r="B189" i="38"/>
  <c r="A188" i="7"/>
  <c r="D189" i="38"/>
  <c r="AM189" i="38"/>
  <c r="A190" i="38"/>
  <c r="B187" i="7"/>
  <c r="D187" i="7"/>
  <c r="AJ187" i="38"/>
  <c r="AA187" i="38"/>
  <c r="AV187" i="38" s="1"/>
  <c r="E187" i="38" s="1"/>
  <c r="AL187" i="38"/>
  <c r="AB187" i="38"/>
  <c r="AK187" i="38"/>
  <c r="B186" i="6"/>
  <c r="C189" i="38"/>
  <c r="C188" i="7"/>
  <c r="DJ188" i="7"/>
  <c r="AX189" i="38"/>
  <c r="AE187" i="38" l="1"/>
  <c r="AS190" i="38"/>
  <c r="B190" i="38"/>
  <c r="A189" i="7"/>
  <c r="D190" i="38"/>
  <c r="AM190" i="38"/>
  <c r="A191" i="38"/>
  <c r="D188" i="7"/>
  <c r="B188" i="7"/>
  <c r="AT189" i="38"/>
  <c r="Z189" i="38"/>
  <c r="AY189" i="38" s="1"/>
  <c r="AZ189" i="38" s="1"/>
  <c r="Y189" i="38"/>
  <c r="B187" i="6"/>
  <c r="AK188" i="38"/>
  <c r="AL188" i="38"/>
  <c r="AA188" i="38"/>
  <c r="AV188" i="38" s="1"/>
  <c r="E188" i="38" s="1"/>
  <c r="AB188" i="38"/>
  <c r="AJ188" i="38"/>
  <c r="C189" i="7"/>
  <c r="C190" i="38"/>
  <c r="AX190" i="38"/>
  <c r="DJ189" i="7"/>
  <c r="AE188" i="38" l="1"/>
  <c r="AO188" i="38"/>
  <c r="AO189" i="38" s="1"/>
  <c r="B188" i="6"/>
  <c r="AL189" i="38"/>
  <c r="AK189" i="38"/>
  <c r="AA189" i="38"/>
  <c r="AV189" i="38" s="1"/>
  <c r="E189" i="38" s="1"/>
  <c r="AJ189" i="38"/>
  <c r="AB189" i="38"/>
  <c r="Z190" i="38"/>
  <c r="AY190" i="38" s="1"/>
  <c r="AZ190" i="38" s="1"/>
  <c r="Y190" i="38"/>
  <c r="AT190" i="38"/>
  <c r="AS191" i="38"/>
  <c r="B191" i="38"/>
  <c r="A190" i="7"/>
  <c r="D191" i="38"/>
  <c r="AM191" i="38"/>
  <c r="A192" i="38"/>
  <c r="B189" i="7"/>
  <c r="D189" i="7"/>
  <c r="C190" i="7"/>
  <c r="C191" i="38"/>
  <c r="DJ190" i="7"/>
  <c r="AX191" i="38"/>
  <c r="AE189" i="38" l="1"/>
  <c r="AO190" i="38" s="1"/>
  <c r="AO191" i="38" s="1"/>
  <c r="B189" i="6"/>
  <c r="AT191" i="38"/>
  <c r="B190" i="7"/>
  <c r="D190" i="7"/>
  <c r="AK190" i="38"/>
  <c r="AL190" i="38"/>
  <c r="AA190" i="38"/>
  <c r="AV190" i="38" s="1"/>
  <c r="E190" i="38" s="1"/>
  <c r="AB190" i="38"/>
  <c r="AJ190" i="38"/>
  <c r="B192" i="38"/>
  <c r="AS192" i="38"/>
  <c r="A191" i="7"/>
  <c r="D192" i="38"/>
  <c r="AM192" i="38"/>
  <c r="A193" i="38"/>
  <c r="Z191" i="38"/>
  <c r="AY191" i="38" s="1"/>
  <c r="AZ191" i="38" s="1"/>
  <c r="Y191" i="38"/>
  <c r="C191" i="7"/>
  <c r="C192" i="38"/>
  <c r="AX192" i="38"/>
  <c r="DJ191" i="7"/>
  <c r="AO192" i="38" l="1"/>
  <c r="B190" i="6"/>
  <c r="AE190" i="38"/>
  <c r="AT192" i="38"/>
  <c r="AL191" i="38"/>
  <c r="AB191" i="38"/>
  <c r="AJ191" i="38"/>
  <c r="AA191" i="38"/>
  <c r="AV191" i="38" s="1"/>
  <c r="E191" i="38" s="1"/>
  <c r="AK191" i="38"/>
  <c r="A194" i="38"/>
  <c r="AS193" i="38"/>
  <c r="B193" i="38"/>
  <c r="A192" i="7"/>
  <c r="D193" i="38"/>
  <c r="AM193" i="38"/>
  <c r="D191" i="7"/>
  <c r="B191" i="7"/>
  <c r="Z192" i="38"/>
  <c r="AY192" i="38" s="1"/>
  <c r="AZ192" i="38" s="1"/>
  <c r="Y192" i="38"/>
  <c r="C194" i="38"/>
  <c r="C192" i="7"/>
  <c r="C193" i="38"/>
  <c r="AX193" i="38"/>
  <c r="DJ192" i="7"/>
  <c r="AO193" i="38" l="1"/>
  <c r="B191" i="6"/>
  <c r="AE191" i="38"/>
  <c r="Z193" i="38"/>
  <c r="AY193" i="38" s="1"/>
  <c r="AZ193" i="38" s="1"/>
  <c r="Y193" i="38"/>
  <c r="B192" i="7"/>
  <c r="D192" i="7"/>
  <c r="AT193" i="38"/>
  <c r="D194" i="38"/>
  <c r="AO194" i="38" s="1"/>
  <c r="AM194" i="38"/>
  <c r="A195" i="38"/>
  <c r="B194" i="38"/>
  <c r="AS194" i="38"/>
  <c r="A193" i="7"/>
  <c r="AK192" i="38"/>
  <c r="AB192" i="38"/>
  <c r="AL192" i="38"/>
  <c r="AA192" i="38"/>
  <c r="AV192" i="38" s="1"/>
  <c r="E192" i="38" s="1"/>
  <c r="AJ192" i="38"/>
  <c r="C193" i="7"/>
  <c r="C195" i="38"/>
  <c r="AX194" i="38"/>
  <c r="DJ193" i="7"/>
  <c r="AE192" i="38" l="1"/>
  <c r="B192" i="6"/>
  <c r="AT194" i="38"/>
  <c r="D193" i="7"/>
  <c r="B193" i="7"/>
  <c r="Z194" i="38"/>
  <c r="AY194" i="38" s="1"/>
  <c r="AZ194" i="38" s="1"/>
  <c r="Y194" i="38"/>
  <c r="AL193" i="38"/>
  <c r="AA193" i="38"/>
  <c r="AV193" i="38" s="1"/>
  <c r="E193" i="38" s="1"/>
  <c r="AK193" i="38"/>
  <c r="AJ193" i="38"/>
  <c r="AB193" i="38"/>
  <c r="B195" i="38"/>
  <c r="AS195" i="38"/>
  <c r="D195" i="38"/>
  <c r="AO195" i="38" s="1"/>
  <c r="AM195" i="38"/>
  <c r="A194" i="7"/>
  <c r="A196" i="38"/>
  <c r="C194" i="7"/>
  <c r="DJ194" i="7"/>
  <c r="AX195" i="38"/>
  <c r="AE193" i="38" l="1"/>
  <c r="AT195" i="38"/>
  <c r="Z195" i="38"/>
  <c r="AY195" i="38" s="1"/>
  <c r="AZ195" i="38" s="1"/>
  <c r="Y195" i="38"/>
  <c r="AJ194" i="38"/>
  <c r="AA194" i="38"/>
  <c r="AV194" i="38" s="1"/>
  <c r="E194" i="38" s="1"/>
  <c r="AB194" i="38"/>
  <c r="AK194" i="38"/>
  <c r="AL194" i="38"/>
  <c r="AS196" i="38"/>
  <c r="B196" i="38"/>
  <c r="A195" i="7"/>
  <c r="D196" i="38"/>
  <c r="AO196" i="38" s="1"/>
  <c r="AM196" i="38"/>
  <c r="A197" i="38"/>
  <c r="D194" i="7"/>
  <c r="B194" i="7"/>
  <c r="B193" i="6"/>
  <c r="C196" i="38"/>
  <c r="C195" i="7"/>
  <c r="AX196" i="38"/>
  <c r="DJ195" i="7"/>
  <c r="AE194" i="38" l="1"/>
  <c r="D195" i="7"/>
  <c r="B195" i="7"/>
  <c r="Z196" i="38"/>
  <c r="AY196" i="38" s="1"/>
  <c r="AZ196" i="38" s="1"/>
  <c r="Y196" i="38"/>
  <c r="AT196" i="38"/>
  <c r="AA195" i="38"/>
  <c r="AV195" i="38" s="1"/>
  <c r="E195" i="38" s="1"/>
  <c r="AB195" i="38"/>
  <c r="AL195" i="38"/>
  <c r="AJ195" i="38"/>
  <c r="AK195" i="38"/>
  <c r="B194" i="6"/>
  <c r="B197" i="38"/>
  <c r="AS197" i="38"/>
  <c r="A196" i="7"/>
  <c r="D197" i="38"/>
  <c r="AO197" i="38" s="1"/>
  <c r="AM197" i="38"/>
  <c r="A198" i="38"/>
  <c r="C197" i="38"/>
  <c r="C196" i="7"/>
  <c r="DJ196" i="7"/>
  <c r="AX197" i="38"/>
  <c r="B195" i="6" l="1"/>
  <c r="AE195" i="38"/>
  <c r="AT197" i="38"/>
  <c r="B198" i="38"/>
  <c r="AS198" i="38"/>
  <c r="A197" i="7"/>
  <c r="D198" i="38"/>
  <c r="AO198" i="38" s="1"/>
  <c r="AM198" i="38"/>
  <c r="A199" i="38"/>
  <c r="Z197" i="38"/>
  <c r="AY197" i="38" s="1"/>
  <c r="AZ197" i="38" s="1"/>
  <c r="Y197" i="38"/>
  <c r="AK196" i="38"/>
  <c r="AA196" i="38"/>
  <c r="AV196" i="38" s="1"/>
  <c r="E196" i="38" s="1"/>
  <c r="AB196" i="38"/>
  <c r="AL196" i="38"/>
  <c r="AJ196" i="38"/>
  <c r="D196" i="7"/>
  <c r="B196" i="7"/>
  <c r="C197" i="7"/>
  <c r="C198" i="38"/>
  <c r="DJ197" i="7"/>
  <c r="AX198" i="38"/>
  <c r="AE196" i="38" l="1"/>
  <c r="Z198" i="38"/>
  <c r="AY198" i="38" s="1"/>
  <c r="AZ198" i="38" s="1"/>
  <c r="Y198" i="38"/>
  <c r="B197" i="7"/>
  <c r="D197" i="7"/>
  <c r="AS199" i="38"/>
  <c r="B199" i="38"/>
  <c r="A198" i="7"/>
  <c r="D199" i="38"/>
  <c r="AO199" i="38" s="1"/>
  <c r="AM199" i="38"/>
  <c r="A200" i="38"/>
  <c r="AJ197" i="38"/>
  <c r="AB197" i="38"/>
  <c r="AK197" i="38"/>
  <c r="AL197" i="38"/>
  <c r="AA197" i="38"/>
  <c r="AV197" i="38" s="1"/>
  <c r="E197" i="38" s="1"/>
  <c r="AT198" i="38"/>
  <c r="B196" i="6"/>
  <c r="C199" i="38"/>
  <c r="C198" i="7"/>
  <c r="AX199" i="38"/>
  <c r="DJ198" i="7"/>
  <c r="AE197" i="38" l="1"/>
  <c r="B197" i="6"/>
  <c r="B198" i="7"/>
  <c r="D198" i="7"/>
  <c r="A201" i="38"/>
  <c r="B200" i="38"/>
  <c r="AS200" i="38"/>
  <c r="A199" i="7"/>
  <c r="D200" i="38"/>
  <c r="AO200" i="38" s="1"/>
  <c r="AM200" i="38"/>
  <c r="AT199" i="38"/>
  <c r="Z199" i="38"/>
  <c r="AY199" i="38" s="1"/>
  <c r="AZ199" i="38" s="1"/>
  <c r="Y199" i="38"/>
  <c r="AJ198" i="38"/>
  <c r="AA198" i="38"/>
  <c r="AV198" i="38" s="1"/>
  <c r="E198" i="38" s="1"/>
  <c r="AB198" i="38"/>
  <c r="AL198" i="38"/>
  <c r="AK198" i="38"/>
  <c r="C199" i="7"/>
  <c r="C201" i="38"/>
  <c r="C200" i="38"/>
  <c r="DJ199" i="7"/>
  <c r="AX200" i="38"/>
  <c r="AE198" i="38" l="1"/>
  <c r="B198" i="6"/>
  <c r="B199" i="7"/>
  <c r="D199" i="7"/>
  <c r="A202" i="38"/>
  <c r="D201" i="38"/>
  <c r="AO201" i="38" s="1"/>
  <c r="AS201" i="38"/>
  <c r="AM201" i="38"/>
  <c r="B201" i="38"/>
  <c r="A200" i="7"/>
  <c r="AB199" i="38"/>
  <c r="AL199" i="38"/>
  <c r="AK199" i="38"/>
  <c r="AA199" i="38"/>
  <c r="AV199" i="38" s="1"/>
  <c r="E199" i="38" s="1"/>
  <c r="AJ199" i="38"/>
  <c r="Z200" i="38"/>
  <c r="AY200" i="38" s="1"/>
  <c r="AZ200" i="38" s="1"/>
  <c r="Y200" i="38"/>
  <c r="AT200" i="38"/>
  <c r="C200" i="7"/>
  <c r="C202" i="38"/>
  <c r="DJ200" i="7"/>
  <c r="AX201" i="38"/>
  <c r="AE199" i="38" l="1"/>
  <c r="AT201" i="38"/>
  <c r="Z201" i="38"/>
  <c r="AY201" i="38" s="1"/>
  <c r="AZ201" i="38" s="1"/>
  <c r="Y201" i="38"/>
  <c r="B202" i="38"/>
  <c r="D202" i="38"/>
  <c r="AO202" i="38" s="1"/>
  <c r="AM202" i="38"/>
  <c r="AS202" i="38"/>
  <c r="A201" i="7"/>
  <c r="A203" i="38"/>
  <c r="B199" i="6"/>
  <c r="AB200" i="38"/>
  <c r="AA200" i="38"/>
  <c r="AV200" i="38" s="1"/>
  <c r="E200" i="38" s="1"/>
  <c r="AK200" i="38"/>
  <c r="AJ200" i="38"/>
  <c r="AL200" i="38"/>
  <c r="B200" i="7"/>
  <c r="D200" i="7"/>
  <c r="C201" i="7"/>
  <c r="AX202" i="38"/>
  <c r="DJ201" i="7"/>
  <c r="AE200" i="38" l="1"/>
  <c r="B200" i="6"/>
  <c r="AT202" i="38"/>
  <c r="Z202" i="38"/>
  <c r="AY202" i="38" s="1"/>
  <c r="AZ202" i="38" s="1"/>
  <c r="Y202" i="38"/>
  <c r="B201" i="7"/>
  <c r="D201" i="7"/>
  <c r="AJ201" i="38"/>
  <c r="AK201" i="38"/>
  <c r="AA201" i="38"/>
  <c r="AV201" i="38" s="1"/>
  <c r="E201" i="38" s="1"/>
  <c r="AL201" i="38"/>
  <c r="AB201" i="38"/>
  <c r="B203" i="38"/>
  <c r="AS203" i="38"/>
  <c r="A202" i="7"/>
  <c r="D203" i="38"/>
  <c r="AO203" i="38" s="1"/>
  <c r="AM203" i="38"/>
  <c r="A204" i="38"/>
  <c r="C202" i="7"/>
  <c r="C203" i="38"/>
  <c r="DJ202" i="7"/>
  <c r="AX203" i="38"/>
  <c r="AE201" i="38" l="1"/>
  <c r="AT203" i="38"/>
  <c r="B202" i="7"/>
  <c r="D202" i="7"/>
  <c r="B204" i="38"/>
  <c r="AS204" i="38"/>
  <c r="A203" i="7"/>
  <c r="D204" i="38"/>
  <c r="AO204" i="38" s="1"/>
  <c r="AM204" i="38"/>
  <c r="A205" i="38"/>
  <c r="AL202" i="38"/>
  <c r="AA202" i="38"/>
  <c r="AV202" i="38" s="1"/>
  <c r="E202" i="38" s="1"/>
  <c r="AB202" i="38"/>
  <c r="AJ202" i="38"/>
  <c r="AK202" i="38"/>
  <c r="Z203" i="38"/>
  <c r="AY203" i="38" s="1"/>
  <c r="AZ203" i="38" s="1"/>
  <c r="Y203" i="38"/>
  <c r="B201" i="6"/>
  <c r="C204" i="38"/>
  <c r="C203" i="7"/>
  <c r="AX204" i="38"/>
  <c r="DJ203" i="7"/>
  <c r="AE202" i="38" l="1"/>
  <c r="Z204" i="38"/>
  <c r="AY204" i="38" s="1"/>
  <c r="AZ204" i="38" s="1"/>
  <c r="Y204" i="38"/>
  <c r="AT204" i="38"/>
  <c r="B202" i="6"/>
  <c r="AJ203" i="38"/>
  <c r="AB203" i="38"/>
  <c r="AL203" i="38"/>
  <c r="AA203" i="38"/>
  <c r="AV203" i="38" s="1"/>
  <c r="E203" i="38" s="1"/>
  <c r="AK203" i="38"/>
  <c r="B205" i="38"/>
  <c r="AS205" i="38"/>
  <c r="A204" i="7"/>
  <c r="D205" i="38"/>
  <c r="AO205" i="38" s="1"/>
  <c r="AM205" i="38"/>
  <c r="A206" i="38"/>
  <c r="B203" i="7"/>
  <c r="D203" i="7"/>
  <c r="C204" i="7"/>
  <c r="C205" i="38"/>
  <c r="AX205" i="38"/>
  <c r="DJ204" i="7"/>
  <c r="AE203" i="38" l="1"/>
  <c r="AT205" i="38"/>
  <c r="B203" i="6"/>
  <c r="D204" i="7"/>
  <c r="B204" i="7"/>
  <c r="AS206" i="38"/>
  <c r="B206" i="38"/>
  <c r="A205" i="7"/>
  <c r="D206" i="38"/>
  <c r="AO206" i="38" s="1"/>
  <c r="AM206" i="38"/>
  <c r="A207" i="38"/>
  <c r="AJ204" i="38"/>
  <c r="AK204" i="38"/>
  <c r="AL204" i="38"/>
  <c r="AB204" i="38"/>
  <c r="AA204" i="38"/>
  <c r="AV204" i="38" s="1"/>
  <c r="E204" i="38" s="1"/>
  <c r="Z205" i="38"/>
  <c r="AY205" i="38" s="1"/>
  <c r="AZ205" i="38" s="1"/>
  <c r="Y205" i="38"/>
  <c r="C206" i="38"/>
  <c r="C205" i="7"/>
  <c r="DJ205" i="7"/>
  <c r="AX206" i="38"/>
  <c r="AE204" i="38" l="1"/>
  <c r="B204" i="6"/>
  <c r="Y206" i="38"/>
  <c r="Z206" i="38"/>
  <c r="AY206" i="38" s="1"/>
  <c r="AZ206" i="38" s="1"/>
  <c r="AT206" i="38"/>
  <c r="AL205" i="38"/>
  <c r="AK205" i="38"/>
  <c r="AJ205" i="38"/>
  <c r="AA205" i="38"/>
  <c r="AV205" i="38" s="1"/>
  <c r="E205" i="38" s="1"/>
  <c r="AB205" i="38"/>
  <c r="A208" i="38"/>
  <c r="AS207" i="38"/>
  <c r="B207" i="38"/>
  <c r="A206" i="7"/>
  <c r="D207" i="38"/>
  <c r="AO207" i="38" s="1"/>
  <c r="AM207" i="38"/>
  <c r="B205" i="7"/>
  <c r="D205" i="7"/>
  <c r="C208" i="38"/>
  <c r="C207" i="38"/>
  <c r="C206" i="7"/>
  <c r="DJ206" i="7"/>
  <c r="AX207" i="38"/>
  <c r="AE205" i="38" l="1"/>
  <c r="D206" i="7"/>
  <c r="B206" i="7"/>
  <c r="AT207" i="38"/>
  <c r="AM208" i="38"/>
  <c r="B208" i="38"/>
  <c r="D208" i="38"/>
  <c r="AO208" i="38" s="1"/>
  <c r="AS208" i="38"/>
  <c r="A209" i="38"/>
  <c r="A207" i="7"/>
  <c r="B205" i="6"/>
  <c r="Y207" i="38"/>
  <c r="Z207" i="38"/>
  <c r="AY207" i="38" s="1"/>
  <c r="AZ207" i="38" s="1"/>
  <c r="AK206" i="38"/>
  <c r="AJ206" i="38"/>
  <c r="AA206" i="38"/>
  <c r="AV206" i="38" s="1"/>
  <c r="E206" i="38" s="1"/>
  <c r="AB206" i="38"/>
  <c r="AL206" i="38"/>
  <c r="C209" i="38"/>
  <c r="C207" i="7"/>
  <c r="AX208" i="38"/>
  <c r="DJ207" i="7"/>
  <c r="AE206" i="38" l="1"/>
  <c r="B206" i="6"/>
  <c r="Z208" i="38"/>
  <c r="AY208" i="38" s="1"/>
  <c r="AZ208" i="38" s="1"/>
  <c r="Y208" i="38"/>
  <c r="AL207" i="38"/>
  <c r="AK207" i="38"/>
  <c r="AB207" i="38"/>
  <c r="AJ207" i="38"/>
  <c r="AA207" i="38"/>
  <c r="AV207" i="38" s="1"/>
  <c r="E207" i="38" s="1"/>
  <c r="B209" i="38"/>
  <c r="D209" i="38"/>
  <c r="AO209" i="38" s="1"/>
  <c r="AS209" i="38"/>
  <c r="AM209" i="38"/>
  <c r="A208" i="7"/>
  <c r="A210" i="38"/>
  <c r="D207" i="7"/>
  <c r="B207" i="7"/>
  <c r="AT208" i="38"/>
  <c r="C208" i="7"/>
  <c r="DJ208" i="7"/>
  <c r="AX209" i="38"/>
  <c r="AE207" i="38" l="1"/>
  <c r="Z209" i="38"/>
  <c r="AY209" i="38" s="1"/>
  <c r="AZ209" i="38" s="1"/>
  <c r="Y209" i="38"/>
  <c r="AS210" i="38"/>
  <c r="B210" i="38"/>
  <c r="A209" i="7"/>
  <c r="D210" i="38"/>
  <c r="AO210" i="38" s="1"/>
  <c r="AM210" i="38"/>
  <c r="A211" i="38"/>
  <c r="AT209" i="38"/>
  <c r="AA208" i="38"/>
  <c r="AV208" i="38" s="1"/>
  <c r="E208" i="38" s="1"/>
  <c r="AB208" i="38"/>
  <c r="AK208" i="38"/>
  <c r="AJ208" i="38"/>
  <c r="AL208" i="38"/>
  <c r="D208" i="7"/>
  <c r="B208" i="7"/>
  <c r="B207" i="6"/>
  <c r="C210" i="38"/>
  <c r="C209" i="7"/>
  <c r="DJ209" i="7"/>
  <c r="AX210" i="38"/>
  <c r="AE208" i="38" l="1"/>
  <c r="AS211" i="38"/>
  <c r="B211" i="38"/>
  <c r="A210" i="7"/>
  <c r="D211" i="38"/>
  <c r="AO211" i="38" s="1"/>
  <c r="AM211" i="38"/>
  <c r="A212" i="38"/>
  <c r="B209" i="7"/>
  <c r="D209" i="7"/>
  <c r="B208" i="6"/>
  <c r="Z210" i="38"/>
  <c r="AY210" i="38" s="1"/>
  <c r="AZ210" i="38" s="1"/>
  <c r="Y210" i="38"/>
  <c r="AT210" i="38"/>
  <c r="AK209" i="38"/>
  <c r="AJ209" i="38"/>
  <c r="AB209" i="38"/>
  <c r="AL209" i="38"/>
  <c r="AA209" i="38"/>
  <c r="AV209" i="38" s="1"/>
  <c r="E209" i="38" s="1"/>
  <c r="C210" i="7"/>
  <c r="C211" i="38"/>
  <c r="DJ210" i="7"/>
  <c r="AX211" i="38"/>
  <c r="B209" i="6" l="1"/>
  <c r="AE209" i="38"/>
  <c r="AK210" i="38"/>
  <c r="AJ210" i="38"/>
  <c r="AA210" i="38"/>
  <c r="AV210" i="38" s="1"/>
  <c r="E210" i="38" s="1"/>
  <c r="AB210" i="38"/>
  <c r="AL210" i="38"/>
  <c r="Z211" i="38"/>
  <c r="AY211" i="38" s="1"/>
  <c r="AZ211" i="38" s="1"/>
  <c r="Y211" i="38"/>
  <c r="AS212" i="38"/>
  <c r="B212" i="38"/>
  <c r="A211" i="7"/>
  <c r="D212" i="38"/>
  <c r="AO212" i="38" s="1"/>
  <c r="AM212" i="38"/>
  <c r="A213" i="38"/>
  <c r="B210" i="7"/>
  <c r="D210" i="7"/>
  <c r="AT211" i="38"/>
  <c r="C212" i="38"/>
  <c r="C211" i="7"/>
  <c r="AX212" i="38"/>
  <c r="DJ211" i="7"/>
  <c r="B210" i="6" l="1"/>
  <c r="AE210" i="38"/>
  <c r="Z212" i="38"/>
  <c r="AY212" i="38" s="1"/>
  <c r="AZ212" i="38" s="1"/>
  <c r="Y212" i="38"/>
  <c r="B211" i="7"/>
  <c r="D211" i="7"/>
  <c r="AT212" i="38"/>
  <c r="AL211" i="38"/>
  <c r="AJ211" i="38"/>
  <c r="AK211" i="38"/>
  <c r="AB211" i="38"/>
  <c r="AA211" i="38"/>
  <c r="AV211" i="38" s="1"/>
  <c r="E211" i="38" s="1"/>
  <c r="B213" i="38"/>
  <c r="AS213" i="38"/>
  <c r="A212" i="7"/>
  <c r="D213" i="38"/>
  <c r="AO213" i="38" s="1"/>
  <c r="AM213" i="38"/>
  <c r="A214" i="38"/>
  <c r="C213" i="38"/>
  <c r="C212" i="7"/>
  <c r="DJ212" i="7"/>
  <c r="AX213" i="38"/>
  <c r="B211" i="6" l="1"/>
  <c r="AE211" i="38"/>
  <c r="AT213" i="38"/>
  <c r="Z213" i="38"/>
  <c r="AY213" i="38" s="1"/>
  <c r="AZ213" i="38" s="1"/>
  <c r="Y213" i="38"/>
  <c r="AA212" i="38"/>
  <c r="AV212" i="38" s="1"/>
  <c r="E212" i="38" s="1"/>
  <c r="AJ212" i="38"/>
  <c r="AK212" i="38"/>
  <c r="AB212" i="38"/>
  <c r="AL212" i="38"/>
  <c r="A215" i="38"/>
  <c r="AS214" i="38"/>
  <c r="B214" i="38"/>
  <c r="A213" i="7"/>
  <c r="D214" i="38"/>
  <c r="AO214" i="38" s="1"/>
  <c r="AM214" i="38"/>
  <c r="B212" i="7"/>
  <c r="D212" i="7"/>
  <c r="C215" i="38"/>
  <c r="C214" i="38"/>
  <c r="C213" i="7"/>
  <c r="DJ213" i="7"/>
  <c r="AX214" i="38"/>
  <c r="AE212" i="38" l="1"/>
  <c r="B212" i="6"/>
  <c r="AT214" i="38"/>
  <c r="AS215" i="38"/>
  <c r="A216" i="38"/>
  <c r="D215" i="38"/>
  <c r="AO215" i="38" s="1"/>
  <c r="B215" i="38"/>
  <c r="AM215" i="38"/>
  <c r="A214" i="7"/>
  <c r="D213" i="7"/>
  <c r="B213" i="7"/>
  <c r="AJ213" i="38"/>
  <c r="AA213" i="38"/>
  <c r="AV213" i="38" s="1"/>
  <c r="E213" i="38" s="1"/>
  <c r="AB213" i="38"/>
  <c r="AL213" i="38"/>
  <c r="AK213" i="38"/>
  <c r="Z214" i="38"/>
  <c r="AY214" i="38" s="1"/>
  <c r="AZ214" i="38" s="1"/>
  <c r="Y214" i="38"/>
  <c r="C214" i="7"/>
  <c r="C216" i="38"/>
  <c r="DJ214" i="7"/>
  <c r="AX215" i="38"/>
  <c r="AE213" i="38" l="1"/>
  <c r="B214" i="7"/>
  <c r="D214" i="7"/>
  <c r="AT215" i="38"/>
  <c r="B213" i="6"/>
  <c r="Z215" i="38"/>
  <c r="AY215" i="38" s="1"/>
  <c r="AZ215" i="38" s="1"/>
  <c r="Y215" i="38"/>
  <c r="D216" i="38"/>
  <c r="AO216" i="38" s="1"/>
  <c r="B216" i="38"/>
  <c r="AS216" i="38"/>
  <c r="AM216" i="38"/>
  <c r="A215" i="7"/>
  <c r="A217" i="38"/>
  <c r="AB214" i="38"/>
  <c r="AL214" i="38"/>
  <c r="AA214" i="38"/>
  <c r="AV214" i="38" s="1"/>
  <c r="E214" i="38" s="1"/>
  <c r="AK214" i="38"/>
  <c r="AJ214" i="38"/>
  <c r="C215" i="7"/>
  <c r="AX216" i="38"/>
  <c r="DJ215" i="7"/>
  <c r="AE214" i="38" l="1"/>
  <c r="B214" i="6"/>
  <c r="B215" i="7"/>
  <c r="D215" i="7"/>
  <c r="B217" i="38"/>
  <c r="AS217" i="38"/>
  <c r="A216" i="7"/>
  <c r="D217" i="38"/>
  <c r="AO217" i="38" s="1"/>
  <c r="AM217" i="38"/>
  <c r="A218" i="38"/>
  <c r="AT216" i="38"/>
  <c r="AL215" i="38"/>
  <c r="AA215" i="38"/>
  <c r="AV215" i="38" s="1"/>
  <c r="E215" i="38" s="1"/>
  <c r="AK215" i="38"/>
  <c r="AJ215" i="38"/>
  <c r="AB215" i="38"/>
  <c r="Z216" i="38"/>
  <c r="AY216" i="38" s="1"/>
  <c r="AZ216" i="38" s="1"/>
  <c r="Y216" i="38"/>
  <c r="C217" i="38"/>
  <c r="C216" i="7"/>
  <c r="AX217" i="38"/>
  <c r="DJ216" i="7"/>
  <c r="AE215" i="38" l="1"/>
  <c r="Z217" i="38"/>
  <c r="AY217" i="38" s="1"/>
  <c r="AZ217" i="38" s="1"/>
  <c r="Y217" i="38"/>
  <c r="B216" i="7"/>
  <c r="D216" i="7"/>
  <c r="AT217" i="38"/>
  <c r="B215" i="6"/>
  <c r="AK216" i="38"/>
  <c r="AA216" i="38"/>
  <c r="AV216" i="38" s="1"/>
  <c r="E216" i="38" s="1"/>
  <c r="AJ216" i="38"/>
  <c r="AB216" i="38"/>
  <c r="AL216" i="38"/>
  <c r="B218" i="38"/>
  <c r="AS218" i="38"/>
  <c r="A217" i="7"/>
  <c r="D218" i="38"/>
  <c r="AM218" i="38"/>
  <c r="A219" i="38"/>
  <c r="C218" i="38"/>
  <c r="C217" i="7"/>
  <c r="AX218" i="38"/>
  <c r="DJ217" i="7"/>
  <c r="AE216" i="38" l="1"/>
  <c r="AT218" i="38"/>
  <c r="Z218" i="38"/>
  <c r="AY218" i="38" s="1"/>
  <c r="AZ218" i="38" s="1"/>
  <c r="Y218" i="38"/>
  <c r="B216" i="6"/>
  <c r="AK217" i="38"/>
  <c r="AA217" i="38"/>
  <c r="AV217" i="38" s="1"/>
  <c r="E217" i="38" s="1"/>
  <c r="AJ217" i="38"/>
  <c r="AL217" i="38"/>
  <c r="AB217" i="38"/>
  <c r="AS219" i="38"/>
  <c r="B219" i="38"/>
  <c r="A218" i="7"/>
  <c r="D219" i="38"/>
  <c r="AM219" i="38"/>
  <c r="A220" i="38"/>
  <c r="D217" i="7"/>
  <c r="B217" i="7"/>
  <c r="C218" i="7"/>
  <c r="C219" i="38"/>
  <c r="AX219" i="38"/>
  <c r="DJ218" i="7"/>
  <c r="AE217" i="38" l="1"/>
  <c r="AO218" i="38" s="1"/>
  <c r="D218" i="7"/>
  <c r="B218" i="7"/>
  <c r="Z219" i="38"/>
  <c r="AY219" i="38" s="1"/>
  <c r="AZ219" i="38" s="1"/>
  <c r="Y219" i="38"/>
  <c r="B217" i="6"/>
  <c r="AB218" i="38"/>
  <c r="AJ218" i="38"/>
  <c r="AK218" i="38"/>
  <c r="AL218" i="38"/>
  <c r="AA218" i="38"/>
  <c r="AV218" i="38" s="1"/>
  <c r="E218" i="38" s="1"/>
  <c r="AT219" i="38"/>
  <c r="AS220" i="38"/>
  <c r="B220" i="38"/>
  <c r="A219" i="7"/>
  <c r="AM220" i="38"/>
  <c r="D220" i="38"/>
  <c r="A221" i="38"/>
  <c r="C219" i="7"/>
  <c r="C220" i="38"/>
  <c r="DJ219" i="7"/>
  <c r="AX220" i="38"/>
  <c r="AE218" i="38" l="1"/>
  <c r="AT220" i="38"/>
  <c r="A222" i="38"/>
  <c r="AS221" i="38"/>
  <c r="B221" i="38"/>
  <c r="A220" i="7"/>
  <c r="D221" i="38"/>
  <c r="AM221" i="38"/>
  <c r="Z220" i="38"/>
  <c r="AY220" i="38" s="1"/>
  <c r="AZ220" i="38" s="1"/>
  <c r="Y220" i="38"/>
  <c r="B218" i="6"/>
  <c r="AK219" i="38"/>
  <c r="AB219" i="38"/>
  <c r="AL219" i="38"/>
  <c r="AJ219" i="38"/>
  <c r="AA219" i="38"/>
  <c r="AV219" i="38" s="1"/>
  <c r="E219" i="38" s="1"/>
  <c r="B219" i="7"/>
  <c r="D219" i="7"/>
  <c r="C221" i="38"/>
  <c r="C220" i="7"/>
  <c r="C222" i="38"/>
  <c r="AX221" i="38"/>
  <c r="DJ220" i="7"/>
  <c r="AE219" i="38" l="1"/>
  <c r="AO219" i="38"/>
  <c r="AO220" i="38" s="1"/>
  <c r="AO221" i="38" s="1"/>
  <c r="B219" i="6"/>
  <c r="AK220" i="38"/>
  <c r="AJ220" i="38"/>
  <c r="AA220" i="38"/>
  <c r="AV220" i="38" s="1"/>
  <c r="E220" i="38" s="1"/>
  <c r="AB220" i="38"/>
  <c r="AL220" i="38"/>
  <c r="AT221" i="38"/>
  <c r="Z221" i="38"/>
  <c r="AY221" i="38" s="1"/>
  <c r="AZ221" i="38" s="1"/>
  <c r="Y221" i="38"/>
  <c r="B220" i="7"/>
  <c r="D220" i="7"/>
  <c r="A223" i="38"/>
  <c r="B222" i="38"/>
  <c r="AS222" i="38"/>
  <c r="AM222" i="38"/>
  <c r="D222" i="38"/>
  <c r="A221" i="7"/>
  <c r="C221" i="7"/>
  <c r="C223" i="38"/>
  <c r="DJ221" i="7"/>
  <c r="AX222" i="38"/>
  <c r="B220" i="6" l="1"/>
  <c r="AO222" i="38"/>
  <c r="AE220" i="38"/>
  <c r="Z222" i="38"/>
  <c r="AY222" i="38" s="1"/>
  <c r="AZ222" i="38" s="1"/>
  <c r="Y222" i="38"/>
  <c r="B223" i="38"/>
  <c r="D223" i="38"/>
  <c r="AM223" i="38"/>
  <c r="AS223" i="38"/>
  <c r="A222" i="7"/>
  <c r="A224" i="38"/>
  <c r="D221" i="7"/>
  <c r="B221" i="7"/>
  <c r="AL221" i="38"/>
  <c r="AK221" i="38"/>
  <c r="AB221" i="38"/>
  <c r="AA221" i="38"/>
  <c r="AV221" i="38" s="1"/>
  <c r="E221" i="38" s="1"/>
  <c r="AJ221" i="38"/>
  <c r="AT222" i="38"/>
  <c r="C222" i="7"/>
  <c r="DJ222" i="7"/>
  <c r="AX223" i="38"/>
  <c r="AO223" i="38" l="1"/>
  <c r="AT223" i="38"/>
  <c r="AE221" i="38"/>
  <c r="B221" i="6"/>
  <c r="AS224" i="38"/>
  <c r="B224" i="38"/>
  <c r="A223" i="7"/>
  <c r="D224" i="38"/>
  <c r="AM224" i="38"/>
  <c r="A225" i="38"/>
  <c r="B222" i="7"/>
  <c r="D222" i="7"/>
  <c r="Z223" i="38"/>
  <c r="AY223" i="38" s="1"/>
  <c r="AZ223" i="38" s="1"/>
  <c r="Y223" i="38"/>
  <c r="AJ222" i="38"/>
  <c r="AK222" i="38"/>
  <c r="AA222" i="38"/>
  <c r="AV222" i="38" s="1"/>
  <c r="E222" i="38" s="1"/>
  <c r="AB222" i="38"/>
  <c r="AL222" i="38"/>
  <c r="C223" i="7"/>
  <c r="C224" i="38"/>
  <c r="DJ223" i="7"/>
  <c r="AX224" i="38"/>
  <c r="AO224" i="38" l="1"/>
  <c r="AE222" i="38"/>
  <c r="AK223" i="38"/>
  <c r="AJ223" i="38"/>
  <c r="AB223" i="38"/>
  <c r="AL223" i="38"/>
  <c r="AA223" i="38"/>
  <c r="AV223" i="38" s="1"/>
  <c r="E223" i="38" s="1"/>
  <c r="AS225" i="38"/>
  <c r="B225" i="38"/>
  <c r="A224" i="7"/>
  <c r="D225" i="38"/>
  <c r="AM225" i="38"/>
  <c r="A226" i="38"/>
  <c r="D223" i="7"/>
  <c r="B223" i="7"/>
  <c r="Z224" i="38"/>
  <c r="AY224" i="38" s="1"/>
  <c r="AZ224" i="38" s="1"/>
  <c r="Y224" i="38"/>
  <c r="AT224" i="38"/>
  <c r="B222" i="6"/>
  <c r="C225" i="38"/>
  <c r="C224" i="7"/>
  <c r="AX225" i="38"/>
  <c r="DJ224" i="7"/>
  <c r="AO225" i="38" l="1"/>
  <c r="AE223" i="38"/>
  <c r="B223" i="6"/>
  <c r="Z225" i="38"/>
  <c r="AY225" i="38" s="1"/>
  <c r="AZ225" i="38" s="1"/>
  <c r="Y225" i="38"/>
  <c r="AT225" i="38"/>
  <c r="AJ224" i="38"/>
  <c r="AB224" i="38"/>
  <c r="AL224" i="38"/>
  <c r="AK224" i="38"/>
  <c r="AA224" i="38"/>
  <c r="AV224" i="38" s="1"/>
  <c r="E224" i="38" s="1"/>
  <c r="AS226" i="38"/>
  <c r="B226" i="38"/>
  <c r="A225" i="7"/>
  <c r="D226" i="38"/>
  <c r="AM226" i="38"/>
  <c r="A227" i="38"/>
  <c r="B224" i="7"/>
  <c r="D224" i="7"/>
  <c r="C225" i="7"/>
  <c r="C226" i="38"/>
  <c r="AX226" i="38"/>
  <c r="DJ225" i="7"/>
  <c r="AO226" i="38" l="1"/>
  <c r="AE224" i="38"/>
  <c r="AT226" i="38"/>
  <c r="B224" i="6"/>
  <c r="AS227" i="38"/>
  <c r="B227" i="38"/>
  <c r="A226" i="7"/>
  <c r="D227" i="38"/>
  <c r="AM227" i="38"/>
  <c r="A228" i="38"/>
  <c r="AJ225" i="38"/>
  <c r="AK225" i="38"/>
  <c r="AB225" i="38"/>
  <c r="AL225" i="38"/>
  <c r="AA225" i="38"/>
  <c r="AV225" i="38" s="1"/>
  <c r="E225" i="38" s="1"/>
  <c r="B225" i="7"/>
  <c r="D225" i="7"/>
  <c r="Z226" i="38"/>
  <c r="AY226" i="38" s="1"/>
  <c r="AZ226" i="38" s="1"/>
  <c r="Y226" i="38"/>
  <c r="C227" i="38"/>
  <c r="C226" i="7"/>
  <c r="DJ226" i="7"/>
  <c r="AX227" i="38"/>
  <c r="AO227" i="38" l="1"/>
  <c r="AE225" i="38"/>
  <c r="A229" i="38"/>
  <c r="B228" i="38"/>
  <c r="AS228" i="38"/>
  <c r="A227" i="7"/>
  <c r="D228" i="38"/>
  <c r="AM228" i="38"/>
  <c r="AA226" i="38"/>
  <c r="AV226" i="38" s="1"/>
  <c r="E226" i="38" s="1"/>
  <c r="AK226" i="38"/>
  <c r="AJ226" i="38"/>
  <c r="AL226" i="38"/>
  <c r="AB226" i="38"/>
  <c r="AT227" i="38"/>
  <c r="B225" i="6"/>
  <c r="Z227" i="38"/>
  <c r="AY227" i="38" s="1"/>
  <c r="AZ227" i="38" s="1"/>
  <c r="Y227" i="38"/>
  <c r="B226" i="7"/>
  <c r="D226" i="7"/>
  <c r="C229" i="38"/>
  <c r="C228" i="38"/>
  <c r="C227" i="7"/>
  <c r="DJ227" i="7"/>
  <c r="AX228" i="38"/>
  <c r="AO228" i="38" l="1"/>
  <c r="AE226" i="38"/>
  <c r="B226" i="6"/>
  <c r="B227" i="7"/>
  <c r="D227" i="7"/>
  <c r="AT228" i="38"/>
  <c r="Z228" i="38"/>
  <c r="AY228" i="38" s="1"/>
  <c r="AZ228" i="38" s="1"/>
  <c r="Y228" i="38"/>
  <c r="AL227" i="38"/>
  <c r="AB227" i="38"/>
  <c r="AJ227" i="38"/>
  <c r="AA227" i="38"/>
  <c r="AV227" i="38" s="1"/>
  <c r="E227" i="38" s="1"/>
  <c r="AK227" i="38"/>
  <c r="B229" i="38"/>
  <c r="A230" i="38"/>
  <c r="D229" i="38"/>
  <c r="AO229" i="38" s="1"/>
  <c r="AM229" i="38"/>
  <c r="AS229" i="38"/>
  <c r="A228" i="7"/>
  <c r="C228" i="7"/>
  <c r="C230" i="38"/>
  <c r="AX229" i="38"/>
  <c r="DJ228" i="7"/>
  <c r="AE227" i="38" l="1"/>
  <c r="AM230" i="38"/>
  <c r="D230" i="38"/>
  <c r="AO230" i="38" s="1"/>
  <c r="AS230" i="38"/>
  <c r="B230" i="38"/>
  <c r="A229" i="7"/>
  <c r="A231" i="38"/>
  <c r="D228" i="7"/>
  <c r="B228" i="7"/>
  <c r="Z229" i="38"/>
  <c r="AY229" i="38" s="1"/>
  <c r="AZ229" i="38" s="1"/>
  <c r="Y229" i="38"/>
  <c r="AK228" i="38"/>
  <c r="AJ228" i="38"/>
  <c r="AB228" i="38"/>
  <c r="AL228" i="38"/>
  <c r="AA228" i="38"/>
  <c r="AV228" i="38" s="1"/>
  <c r="E228" i="38" s="1"/>
  <c r="AT229" i="38"/>
  <c r="B227" i="6"/>
  <c r="C229" i="7"/>
  <c r="AX230" i="38"/>
  <c r="DJ229" i="7"/>
  <c r="AE228" i="38" l="1"/>
  <c r="AT230" i="38"/>
  <c r="B228" i="6"/>
  <c r="D229" i="7"/>
  <c r="B229" i="7"/>
  <c r="AS231" i="38"/>
  <c r="B231" i="38"/>
  <c r="A230" i="7"/>
  <c r="D231" i="38"/>
  <c r="AO231" i="38" s="1"/>
  <c r="AM231" i="38"/>
  <c r="A232" i="38"/>
  <c r="AJ229" i="38"/>
  <c r="AB229" i="38"/>
  <c r="AA229" i="38"/>
  <c r="AV229" i="38" s="1"/>
  <c r="E229" i="38" s="1"/>
  <c r="AL229" i="38"/>
  <c r="AK229" i="38"/>
  <c r="Z230" i="38"/>
  <c r="AY230" i="38" s="1"/>
  <c r="AZ230" i="38" s="1"/>
  <c r="Y230" i="38"/>
  <c r="C230" i="7"/>
  <c r="C231" i="38"/>
  <c r="DJ230" i="7"/>
  <c r="AX231" i="38"/>
  <c r="AE229" i="38" l="1"/>
  <c r="B232" i="38"/>
  <c r="AS232" i="38"/>
  <c r="A231" i="7"/>
  <c r="D232" i="38"/>
  <c r="AO232" i="38" s="1"/>
  <c r="AM232" i="38"/>
  <c r="A233" i="38"/>
  <c r="D230" i="7"/>
  <c r="B230" i="7"/>
  <c r="AT231" i="38"/>
  <c r="Z231" i="38"/>
  <c r="AY231" i="38" s="1"/>
  <c r="AZ231" i="38" s="1"/>
  <c r="Y231" i="38"/>
  <c r="B229" i="6"/>
  <c r="AA230" i="38"/>
  <c r="AV230" i="38" s="1"/>
  <c r="E230" i="38" s="1"/>
  <c r="AK230" i="38"/>
  <c r="AJ230" i="38"/>
  <c r="AL230" i="38"/>
  <c r="AB230" i="38"/>
  <c r="C232" i="38"/>
  <c r="C231" i="7"/>
  <c r="AX232" i="38"/>
  <c r="DJ231" i="7"/>
  <c r="AE230" i="38" l="1"/>
  <c r="B230" i="6"/>
  <c r="B233" i="38"/>
  <c r="AS233" i="38"/>
  <c r="A232" i="7"/>
  <c r="D233" i="38"/>
  <c r="AO233" i="38" s="1"/>
  <c r="AM233" i="38"/>
  <c r="A234" i="38"/>
  <c r="B231" i="7"/>
  <c r="D231" i="7"/>
  <c r="AL231" i="38"/>
  <c r="AB231" i="38"/>
  <c r="AA231" i="38"/>
  <c r="AV231" i="38" s="1"/>
  <c r="E231" i="38" s="1"/>
  <c r="AJ231" i="38"/>
  <c r="AK231" i="38"/>
  <c r="Z232" i="38"/>
  <c r="AY232" i="38" s="1"/>
  <c r="AZ232" i="38" s="1"/>
  <c r="Y232" i="38"/>
  <c r="AT232" i="38"/>
  <c r="C232" i="7"/>
  <c r="C233" i="38"/>
  <c r="AX233" i="38"/>
  <c r="DJ232" i="7"/>
  <c r="AE231" i="38" l="1"/>
  <c r="Z233" i="38"/>
  <c r="AY233" i="38" s="1"/>
  <c r="AZ233" i="38" s="1"/>
  <c r="Y233" i="38"/>
  <c r="AS234" i="38"/>
  <c r="B234" i="38"/>
  <c r="A233" i="7"/>
  <c r="D234" i="38"/>
  <c r="AO234" i="38" s="1"/>
  <c r="AM234" i="38"/>
  <c r="A235" i="38"/>
  <c r="D232" i="7"/>
  <c r="B232" i="7"/>
  <c r="AT233" i="38"/>
  <c r="AL232" i="38"/>
  <c r="AJ232" i="38"/>
  <c r="AK232" i="38"/>
  <c r="AB232" i="38"/>
  <c r="AA232" i="38"/>
  <c r="AV232" i="38" s="1"/>
  <c r="E232" i="38" s="1"/>
  <c r="B231" i="6"/>
  <c r="C234" i="38"/>
  <c r="C233" i="7"/>
  <c r="AX234" i="38"/>
  <c r="DJ233" i="7"/>
  <c r="AE232" i="38" l="1"/>
  <c r="B232" i="6"/>
  <c r="B233" i="7"/>
  <c r="D233" i="7"/>
  <c r="A236" i="38"/>
  <c r="B235" i="38"/>
  <c r="AS235" i="38"/>
  <c r="A234" i="7"/>
  <c r="D235" i="38"/>
  <c r="AO235" i="38" s="1"/>
  <c r="AM235" i="38"/>
  <c r="Z234" i="38"/>
  <c r="AY234" i="38" s="1"/>
  <c r="AZ234" i="38" s="1"/>
  <c r="Y234" i="38"/>
  <c r="AT234" i="38"/>
  <c r="AA233" i="38"/>
  <c r="AV233" i="38" s="1"/>
  <c r="E233" i="38" s="1"/>
  <c r="AB233" i="38"/>
  <c r="AK233" i="38"/>
  <c r="AL233" i="38"/>
  <c r="AJ233" i="38"/>
  <c r="C234" i="7"/>
  <c r="C235" i="38"/>
  <c r="C236" i="38"/>
  <c r="DJ234" i="7"/>
  <c r="AX235" i="38"/>
  <c r="AE233" i="38" l="1"/>
  <c r="AJ234" i="38"/>
  <c r="AB234" i="38"/>
  <c r="AK234" i="38"/>
  <c r="AL234" i="38"/>
  <c r="AA234" i="38"/>
  <c r="AV234" i="38" s="1"/>
  <c r="E234" i="38" s="1"/>
  <c r="B233" i="6"/>
  <c r="D234" i="7"/>
  <c r="B234" i="7"/>
  <c r="Y235" i="38"/>
  <c r="Z235" i="38"/>
  <c r="AY235" i="38" s="1"/>
  <c r="AZ235" i="38" s="1"/>
  <c r="AT235" i="38"/>
  <c r="B236" i="38"/>
  <c r="AS236" i="38"/>
  <c r="D236" i="38"/>
  <c r="AO236" i="38" s="1"/>
  <c r="AM236" i="38"/>
  <c r="A237" i="38"/>
  <c r="A235" i="7"/>
  <c r="C235" i="7"/>
  <c r="C237" i="38"/>
  <c r="DJ235" i="7"/>
  <c r="AX236" i="38"/>
  <c r="AE234" i="38" l="1"/>
  <c r="B234" i="6"/>
  <c r="AK235" i="38"/>
  <c r="AL235" i="38"/>
  <c r="AB235" i="38"/>
  <c r="AJ235" i="38"/>
  <c r="AA235" i="38"/>
  <c r="AV235" i="38" s="1"/>
  <c r="E235" i="38" s="1"/>
  <c r="D237" i="38"/>
  <c r="AO237" i="38" s="1"/>
  <c r="AS237" i="38"/>
  <c r="B237" i="38"/>
  <c r="AM237" i="38"/>
  <c r="A236" i="7"/>
  <c r="A238" i="38"/>
  <c r="Z236" i="38"/>
  <c r="AY236" i="38" s="1"/>
  <c r="AZ236" i="38" s="1"/>
  <c r="Y236" i="38"/>
  <c r="D235" i="7"/>
  <c r="B235" i="7"/>
  <c r="AT236" i="38"/>
  <c r="C236" i="7"/>
  <c r="AX237" i="38"/>
  <c r="DJ236" i="7"/>
  <c r="AE235" i="38" l="1"/>
  <c r="B235" i="6"/>
  <c r="AB236" i="38"/>
  <c r="AA236" i="38"/>
  <c r="AV236" i="38" s="1"/>
  <c r="E236" i="38" s="1"/>
  <c r="AL236" i="38"/>
  <c r="AK236" i="38"/>
  <c r="AJ236" i="38"/>
  <c r="Z237" i="38"/>
  <c r="AY237" i="38" s="1"/>
  <c r="AZ237" i="38" s="1"/>
  <c r="Y237" i="38"/>
  <c r="D236" i="7"/>
  <c r="B236" i="7"/>
  <c r="B238" i="38"/>
  <c r="AS238" i="38"/>
  <c r="A237" i="7"/>
  <c r="D238" i="38"/>
  <c r="AO238" i="38" s="1"/>
  <c r="AM238" i="38"/>
  <c r="A239" i="38"/>
  <c r="AT237" i="38"/>
  <c r="C237" i="7"/>
  <c r="C238" i="38"/>
  <c r="AX238" i="38"/>
  <c r="DJ237" i="7"/>
  <c r="AE236" i="38" l="1"/>
  <c r="B236" i="6"/>
  <c r="AT238" i="38"/>
  <c r="AS239" i="38"/>
  <c r="B239" i="38"/>
  <c r="A238" i="7"/>
  <c r="D239" i="38"/>
  <c r="AO239" i="38" s="1"/>
  <c r="AM239" i="38"/>
  <c r="A240" i="38"/>
  <c r="D237" i="7"/>
  <c r="B237" i="7"/>
  <c r="AA237" i="38"/>
  <c r="AV237" i="38" s="1"/>
  <c r="E237" i="38" s="1"/>
  <c r="AL237" i="38"/>
  <c r="AK237" i="38"/>
  <c r="AJ237" i="38"/>
  <c r="AB237" i="38"/>
  <c r="Z238" i="38"/>
  <c r="AY238" i="38" s="1"/>
  <c r="AZ238" i="38" s="1"/>
  <c r="Y238" i="38"/>
  <c r="C239" i="38"/>
  <c r="C238" i="7"/>
  <c r="AX239" i="38"/>
  <c r="DJ238" i="7"/>
  <c r="AE237" i="38" l="1"/>
  <c r="AS240" i="38"/>
  <c r="B240" i="38"/>
  <c r="A239" i="7"/>
  <c r="D240" i="38"/>
  <c r="AO240" i="38" s="1"/>
  <c r="AM240" i="38"/>
  <c r="A241" i="38"/>
  <c r="B238" i="7"/>
  <c r="D238" i="7"/>
  <c r="AT239" i="38"/>
  <c r="Z239" i="38"/>
  <c r="AY239" i="38" s="1"/>
  <c r="AZ239" i="38" s="1"/>
  <c r="Y239" i="38"/>
  <c r="AL238" i="38"/>
  <c r="AB238" i="38"/>
  <c r="AK238" i="38"/>
  <c r="AJ238" i="38"/>
  <c r="AA238" i="38"/>
  <c r="AV238" i="38" s="1"/>
  <c r="E238" i="38" s="1"/>
  <c r="B237" i="6"/>
  <c r="C239" i="7"/>
  <c r="C240" i="38"/>
  <c r="DJ239" i="7"/>
  <c r="AX240" i="38"/>
  <c r="AE238" i="38" l="1"/>
  <c r="B238" i="6"/>
  <c r="AS241" i="38"/>
  <c r="B241" i="38"/>
  <c r="A240" i="7"/>
  <c r="D241" i="38"/>
  <c r="AO241" i="38" s="1"/>
  <c r="AM241" i="38"/>
  <c r="A242" i="38"/>
  <c r="Z240" i="38"/>
  <c r="AY240" i="38" s="1"/>
  <c r="AZ240" i="38" s="1"/>
  <c r="Y240" i="38"/>
  <c r="AT240" i="38"/>
  <c r="AJ239" i="38"/>
  <c r="AB239" i="38"/>
  <c r="AL239" i="38"/>
  <c r="AA239" i="38"/>
  <c r="AV239" i="38" s="1"/>
  <c r="E239" i="38" s="1"/>
  <c r="AK239" i="38"/>
  <c r="B239" i="7"/>
  <c r="D239" i="7"/>
  <c r="C240" i="7"/>
  <c r="C241" i="38"/>
  <c r="DJ240" i="7"/>
  <c r="AX241" i="38"/>
  <c r="AE239" i="38" l="1"/>
  <c r="AK240" i="38"/>
  <c r="AB240" i="38"/>
  <c r="AL240" i="38"/>
  <c r="AJ240" i="38"/>
  <c r="AA240" i="38"/>
  <c r="AV240" i="38" s="1"/>
  <c r="E240" i="38" s="1"/>
  <c r="A243" i="38"/>
  <c r="B242" i="38"/>
  <c r="AS242" i="38"/>
  <c r="A241" i="7"/>
  <c r="D242" i="38"/>
  <c r="AO242" i="38" s="1"/>
  <c r="AM242" i="38"/>
  <c r="B240" i="7"/>
  <c r="D240" i="7"/>
  <c r="Y241" i="38"/>
  <c r="Z241" i="38"/>
  <c r="AY241" i="38" s="1"/>
  <c r="AZ241" i="38" s="1"/>
  <c r="AT241" i="38"/>
  <c r="B239" i="6"/>
  <c r="C243" i="38"/>
  <c r="C241" i="7"/>
  <c r="C242" i="38"/>
  <c r="DJ241" i="7"/>
  <c r="AX242" i="38"/>
  <c r="AE240" i="38" l="1"/>
  <c r="D241" i="7"/>
  <c r="B241" i="7"/>
  <c r="D243" i="38"/>
  <c r="AO243" i="38" s="1"/>
  <c r="AS243" i="38"/>
  <c r="B243" i="38"/>
  <c r="AM243" i="38"/>
  <c r="A244" i="38"/>
  <c r="A242" i="7"/>
  <c r="B240" i="6"/>
  <c r="Z242" i="38"/>
  <c r="AY242" i="38" s="1"/>
  <c r="AZ242" i="38" s="1"/>
  <c r="Y242" i="38"/>
  <c r="AT242" i="38"/>
  <c r="AA241" i="38"/>
  <c r="AV241" i="38" s="1"/>
  <c r="E241" i="38" s="1"/>
  <c r="AJ241" i="38"/>
  <c r="AK241" i="38"/>
  <c r="AB241" i="38"/>
  <c r="AL241" i="38"/>
  <c r="C244" i="38"/>
  <c r="C242" i="7"/>
  <c r="DJ242" i="7"/>
  <c r="AX243" i="38"/>
  <c r="AT243" i="38" l="1"/>
  <c r="AE241" i="38"/>
  <c r="Z243" i="38"/>
  <c r="AY243" i="38" s="1"/>
  <c r="AZ243" i="38" s="1"/>
  <c r="Y243" i="38"/>
  <c r="B241" i="6"/>
  <c r="D242" i="7"/>
  <c r="B242" i="7"/>
  <c r="AJ242" i="38"/>
  <c r="AB242" i="38"/>
  <c r="AK242" i="38"/>
  <c r="AL242" i="38"/>
  <c r="AA242" i="38"/>
  <c r="AV242" i="38" s="1"/>
  <c r="E242" i="38" s="1"/>
  <c r="AS244" i="38"/>
  <c r="AM244" i="38"/>
  <c r="D244" i="38"/>
  <c r="AO244" i="38" s="1"/>
  <c r="B244" i="38"/>
  <c r="A243" i="7"/>
  <c r="A245" i="38"/>
  <c r="C243" i="7"/>
  <c r="DJ243" i="7"/>
  <c r="AX244" i="38"/>
  <c r="AE242" i="38" l="1"/>
  <c r="Z244" i="38"/>
  <c r="AY244" i="38" s="1"/>
  <c r="AZ244" i="38" s="1"/>
  <c r="Y244" i="38"/>
  <c r="B242" i="6"/>
  <c r="AS245" i="38"/>
  <c r="B245" i="38"/>
  <c r="A244" i="7"/>
  <c r="D245" i="38"/>
  <c r="AO245" i="38" s="1"/>
  <c r="AM245" i="38"/>
  <c r="A246" i="38"/>
  <c r="AL243" i="38"/>
  <c r="AB243" i="38"/>
  <c r="AA243" i="38"/>
  <c r="AV243" i="38" s="1"/>
  <c r="E243" i="38" s="1"/>
  <c r="AJ243" i="38"/>
  <c r="AK243" i="38"/>
  <c r="AT244" i="38"/>
  <c r="B243" i="7"/>
  <c r="D243" i="7"/>
  <c r="C245" i="38"/>
  <c r="C244" i="7"/>
  <c r="AX245" i="38"/>
  <c r="DJ244" i="7"/>
  <c r="AE243" i="38" l="1"/>
  <c r="B246" i="38"/>
  <c r="AS246" i="38"/>
  <c r="A245" i="7"/>
  <c r="D246" i="38"/>
  <c r="AO246" i="38" s="1"/>
  <c r="AM246" i="38"/>
  <c r="A247" i="38"/>
  <c r="Z245" i="38"/>
  <c r="AY245" i="38" s="1"/>
  <c r="AZ245" i="38" s="1"/>
  <c r="Y245" i="38"/>
  <c r="AT245" i="38"/>
  <c r="B243" i="6"/>
  <c r="AL244" i="38"/>
  <c r="AJ244" i="38"/>
  <c r="AB244" i="38"/>
  <c r="AK244" i="38"/>
  <c r="AA244" i="38"/>
  <c r="AV244" i="38" s="1"/>
  <c r="E244" i="38" s="1"/>
  <c r="B244" i="7"/>
  <c r="D244" i="7"/>
  <c r="C246" i="38"/>
  <c r="C245" i="7"/>
  <c r="AX246" i="38"/>
  <c r="DJ245" i="7"/>
  <c r="AE244" i="38" l="1"/>
  <c r="B244" i="6"/>
  <c r="AK245" i="38"/>
  <c r="AA245" i="38"/>
  <c r="AV245" i="38" s="1"/>
  <c r="E245" i="38" s="1"/>
  <c r="AL245" i="38"/>
  <c r="AJ245" i="38"/>
  <c r="AB245" i="38"/>
  <c r="B247" i="38"/>
  <c r="AS247" i="38"/>
  <c r="A246" i="7"/>
  <c r="D247" i="38"/>
  <c r="AO247" i="38" s="1"/>
  <c r="AM247" i="38"/>
  <c r="A248" i="38"/>
  <c r="AT246" i="38"/>
  <c r="Z246" i="38"/>
  <c r="AY246" i="38" s="1"/>
  <c r="AZ246" i="38" s="1"/>
  <c r="Y246" i="38"/>
  <c r="D245" i="7"/>
  <c r="B245" i="7"/>
  <c r="C247" i="38"/>
  <c r="C246" i="7"/>
  <c r="AX247" i="38"/>
  <c r="DJ246" i="7"/>
  <c r="AE245" i="38" l="1"/>
  <c r="B245" i="6"/>
  <c r="B248" i="38"/>
  <c r="AS248" i="38"/>
  <c r="A247" i="7"/>
  <c r="D248" i="38"/>
  <c r="AO248" i="38" s="1"/>
  <c r="AM248" i="38"/>
  <c r="A249" i="38"/>
  <c r="Z247" i="38"/>
  <c r="AY247" i="38" s="1"/>
  <c r="AZ247" i="38" s="1"/>
  <c r="Y247" i="38"/>
  <c r="AT247" i="38"/>
  <c r="AA246" i="38"/>
  <c r="AV246" i="38" s="1"/>
  <c r="E246" i="38" s="1"/>
  <c r="AJ246" i="38"/>
  <c r="AK246" i="38"/>
  <c r="AL246" i="38"/>
  <c r="AB246" i="38"/>
  <c r="D246" i="7"/>
  <c r="B246" i="7"/>
  <c r="C248" i="38"/>
  <c r="C247" i="7"/>
  <c r="DJ247" i="7"/>
  <c r="AX248" i="38"/>
  <c r="AE246" i="38" l="1"/>
  <c r="AA247" i="38"/>
  <c r="AV247" i="38" s="1"/>
  <c r="E247" i="38" s="1"/>
  <c r="AK247" i="38"/>
  <c r="AL247" i="38"/>
  <c r="AJ247" i="38"/>
  <c r="AB247" i="38"/>
  <c r="B246" i="6"/>
  <c r="Z248" i="38"/>
  <c r="AY248" i="38" s="1"/>
  <c r="AZ248" i="38" s="1"/>
  <c r="Y248" i="38"/>
  <c r="A250" i="38"/>
  <c r="AS249" i="38"/>
  <c r="B249" i="38"/>
  <c r="A248" i="7"/>
  <c r="AM249" i="38"/>
  <c r="D249" i="38"/>
  <c r="AT248" i="38"/>
  <c r="D247" i="7"/>
  <c r="B247" i="7"/>
  <c r="C248" i="7"/>
  <c r="C249" i="38"/>
  <c r="C250" i="38"/>
  <c r="DJ248" i="7"/>
  <c r="AX249" i="38"/>
  <c r="AE247" i="38" l="1"/>
  <c r="B247" i="6"/>
  <c r="AT249" i="38"/>
  <c r="B248" i="7"/>
  <c r="D248" i="7"/>
  <c r="AA248" i="38"/>
  <c r="AV248" i="38" s="1"/>
  <c r="E248" i="38" s="1"/>
  <c r="AL248" i="38"/>
  <c r="AK248" i="38"/>
  <c r="AJ248" i="38"/>
  <c r="AB248" i="38"/>
  <c r="Z249" i="38"/>
  <c r="AY249" i="38" s="1"/>
  <c r="AZ249" i="38" s="1"/>
  <c r="Y249" i="38"/>
  <c r="A251" i="38"/>
  <c r="D250" i="38"/>
  <c r="AS250" i="38"/>
  <c r="AM250" i="38"/>
  <c r="B250" i="38"/>
  <c r="A249" i="7"/>
  <c r="C251" i="38"/>
  <c r="C249" i="7"/>
  <c r="AX250" i="38"/>
  <c r="DJ249" i="7"/>
  <c r="B248" i="6" l="1"/>
  <c r="AE248" i="38"/>
  <c r="AO249" i="38" s="1"/>
  <c r="Z250" i="38"/>
  <c r="AY250" i="38" s="1"/>
  <c r="AZ250" i="38" s="1"/>
  <c r="Y250" i="38"/>
  <c r="AT250" i="38"/>
  <c r="AS251" i="38"/>
  <c r="D251" i="38"/>
  <c r="AM251" i="38"/>
  <c r="B251" i="38"/>
  <c r="A250" i="7"/>
  <c r="A252" i="38"/>
  <c r="AB249" i="38"/>
  <c r="AL249" i="38"/>
  <c r="AJ249" i="38"/>
  <c r="AA249" i="38"/>
  <c r="AV249" i="38" s="1"/>
  <c r="E249" i="38" s="1"/>
  <c r="AK249" i="38"/>
  <c r="B249" i="7"/>
  <c r="D249" i="7"/>
  <c r="C250" i="7"/>
  <c r="AX251" i="38"/>
  <c r="DJ250" i="7"/>
  <c r="AE249" i="38" l="1"/>
  <c r="AT251" i="38"/>
  <c r="Z251" i="38"/>
  <c r="AY251" i="38" s="1"/>
  <c r="AZ251" i="38" s="1"/>
  <c r="Y251" i="38"/>
  <c r="D250" i="7"/>
  <c r="B250" i="7"/>
  <c r="B249" i="6"/>
  <c r="B252" i="38"/>
  <c r="AS252" i="38"/>
  <c r="A251" i="7"/>
  <c r="AM252" i="38"/>
  <c r="D252" i="38"/>
  <c r="A253" i="38"/>
  <c r="AK250" i="38"/>
  <c r="AA250" i="38"/>
  <c r="AV250" i="38" s="1"/>
  <c r="E250" i="38" s="1"/>
  <c r="AB250" i="38"/>
  <c r="AJ250" i="38"/>
  <c r="AL250" i="38"/>
  <c r="C252" i="38"/>
  <c r="C251" i="7"/>
  <c r="DJ251" i="7"/>
  <c r="AX252" i="38"/>
  <c r="AE250" i="38" l="1"/>
  <c r="AO250" i="38"/>
  <c r="AO251" i="38" s="1"/>
  <c r="AO252" i="38" s="1"/>
  <c r="Z252" i="38"/>
  <c r="AY252" i="38" s="1"/>
  <c r="AZ252" i="38" s="1"/>
  <c r="Y252" i="38"/>
  <c r="AS253" i="38"/>
  <c r="B253" i="38"/>
  <c r="A252" i="7"/>
  <c r="D253" i="38"/>
  <c r="AM253" i="38"/>
  <c r="A254" i="38"/>
  <c r="B251" i="7"/>
  <c r="D251" i="7"/>
  <c r="B250" i="6"/>
  <c r="AJ251" i="38"/>
  <c r="AA251" i="38"/>
  <c r="AV251" i="38" s="1"/>
  <c r="E251" i="38" s="1"/>
  <c r="AK251" i="38"/>
  <c r="AB251" i="38"/>
  <c r="AL251" i="38"/>
  <c r="AT252" i="38"/>
  <c r="C253" i="38"/>
  <c r="C252" i="7"/>
  <c r="AX253" i="38"/>
  <c r="DJ252" i="7"/>
  <c r="AO253" i="38" l="1"/>
  <c r="AE251" i="38"/>
  <c r="B251" i="6"/>
  <c r="Z253" i="38"/>
  <c r="AY253" i="38" s="1"/>
  <c r="AZ253" i="38" s="1"/>
  <c r="Y253" i="38"/>
  <c r="AB252" i="38"/>
  <c r="AL252" i="38"/>
  <c r="AJ252" i="38"/>
  <c r="AK252" i="38"/>
  <c r="AA252" i="38"/>
  <c r="AV252" i="38" s="1"/>
  <c r="E252" i="38" s="1"/>
  <c r="B254" i="38"/>
  <c r="AS254" i="38"/>
  <c r="A253" i="7"/>
  <c r="D254" i="38"/>
  <c r="AM254" i="38"/>
  <c r="A255" i="38"/>
  <c r="B252" i="7"/>
  <c r="D252" i="7"/>
  <c r="AT253" i="38"/>
  <c r="C254" i="38"/>
  <c r="C253" i="7"/>
  <c r="DJ253" i="7"/>
  <c r="AX254" i="38"/>
  <c r="AO254" i="38" l="1"/>
  <c r="AE252" i="38"/>
  <c r="AK253" i="38"/>
  <c r="AJ253" i="38"/>
  <c r="AB253" i="38"/>
  <c r="AL253" i="38"/>
  <c r="AA253" i="38"/>
  <c r="AV253" i="38" s="1"/>
  <c r="E253" i="38" s="1"/>
  <c r="Z254" i="38"/>
  <c r="AY254" i="38" s="1"/>
  <c r="AZ254" i="38" s="1"/>
  <c r="Y254" i="38"/>
  <c r="D253" i="7"/>
  <c r="B253" i="7"/>
  <c r="AT254" i="38"/>
  <c r="AS255" i="38"/>
  <c r="B255" i="38"/>
  <c r="A254" i="7"/>
  <c r="D255" i="38"/>
  <c r="AM255" i="38"/>
  <c r="A256" i="38"/>
  <c r="B252" i="6"/>
  <c r="C255" i="38"/>
  <c r="C254" i="7"/>
  <c r="DJ254" i="7"/>
  <c r="AX255" i="38"/>
  <c r="AO255" i="38" l="1"/>
  <c r="AE253" i="38"/>
  <c r="AT255" i="38"/>
  <c r="B254" i="7"/>
  <c r="D254" i="7"/>
  <c r="AA254" i="38"/>
  <c r="AV254" i="38" s="1"/>
  <c r="E254" i="38" s="1"/>
  <c r="AL254" i="38"/>
  <c r="AJ254" i="38"/>
  <c r="AB254" i="38"/>
  <c r="AK254" i="38"/>
  <c r="B253" i="6"/>
  <c r="A257" i="38"/>
  <c r="AS256" i="38"/>
  <c r="B256" i="38"/>
  <c r="A255" i="7"/>
  <c r="D256" i="38"/>
  <c r="AM256" i="38"/>
  <c r="Z255" i="38"/>
  <c r="AY255" i="38" s="1"/>
  <c r="AZ255" i="38" s="1"/>
  <c r="Y255" i="38"/>
  <c r="C255" i="7"/>
  <c r="C256" i="38"/>
  <c r="C257" i="38"/>
  <c r="DJ255" i="7"/>
  <c r="AX256" i="38"/>
  <c r="AO256" i="38" l="1"/>
  <c r="B254" i="6"/>
  <c r="AE254" i="38"/>
  <c r="AT256" i="38"/>
  <c r="AM257" i="38"/>
  <c r="AS257" i="38"/>
  <c r="B257" i="38"/>
  <c r="A258" i="38"/>
  <c r="D257" i="38"/>
  <c r="A256" i="7"/>
  <c r="AJ255" i="38"/>
  <c r="AL255" i="38"/>
  <c r="AK255" i="38"/>
  <c r="AA255" i="38"/>
  <c r="AV255" i="38" s="1"/>
  <c r="E255" i="38" s="1"/>
  <c r="AB255" i="38"/>
  <c r="B255" i="7"/>
  <c r="D255" i="7"/>
  <c r="Z256" i="38"/>
  <c r="AY256" i="38" s="1"/>
  <c r="AZ256" i="38" s="1"/>
  <c r="Y256" i="38"/>
  <c r="C258" i="38"/>
  <c r="C256" i="7"/>
  <c r="AX257" i="38"/>
  <c r="DJ256" i="7"/>
  <c r="AO257" i="38" l="1"/>
  <c r="AE255" i="38"/>
  <c r="AT257" i="38"/>
  <c r="B258" i="38"/>
  <c r="AM258" i="38"/>
  <c r="AS258" i="38"/>
  <c r="D258" i="38"/>
  <c r="A257" i="7"/>
  <c r="A259" i="38"/>
  <c r="AJ256" i="38"/>
  <c r="AB256" i="38"/>
  <c r="AL256" i="38"/>
  <c r="AK256" i="38"/>
  <c r="AA256" i="38"/>
  <c r="AV256" i="38" s="1"/>
  <c r="E256" i="38" s="1"/>
  <c r="Z257" i="38"/>
  <c r="AY257" i="38" s="1"/>
  <c r="AZ257" i="38" s="1"/>
  <c r="Y257" i="38"/>
  <c r="D256" i="7"/>
  <c r="B256" i="7"/>
  <c r="B255" i="6"/>
  <c r="C257" i="7"/>
  <c r="AX258" i="38"/>
  <c r="DJ257" i="7"/>
  <c r="AO258" i="38" l="1"/>
  <c r="AE256" i="38"/>
  <c r="AL257" i="38"/>
  <c r="AB257" i="38"/>
  <c r="AJ257" i="38"/>
  <c r="AA257" i="38"/>
  <c r="AV257" i="38" s="1"/>
  <c r="E257" i="38" s="1"/>
  <c r="AK257" i="38"/>
  <c r="D257" i="7"/>
  <c r="B257" i="7"/>
  <c r="AT258" i="38"/>
  <c r="B256" i="6"/>
  <c r="AS259" i="38"/>
  <c r="B259" i="38"/>
  <c r="A258" i="7"/>
  <c r="D259" i="38"/>
  <c r="AM259" i="38"/>
  <c r="A260" i="38"/>
  <c r="Z258" i="38"/>
  <c r="AY258" i="38" s="1"/>
  <c r="AZ258" i="38" s="1"/>
  <c r="Y258" i="38"/>
  <c r="C259" i="38"/>
  <c r="C258" i="7"/>
  <c r="DJ258" i="7"/>
  <c r="AX259" i="38"/>
  <c r="AO259" i="38" l="1"/>
  <c r="B257" i="6"/>
  <c r="AE257" i="38"/>
  <c r="B258" i="7"/>
  <c r="D258" i="7"/>
  <c r="AT259" i="38"/>
  <c r="AK258" i="38"/>
  <c r="AL258" i="38"/>
  <c r="AB258" i="38"/>
  <c r="AA258" i="38"/>
  <c r="AV258" i="38" s="1"/>
  <c r="E258" i="38" s="1"/>
  <c r="AJ258" i="38"/>
  <c r="AS260" i="38"/>
  <c r="B260" i="38"/>
  <c r="A259" i="7"/>
  <c r="D260" i="38"/>
  <c r="AM260" i="38"/>
  <c r="A261" i="38"/>
  <c r="Z259" i="38"/>
  <c r="AY259" i="38" s="1"/>
  <c r="AZ259" i="38" s="1"/>
  <c r="Y259" i="38"/>
  <c r="C259" i="7"/>
  <c r="C260" i="38"/>
  <c r="DJ259" i="7"/>
  <c r="AX260" i="38"/>
  <c r="AO260" i="38" l="1"/>
  <c r="AE258" i="38"/>
  <c r="AB259" i="38"/>
  <c r="AL259" i="38"/>
  <c r="AK259" i="38"/>
  <c r="AJ259" i="38"/>
  <c r="AA259" i="38"/>
  <c r="AV259" i="38" s="1"/>
  <c r="E259" i="38" s="1"/>
  <c r="B258" i="6"/>
  <c r="Z260" i="38"/>
  <c r="AY260" i="38" s="1"/>
  <c r="AZ260" i="38" s="1"/>
  <c r="Y260" i="38"/>
  <c r="B259" i="7"/>
  <c r="D259" i="7"/>
  <c r="AT260" i="38"/>
  <c r="AS261" i="38"/>
  <c r="B261" i="38"/>
  <c r="A260" i="7"/>
  <c r="D261" i="38"/>
  <c r="AO261" i="38" s="1"/>
  <c r="AM261" i="38"/>
  <c r="A262" i="38"/>
  <c r="C260" i="7"/>
  <c r="C261" i="38"/>
  <c r="AX261" i="38"/>
  <c r="DJ260" i="7"/>
  <c r="B259" i="6" l="1"/>
  <c r="AE259" i="38"/>
  <c r="AT261" i="38"/>
  <c r="AL260" i="38"/>
  <c r="AB260" i="38"/>
  <c r="AA260" i="38"/>
  <c r="AV260" i="38" s="1"/>
  <c r="E260" i="38" s="1"/>
  <c r="AK260" i="38"/>
  <c r="AJ260" i="38"/>
  <c r="B262" i="38"/>
  <c r="AS262" i="38"/>
  <c r="A261" i="7"/>
  <c r="D262" i="38"/>
  <c r="AO262" i="38" s="1"/>
  <c r="AM262" i="38"/>
  <c r="A263" i="38"/>
  <c r="Z261" i="38"/>
  <c r="AY261" i="38" s="1"/>
  <c r="AZ261" i="38" s="1"/>
  <c r="Y261" i="38"/>
  <c r="B260" i="7"/>
  <c r="D260" i="7"/>
  <c r="C262" i="38"/>
  <c r="C261" i="7"/>
  <c r="AX262" i="38"/>
  <c r="DJ261" i="7"/>
  <c r="AE260" i="38" l="1"/>
  <c r="Z262" i="38"/>
  <c r="AY262" i="38" s="1"/>
  <c r="AZ262" i="38" s="1"/>
  <c r="Y262" i="38"/>
  <c r="D261" i="7"/>
  <c r="B261" i="7"/>
  <c r="AT262" i="38"/>
  <c r="A264" i="38"/>
  <c r="B263" i="38"/>
  <c r="AS263" i="38"/>
  <c r="A262" i="7"/>
  <c r="D263" i="38"/>
  <c r="AO263" i="38" s="1"/>
  <c r="AM263" i="38"/>
  <c r="AJ261" i="38"/>
  <c r="AK261" i="38"/>
  <c r="AL261" i="38"/>
  <c r="AB261" i="38"/>
  <c r="AA261" i="38"/>
  <c r="AV261" i="38" s="1"/>
  <c r="E261" i="38" s="1"/>
  <c r="B260" i="6"/>
  <c r="C263" i="38"/>
  <c r="C264" i="38"/>
  <c r="C262" i="7"/>
  <c r="AX263" i="38"/>
  <c r="DJ262" i="7"/>
  <c r="AE261" i="38" l="1"/>
  <c r="B261" i="6"/>
  <c r="D262" i="7"/>
  <c r="B262" i="7"/>
  <c r="A265" i="38"/>
  <c r="AS264" i="38"/>
  <c r="AM264" i="38"/>
  <c r="D264" i="38"/>
  <c r="AO264" i="38" s="1"/>
  <c r="B264" i="38"/>
  <c r="A263" i="7"/>
  <c r="Z263" i="38"/>
  <c r="AY263" i="38" s="1"/>
  <c r="AZ263" i="38" s="1"/>
  <c r="Y263" i="38"/>
  <c r="AT263" i="38"/>
  <c r="AJ262" i="38"/>
  <c r="AB262" i="38"/>
  <c r="AL262" i="38"/>
  <c r="AK262" i="38"/>
  <c r="AA262" i="38"/>
  <c r="AV262" i="38" s="1"/>
  <c r="E262" i="38" s="1"/>
  <c r="C263" i="7"/>
  <c r="C265" i="38"/>
  <c r="AX264" i="38"/>
  <c r="DJ263" i="7"/>
  <c r="AE262" i="38" l="1"/>
  <c r="B262" i="6"/>
  <c r="B263" i="7"/>
  <c r="D263" i="7"/>
  <c r="AB263" i="38"/>
  <c r="AJ263" i="38"/>
  <c r="AA263" i="38"/>
  <c r="AV263" i="38" s="1"/>
  <c r="E263" i="38" s="1"/>
  <c r="AL263" i="38"/>
  <c r="AK263" i="38"/>
  <c r="AT264" i="38"/>
  <c r="Z264" i="38"/>
  <c r="AY264" i="38" s="1"/>
  <c r="AZ264" i="38" s="1"/>
  <c r="Y264" i="38"/>
  <c r="D265" i="38"/>
  <c r="AO265" i="38" s="1"/>
  <c r="B265" i="38"/>
  <c r="AM265" i="38"/>
  <c r="AS265" i="38"/>
  <c r="A264" i="7"/>
  <c r="A266" i="38"/>
  <c r="C264" i="7"/>
  <c r="DJ264" i="7"/>
  <c r="AX265" i="38"/>
  <c r="AE263" i="38" l="1"/>
  <c r="AT265" i="38"/>
  <c r="AL264" i="38"/>
  <c r="AJ264" i="38"/>
  <c r="AB264" i="38"/>
  <c r="AA264" i="38"/>
  <c r="AV264" i="38" s="1"/>
  <c r="E264" i="38" s="1"/>
  <c r="AK264" i="38"/>
  <c r="B266" i="38"/>
  <c r="AS266" i="38"/>
  <c r="A265" i="7"/>
  <c r="D266" i="38"/>
  <c r="AO266" i="38" s="1"/>
  <c r="AM266" i="38"/>
  <c r="A267" i="38"/>
  <c r="B264" i="7"/>
  <c r="D264" i="7"/>
  <c r="Z265" i="38"/>
  <c r="AY265" i="38" s="1"/>
  <c r="AZ265" i="38" s="1"/>
  <c r="Y265" i="38"/>
  <c r="B263" i="6"/>
  <c r="C266" i="38"/>
  <c r="C265" i="7"/>
  <c r="AX266" i="38"/>
  <c r="DJ265" i="7"/>
  <c r="AE264" i="38" l="1"/>
  <c r="Z266" i="38"/>
  <c r="AY266" i="38" s="1"/>
  <c r="AZ266" i="38" s="1"/>
  <c r="Y266" i="38"/>
  <c r="B265" i="7"/>
  <c r="D265" i="7"/>
  <c r="AT266" i="38"/>
  <c r="B264" i="6"/>
  <c r="AB265" i="38"/>
  <c r="AK265" i="38"/>
  <c r="AL265" i="38"/>
  <c r="AA265" i="38"/>
  <c r="AV265" i="38" s="1"/>
  <c r="E265" i="38" s="1"/>
  <c r="AJ265" i="38"/>
  <c r="B267" i="38"/>
  <c r="AS267" i="38"/>
  <c r="A266" i="7"/>
  <c r="D267" i="38"/>
  <c r="AO267" i="38" s="1"/>
  <c r="AM267" i="38"/>
  <c r="A268" i="38"/>
  <c r="C267" i="38"/>
  <c r="C266" i="7"/>
  <c r="AX267" i="38"/>
  <c r="DJ266" i="7"/>
  <c r="AE265" i="38" l="1"/>
  <c r="AT267" i="38"/>
  <c r="B265" i="6"/>
  <c r="Z267" i="38"/>
  <c r="AY267" i="38" s="1"/>
  <c r="AZ267" i="38" s="1"/>
  <c r="Y267" i="38"/>
  <c r="AJ266" i="38"/>
  <c r="AK266" i="38"/>
  <c r="AB266" i="38"/>
  <c r="AL266" i="38"/>
  <c r="AA266" i="38"/>
  <c r="AV266" i="38" s="1"/>
  <c r="E266" i="38" s="1"/>
  <c r="B268" i="38"/>
  <c r="AS268" i="38"/>
  <c r="A267" i="7"/>
  <c r="D268" i="38"/>
  <c r="AO268" i="38" s="1"/>
  <c r="AM268" i="38"/>
  <c r="A269" i="38"/>
  <c r="D266" i="7"/>
  <c r="B266" i="7"/>
  <c r="C267" i="7"/>
  <c r="C268" i="38"/>
  <c r="AX268" i="38"/>
  <c r="DJ267" i="7"/>
  <c r="AE266" i="38" l="1"/>
  <c r="Z268" i="38"/>
  <c r="AY268" i="38" s="1"/>
  <c r="AZ268" i="38" s="1"/>
  <c r="Y268" i="38"/>
  <c r="D267" i="7"/>
  <c r="B267" i="7"/>
  <c r="AT268" i="38"/>
  <c r="AB267" i="38"/>
  <c r="AJ267" i="38"/>
  <c r="AL267" i="38"/>
  <c r="AA267" i="38"/>
  <c r="AV267" i="38" s="1"/>
  <c r="E267" i="38" s="1"/>
  <c r="AK267" i="38"/>
  <c r="B269" i="38"/>
  <c r="AS269" i="38"/>
  <c r="A268" i="7"/>
  <c r="D269" i="38"/>
  <c r="AO269" i="38" s="1"/>
  <c r="AM269" i="38"/>
  <c r="A270" i="38"/>
  <c r="B266" i="6"/>
  <c r="C269" i="38"/>
  <c r="C268" i="7"/>
  <c r="AX269" i="38"/>
  <c r="DJ268" i="7"/>
  <c r="AE267" i="38" l="1"/>
  <c r="AT269" i="38"/>
  <c r="D268" i="7"/>
  <c r="B268" i="7"/>
  <c r="B267" i="6"/>
  <c r="A271" i="38"/>
  <c r="AS270" i="38"/>
  <c r="B270" i="38"/>
  <c r="A269" i="7"/>
  <c r="D270" i="38"/>
  <c r="AO270" i="38" s="1"/>
  <c r="AM270" i="38"/>
  <c r="Z269" i="38"/>
  <c r="AY269" i="38" s="1"/>
  <c r="AZ269" i="38" s="1"/>
  <c r="Y269" i="38"/>
  <c r="AB268" i="38"/>
  <c r="AL268" i="38"/>
  <c r="AK268" i="38"/>
  <c r="AJ268" i="38"/>
  <c r="AA268" i="38"/>
  <c r="AV268" i="38" s="1"/>
  <c r="E268" i="38" s="1"/>
  <c r="C271" i="38"/>
  <c r="C269" i="7"/>
  <c r="C270" i="38"/>
  <c r="AX270" i="38"/>
  <c r="DJ269" i="7"/>
  <c r="AE268" i="38" l="1"/>
  <c r="B269" i="7"/>
  <c r="D269" i="7"/>
  <c r="AA269" i="38"/>
  <c r="AV269" i="38" s="1"/>
  <c r="E269" i="38" s="1"/>
  <c r="AJ269" i="38"/>
  <c r="AL269" i="38"/>
  <c r="AK269" i="38"/>
  <c r="AB269" i="38"/>
  <c r="Z270" i="38"/>
  <c r="AY270" i="38" s="1"/>
  <c r="AZ270" i="38" s="1"/>
  <c r="Y270" i="38"/>
  <c r="AT270" i="38"/>
  <c r="AS271" i="38"/>
  <c r="D271" i="38"/>
  <c r="AO271" i="38" s="1"/>
  <c r="B271" i="38"/>
  <c r="A272" i="38"/>
  <c r="AM271" i="38"/>
  <c r="A270" i="7"/>
  <c r="B268" i="6"/>
  <c r="C272" i="38"/>
  <c r="C270" i="7"/>
  <c r="DJ270" i="7"/>
  <c r="AX271" i="38"/>
  <c r="AE269" i="38" l="1"/>
  <c r="B269" i="6"/>
  <c r="AT271" i="38"/>
  <c r="Z271" i="38"/>
  <c r="AY271" i="38" s="1"/>
  <c r="AZ271" i="38" s="1"/>
  <c r="Y271" i="38"/>
  <c r="AS272" i="38"/>
  <c r="AM272" i="38"/>
  <c r="D272" i="38"/>
  <c r="AO272" i="38" s="1"/>
  <c r="B272" i="38"/>
  <c r="A271" i="7"/>
  <c r="A273" i="38"/>
  <c r="AK270" i="38"/>
  <c r="AJ270" i="38"/>
  <c r="AA270" i="38"/>
  <c r="AV270" i="38" s="1"/>
  <c r="E270" i="38" s="1"/>
  <c r="AL270" i="38"/>
  <c r="AB270" i="38"/>
  <c r="D270" i="7"/>
  <c r="B270" i="7"/>
  <c r="C271" i="7"/>
  <c r="AX272" i="38"/>
  <c r="DJ271" i="7"/>
  <c r="AE270" i="38" l="1"/>
  <c r="AT272" i="38"/>
  <c r="D271" i="7"/>
  <c r="B271" i="7"/>
  <c r="Z272" i="38"/>
  <c r="AY272" i="38" s="1"/>
  <c r="AZ272" i="38" s="1"/>
  <c r="Y272" i="38"/>
  <c r="AS273" i="38"/>
  <c r="B273" i="38"/>
  <c r="A272" i="7"/>
  <c r="D273" i="38"/>
  <c r="AO273" i="38" s="1"/>
  <c r="AM273" i="38"/>
  <c r="A274" i="38"/>
  <c r="B270" i="6"/>
  <c r="AB271" i="38"/>
  <c r="AA271" i="38"/>
  <c r="AV271" i="38" s="1"/>
  <c r="E271" i="38" s="1"/>
  <c r="AJ271" i="38"/>
  <c r="AL271" i="38"/>
  <c r="AK271" i="38"/>
  <c r="C272" i="7"/>
  <c r="C273" i="38"/>
  <c r="DJ272" i="7"/>
  <c r="AX273" i="38"/>
  <c r="AE271" i="38" l="1"/>
  <c r="Z273" i="38"/>
  <c r="AY273" i="38" s="1"/>
  <c r="AZ273" i="38" s="1"/>
  <c r="Y273" i="38"/>
  <c r="B274" i="38"/>
  <c r="AS274" i="38"/>
  <c r="A273" i="7"/>
  <c r="D274" i="38"/>
  <c r="AO274" i="38" s="1"/>
  <c r="AM274" i="38"/>
  <c r="A275" i="38"/>
  <c r="B272" i="7"/>
  <c r="D272" i="7"/>
  <c r="B271" i="6"/>
  <c r="AT273" i="38"/>
  <c r="AA272" i="38"/>
  <c r="AV272" i="38" s="1"/>
  <c r="E272" i="38" s="1"/>
  <c r="AL272" i="38"/>
  <c r="AK272" i="38"/>
  <c r="AB272" i="38"/>
  <c r="AJ272" i="38"/>
  <c r="C274" i="38"/>
  <c r="C273" i="7"/>
  <c r="DJ273" i="7"/>
  <c r="AX274" i="38"/>
  <c r="AE272" i="38" l="1"/>
  <c r="B272" i="6"/>
  <c r="Z274" i="38"/>
  <c r="AY274" i="38" s="1"/>
  <c r="AZ274" i="38" s="1"/>
  <c r="Y274" i="38"/>
  <c r="B275" i="38"/>
  <c r="AS275" i="38"/>
  <c r="A274" i="7"/>
  <c r="D275" i="38"/>
  <c r="AO275" i="38" s="1"/>
  <c r="AM275" i="38"/>
  <c r="A276" i="38"/>
  <c r="D273" i="7"/>
  <c r="B273" i="7"/>
  <c r="AT274" i="38"/>
  <c r="AB273" i="38"/>
  <c r="AL273" i="38"/>
  <c r="AJ273" i="38"/>
  <c r="AK273" i="38"/>
  <c r="AA273" i="38"/>
  <c r="AV273" i="38" s="1"/>
  <c r="E273" i="38" s="1"/>
  <c r="C275" i="38"/>
  <c r="C274" i="7"/>
  <c r="DJ274" i="7"/>
  <c r="AX275" i="38"/>
  <c r="AE273" i="38" l="1"/>
  <c r="AS276" i="38"/>
  <c r="B276" i="38"/>
  <c r="A275" i="7"/>
  <c r="D276" i="38"/>
  <c r="AO276" i="38" s="1"/>
  <c r="AM276" i="38"/>
  <c r="A277" i="38"/>
  <c r="AT275" i="38"/>
  <c r="Z275" i="38"/>
  <c r="AY275" i="38" s="1"/>
  <c r="AZ275" i="38" s="1"/>
  <c r="Y275" i="38"/>
  <c r="B274" i="7"/>
  <c r="D274" i="7"/>
  <c r="AB274" i="38"/>
  <c r="AL274" i="38"/>
  <c r="AJ274" i="38"/>
  <c r="AA274" i="38"/>
  <c r="AV274" i="38" s="1"/>
  <c r="E274" i="38" s="1"/>
  <c r="AK274" i="38"/>
  <c r="B273" i="6"/>
  <c r="C275" i="7"/>
  <c r="C276" i="38"/>
  <c r="DJ275" i="7"/>
  <c r="AX276" i="38"/>
  <c r="AE274" i="38" l="1"/>
  <c r="B274" i="6"/>
  <c r="Z276" i="38"/>
  <c r="AY276" i="38" s="1"/>
  <c r="AZ276" i="38" s="1"/>
  <c r="Y276" i="38"/>
  <c r="D275" i="7"/>
  <c r="B275" i="7"/>
  <c r="A278" i="38"/>
  <c r="B277" i="38"/>
  <c r="AS277" i="38"/>
  <c r="A276" i="7"/>
  <c r="D277" i="38"/>
  <c r="AO277" i="38" s="1"/>
  <c r="AM277" i="38"/>
  <c r="AA275" i="38"/>
  <c r="AV275" i="38" s="1"/>
  <c r="E275" i="38" s="1"/>
  <c r="AJ275" i="38"/>
  <c r="AL275" i="38"/>
  <c r="AK275" i="38"/>
  <c r="AB275" i="38"/>
  <c r="AT276" i="38"/>
  <c r="C277" i="38"/>
  <c r="C276" i="7"/>
  <c r="C278" i="38"/>
  <c r="AX277" i="38"/>
  <c r="DJ276" i="7"/>
  <c r="AE275" i="38" l="1"/>
  <c r="D276" i="7"/>
  <c r="B276" i="7"/>
  <c r="Z277" i="38"/>
  <c r="AY277" i="38" s="1"/>
  <c r="AZ277" i="38" s="1"/>
  <c r="Y277" i="38"/>
  <c r="AT277" i="38"/>
  <c r="A279" i="38"/>
  <c r="AS278" i="38"/>
  <c r="D278" i="38"/>
  <c r="AO278" i="38" s="1"/>
  <c r="B278" i="38"/>
  <c r="AM278" i="38"/>
  <c r="A277" i="7"/>
  <c r="AA276" i="38"/>
  <c r="AV276" i="38" s="1"/>
  <c r="E276" i="38" s="1"/>
  <c r="AJ276" i="38"/>
  <c r="AK276" i="38"/>
  <c r="AL276" i="38"/>
  <c r="AB276" i="38"/>
  <c r="B275" i="6"/>
  <c r="C279" i="38"/>
  <c r="C277" i="7"/>
  <c r="AX278" i="38"/>
  <c r="DJ277" i="7"/>
  <c r="AE276" i="38" l="1"/>
  <c r="AT278" i="38"/>
  <c r="Z278" i="38"/>
  <c r="AY278" i="38" s="1"/>
  <c r="AZ278" i="38" s="1"/>
  <c r="Y278" i="38"/>
  <c r="AS279" i="38"/>
  <c r="AM279" i="38"/>
  <c r="D279" i="38"/>
  <c r="B279" i="38"/>
  <c r="A278" i="7"/>
  <c r="A280" i="38"/>
  <c r="AK277" i="38"/>
  <c r="AJ277" i="38"/>
  <c r="AB277" i="38"/>
  <c r="AL277" i="38"/>
  <c r="AA277" i="38"/>
  <c r="AV277" i="38" s="1"/>
  <c r="E277" i="38" s="1"/>
  <c r="B277" i="7"/>
  <c r="D277" i="7"/>
  <c r="B276" i="6"/>
  <c r="C278" i="7"/>
  <c r="DJ278" i="7"/>
  <c r="AX279" i="38"/>
  <c r="AE277" i="38" l="1"/>
  <c r="A281" i="38"/>
  <c r="B280" i="38"/>
  <c r="AS280" i="38"/>
  <c r="A279" i="7"/>
  <c r="AM280" i="38"/>
  <c r="D280" i="38"/>
  <c r="AT279" i="38"/>
  <c r="Z279" i="38"/>
  <c r="AY279" i="38" s="1"/>
  <c r="AZ279" i="38" s="1"/>
  <c r="Y279" i="38"/>
  <c r="B277" i="6"/>
  <c r="AJ278" i="38"/>
  <c r="AB278" i="38"/>
  <c r="AL278" i="38"/>
  <c r="AK278" i="38"/>
  <c r="AA278" i="38"/>
  <c r="AV278" i="38" s="1"/>
  <c r="E278" i="38" s="1"/>
  <c r="B278" i="7"/>
  <c r="D278" i="7"/>
  <c r="C280" i="38"/>
  <c r="C281" i="38"/>
  <c r="C279" i="7"/>
  <c r="DJ279" i="7"/>
  <c r="AX280" i="38"/>
  <c r="AE278" i="38" l="1"/>
  <c r="AO279" i="38" s="1"/>
  <c r="B278" i="6"/>
  <c r="AL279" i="38"/>
  <c r="AB279" i="38"/>
  <c r="AK279" i="38"/>
  <c r="AA279" i="38"/>
  <c r="AV279" i="38" s="1"/>
  <c r="E279" i="38" s="1"/>
  <c r="AJ279" i="38"/>
  <c r="B279" i="7"/>
  <c r="D279" i="7"/>
  <c r="AT280" i="38"/>
  <c r="Z280" i="38"/>
  <c r="AY280" i="38" s="1"/>
  <c r="AZ280" i="38" s="1"/>
  <c r="Y280" i="38"/>
  <c r="AS281" i="38"/>
  <c r="AM281" i="38"/>
  <c r="D281" i="38"/>
  <c r="B281" i="38"/>
  <c r="A280" i="7"/>
  <c r="A282" i="38"/>
  <c r="C280" i="7"/>
  <c r="AX281" i="38"/>
  <c r="DJ280" i="7"/>
  <c r="B279" i="6" l="1"/>
  <c r="AE279" i="38"/>
  <c r="Z281" i="38"/>
  <c r="AY281" i="38" s="1"/>
  <c r="AZ281" i="38" s="1"/>
  <c r="Y281" i="38"/>
  <c r="AT281" i="38"/>
  <c r="AK280" i="38"/>
  <c r="AB280" i="38"/>
  <c r="AA280" i="38"/>
  <c r="AV280" i="38" s="1"/>
  <c r="E280" i="38" s="1"/>
  <c r="AJ280" i="38"/>
  <c r="AL280" i="38"/>
  <c r="B282" i="38"/>
  <c r="AS282" i="38"/>
  <c r="A281" i="7"/>
  <c r="AM282" i="38"/>
  <c r="D282" i="38"/>
  <c r="A283" i="38"/>
  <c r="D280" i="7"/>
  <c r="B280" i="7"/>
  <c r="C282" i="38"/>
  <c r="C281" i="7"/>
  <c r="DJ281" i="7"/>
  <c r="AX282" i="38"/>
  <c r="B280" i="6" l="1"/>
  <c r="AE280" i="38"/>
  <c r="AO280" i="38"/>
  <c r="AO281" i="38" s="1"/>
  <c r="AT282" i="38"/>
  <c r="Z282" i="38"/>
  <c r="AY282" i="38" s="1"/>
  <c r="AZ282" i="38" s="1"/>
  <c r="Y282" i="38"/>
  <c r="B281" i="7"/>
  <c r="D281" i="7"/>
  <c r="AS283" i="38"/>
  <c r="B283" i="38"/>
  <c r="A282" i="7"/>
  <c r="AM283" i="38"/>
  <c r="D283" i="38"/>
  <c r="A284" i="38"/>
  <c r="AA281" i="38"/>
  <c r="AV281" i="38" s="1"/>
  <c r="E281" i="38" s="1"/>
  <c r="AL281" i="38"/>
  <c r="AK281" i="38"/>
  <c r="AJ281" i="38"/>
  <c r="AB281" i="38"/>
  <c r="C283" i="38"/>
  <c r="C282" i="7"/>
  <c r="AX283" i="38"/>
  <c r="DJ282" i="7"/>
  <c r="AE281" i="38" l="1"/>
  <c r="AO282" i="38" s="1"/>
  <c r="AO283" i="38" s="1"/>
  <c r="AT283" i="38"/>
  <c r="B281" i="6"/>
  <c r="Y283" i="38"/>
  <c r="Z283" i="38"/>
  <c r="AY283" i="38" s="1"/>
  <c r="AZ283" i="38" s="1"/>
  <c r="AJ282" i="38"/>
  <c r="AK282" i="38"/>
  <c r="AA282" i="38"/>
  <c r="AV282" i="38" s="1"/>
  <c r="E282" i="38" s="1"/>
  <c r="AB282" i="38"/>
  <c r="AL282" i="38"/>
  <c r="A285" i="38"/>
  <c r="AS284" i="38"/>
  <c r="B284" i="38"/>
  <c r="A283" i="7"/>
  <c r="D284" i="38"/>
  <c r="AM284" i="38"/>
  <c r="B282" i="7"/>
  <c r="D282" i="7"/>
  <c r="C285" i="38"/>
  <c r="C284" i="38"/>
  <c r="C283" i="7"/>
  <c r="DJ283" i="7"/>
  <c r="AX284" i="38"/>
  <c r="AO284" i="38" l="1"/>
  <c r="AE282" i="38"/>
  <c r="AT284" i="38"/>
  <c r="B283" i="7"/>
  <c r="D283" i="7"/>
  <c r="D285" i="38"/>
  <c r="AM285" i="38"/>
  <c r="A286" i="38"/>
  <c r="B285" i="38"/>
  <c r="AS285" i="38"/>
  <c r="A284" i="7"/>
  <c r="AB283" i="38"/>
  <c r="AJ283" i="38"/>
  <c r="AK283" i="38"/>
  <c r="AA283" i="38"/>
  <c r="AV283" i="38" s="1"/>
  <c r="E283" i="38" s="1"/>
  <c r="AL283" i="38"/>
  <c r="Z284" i="38"/>
  <c r="AY284" i="38" s="1"/>
  <c r="AZ284" i="38" s="1"/>
  <c r="Y284" i="38"/>
  <c r="B282" i="6"/>
  <c r="C284" i="7"/>
  <c r="C286" i="38"/>
  <c r="DJ284" i="7"/>
  <c r="AX285" i="38"/>
  <c r="AO285" i="38" l="1"/>
  <c r="AE283" i="38"/>
  <c r="AT285" i="38"/>
  <c r="D284" i="7"/>
  <c r="B284" i="7"/>
  <c r="B286" i="38"/>
  <c r="AS286" i="38"/>
  <c r="D286" i="38"/>
  <c r="AM286" i="38"/>
  <c r="A285" i="7"/>
  <c r="A287" i="38"/>
  <c r="Z285" i="38"/>
  <c r="AY285" i="38" s="1"/>
  <c r="AZ285" i="38" s="1"/>
  <c r="Y285" i="38"/>
  <c r="B283" i="6"/>
  <c r="AJ284" i="38"/>
  <c r="AK284" i="38"/>
  <c r="AA284" i="38"/>
  <c r="AV284" i="38" s="1"/>
  <c r="E284" i="38" s="1"/>
  <c r="AL284" i="38"/>
  <c r="AB284" i="38"/>
  <c r="C285" i="7"/>
  <c r="DJ285" i="7"/>
  <c r="AX286" i="38"/>
  <c r="AO286" i="38" l="1"/>
  <c r="AE284" i="38"/>
  <c r="AT286" i="38"/>
  <c r="AB285" i="38"/>
  <c r="AK285" i="38"/>
  <c r="AJ285" i="38"/>
  <c r="AL285" i="38"/>
  <c r="AA285" i="38"/>
  <c r="AV285" i="38" s="1"/>
  <c r="E285" i="38" s="1"/>
  <c r="B284" i="6"/>
  <c r="Z286" i="38"/>
  <c r="AY286" i="38" s="1"/>
  <c r="AZ286" i="38" s="1"/>
  <c r="Y286" i="38"/>
  <c r="B285" i="7"/>
  <c r="D285" i="7"/>
  <c r="AS287" i="38"/>
  <c r="B287" i="38"/>
  <c r="A286" i="7"/>
  <c r="D287" i="38"/>
  <c r="AO287" i="38" s="1"/>
  <c r="AM287" i="38"/>
  <c r="A288" i="38"/>
  <c r="C287" i="38"/>
  <c r="C286" i="7"/>
  <c r="AX287" i="38"/>
  <c r="DJ286" i="7"/>
  <c r="AE285" i="38" l="1"/>
  <c r="B285" i="6"/>
  <c r="AT287" i="38"/>
  <c r="B286" i="7"/>
  <c r="D286" i="7"/>
  <c r="AL286" i="38"/>
  <c r="AA286" i="38"/>
  <c r="AV286" i="38" s="1"/>
  <c r="E286" i="38" s="1"/>
  <c r="AJ286" i="38"/>
  <c r="AK286" i="38"/>
  <c r="AB286" i="38"/>
  <c r="AS288" i="38"/>
  <c r="B288" i="38"/>
  <c r="A287" i="7"/>
  <c r="D288" i="38"/>
  <c r="AO288" i="38" s="1"/>
  <c r="AM288" i="38"/>
  <c r="A289" i="38"/>
  <c r="Z287" i="38"/>
  <c r="AY287" i="38" s="1"/>
  <c r="AZ287" i="38" s="1"/>
  <c r="Y287" i="38"/>
  <c r="C287" i="7"/>
  <c r="C288" i="38"/>
  <c r="DJ287" i="7"/>
  <c r="AX288" i="38"/>
  <c r="AE286" i="38" l="1"/>
  <c r="B286" i="6"/>
  <c r="Z288" i="38"/>
  <c r="AY288" i="38" s="1"/>
  <c r="AZ288" i="38" s="1"/>
  <c r="Y288" i="38"/>
  <c r="D287" i="7"/>
  <c r="B287" i="7"/>
  <c r="AT288" i="38"/>
  <c r="AL287" i="38"/>
  <c r="AK287" i="38"/>
  <c r="AB287" i="38"/>
  <c r="AA287" i="38"/>
  <c r="AV287" i="38" s="1"/>
  <c r="E287" i="38" s="1"/>
  <c r="AJ287" i="38"/>
  <c r="AS289" i="38"/>
  <c r="B289" i="38"/>
  <c r="A288" i="7"/>
  <c r="D289" i="38"/>
  <c r="AO289" i="38" s="1"/>
  <c r="AM289" i="38"/>
  <c r="A290" i="38"/>
  <c r="C289" i="38"/>
  <c r="C288" i="7"/>
  <c r="AX289" i="38"/>
  <c r="DJ288" i="7"/>
  <c r="AE287" i="38" l="1"/>
  <c r="AT289" i="38"/>
  <c r="Z289" i="38"/>
  <c r="AY289" i="38" s="1"/>
  <c r="AZ289" i="38" s="1"/>
  <c r="Y289" i="38"/>
  <c r="B287" i="6"/>
  <c r="AK288" i="38"/>
  <c r="AB288" i="38"/>
  <c r="AL288" i="38"/>
  <c r="AJ288" i="38"/>
  <c r="AA288" i="38"/>
  <c r="AV288" i="38" s="1"/>
  <c r="E288" i="38" s="1"/>
  <c r="B290" i="38"/>
  <c r="AS290" i="38"/>
  <c r="A289" i="7"/>
  <c r="D290" i="38"/>
  <c r="AO290" i="38" s="1"/>
  <c r="AM290" i="38"/>
  <c r="A291" i="38"/>
  <c r="B288" i="7"/>
  <c r="D288" i="7"/>
  <c r="C290" i="38"/>
  <c r="C289" i="7"/>
  <c r="AX290" i="38"/>
  <c r="DJ289" i="7"/>
  <c r="AE288" i="38" l="1"/>
  <c r="B288" i="6"/>
  <c r="AT290" i="38"/>
  <c r="AB289" i="38"/>
  <c r="AL289" i="38"/>
  <c r="AJ289" i="38"/>
  <c r="AK289" i="38"/>
  <c r="AA289" i="38"/>
  <c r="AV289" i="38" s="1"/>
  <c r="E289" i="38" s="1"/>
  <c r="Z290" i="38"/>
  <c r="AY290" i="38" s="1"/>
  <c r="AZ290" i="38" s="1"/>
  <c r="Y290" i="38"/>
  <c r="D289" i="7"/>
  <c r="B289" i="7"/>
  <c r="A292" i="38"/>
  <c r="B291" i="38"/>
  <c r="AS291" i="38"/>
  <c r="A290" i="7"/>
  <c r="D291" i="38"/>
  <c r="AO291" i="38" s="1"/>
  <c r="AM291" i="38"/>
  <c r="C290" i="7"/>
  <c r="C292" i="38"/>
  <c r="C291" i="38"/>
  <c r="AX291" i="38"/>
  <c r="DJ290" i="7"/>
  <c r="AE289" i="38" l="1"/>
  <c r="A293" i="38"/>
  <c r="B292" i="38"/>
  <c r="AM292" i="38"/>
  <c r="AS292" i="38"/>
  <c r="D292" i="38"/>
  <c r="AO292" i="38" s="1"/>
  <c r="A291" i="7"/>
  <c r="AA290" i="38"/>
  <c r="AV290" i="38" s="1"/>
  <c r="E290" i="38" s="1"/>
  <c r="AK290" i="38"/>
  <c r="AB290" i="38"/>
  <c r="AJ290" i="38"/>
  <c r="AL290" i="38"/>
  <c r="D290" i="7"/>
  <c r="B290" i="7"/>
  <c r="Y291" i="38"/>
  <c r="Z291" i="38"/>
  <c r="AY291" i="38" s="1"/>
  <c r="AZ291" i="38" s="1"/>
  <c r="AT291" i="38"/>
  <c r="B289" i="6"/>
  <c r="C293" i="38"/>
  <c r="C291" i="7"/>
  <c r="AX292" i="38"/>
  <c r="DJ291" i="7"/>
  <c r="AE290" i="38" l="1"/>
  <c r="AB291" i="38"/>
  <c r="AA291" i="38"/>
  <c r="AV291" i="38" s="1"/>
  <c r="E291" i="38" s="1"/>
  <c r="AL291" i="38"/>
  <c r="AK291" i="38"/>
  <c r="AJ291" i="38"/>
  <c r="B291" i="7"/>
  <c r="D291" i="7"/>
  <c r="B290" i="6"/>
  <c r="Z292" i="38"/>
  <c r="AY292" i="38" s="1"/>
  <c r="AZ292" i="38" s="1"/>
  <c r="Y292" i="38"/>
  <c r="AT292" i="38"/>
  <c r="AM293" i="38"/>
  <c r="D293" i="38"/>
  <c r="AO293" i="38" s="1"/>
  <c r="AS293" i="38"/>
  <c r="B293" i="38"/>
  <c r="A292" i="7"/>
  <c r="A294" i="38"/>
  <c r="C292" i="7"/>
  <c r="DJ292" i="7"/>
  <c r="AX293" i="38"/>
  <c r="AE291" i="38" l="1"/>
  <c r="B291" i="6"/>
  <c r="AT293" i="38"/>
  <c r="AA292" i="38"/>
  <c r="AV292" i="38" s="1"/>
  <c r="E292" i="38" s="1"/>
  <c r="AL292" i="38"/>
  <c r="AK292" i="38"/>
  <c r="AB292" i="38"/>
  <c r="AJ292" i="38"/>
  <c r="AS294" i="38"/>
  <c r="B294" i="38"/>
  <c r="A293" i="7"/>
  <c r="D294" i="38"/>
  <c r="AO294" i="38" s="1"/>
  <c r="AM294" i="38"/>
  <c r="A295" i="38"/>
  <c r="Z293" i="38"/>
  <c r="AY293" i="38" s="1"/>
  <c r="AZ293" i="38" s="1"/>
  <c r="Y293" i="38"/>
  <c r="D292" i="7"/>
  <c r="B292" i="7"/>
  <c r="C294" i="38"/>
  <c r="C293" i="7"/>
  <c r="AX294" i="38"/>
  <c r="DJ293" i="7"/>
  <c r="B292" i="6" l="1"/>
  <c r="AE292" i="38"/>
  <c r="AS295" i="38"/>
  <c r="B295" i="38"/>
  <c r="A294" i="7"/>
  <c r="D295" i="38"/>
  <c r="AO295" i="38" s="1"/>
  <c r="AM295" i="38"/>
  <c r="A296" i="38"/>
  <c r="Z294" i="38"/>
  <c r="AY294" i="38" s="1"/>
  <c r="AZ294" i="38" s="1"/>
  <c r="Y294" i="38"/>
  <c r="B293" i="7"/>
  <c r="D293" i="7"/>
  <c r="AT294" i="38"/>
  <c r="AJ293" i="38"/>
  <c r="AA293" i="38"/>
  <c r="AV293" i="38" s="1"/>
  <c r="E293" i="38" s="1"/>
  <c r="AL293" i="38"/>
  <c r="AK293" i="38"/>
  <c r="AB293" i="38"/>
  <c r="C295" i="38"/>
  <c r="C294" i="7"/>
  <c r="DJ294" i="7"/>
  <c r="AX295" i="38"/>
  <c r="AE293" i="38" l="1"/>
  <c r="Z295" i="38"/>
  <c r="AY295" i="38" s="1"/>
  <c r="AZ295" i="38" s="1"/>
  <c r="Y295" i="38"/>
  <c r="AB294" i="38"/>
  <c r="AJ294" i="38"/>
  <c r="AL294" i="38"/>
  <c r="AK294" i="38"/>
  <c r="AA294" i="38"/>
  <c r="AV294" i="38" s="1"/>
  <c r="E294" i="38" s="1"/>
  <c r="B294" i="7"/>
  <c r="D294" i="7"/>
  <c r="B296" i="38"/>
  <c r="AS296" i="38"/>
  <c r="A295" i="7"/>
  <c r="D296" i="38"/>
  <c r="AO296" i="38" s="1"/>
  <c r="AM296" i="38"/>
  <c r="A297" i="38"/>
  <c r="AT295" i="38"/>
  <c r="B293" i="6"/>
  <c r="C296" i="38"/>
  <c r="C295" i="7"/>
  <c r="DJ295" i="7"/>
  <c r="AX296" i="38"/>
  <c r="AE294" i="38" l="1"/>
  <c r="AT296" i="38"/>
  <c r="B294" i="6"/>
  <c r="D295" i="7"/>
  <c r="B295" i="7"/>
  <c r="AS297" i="38"/>
  <c r="B297" i="38"/>
  <c r="A296" i="7"/>
  <c r="D297" i="38"/>
  <c r="AO297" i="38" s="1"/>
  <c r="AM297" i="38"/>
  <c r="A298" i="38"/>
  <c r="AL295" i="38"/>
  <c r="AB295" i="38"/>
  <c r="AK295" i="38"/>
  <c r="AJ295" i="38"/>
  <c r="AA295" i="38"/>
  <c r="AV295" i="38" s="1"/>
  <c r="E295" i="38" s="1"/>
  <c r="Z296" i="38"/>
  <c r="AY296" i="38" s="1"/>
  <c r="AZ296" i="38" s="1"/>
  <c r="Y296" i="38"/>
  <c r="C296" i="7"/>
  <c r="C297" i="38"/>
  <c r="AX297" i="38"/>
  <c r="DJ296" i="7"/>
  <c r="AE295" i="38" l="1"/>
  <c r="B295" i="6"/>
  <c r="B296" i="7"/>
  <c r="D296" i="7"/>
  <c r="AT297" i="38"/>
  <c r="A299" i="38"/>
  <c r="B298" i="38"/>
  <c r="AS298" i="38"/>
  <c r="A297" i="7"/>
  <c r="D298" i="38"/>
  <c r="AO298" i="38" s="1"/>
  <c r="AM298" i="38"/>
  <c r="AB296" i="38"/>
  <c r="AL296" i="38"/>
  <c r="AK296" i="38"/>
  <c r="AA296" i="38"/>
  <c r="AV296" i="38" s="1"/>
  <c r="E296" i="38" s="1"/>
  <c r="AJ296" i="38"/>
  <c r="Z297" i="38"/>
  <c r="AY297" i="38" s="1"/>
  <c r="AZ297" i="38" s="1"/>
  <c r="Y297" i="38"/>
  <c r="C298" i="38"/>
  <c r="C299" i="38"/>
  <c r="C297" i="7"/>
  <c r="DJ297" i="7"/>
  <c r="AX298" i="38"/>
  <c r="AE296" i="38" l="1"/>
  <c r="Z298" i="38"/>
  <c r="AY298" i="38" s="1"/>
  <c r="AZ298" i="38" s="1"/>
  <c r="Y298" i="38"/>
  <c r="B297" i="7"/>
  <c r="D297" i="7"/>
  <c r="AM299" i="38"/>
  <c r="B299" i="38"/>
  <c r="AS299" i="38"/>
  <c r="D299" i="38"/>
  <c r="AO299" i="38" s="1"/>
  <c r="A300" i="38"/>
  <c r="A298" i="7"/>
  <c r="AK297" i="38"/>
  <c r="AA297" i="38"/>
  <c r="AV297" i="38" s="1"/>
  <c r="E297" i="38" s="1"/>
  <c r="AJ297" i="38"/>
  <c r="AL297" i="38"/>
  <c r="AB297" i="38"/>
  <c r="AT298" i="38"/>
  <c r="B296" i="6"/>
  <c r="C298" i="7"/>
  <c r="C300" i="38"/>
  <c r="AX299" i="38"/>
  <c r="DJ298" i="7"/>
  <c r="AE297" i="38" l="1"/>
  <c r="B298" i="7"/>
  <c r="D298" i="7"/>
  <c r="AT299" i="38"/>
  <c r="Z299" i="38"/>
  <c r="AY299" i="38" s="1"/>
  <c r="AZ299" i="38" s="1"/>
  <c r="Y299" i="38"/>
  <c r="B297" i="6"/>
  <c r="AA298" i="38"/>
  <c r="AV298" i="38" s="1"/>
  <c r="E298" i="38" s="1"/>
  <c r="AB298" i="38"/>
  <c r="AK298" i="38"/>
  <c r="AL298" i="38"/>
  <c r="AJ298" i="38"/>
  <c r="B300" i="38"/>
  <c r="AM300" i="38"/>
  <c r="D300" i="38"/>
  <c r="AO300" i="38" s="1"/>
  <c r="AS300" i="38"/>
  <c r="A299" i="7"/>
  <c r="A301" i="38"/>
  <c r="C299" i="7"/>
  <c r="DJ299" i="7"/>
  <c r="AX300" i="38"/>
  <c r="AE298" i="38" l="1"/>
  <c r="B298" i="6"/>
  <c r="AT300" i="38"/>
  <c r="Z300" i="38"/>
  <c r="AY300" i="38" s="1"/>
  <c r="AZ300" i="38" s="1"/>
  <c r="Y300" i="38"/>
  <c r="AS301" i="38"/>
  <c r="B301" i="38"/>
  <c r="A300" i="7"/>
  <c r="D301" i="38"/>
  <c r="AO301" i="38" s="1"/>
  <c r="AM301" i="38"/>
  <c r="A302" i="38"/>
  <c r="B299" i="7"/>
  <c r="D299" i="7"/>
  <c r="AJ299" i="38"/>
  <c r="AA299" i="38"/>
  <c r="AV299" i="38" s="1"/>
  <c r="E299" i="38" s="1"/>
  <c r="AB299" i="38"/>
  <c r="AK299" i="38"/>
  <c r="AL299" i="38"/>
  <c r="C301" i="38"/>
  <c r="C300" i="7"/>
  <c r="AX301" i="38"/>
  <c r="DJ300" i="7"/>
  <c r="AE299" i="38" l="1"/>
  <c r="B299" i="6"/>
  <c r="B302" i="38"/>
  <c r="AS302" i="38"/>
  <c r="A301" i="7"/>
  <c r="D302" i="38"/>
  <c r="AO302" i="38" s="1"/>
  <c r="AM302" i="38"/>
  <c r="A303" i="38"/>
  <c r="B300" i="7"/>
  <c r="D300" i="7"/>
  <c r="AT301" i="38"/>
  <c r="AK300" i="38"/>
  <c r="AA300" i="38"/>
  <c r="AV300" i="38" s="1"/>
  <c r="E300" i="38" s="1"/>
  <c r="AB300" i="38"/>
  <c r="AJ300" i="38"/>
  <c r="AL300" i="38"/>
  <c r="Z301" i="38"/>
  <c r="AY301" i="38" s="1"/>
  <c r="AZ301" i="38" s="1"/>
  <c r="Y301" i="38"/>
  <c r="C302" i="38"/>
  <c r="C301" i="7"/>
  <c r="AX302" i="38"/>
  <c r="DJ301" i="7"/>
  <c r="AE300" i="38" l="1"/>
  <c r="Z302" i="38"/>
  <c r="AY302" i="38" s="1"/>
  <c r="AZ302" i="38" s="1"/>
  <c r="Y302" i="38"/>
  <c r="B300" i="6"/>
  <c r="AS303" i="38"/>
  <c r="B303" i="38"/>
  <c r="A302" i="7"/>
  <c r="D303" i="38"/>
  <c r="AO303" i="38" s="1"/>
  <c r="AM303" i="38"/>
  <c r="A304" i="38"/>
  <c r="D301" i="7"/>
  <c r="B301" i="7"/>
  <c r="AB301" i="38"/>
  <c r="AA301" i="38"/>
  <c r="AV301" i="38" s="1"/>
  <c r="E301" i="38" s="1"/>
  <c r="AK301" i="38"/>
  <c r="AL301" i="38"/>
  <c r="AJ301" i="38"/>
  <c r="AT302" i="38"/>
  <c r="C302" i="7"/>
  <c r="C303" i="38"/>
  <c r="AX303" i="38"/>
  <c r="DJ302" i="7"/>
  <c r="AE301" i="38" l="1"/>
  <c r="AT303" i="38"/>
  <c r="AS304" i="38"/>
  <c r="B304" i="38"/>
  <c r="A303" i="7"/>
  <c r="D304" i="38"/>
  <c r="AO304" i="38" s="1"/>
  <c r="AM304" i="38"/>
  <c r="A305" i="38"/>
  <c r="D302" i="7"/>
  <c r="B302" i="7"/>
  <c r="B301" i="6"/>
  <c r="AB302" i="38"/>
  <c r="AK302" i="38"/>
  <c r="AJ302" i="38"/>
  <c r="AL302" i="38"/>
  <c r="AA302" i="38"/>
  <c r="AV302" i="38" s="1"/>
  <c r="E302" i="38" s="1"/>
  <c r="Z303" i="38"/>
  <c r="AY303" i="38" s="1"/>
  <c r="AZ303" i="38" s="1"/>
  <c r="Y303" i="38"/>
  <c r="C304" i="38"/>
  <c r="C303" i="7"/>
  <c r="DJ303" i="7"/>
  <c r="AX304" i="38"/>
  <c r="AE302" i="38" l="1"/>
  <c r="B302" i="6"/>
  <c r="Z304" i="38"/>
  <c r="AY304" i="38" s="1"/>
  <c r="AZ304" i="38" s="1"/>
  <c r="Y304" i="38"/>
  <c r="AL303" i="38"/>
  <c r="AB303" i="38"/>
  <c r="AK303" i="38"/>
  <c r="AJ303" i="38"/>
  <c r="AA303" i="38"/>
  <c r="AV303" i="38" s="1"/>
  <c r="E303" i="38" s="1"/>
  <c r="A306" i="38"/>
  <c r="B305" i="38"/>
  <c r="AS305" i="38"/>
  <c r="A304" i="7"/>
  <c r="D305" i="38"/>
  <c r="AO305" i="38" s="1"/>
  <c r="AM305" i="38"/>
  <c r="AT304" i="38"/>
  <c r="D303" i="7"/>
  <c r="B303" i="7"/>
  <c r="C304" i="7"/>
  <c r="C305" i="38"/>
  <c r="C306" i="38"/>
  <c r="AX305" i="38"/>
  <c r="DJ304" i="7"/>
  <c r="AE303" i="38" l="1"/>
  <c r="D306" i="38"/>
  <c r="AO306" i="38" s="1"/>
  <c r="AM306" i="38"/>
  <c r="A307" i="38"/>
  <c r="B306" i="38"/>
  <c r="AS306" i="38"/>
  <c r="A305" i="7"/>
  <c r="Y305" i="38"/>
  <c r="Z305" i="38"/>
  <c r="AY305" i="38" s="1"/>
  <c r="AZ305" i="38" s="1"/>
  <c r="B304" i="7"/>
  <c r="D304" i="7"/>
  <c r="B303" i="6"/>
  <c r="AK304" i="38"/>
  <c r="AB304" i="38"/>
  <c r="AL304" i="38"/>
  <c r="AJ304" i="38"/>
  <c r="AA304" i="38"/>
  <c r="AV304" i="38" s="1"/>
  <c r="E304" i="38" s="1"/>
  <c r="AT305" i="38"/>
  <c r="C307" i="38"/>
  <c r="C305" i="7"/>
  <c r="AX306" i="38"/>
  <c r="DJ305" i="7"/>
  <c r="AT306" i="38" l="1"/>
  <c r="AE304" i="38"/>
  <c r="B304" i="6"/>
  <c r="AA305" i="38"/>
  <c r="AV305" i="38" s="1"/>
  <c r="E305" i="38" s="1"/>
  <c r="AL305" i="38"/>
  <c r="AJ305" i="38"/>
  <c r="AK305" i="38"/>
  <c r="AB305" i="38"/>
  <c r="D305" i="7"/>
  <c r="B305" i="7"/>
  <c r="D307" i="38"/>
  <c r="AO307" i="38" s="1"/>
  <c r="B307" i="38"/>
  <c r="AM307" i="38"/>
  <c r="AS307" i="38"/>
  <c r="A306" i="7"/>
  <c r="A308" i="38"/>
  <c r="Z306" i="38"/>
  <c r="AY306" i="38" s="1"/>
  <c r="AZ306" i="38" s="1"/>
  <c r="Y306" i="38"/>
  <c r="C306" i="7"/>
  <c r="AX307" i="38"/>
  <c r="DJ306" i="7"/>
  <c r="AE305" i="38" l="1"/>
  <c r="B305" i="6"/>
  <c r="AT307" i="38"/>
  <c r="Z307" i="38"/>
  <c r="AY307" i="38" s="1"/>
  <c r="AZ307" i="38" s="1"/>
  <c r="Y307" i="38"/>
  <c r="AS308" i="38"/>
  <c r="B308" i="38"/>
  <c r="A307" i="7"/>
  <c r="D308" i="38"/>
  <c r="AO308" i="38" s="1"/>
  <c r="AM308" i="38"/>
  <c r="A309" i="38"/>
  <c r="B306" i="7"/>
  <c r="D306" i="7"/>
  <c r="AL306" i="38"/>
  <c r="AJ306" i="38"/>
  <c r="AA306" i="38"/>
  <c r="AV306" i="38" s="1"/>
  <c r="E306" i="38" s="1"/>
  <c r="AK306" i="38"/>
  <c r="AB306" i="38"/>
  <c r="C308" i="38"/>
  <c r="C307" i="7"/>
  <c r="AX308" i="38"/>
  <c r="DJ307" i="7"/>
  <c r="AE306" i="38" l="1"/>
  <c r="AT308" i="38"/>
  <c r="B306" i="6"/>
  <c r="Z308" i="38"/>
  <c r="AY308" i="38" s="1"/>
  <c r="AZ308" i="38" s="1"/>
  <c r="Y308" i="38"/>
  <c r="D307" i="7"/>
  <c r="B307" i="7"/>
  <c r="AA307" i="38"/>
  <c r="AV307" i="38" s="1"/>
  <c r="E307" i="38" s="1"/>
  <c r="AB307" i="38"/>
  <c r="AK307" i="38"/>
  <c r="AL307" i="38"/>
  <c r="AJ307" i="38"/>
  <c r="A310" i="38"/>
  <c r="B309" i="38"/>
  <c r="AS309" i="38"/>
  <c r="A308" i="7"/>
  <c r="D309" i="38"/>
  <c r="AO309" i="38" s="1"/>
  <c r="AM309" i="38"/>
  <c r="C309" i="38"/>
  <c r="C308" i="7"/>
  <c r="C310" i="38"/>
  <c r="AX309" i="38"/>
  <c r="DJ308" i="7"/>
  <c r="AE307" i="38" l="1"/>
  <c r="AT309" i="38"/>
  <c r="D308" i="7"/>
  <c r="B308" i="7"/>
  <c r="B307" i="6"/>
  <c r="B310" i="38"/>
  <c r="AM310" i="38"/>
  <c r="D310" i="38"/>
  <c r="AS310" i="38"/>
  <c r="A309" i="7"/>
  <c r="A311" i="38"/>
  <c r="Z309" i="38"/>
  <c r="AY309" i="38" s="1"/>
  <c r="AZ309" i="38" s="1"/>
  <c r="Y309" i="38"/>
  <c r="AL308" i="38"/>
  <c r="AK308" i="38"/>
  <c r="AB308" i="38"/>
  <c r="AA308" i="38"/>
  <c r="AV308" i="38" s="1"/>
  <c r="E308" i="38" s="1"/>
  <c r="AJ308" i="38"/>
  <c r="C309" i="7"/>
  <c r="AX310" i="38"/>
  <c r="DJ309" i="7"/>
  <c r="AE308" i="38" l="1"/>
  <c r="B308" i="6"/>
  <c r="AS311" i="38"/>
  <c r="B311" i="38"/>
  <c r="A310" i="7"/>
  <c r="AM311" i="38"/>
  <c r="D311" i="38"/>
  <c r="A312" i="38"/>
  <c r="AT310" i="38"/>
  <c r="B309" i="7"/>
  <c r="D309" i="7"/>
  <c r="Z310" i="38"/>
  <c r="AY310" i="38" s="1"/>
  <c r="AZ310" i="38" s="1"/>
  <c r="Y310" i="38"/>
  <c r="AB309" i="38"/>
  <c r="AK309" i="38"/>
  <c r="AL309" i="38"/>
  <c r="AJ309" i="38"/>
  <c r="AA309" i="38"/>
  <c r="AV309" i="38" s="1"/>
  <c r="E309" i="38" s="1"/>
  <c r="C311" i="38"/>
  <c r="C310" i="7"/>
  <c r="AX311" i="38"/>
  <c r="DJ310" i="7"/>
  <c r="B309" i="6" l="1"/>
  <c r="AE309" i="38"/>
  <c r="AO310" i="38" s="1"/>
  <c r="AA310" i="38"/>
  <c r="AV310" i="38" s="1"/>
  <c r="E310" i="38" s="1"/>
  <c r="AJ310" i="38"/>
  <c r="AK310" i="38"/>
  <c r="AB310" i="38"/>
  <c r="AL310" i="38"/>
  <c r="A313" i="38"/>
  <c r="B312" i="38"/>
  <c r="AS312" i="38"/>
  <c r="A311" i="7"/>
  <c r="AM312" i="38"/>
  <c r="D312" i="38"/>
  <c r="B310" i="7"/>
  <c r="D310" i="7"/>
  <c r="Y311" i="38"/>
  <c r="Z311" i="38"/>
  <c r="AY311" i="38" s="1"/>
  <c r="AZ311" i="38" s="1"/>
  <c r="AT311" i="38"/>
  <c r="C312" i="38"/>
  <c r="C313" i="38"/>
  <c r="C311" i="7"/>
  <c r="DJ311" i="7"/>
  <c r="AX312" i="38"/>
  <c r="AE310" i="38" l="1"/>
  <c r="B310" i="6"/>
  <c r="A314" i="38"/>
  <c r="AS313" i="38"/>
  <c r="AM313" i="38"/>
  <c r="B313" i="38"/>
  <c r="D313" i="38"/>
  <c r="A312" i="7"/>
  <c r="Z312" i="38"/>
  <c r="AY312" i="38" s="1"/>
  <c r="AZ312" i="38" s="1"/>
  <c r="Y312" i="38"/>
  <c r="B311" i="7"/>
  <c r="D311" i="7"/>
  <c r="AL311" i="38"/>
  <c r="AB311" i="38"/>
  <c r="AJ311" i="38"/>
  <c r="AK311" i="38"/>
  <c r="AA311" i="38"/>
  <c r="AV311" i="38" s="1"/>
  <c r="E311" i="38" s="1"/>
  <c r="AT312" i="38"/>
  <c r="C314" i="38"/>
  <c r="C312" i="7"/>
  <c r="AX313" i="38"/>
  <c r="DJ312" i="7"/>
  <c r="AE311" i="38" l="1"/>
  <c r="AO311" i="38"/>
  <c r="AO312" i="38" s="1"/>
  <c r="AO313" i="38" s="1"/>
  <c r="B311" i="6"/>
  <c r="Z313" i="38"/>
  <c r="AY313" i="38" s="1"/>
  <c r="AZ313" i="38" s="1"/>
  <c r="Y313" i="38"/>
  <c r="AA312" i="38"/>
  <c r="AV312" i="38" s="1"/>
  <c r="E312" i="38" s="1"/>
  <c r="AJ312" i="38"/>
  <c r="AB312" i="38"/>
  <c r="AL312" i="38"/>
  <c r="AK312" i="38"/>
  <c r="D312" i="7"/>
  <c r="B312" i="7"/>
  <c r="AT313" i="38"/>
  <c r="B314" i="38"/>
  <c r="D314" i="38"/>
  <c r="AS314" i="38"/>
  <c r="AM314" i="38"/>
  <c r="A313" i="7"/>
  <c r="A315" i="38"/>
  <c r="C313" i="7"/>
  <c r="AX314" i="38"/>
  <c r="DJ313" i="7"/>
  <c r="AO314" i="38" l="1"/>
  <c r="AE312" i="38"/>
  <c r="Z314" i="38"/>
  <c r="AY314" i="38" s="1"/>
  <c r="AZ314" i="38" s="1"/>
  <c r="Y314" i="38"/>
  <c r="AT314" i="38"/>
  <c r="AB313" i="38"/>
  <c r="AL313" i="38"/>
  <c r="AJ313" i="38"/>
  <c r="AA313" i="38"/>
  <c r="AV313" i="38" s="1"/>
  <c r="E313" i="38" s="1"/>
  <c r="AK313" i="38"/>
  <c r="AS315" i="38"/>
  <c r="B315" i="38"/>
  <c r="A314" i="7"/>
  <c r="AM315" i="38"/>
  <c r="D315" i="38"/>
  <c r="A316" i="38"/>
  <c r="B313" i="7"/>
  <c r="D313" i="7"/>
  <c r="B312" i="6"/>
  <c r="C315" i="38"/>
  <c r="C314" i="7"/>
  <c r="AX315" i="38"/>
  <c r="DJ314" i="7"/>
  <c r="AO315" i="38" l="1"/>
  <c r="AE313" i="38"/>
  <c r="AT315" i="38"/>
  <c r="B313" i="6"/>
  <c r="AA314" i="38"/>
  <c r="AV314" i="38" s="1"/>
  <c r="E314" i="38" s="1"/>
  <c r="AB314" i="38"/>
  <c r="AK314" i="38"/>
  <c r="AL314" i="38"/>
  <c r="AJ314" i="38"/>
  <c r="Z315" i="38"/>
  <c r="AY315" i="38" s="1"/>
  <c r="AZ315" i="38" s="1"/>
  <c r="Y315" i="38"/>
  <c r="B314" i="7"/>
  <c r="D314" i="7"/>
  <c r="B316" i="38"/>
  <c r="AS316" i="38"/>
  <c r="A315" i="7"/>
  <c r="D316" i="38"/>
  <c r="AM316" i="38"/>
  <c r="A317" i="38"/>
  <c r="C316" i="38"/>
  <c r="C315" i="7"/>
  <c r="DJ315" i="7"/>
  <c r="AX316" i="38"/>
  <c r="AO316" i="38" l="1"/>
  <c r="AE314" i="38"/>
  <c r="AT316" i="38"/>
  <c r="B314" i="6"/>
  <c r="B317" i="38"/>
  <c r="AS317" i="38"/>
  <c r="A316" i="7"/>
  <c r="D317" i="38"/>
  <c r="AM317" i="38"/>
  <c r="A318" i="38"/>
  <c r="AK315" i="38"/>
  <c r="AJ315" i="38"/>
  <c r="AL315" i="38"/>
  <c r="AB315" i="38"/>
  <c r="AA315" i="38"/>
  <c r="AV315" i="38" s="1"/>
  <c r="E315" i="38" s="1"/>
  <c r="Z316" i="38"/>
  <c r="AY316" i="38" s="1"/>
  <c r="AZ316" i="38" s="1"/>
  <c r="Y316" i="38"/>
  <c r="D315" i="7"/>
  <c r="B315" i="7"/>
  <c r="C317" i="38"/>
  <c r="C316" i="7"/>
  <c r="AX317" i="38"/>
  <c r="DJ316" i="7"/>
  <c r="AO317" i="38" l="1"/>
  <c r="AE315" i="38"/>
  <c r="B315" i="6"/>
  <c r="Z317" i="38"/>
  <c r="AY317" i="38" s="1"/>
  <c r="AZ317" i="38" s="1"/>
  <c r="Y317" i="38"/>
  <c r="B316" i="7"/>
  <c r="D316" i="7"/>
  <c r="AT317" i="38"/>
  <c r="AS318" i="38"/>
  <c r="B318" i="38"/>
  <c r="A317" i="7"/>
  <c r="D318" i="38"/>
  <c r="AM318" i="38"/>
  <c r="A319" i="38"/>
  <c r="AL316" i="38"/>
  <c r="AB316" i="38"/>
  <c r="AJ316" i="38"/>
  <c r="AK316" i="38"/>
  <c r="AA316" i="38"/>
  <c r="AV316" i="38" s="1"/>
  <c r="E316" i="38" s="1"/>
  <c r="C318" i="38"/>
  <c r="C317" i="7"/>
  <c r="AX318" i="38"/>
  <c r="DJ317" i="7"/>
  <c r="AO318" i="38" l="1"/>
  <c r="AE316" i="38"/>
  <c r="B316" i="6"/>
  <c r="A320" i="38"/>
  <c r="AS319" i="38"/>
  <c r="B319" i="38"/>
  <c r="A318" i="7"/>
  <c r="D319" i="38"/>
  <c r="AM319" i="38"/>
  <c r="B317" i="7"/>
  <c r="D317" i="7"/>
  <c r="AT318" i="38"/>
  <c r="Y318" i="38"/>
  <c r="Z318" i="38"/>
  <c r="AY318" i="38" s="1"/>
  <c r="AZ318" i="38" s="1"/>
  <c r="AB317" i="38"/>
  <c r="AL317" i="38"/>
  <c r="AJ317" i="38"/>
  <c r="AK317" i="38"/>
  <c r="AA317" i="38"/>
  <c r="AV317" i="38" s="1"/>
  <c r="E317" i="38" s="1"/>
  <c r="C320" i="38"/>
  <c r="C319" i="38"/>
  <c r="C318" i="7"/>
  <c r="AX319" i="38"/>
  <c r="DJ318" i="7"/>
  <c r="AO319" i="38" l="1"/>
  <c r="B317" i="6"/>
  <c r="AE317" i="38"/>
  <c r="AL318" i="38"/>
  <c r="AJ318" i="38"/>
  <c r="AK318" i="38"/>
  <c r="AB318" i="38"/>
  <c r="AA318" i="38"/>
  <c r="AV318" i="38" s="1"/>
  <c r="E318" i="38" s="1"/>
  <c r="AT319" i="38"/>
  <c r="D318" i="7"/>
  <c r="B318" i="7"/>
  <c r="Z319" i="38"/>
  <c r="AY319" i="38" s="1"/>
  <c r="AZ319" i="38" s="1"/>
  <c r="Y319" i="38"/>
  <c r="A321" i="38"/>
  <c r="AM320" i="38"/>
  <c r="AS320" i="38"/>
  <c r="D320" i="38"/>
  <c r="AO320" i="38" s="1"/>
  <c r="B320" i="38"/>
  <c r="A319" i="7"/>
  <c r="C319" i="7"/>
  <c r="C321" i="38"/>
  <c r="DJ319" i="7"/>
  <c r="AX320" i="38"/>
  <c r="AE318" i="38" l="1"/>
  <c r="Z320" i="38"/>
  <c r="AY320" i="38" s="1"/>
  <c r="AZ320" i="38" s="1"/>
  <c r="Y320" i="38"/>
  <c r="AJ319" i="38"/>
  <c r="AL319" i="38"/>
  <c r="AK319" i="38"/>
  <c r="AA319" i="38"/>
  <c r="AV319" i="38" s="1"/>
  <c r="E319" i="38" s="1"/>
  <c r="AB319" i="38"/>
  <c r="D321" i="38"/>
  <c r="AO321" i="38" s="1"/>
  <c r="AS321" i="38"/>
  <c r="B321" i="38"/>
  <c r="AM321" i="38"/>
  <c r="A320" i="7"/>
  <c r="A322" i="38"/>
  <c r="B318" i="6"/>
  <c r="B319" i="6" s="1"/>
  <c r="B319" i="7"/>
  <c r="D319" i="7"/>
  <c r="AT320" i="38"/>
  <c r="C320" i="7"/>
  <c r="DJ320" i="7"/>
  <c r="AX321" i="38"/>
  <c r="AE319" i="38" l="1"/>
  <c r="B320" i="7"/>
  <c r="D320" i="7"/>
  <c r="AS322" i="38"/>
  <c r="B322" i="38"/>
  <c r="A321" i="7"/>
  <c r="D322" i="38"/>
  <c r="AO322" i="38" s="1"/>
  <c r="AM322" i="38"/>
  <c r="A323" i="38"/>
  <c r="Z321" i="38"/>
  <c r="AY321" i="38" s="1"/>
  <c r="AZ321" i="38" s="1"/>
  <c r="Y321" i="38"/>
  <c r="AT321" i="38"/>
  <c r="AA320" i="38"/>
  <c r="AV320" i="38" s="1"/>
  <c r="E320" i="38" s="1"/>
  <c r="AK320" i="38"/>
  <c r="AB320" i="38"/>
  <c r="AJ320" i="38"/>
  <c r="AL320" i="38"/>
  <c r="C321" i="7"/>
  <c r="C322" i="38"/>
  <c r="DJ321" i="7"/>
  <c r="AX322" i="38"/>
  <c r="AE320" i="38" l="1"/>
  <c r="AJ321" i="38"/>
  <c r="AA321" i="38"/>
  <c r="AV321" i="38" s="1"/>
  <c r="E321" i="38" s="1"/>
  <c r="AK321" i="38"/>
  <c r="AL321" i="38"/>
  <c r="AB321" i="38"/>
  <c r="B321" i="7"/>
  <c r="D321" i="7"/>
  <c r="Z322" i="38"/>
  <c r="AY322" i="38" s="1"/>
  <c r="AZ322" i="38" s="1"/>
  <c r="Y322" i="38"/>
  <c r="B323" i="38"/>
  <c r="AS323" i="38"/>
  <c r="A322" i="7"/>
  <c r="D323" i="38"/>
  <c r="AO323" i="38" s="1"/>
  <c r="AM323" i="38"/>
  <c r="A324" i="38"/>
  <c r="AT322" i="38"/>
  <c r="B320" i="6"/>
  <c r="C322" i="7"/>
  <c r="C323" i="38"/>
  <c r="AX323" i="38"/>
  <c r="DJ322" i="7"/>
  <c r="AE321" i="38" l="1"/>
  <c r="B321" i="6"/>
  <c r="B322" i="7"/>
  <c r="D322" i="7"/>
  <c r="AT323" i="38"/>
  <c r="AB322" i="38"/>
  <c r="AL322" i="38"/>
  <c r="AK322" i="38"/>
  <c r="AJ322" i="38"/>
  <c r="AA322" i="38"/>
  <c r="AV322" i="38" s="1"/>
  <c r="E322" i="38" s="1"/>
  <c r="AS324" i="38"/>
  <c r="B324" i="38"/>
  <c r="A323" i="7"/>
  <c r="D324" i="38"/>
  <c r="AO324" i="38" s="1"/>
  <c r="AM324" i="38"/>
  <c r="A325" i="38"/>
  <c r="Y323" i="38"/>
  <c r="Z323" i="38"/>
  <c r="AY323" i="38" s="1"/>
  <c r="AZ323" i="38" s="1"/>
  <c r="C324" i="38"/>
  <c r="C323" i="7"/>
  <c r="DJ323" i="7"/>
  <c r="AX324" i="38"/>
  <c r="AE322" i="38" l="1"/>
  <c r="B322" i="6"/>
  <c r="AT324" i="38"/>
  <c r="D323" i="7"/>
  <c r="B323" i="7"/>
  <c r="AL323" i="38"/>
  <c r="AJ323" i="38"/>
  <c r="AA323" i="38"/>
  <c r="AV323" i="38" s="1"/>
  <c r="E323" i="38" s="1"/>
  <c r="AB323" i="38"/>
  <c r="AK323" i="38"/>
  <c r="AS325" i="38"/>
  <c r="B325" i="38"/>
  <c r="A324" i="7"/>
  <c r="D325" i="38"/>
  <c r="AO325" i="38" s="1"/>
  <c r="AM325" i="38"/>
  <c r="A326" i="38"/>
  <c r="Z324" i="38"/>
  <c r="AY324" i="38" s="1"/>
  <c r="AZ324" i="38" s="1"/>
  <c r="Y324" i="38"/>
  <c r="C325" i="38"/>
  <c r="C324" i="7"/>
  <c r="DJ324" i="7"/>
  <c r="AX325" i="38"/>
  <c r="AE323" i="38" l="1"/>
  <c r="D324" i="7"/>
  <c r="B324" i="7"/>
  <c r="AJ324" i="38"/>
  <c r="AB324" i="38"/>
  <c r="AA324" i="38"/>
  <c r="AV324" i="38" s="1"/>
  <c r="E324" i="38" s="1"/>
  <c r="AK324" i="38"/>
  <c r="AL324" i="38"/>
  <c r="AT325" i="38"/>
  <c r="B323" i="6"/>
  <c r="A327" i="38"/>
  <c r="AS326" i="38"/>
  <c r="B326" i="38"/>
  <c r="A325" i="7"/>
  <c r="D326" i="38"/>
  <c r="AO326" i="38" s="1"/>
  <c r="AM326" i="38"/>
  <c r="Y325" i="38"/>
  <c r="Z325" i="38"/>
  <c r="AY325" i="38" s="1"/>
  <c r="AZ325" i="38" s="1"/>
  <c r="C326" i="38"/>
  <c r="C327" i="38"/>
  <c r="C325" i="7"/>
  <c r="AX326" i="38"/>
  <c r="DJ325" i="7"/>
  <c r="B324" i="6" l="1"/>
  <c r="AE324" i="38"/>
  <c r="AT326" i="38"/>
  <c r="D325" i="7"/>
  <c r="B325" i="7"/>
  <c r="A328" i="38"/>
  <c r="B327" i="38"/>
  <c r="AM327" i="38"/>
  <c r="D327" i="38"/>
  <c r="AO327" i="38" s="1"/>
  <c r="AS327" i="38"/>
  <c r="A326" i="7"/>
  <c r="Z326" i="38"/>
  <c r="AY326" i="38" s="1"/>
  <c r="AZ326" i="38" s="1"/>
  <c r="Y326" i="38"/>
  <c r="AK325" i="38"/>
  <c r="AB325" i="38"/>
  <c r="AL325" i="38"/>
  <c r="AJ325" i="38"/>
  <c r="AA325" i="38"/>
  <c r="AV325" i="38" s="1"/>
  <c r="E325" i="38" s="1"/>
  <c r="C326" i="7"/>
  <c r="C328" i="38"/>
  <c r="AX327" i="38"/>
  <c r="DJ326" i="7"/>
  <c r="B325" i="6" l="1"/>
  <c r="AE325" i="38"/>
  <c r="AT327" i="38"/>
  <c r="AA326" i="38"/>
  <c r="AV326" i="38" s="1"/>
  <c r="E326" i="38" s="1"/>
  <c r="AJ326" i="38"/>
  <c r="AK326" i="38"/>
  <c r="AL326" i="38"/>
  <c r="AB326" i="38"/>
  <c r="D326" i="7"/>
  <c r="B326" i="7"/>
  <c r="Z327" i="38"/>
  <c r="AY327" i="38" s="1"/>
  <c r="AZ327" i="38" s="1"/>
  <c r="Y327" i="38"/>
  <c r="AS328" i="38"/>
  <c r="AM328" i="38"/>
  <c r="D328" i="38"/>
  <c r="AO328" i="38" s="1"/>
  <c r="B328" i="38"/>
  <c r="A327" i="7"/>
  <c r="A329" i="38"/>
  <c r="C327" i="7"/>
  <c r="DJ327" i="7"/>
  <c r="AX328" i="38"/>
  <c r="AE326" i="38" l="1"/>
  <c r="AT328" i="38"/>
  <c r="AB327" i="38"/>
  <c r="AA327" i="38"/>
  <c r="AV327" i="38" s="1"/>
  <c r="E327" i="38" s="1"/>
  <c r="AK327" i="38"/>
  <c r="AJ327" i="38"/>
  <c r="AL327" i="38"/>
  <c r="Z328" i="38"/>
  <c r="AY328" i="38" s="1"/>
  <c r="AZ328" i="38" s="1"/>
  <c r="Y328" i="38"/>
  <c r="B327" i="7"/>
  <c r="D327" i="7"/>
  <c r="AS329" i="38"/>
  <c r="B329" i="38"/>
  <c r="A328" i="7"/>
  <c r="D329" i="38"/>
  <c r="AO329" i="38" s="1"/>
  <c r="AM329" i="38"/>
  <c r="A330" i="38"/>
  <c r="B326" i="6"/>
  <c r="C329" i="38"/>
  <c r="C328" i="7"/>
  <c r="AX329" i="38"/>
  <c r="DJ328" i="7"/>
  <c r="AE327" i="38" l="1"/>
  <c r="B327" i="6"/>
  <c r="AT329" i="38"/>
  <c r="AL328" i="38"/>
  <c r="AJ328" i="38"/>
  <c r="AA328" i="38"/>
  <c r="AV328" i="38" s="1"/>
  <c r="E328" i="38" s="1"/>
  <c r="AB328" i="38"/>
  <c r="AK328" i="38"/>
  <c r="D328" i="7"/>
  <c r="B328" i="7"/>
  <c r="B330" i="38"/>
  <c r="AS330" i="38"/>
  <c r="A329" i="7"/>
  <c r="D330" i="38"/>
  <c r="AO330" i="38" s="1"/>
  <c r="AM330" i="38"/>
  <c r="A331" i="38"/>
  <c r="Z329" i="38"/>
  <c r="AY329" i="38" s="1"/>
  <c r="AZ329" i="38" s="1"/>
  <c r="Y329" i="38"/>
  <c r="C330" i="38"/>
  <c r="C329" i="7"/>
  <c r="DJ329" i="7"/>
  <c r="AX330" i="38"/>
  <c r="AE328" i="38" l="1"/>
  <c r="Z330" i="38"/>
  <c r="AY330" i="38" s="1"/>
  <c r="AZ330" i="38" s="1"/>
  <c r="Y330" i="38"/>
  <c r="AJ329" i="38"/>
  <c r="AA329" i="38"/>
  <c r="AV329" i="38" s="1"/>
  <c r="E329" i="38" s="1"/>
  <c r="AB329" i="38"/>
  <c r="AK329" i="38"/>
  <c r="AL329" i="38"/>
  <c r="B329" i="7"/>
  <c r="D329" i="7"/>
  <c r="B331" i="38"/>
  <c r="AS331" i="38"/>
  <c r="A330" i="7"/>
  <c r="D331" i="38"/>
  <c r="AO331" i="38" s="1"/>
  <c r="AM331" i="38"/>
  <c r="A332" i="38"/>
  <c r="AT330" i="38"/>
  <c r="B328" i="6"/>
  <c r="C330" i="7"/>
  <c r="C331" i="38"/>
  <c r="DJ330" i="7"/>
  <c r="AX331" i="38"/>
  <c r="AE329" i="38" l="1"/>
  <c r="B329" i="6"/>
  <c r="B330" i="7"/>
  <c r="D330" i="7"/>
  <c r="AT331" i="38"/>
  <c r="AS332" i="38"/>
  <c r="B332" i="38"/>
  <c r="A331" i="7"/>
  <c r="D332" i="38"/>
  <c r="AO332" i="38" s="1"/>
  <c r="AM332" i="38"/>
  <c r="A333" i="38"/>
  <c r="AK330" i="38"/>
  <c r="AB330" i="38"/>
  <c r="AL330" i="38"/>
  <c r="AJ330" i="38"/>
  <c r="AA330" i="38"/>
  <c r="AV330" i="38" s="1"/>
  <c r="E330" i="38" s="1"/>
  <c r="Z331" i="38"/>
  <c r="AY331" i="38" s="1"/>
  <c r="AZ331" i="38" s="1"/>
  <c r="Y331" i="38"/>
  <c r="C332" i="38"/>
  <c r="C331" i="7"/>
  <c r="DJ331" i="7"/>
  <c r="AX332" i="38"/>
  <c r="AE330" i="38" l="1"/>
  <c r="B330" i="6"/>
  <c r="B331" i="7"/>
  <c r="D331" i="7"/>
  <c r="A334" i="38"/>
  <c r="AS333" i="38"/>
  <c r="B333" i="38"/>
  <c r="A332" i="7"/>
  <c r="D333" i="38"/>
  <c r="AO333" i="38" s="1"/>
  <c r="AM333" i="38"/>
  <c r="AT332" i="38"/>
  <c r="Y332" i="38"/>
  <c r="Z332" i="38"/>
  <c r="AY332" i="38" s="1"/>
  <c r="AZ332" i="38" s="1"/>
  <c r="AJ331" i="38"/>
  <c r="AL331" i="38"/>
  <c r="AB331" i="38"/>
  <c r="AK331" i="38"/>
  <c r="AA331" i="38"/>
  <c r="AV331" i="38" s="1"/>
  <c r="E331" i="38" s="1"/>
  <c r="C333" i="38"/>
  <c r="C332" i="7"/>
  <c r="C334" i="38"/>
  <c r="DJ332" i="7"/>
  <c r="AX333" i="38"/>
  <c r="B331" i="6" l="1"/>
  <c r="AE331" i="38"/>
  <c r="AL332" i="38"/>
  <c r="AB332" i="38"/>
  <c r="AA332" i="38"/>
  <c r="AV332" i="38" s="1"/>
  <c r="E332" i="38" s="1"/>
  <c r="AK332" i="38"/>
  <c r="AJ332" i="38"/>
  <c r="Z333" i="38"/>
  <c r="AY333" i="38" s="1"/>
  <c r="AZ333" i="38" s="1"/>
  <c r="Y333" i="38"/>
  <c r="D332" i="7"/>
  <c r="B332" i="7"/>
  <c r="AT333" i="38"/>
  <c r="B334" i="38"/>
  <c r="AM334" i="38"/>
  <c r="D334" i="38"/>
  <c r="AO334" i="38" s="1"/>
  <c r="AS334" i="38"/>
  <c r="A335" i="38"/>
  <c r="A333" i="7"/>
  <c r="C333" i="7"/>
  <c r="C335" i="38"/>
  <c r="AX334" i="38"/>
  <c r="DJ333" i="7"/>
  <c r="B332" i="6" l="1"/>
  <c r="AE332" i="38"/>
  <c r="Z334" i="38"/>
  <c r="AY334" i="38" s="1"/>
  <c r="AZ334" i="38" s="1"/>
  <c r="Y334" i="38"/>
  <c r="B335" i="38"/>
  <c r="AS335" i="38"/>
  <c r="D335" i="38"/>
  <c r="AO335" i="38" s="1"/>
  <c r="AM335" i="38"/>
  <c r="A334" i="7"/>
  <c r="A336" i="38"/>
  <c r="D333" i="7"/>
  <c r="B333" i="7"/>
  <c r="AB333" i="38"/>
  <c r="AJ333" i="38"/>
  <c r="AL333" i="38"/>
  <c r="AK333" i="38"/>
  <c r="AA333" i="38"/>
  <c r="AV333" i="38" s="1"/>
  <c r="E333" i="38" s="1"/>
  <c r="AT334" i="38"/>
  <c r="C334" i="7"/>
  <c r="DJ334" i="7"/>
  <c r="AX335" i="38"/>
  <c r="AE333" i="38" l="1"/>
  <c r="B333" i="6"/>
  <c r="AT335" i="38"/>
  <c r="D334" i="7"/>
  <c r="B334" i="7"/>
  <c r="AS336" i="38"/>
  <c r="B336" i="38"/>
  <c r="A335" i="7"/>
  <c r="D336" i="38"/>
  <c r="AO336" i="38" s="1"/>
  <c r="AM336" i="38"/>
  <c r="A337" i="38"/>
  <c r="Z335" i="38"/>
  <c r="AY335" i="38" s="1"/>
  <c r="AZ335" i="38" s="1"/>
  <c r="Y335" i="38"/>
  <c r="AJ334" i="38"/>
  <c r="AK334" i="38"/>
  <c r="AB334" i="38"/>
  <c r="AA334" i="38"/>
  <c r="AV334" i="38" s="1"/>
  <c r="E334" i="38" s="1"/>
  <c r="AL334" i="38"/>
  <c r="C335" i="7"/>
  <c r="C336" i="38"/>
  <c r="AX336" i="38"/>
  <c r="DJ335" i="7"/>
  <c r="B334" i="6" l="1"/>
  <c r="AE334" i="38"/>
  <c r="AS337" i="38"/>
  <c r="B337" i="38"/>
  <c r="A336" i="7"/>
  <c r="D337" i="38"/>
  <c r="AO337" i="38" s="1"/>
  <c r="AM337" i="38"/>
  <c r="A338" i="38"/>
  <c r="Z336" i="38"/>
  <c r="AY336" i="38" s="1"/>
  <c r="AZ336" i="38" s="1"/>
  <c r="Y336" i="38"/>
  <c r="AT336" i="38"/>
  <c r="AL335" i="38"/>
  <c r="AK335" i="38"/>
  <c r="AB335" i="38"/>
  <c r="AA335" i="38"/>
  <c r="AV335" i="38" s="1"/>
  <c r="E335" i="38" s="1"/>
  <c r="AJ335" i="38"/>
  <c r="B335" i="7"/>
  <c r="D335" i="7"/>
  <c r="C336" i="7"/>
  <c r="C337" i="38"/>
  <c r="AX337" i="38"/>
  <c r="DJ336" i="7"/>
  <c r="AE335" i="38" l="1"/>
  <c r="B335" i="6"/>
  <c r="AL336" i="38"/>
  <c r="AJ336" i="38"/>
  <c r="AK336" i="38"/>
  <c r="AB336" i="38"/>
  <c r="AA336" i="38"/>
  <c r="AV336" i="38" s="1"/>
  <c r="E336" i="38" s="1"/>
  <c r="AS338" i="38"/>
  <c r="B338" i="38"/>
  <c r="A337" i="7"/>
  <c r="D338" i="38"/>
  <c r="AO338" i="38" s="1"/>
  <c r="AM338" i="38"/>
  <c r="A339" i="38"/>
  <c r="Z337" i="38"/>
  <c r="AY337" i="38" s="1"/>
  <c r="AZ337" i="38" s="1"/>
  <c r="Y337" i="38"/>
  <c r="D336" i="7"/>
  <c r="B336" i="7"/>
  <c r="AT337" i="38"/>
  <c r="C338" i="38"/>
  <c r="C337" i="7"/>
  <c r="DJ337" i="7"/>
  <c r="AX338" i="38"/>
  <c r="AE336" i="38" l="1"/>
  <c r="B336" i="6"/>
  <c r="AS339" i="38"/>
  <c r="B339" i="38"/>
  <c r="A338" i="7"/>
  <c r="D339" i="38"/>
  <c r="AO339" i="38" s="1"/>
  <c r="AM339" i="38"/>
  <c r="A340" i="38"/>
  <c r="Z338" i="38"/>
  <c r="AY338" i="38" s="1"/>
  <c r="AZ338" i="38" s="1"/>
  <c r="Y338" i="38"/>
  <c r="AT338" i="38"/>
  <c r="B337" i="7"/>
  <c r="D337" i="7"/>
  <c r="AB337" i="38"/>
  <c r="AJ337" i="38"/>
  <c r="AA337" i="38"/>
  <c r="AV337" i="38" s="1"/>
  <c r="E337" i="38" s="1"/>
  <c r="AK337" i="38"/>
  <c r="AL337" i="38"/>
  <c r="C338" i="7"/>
  <c r="C339" i="38"/>
  <c r="AX339" i="38"/>
  <c r="DJ338" i="7"/>
  <c r="AE337" i="38" l="1"/>
  <c r="B337" i="6"/>
  <c r="AL338" i="38"/>
  <c r="AK338" i="38"/>
  <c r="AB338" i="38"/>
  <c r="AJ338" i="38"/>
  <c r="AA338" i="38"/>
  <c r="AV338" i="38" s="1"/>
  <c r="E338" i="38" s="1"/>
  <c r="D338" i="7"/>
  <c r="B338" i="7"/>
  <c r="A341" i="38"/>
  <c r="AS340" i="38"/>
  <c r="B340" i="38"/>
  <c r="A339" i="7"/>
  <c r="AM340" i="38"/>
  <c r="D340" i="38"/>
  <c r="Y339" i="38"/>
  <c r="Z339" i="38"/>
  <c r="AY339" i="38" s="1"/>
  <c r="AZ339" i="38" s="1"/>
  <c r="AT339" i="38"/>
  <c r="C339" i="7"/>
  <c r="C340" i="38"/>
  <c r="C341" i="38"/>
  <c r="AX340" i="38"/>
  <c r="DJ339" i="7"/>
  <c r="AE338" i="38" l="1"/>
  <c r="Y340" i="38"/>
  <c r="Z340" i="38"/>
  <c r="AY340" i="38" s="1"/>
  <c r="AZ340" i="38" s="1"/>
  <c r="AT340" i="38"/>
  <c r="D339" i="7"/>
  <c r="B339" i="7"/>
  <c r="A342" i="38"/>
  <c r="B341" i="38"/>
  <c r="AS341" i="38"/>
  <c r="AM341" i="38"/>
  <c r="D341" i="38"/>
  <c r="A340" i="7"/>
  <c r="AB339" i="38"/>
  <c r="AK339" i="38"/>
  <c r="AJ339" i="38"/>
  <c r="AA339" i="38"/>
  <c r="AV339" i="38" s="1"/>
  <c r="E339" i="38" s="1"/>
  <c r="AL339" i="38"/>
  <c r="B338" i="6"/>
  <c r="C340" i="7"/>
  <c r="C342" i="38"/>
  <c r="AX341" i="38"/>
  <c r="DJ340" i="7"/>
  <c r="AE339" i="38" l="1"/>
  <c r="AO340" i="38" s="1"/>
  <c r="B339" i="6"/>
  <c r="Z341" i="38"/>
  <c r="AY341" i="38" s="1"/>
  <c r="AZ341" i="38" s="1"/>
  <c r="Y341" i="38"/>
  <c r="D340" i="7"/>
  <c r="B340" i="7"/>
  <c r="AT341" i="38"/>
  <c r="B342" i="38"/>
  <c r="AM342" i="38"/>
  <c r="AS342" i="38"/>
  <c r="D342" i="38"/>
  <c r="A341" i="7"/>
  <c r="A343" i="38"/>
  <c r="AB340" i="38"/>
  <c r="AL340" i="38"/>
  <c r="AK340" i="38"/>
  <c r="AJ340" i="38"/>
  <c r="AA340" i="38"/>
  <c r="AV340" i="38" s="1"/>
  <c r="E340" i="38" s="1"/>
  <c r="C341" i="7"/>
  <c r="DJ341" i="7"/>
  <c r="AX342" i="38"/>
  <c r="B340" i="6" l="1"/>
  <c r="AE340" i="38"/>
  <c r="Y342" i="38"/>
  <c r="Z342" i="38"/>
  <c r="AY342" i="38" s="1"/>
  <c r="AZ342" i="38" s="1"/>
  <c r="AS343" i="38"/>
  <c r="B343" i="38"/>
  <c r="A342" i="7"/>
  <c r="AM343" i="38"/>
  <c r="D343" i="38"/>
  <c r="A344" i="38"/>
  <c r="AT342" i="38"/>
  <c r="AA341" i="38"/>
  <c r="AV341" i="38" s="1"/>
  <c r="E341" i="38" s="1"/>
  <c r="AB341" i="38"/>
  <c r="AJ341" i="38"/>
  <c r="AK341" i="38"/>
  <c r="AL341" i="38"/>
  <c r="B341" i="7"/>
  <c r="D341" i="7"/>
  <c r="C343" i="38"/>
  <c r="C342" i="7"/>
  <c r="AX343" i="38"/>
  <c r="DJ342" i="7"/>
  <c r="AE341" i="38" l="1"/>
  <c r="AO341" i="38"/>
  <c r="AO342" i="38" s="1"/>
  <c r="AO343" i="38" s="1"/>
  <c r="B344" i="38"/>
  <c r="AS344" i="38"/>
  <c r="A343" i="7"/>
  <c r="AM344" i="38"/>
  <c r="D344" i="38"/>
  <c r="A345" i="38"/>
  <c r="B341" i="6"/>
  <c r="D342" i="7"/>
  <c r="B342" i="7"/>
  <c r="AT343" i="38"/>
  <c r="Y343" i="38"/>
  <c r="Z343" i="38"/>
  <c r="AY343" i="38" s="1"/>
  <c r="AZ343" i="38" s="1"/>
  <c r="AB342" i="38"/>
  <c r="AL342" i="38"/>
  <c r="AK342" i="38"/>
  <c r="AJ342" i="38"/>
  <c r="AA342" i="38"/>
  <c r="AV342" i="38" s="1"/>
  <c r="E342" i="38" s="1"/>
  <c r="C344" i="38"/>
  <c r="C343" i="7"/>
  <c r="AX344" i="38"/>
  <c r="DJ343" i="7"/>
  <c r="AO344" i="38" l="1"/>
  <c r="AE342" i="38"/>
  <c r="B342" i="6"/>
  <c r="AL343" i="38"/>
  <c r="AK343" i="38"/>
  <c r="AJ343" i="38"/>
  <c r="AB343" i="38"/>
  <c r="AA343" i="38"/>
  <c r="AV343" i="38" s="1"/>
  <c r="E343" i="38" s="1"/>
  <c r="B345" i="38"/>
  <c r="AS345" i="38"/>
  <c r="A344" i="7"/>
  <c r="D345" i="38"/>
  <c r="AM345" i="38"/>
  <c r="A346" i="38"/>
  <c r="Z344" i="38"/>
  <c r="AY344" i="38" s="1"/>
  <c r="AZ344" i="38" s="1"/>
  <c r="Y344" i="38"/>
  <c r="B343" i="7"/>
  <c r="D343" i="7"/>
  <c r="AT344" i="38"/>
  <c r="C345" i="38"/>
  <c r="C344" i="7"/>
  <c r="DJ344" i="7"/>
  <c r="AX345" i="38"/>
  <c r="AO345" i="38" l="1"/>
  <c r="AE343" i="38"/>
  <c r="Y345" i="38"/>
  <c r="Z345" i="38"/>
  <c r="AY345" i="38" s="1"/>
  <c r="AZ345" i="38" s="1"/>
  <c r="B344" i="7"/>
  <c r="D344" i="7"/>
  <c r="AA344" i="38"/>
  <c r="AV344" i="38" s="1"/>
  <c r="E344" i="38" s="1"/>
  <c r="AK344" i="38"/>
  <c r="AJ344" i="38"/>
  <c r="AB344" i="38"/>
  <c r="AL344" i="38"/>
  <c r="B346" i="38"/>
  <c r="AS346" i="38"/>
  <c r="D346" i="38"/>
  <c r="A345" i="7"/>
  <c r="AM346" i="38"/>
  <c r="A347" i="38"/>
  <c r="AT345" i="38"/>
  <c r="B343" i="6"/>
  <c r="C346" i="38"/>
  <c r="C345" i="7"/>
  <c r="DJ345" i="7"/>
  <c r="AX346" i="38"/>
  <c r="AO346" i="38" l="1"/>
  <c r="AE344" i="38"/>
  <c r="AT346" i="38"/>
  <c r="D345" i="7"/>
  <c r="B345" i="7"/>
  <c r="B344" i="6"/>
  <c r="A348" i="38"/>
  <c r="AS347" i="38"/>
  <c r="B347" i="38"/>
  <c r="A346" i="7"/>
  <c r="D347" i="38"/>
  <c r="AM347" i="38"/>
  <c r="Z346" i="38"/>
  <c r="AY346" i="38" s="1"/>
  <c r="AZ346" i="38" s="1"/>
  <c r="Y346" i="38"/>
  <c r="AJ345" i="38"/>
  <c r="AA345" i="38"/>
  <c r="AV345" i="38" s="1"/>
  <c r="E345" i="38" s="1"/>
  <c r="AL345" i="38"/>
  <c r="AB345" i="38"/>
  <c r="AK345" i="38"/>
  <c r="C347" i="38"/>
  <c r="C346" i="7"/>
  <c r="C348" i="38"/>
  <c r="AX347" i="38"/>
  <c r="DJ346" i="7"/>
  <c r="AO347" i="38" l="1"/>
  <c r="AE345" i="38"/>
  <c r="B345" i="6"/>
  <c r="Y347" i="38"/>
  <c r="Z347" i="38"/>
  <c r="AY347" i="38" s="1"/>
  <c r="AZ347" i="38" s="1"/>
  <c r="D346" i="7"/>
  <c r="B346" i="7"/>
  <c r="AT347" i="38"/>
  <c r="AL346" i="38"/>
  <c r="AA346" i="38"/>
  <c r="AV346" i="38" s="1"/>
  <c r="E346" i="38" s="1"/>
  <c r="AK346" i="38"/>
  <c r="AB346" i="38"/>
  <c r="AJ346" i="38"/>
  <c r="B348" i="38"/>
  <c r="AS348" i="38"/>
  <c r="AM348" i="38"/>
  <c r="A349" i="38"/>
  <c r="D348" i="38"/>
  <c r="A347" i="7"/>
  <c r="C349" i="38"/>
  <c r="C347" i="7"/>
  <c r="AX348" i="38"/>
  <c r="DJ347" i="7"/>
  <c r="AO348" i="38" l="1"/>
  <c r="AE346" i="38"/>
  <c r="AS349" i="38"/>
  <c r="D349" i="38"/>
  <c r="B349" i="38"/>
  <c r="AM349" i="38"/>
  <c r="A348" i="7"/>
  <c r="A350" i="38"/>
  <c r="AT348" i="38"/>
  <c r="B346" i="6"/>
  <c r="Z348" i="38"/>
  <c r="AY348" i="38" s="1"/>
  <c r="AZ348" i="38" s="1"/>
  <c r="Y348" i="38"/>
  <c r="B347" i="7"/>
  <c r="D347" i="7"/>
  <c r="AL347" i="38"/>
  <c r="AK347" i="38"/>
  <c r="AA347" i="38"/>
  <c r="AV347" i="38" s="1"/>
  <c r="E347" i="38" s="1"/>
  <c r="AB347" i="38"/>
  <c r="AJ347" i="38"/>
  <c r="C348" i="7"/>
  <c r="DJ348" i="7"/>
  <c r="AX349" i="38"/>
  <c r="AO349" i="38" l="1"/>
  <c r="AE347" i="38"/>
  <c r="AT349" i="38"/>
  <c r="B347" i="6"/>
  <c r="B348" i="7"/>
  <c r="D348" i="7"/>
  <c r="AA348" i="38"/>
  <c r="AV348" i="38" s="1"/>
  <c r="E348" i="38" s="1"/>
  <c r="AL348" i="38"/>
  <c r="AK348" i="38"/>
  <c r="AJ348" i="38"/>
  <c r="AB348" i="38"/>
  <c r="B350" i="38"/>
  <c r="AS350" i="38"/>
  <c r="A349" i="7"/>
  <c r="D350" i="38"/>
  <c r="AO350" i="38" s="1"/>
  <c r="AM350" i="38"/>
  <c r="A351" i="38"/>
  <c r="Y349" i="38"/>
  <c r="Z349" i="38"/>
  <c r="AY349" i="38" s="1"/>
  <c r="AZ349" i="38" s="1"/>
  <c r="C350" i="38"/>
  <c r="C349" i="7"/>
  <c r="DJ349" i="7"/>
  <c r="AX350" i="38"/>
  <c r="AE348" i="38" l="1"/>
  <c r="Z350" i="38"/>
  <c r="Y350" i="38" s="1"/>
  <c r="J350" i="38" s="1"/>
  <c r="R350" i="38" s="1"/>
  <c r="B349" i="7"/>
  <c r="D349" i="7"/>
  <c r="AJ349" i="38"/>
  <c r="AK349" i="38"/>
  <c r="AB349" i="38"/>
  <c r="AL349" i="38"/>
  <c r="AA349" i="38"/>
  <c r="AV349" i="38" s="1"/>
  <c r="E349" i="38" s="1"/>
  <c r="AT350" i="38"/>
  <c r="AS351" i="38"/>
  <c r="B351" i="38"/>
  <c r="A350" i="7"/>
  <c r="D351" i="38"/>
  <c r="AO351" i="38" s="1"/>
  <c r="AM351" i="38"/>
  <c r="A352" i="38"/>
  <c r="B348" i="6"/>
  <c r="C351" i="38"/>
  <c r="C350" i="7"/>
  <c r="DJ350" i="7"/>
  <c r="AX351" i="38"/>
  <c r="AE349" i="38" l="1"/>
  <c r="T350" i="38"/>
  <c r="U350" i="38" s="1"/>
  <c r="AD350" i="38" s="1"/>
  <c r="AT351" i="38"/>
  <c r="AS352" i="38"/>
  <c r="B352" i="38"/>
  <c r="D352" i="38"/>
  <c r="AO352" i="38" s="1"/>
  <c r="A351" i="7"/>
  <c r="AM352" i="38"/>
  <c r="A353" i="38"/>
  <c r="B349" i="6"/>
  <c r="Y351" i="38"/>
  <c r="Z351" i="38"/>
  <c r="AY351" i="38" s="1"/>
  <c r="D350" i="7"/>
  <c r="B350" i="7"/>
  <c r="C351" i="7"/>
  <c r="C352" i="38"/>
  <c r="AX352" i="38"/>
  <c r="DJ351" i="7"/>
  <c r="V350" i="38" l="1"/>
  <c r="AN355" i="38"/>
  <c r="D355" i="6" s="1"/>
  <c r="AN356" i="38"/>
  <c r="D356" i="6" s="1"/>
  <c r="AN351" i="38"/>
  <c r="D351" i="6" s="1"/>
  <c r="AN358" i="38"/>
  <c r="D358" i="6" s="1"/>
  <c r="AN350" i="38"/>
  <c r="D350" i="6" s="1"/>
  <c r="AN360" i="38"/>
  <c r="D360" i="6" s="1"/>
  <c r="AN357" i="38"/>
  <c r="D357" i="6" s="1"/>
  <c r="AN352" i="38"/>
  <c r="D352" i="6" s="1"/>
  <c r="AN359" i="38"/>
  <c r="D359" i="6" s="1"/>
  <c r="AN361" i="38"/>
  <c r="D361" i="6" s="1"/>
  <c r="AN353" i="38"/>
  <c r="D353" i="6" s="1"/>
  <c r="AN354" i="38"/>
  <c r="D354" i="6" s="1"/>
  <c r="AJ351" i="38"/>
  <c r="AL351" i="38"/>
  <c r="AB351" i="38"/>
  <c r="AA351" i="38"/>
  <c r="AV351" i="38" s="1"/>
  <c r="E351" i="38" s="1"/>
  <c r="AK351" i="38"/>
  <c r="B353" i="38"/>
  <c r="AS353" i="38"/>
  <c r="A352" i="7"/>
  <c r="D353" i="38"/>
  <c r="AO353" i="38" s="1"/>
  <c r="AM353" i="38"/>
  <c r="A354" i="38"/>
  <c r="Y352" i="38"/>
  <c r="Z352" i="38"/>
  <c r="AY352" i="38" s="1"/>
  <c r="D351" i="7"/>
  <c r="B351" i="7"/>
  <c r="AT352" i="38"/>
  <c r="C353" i="38"/>
  <c r="C352" i="7"/>
  <c r="DJ352" i="7"/>
  <c r="AX353" i="38"/>
  <c r="E357" i="7" l="1"/>
  <c r="F357" i="7" s="1"/>
  <c r="AI350" i="38"/>
  <c r="AU350" i="38"/>
  <c r="E349" i="7"/>
  <c r="F349" i="7" s="1"/>
  <c r="AB350" i="38"/>
  <c r="AL350" i="38"/>
  <c r="AA350" i="38"/>
  <c r="AJ350" i="38"/>
  <c r="AK350" i="38"/>
  <c r="A355" i="38"/>
  <c r="B354" i="38"/>
  <c r="AS354" i="38"/>
  <c r="A353" i="7"/>
  <c r="D354" i="38"/>
  <c r="AO354" i="38" s="1"/>
  <c r="AM354" i="38"/>
  <c r="AT353" i="38"/>
  <c r="Z353" i="38"/>
  <c r="AY353" i="38" s="1"/>
  <c r="Y353" i="38"/>
  <c r="AB352" i="38"/>
  <c r="AA352" i="38"/>
  <c r="AV352" i="38" s="1"/>
  <c r="E352" i="38" s="1"/>
  <c r="AJ352" i="38"/>
  <c r="AL352" i="38"/>
  <c r="AK352" i="38"/>
  <c r="B352" i="7"/>
  <c r="D352" i="7"/>
  <c r="C353" i="7"/>
  <c r="C355" i="38"/>
  <c r="C354" i="38"/>
  <c r="AX354" i="38"/>
  <c r="DJ353" i="7"/>
  <c r="AV350" i="38" l="1"/>
  <c r="E350" i="38" s="1"/>
  <c r="AE350" i="38"/>
  <c r="AE351" i="38" s="1"/>
  <c r="AE352" i="38" s="1"/>
  <c r="AE353" i="38" s="1"/>
  <c r="AE354" i="38" s="1"/>
  <c r="AE355" i="38" s="1"/>
  <c r="AE356" i="38" s="1"/>
  <c r="AE357" i="38" s="1"/>
  <c r="AE358" i="38" s="1"/>
  <c r="AE359" i="38" s="1"/>
  <c r="AE360" i="38" s="1"/>
  <c r="AE361" i="38" s="1"/>
  <c r="AY350" i="38"/>
  <c r="B350" i="6"/>
  <c r="B351" i="6" s="1"/>
  <c r="B352" i="6" s="1"/>
  <c r="AZ353" i="38"/>
  <c r="Z354" i="38"/>
  <c r="AY354" i="38" s="1"/>
  <c r="AZ354" i="38" s="1"/>
  <c r="Y354" i="38"/>
  <c r="D353" i="7"/>
  <c r="B353" i="7"/>
  <c r="AT354" i="38"/>
  <c r="AJ353" i="38"/>
  <c r="AA353" i="38"/>
  <c r="AV353" i="38" s="1"/>
  <c r="E353" i="38" s="1"/>
  <c r="AB353" i="38"/>
  <c r="AK353" i="38"/>
  <c r="AL353" i="38"/>
  <c r="D355" i="38"/>
  <c r="AO355" i="38" s="1"/>
  <c r="A356" i="38"/>
  <c r="AS355" i="38"/>
  <c r="AM355" i="38"/>
  <c r="B355" i="38"/>
  <c r="A354" i="7"/>
  <c r="C356" i="38"/>
  <c r="C354" i="7"/>
  <c r="DJ354" i="7"/>
  <c r="AX355" i="38"/>
  <c r="AZ350" i="38" l="1"/>
  <c r="AZ351" i="38"/>
  <c r="AZ352" i="38"/>
  <c r="B356" i="38"/>
  <c r="D356" i="38"/>
  <c r="AO356" i="38" s="1"/>
  <c r="AS356" i="38"/>
  <c r="AM356" i="38"/>
  <c r="A355" i="7"/>
  <c r="A357" i="38"/>
  <c r="D354" i="7"/>
  <c r="B354" i="7"/>
  <c r="Z355" i="38"/>
  <c r="AY355" i="38" s="1"/>
  <c r="AZ355" i="38" s="1"/>
  <c r="Y355" i="38"/>
  <c r="AB354" i="38"/>
  <c r="AA354" i="38"/>
  <c r="AV354" i="38" s="1"/>
  <c r="E354" i="38" s="1"/>
  <c r="AJ354" i="38"/>
  <c r="AL354" i="38"/>
  <c r="AK354" i="38"/>
  <c r="AT355" i="38"/>
  <c r="B353" i="6"/>
  <c r="C355" i="7"/>
  <c r="DJ355" i="7"/>
  <c r="AX356" i="38"/>
  <c r="AT356" i="38" l="1"/>
  <c r="AL355" i="38"/>
  <c r="AJ355" i="38"/>
  <c r="AB355" i="38"/>
  <c r="AK355" i="38"/>
  <c r="AA355" i="38"/>
  <c r="AV355" i="38" s="1"/>
  <c r="E355" i="38" s="1"/>
  <c r="B355" i="7"/>
  <c r="D355" i="7"/>
  <c r="B354" i="6"/>
  <c r="Y356" i="38"/>
  <c r="Z356" i="38"/>
  <c r="AY356" i="38" s="1"/>
  <c r="AZ356" i="38" s="1"/>
  <c r="AS357" i="38"/>
  <c r="B357" i="38"/>
  <c r="A356" i="7"/>
  <c r="D357" i="38"/>
  <c r="AO357" i="38" s="1"/>
  <c r="AM357" i="38"/>
  <c r="A358" i="38"/>
  <c r="C356" i="7"/>
  <c r="C357" i="38"/>
  <c r="DJ356" i="7"/>
  <c r="AX357" i="38"/>
  <c r="B355" i="6" l="1"/>
  <c r="AT357" i="38"/>
  <c r="B356" i="7"/>
  <c r="D356" i="7"/>
  <c r="Y357" i="38"/>
  <c r="Z357" i="38"/>
  <c r="AY357" i="38" s="1"/>
  <c r="AZ357" i="38" s="1"/>
  <c r="AJ356" i="38"/>
  <c r="AA356" i="38"/>
  <c r="AV356" i="38" s="1"/>
  <c r="E356" i="38" s="1"/>
  <c r="AK356" i="38"/>
  <c r="AL356" i="38"/>
  <c r="AB356" i="38"/>
  <c r="B358" i="38"/>
  <c r="AS358" i="38"/>
  <c r="A357" i="7"/>
  <c r="D358" i="38"/>
  <c r="AO358" i="38" s="1"/>
  <c r="AM358" i="38"/>
  <c r="A359" i="38"/>
  <c r="C358" i="38"/>
  <c r="C357" i="7"/>
  <c r="DJ357" i="7"/>
  <c r="AX358" i="38"/>
  <c r="AT358" i="38" l="1"/>
  <c r="D357" i="7"/>
  <c r="B357" i="7"/>
  <c r="AA357" i="38"/>
  <c r="AV357" i="38" s="1"/>
  <c r="E357" i="38" s="1"/>
  <c r="AK357" i="38"/>
  <c r="AB357" i="38"/>
  <c r="AJ357" i="38"/>
  <c r="AL357" i="38"/>
  <c r="B356" i="6"/>
  <c r="AS359" i="38"/>
  <c r="B359" i="38"/>
  <c r="A358" i="7"/>
  <c r="D359" i="38"/>
  <c r="AO359" i="38" s="1"/>
  <c r="AM359" i="38"/>
  <c r="A360" i="38"/>
  <c r="Z358" i="38"/>
  <c r="AY358" i="38" s="1"/>
  <c r="AZ358" i="38" s="1"/>
  <c r="Y358" i="38"/>
  <c r="C358" i="7"/>
  <c r="C359" i="38"/>
  <c r="AX359" i="38"/>
  <c r="DJ358" i="7"/>
  <c r="B357" i="6" l="1"/>
  <c r="Z359" i="38"/>
  <c r="AY359" i="38" s="1"/>
  <c r="AZ359" i="38" s="1"/>
  <c r="Y359" i="38"/>
  <c r="AT359" i="38"/>
  <c r="D358" i="7"/>
  <c r="B358" i="7"/>
  <c r="AB358" i="38"/>
  <c r="AJ358" i="38"/>
  <c r="AA358" i="38"/>
  <c r="AV358" i="38" s="1"/>
  <c r="E358" i="38" s="1"/>
  <c r="AK358" i="38"/>
  <c r="AL358" i="38"/>
  <c r="AS360" i="38"/>
  <c r="B360" i="38"/>
  <c r="A359" i="7"/>
  <c r="D360" i="38"/>
  <c r="AO360" i="38" s="1"/>
  <c r="AM360" i="38"/>
  <c r="A361" i="38"/>
  <c r="C360" i="38"/>
  <c r="C359" i="7"/>
  <c r="DJ359" i="7"/>
  <c r="AX360" i="38"/>
  <c r="AT360" i="38" l="1"/>
  <c r="A362" i="38"/>
  <c r="B361" i="38"/>
  <c r="AS361" i="38"/>
  <c r="A360" i="7"/>
  <c r="D361" i="38"/>
  <c r="AO361" i="38" s="1"/>
  <c r="AM361" i="38"/>
  <c r="B358" i="6"/>
  <c r="Z360" i="38"/>
  <c r="AY360" i="38" s="1"/>
  <c r="AZ360" i="38" s="1"/>
  <c r="Y360" i="38"/>
  <c r="AL359" i="38"/>
  <c r="AK359" i="38"/>
  <c r="AA359" i="38"/>
  <c r="AV359" i="38" s="1"/>
  <c r="E359" i="38" s="1"/>
  <c r="AJ359" i="38"/>
  <c r="AB359" i="38"/>
  <c r="D359" i="7"/>
  <c r="B359" i="7"/>
  <c r="C361" i="38"/>
  <c r="C360" i="7"/>
  <c r="C362" i="38"/>
  <c r="AX361" i="38"/>
  <c r="DJ360" i="7"/>
  <c r="Z361" i="38" l="1"/>
  <c r="AY361" i="38" s="1"/>
  <c r="AZ361" i="38" s="1"/>
  <c r="Y361" i="38"/>
  <c r="AT361" i="38"/>
  <c r="AL360" i="38"/>
  <c r="AA360" i="38"/>
  <c r="AV360" i="38" s="1"/>
  <c r="E360" i="38" s="1"/>
  <c r="AJ360" i="38"/>
  <c r="AB360" i="38"/>
  <c r="AK360" i="38"/>
  <c r="B359" i="6"/>
  <c r="D360" i="7"/>
  <c r="B360" i="7"/>
  <c r="B362" i="38"/>
  <c r="A363" i="38"/>
  <c r="D362" i="38"/>
  <c r="AO362" i="38" s="1"/>
  <c r="AM362" i="38"/>
  <c r="AS362" i="38"/>
  <c r="A361" i="7"/>
  <c r="C361" i="7"/>
  <c r="C363" i="38"/>
  <c r="AX362" i="38"/>
  <c r="DJ361" i="7"/>
  <c r="B360" i="6" l="1"/>
  <c r="Y362" i="38"/>
  <c r="I362" i="38" s="1"/>
  <c r="J362" i="38" s="1"/>
  <c r="R362" i="38" s="1"/>
  <c r="Z362" i="38"/>
  <c r="D363" i="38"/>
  <c r="AO363" i="38" s="1"/>
  <c r="AS363" i="38"/>
  <c r="B363" i="38"/>
  <c r="A364" i="38"/>
  <c r="AM363" i="38"/>
  <c r="A362" i="7"/>
  <c r="D361" i="7"/>
  <c r="B361" i="7"/>
  <c r="AA361" i="38"/>
  <c r="AV361" i="38" s="1"/>
  <c r="E361" i="38" s="1"/>
  <c r="AJ361" i="38"/>
  <c r="AB361" i="38"/>
  <c r="AL361" i="38"/>
  <c r="AK361" i="38"/>
  <c r="AT362" i="38"/>
  <c r="C364" i="38"/>
  <c r="C362" i="7"/>
  <c r="DJ362" i="7"/>
  <c r="AX363" i="38"/>
  <c r="T362" i="38" l="1"/>
  <c r="U362" i="38" s="1"/>
  <c r="AD362" i="38" s="1"/>
  <c r="AT363" i="38"/>
  <c r="D362" i="7"/>
  <c r="B362" i="7"/>
  <c r="B364" i="38"/>
  <c r="AM364" i="38"/>
  <c r="D364" i="38"/>
  <c r="AO364" i="38" s="1"/>
  <c r="AS364" i="38"/>
  <c r="A365" i="38"/>
  <c r="A363" i="7"/>
  <c r="B361" i="6"/>
  <c r="Y363" i="38"/>
  <c r="Z363" i="38"/>
  <c r="AY363" i="38" s="1"/>
  <c r="C363" i="7"/>
  <c r="C365" i="38"/>
  <c r="DJ363" i="7"/>
  <c r="AX364" i="38"/>
  <c r="V362" i="38" l="1"/>
  <c r="AN363" i="38"/>
  <c r="D363" i="6" s="1"/>
  <c r="AN371" i="38"/>
  <c r="D371" i="6" s="1"/>
  <c r="AN366" i="38"/>
  <c r="D366" i="6" s="1"/>
  <c r="AN372" i="38"/>
  <c r="D372" i="6" s="1"/>
  <c r="AN369" i="38"/>
  <c r="D369" i="6" s="1"/>
  <c r="AN362" i="38"/>
  <c r="D362" i="6" s="1"/>
  <c r="AN368" i="38"/>
  <c r="D368" i="6" s="1"/>
  <c r="AN367" i="38"/>
  <c r="D367" i="6" s="1"/>
  <c r="AN365" i="38"/>
  <c r="D365" i="6" s="1"/>
  <c r="AN364" i="38"/>
  <c r="D364" i="6" s="1"/>
  <c r="AD377" i="38"/>
  <c r="AN370" i="38"/>
  <c r="D370" i="6" s="1"/>
  <c r="AN373" i="38"/>
  <c r="D373" i="6" s="1"/>
  <c r="AD374" i="38"/>
  <c r="AT364" i="38"/>
  <c r="AS365" i="38"/>
  <c r="AM365" i="38"/>
  <c r="D365" i="38"/>
  <c r="AO365" i="38" s="1"/>
  <c r="B365" i="38"/>
  <c r="A364" i="7"/>
  <c r="A366" i="38"/>
  <c r="AA363" i="38"/>
  <c r="AV363" i="38" s="1"/>
  <c r="E363" i="38" s="1"/>
  <c r="AJ363" i="38"/>
  <c r="AL363" i="38"/>
  <c r="AB363" i="38"/>
  <c r="AK363" i="38"/>
  <c r="B363" i="7"/>
  <c r="D363" i="7"/>
  <c r="Z364" i="38"/>
  <c r="AY364" i="38" s="1"/>
  <c r="Y364" i="38"/>
  <c r="C364" i="7"/>
  <c r="DJ364" i="7"/>
  <c r="AX365" i="38"/>
  <c r="AU362" i="38" l="1"/>
  <c r="E361" i="7"/>
  <c r="AI362" i="38"/>
  <c r="AI374" i="38" s="1"/>
  <c r="V377" i="38"/>
  <c r="A382" i="38" s="1"/>
  <c r="V374" i="38"/>
  <c r="AA362" i="38"/>
  <c r="AK362" i="38"/>
  <c r="AB362" i="38"/>
  <c r="AL362" i="38"/>
  <c r="AJ362" i="38"/>
  <c r="AT365" i="38"/>
  <c r="D364" i="7"/>
  <c r="B364" i="7"/>
  <c r="B366" i="38"/>
  <c r="AS366" i="38"/>
  <c r="A365" i="7"/>
  <c r="D366" i="38"/>
  <c r="AO366" i="38" s="1"/>
  <c r="AM366" i="38"/>
  <c r="A367" i="38"/>
  <c r="AB364" i="38"/>
  <c r="AL364" i="38"/>
  <c r="AK364" i="38"/>
  <c r="AA364" i="38"/>
  <c r="AV364" i="38" s="1"/>
  <c r="E364" i="38" s="1"/>
  <c r="AJ364" i="38"/>
  <c r="Z365" i="38"/>
  <c r="AY365" i="38" s="1"/>
  <c r="Y365" i="38"/>
  <c r="C366" i="38"/>
  <c r="C365" i="7"/>
  <c r="AX366" i="38"/>
  <c r="DJ365" i="7"/>
  <c r="AV362" i="38" l="1"/>
  <c r="E362" i="38" s="1"/>
  <c r="AE362" i="38"/>
  <c r="AY362" i="38"/>
  <c r="B362" i="6"/>
  <c r="B363" i="6" s="1"/>
  <c r="B364" i="6" s="1"/>
  <c r="F361" i="7"/>
  <c r="F374" i="7" s="1"/>
  <c r="E374" i="7"/>
  <c r="Z366" i="38"/>
  <c r="AY366" i="38" s="1"/>
  <c r="AZ366" i="38" s="1"/>
  <c r="Y366" i="38"/>
  <c r="D365" i="7"/>
  <c r="B365" i="7"/>
  <c r="AS367" i="38"/>
  <c r="B367" i="38"/>
  <c r="A366" i="7"/>
  <c r="D367" i="38"/>
  <c r="AO367" i="38" s="1"/>
  <c r="AM367" i="38"/>
  <c r="A368" i="38"/>
  <c r="AT366" i="38"/>
  <c r="AA365" i="38"/>
  <c r="AV365" i="38" s="1"/>
  <c r="E365" i="38" s="1"/>
  <c r="AJ365" i="38"/>
  <c r="AB365" i="38"/>
  <c r="AL365" i="38"/>
  <c r="AK365" i="38"/>
  <c r="C366" i="7"/>
  <c r="C367" i="38"/>
  <c r="DJ366" i="7"/>
  <c r="AX367" i="38"/>
  <c r="AZ362" i="38" l="1"/>
  <c r="AZ363" i="38"/>
  <c r="AZ364" i="38"/>
  <c r="AZ365" i="38"/>
  <c r="A369" i="38"/>
  <c r="AS368" i="38"/>
  <c r="B368" i="38"/>
  <c r="A367" i="7"/>
  <c r="D368" i="38"/>
  <c r="AO368" i="38" s="1"/>
  <c r="AM368" i="38"/>
  <c r="D366" i="7"/>
  <c r="B366" i="7"/>
  <c r="AT367" i="38"/>
  <c r="AK366" i="38"/>
  <c r="AL366" i="38"/>
  <c r="AJ366" i="38"/>
  <c r="AB366" i="38"/>
  <c r="AA366" i="38"/>
  <c r="AV366" i="38" s="1"/>
  <c r="E366" i="38" s="1"/>
  <c r="Y367" i="38"/>
  <c r="Z367" i="38"/>
  <c r="AY367" i="38" s="1"/>
  <c r="AZ367" i="38" s="1"/>
  <c r="B365" i="6"/>
  <c r="C369" i="38"/>
  <c r="C367" i="7"/>
  <c r="C368" i="38"/>
  <c r="DJ367" i="7"/>
  <c r="AX368" i="38"/>
  <c r="B366" i="6" l="1"/>
  <c r="Y368" i="38"/>
  <c r="Z368" i="38"/>
  <c r="AY368" i="38" s="1"/>
  <c r="AZ368" i="38" s="1"/>
  <c r="B367" i="7"/>
  <c r="D367" i="7"/>
  <c r="AJ367" i="38"/>
  <c r="AL367" i="38"/>
  <c r="AB367" i="38"/>
  <c r="AA367" i="38"/>
  <c r="AV367" i="38" s="1"/>
  <c r="E367" i="38" s="1"/>
  <c r="AK367" i="38"/>
  <c r="AT368" i="38"/>
  <c r="A370" i="38"/>
  <c r="B369" i="38"/>
  <c r="AM369" i="38"/>
  <c r="AS369" i="38"/>
  <c r="D369" i="38"/>
  <c r="AO369" i="38" s="1"/>
  <c r="A368" i="7"/>
  <c r="C368" i="7"/>
  <c r="C370" i="38"/>
  <c r="AX369" i="38"/>
  <c r="DJ368" i="7"/>
  <c r="Y369" i="38" l="1"/>
  <c r="Z369" i="38"/>
  <c r="AY369" i="38" s="1"/>
  <c r="AZ369" i="38" s="1"/>
  <c r="B370" i="38"/>
  <c r="D370" i="38"/>
  <c r="AO370" i="38" s="1"/>
  <c r="AS370" i="38"/>
  <c r="AM370" i="38"/>
  <c r="A369" i="7"/>
  <c r="A371" i="38"/>
  <c r="D368" i="7"/>
  <c r="B368" i="7"/>
  <c r="B367" i="6"/>
  <c r="AT369" i="38"/>
  <c r="AL368" i="38"/>
  <c r="AJ368" i="38"/>
  <c r="AB368" i="38"/>
  <c r="AK368" i="38"/>
  <c r="AA368" i="38"/>
  <c r="AV368" i="38" s="1"/>
  <c r="E368" i="38" s="1"/>
  <c r="C369" i="7"/>
  <c r="DJ369" i="7"/>
  <c r="AX370" i="38"/>
  <c r="AT370" i="38" l="1"/>
  <c r="B368" i="6"/>
  <c r="Y370" i="38"/>
  <c r="Z370" i="38"/>
  <c r="AY370" i="38" s="1"/>
  <c r="AZ370" i="38" s="1"/>
  <c r="B369" i="7"/>
  <c r="D369" i="7"/>
  <c r="AS371" i="38"/>
  <c r="B371" i="38"/>
  <c r="D371" i="38"/>
  <c r="AO371" i="38" s="1"/>
  <c r="A370" i="7"/>
  <c r="A372" i="38"/>
  <c r="AM371" i="38"/>
  <c r="AJ369" i="38"/>
  <c r="AK369" i="38"/>
  <c r="AL369" i="38"/>
  <c r="AA369" i="38"/>
  <c r="AV369" i="38" s="1"/>
  <c r="E369" i="38" s="1"/>
  <c r="AB369" i="38"/>
  <c r="C371" i="38"/>
  <c r="AX371" i="38"/>
  <c r="DJ370" i="7"/>
  <c r="AT371" i="38" l="1"/>
  <c r="B369" i="6"/>
  <c r="Z371" i="38"/>
  <c r="AY371" i="38" s="1"/>
  <c r="AZ371" i="38" s="1"/>
  <c r="Y371" i="38"/>
  <c r="D370" i="7"/>
  <c r="B370" i="7"/>
  <c r="AT372" i="38"/>
  <c r="C372" i="38"/>
  <c r="B372" i="38"/>
  <c r="AS372" i="38"/>
  <c r="A371" i="7"/>
  <c r="D372" i="38"/>
  <c r="AO372" i="38" s="1"/>
  <c r="A373" i="38"/>
  <c r="AM372" i="38"/>
  <c r="AB370" i="38"/>
  <c r="AK370" i="38"/>
  <c r="AL370" i="38"/>
  <c r="AA370" i="38"/>
  <c r="AV370" i="38" s="1"/>
  <c r="E370" i="38" s="1"/>
  <c r="AJ370" i="38"/>
  <c r="C370" i="7"/>
  <c r="AX372" i="38"/>
  <c r="DJ371" i="7"/>
  <c r="B370" i="6" l="1"/>
  <c r="A372" i="7"/>
  <c r="B373" i="38"/>
  <c r="AS373" i="38"/>
  <c r="C373" i="38"/>
  <c r="AT373" i="38"/>
  <c r="AM373" i="38"/>
  <c r="D373" i="38"/>
  <c r="C3" i="38"/>
  <c r="Y372" i="38"/>
  <c r="Z372" i="38"/>
  <c r="AY372" i="38" s="1"/>
  <c r="AZ372" i="38" s="1"/>
  <c r="B371" i="7"/>
  <c r="D371" i="7"/>
  <c r="C371" i="7"/>
  <c r="AB371" i="38"/>
  <c r="AL371" i="38"/>
  <c r="AJ371" i="38"/>
  <c r="AK371" i="38"/>
  <c r="AA371" i="38"/>
  <c r="AV371" i="38" s="1"/>
  <c r="E371" i="38" s="1"/>
  <c r="AX373" i="38"/>
  <c r="DJ372" i="7"/>
  <c r="I41" i="49" l="1"/>
  <c r="H25" i="49"/>
  <c r="K41" i="49"/>
  <c r="I46" i="49"/>
  <c r="G37" i="49"/>
  <c r="K49" i="49"/>
  <c r="H40" i="49"/>
  <c r="H26" i="49"/>
  <c r="H29" i="49"/>
  <c r="K29" i="49"/>
  <c r="G49" i="49"/>
  <c r="F33" i="49"/>
  <c r="I47" i="49"/>
  <c r="J34" i="49"/>
  <c r="G30" i="49"/>
  <c r="I38" i="49"/>
  <c r="J25" i="49"/>
  <c r="G39" i="49"/>
  <c r="G38" i="49"/>
  <c r="I32" i="49"/>
  <c r="K42" i="49"/>
  <c r="F27" i="49"/>
  <c r="I27" i="49"/>
  <c r="I25" i="49"/>
  <c r="H30" i="49"/>
  <c r="G46" i="49"/>
  <c r="H45" i="49"/>
  <c r="K45" i="49"/>
  <c r="G44" i="49"/>
  <c r="J29" i="49"/>
  <c r="K38" i="49"/>
  <c r="F25" i="49"/>
  <c r="J28" i="49"/>
  <c r="I40" i="49"/>
  <c r="M48" i="49"/>
  <c r="L25" i="49"/>
  <c r="I45" i="49"/>
  <c r="G34" i="49"/>
  <c r="J42" i="49"/>
  <c r="H35" i="49"/>
  <c r="K33" i="49"/>
  <c r="J36" i="49"/>
  <c r="I43" i="49"/>
  <c r="I31" i="49"/>
  <c r="K44" i="49"/>
  <c r="H49" i="49"/>
  <c r="H47" i="49"/>
  <c r="J32" i="49"/>
  <c r="I28" i="49"/>
  <c r="F38" i="49"/>
  <c r="J47" i="49"/>
  <c r="K48" i="49"/>
  <c r="I35" i="49"/>
  <c r="J39" i="49"/>
  <c r="J30" i="49"/>
  <c r="H44" i="49"/>
  <c r="F41" i="49"/>
  <c r="H36" i="49"/>
  <c r="G33" i="49"/>
  <c r="K31" i="49"/>
  <c r="J49" i="49"/>
  <c r="K28" i="49"/>
  <c r="N47" i="49"/>
  <c r="H28" i="49"/>
  <c r="K37" i="49"/>
  <c r="K43" i="49"/>
  <c r="N37" i="49"/>
  <c r="G26" i="49"/>
  <c r="F42" i="49"/>
  <c r="F44" i="49"/>
  <c r="J33" i="49"/>
  <c r="F36" i="49"/>
  <c r="K26" i="49"/>
  <c r="F48" i="49"/>
  <c r="J43" i="49"/>
  <c r="H42" i="49"/>
  <c r="F35" i="49"/>
  <c r="J41" i="49"/>
  <c r="H46" i="49"/>
  <c r="H31" i="49"/>
  <c r="J35" i="49"/>
  <c r="I39" i="49"/>
  <c r="G28" i="49"/>
  <c r="N27" i="49"/>
  <c r="P27" i="49"/>
  <c r="J31" i="49"/>
  <c r="F31" i="49"/>
  <c r="I26" i="49"/>
  <c r="P31" i="49"/>
  <c r="F29" i="49"/>
  <c r="G41" i="49"/>
  <c r="G48" i="49"/>
  <c r="L46" i="49"/>
  <c r="G42" i="49"/>
  <c r="K25" i="49"/>
  <c r="H33" i="49"/>
  <c r="M47" i="49"/>
  <c r="O47" i="49"/>
  <c r="L39" i="49"/>
  <c r="F30" i="49"/>
  <c r="I29" i="49"/>
  <c r="J44" i="49"/>
  <c r="P45" i="49"/>
  <c r="J46" i="49"/>
  <c r="H27" i="49"/>
  <c r="K46" i="49"/>
  <c r="K36" i="49"/>
  <c r="N42" i="49"/>
  <c r="F34" i="49"/>
  <c r="G32" i="49"/>
  <c r="N38" i="49"/>
  <c r="G31" i="49"/>
  <c r="L28" i="49"/>
  <c r="N35" i="49"/>
  <c r="L37" i="49"/>
  <c r="I44" i="49"/>
  <c r="F40" i="49"/>
  <c r="L49" i="49"/>
  <c r="F37" i="49"/>
  <c r="N28" i="49"/>
  <c r="F47" i="49"/>
  <c r="N32" i="49"/>
  <c r="I30" i="49"/>
  <c r="J27" i="49"/>
  <c r="G36" i="49"/>
  <c r="P47" i="49"/>
  <c r="G25" i="49"/>
  <c r="M31" i="49"/>
  <c r="L36" i="49"/>
  <c r="H37" i="49"/>
  <c r="F43" i="49"/>
  <c r="H38" i="49"/>
  <c r="G29" i="49"/>
  <c r="P44" i="49"/>
  <c r="M34" i="49"/>
  <c r="F26" i="49"/>
  <c r="G40" i="49"/>
  <c r="P49" i="49"/>
  <c r="I33" i="49"/>
  <c r="O34" i="49"/>
  <c r="N26" i="49"/>
  <c r="F49" i="49"/>
  <c r="N31" i="49"/>
  <c r="O38" i="49"/>
  <c r="G43" i="49"/>
  <c r="K35" i="49"/>
  <c r="H39" i="49"/>
  <c r="F28" i="49"/>
  <c r="G35" i="49"/>
  <c r="J48" i="49"/>
  <c r="F46" i="49"/>
  <c r="L48" i="49"/>
  <c r="H48" i="49"/>
  <c r="K27" i="49"/>
  <c r="M41" i="49"/>
  <c r="G45" i="49"/>
  <c r="J45" i="49"/>
  <c r="O30" i="49"/>
  <c r="J37" i="49"/>
  <c r="L42" i="49"/>
  <c r="J26" i="49"/>
  <c r="M26" i="49"/>
  <c r="J38" i="49"/>
  <c r="F32" i="49"/>
  <c r="I36" i="49"/>
  <c r="H32" i="49"/>
  <c r="H41" i="49"/>
  <c r="I34" i="49"/>
  <c r="K34" i="49"/>
  <c r="K40" i="49"/>
  <c r="N30" i="49"/>
  <c r="K30" i="49"/>
  <c r="K39" i="49"/>
  <c r="K32" i="49"/>
  <c r="M45" i="49"/>
  <c r="L31" i="49"/>
  <c r="I49" i="49"/>
  <c r="F39" i="49"/>
  <c r="P28" i="49"/>
  <c r="H34" i="49"/>
  <c r="G47" i="49"/>
  <c r="P37" i="49"/>
  <c r="I37" i="49"/>
  <c r="O33" i="49"/>
  <c r="N39" i="49"/>
  <c r="N40" i="49"/>
  <c r="O37" i="49"/>
  <c r="L38" i="49"/>
  <c r="F45" i="49"/>
  <c r="P42" i="49"/>
  <c r="M37" i="49"/>
  <c r="O48" i="49"/>
  <c r="O49" i="49"/>
  <c r="O36" i="49"/>
  <c r="P40" i="49"/>
  <c r="P39" i="49"/>
  <c r="K47" i="49"/>
  <c r="H43" i="49"/>
  <c r="M43" i="49"/>
  <c r="M49" i="49"/>
  <c r="O31" i="49"/>
  <c r="N34" i="49"/>
  <c r="I48" i="49"/>
  <c r="P25" i="49"/>
  <c r="P41" i="49"/>
  <c r="O46" i="49"/>
  <c r="N36" i="49"/>
  <c r="O32" i="49"/>
  <c r="O28" i="49"/>
  <c r="O29" i="49"/>
  <c r="L35" i="49"/>
  <c r="I42" i="49"/>
  <c r="N48" i="49"/>
  <c r="N43" i="49"/>
  <c r="L43" i="49"/>
  <c r="P30" i="49"/>
  <c r="P33" i="49"/>
  <c r="L34" i="49"/>
  <c r="P26" i="49"/>
  <c r="L29" i="49"/>
  <c r="M35" i="49"/>
  <c r="O43" i="49"/>
  <c r="M42" i="49"/>
  <c r="M25" i="49"/>
  <c r="O42" i="49"/>
  <c r="N41" i="49"/>
  <c r="G27" i="49"/>
  <c r="J40" i="49"/>
  <c r="P48" i="49"/>
  <c r="M28" i="49"/>
  <c r="N25" i="49"/>
  <c r="L27" i="49"/>
  <c r="P46" i="49"/>
  <c r="M32" i="49"/>
  <c r="O45" i="49"/>
  <c r="N33" i="49"/>
  <c r="P38" i="49"/>
  <c r="P35" i="49"/>
  <c r="L26" i="49"/>
  <c r="M27" i="49"/>
  <c r="O27" i="49"/>
  <c r="L30" i="49"/>
  <c r="M39" i="49"/>
  <c r="N49" i="49"/>
  <c r="O26" i="49"/>
  <c r="O40" i="49"/>
  <c r="M46" i="49"/>
  <c r="O44" i="49"/>
  <c r="P29" i="49"/>
  <c r="P43" i="49"/>
  <c r="L45" i="49"/>
  <c r="L47" i="49"/>
  <c r="L33" i="49"/>
  <c r="O25" i="49"/>
  <c r="M44" i="49"/>
  <c r="L32" i="49"/>
  <c r="M29" i="49"/>
  <c r="M38" i="49"/>
  <c r="L44" i="49"/>
  <c r="N44" i="49"/>
  <c r="L41" i="49"/>
  <c r="M36" i="49"/>
  <c r="M40" i="49"/>
  <c r="N29" i="49"/>
  <c r="P32" i="49"/>
  <c r="M33" i="49"/>
  <c r="O41" i="49"/>
  <c r="N45" i="49"/>
  <c r="M30" i="49"/>
  <c r="N46" i="49"/>
  <c r="L40" i="49"/>
  <c r="O35" i="49"/>
  <c r="O39" i="49"/>
  <c r="P36" i="49"/>
  <c r="P34" i="49"/>
  <c r="B371" i="6"/>
  <c r="AO373" i="38"/>
  <c r="P15" i="47"/>
  <c r="J11" i="47"/>
  <c r="O13" i="47"/>
  <c r="Q12" i="47"/>
  <c r="N11" i="47"/>
  <c r="K11" i="47"/>
  <c r="R9" i="47"/>
  <c r="R14" i="47"/>
  <c r="J13" i="47"/>
  <c r="K13" i="47"/>
  <c r="P14" i="47"/>
  <c r="P6" i="47"/>
  <c r="R15" i="47"/>
  <c r="Q16" i="47"/>
  <c r="R17" i="47"/>
  <c r="F7" i="47"/>
  <c r="P13" i="47"/>
  <c r="J10" i="47"/>
  <c r="O6" i="47"/>
  <c r="J6" i="47"/>
  <c r="E17" i="47"/>
  <c r="D17" i="47" s="1"/>
  <c r="N10" i="47"/>
  <c r="O8" i="47"/>
  <c r="Q6" i="47"/>
  <c r="R7" i="47"/>
  <c r="Q8" i="47"/>
  <c r="O9" i="47"/>
  <c r="P11" i="47"/>
  <c r="J9" i="47"/>
  <c r="Q15" i="47"/>
  <c r="P8" i="47"/>
  <c r="Q9" i="47"/>
  <c r="Q10" i="47"/>
  <c r="P12" i="47"/>
  <c r="O17" i="47"/>
  <c r="R12" i="47"/>
  <c r="Q7" i="47"/>
  <c r="C11" i="47"/>
  <c r="N15" i="47"/>
  <c r="O7" i="47"/>
  <c r="Q13" i="47"/>
  <c r="Q11" i="47"/>
  <c r="E16" i="47"/>
  <c r="D16" i="47" s="1"/>
  <c r="Q14" i="47"/>
  <c r="Q17" i="47"/>
  <c r="P17" i="47"/>
  <c r="R10" i="47"/>
  <c r="C15" i="47"/>
  <c r="R11" i="47"/>
  <c r="R6" i="47"/>
  <c r="P16" i="47"/>
  <c r="E12" i="47"/>
  <c r="D12" i="47" s="1"/>
  <c r="O10" i="47"/>
  <c r="R16" i="47"/>
  <c r="F12" i="47"/>
  <c r="J14" i="47"/>
  <c r="P7" i="47"/>
  <c r="C14" i="47"/>
  <c r="O12" i="47"/>
  <c r="R8" i="47"/>
  <c r="K16" i="47"/>
  <c r="C12" i="47"/>
  <c r="F15" i="47"/>
  <c r="E14" i="47"/>
  <c r="D14" i="47" s="1"/>
  <c r="E13" i="47"/>
  <c r="D13" i="47" s="1"/>
  <c r="E9" i="47"/>
  <c r="D9" i="47" s="1"/>
  <c r="J42" i="48"/>
  <c r="J43" i="48" s="1"/>
  <c r="K9" i="47"/>
  <c r="E15" i="47"/>
  <c r="D15" i="47" s="1"/>
  <c r="N14" i="47"/>
  <c r="F13" i="47"/>
  <c r="J16" i="47"/>
  <c r="K17" i="47"/>
  <c r="C17" i="47"/>
  <c r="E6" i="47"/>
  <c r="K10" i="47"/>
  <c r="O14" i="47"/>
  <c r="N8" i="47"/>
  <c r="O11" i="47"/>
  <c r="N6" i="47"/>
  <c r="J40" i="48"/>
  <c r="J17" i="47"/>
  <c r="A41" i="48"/>
  <c r="J12" i="47"/>
  <c r="K12" i="47"/>
  <c r="P10" i="47"/>
  <c r="J15" i="47"/>
  <c r="N16" i="47"/>
  <c r="E7" i="47"/>
  <c r="D7" i="47" s="1"/>
  <c r="F10" i="47"/>
  <c r="N7" i="47"/>
  <c r="K6" i="47"/>
  <c r="N12" i="47"/>
  <c r="F11" i="47"/>
  <c r="N17" i="47"/>
  <c r="J7" i="47"/>
  <c r="F14" i="47"/>
  <c r="C8" i="47"/>
  <c r="E10" i="47"/>
  <c r="D10" i="47" s="1"/>
  <c r="K15" i="47"/>
  <c r="F16" i="47"/>
  <c r="N13" i="47"/>
  <c r="C9" i="47"/>
  <c r="P9" i="47"/>
  <c r="C13" i="47"/>
  <c r="N9" i="47"/>
  <c r="F9" i="47"/>
  <c r="C7" i="47"/>
  <c r="K8" i="47"/>
  <c r="J8" i="47"/>
  <c r="C10" i="47"/>
  <c r="F17" i="47"/>
  <c r="C16" i="47"/>
  <c r="O16" i="47"/>
  <c r="E8" i="47"/>
  <c r="D8" i="47" s="1"/>
  <c r="R13" i="47"/>
  <c r="K14" i="47"/>
  <c r="E11" i="47"/>
  <c r="D11" i="47" s="1"/>
  <c r="K7" i="47"/>
  <c r="F8" i="47"/>
  <c r="O15" i="47"/>
  <c r="D1" i="7"/>
  <c r="C3" i="47"/>
  <c r="AL372" i="38"/>
  <c r="AJ372" i="38"/>
  <c r="AK372" i="38"/>
  <c r="AB372" i="38"/>
  <c r="AA372" i="38"/>
  <c r="AV372" i="38" s="1"/>
  <c r="E372" i="38" s="1"/>
  <c r="Y373" i="38"/>
  <c r="Z373" i="38"/>
  <c r="AY373" i="38" s="1"/>
  <c r="AZ373" i="38" s="1"/>
  <c r="A385" i="38"/>
  <c r="A384" i="38"/>
  <c r="A383" i="38"/>
  <c r="B372" i="7"/>
  <c r="D372" i="7"/>
  <c r="C372" i="7"/>
  <c r="I11" i="49"/>
  <c r="L19" i="49"/>
  <c r="H4" i="49"/>
  <c r="F10" i="49"/>
  <c r="L21" i="49"/>
  <c r="F23" i="49"/>
  <c r="H6" i="49"/>
  <c r="F22" i="49"/>
  <c r="P15" i="49"/>
  <c r="K8" i="49"/>
  <c r="H9" i="49"/>
  <c r="I19" i="49"/>
  <c r="M12" i="49"/>
  <c r="G14" i="49"/>
  <c r="G5" i="49"/>
  <c r="I12" i="49"/>
  <c r="P17" i="49"/>
  <c r="F17" i="49"/>
  <c r="H13" i="49"/>
  <c r="O14" i="49"/>
  <c r="H14" i="49"/>
  <c r="M24" i="49"/>
  <c r="N11" i="49"/>
  <c r="P10" i="49"/>
  <c r="O20" i="49"/>
  <c r="O23" i="49"/>
  <c r="G21" i="49"/>
  <c r="P4" i="49"/>
  <c r="M22" i="49"/>
  <c r="J13" i="49"/>
  <c r="L13" i="49"/>
  <c r="N20" i="49"/>
  <c r="K23" i="49"/>
  <c r="K10" i="49"/>
  <c r="P16" i="49"/>
  <c r="J7" i="49"/>
  <c r="G22" i="49"/>
  <c r="O4" i="49"/>
  <c r="I20" i="49"/>
  <c r="I21" i="49"/>
  <c r="G11" i="49"/>
  <c r="J9" i="49"/>
  <c r="K19" i="49"/>
  <c r="H15" i="49"/>
  <c r="K9" i="49"/>
  <c r="P5" i="49"/>
  <c r="O21" i="49"/>
  <c r="N15" i="49"/>
  <c r="I17" i="49"/>
  <c r="N10" i="49"/>
  <c r="H7" i="49"/>
  <c r="J4" i="49"/>
  <c r="N24" i="49"/>
  <c r="L24" i="49"/>
  <c r="J14" i="49"/>
  <c r="I18" i="49"/>
  <c r="M11" i="49"/>
  <c r="N22" i="49"/>
  <c r="O18" i="49"/>
  <c r="F11" i="49"/>
  <c r="H19" i="49"/>
  <c r="N6" i="49"/>
  <c r="L8" i="49"/>
  <c r="F14" i="49"/>
  <c r="L5" i="49"/>
  <c r="F15" i="49"/>
  <c r="K11" i="49"/>
  <c r="J23" i="49"/>
  <c r="H17" i="49"/>
  <c r="I6" i="49"/>
  <c r="O12" i="49"/>
  <c r="K24" i="49"/>
  <c r="F13" i="49"/>
  <c r="I16" i="49"/>
  <c r="M15" i="49"/>
  <c r="P24" i="49"/>
  <c r="K16" i="49"/>
  <c r="H8" i="49"/>
  <c r="J16" i="49"/>
  <c r="O6" i="49"/>
  <c r="P13" i="49"/>
  <c r="H12" i="49"/>
  <c r="G20" i="49"/>
  <c r="G19" i="49"/>
  <c r="L11" i="49"/>
  <c r="F20" i="49"/>
  <c r="H24" i="49"/>
  <c r="K6" i="49"/>
  <c r="L22" i="49"/>
  <c r="J22" i="49"/>
  <c r="L23" i="49"/>
  <c r="G13" i="49"/>
  <c r="L6" i="49"/>
  <c r="P22" i="49"/>
  <c r="O15" i="49"/>
  <c r="I7" i="49"/>
  <c r="O11" i="49"/>
  <c r="F21" i="49"/>
  <c r="I15" i="49"/>
  <c r="N8" i="49"/>
  <c r="M10" i="49"/>
  <c r="N16" i="49"/>
  <c r="K4" i="49"/>
  <c r="I10" i="49"/>
  <c r="G4" i="49"/>
  <c r="J5" i="49"/>
  <c r="J10" i="49"/>
  <c r="I22" i="49"/>
  <c r="N5" i="49"/>
  <c r="N19" i="49"/>
  <c r="M9" i="49"/>
  <c r="J8" i="49"/>
  <c r="M23" i="49"/>
  <c r="I8" i="49"/>
  <c r="J18" i="49"/>
  <c r="F24" i="49"/>
  <c r="M5" i="49"/>
  <c r="L18" i="49"/>
  <c r="J11" i="49"/>
  <c r="O5" i="49"/>
  <c r="P18" i="49"/>
  <c r="N18" i="49"/>
  <c r="J6" i="49"/>
  <c r="J24" i="49"/>
  <c r="L15" i="49"/>
  <c r="J12" i="49"/>
  <c r="M16" i="49"/>
  <c r="M20" i="49"/>
  <c r="F18" i="49"/>
  <c r="F5" i="49"/>
  <c r="N17" i="49"/>
  <c r="G8" i="49"/>
  <c r="O13" i="49"/>
  <c r="F4" i="49"/>
  <c r="G7" i="49"/>
  <c r="N14" i="49"/>
  <c r="N21" i="49"/>
  <c r="O16" i="49"/>
  <c r="H5" i="49"/>
  <c r="L4" i="49"/>
  <c r="F9" i="49"/>
  <c r="F12" i="49"/>
  <c r="I23" i="49"/>
  <c r="H18" i="49"/>
  <c r="M19" i="49"/>
  <c r="J15" i="49"/>
  <c r="N23" i="49"/>
  <c r="P23" i="49"/>
  <c r="P14" i="49"/>
  <c r="N9" i="49"/>
  <c r="M13" i="49"/>
  <c r="I5" i="49"/>
  <c r="K18" i="49"/>
  <c r="H23" i="49"/>
  <c r="F19" i="49"/>
  <c r="K17" i="49"/>
  <c r="L12" i="49"/>
  <c r="I4" i="49"/>
  <c r="G23" i="49"/>
  <c r="G18" i="49"/>
  <c r="G24" i="49"/>
  <c r="L10" i="49"/>
  <c r="K12" i="49"/>
  <c r="K20" i="49"/>
  <c r="P12" i="49"/>
  <c r="O9" i="49"/>
  <c r="N13" i="49"/>
  <c r="H21" i="49"/>
  <c r="O22" i="49"/>
  <c r="K14" i="49"/>
  <c r="L14" i="49"/>
  <c r="I14" i="49"/>
  <c r="M17" i="49"/>
  <c r="I9" i="49"/>
  <c r="M18" i="49"/>
  <c r="L9" i="49"/>
  <c r="J21" i="49"/>
  <c r="M7" i="49"/>
  <c r="J20" i="49"/>
  <c r="P20" i="49"/>
  <c r="G16" i="49"/>
  <c r="P7" i="49"/>
  <c r="F7" i="49"/>
  <c r="I24" i="49"/>
  <c r="F6" i="49"/>
  <c r="H20" i="49"/>
  <c r="K21" i="49"/>
  <c r="L7" i="49"/>
  <c r="P6" i="49"/>
  <c r="N12" i="49"/>
  <c r="F8" i="49"/>
  <c r="H10" i="49"/>
  <c r="K13" i="49"/>
  <c r="G15" i="49"/>
  <c r="J17" i="49"/>
  <c r="M4" i="49"/>
  <c r="H22" i="49"/>
  <c r="N4" i="49"/>
  <c r="G17" i="49"/>
  <c r="G9" i="49"/>
  <c r="H11" i="49"/>
  <c r="G6" i="49"/>
  <c r="O7" i="49"/>
  <c r="G10" i="49"/>
  <c r="P19" i="49"/>
  <c r="L20" i="49"/>
  <c r="O24" i="49"/>
  <c r="J19" i="49"/>
  <c r="M8" i="49"/>
  <c r="L16" i="49"/>
  <c r="I13" i="49"/>
  <c r="K15" i="49"/>
  <c r="M6" i="49"/>
  <c r="P21" i="49"/>
  <c r="O10" i="49"/>
  <c r="O17" i="49"/>
  <c r="M14" i="49"/>
  <c r="K7" i="49"/>
  <c r="P11" i="49"/>
  <c r="P8" i="49"/>
  <c r="P9" i="49"/>
  <c r="L17" i="49"/>
  <c r="H16" i="49"/>
  <c r="O8" i="49"/>
  <c r="M21" i="49"/>
  <c r="K22" i="49"/>
  <c r="O19" i="49"/>
  <c r="K5" i="49"/>
  <c r="N7" i="49"/>
  <c r="F16" i="49"/>
  <c r="G12" i="49"/>
  <c r="H59" i="49" l="1"/>
  <c r="M59" i="49"/>
  <c r="I59" i="49"/>
  <c r="L59" i="49"/>
  <c r="O59" i="49"/>
  <c r="K59" i="49"/>
  <c r="F59" i="49"/>
  <c r="G59" i="49"/>
  <c r="P59" i="49"/>
  <c r="N59" i="49"/>
  <c r="J59" i="49"/>
  <c r="R44" i="49"/>
  <c r="R34" i="49"/>
  <c r="R35" i="49"/>
  <c r="R38" i="49"/>
  <c r="R45" i="49"/>
  <c r="R32" i="49"/>
  <c r="R39" i="49"/>
  <c r="R43" i="49"/>
  <c r="R40" i="49"/>
  <c r="R29" i="49"/>
  <c r="R31" i="49"/>
  <c r="R47" i="49"/>
  <c r="R41" i="49"/>
  <c r="R46" i="49"/>
  <c r="R26" i="49"/>
  <c r="R25" i="49"/>
  <c r="R37" i="49"/>
  <c r="R49" i="49"/>
  <c r="R36" i="49"/>
  <c r="R33" i="49"/>
  <c r="R30" i="49"/>
  <c r="R27" i="49"/>
  <c r="R28" i="49"/>
  <c r="R48" i="49"/>
  <c r="R42" i="49"/>
  <c r="R15" i="49"/>
  <c r="R21" i="49"/>
  <c r="B372" i="6"/>
  <c r="L14" i="47"/>
  <c r="H14" i="47"/>
  <c r="I14" i="47"/>
  <c r="H15" i="47"/>
  <c r="L15" i="47"/>
  <c r="I15" i="47"/>
  <c r="R12" i="49"/>
  <c r="I11" i="47"/>
  <c r="H11" i="47"/>
  <c r="L11" i="47"/>
  <c r="R14" i="49"/>
  <c r="H58" i="49"/>
  <c r="P18" i="47"/>
  <c r="M29" i="47" s="1"/>
  <c r="R16" i="49"/>
  <c r="R6" i="49"/>
  <c r="R19" i="49"/>
  <c r="L9" i="47"/>
  <c r="H9" i="47"/>
  <c r="I9" i="47"/>
  <c r="D6" i="47"/>
  <c r="D18" i="47" s="1"/>
  <c r="E18" i="47"/>
  <c r="M21" i="47"/>
  <c r="Q18" i="47"/>
  <c r="M30" i="47" s="1"/>
  <c r="M58" i="49"/>
  <c r="R13" i="49"/>
  <c r="B9" i="47"/>
  <c r="G9" i="47"/>
  <c r="L13" i="47"/>
  <c r="I13" i="47"/>
  <c r="H13" i="47"/>
  <c r="L12" i="47"/>
  <c r="H12" i="47"/>
  <c r="I12" i="47"/>
  <c r="I58" i="49"/>
  <c r="B11" i="47"/>
  <c r="G11" i="47"/>
  <c r="G58" i="49"/>
  <c r="H8" i="47"/>
  <c r="I8" i="47"/>
  <c r="L8" i="47"/>
  <c r="F58" i="49"/>
  <c r="R4" i="49"/>
  <c r="K58" i="49"/>
  <c r="P58" i="49"/>
  <c r="R20" i="49"/>
  <c r="I16" i="47"/>
  <c r="H16" i="47"/>
  <c r="L16" i="47"/>
  <c r="R18" i="49"/>
  <c r="G16" i="47"/>
  <c r="B16" i="47"/>
  <c r="G10" i="47"/>
  <c r="B10" i="47"/>
  <c r="G12" i="47"/>
  <c r="B12" i="47"/>
  <c r="R9" i="49"/>
  <c r="L58" i="49"/>
  <c r="G7" i="47"/>
  <c r="B7" i="47"/>
  <c r="M23" i="47"/>
  <c r="K18" i="47"/>
  <c r="I10" i="47"/>
  <c r="L10" i="47"/>
  <c r="H10" i="47"/>
  <c r="B14" i="47"/>
  <c r="G14" i="47"/>
  <c r="N58" i="49"/>
  <c r="B13" i="47"/>
  <c r="G13" i="47"/>
  <c r="O23" i="47"/>
  <c r="J18" i="47"/>
  <c r="R24" i="49"/>
  <c r="AA373" i="38"/>
  <c r="AB373" i="38"/>
  <c r="AJ373" i="38"/>
  <c r="AK373" i="38"/>
  <c r="AL373" i="38"/>
  <c r="C6" i="47"/>
  <c r="V378" i="38"/>
  <c r="Y374" i="38"/>
  <c r="O18" i="47"/>
  <c r="M26" i="47"/>
  <c r="M27" i="47" s="1"/>
  <c r="R10" i="49"/>
  <c r="R17" i="49"/>
  <c r="B17" i="47"/>
  <c r="G17" i="47"/>
  <c r="R7" i="49"/>
  <c r="R11" i="49"/>
  <c r="R8" i="49"/>
  <c r="R5" i="49"/>
  <c r="R22" i="49"/>
  <c r="B8" i="47"/>
  <c r="G8" i="47"/>
  <c r="R18" i="47"/>
  <c r="J58" i="49"/>
  <c r="O58" i="49"/>
  <c r="R23" i="49"/>
  <c r="I17" i="47"/>
  <c r="H17" i="47"/>
  <c r="L17" i="47"/>
  <c r="M25" i="47"/>
  <c r="N18" i="47"/>
  <c r="B15" i="47"/>
  <c r="G15" i="47"/>
  <c r="H7" i="47"/>
  <c r="I7" i="47"/>
  <c r="L7" i="47"/>
  <c r="R59" i="49" l="1"/>
  <c r="B373" i="6"/>
  <c r="R58" i="49"/>
  <c r="V380" i="38"/>
  <c r="M22" i="47"/>
  <c r="O22" i="47" s="1"/>
  <c r="B6" i="47"/>
  <c r="G6" i="47"/>
  <c r="G18" i="47" s="1"/>
  <c r="C18" i="47"/>
  <c r="AV373" i="38"/>
  <c r="F6" i="47"/>
  <c r="AA377" i="38"/>
  <c r="AA374" i="38"/>
  <c r="E31" i="23" l="1"/>
  <c r="D31" i="23" s="1"/>
  <c r="W33" i="23"/>
  <c r="V33" i="23" s="1"/>
  <c r="I33" i="23"/>
  <c r="H33" i="23" s="1"/>
  <c r="E32" i="23"/>
  <c r="D32" i="23" s="1"/>
  <c r="S33" i="23"/>
  <c r="R33" i="23" s="1"/>
  <c r="M33" i="23"/>
  <c r="L33" i="23" s="1"/>
  <c r="E373" i="38"/>
  <c r="U18" i="23"/>
  <c r="T18" i="23" s="1"/>
  <c r="Q28" i="23"/>
  <c r="P28" i="23" s="1"/>
  <c r="O28" i="23"/>
  <c r="N28" i="23" s="1"/>
  <c r="G24" i="48"/>
  <c r="N28" i="48"/>
  <c r="K27" i="23"/>
  <c r="J27" i="23" s="1"/>
  <c r="R20" i="48"/>
  <c r="O16" i="23"/>
  <c r="N16" i="23" s="1"/>
  <c r="H26" i="48"/>
  <c r="C25" i="48"/>
  <c r="G25" i="48"/>
  <c r="W20" i="23"/>
  <c r="V20" i="23" s="1"/>
  <c r="D29" i="48"/>
  <c r="D14" i="48"/>
  <c r="E14" i="48" s="1"/>
  <c r="C14" i="23"/>
  <c r="B14" i="23" s="1"/>
  <c r="R30" i="48"/>
  <c r="G21" i="23"/>
  <c r="F21" i="23" s="1"/>
  <c r="W29" i="23"/>
  <c r="V29" i="23" s="1"/>
  <c r="J31" i="48"/>
  <c r="M6" i="23"/>
  <c r="L6" i="23" s="1"/>
  <c r="X27" i="48"/>
  <c r="M10" i="23"/>
  <c r="L10" i="23" s="1"/>
  <c r="H34" i="48"/>
  <c r="Q22" i="48"/>
  <c r="O24" i="23"/>
  <c r="N24" i="23" s="1"/>
  <c r="Q21" i="23"/>
  <c r="P21" i="23" s="1"/>
  <c r="I35" i="48"/>
  <c r="N33" i="48"/>
  <c r="X35" i="48"/>
  <c r="R21" i="48"/>
  <c r="U12" i="23"/>
  <c r="T12" i="23" s="1"/>
  <c r="X22" i="48"/>
  <c r="M18" i="23"/>
  <c r="L18" i="23" s="1"/>
  <c r="O17" i="23"/>
  <c r="N17" i="23" s="1"/>
  <c r="G21" i="48"/>
  <c r="J17" i="48"/>
  <c r="C20" i="48"/>
  <c r="W12" i="23"/>
  <c r="V12" i="23" s="1"/>
  <c r="C21" i="48"/>
  <c r="C16" i="48"/>
  <c r="Q25" i="23"/>
  <c r="P25" i="23" s="1"/>
  <c r="O27" i="23"/>
  <c r="N27" i="23" s="1"/>
  <c r="M5" i="23"/>
  <c r="L5" i="23" s="1"/>
  <c r="S10" i="23"/>
  <c r="R10" i="23" s="1"/>
  <c r="G19" i="48"/>
  <c r="H33" i="48"/>
  <c r="I22" i="23"/>
  <c r="H22" i="23" s="1"/>
  <c r="Q15" i="23"/>
  <c r="P15" i="23" s="1"/>
  <c r="I5" i="23"/>
  <c r="H5" i="23" s="1"/>
  <c r="C14" i="48"/>
  <c r="C22" i="48"/>
  <c r="Q14" i="23"/>
  <c r="P14" i="23" s="1"/>
  <c r="S3" i="23"/>
  <c r="R3" i="23" s="1"/>
  <c r="S5" i="23"/>
  <c r="R5" i="23" s="1"/>
  <c r="M26" i="23"/>
  <c r="L26" i="23" s="1"/>
  <c r="K11" i="23"/>
  <c r="J11" i="23" s="1"/>
  <c r="X34" i="48"/>
  <c r="C16" i="23"/>
  <c r="B16" i="23" s="1"/>
  <c r="F30" i="48"/>
  <c r="Q30" i="48"/>
  <c r="S32" i="23"/>
  <c r="R32" i="23" s="1"/>
  <c r="N17" i="48"/>
  <c r="E26" i="23"/>
  <c r="D26" i="23" s="1"/>
  <c r="G17" i="23"/>
  <c r="F17" i="23" s="1"/>
  <c r="M25" i="23"/>
  <c r="L25" i="23" s="1"/>
  <c r="G31" i="23"/>
  <c r="F31" i="23" s="1"/>
  <c r="Y21" i="23"/>
  <c r="X21" i="23" s="1"/>
  <c r="Y32" i="23"/>
  <c r="X32" i="23" s="1"/>
  <c r="D16" i="48"/>
  <c r="G12" i="23"/>
  <c r="F12" i="23" s="1"/>
  <c r="K30" i="23"/>
  <c r="J30" i="23" s="1"/>
  <c r="G27" i="23"/>
  <c r="F27" i="23" s="1"/>
  <c r="Y5" i="23"/>
  <c r="X5" i="23" s="1"/>
  <c r="N20" i="48"/>
  <c r="S24" i="23"/>
  <c r="R24" i="23" s="1"/>
  <c r="Y31" i="23"/>
  <c r="X31" i="23" s="1"/>
  <c r="K18" i="23"/>
  <c r="J18" i="23" s="1"/>
  <c r="Q23" i="48"/>
  <c r="Q6" i="23"/>
  <c r="P6" i="23" s="1"/>
  <c r="I32" i="23"/>
  <c r="H32" i="23" s="1"/>
  <c r="G15" i="23"/>
  <c r="F15" i="23" s="1"/>
  <c r="E24" i="23"/>
  <c r="D24" i="23" s="1"/>
  <c r="F21" i="48"/>
  <c r="M33" i="48"/>
  <c r="D35" i="48"/>
  <c r="Y26" i="23"/>
  <c r="X26" i="23" s="1"/>
  <c r="Y27" i="23"/>
  <c r="X27" i="23" s="1"/>
  <c r="Q19" i="48"/>
  <c r="G26" i="48"/>
  <c r="G26" i="23"/>
  <c r="F26" i="23" s="1"/>
  <c r="S21" i="23"/>
  <c r="R21" i="23" s="1"/>
  <c r="I10" i="23"/>
  <c r="H10" i="23" s="1"/>
  <c r="O14" i="23"/>
  <c r="N14" i="23" s="1"/>
  <c r="D28" i="48"/>
  <c r="O26" i="23"/>
  <c r="N26" i="23" s="1"/>
  <c r="W16" i="23"/>
  <c r="V16" i="23" s="1"/>
  <c r="I31" i="23"/>
  <c r="H31" i="23" s="1"/>
  <c r="W15" i="23"/>
  <c r="V15" i="23" s="1"/>
  <c r="E21" i="23"/>
  <c r="D21" i="23" s="1"/>
  <c r="M22" i="48"/>
  <c r="O12" i="23"/>
  <c r="N12" i="23" s="1"/>
  <c r="N23" i="48"/>
  <c r="C13" i="23"/>
  <c r="B13" i="23" s="1"/>
  <c r="I30" i="48"/>
  <c r="H28" i="48"/>
  <c r="M21" i="48"/>
  <c r="X20" i="48"/>
  <c r="U21" i="23"/>
  <c r="T21" i="23" s="1"/>
  <c r="S12" i="23"/>
  <c r="R12" i="23" s="1"/>
  <c r="L29" i="48"/>
  <c r="H17" i="48"/>
  <c r="M8" i="23"/>
  <c r="L8" i="23" s="1"/>
  <c r="R28" i="48"/>
  <c r="I6" i="23"/>
  <c r="H6" i="23" s="1"/>
  <c r="O5" i="23"/>
  <c r="N5" i="23" s="1"/>
  <c r="K25" i="23"/>
  <c r="J25" i="23" s="1"/>
  <c r="C23" i="48"/>
  <c r="E6" i="23"/>
  <c r="D6" i="23" s="1"/>
  <c r="Y17" i="23"/>
  <c r="X17" i="23" s="1"/>
  <c r="K21" i="23"/>
  <c r="J21" i="23" s="1"/>
  <c r="G18" i="23"/>
  <c r="F18" i="23" s="1"/>
  <c r="J20" i="48"/>
  <c r="L35" i="48"/>
  <c r="U25" i="23"/>
  <c r="T25" i="23" s="1"/>
  <c r="J27" i="48"/>
  <c r="M15" i="48"/>
  <c r="M21" i="23"/>
  <c r="L21" i="23" s="1"/>
  <c r="X26" i="48"/>
  <c r="O7" i="23"/>
  <c r="N7" i="23" s="1"/>
  <c r="G30" i="23"/>
  <c r="F30" i="23" s="1"/>
  <c r="U24" i="23"/>
  <c r="T24" i="23" s="1"/>
  <c r="S9" i="23"/>
  <c r="R9" i="23" s="1"/>
  <c r="M30" i="23"/>
  <c r="L30" i="23" s="1"/>
  <c r="O19" i="23"/>
  <c r="N19" i="23" s="1"/>
  <c r="M24" i="48"/>
  <c r="Q20" i="23"/>
  <c r="P20" i="23" s="1"/>
  <c r="D32" i="48"/>
  <c r="J35" i="48"/>
  <c r="I11" i="23"/>
  <c r="H11" i="23" s="1"/>
  <c r="O4" i="23"/>
  <c r="N4" i="23" s="1"/>
  <c r="I9" i="23"/>
  <c r="H9" i="23" s="1"/>
  <c r="I12" i="23"/>
  <c r="H12" i="23" s="1"/>
  <c r="Y24" i="23"/>
  <c r="X24" i="23" s="1"/>
  <c r="X33" i="48"/>
  <c r="I18" i="48"/>
  <c r="Q12" i="23"/>
  <c r="P12" i="23" s="1"/>
  <c r="X19" i="48"/>
  <c r="U7" i="23"/>
  <c r="T7" i="23" s="1"/>
  <c r="I20" i="48"/>
  <c r="Q7" i="23"/>
  <c r="P7" i="23" s="1"/>
  <c r="M4" i="23"/>
  <c r="L4" i="23" s="1"/>
  <c r="O6" i="23"/>
  <c r="N6" i="23" s="1"/>
  <c r="E19" i="23"/>
  <c r="D19" i="23" s="1"/>
  <c r="I26" i="48"/>
  <c r="Y3" i="23"/>
  <c r="X3" i="23" s="1"/>
  <c r="G17" i="48"/>
  <c r="W30" i="23"/>
  <c r="V30" i="23" s="1"/>
  <c r="M34" i="48"/>
  <c r="E22" i="23"/>
  <c r="D22" i="23" s="1"/>
  <c r="O32" i="23"/>
  <c r="N32" i="23" s="1"/>
  <c r="X28" i="48"/>
  <c r="O10" i="23"/>
  <c r="N10" i="23" s="1"/>
  <c r="J30" i="48"/>
  <c r="F18" i="48"/>
  <c r="I24" i="23"/>
  <c r="H24" i="23" s="1"/>
  <c r="Q29" i="23"/>
  <c r="P29" i="23" s="1"/>
  <c r="L21" i="48"/>
  <c r="C31" i="23"/>
  <c r="B31" i="23" s="1"/>
  <c r="N19" i="48"/>
  <c r="N14" i="48"/>
  <c r="K28" i="23"/>
  <c r="J28" i="23" s="1"/>
  <c r="I27" i="23"/>
  <c r="H27" i="23" s="1"/>
  <c r="E12" i="23"/>
  <c r="D12" i="23" s="1"/>
  <c r="J26" i="48"/>
  <c r="M32" i="48"/>
  <c r="H22" i="48"/>
  <c r="C24" i="23"/>
  <c r="B24" i="23" s="1"/>
  <c r="M29" i="23"/>
  <c r="L29" i="23" s="1"/>
  <c r="I18" i="23"/>
  <c r="H18" i="23" s="1"/>
  <c r="M28" i="48"/>
  <c r="U32" i="23"/>
  <c r="T32" i="23" s="1"/>
  <c r="I23" i="48"/>
  <c r="M14" i="23"/>
  <c r="L14" i="23" s="1"/>
  <c r="I29" i="23"/>
  <c r="H29" i="23" s="1"/>
  <c r="N35" i="48"/>
  <c r="F31" i="48"/>
  <c r="I25" i="23"/>
  <c r="H25" i="23" s="1"/>
  <c r="M19" i="48"/>
  <c r="U10" i="23"/>
  <c r="T10" i="23" s="1"/>
  <c r="I31" i="48"/>
  <c r="E25" i="23"/>
  <c r="D25" i="23" s="1"/>
  <c r="Y23" i="23"/>
  <c r="X23" i="23" s="1"/>
  <c r="S13" i="23"/>
  <c r="R13" i="23" s="1"/>
  <c r="Q33" i="23"/>
  <c r="P33" i="23" s="1"/>
  <c r="U17" i="23"/>
  <c r="T17" i="23" s="1"/>
  <c r="S11" i="23"/>
  <c r="R11" i="23" s="1"/>
  <c r="S16" i="23"/>
  <c r="R16" i="23" s="1"/>
  <c r="E10" i="23"/>
  <c r="D10" i="23" s="1"/>
  <c r="G13" i="23"/>
  <c r="F13" i="23" s="1"/>
  <c r="R22" i="48"/>
  <c r="G5" i="23"/>
  <c r="F5" i="23" s="1"/>
  <c r="D18" i="48"/>
  <c r="C19" i="48"/>
  <c r="I32" i="48"/>
  <c r="F17" i="48"/>
  <c r="M15" i="23"/>
  <c r="L15" i="23" s="1"/>
  <c r="U31" i="23"/>
  <c r="T31" i="23" s="1"/>
  <c r="G32" i="23"/>
  <c r="F32" i="23" s="1"/>
  <c r="Q18" i="23"/>
  <c r="P18" i="23" s="1"/>
  <c r="R18" i="48"/>
  <c r="I22" i="48"/>
  <c r="W31" i="23"/>
  <c r="V31" i="23" s="1"/>
  <c r="K19" i="23"/>
  <c r="J19" i="23" s="1"/>
  <c r="U11" i="23"/>
  <c r="T11" i="23" s="1"/>
  <c r="Y18" i="23"/>
  <c r="X18" i="23" s="1"/>
  <c r="M17" i="23"/>
  <c r="L17" i="23" s="1"/>
  <c r="E18" i="23"/>
  <c r="D18" i="23" s="1"/>
  <c r="F24" i="48"/>
  <c r="S14" i="23"/>
  <c r="R14" i="23" s="1"/>
  <c r="Y12" i="23"/>
  <c r="X12" i="23" s="1"/>
  <c r="Q28" i="48"/>
  <c r="M3" i="23"/>
  <c r="L3" i="23" s="1"/>
  <c r="R32" i="48"/>
  <c r="K6" i="23"/>
  <c r="J6" i="23" s="1"/>
  <c r="Y19" i="23"/>
  <c r="X19" i="23" s="1"/>
  <c r="U8" i="23"/>
  <c r="T8" i="23" s="1"/>
  <c r="Y10" i="23"/>
  <c r="X10" i="23" s="1"/>
  <c r="Q18" i="48"/>
  <c r="K14" i="23"/>
  <c r="J14" i="23" s="1"/>
  <c r="C21" i="23"/>
  <c r="B21" i="23" s="1"/>
  <c r="O25" i="23"/>
  <c r="N25" i="23" s="1"/>
  <c r="L26" i="48"/>
  <c r="M22" i="23"/>
  <c r="L22" i="23" s="1"/>
  <c r="X24" i="48"/>
  <c r="D22" i="48"/>
  <c r="E7" i="23"/>
  <c r="D7" i="23" s="1"/>
  <c r="Q24" i="23"/>
  <c r="P24" i="23" s="1"/>
  <c r="R27" i="48"/>
  <c r="K3" i="23"/>
  <c r="J3" i="23" s="1"/>
  <c r="U9" i="23"/>
  <c r="T9" i="23" s="1"/>
  <c r="S20" i="23"/>
  <c r="R20" i="23" s="1"/>
  <c r="L23" i="48"/>
  <c r="H30" i="48"/>
  <c r="M17" i="48"/>
  <c r="K5" i="23"/>
  <c r="J5" i="23" s="1"/>
  <c r="H29" i="48"/>
  <c r="J29" i="48"/>
  <c r="L30" i="48"/>
  <c r="F34" i="48"/>
  <c r="Q31" i="48"/>
  <c r="G9" i="23"/>
  <c r="F9" i="23" s="1"/>
  <c r="G23" i="48"/>
  <c r="K16" i="23"/>
  <c r="J16" i="23" s="1"/>
  <c r="L25" i="48"/>
  <c r="N22" i="48"/>
  <c r="S19" i="23"/>
  <c r="R19" i="23" s="1"/>
  <c r="C24" i="48"/>
  <c r="Q9" i="23"/>
  <c r="P9" i="23" s="1"/>
  <c r="I30" i="23"/>
  <c r="H30" i="23" s="1"/>
  <c r="X25" i="48"/>
  <c r="Q10" i="23"/>
  <c r="P10" i="23" s="1"/>
  <c r="R29" i="48"/>
  <c r="R16" i="48"/>
  <c r="G31" i="48"/>
  <c r="S31" i="23"/>
  <c r="R31" i="23" s="1"/>
  <c r="Y4" i="23"/>
  <c r="X4" i="23" s="1"/>
  <c r="L32" i="48"/>
  <c r="H32" i="48"/>
  <c r="F27" i="48"/>
  <c r="E9" i="23"/>
  <c r="D9" i="23" s="1"/>
  <c r="U13" i="23"/>
  <c r="T13" i="23" s="1"/>
  <c r="I33" i="48"/>
  <c r="G16" i="48"/>
  <c r="J19" i="48"/>
  <c r="R31" i="48"/>
  <c r="F16" i="48"/>
  <c r="U22" i="23"/>
  <c r="T22" i="23" s="1"/>
  <c r="G25" i="23"/>
  <c r="F25" i="23" s="1"/>
  <c r="N18" i="48"/>
  <c r="S25" i="23"/>
  <c r="R25" i="23" s="1"/>
  <c r="C20" i="23"/>
  <c r="B20" i="23" s="1"/>
  <c r="R25" i="48"/>
  <c r="C18" i="48"/>
  <c r="G29" i="48"/>
  <c r="S22" i="23"/>
  <c r="R22" i="23" s="1"/>
  <c r="I29" i="48"/>
  <c r="E20" i="23"/>
  <c r="D20" i="23" s="1"/>
  <c r="H31" i="48"/>
  <c r="C18" i="23"/>
  <c r="B18" i="23" s="1"/>
  <c r="O8" i="23"/>
  <c r="N8" i="23" s="1"/>
  <c r="M9" i="23"/>
  <c r="L9" i="23" s="1"/>
  <c r="O22" i="23"/>
  <c r="N22" i="23" s="1"/>
  <c r="J23" i="48"/>
  <c r="F28" i="48"/>
  <c r="F19" i="48"/>
  <c r="E13" i="23"/>
  <c r="D13" i="23" s="1"/>
  <c r="M23" i="48"/>
  <c r="W17" i="23"/>
  <c r="V17" i="23" s="1"/>
  <c r="G10" i="23"/>
  <c r="F10" i="23" s="1"/>
  <c r="I19" i="48"/>
  <c r="C28" i="23"/>
  <c r="B28" i="23" s="1"/>
  <c r="G30" i="48"/>
  <c r="G11" i="23"/>
  <c r="F11" i="23" s="1"/>
  <c r="X30" i="48"/>
  <c r="M11" i="23"/>
  <c r="L11" i="23" s="1"/>
  <c r="C15" i="48"/>
  <c r="C19" i="23"/>
  <c r="B19" i="23" s="1"/>
  <c r="Q19" i="23"/>
  <c r="P19" i="23" s="1"/>
  <c r="D23" i="48"/>
  <c r="Y7" i="23"/>
  <c r="X7" i="23" s="1"/>
  <c r="M30" i="48"/>
  <c r="I16" i="23"/>
  <c r="H16" i="23" s="1"/>
  <c r="M16" i="48"/>
  <c r="Q5" i="23"/>
  <c r="P5" i="23" s="1"/>
  <c r="R24" i="48"/>
  <c r="X21" i="48"/>
  <c r="U4" i="23"/>
  <c r="T4" i="23" s="1"/>
  <c r="I19" i="23"/>
  <c r="H19" i="23" s="1"/>
  <c r="O23" i="23"/>
  <c r="N23" i="23" s="1"/>
  <c r="O30" i="23"/>
  <c r="N30" i="23" s="1"/>
  <c r="Q16" i="48"/>
  <c r="K7" i="23"/>
  <c r="J7" i="23" s="1"/>
  <c r="K10" i="23"/>
  <c r="J10" i="23" s="1"/>
  <c r="Y9" i="23"/>
  <c r="X9" i="23" s="1"/>
  <c r="M26" i="48"/>
  <c r="G35" i="48"/>
  <c r="M16" i="23"/>
  <c r="L16" i="23" s="1"/>
  <c r="D27" i="48"/>
  <c r="U28" i="23"/>
  <c r="T28" i="23" s="1"/>
  <c r="R34" i="48"/>
  <c r="S6" i="23"/>
  <c r="R6" i="23" s="1"/>
  <c r="D31" i="48"/>
  <c r="E17" i="23"/>
  <c r="D17" i="23" s="1"/>
  <c r="L18" i="48"/>
  <c r="S27" i="23"/>
  <c r="R27" i="23" s="1"/>
  <c r="C29" i="48"/>
  <c r="K13" i="23"/>
  <c r="J13" i="23" s="1"/>
  <c r="U6" i="23"/>
  <c r="T6" i="23" s="1"/>
  <c r="O21" i="23"/>
  <c r="N21" i="23" s="1"/>
  <c r="Y20" i="23"/>
  <c r="X20" i="23" s="1"/>
  <c r="G6" i="23"/>
  <c r="F6" i="23" s="1"/>
  <c r="G32" i="48"/>
  <c r="J24" i="48"/>
  <c r="G7" i="23"/>
  <c r="F7" i="23" s="1"/>
  <c r="D25" i="48"/>
  <c r="E4" i="23"/>
  <c r="D4" i="23" s="1"/>
  <c r="E15" i="23"/>
  <c r="D15" i="23" s="1"/>
  <c r="L16" i="48"/>
  <c r="U16" i="23"/>
  <c r="T16" i="23" s="1"/>
  <c r="J16" i="48"/>
  <c r="I17" i="48"/>
  <c r="F35" i="48"/>
  <c r="K9" i="23"/>
  <c r="J9" i="23" s="1"/>
  <c r="G4" i="23"/>
  <c r="F4" i="23" s="1"/>
  <c r="M28" i="23"/>
  <c r="L28" i="23" s="1"/>
  <c r="I4" i="23"/>
  <c r="H4" i="23" s="1"/>
  <c r="W25" i="23"/>
  <c r="V25" i="23" s="1"/>
  <c r="I23" i="23"/>
  <c r="H23" i="23" s="1"/>
  <c r="E16" i="23"/>
  <c r="D16" i="23" s="1"/>
  <c r="N32" i="48"/>
  <c r="O31" i="23"/>
  <c r="N31" i="23" s="1"/>
  <c r="I21" i="48"/>
  <c r="G8" i="23"/>
  <c r="F8" i="23" s="1"/>
  <c r="N29" i="48"/>
  <c r="C29" i="23"/>
  <c r="B29" i="23" s="1"/>
  <c r="R33" i="48"/>
  <c r="G23" i="23"/>
  <c r="F23" i="23" s="1"/>
  <c r="W14" i="23"/>
  <c r="V14" i="23" s="1"/>
  <c r="W4" i="23"/>
  <c r="V4" i="23" s="1"/>
  <c r="K17" i="23"/>
  <c r="J17" i="23" s="1"/>
  <c r="F32" i="48"/>
  <c r="C32" i="48"/>
  <c r="G20" i="23"/>
  <c r="F20" i="23" s="1"/>
  <c r="G34" i="48"/>
  <c r="W21" i="23"/>
  <c r="V21" i="23" s="1"/>
  <c r="J32" i="48"/>
  <c r="C15" i="23"/>
  <c r="B15" i="23" s="1"/>
  <c r="G28" i="23"/>
  <c r="F28" i="23" s="1"/>
  <c r="K31" i="23"/>
  <c r="J31" i="23" s="1"/>
  <c r="K20" i="23"/>
  <c r="J20" i="23" s="1"/>
  <c r="Q27" i="23"/>
  <c r="P27" i="23" s="1"/>
  <c r="C26" i="48"/>
  <c r="F26" i="48"/>
  <c r="Q20" i="48"/>
  <c r="Y14" i="23"/>
  <c r="X14" i="23" s="1"/>
  <c r="F33" i="48"/>
  <c r="Y15" i="23"/>
  <c r="X15" i="23" s="1"/>
  <c r="I7" i="23"/>
  <c r="H7" i="23" s="1"/>
  <c r="E8" i="23"/>
  <c r="D8" i="23" s="1"/>
  <c r="W8" i="23"/>
  <c r="V8" i="23" s="1"/>
  <c r="Q21" i="48"/>
  <c r="O29" i="23"/>
  <c r="N29" i="23" s="1"/>
  <c r="J25" i="48"/>
  <c r="W23" i="23"/>
  <c r="V23" i="23" s="1"/>
  <c r="M20" i="23"/>
  <c r="L20" i="23" s="1"/>
  <c r="D17" i="48"/>
  <c r="X32" i="48"/>
  <c r="G3" i="23"/>
  <c r="F3" i="23" s="1"/>
  <c r="M12" i="23"/>
  <c r="L12" i="23" s="1"/>
  <c r="Q32" i="48"/>
  <c r="J33" i="48"/>
  <c r="K23" i="23"/>
  <c r="J23" i="23" s="1"/>
  <c r="Y25" i="23"/>
  <c r="X25" i="23" s="1"/>
  <c r="C26" i="23"/>
  <c r="B26" i="23" s="1"/>
  <c r="J22" i="48"/>
  <c r="M27" i="23"/>
  <c r="L27" i="23" s="1"/>
  <c r="L19" i="48"/>
  <c r="N25" i="48"/>
  <c r="K24" i="23"/>
  <c r="J24" i="23" s="1"/>
  <c r="G22" i="23"/>
  <c r="F22" i="23" s="1"/>
  <c r="O20" i="23"/>
  <c r="N20" i="23" s="1"/>
  <c r="Q8" i="23"/>
  <c r="P8" i="23" s="1"/>
  <c r="I34" i="48"/>
  <c r="C32" i="23"/>
  <c r="B32" i="23" s="1"/>
  <c r="U20" i="23"/>
  <c r="T20" i="23" s="1"/>
  <c r="X16" i="48"/>
  <c r="L24" i="48"/>
  <c r="K15" i="23"/>
  <c r="J15" i="23" s="1"/>
  <c r="H18" i="48"/>
  <c r="D20" i="48"/>
  <c r="I15" i="23"/>
  <c r="H15" i="23" s="1"/>
  <c r="X23" i="48"/>
  <c r="L28" i="48"/>
  <c r="C30" i="23"/>
  <c r="B30" i="23" s="1"/>
  <c r="W7" i="23"/>
  <c r="V7" i="23" s="1"/>
  <c r="M25" i="48"/>
  <c r="Y11" i="23"/>
  <c r="X11" i="23" s="1"/>
  <c r="I13" i="23"/>
  <c r="H13" i="23" s="1"/>
  <c r="E29" i="23"/>
  <c r="D29" i="23" s="1"/>
  <c r="Q33" i="48"/>
  <c r="U29" i="23"/>
  <c r="T29" i="23" s="1"/>
  <c r="H19" i="48"/>
  <c r="F22" i="48"/>
  <c r="Q22" i="23"/>
  <c r="P22" i="23" s="1"/>
  <c r="O18" i="23"/>
  <c r="N18" i="23" s="1"/>
  <c r="Q34" i="48"/>
  <c r="M13" i="23"/>
  <c r="L13" i="23" s="1"/>
  <c r="Y28" i="23"/>
  <c r="X28" i="23" s="1"/>
  <c r="U23" i="23"/>
  <c r="T23" i="23" s="1"/>
  <c r="Y13" i="23"/>
  <c r="X13" i="23" s="1"/>
  <c r="I17" i="23"/>
  <c r="H17" i="23" s="1"/>
  <c r="Y29" i="23"/>
  <c r="X29" i="23" s="1"/>
  <c r="Q25" i="48"/>
  <c r="U19" i="23"/>
  <c r="T19" i="23" s="1"/>
  <c r="I27" i="48"/>
  <c r="L31" i="48"/>
  <c r="D21" i="48"/>
  <c r="M18" i="48"/>
  <c r="K29" i="23"/>
  <c r="J29" i="23" s="1"/>
  <c r="W6" i="23"/>
  <c r="V6" i="23" s="1"/>
  <c r="W27" i="23"/>
  <c r="V27" i="23" s="1"/>
  <c r="W13" i="23"/>
  <c r="V13" i="23" s="1"/>
  <c r="Q26" i="48"/>
  <c r="N15" i="48"/>
  <c r="Y16" i="23"/>
  <c r="X16" i="23" s="1"/>
  <c r="C33" i="23"/>
  <c r="B33" i="23" s="1"/>
  <c r="Y8" i="23"/>
  <c r="X8" i="23" s="1"/>
  <c r="O13" i="23"/>
  <c r="N13" i="23" s="1"/>
  <c r="Y30" i="23"/>
  <c r="X30" i="23" s="1"/>
  <c r="X29" i="48"/>
  <c r="G33" i="48"/>
  <c r="I28" i="48"/>
  <c r="I21" i="23"/>
  <c r="H21" i="23" s="1"/>
  <c r="K8" i="23"/>
  <c r="J8" i="23" s="1"/>
  <c r="Y33" i="23"/>
  <c r="X33" i="23" s="1"/>
  <c r="K4" i="23"/>
  <c r="J4" i="23" s="1"/>
  <c r="I20" i="23"/>
  <c r="H20" i="23" s="1"/>
  <c r="W9" i="23"/>
  <c r="V9" i="23" s="1"/>
  <c r="G16" i="23"/>
  <c r="F16" i="23" s="1"/>
  <c r="C25" i="23"/>
  <c r="B25" i="23" s="1"/>
  <c r="W19" i="23"/>
  <c r="V19" i="23" s="1"/>
  <c r="N26" i="48"/>
  <c r="X17" i="48"/>
  <c r="I25" i="48"/>
  <c r="U15" i="23"/>
  <c r="T15" i="23" s="1"/>
  <c r="H35" i="48"/>
  <c r="S4" i="23"/>
  <c r="R4" i="23" s="1"/>
  <c r="S26" i="23"/>
  <c r="R26" i="23" s="1"/>
  <c r="L33" i="48"/>
  <c r="Q13" i="23"/>
  <c r="P13" i="23" s="1"/>
  <c r="R19" i="48"/>
  <c r="E30" i="23"/>
  <c r="D30" i="23" s="1"/>
  <c r="X18" i="48"/>
  <c r="O15" i="23"/>
  <c r="N15" i="23" s="1"/>
  <c r="S7" i="23"/>
  <c r="R7" i="23" s="1"/>
  <c r="C27" i="23"/>
  <c r="B27" i="23" s="1"/>
  <c r="W10" i="23"/>
  <c r="V10" i="23" s="1"/>
  <c r="C30" i="48"/>
  <c r="E5" i="23"/>
  <c r="D5" i="23" s="1"/>
  <c r="G14" i="23"/>
  <c r="F14" i="23" s="1"/>
  <c r="D33" i="48"/>
  <c r="Q17" i="48"/>
  <c r="C34" i="48"/>
  <c r="M31" i="48"/>
  <c r="Q16" i="23"/>
  <c r="P16" i="23" s="1"/>
  <c r="K32" i="23"/>
  <c r="J32" i="23" s="1"/>
  <c r="W28" i="23"/>
  <c r="V28" i="23" s="1"/>
  <c r="N16" i="48"/>
  <c r="U30" i="23"/>
  <c r="T30" i="23" s="1"/>
  <c r="M14" i="48"/>
  <c r="M19" i="23"/>
  <c r="L19" i="23" s="1"/>
  <c r="H24" i="48"/>
  <c r="M24" i="23"/>
  <c r="L24" i="23" s="1"/>
  <c r="C27" i="48"/>
  <c r="C22" i="23"/>
  <c r="B22" i="23" s="1"/>
  <c r="O3" i="23"/>
  <c r="N3" i="23" s="1"/>
  <c r="D19" i="48"/>
  <c r="C35" i="48"/>
  <c r="G19" i="23"/>
  <c r="F19" i="23" s="1"/>
  <c r="W24" i="23"/>
  <c r="V24" i="23" s="1"/>
  <c r="C23" i="23"/>
  <c r="B23" i="23" s="1"/>
  <c r="G29" i="23"/>
  <c r="F29" i="23" s="1"/>
  <c r="S29" i="23"/>
  <c r="R29" i="23" s="1"/>
  <c r="C31" i="48"/>
  <c r="Q17" i="23"/>
  <c r="P17" i="23" s="1"/>
  <c r="L27" i="48"/>
  <c r="W32" i="23"/>
  <c r="V32" i="23" s="1"/>
  <c r="H23" i="48"/>
  <c r="G22" i="48"/>
  <c r="L34" i="48"/>
  <c r="K12" i="23"/>
  <c r="J12" i="23" s="1"/>
  <c r="G20" i="48"/>
  <c r="F25" i="48"/>
  <c r="W18" i="23"/>
  <c r="V18" i="23" s="1"/>
  <c r="Q11" i="23"/>
  <c r="P11" i="23" s="1"/>
  <c r="Q31" i="23"/>
  <c r="P31" i="23" s="1"/>
  <c r="S8" i="23"/>
  <c r="R8" i="23" s="1"/>
  <c r="C28" i="48"/>
  <c r="J21" i="48"/>
  <c r="K33" i="23"/>
  <c r="J33" i="23" s="1"/>
  <c r="M35" i="48"/>
  <c r="R35" i="48"/>
  <c r="L20" i="48"/>
  <c r="S17" i="23"/>
  <c r="R17" i="23" s="1"/>
  <c r="Q27" i="48"/>
  <c r="Q32" i="23"/>
  <c r="P32" i="23" s="1"/>
  <c r="N34" i="48"/>
  <c r="G28" i="48"/>
  <c r="F23" i="48"/>
  <c r="D34" i="48"/>
  <c r="G27" i="48"/>
  <c r="U5" i="23"/>
  <c r="T5" i="23" s="1"/>
  <c r="I24" i="48"/>
  <c r="O9" i="23"/>
  <c r="N9" i="23" s="1"/>
  <c r="M29" i="48"/>
  <c r="E23" i="23"/>
  <c r="D23" i="23" s="1"/>
  <c r="Q24" i="48"/>
  <c r="S28" i="23"/>
  <c r="R28" i="23" s="1"/>
  <c r="C33" i="48"/>
  <c r="Y22" i="23"/>
  <c r="X22" i="23" s="1"/>
  <c r="K22" i="23"/>
  <c r="J22" i="23" s="1"/>
  <c r="E11" i="23"/>
  <c r="D11" i="23" s="1"/>
  <c r="Q30" i="23"/>
  <c r="P30" i="23" s="1"/>
  <c r="M32" i="23"/>
  <c r="L32" i="23" s="1"/>
  <c r="Q4" i="23"/>
  <c r="P4" i="23" s="1"/>
  <c r="H16" i="48"/>
  <c r="I14" i="23"/>
  <c r="H14" i="23" s="1"/>
  <c r="G18" i="48"/>
  <c r="S30" i="23"/>
  <c r="R30" i="23" s="1"/>
  <c r="I3" i="23"/>
  <c r="H3" i="23" s="1"/>
  <c r="M27" i="48"/>
  <c r="W26" i="23"/>
  <c r="V26" i="23" s="1"/>
  <c r="J34" i="48"/>
  <c r="N24" i="48"/>
  <c r="N27" i="48"/>
  <c r="G24" i="23"/>
  <c r="F24" i="23" s="1"/>
  <c r="D30" i="48"/>
  <c r="Q29" i="48"/>
  <c r="C17" i="23"/>
  <c r="B17" i="23" s="1"/>
  <c r="H21" i="48"/>
  <c r="C17" i="48"/>
  <c r="O33" i="23"/>
  <c r="N33" i="23" s="1"/>
  <c r="E28" i="23"/>
  <c r="D28" i="23" s="1"/>
  <c r="J18" i="48"/>
  <c r="R17" i="48"/>
  <c r="X31" i="48"/>
  <c r="K26" i="23"/>
  <c r="J26" i="23" s="1"/>
  <c r="O11" i="23"/>
  <c r="N11" i="23" s="1"/>
  <c r="E3" i="23"/>
  <c r="D3" i="23" s="1"/>
  <c r="R26" i="48"/>
  <c r="N31" i="48"/>
  <c r="S23" i="23"/>
  <c r="R23" i="23" s="1"/>
  <c r="S15" i="23"/>
  <c r="R15" i="23" s="1"/>
  <c r="E14" i="23"/>
  <c r="D14" i="23" s="1"/>
  <c r="W3" i="23"/>
  <c r="V3" i="23" s="1"/>
  <c r="U33" i="23"/>
  <c r="T33" i="23" s="1"/>
  <c r="W11" i="23"/>
  <c r="V11" i="23" s="1"/>
  <c r="U3" i="23"/>
  <c r="T3" i="23" s="1"/>
  <c r="E27" i="23"/>
  <c r="D27" i="23" s="1"/>
  <c r="Q35" i="48"/>
  <c r="I16" i="48"/>
  <c r="M31" i="23"/>
  <c r="L31" i="23" s="1"/>
  <c r="Q3" i="23"/>
  <c r="P3" i="23" s="1"/>
  <c r="H27" i="48"/>
  <c r="F20" i="48"/>
  <c r="Q26" i="23"/>
  <c r="P26" i="23" s="1"/>
  <c r="R23" i="48"/>
  <c r="N21" i="48"/>
  <c r="D26" i="48"/>
  <c r="H20" i="48"/>
  <c r="I26" i="23"/>
  <c r="H26" i="23" s="1"/>
  <c r="S18" i="23"/>
  <c r="R18" i="23" s="1"/>
  <c r="U27" i="23"/>
  <c r="T27" i="23" s="1"/>
  <c r="L17" i="48"/>
  <c r="L22" i="48"/>
  <c r="Q23" i="23"/>
  <c r="P23" i="23" s="1"/>
  <c r="J28" i="48"/>
  <c r="D24" i="48"/>
  <c r="F29" i="48"/>
  <c r="I28" i="23"/>
  <c r="H28" i="23" s="1"/>
  <c r="M23" i="23"/>
  <c r="L23" i="23" s="1"/>
  <c r="Y6" i="23"/>
  <c r="X6" i="23" s="1"/>
  <c r="W5" i="23"/>
  <c r="V5" i="23" s="1"/>
  <c r="I8" i="23"/>
  <c r="H8" i="23" s="1"/>
  <c r="U26" i="23"/>
  <c r="T26" i="23" s="1"/>
  <c r="M7" i="23"/>
  <c r="L7" i="23" s="1"/>
  <c r="U14" i="23"/>
  <c r="T14" i="23" s="1"/>
  <c r="G33" i="23"/>
  <c r="F33" i="23" s="1"/>
  <c r="M20" i="48"/>
  <c r="W22" i="23"/>
  <c r="V22" i="23" s="1"/>
  <c r="N30" i="48"/>
  <c r="H25" i="48"/>
  <c r="M24" i="47"/>
  <c r="M6" i="47"/>
  <c r="I6" i="47"/>
  <c r="I18" i="47" s="1"/>
  <c r="L6" i="47"/>
  <c r="L18" i="47" s="1"/>
  <c r="H6" i="47"/>
  <c r="H18" i="47" s="1"/>
  <c r="F18" i="47"/>
  <c r="A29" i="47"/>
  <c r="A30" i="47" s="1"/>
  <c r="B18" i="47"/>
  <c r="Y380" i="38"/>
  <c r="W380" i="38"/>
  <c r="E21" i="48" l="1"/>
  <c r="E34" i="48"/>
  <c r="E19" i="48"/>
  <c r="E24" i="48"/>
  <c r="E30" i="48"/>
  <c r="E17" i="48"/>
  <c r="E27" i="48"/>
  <c r="E33" i="48"/>
  <c r="E31" i="48"/>
  <c r="O18" i="48"/>
  <c r="U18" i="48"/>
  <c r="S18" i="48"/>
  <c r="P18" i="48"/>
  <c r="T18" i="48"/>
  <c r="P16" i="48"/>
  <c r="T16" i="48"/>
  <c r="S16" i="48"/>
  <c r="U16" i="48"/>
  <c r="O16" i="48"/>
  <c r="U26" i="48"/>
  <c r="S26" i="48"/>
  <c r="T26" i="48"/>
  <c r="O26" i="48"/>
  <c r="P26" i="48"/>
  <c r="S15" i="48"/>
  <c r="P15" i="48"/>
  <c r="U15" i="48"/>
  <c r="T15" i="48"/>
  <c r="O15" i="48"/>
  <c r="E28" i="48"/>
  <c r="S27" i="48"/>
  <c r="U27" i="48"/>
  <c r="T27" i="48"/>
  <c r="P27" i="48"/>
  <c r="O27" i="48"/>
  <c r="E29" i="48"/>
  <c r="E22" i="48"/>
  <c r="E18" i="48"/>
  <c r="U35" i="48"/>
  <c r="O35" i="48"/>
  <c r="T35" i="48"/>
  <c r="P35" i="48"/>
  <c r="S35" i="48"/>
  <c r="J38" i="48"/>
  <c r="O20" i="48"/>
  <c r="T20" i="48"/>
  <c r="U20" i="48"/>
  <c r="S20" i="48"/>
  <c r="P20" i="48"/>
  <c r="O21" i="48"/>
  <c r="U21" i="48"/>
  <c r="S21" i="48"/>
  <c r="P21" i="48"/>
  <c r="T21" i="48"/>
  <c r="P33" i="48"/>
  <c r="S33" i="48"/>
  <c r="T33" i="48"/>
  <c r="U33" i="48"/>
  <c r="O33" i="48"/>
  <c r="T25" i="48"/>
  <c r="U25" i="48"/>
  <c r="P25" i="48"/>
  <c r="O25" i="48"/>
  <c r="S25" i="48"/>
  <c r="E25" i="48"/>
  <c r="E32" i="48"/>
  <c r="T32" i="48"/>
  <c r="S32" i="48"/>
  <c r="O32" i="48"/>
  <c r="P32" i="48"/>
  <c r="U32" i="48"/>
  <c r="O24" i="48"/>
  <c r="P24" i="48"/>
  <c r="T24" i="48"/>
  <c r="S24" i="48"/>
  <c r="U24" i="48"/>
  <c r="U29" i="48"/>
  <c r="O29" i="48"/>
  <c r="P29" i="48"/>
  <c r="T29" i="48"/>
  <c r="S29" i="48"/>
  <c r="E26" i="48"/>
  <c r="P22" i="48"/>
  <c r="U22" i="48"/>
  <c r="T22" i="48"/>
  <c r="S22" i="48"/>
  <c r="O22" i="48"/>
  <c r="E23" i="48"/>
  <c r="O23" i="48"/>
  <c r="P23" i="48"/>
  <c r="T23" i="48"/>
  <c r="S23" i="48"/>
  <c r="U23" i="48"/>
  <c r="E35" i="48"/>
  <c r="E16" i="48"/>
  <c r="P28" i="48"/>
  <c r="T28" i="48"/>
  <c r="S28" i="48"/>
  <c r="U28" i="48"/>
  <c r="O28" i="48"/>
  <c r="R38" i="48"/>
  <c r="O14" i="48"/>
  <c r="W14" i="48" s="1"/>
  <c r="U14" i="48"/>
  <c r="S14" i="48"/>
  <c r="P14" i="48"/>
  <c r="T14" i="48"/>
  <c r="E20" i="48"/>
  <c r="U17" i="48"/>
  <c r="P17" i="48"/>
  <c r="S17" i="48"/>
  <c r="T17" i="48"/>
  <c r="O17" i="48"/>
  <c r="N24" i="47"/>
  <c r="O24" i="47"/>
  <c r="O34" i="48"/>
  <c r="S34" i="48"/>
  <c r="T34" i="48"/>
  <c r="P34" i="48"/>
  <c r="U34" i="48"/>
  <c r="J39" i="48"/>
  <c r="U30" i="48"/>
  <c r="P30" i="48"/>
  <c r="O30" i="48"/>
  <c r="T30" i="48"/>
  <c r="S30" i="48"/>
  <c r="O31" i="48"/>
  <c r="U31" i="48"/>
  <c r="T31" i="48"/>
  <c r="S31" i="48"/>
  <c r="P31" i="48"/>
  <c r="U19" i="48"/>
  <c r="T19" i="48"/>
  <c r="S19" i="48"/>
  <c r="O19" i="48"/>
  <c r="P19" i="48"/>
  <c r="M7" i="47"/>
  <c r="M8" i="47" s="1"/>
  <c r="M9" i="47" s="1"/>
  <c r="M10" i="47" s="1"/>
  <c r="M11" i="47" s="1"/>
  <c r="M12" i="47" s="1"/>
  <c r="M13" i="47" s="1"/>
  <c r="M14" i="47" s="1"/>
  <c r="M15" i="47" s="1"/>
  <c r="M16" i="47" s="1"/>
  <c r="M17" i="47" s="1"/>
  <c r="W15" i="48" l="1"/>
  <c r="W16" i="48" s="1"/>
  <c r="W17" i="48" s="1"/>
  <c r="W18" i="48" s="1"/>
  <c r="W19" i="48" s="1"/>
  <c r="W20" i="48" s="1"/>
  <c r="W21" i="48" s="1"/>
  <c r="W22" i="48" s="1"/>
  <c r="W23" i="48" s="1"/>
  <c r="W24" i="48" s="1"/>
  <c r="W25" i="48" s="1"/>
  <c r="W26" i="48" s="1"/>
  <c r="W27" i="48" s="1"/>
  <c r="W28" i="48" s="1"/>
  <c r="W29" i="48" s="1"/>
  <c r="W30" i="48" s="1"/>
  <c r="W31" i="48" s="1"/>
  <c r="W32" i="48" s="1"/>
  <c r="W33" i="48" s="1"/>
  <c r="W34" i="48" s="1"/>
  <c r="W35" i="48" s="1"/>
  <c r="A42" i="48"/>
  <c r="A43" i="48" s="1"/>
  <c r="J41" i="48"/>
  <c r="O38" i="48"/>
  <c r="P38" i="48" s="1"/>
  <c r="M18" i="47"/>
  <c r="K41" i="48" l="1"/>
  <c r="M41"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Hofer, Andreas (DI IT DEMA PLM CPP)</author>
    <author>Alfred Huber</author>
    <author>Huber Alfred</author>
    <author xml:space="preserve"> </author>
  </authors>
  <commentList>
    <comment ref="E3" authorId="0" shapeId="0" xr:uid="{00E8E82A-06B1-48DC-A903-1C2EE3D5414A}">
      <text>
        <r>
          <rPr>
            <b/>
            <sz val="9"/>
            <color indexed="81"/>
            <rFont val="Tahoma"/>
            <family val="2"/>
          </rPr>
          <t>Resturlaub im aktuellen Zeitraum</t>
        </r>
      </text>
    </comment>
    <comment ref="R4" authorId="1"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1" shapeId="0" xr:uid="{03C7D4A3-30BB-46D9-A2C4-A7A870B6606D}">
      <text>
        <r>
          <rPr>
            <b/>
            <sz val="9"/>
            <color indexed="81"/>
            <rFont val="Segoe UI"/>
            <family val="2"/>
          </rPr>
          <t>Abwesend:</t>
        </r>
        <r>
          <rPr>
            <sz val="9"/>
            <color indexed="81"/>
            <rFont val="Segoe UI"/>
            <family val="2"/>
          </rPr>
          <t xml:space="preserve">
Summe der Zeiten zwischen Gehen1-Kommen2 und Gehen2-Kommen3</t>
        </r>
      </text>
    </comment>
    <comment ref="T4" authorId="1" shapeId="0" xr:uid="{00000000-0006-0000-0400-000002000000}">
      <text>
        <r>
          <rPr>
            <b/>
            <sz val="8"/>
            <color indexed="81"/>
            <rFont val="Tahoma"/>
            <family val="2"/>
          </rPr>
          <t xml:space="preserve">Abzug auto:: 
</t>
        </r>
        <r>
          <rPr>
            <sz val="8"/>
            <color indexed="81"/>
            <rFont val="Tahoma"/>
            <family val="2"/>
          </rPr>
          <t>Pause 1 &amp; 2 nach Einstellungen.</t>
        </r>
      </text>
    </comment>
    <comment ref="U4" authorId="1" shapeId="0" xr:uid="{00000000-0006-0000-0400-000003000000}">
      <text>
        <r>
          <rPr>
            <b/>
            <sz val="8"/>
            <color indexed="81"/>
            <rFont val="Tahoma"/>
            <family val="2"/>
          </rPr>
          <t>Abzug Ber</t>
        </r>
        <r>
          <rPr>
            <sz val="8"/>
            <color indexed="81"/>
            <rFont val="Tahoma"/>
            <family val="2"/>
          </rPr>
          <t>echnet</t>
        </r>
        <r>
          <rPr>
            <b/>
            <sz val="8"/>
            <color indexed="81"/>
            <rFont val="Tahoma"/>
            <family val="2"/>
          </rPr>
          <t xml:space="preserve">: </t>
        </r>
        <r>
          <rPr>
            <sz val="8"/>
            <color indexed="81"/>
            <rFont val="Tahoma"/>
            <family val="2"/>
          </rPr>
          <t xml:space="preserve">
Kein Abzug wenn die Abwesenheit größer als der Abzug auto.
Ansonsten wird die Pause 1&amp;2 Einstellung angezogen.
Falls anders gewünscht -&gt; einfach manuell korrigieren.
</t>
        </r>
      </text>
    </comment>
    <comment ref="W4" authorId="2"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X4" authorId="1"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Z4" authorId="3" shapeId="0" xr:uid="{00000000-0006-0000-0400-000006000000}">
      <text>
        <r>
          <rPr>
            <b/>
            <sz val="8"/>
            <color indexed="81"/>
            <rFont val="Tahoma"/>
            <family val="2"/>
          </rPr>
          <t>V_SOLL :</t>
        </r>
        <r>
          <rPr>
            <sz val="8"/>
            <color indexed="81"/>
            <rFont val="Tahoma"/>
            <family val="2"/>
          </rPr>
          <t xml:space="preserve">
SOLL Vorgabe</t>
        </r>
      </text>
    </comment>
    <comment ref="AE4" authorId="3" shapeId="0" xr:uid="{00000000-0006-0000-0400-000007000000}">
      <text>
        <r>
          <rPr>
            <b/>
            <sz val="8"/>
            <color indexed="81"/>
            <rFont val="Tahoma"/>
            <family val="2"/>
          </rPr>
          <t xml:space="preserve"> SaldoGes:
ohne &gt;10Std</t>
        </r>
        <r>
          <rPr>
            <sz val="8"/>
            <color indexed="81"/>
            <rFont val="Tahoma"/>
            <family val="2"/>
          </rPr>
          <t xml:space="preserve">
</t>
        </r>
      </text>
    </comment>
    <comment ref="AF4" authorId="3" shapeId="0" xr:uid="{00000000-0006-0000-0400-000008000000}">
      <text>
        <r>
          <rPr>
            <b/>
            <sz val="8"/>
            <color indexed="81"/>
            <rFont val="Tahoma"/>
            <family val="2"/>
          </rPr>
          <t>Korr :</t>
        </r>
        <r>
          <rPr>
            <sz val="8"/>
            <color indexed="81"/>
            <rFont val="Tahoma"/>
            <family val="2"/>
          </rPr>
          <t xml:space="preserve">
Korrektur Zeitsaldo hh:mm
</t>
        </r>
        <r>
          <rPr>
            <b/>
            <sz val="8"/>
            <color indexed="81"/>
            <rFont val="Tahoma"/>
            <family val="2"/>
          </rPr>
          <t>negativ</t>
        </r>
        <r>
          <rPr>
            <sz val="8"/>
            <color indexed="81"/>
            <rFont val="Tahoma"/>
            <family val="2"/>
          </rPr>
          <t xml:space="preserve"> = Auszahlung,
                   Zeit abgeschnitten, ...
</t>
        </r>
        <r>
          <rPr>
            <b/>
            <sz val="8"/>
            <color indexed="81"/>
            <rFont val="Tahoma"/>
            <family val="2"/>
          </rPr>
          <t>positiv</t>
        </r>
        <r>
          <rPr>
            <sz val="8"/>
            <color indexed="81"/>
            <rFont val="Tahoma"/>
            <family val="2"/>
          </rPr>
          <t xml:space="preserve"> = Reisezeiten, …
Defaulteinstellung: Saldo wird gekürzt</t>
        </r>
      </text>
    </comment>
    <comment ref="AI4" authorId="3"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O4" authorId="3" shapeId="0" xr:uid="{00000000-0006-0000-0400-00000A000000}">
      <text>
        <r>
          <rPr>
            <b/>
            <sz val="8"/>
            <color indexed="81"/>
            <rFont val="Tahoma"/>
            <family val="2"/>
          </rPr>
          <t>SAnfang:</t>
        </r>
        <r>
          <rPr>
            <sz val="8"/>
            <color indexed="81"/>
            <rFont val="Tahoma"/>
            <family val="2"/>
          </rPr>
          <t xml:space="preserve">
Zeigt den Saldo des Monatsanfangs</t>
        </r>
      </text>
    </comment>
    <comment ref="AP4" authorId="3"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S4" authorId="3" shapeId="0" xr:uid="{00000000-0006-0000-0400-00000C000000}">
      <text>
        <r>
          <rPr>
            <b/>
            <sz val="8"/>
            <color indexed="81"/>
            <rFont val="Tahoma"/>
            <family val="2"/>
          </rPr>
          <t>UrlR :</t>
        </r>
        <r>
          <rPr>
            <sz val="8"/>
            <color indexed="81"/>
            <rFont val="Tahoma"/>
            <family val="2"/>
          </rPr>
          <t xml:space="preserve">
Resturlaubssaldo</t>
        </r>
      </text>
    </comment>
    <comment ref="AT4" authorId="3" shapeId="0" xr:uid="{00000000-0006-0000-0400-00000D000000}">
      <text>
        <r>
          <rPr>
            <b/>
            <sz val="8"/>
            <color indexed="81"/>
            <rFont val="Tahoma"/>
            <family val="2"/>
          </rPr>
          <t>UrlRAnf:</t>
        </r>
        <r>
          <rPr>
            <sz val="8"/>
            <color indexed="81"/>
            <rFont val="Tahoma"/>
            <family val="2"/>
          </rPr>
          <t xml:space="preserve">
Zeigt den Resturlaub am Monatsanfang</t>
        </r>
      </text>
    </comment>
    <comment ref="AU4" authorId="3" shapeId="0" xr:uid="{00000000-0006-0000-0400-00000E000000}">
      <text>
        <r>
          <rPr>
            <b/>
            <sz val="8"/>
            <color indexed="81"/>
            <rFont val="Tahoma"/>
            <family val="2"/>
          </rPr>
          <t>KalZeit :</t>
        </r>
        <r>
          <rPr>
            <sz val="8"/>
            <color indexed="81"/>
            <rFont val="Tahoma"/>
            <family val="2"/>
          </rPr>
          <t xml:space="preserve">
Zeit fuer Kalender in Stunden</t>
        </r>
      </text>
    </comment>
    <comment ref="AV4" authorId="3"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Z4" authorId="3"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Hofer, Andreas (GS IT DE PLM PRO SOL EN)</author>
    <author>Alfred Huber</author>
  </authors>
  <commentList>
    <comment ref="B8" authorId="0" shapeId="0" xr:uid="{00000000-0006-0000-0800-000002000000}">
      <text>
        <r>
          <rPr>
            <sz val="10"/>
            <color indexed="81"/>
            <rFont val="Tahoma"/>
            <family val="2"/>
          </rPr>
          <t>Arbeitszeit nach der automatisch eine Pause
eingerechnet wird.
Normalerweise ist das nach 6h der Fall</t>
        </r>
      </text>
    </comment>
    <comment ref="B9" authorId="0" shapeId="0" xr:uid="{00000000-0006-0000-0800-000001000000}">
      <text>
        <r>
          <rPr>
            <sz val="10"/>
            <color indexed="81"/>
            <rFont val="Tahoma"/>
            <family val="2"/>
          </rPr>
          <t>z.B. Länge der Mittagspause</t>
        </r>
      </text>
    </comment>
    <comment ref="F10" authorId="0" shapeId="0" xr:uid="{A36C23EE-DAB1-4E19-966E-894BD8507AC9}">
      <text>
        <r>
          <rPr>
            <sz val="10"/>
            <color indexed="81"/>
            <rFont val="Tahoma"/>
            <family val="2"/>
          </rPr>
          <t>Übertrag von Stunden
für Aufgaben</t>
        </r>
      </text>
    </comment>
    <comment ref="B14" authorId="1" shapeId="0" xr:uid="{DFF9E24F-4D14-4176-90FE-EAF263750404}">
      <text>
        <r>
          <rPr>
            <sz val="10"/>
            <color indexed="81"/>
            <rFont val="Tahoma"/>
            <family val="2"/>
          </rPr>
          <t>Schwellenwert ab dem die Zelle in der Spalte Ist-Werte farblich markiert wird.
Beispiel: Man sieht sofort wenn man über 9:15 h pro Tag gearbeitet hat.</t>
        </r>
      </text>
    </comment>
    <comment ref="D17" authorId="2"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<sst xmlns="http://schemas.openxmlformats.org/spreadsheetml/2006/main" count="338" uniqueCount="258">
  <si>
    <t>Arbeit über Max</t>
  </si>
  <si>
    <t>Kein Tag</t>
  </si>
  <si>
    <t>Feiertage</t>
  </si>
  <si>
    <t>Std.
SOLL</t>
  </si>
  <si>
    <t>Std.
IST</t>
  </si>
  <si>
    <t>Tage
IST</t>
  </si>
  <si>
    <t>Mehr arbeit ges</t>
  </si>
  <si>
    <t>Saldo ges</t>
  </si>
  <si>
    <t>v_soll</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</si>
  <si>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</si>
  <si>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</si>
  <si>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</si>
  <si>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</si>
  <si>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</si>
  <si>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</si>
  <si>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</si>
  <si>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</si>
  <si>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</si>
  <si>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</si>
  <si>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</si>
  <si>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</si>
  <si>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</si>
  <si>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</si>
  <si>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</si>
  <si>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</si>
  <si>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</si>
  <si>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</si>
  <si>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</si>
  <si>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</si>
  <si>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</si>
  <si>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</si>
  <si>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</si>
  <si>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</si>
  <si>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</si>
  <si>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</si>
  <si>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</si>
  <si>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</si>
  <si>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</si>
  <si>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</si>
  <si>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</si>
  <si>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</si>
  <si>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</si>
  <si>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</si>
  <si>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</si>
  <si>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</si>
  <si>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</si>
  <si>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</si>
  <si>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</si>
  <si>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</si>
  <si>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</si>
  <si>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</si>
  <si>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</si>
  <si>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</si>
  <si>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</si>
  <si>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</si>
  <si>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</si>
  <si>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</si>
  <si>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</si>
  <si>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</si>
  <si>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</si>
  <si>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AG/TG
LstArt</t>
  </si>
  <si>
    <t>AKZ/Kontierung
PSP-Element
Netzpl/Vorgang</t>
  </si>
  <si>
    <t>Total</t>
  </si>
  <si>
    <t>Abzug
Ber</t>
  </si>
  <si>
    <t>IST
Ges</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</si>
  <si>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</si>
  <si>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</si>
  <si>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</si>
  <si>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</si>
  <si>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</si>
  <si>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</si>
  <si>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</si>
  <si>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</si>
  <si>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</si>
  <si>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</si>
  <si>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</si>
  <si>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</si>
  <si>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</si>
  <si>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</si>
  <si>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</si>
  <si>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</si>
  <si>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</si>
  <si>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</si>
  <si>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</si>
  <si>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</si>
  <si>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</si>
  <si>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</si>
  <si>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</si>
  <si>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</si>
  <si>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</si>
  <si>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</si>
  <si>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</si>
  <si>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</si>
  <si>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</si>
  <si>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</si>
  <si>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</si>
  <si>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</si>
  <si>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</si>
  <si>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</si>
  <si>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</si>
  <si>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</si>
  <si>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</si>
  <si>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Abteilung:</t>
  </si>
  <si>
    <t>Arbeitszeit:</t>
  </si>
  <si>
    <t>max. Arbeitszeit:</t>
  </si>
  <si>
    <t>Mehrarbeit:</t>
  </si>
  <si>
    <t>Wegezeit:</t>
  </si>
  <si>
    <t>Basiseinstellungen</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</si>
  <si>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</si>
  <si>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</si>
  <si>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</si>
  <si>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</si>
  <si>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</si>
  <si>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</si>
  <si>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</si>
  <si>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</si>
  <si>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</si>
  <si>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</si>
  <si>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</si>
  <si>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</si>
  <si>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</si>
  <si>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</si>
  <si>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</si>
  <si>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</si>
  <si>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</si>
  <si>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</si>
  <si>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</si>
  <si>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</si>
  <si>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Karfreitag</t>
  </si>
  <si>
    <t>Ostermontag</t>
  </si>
  <si>
    <t>Christi Himmelfahrt</t>
  </si>
  <si>
    <t>Pfingstmontag</t>
  </si>
  <si>
    <t>Tag der Arbeit</t>
  </si>
  <si>
    <t>Tag der Deutschen Einheit</t>
  </si>
  <si>
    <t>Allerheiligen</t>
  </si>
  <si>
    <t>1. Weihnachtsfeiertag</t>
  </si>
  <si>
    <t>2. Weihnachtsfeiertag</t>
  </si>
  <si>
    <t>Neujahr</t>
  </si>
  <si>
    <t>Aufgabe 17</t>
  </si>
  <si>
    <t>Summen</t>
  </si>
  <si>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</si>
  <si>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</si>
  <si>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</si>
  <si>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</si>
  <si>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</si>
  <si>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</si>
  <si>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</si>
  <si>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</si>
  <si>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</si>
  <si>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</si>
  <si>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</si>
  <si>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</si>
  <si>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</si>
  <si>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</si>
  <si>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</si>
  <si>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</si>
  <si>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</si>
  <si>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</si>
  <si>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</si>
  <si>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</si>
  <si>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</si>
  <si>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</si>
  <si>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</si>
  <si>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</si>
  <si>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</si>
  <si>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</si>
  <si>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</si>
  <si>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</si>
  <si>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</si>
  <si>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</si>
  <si>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</si>
  <si>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</si>
  <si>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</si>
  <si>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</si>
  <si>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</si>
  <si>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</si>
  <si>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</si>
  <si>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</si>
  <si>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</si>
  <si>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</si>
  <si>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Aufgabe 01</t>
  </si>
  <si>
    <t>Aufgabe 02</t>
  </si>
  <si>
    <t>Aufgabe 03</t>
  </si>
  <si>
    <t>Aufgabe 04</t>
  </si>
  <si>
    <t>Aufgabe 05</t>
  </si>
  <si>
    <t>Aufgabe 06</t>
  </si>
  <si>
    <t>Aufgabe 07</t>
  </si>
  <si>
    <t>Aufgabe 08</t>
  </si>
  <si>
    <t>Aufgabe 09</t>
  </si>
  <si>
    <t>Gehen 1 (berechnet)</t>
  </si>
  <si>
    <t>Gehen 2 (berechnet)</t>
  </si>
  <si>
    <t>Gehen 3 (berechnet)</t>
  </si>
  <si>
    <t>Tages Saldo</t>
  </si>
  <si>
    <t>Jahres-saldo</t>
  </si>
  <si>
    <t>Pause 2 nach:</t>
  </si>
  <si>
    <t>Pausenlänge 2:</t>
  </si>
  <si>
    <t>Pause 1 nach:</t>
  </si>
  <si>
    <t>Pausenlänge 1:</t>
  </si>
  <si>
    <t>Abwesend</t>
  </si>
  <si>
    <t>Abzug auto:</t>
  </si>
  <si>
    <t>Mustermann</t>
  </si>
  <si>
    <t>999999</t>
  </si>
  <si>
    <t>Siemens</t>
  </si>
  <si>
    <t>Please add before this line</t>
  </si>
  <si>
    <t>Schwellenwert</t>
  </si>
  <si>
    <t>wird nicht gebraucht! Ist falsch berechnet wegen Korrektur +/-</t>
  </si>
  <si>
    <t>braucht man nicht wenn man keine Summe über die Korrektur bilden will</t>
  </si>
  <si>
    <t>Arbeitsort</t>
  </si>
  <si>
    <t>Büro</t>
  </si>
  <si>
    <t>Please do not change</t>
  </si>
  <si>
    <t>Platz für Notizen/Kommentar</t>
  </si>
  <si>
    <t>Arbeitsort: im Büro</t>
  </si>
  <si>
    <t>Arbeitsort: im HomeOffice ("Mobiles Arbeiten")</t>
  </si>
  <si>
    <r>
      <t xml:space="preserve">Arbeitsort
</t>
    </r>
    <r>
      <rPr>
        <sz val="8"/>
        <rFont val="Helv"/>
      </rPr>
      <t>(Büro oder HomeOffice)</t>
    </r>
  </si>
  <si>
    <t>Kunde</t>
  </si>
  <si>
    <t>Dienstreise</t>
  </si>
  <si>
    <t>HomeOffice (Mobiles Arbeiten)</t>
  </si>
  <si>
    <t>Arbeitsort Index</t>
  </si>
  <si>
    <t>Arbeitsort Teilsummen (ausgewähler Bereich)</t>
  </si>
  <si>
    <r>
      <t>Teilsummen</t>
    </r>
    <r>
      <rPr>
        <sz val="8"/>
        <color rgb="FF0070C0"/>
        <rFont val="Helv"/>
      </rPr>
      <t xml:space="preserve"> (ausgewähler Bereich)</t>
    </r>
  </si>
  <si>
    <t>Summe Tage mit gepflegtem Arbeitsort</t>
  </si>
  <si>
    <t>(in Ruhestand)</t>
  </si>
  <si>
    <t>Aufgabe 20</t>
  </si>
  <si>
    <t>Aufgabe 21</t>
  </si>
  <si>
    <t>Aufgabe 22</t>
  </si>
  <si>
    <t>Aufgabe 23</t>
  </si>
  <si>
    <t>Aufgabe 24</t>
  </si>
  <si>
    <t>Aufgabe 25</t>
  </si>
  <si>
    <t>Aufgabe 26</t>
  </si>
  <si>
    <t>Aufgabe 27</t>
  </si>
  <si>
    <t>Aufgabe 28</t>
  </si>
  <si>
    <t>Aufgabe 29</t>
  </si>
  <si>
    <t>Aufgabe 30</t>
  </si>
  <si>
    <t>Aufgabe 31</t>
  </si>
  <si>
    <t>Aufgabe 32</t>
  </si>
  <si>
    <t>Aufgabe 33</t>
  </si>
  <si>
    <t>Aufgabe 34</t>
  </si>
  <si>
    <t>Aufgabe 35</t>
  </si>
  <si>
    <t>Aufgabe 36</t>
  </si>
  <si>
    <t>Aufgabe 37</t>
  </si>
  <si>
    <t>Aufgabe 38</t>
  </si>
  <si>
    <t>Aufgabe 39</t>
  </si>
  <si>
    <t>Aufgabe 40</t>
  </si>
  <si>
    <t>Aufgabe 41</t>
  </si>
  <si>
    <t>Aufgabe 42</t>
  </si>
  <si>
    <t>Aufgabe 43</t>
  </si>
  <si>
    <t>Aufgabe 44</t>
  </si>
  <si>
    <t>Aufgabe 45</t>
  </si>
  <si>
    <t>Aufgabe 46</t>
  </si>
  <si>
    <t>Aufgabe 47</t>
  </si>
  <si>
    <t>Aufgabe 48</t>
  </si>
  <si>
    <t>Aufgabe 49</t>
  </si>
  <si>
    <t>Aufgabe 50</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</si>
  <si>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xml:space="preserve">.
- Version V6.3
Erweiterung der Aufgaben von 19 auf 50. Registerkarte Cockpit gelöscht
- Version V6.2f
neue Version 2024
- Version V6.2e
Anzeige von Resturlaub im aktuell eingestellten Zeitraum in der Zelle E3.
- Version V6.2a / b / c / d
Im Tabellenblatt Arbeitszeit kann man nun auch den Arbeitsort angeben. In Zeiten von Corona sehr hilfreich. Vielen Dank an Thomas Gern &lt;thomas.gern@siemens.com&gt; der diese Änderung eingebaut hat. In dem Tabellenblatt Übersicht gibt es dann die Auswertung für den Arbeitsort. Eine genauere Beschreibung findet ihr unter Infos Arbeitsort. Fehlerbeseitigung in der Summenbildung für den Arbeitsort (Registerkarte Arbeitszeit). Version b) ... um Kunde ergänzt. Die Anzahl Tage an Arbeitsorten kann man jetzt auch Teilsummen (wichtig bei Filtern) bilden.
Die Wegezeit wird nur noch abgezogen wenn man im </t>
    </r>
    <r>
      <rPr>
        <b/>
        <sz val="10"/>
        <rFont val="Arial"/>
        <family val="2"/>
      </rPr>
      <t>Büro</t>
    </r>
    <r>
      <rPr>
        <sz val="10"/>
        <rFont val="Arial"/>
        <family val="2"/>
      </rPr>
      <t xml:space="preserve"> arbeitet.
</t>
    </r>
    <r>
      <rPr>
        <i/>
        <sz val="10"/>
        <rFont val="Arial"/>
        <family val="2"/>
      </rPr>
      <t xml:space="preserve">- Version V6.1
Fehler beim Jahressaldo und bei der Wegezeitberechnung korrigiert. 
Die Korrektur des Jahressaldo kann nun negativ (z.B. für Auszahlungen) oder positiv (z.B. Reisezeiten gutschreiben) sein.
- Version V6.0
</t>
    </r>
    <r>
      <rPr>
        <sz val="10"/>
        <rFont val="Arial"/>
        <family val="2"/>
      </rPr>
      <t xml:space="preserve">Nachdem sich das Tool immer mehr verbreitet und auch von immer mehreren Betriebsräten empfohlen wird - herzlichen Dank an dieser Stelle dafür - haben wir die Pausenzeiten parametrierbar gemacht. Bei einer Arbeitszeit von sechs bis neun Stunden muss eine Arbeitspause von mindestens 30 Minuten genommen werden. Bei einer Arbeitszeit von mehr als neun Stunden ist eine Pause von 45 Minuten vorgeschrieben. Bei anderen Regelungen z.B. für Kollegen, die im Ausland arbeiten kann, das aber jetzt parametriert werden: Siehe Pause 1 und 2.
Außerdem kann man jetzt einen Schwellenwert definieren, ab dem die Schriftfarbe der Ist-Arbeitszeit wechselt. Damit kann man schnell farblich unterstützt sehen, wenn man über einem definierbaren maximal Wert liegt.
</t>
    </r>
    <r>
      <rPr>
        <i/>
        <sz val="10"/>
        <rFont val="Arial"/>
        <family val="2"/>
      </rPr>
      <t xml:space="preserve">- Version V5.9a
</t>
    </r>
    <r>
      <rPr>
        <sz val="10"/>
        <rFont val="Arial"/>
        <family val="2"/>
      </rPr>
      <t xml:space="preserve">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
</t>
    </r>
    <r>
      <rPr>
        <i/>
        <sz val="10"/>
        <rFont val="Arial"/>
        <family val="2"/>
      </rPr>
      <t xml:space="preserve">- Version V3.0
</t>
    </r>
    <r>
      <rPr>
        <sz val="10"/>
        <rFont val="Arial"/>
        <family val="2"/>
      </rPr>
      <t>Mit der Version 3.0 wurde es grundlegend überarbeitet. Der Übersicht halber wurden die einzelnen Kalenderblätter zu einem einzigen (Arbeitszeit) zusammengefasst.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</si>
  <si>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Summe (verrechenbare Stunden Zeilen 7-56)</t>
  </si>
  <si>
    <t xml:space="preserve"> U=Urlaub G=Gleittag K=Krank S=Sonstiges (IST=SOLL) X=keine Zeiterfassung</t>
  </si>
  <si>
    <t>E-Mail: andreas.friedrich.hofer+GLAZ@gmail.com</t>
  </si>
  <si>
    <r>
      <t>Glaz V6.6  09/2026</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</si>
</sst>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d"/>
    <numFmt numFmtId="172" formatCode="mmm"/>
    <numFmt numFmtId="173" formatCode="mmm\ ddd\ dd"/>
    <numFmt numFmtId="174" formatCode="[hh]:mm"/>
    <numFmt numFmtId="175" formatCode="h:mm;\-General;&quot;&quot;"/>
    <numFmt numFmtId="176" formatCode="0.0\ &quot;Tage&quot;"/>
    <numFmt numFmtId="177" formatCode="mmm\ yyyy"/>
    <numFmt numFmtId="178" formatCode="[hh]:mm;\-General;&quot;&quot;"/>
    <numFmt numFmtId="179" formatCode="mm\ yy"/>
    <numFmt numFmtId="180" formatCode="\ mmm/\ yyyy"/>
    <numFmt numFmtId="181" formatCode="yyyy\ mmm"/>
    <numFmt numFmtId="182" formatCode="yyyy\-mm\-dd\ \ ddd"/>
    <numFmt numFmtId="183" formatCode="yy\-mmm"/>
    <numFmt numFmtId="184" formatCode="yyyy\-mm\-dd"/>
    <numFmt numFmtId="185" formatCode="yyyy\-mm"/>
    <numFmt numFmtId="186" formatCode="dd/mm;@"/>
    <numFmt numFmtId="187" formatCode="General\ &quot;Tage&quot;"/>
  </numFmts>
  <fonts count="66">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10"/>
      <color indexed="81"/>
      <name val="Tahoma"/>
      <family val="2"/>
    </font>
    <font>
      <sz val="9"/>
      <color indexed="81"/>
      <name val="Segoe UI"/>
      <family val="2"/>
    </font>
    <font>
      <b/>
      <sz val="9"/>
      <color indexed="81"/>
      <name val="Segoe UI"/>
      <family val="2"/>
    </font>
    <font>
      <b/>
      <sz val="10"/>
      <color theme="9" tint="-0.249977111117893"/>
      <name val="Arial"/>
      <family val="2"/>
    </font>
    <font>
      <b/>
      <sz val="12"/>
      <name val="Helv"/>
    </font>
    <font>
      <sz val="10"/>
      <name val="Arial"/>
      <family val="2"/>
    </font>
    <font>
      <b/>
      <sz val="8"/>
      <color indexed="13"/>
      <name val="Arial"/>
      <family val="2"/>
    </font>
    <font>
      <b/>
      <sz val="8"/>
      <name val="Hel"/>
    </font>
    <font>
      <sz val="8"/>
      <name val="Hel"/>
    </font>
    <font>
      <b/>
      <sz val="8"/>
      <color rgb="FF0070C0"/>
      <name val="Helv"/>
    </font>
    <font>
      <sz val="8"/>
      <color rgb="FF0070C0"/>
      <name val="Helv"/>
    </font>
    <font>
      <sz val="10"/>
      <color rgb="FF0070C0"/>
      <name val="Arial"/>
      <family val="2"/>
    </font>
    <font>
      <b/>
      <sz val="9"/>
      <color indexed="81"/>
      <name val="Tahoma"/>
      <family val="2"/>
    </font>
  </fonts>
  <fills count="29">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rgb="FF92D050"/>
        <bgColor indexed="64"/>
      </patternFill>
    </fill>
    <fill>
      <patternFill patternType="solid">
        <fgColor rgb="FFFFFF00"/>
        <bgColor indexed="64"/>
      </patternFill>
    </fill>
    <fill>
      <patternFill patternType="solid">
        <fgColor rgb="FFE3E3E3"/>
        <bgColor indexed="64"/>
      </patternFill>
    </fill>
    <fill>
      <patternFill patternType="solid">
        <fgColor rgb="FF99CCFF"/>
        <bgColor indexed="64"/>
      </patternFill>
    </fill>
    <fill>
      <patternFill patternType="solid">
        <fgColor theme="0" tint="-0.14999847407452621"/>
        <bgColor indexed="64"/>
      </patternFill>
    </fill>
  </fills>
  <borders count="102">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thin">
        <color indexed="22"/>
      </left>
      <right style="thin">
        <color indexed="22"/>
      </right>
      <top/>
      <bottom style="thin">
        <color indexed="22"/>
      </bottom>
      <diagonal/>
    </border>
    <border>
      <left/>
      <right style="medium">
        <color indexed="64"/>
      </right>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hair">
        <color indexed="64"/>
      </right>
      <top style="hair">
        <color indexed="64"/>
      </top>
      <bottom style="medium">
        <color indexed="64"/>
      </bottom>
      <diagonal/>
    </border>
  </borders>
  <cellStyleXfs count="4">
    <xf numFmtId="0" fontId="0" fillId="0" borderId="0"/>
    <xf numFmtId="0" fontId="1" fillId="0" borderId="0"/>
    <xf numFmtId="0" fontId="1" fillId="0" borderId="0"/>
    <xf numFmtId="9" fontId="58" fillId="0" borderId="0" applyFont="0" applyFill="0" applyBorder="0" applyAlignment="0" applyProtection="0"/>
  </cellStyleXfs>
  <cellXfs count="628">
    <xf numFmtId="0" fontId="0" fillId="0" borderId="0" xfId="0"/>
    <xf numFmtId="0" fontId="2" fillId="0" borderId="0" xfId="0" applyFont="1"/>
    <xf numFmtId="0" fontId="0" fillId="0" borderId="0" xfId="0" applyAlignment="1">
      <alignment horizontal="left"/>
    </xf>
    <xf numFmtId="1" fontId="0" fillId="0" borderId="0" xfId="0" applyNumberFormat="1" applyAlignment="1">
      <alignment horizontal="center"/>
    </xf>
    <xf numFmtId="0" fontId="2" fillId="0" borderId="0" xfId="0" applyFont="1" applyAlignment="1">
      <alignment horizontal="right"/>
    </xf>
    <xf numFmtId="1" fontId="7" fillId="0" borderId="2" xfId="0" applyNumberFormat="1" applyFont="1" applyBorder="1" applyAlignment="1">
      <alignment horizontal="center"/>
    </xf>
    <xf numFmtId="1" fontId="7" fillId="0" borderId="0" xfId="0" applyNumberFormat="1" applyFont="1" applyAlignment="1">
      <alignment horizontal="center"/>
    </xf>
    <xf numFmtId="20" fontId="2" fillId="0" borderId="3" xfId="0" applyNumberFormat="1" applyFont="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xf numFmtId="0" fontId="0" fillId="3" borderId="9" xfId="0" applyFill="1" applyBorder="1"/>
    <xf numFmtId="0" fontId="3" fillId="0" borderId="0" xfId="0" applyFont="1" applyAlignment="1">
      <alignment horizontal="center"/>
    </xf>
    <xf numFmtId="46" fontId="0" fillId="0" borderId="0" xfId="0" applyNumberFormat="1"/>
    <xf numFmtId="1" fontId="0" fillId="0" borderId="0" xfId="0" applyNumberFormat="1"/>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9"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lignment horizontal="left"/>
    </xf>
    <xf numFmtId="20" fontId="2" fillId="0" borderId="0" xfId="0" applyNumberFormat="1" applyFont="1" applyAlignment="1">
      <alignment horizontal="center"/>
    </xf>
    <xf numFmtId="0" fontId="11" fillId="0" borderId="0" xfId="0" applyFont="1"/>
    <xf numFmtId="0" fontId="20" fillId="0" borderId="0" xfId="0" applyFont="1" applyAlignment="1">
      <alignment horizontal="right"/>
    </xf>
    <xf numFmtId="2" fontId="0" fillId="0" borderId="0" xfId="0" applyNumberFormat="1" applyProtection="1">
      <protection locked="0"/>
    </xf>
    <xf numFmtId="174"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Protection="1">
      <protection locked="0"/>
    </xf>
    <xf numFmtId="174" fontId="12" fillId="3" borderId="23" xfId="0" applyNumberFormat="1" applyFont="1" applyFill="1" applyBorder="1" applyAlignment="1" applyProtection="1">
      <alignment horizontal="center"/>
      <protection locked="0"/>
    </xf>
    <xf numFmtId="174"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Alignment="1" applyProtection="1">
      <alignment horizontal="center"/>
      <protection locked="0"/>
    </xf>
    <xf numFmtId="170" fontId="0" fillId="0" borderId="0" xfId="0" applyNumberFormat="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Border="1" applyAlignment="1">
      <alignment horizontal="center"/>
    </xf>
    <xf numFmtId="166" fontId="8" fillId="0" borderId="20" xfId="0" applyNumberFormat="1" applyFont="1" applyBorder="1" applyAlignment="1">
      <alignment horizontal="right"/>
    </xf>
    <xf numFmtId="20" fontId="0" fillId="0" borderId="0" xfId="0" applyNumberFormat="1"/>
    <xf numFmtId="0" fontId="0" fillId="0" borderId="0" xfId="0" applyAlignment="1">
      <alignment horizontal="right"/>
    </xf>
    <xf numFmtId="0" fontId="0" fillId="0" borderId="0" xfId="0" applyAlignment="1">
      <alignment vertical="center"/>
    </xf>
    <xf numFmtId="170" fontId="0" fillId="0" borderId="0" xfId="0" applyNumberFormat="1"/>
    <xf numFmtId="174" fontId="0" fillId="3" borderId="25" xfId="0" applyNumberFormat="1" applyFill="1" applyBorder="1" applyAlignment="1" applyProtection="1">
      <alignment horizontal="center"/>
      <protection locked="0"/>
    </xf>
    <xf numFmtId="174" fontId="0" fillId="6" borderId="25" xfId="0" applyNumberFormat="1" applyFill="1" applyBorder="1" applyAlignment="1" applyProtection="1">
      <alignment horizontal="center"/>
      <protection locked="0"/>
    </xf>
    <xf numFmtId="174" fontId="0" fillId="6" borderId="26" xfId="0" applyNumberFormat="1" applyFill="1" applyBorder="1" applyAlignment="1" applyProtection="1">
      <alignment horizontal="center"/>
      <protection locked="0"/>
    </xf>
    <xf numFmtId="174" fontId="0" fillId="3" borderId="12" xfId="0" applyNumberFormat="1" applyFill="1" applyBorder="1" applyAlignment="1">
      <alignment horizontal="left"/>
    </xf>
    <xf numFmtId="174" fontId="0" fillId="3" borderId="21" xfId="0" applyNumberFormat="1" applyFill="1" applyBorder="1" applyAlignment="1" applyProtection="1">
      <alignment horizontal="left"/>
      <protection locked="0"/>
    </xf>
    <xf numFmtId="174" fontId="2" fillId="0" borderId="3" xfId="0" applyNumberFormat="1" applyFont="1" applyBorder="1" applyAlignment="1">
      <alignment horizontal="center"/>
    </xf>
    <xf numFmtId="174" fontId="15" fillId="0" borderId="0" xfId="0" applyNumberFormat="1" applyFont="1" applyAlignment="1">
      <alignment horizontal="center"/>
    </xf>
    <xf numFmtId="174" fontId="2" fillId="0" borderId="18" xfId="0" applyNumberFormat="1" applyFont="1" applyBorder="1" applyAlignment="1">
      <alignment horizontal="right"/>
    </xf>
    <xf numFmtId="175" fontId="2" fillId="0" borderId="3" xfId="0" applyNumberFormat="1" applyFont="1" applyBorder="1" applyAlignment="1">
      <alignment horizontal="center"/>
    </xf>
    <xf numFmtId="174" fontId="15" fillId="0" borderId="3" xfId="0" applyNumberFormat="1" applyFont="1" applyBorder="1" applyAlignment="1">
      <alignment horizontal="right"/>
    </xf>
    <xf numFmtId="174" fontId="26" fillId="0" borderId="0" xfId="0" applyNumberFormat="1" applyFont="1"/>
    <xf numFmtId="174" fontId="12" fillId="3" borderId="13" xfId="0" applyNumberFormat="1" applyFont="1" applyFill="1" applyBorder="1" applyAlignment="1" applyProtection="1">
      <alignment horizontal="center"/>
      <protection locked="0"/>
    </xf>
    <xf numFmtId="168" fontId="27"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7" xfId="0" applyFill="1" applyBorder="1" applyProtection="1">
      <protection locked="0"/>
    </xf>
    <xf numFmtId="0" fontId="11" fillId="0" borderId="0" xfId="0" applyFont="1" applyProtection="1">
      <protection locked="0"/>
    </xf>
    <xf numFmtId="0" fontId="12" fillId="3" borderId="0" xfId="0" applyFont="1" applyFill="1" applyAlignment="1" applyProtection="1">
      <alignment horizontal="left"/>
      <protection locked="0"/>
    </xf>
    <xf numFmtId="174" fontId="15" fillId="0" borderId="3" xfId="0" applyNumberFormat="1" applyFont="1" applyBorder="1" applyAlignment="1">
      <alignment horizontal="center"/>
    </xf>
    <xf numFmtId="2" fontId="2" fillId="0" borderId="0" xfId="0" applyNumberFormat="1" applyFont="1" applyAlignment="1">
      <alignment horizontal="right"/>
    </xf>
    <xf numFmtId="174" fontId="2" fillId="0" borderId="0" xfId="0" applyNumberFormat="1" applyFont="1" applyAlignment="1">
      <alignment horizontal="center"/>
    </xf>
    <xf numFmtId="1" fontId="15" fillId="0" borderId="3" xfId="0" applyNumberFormat="1" applyFont="1" applyBorder="1" applyAlignment="1">
      <alignment horizontal="center"/>
    </xf>
    <xf numFmtId="0" fontId="15" fillId="0" borderId="3" xfId="0" applyFont="1" applyBorder="1" applyAlignment="1">
      <alignment horizontal="center"/>
    </xf>
    <xf numFmtId="170" fontId="11" fillId="9" borderId="28" xfId="0" applyNumberFormat="1" applyFont="1" applyFill="1" applyBorder="1" applyAlignment="1">
      <alignment horizontal="center"/>
    </xf>
    <xf numFmtId="170" fontId="11" fillId="10" borderId="28" xfId="0" applyNumberFormat="1" applyFont="1" applyFill="1" applyBorder="1" applyAlignment="1">
      <alignment horizontal="center"/>
    </xf>
    <xf numFmtId="170" fontId="11" fillId="11" borderId="28" xfId="0" applyNumberFormat="1" applyFont="1" applyFill="1" applyBorder="1" applyAlignment="1">
      <alignment horizontal="center"/>
    </xf>
    <xf numFmtId="170" fontId="11" fillId="0" borderId="28" xfId="0" applyNumberFormat="1" applyFont="1" applyBorder="1" applyAlignment="1">
      <alignment horizontal="center"/>
    </xf>
    <xf numFmtId="170" fontId="11" fillId="3" borderId="28" xfId="0" applyNumberFormat="1" applyFont="1" applyFill="1" applyBorder="1" applyAlignment="1">
      <alignment horizontal="center"/>
    </xf>
    <xf numFmtId="170" fontId="11" fillId="12" borderId="28" xfId="0" applyNumberFormat="1" applyFont="1" applyFill="1" applyBorder="1" applyAlignment="1">
      <alignment horizontal="center"/>
    </xf>
    <xf numFmtId="170" fontId="11" fillId="13" borderId="28" xfId="0" applyNumberFormat="1" applyFont="1" applyFill="1" applyBorder="1" applyAlignment="1">
      <alignment horizontal="center"/>
    </xf>
    <xf numFmtId="14" fontId="0" fillId="0" borderId="0" xfId="0" applyNumberFormat="1"/>
    <xf numFmtId="170" fontId="15" fillId="0" borderId="3" xfId="0" applyNumberFormat="1" applyFont="1" applyBorder="1" applyAlignment="1">
      <alignment horizontal="center"/>
    </xf>
    <xf numFmtId="170" fontId="11" fillId="14" borderId="28" xfId="0" applyNumberFormat="1" applyFont="1" applyFill="1" applyBorder="1" applyAlignment="1">
      <alignment horizontal="center" vertical="center"/>
    </xf>
    <xf numFmtId="170" fontId="11" fillId="12" borderId="28" xfId="0" applyNumberFormat="1" applyFont="1" applyFill="1" applyBorder="1" applyAlignment="1">
      <alignment horizontal="center" vertical="center"/>
    </xf>
    <xf numFmtId="0" fontId="22" fillId="12" borderId="28" xfId="0" applyFont="1" applyFill="1" applyBorder="1" applyAlignment="1">
      <alignment horizontal="center"/>
    </xf>
    <xf numFmtId="170" fontId="11" fillId="3" borderId="28" xfId="0" applyNumberFormat="1" applyFont="1" applyFill="1" applyBorder="1" applyAlignment="1">
      <alignment horizontal="center" vertical="center"/>
    </xf>
    <xf numFmtId="0" fontId="22" fillId="3" borderId="28" xfId="0" applyFont="1" applyFill="1" applyBorder="1" applyAlignment="1">
      <alignment horizontal="center"/>
    </xf>
    <xf numFmtId="0" fontId="23" fillId="0" borderId="0" xfId="0" applyFont="1" applyProtection="1">
      <protection locked="0"/>
    </xf>
    <xf numFmtId="169" fontId="24" fillId="0" borderId="0" xfId="0" applyNumberFormat="1" applyFont="1" applyAlignment="1">
      <alignment horizontal="center" vertical="center"/>
    </xf>
    <xf numFmtId="0" fontId="2" fillId="0" borderId="3" xfId="0" applyFont="1" applyBorder="1" applyAlignment="1">
      <alignment horizontal="center"/>
    </xf>
    <xf numFmtId="20" fontId="6" fillId="0" borderId="3" xfId="0" applyNumberFormat="1" applyFont="1" applyBorder="1" applyAlignment="1">
      <alignment horizontal="center"/>
    </xf>
    <xf numFmtId="178" fontId="26" fillId="0" borderId="0" xfId="0" applyNumberFormat="1" applyFont="1"/>
    <xf numFmtId="178" fontId="2" fillId="0" borderId="3" xfId="0" applyNumberFormat="1" applyFont="1" applyBorder="1" applyAlignment="1">
      <alignment horizontal="center"/>
    </xf>
    <xf numFmtId="0" fontId="17" fillId="0" borderId="0" xfId="0" applyFont="1"/>
    <xf numFmtId="0" fontId="0" fillId="5" borderId="28" xfId="0" applyFill="1" applyBorder="1"/>
    <xf numFmtId="0" fontId="0" fillId="0" borderId="29" xfId="0" applyBorder="1"/>
    <xf numFmtId="170" fontId="0" fillId="5" borderId="28" xfId="0" applyNumberFormat="1" applyFill="1" applyBorder="1" applyAlignment="1">
      <alignment horizontal="center"/>
    </xf>
    <xf numFmtId="170" fontId="0" fillId="7" borderId="28" xfId="0" applyNumberFormat="1" applyFill="1" applyBorder="1" applyAlignment="1" applyProtection="1">
      <alignment horizontal="center"/>
      <protection locked="0"/>
    </xf>
    <xf numFmtId="170" fontId="0" fillId="7" borderId="28" xfId="0" applyNumberFormat="1" applyFill="1" applyBorder="1" applyAlignment="1" applyProtection="1">
      <alignment horizontal="left"/>
      <protection locked="0"/>
    </xf>
    <xf numFmtId="170" fontId="0" fillId="0" borderId="29" xfId="0" applyNumberFormat="1" applyBorder="1"/>
    <xf numFmtId="0" fontId="0" fillId="0" borderId="30" xfId="0" applyBorder="1"/>
    <xf numFmtId="0" fontId="0" fillId="0" borderId="30" xfId="0" applyBorder="1" applyProtection="1">
      <protection locked="0"/>
    </xf>
    <xf numFmtId="0" fontId="0" fillId="0" borderId="31" xfId="0" applyBorder="1"/>
    <xf numFmtId="0" fontId="12" fillId="0" borderId="10" xfId="0" applyFont="1" applyBorder="1" applyAlignment="1" applyProtection="1">
      <alignment horizontal="right"/>
      <protection locked="0"/>
    </xf>
    <xf numFmtId="0" fontId="13" fillId="0" borderId="12" xfId="0" applyFont="1" applyBorder="1" applyAlignment="1" applyProtection="1">
      <alignment horizontal="left"/>
      <protection locked="0"/>
    </xf>
    <xf numFmtId="0" fontId="12" fillId="0" borderId="0" xfId="0" applyFont="1" applyAlignment="1" applyProtection="1">
      <alignment horizontal="left"/>
      <protection locked="0"/>
    </xf>
    <xf numFmtId="0" fontId="12" fillId="0" borderId="0" xfId="0" applyFont="1" applyAlignment="1" applyProtection="1">
      <alignment horizontal="right"/>
      <protection locked="0"/>
    </xf>
    <xf numFmtId="0" fontId="13" fillId="0" borderId="0" xfId="0" applyFont="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8" xfId="0" applyFont="1" applyFill="1" applyBorder="1" applyAlignment="1">
      <alignment horizontal="center"/>
    </xf>
    <xf numFmtId="180"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Border="1" applyAlignment="1">
      <alignment horizontal="center"/>
    </xf>
    <xf numFmtId="167" fontId="13" fillId="0" borderId="0" xfId="0" applyNumberFormat="1" applyFont="1" applyProtection="1">
      <protection hidden="1"/>
    </xf>
    <xf numFmtId="0" fontId="0" fillId="0" borderId="0" xfId="0" applyProtection="1">
      <protection hidden="1"/>
    </xf>
    <xf numFmtId="172" fontId="11" fillId="6" borderId="0" xfId="0" applyNumberFormat="1" applyFont="1" applyFill="1" applyAlignment="1">
      <alignment horizontal="center"/>
    </xf>
    <xf numFmtId="0" fontId="11" fillId="6" borderId="32" xfId="0" applyFont="1" applyFill="1" applyBorder="1" applyAlignment="1">
      <alignment horizontal="center"/>
    </xf>
    <xf numFmtId="0" fontId="13" fillId="0" borderId="0" xfId="0" applyFont="1"/>
    <xf numFmtId="174" fontId="32" fillId="0" borderId="0" xfId="0" applyNumberFormat="1" applyFont="1"/>
    <xf numFmtId="0" fontId="2" fillId="0" borderId="0" xfId="0" applyFont="1" applyProtection="1">
      <protection hidden="1"/>
    </xf>
    <xf numFmtId="0" fontId="0" fillId="0" borderId="0" xfId="0"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Alignment="1" applyProtection="1">
      <alignment horizontal="center"/>
      <protection hidden="1"/>
    </xf>
    <xf numFmtId="174" fontId="2" fillId="0" borderId="0" xfId="0" applyNumberFormat="1" applyFont="1" applyAlignment="1" applyProtection="1">
      <alignment horizontal="center"/>
      <protection hidden="1"/>
    </xf>
    <xf numFmtId="0" fontId="2" fillId="0" borderId="3" xfId="0" applyFont="1" applyBorder="1" applyAlignment="1" applyProtection="1">
      <alignment horizontal="center"/>
      <protection hidden="1"/>
    </xf>
    <xf numFmtId="174" fontId="2" fillId="0" borderId="3" xfId="0" applyNumberFormat="1" applyFont="1" applyBorder="1" applyAlignment="1" applyProtection="1">
      <alignment horizontal="center"/>
      <protection hidden="1"/>
    </xf>
    <xf numFmtId="20" fontId="2" fillId="0" borderId="3" xfId="0" applyNumberFormat="1" applyFont="1" applyBorder="1" applyAlignment="1" applyProtection="1">
      <alignment horizontal="center"/>
      <protection hidden="1"/>
    </xf>
    <xf numFmtId="174" fontId="2" fillId="0" borderId="3" xfId="0" applyNumberFormat="1" applyFont="1" applyBorder="1" applyAlignment="1" applyProtection="1">
      <alignment horizontal="right"/>
      <protection hidden="1"/>
    </xf>
    <xf numFmtId="20" fontId="6" fillId="0" borderId="3" xfId="0" applyNumberFormat="1" applyFont="1" applyBorder="1" applyAlignment="1" applyProtection="1">
      <alignment horizontal="center"/>
      <protection hidden="1"/>
    </xf>
    <xf numFmtId="174" fontId="15" fillId="0" borderId="3" xfId="0" applyNumberFormat="1" applyFont="1" applyBorder="1" applyAlignment="1" applyProtection="1">
      <alignment horizontal="center"/>
      <protection hidden="1"/>
    </xf>
    <xf numFmtId="1" fontId="15" fillId="0" borderId="3" xfId="0" applyNumberFormat="1" applyFont="1" applyBorder="1" applyAlignment="1" applyProtection="1">
      <alignment horizontal="center"/>
      <protection hidden="1"/>
    </xf>
    <xf numFmtId="170" fontId="15" fillId="0" borderId="3" xfId="0" applyNumberFormat="1" applyFont="1" applyBorder="1" applyAlignment="1" applyProtection="1">
      <alignment horizontal="center"/>
      <protection hidden="1"/>
    </xf>
    <xf numFmtId="20" fontId="15" fillId="0" borderId="3" xfId="0" applyNumberFormat="1" applyFont="1" applyBorder="1" applyAlignment="1" applyProtection="1">
      <alignment horizontal="center"/>
      <protection hidden="1"/>
    </xf>
    <xf numFmtId="0" fontId="15" fillId="0" borderId="3" xfId="0" applyFont="1" applyBorder="1" applyAlignment="1" applyProtection="1">
      <alignment horizontal="center"/>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4" fontId="11" fillId="0" borderId="0" xfId="0" applyNumberFormat="1" applyFont="1" applyAlignment="1" applyProtection="1">
      <alignment horizontal="center"/>
      <protection hidden="1"/>
    </xf>
    <xf numFmtId="0" fontId="11" fillId="0" borderId="0" xfId="0"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46" fontId="0" fillId="0" borderId="0" xfId="0" applyNumberFormat="1" applyProtection="1">
      <protection hidden="1"/>
    </xf>
    <xf numFmtId="0" fontId="33" fillId="0" borderId="0" xfId="0" applyFont="1" applyProtection="1">
      <protection locked="0"/>
    </xf>
    <xf numFmtId="174" fontId="15" fillId="0" borderId="33" xfId="0" applyNumberFormat="1" applyFont="1" applyBorder="1" applyAlignment="1">
      <alignment horizontal="center"/>
    </xf>
    <xf numFmtId="174" fontId="2" fillId="0" borderId="25" xfId="0" applyNumberFormat="1" applyFont="1" applyBorder="1" applyAlignment="1">
      <alignment horizontal="center"/>
    </xf>
    <xf numFmtId="20" fontId="2" fillId="0" borderId="10" xfId="0" applyNumberFormat="1" applyFont="1" applyBorder="1" applyAlignment="1">
      <alignment horizontal="right"/>
    </xf>
    <xf numFmtId="0" fontId="12" fillId="0" borderId="34" xfId="0" applyFont="1" applyBorder="1" applyAlignment="1">
      <alignment vertical="top"/>
    </xf>
    <xf numFmtId="0" fontId="13" fillId="0" borderId="34" xfId="0" applyFont="1" applyBorder="1" applyAlignment="1">
      <alignment vertical="top"/>
    </xf>
    <xf numFmtId="0" fontId="0" fillId="0" borderId="35" xfId="0" applyBorder="1" applyAlignment="1">
      <alignment vertical="top"/>
    </xf>
    <xf numFmtId="0" fontId="2" fillId="0" borderId="36" xfId="0" applyFont="1" applyBorder="1" applyAlignment="1">
      <alignment horizontal="center" vertical="top"/>
    </xf>
    <xf numFmtId="0" fontId="2" fillId="0" borderId="37" xfId="0" applyFont="1" applyBorder="1" applyAlignment="1">
      <alignment horizontal="left" vertical="top"/>
    </xf>
    <xf numFmtId="0" fontId="0" fillId="0" borderId="35" xfId="0" applyBorder="1" applyAlignment="1">
      <alignment horizontal="left"/>
    </xf>
    <xf numFmtId="20" fontId="2" fillId="0" borderId="34" xfId="0" applyNumberFormat="1" applyFont="1" applyBorder="1" applyAlignment="1">
      <alignment horizontal="center" vertical="top"/>
    </xf>
    <xf numFmtId="0" fontId="2" fillId="0" borderId="34" xfId="0" applyFont="1" applyBorder="1" applyAlignment="1">
      <alignment horizontal="left"/>
    </xf>
    <xf numFmtId="20" fontId="2" fillId="0" borderId="34" xfId="0" applyNumberFormat="1" applyFont="1" applyBorder="1" applyAlignment="1">
      <alignment horizontal="left" vertical="top"/>
    </xf>
    <xf numFmtId="0" fontId="2" fillId="0" borderId="36" xfId="0" applyFont="1" applyBorder="1" applyAlignment="1">
      <alignment horizontal="left" vertical="top"/>
    </xf>
    <xf numFmtId="0" fontId="30" fillId="0" borderId="38" xfId="0" applyFont="1" applyBorder="1" applyAlignment="1">
      <alignment horizontal="center"/>
    </xf>
    <xf numFmtId="0" fontId="2" fillId="0" borderId="35" xfId="0" applyFont="1" applyBorder="1" applyAlignment="1">
      <alignment horizontal="left"/>
    </xf>
    <xf numFmtId="0" fontId="2" fillId="0" borderId="34" xfId="0" applyFont="1" applyBorder="1" applyAlignment="1">
      <alignment horizontal="left" vertical="top"/>
    </xf>
    <xf numFmtId="20" fontId="13" fillId="0" borderId="35" xfId="0" applyNumberFormat="1" applyFont="1" applyBorder="1"/>
    <xf numFmtId="0" fontId="13" fillId="0" borderId="35" xfId="0" applyFont="1" applyBorder="1"/>
    <xf numFmtId="0" fontId="0" fillId="0" borderId="35" xfId="0" applyBorder="1" applyAlignment="1">
      <alignment wrapText="1"/>
    </xf>
    <xf numFmtId="20" fontId="15" fillId="0" borderId="34" xfId="0" applyNumberFormat="1" applyFont="1" applyBorder="1" applyAlignment="1">
      <alignment horizontal="center"/>
    </xf>
    <xf numFmtId="20" fontId="2" fillId="0" borderId="34" xfId="0" applyNumberFormat="1" applyFont="1" applyBorder="1" applyAlignment="1">
      <alignment horizontal="center" vertical="top" wrapText="1"/>
    </xf>
    <xf numFmtId="0" fontId="2" fillId="0" borderId="2" xfId="0" applyFont="1" applyBorder="1" applyAlignment="1">
      <alignment horizontal="center" vertical="top"/>
    </xf>
    <xf numFmtId="0" fontId="33" fillId="0" borderId="0" xfId="0" applyFont="1" applyAlignment="1" applyProtection="1">
      <alignment horizontal="right"/>
      <protection locked="0"/>
    </xf>
    <xf numFmtId="176" fontId="2" fillId="0" borderId="0" xfId="0" applyNumberFormat="1" applyFont="1" applyAlignment="1">
      <alignment horizontal="left"/>
    </xf>
    <xf numFmtId="174" fontId="12" fillId="0" borderId="6" xfId="0" applyNumberFormat="1" applyFont="1" applyBorder="1"/>
    <xf numFmtId="1" fontId="2" fillId="0" borderId="6" xfId="0" applyNumberFormat="1" applyFont="1" applyBorder="1" applyAlignment="1">
      <alignment horizontal="center"/>
    </xf>
    <xf numFmtId="176" fontId="2" fillId="0" borderId="7" xfId="0" applyNumberFormat="1" applyFont="1" applyBorder="1" applyAlignment="1">
      <alignment horizontal="left"/>
    </xf>
    <xf numFmtId="167" fontId="2" fillId="0" borderId="39" xfId="0" applyNumberFormat="1" applyFont="1" applyBorder="1" applyAlignment="1">
      <alignment horizontal="right"/>
    </xf>
    <xf numFmtId="0" fontId="4" fillId="0" borderId="40" xfId="0" applyFont="1" applyBorder="1"/>
    <xf numFmtId="174" fontId="2" fillId="0" borderId="41" xfId="0" applyNumberFormat="1" applyFont="1" applyBorder="1" applyAlignment="1">
      <alignment horizontal="right"/>
    </xf>
    <xf numFmtId="0" fontId="8" fillId="0" borderId="42" xfId="0" applyFont="1" applyBorder="1"/>
    <xf numFmtId="0" fontId="8" fillId="0" borderId="7" xfId="0" applyFont="1" applyBorder="1"/>
    <xf numFmtId="1" fontId="2" fillId="0" borderId="39"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174" fontId="2" fillId="0" borderId="8" xfId="0" applyNumberFormat="1" applyFont="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Alignment="1" applyProtection="1">
      <alignment horizontal="right"/>
      <protection hidden="1"/>
    </xf>
    <xf numFmtId="1" fontId="6" fillId="0" borderId="0" xfId="0" applyNumberFormat="1" applyFont="1" applyAlignment="1" applyProtection="1">
      <alignment horizontal="center"/>
      <protection hidden="1"/>
    </xf>
    <xf numFmtId="0" fontId="2" fillId="0" borderId="0" xfId="0" applyFont="1" applyAlignment="1" applyProtection="1">
      <alignment horizontal="left"/>
      <protection hidden="1"/>
    </xf>
    <xf numFmtId="20" fontId="0" fillId="0" borderId="0" xfId="0" applyNumberFormat="1" applyProtection="1">
      <protection hidden="1"/>
    </xf>
    <xf numFmtId="1" fontId="2" fillId="0" borderId="8" xfId="0" applyNumberFormat="1" applyFont="1" applyBorder="1" applyAlignment="1" applyProtection="1">
      <alignment horizontal="center"/>
      <protection hidden="1"/>
    </xf>
    <xf numFmtId="174" fontId="2" fillId="0" borderId="8" xfId="0" applyNumberFormat="1" applyFont="1" applyBorder="1" applyAlignment="1" applyProtection="1">
      <alignment horizontal="center"/>
      <protection hidden="1"/>
    </xf>
    <xf numFmtId="20" fontId="2" fillId="0" borderId="8" xfId="0" applyNumberFormat="1" applyFont="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1" fillId="6" borderId="6" xfId="0" applyFont="1" applyFill="1" applyBorder="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Protection="1">
      <protection hidden="1"/>
    </xf>
    <xf numFmtId="20" fontId="2" fillId="0" borderId="8" xfId="0" applyNumberFormat="1" applyFont="1" applyBorder="1" applyAlignment="1">
      <alignment horizontal="left"/>
    </xf>
    <xf numFmtId="0" fontId="15" fillId="6" borderId="6" xfId="0" applyFont="1" applyFill="1" applyBorder="1"/>
    <xf numFmtId="0" fontId="2" fillId="6" borderId="7" xfId="0" applyFont="1" applyFill="1" applyBorder="1"/>
    <xf numFmtId="0" fontId="2" fillId="17" borderId="0" xfId="0" applyFont="1" applyFill="1"/>
    <xf numFmtId="167" fontId="2" fillId="0" borderId="6" xfId="0" applyNumberFormat="1" applyFont="1" applyBorder="1" applyAlignment="1">
      <alignment horizontal="center"/>
    </xf>
    <xf numFmtId="0" fontId="34" fillId="0" borderId="7" xfId="0" applyFont="1" applyBorder="1"/>
    <xf numFmtId="185" fontId="2" fillId="9" borderId="33" xfId="0" applyNumberFormat="1" applyFont="1" applyFill="1" applyBorder="1" applyAlignment="1">
      <alignment horizontal="left"/>
    </xf>
    <xf numFmtId="182" fontId="2" fillId="9" borderId="33" xfId="0" applyNumberFormat="1" applyFont="1" applyFill="1" applyBorder="1" applyAlignment="1">
      <alignment horizontal="left"/>
    </xf>
    <xf numFmtId="0" fontId="2" fillId="9" borderId="33" xfId="0" applyFont="1" applyFill="1" applyBorder="1" applyAlignment="1">
      <alignment horizontal="center"/>
    </xf>
    <xf numFmtId="181" fontId="2" fillId="9" borderId="33" xfId="0" applyNumberFormat="1" applyFont="1" applyFill="1" applyBorder="1" applyAlignment="1">
      <alignment horizontal="center"/>
    </xf>
    <xf numFmtId="184" fontId="2" fillId="6" borderId="3" xfId="0" applyNumberFormat="1" applyFont="1" applyFill="1" applyBorder="1" applyAlignment="1">
      <alignment horizontal="left"/>
    </xf>
    <xf numFmtId="171" fontId="2" fillId="6" borderId="3" xfId="0" applyNumberFormat="1" applyFont="1" applyFill="1" applyBorder="1" applyAlignment="1">
      <alignment horizontal="left"/>
    </xf>
    <xf numFmtId="0" fontId="2" fillId="6" borderId="3" xfId="0" applyFont="1" applyFill="1" applyBorder="1" applyAlignment="1">
      <alignment horizontal="center"/>
    </xf>
    <xf numFmtId="183" fontId="2" fillId="6" borderId="3" xfId="0" applyNumberFormat="1" applyFont="1" applyFill="1" applyBorder="1" applyAlignment="1">
      <alignment horizontal="center"/>
    </xf>
    <xf numFmtId="0" fontId="23" fillId="0" borderId="0" xfId="0" applyFont="1" applyAlignment="1" applyProtection="1">
      <alignment vertical="center"/>
      <protection locked="0"/>
    </xf>
    <xf numFmtId="1" fontId="15" fillId="0" borderId="0" xfId="0" applyNumberFormat="1" applyFont="1" applyAlignment="1">
      <alignment horizontal="left"/>
    </xf>
    <xf numFmtId="164" fontId="3" fillId="3" borderId="43"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0" fontId="35" fillId="8" borderId="0" xfId="0" applyFont="1" applyFill="1" applyAlignment="1">
      <alignment horizontal="center"/>
    </xf>
    <xf numFmtId="2" fontId="35" fillId="8" borderId="0" xfId="0" applyNumberFormat="1" applyFont="1" applyFill="1" applyAlignment="1">
      <alignment horizontal="right"/>
    </xf>
    <xf numFmtId="20" fontId="35" fillId="8" borderId="0" xfId="0" applyNumberFormat="1" applyFont="1" applyFill="1"/>
    <xf numFmtId="20" fontId="2" fillId="0" borderId="3" xfId="0" applyNumberFormat="1" applyFont="1" applyBorder="1" applyAlignment="1">
      <alignment horizontal="left"/>
    </xf>
    <xf numFmtId="0" fontId="36" fillId="3" borderId="0" xfId="0" applyFont="1" applyFill="1" applyAlignment="1">
      <alignment horizontal="left"/>
    </xf>
    <xf numFmtId="0" fontId="36" fillId="3" borderId="0" xfId="0" applyFont="1" applyFill="1" applyAlignment="1">
      <alignment horizontal="center"/>
    </xf>
    <xf numFmtId="174" fontId="36" fillId="3" borderId="0" xfId="0" applyNumberFormat="1" applyFont="1" applyFill="1" applyAlignment="1">
      <alignment horizontal="center"/>
    </xf>
    <xf numFmtId="0" fontId="36" fillId="3" borderId="0" xfId="0" applyFont="1" applyFill="1"/>
    <xf numFmtId="174" fontId="36" fillId="3" borderId="0" xfId="0" applyNumberFormat="1" applyFont="1" applyFill="1" applyAlignment="1">
      <alignment horizontal="right"/>
    </xf>
    <xf numFmtId="174" fontId="18" fillId="0" borderId="0" xfId="0" applyNumberFormat="1" applyFont="1" applyAlignment="1">
      <alignment horizontal="center"/>
    </xf>
    <xf numFmtId="174" fontId="2" fillId="0" borderId="44" xfId="0" applyNumberFormat="1" applyFont="1" applyBorder="1" applyAlignment="1">
      <alignment horizontal="right"/>
    </xf>
    <xf numFmtId="0" fontId="1" fillId="0" borderId="0" xfId="0" applyFont="1" applyAlignment="1">
      <alignment horizontal="left"/>
    </xf>
    <xf numFmtId="1" fontId="1" fillId="0" borderId="0" xfId="0" applyNumberFormat="1" applyFont="1" applyAlignment="1">
      <alignment horizontal="center"/>
    </xf>
    <xf numFmtId="0" fontId="1" fillId="0" borderId="0" xfId="0" applyFont="1"/>
    <xf numFmtId="170" fontId="20" fillId="14" borderId="28" xfId="0" applyNumberFormat="1" applyFont="1" applyFill="1" applyBorder="1" applyAlignment="1">
      <alignment horizontal="center"/>
    </xf>
    <xf numFmtId="170" fontId="37" fillId="8" borderId="28" xfId="0" applyNumberFormat="1" applyFont="1" applyFill="1" applyBorder="1" applyAlignment="1">
      <alignment horizontal="center"/>
    </xf>
    <xf numFmtId="0" fontId="11" fillId="0" borderId="0" xfId="0" applyFont="1" applyAlignment="1">
      <alignment horizontal="left"/>
    </xf>
    <xf numFmtId="17" fontId="20" fillId="0" borderId="0" xfId="0" applyNumberFormat="1" applyFont="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Alignment="1">
      <alignment horizontal="left" vertical="top"/>
    </xf>
    <xf numFmtId="0" fontId="0" fillId="0" borderId="0" xfId="0" applyAlignment="1">
      <alignment horizontal="center" vertical="top"/>
    </xf>
    <xf numFmtId="0" fontId="13" fillId="0" borderId="0" xfId="0" applyFont="1" applyAlignment="1">
      <alignment horizontal="center" vertical="top"/>
    </xf>
    <xf numFmtId="0" fontId="13" fillId="0" borderId="43" xfId="0" applyFont="1" applyBorder="1" applyAlignment="1">
      <alignment horizontal="center" vertical="top"/>
    </xf>
    <xf numFmtId="173" fontId="11" fillId="18" borderId="0" xfId="0" applyNumberFormat="1" applyFont="1" applyFill="1" applyAlignment="1">
      <alignment horizontal="center"/>
    </xf>
    <xf numFmtId="0" fontId="0" fillId="18" borderId="0" xfId="0" applyFill="1" applyAlignment="1">
      <alignment horizontal="center"/>
    </xf>
    <xf numFmtId="0" fontId="11" fillId="0" borderId="46" xfId="0" applyFont="1" applyBorder="1" applyAlignment="1">
      <alignment horizontal="center" vertical="justify"/>
    </xf>
    <xf numFmtId="0" fontId="11" fillId="10" borderId="47" xfId="0" applyFont="1" applyFill="1" applyBorder="1" applyAlignment="1">
      <alignment horizontal="center" vertical="justify"/>
    </xf>
    <xf numFmtId="0" fontId="21" fillId="5" borderId="47" xfId="0" applyFont="1" applyFill="1" applyBorder="1" applyAlignment="1" applyProtection="1">
      <alignment horizontal="center" vertical="top"/>
      <protection locked="0"/>
    </xf>
    <xf numFmtId="0" fontId="21" fillId="0" borderId="47" xfId="0" applyFont="1" applyBorder="1" applyAlignment="1" applyProtection="1">
      <alignment horizontal="center" vertical="top"/>
      <protection locked="0"/>
    </xf>
    <xf numFmtId="0" fontId="21" fillId="7" borderId="47" xfId="0" applyFont="1" applyFill="1" applyBorder="1" applyAlignment="1" applyProtection="1">
      <alignment horizontal="center" vertical="top"/>
      <protection locked="0"/>
    </xf>
    <xf numFmtId="0" fontId="17" fillId="5" borderId="47" xfId="0" applyFont="1" applyFill="1" applyBorder="1" applyAlignment="1" applyProtection="1">
      <alignment horizontal="center" vertical="top"/>
      <protection locked="0"/>
    </xf>
    <xf numFmtId="0" fontId="0" fillId="0" borderId="30" xfId="0" applyBorder="1" applyAlignment="1" applyProtection="1">
      <alignment horizontal="left"/>
      <protection locked="0"/>
    </xf>
    <xf numFmtId="0" fontId="0" fillId="0" borderId="0" xfId="0" applyAlignment="1" applyProtection="1">
      <alignment horizontal="left"/>
      <protection locked="0"/>
    </xf>
    <xf numFmtId="0" fontId="17" fillId="7" borderId="47" xfId="0" applyFont="1" applyFill="1" applyBorder="1" applyAlignment="1" applyProtection="1">
      <alignment horizontal="center" vertical="top"/>
      <protection locked="0"/>
    </xf>
    <xf numFmtId="0" fontId="17" fillId="0" borderId="47"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8" xfId="0" applyFont="1" applyBorder="1" applyAlignment="1">
      <alignment horizontal="center" wrapText="1"/>
    </xf>
    <xf numFmtId="20" fontId="15" fillId="0" borderId="48" xfId="0" applyNumberFormat="1" applyFont="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4" fontId="18" fillId="0" borderId="0" xfId="0" applyNumberFormat="1" applyFont="1"/>
    <xf numFmtId="0" fontId="38" fillId="19" borderId="0" xfId="0" applyFont="1" applyFill="1" applyAlignment="1">
      <alignment horizontal="center"/>
    </xf>
    <xf numFmtId="0" fontId="39" fillId="19" borderId="0" xfId="0" applyFont="1" applyFill="1" applyAlignment="1">
      <alignment horizontal="left"/>
    </xf>
    <xf numFmtId="164" fontId="40" fillId="19" borderId="0" xfId="0" applyNumberFormat="1" applyFont="1" applyFill="1" applyAlignment="1">
      <alignment horizontal="right"/>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Alignment="1" applyProtection="1">
      <alignment horizontal="left"/>
      <protection locked="0"/>
    </xf>
    <xf numFmtId="0" fontId="12" fillId="10" borderId="0" xfId="0" applyFont="1" applyFill="1" applyAlignment="1" applyProtection="1">
      <alignment horizontal="left"/>
      <protection locked="0"/>
    </xf>
    <xf numFmtId="0" fontId="12" fillId="11" borderId="0" xfId="0" applyFont="1" applyFill="1" applyAlignment="1" applyProtection="1">
      <alignment horizontal="left"/>
      <protection locked="0"/>
    </xf>
    <xf numFmtId="0" fontId="12" fillId="13" borderId="0" xfId="0" applyFont="1" applyFill="1" applyAlignment="1" applyProtection="1">
      <alignment horizontal="left"/>
      <protection locked="0"/>
    </xf>
    <xf numFmtId="0" fontId="12" fillId="15" borderId="0" xfId="0" applyFont="1" applyFill="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Alignment="1" applyProtection="1">
      <alignment horizontal="left"/>
      <protection locked="0"/>
    </xf>
    <xf numFmtId="0" fontId="21" fillId="0" borderId="0" xfId="0" applyFont="1" applyAlignment="1">
      <alignment horizontal="center" vertical="top"/>
    </xf>
    <xf numFmtId="0" fontId="17" fillId="0" borderId="0" xfId="0" applyFont="1" applyProtection="1">
      <protection locked="0"/>
    </xf>
    <xf numFmtId="1" fontId="12" fillId="3" borderId="49" xfId="0" applyNumberFormat="1" applyFont="1" applyFill="1" applyBorder="1" applyAlignment="1">
      <alignment horizontal="left" vertical="center"/>
    </xf>
    <xf numFmtId="0" fontId="0" fillId="0" borderId="50" xfId="0" applyBorder="1" applyAlignment="1">
      <alignment vertical="center"/>
    </xf>
    <xf numFmtId="0" fontId="42" fillId="3" borderId="11" xfId="0" applyFont="1" applyFill="1" applyBorder="1" applyAlignment="1">
      <alignment horizontal="left"/>
    </xf>
    <xf numFmtId="0" fontId="0" fillId="3" borderId="11" xfId="0" applyFill="1" applyBorder="1" applyAlignment="1">
      <alignment horizontal="left"/>
    </xf>
    <xf numFmtId="0" fontId="0" fillId="3" borderId="51" xfId="0" applyFill="1" applyBorder="1" applyAlignment="1">
      <alignment horizontal="center"/>
    </xf>
    <xf numFmtId="0" fontId="0" fillId="3" borderId="52" xfId="0" applyFill="1" applyBorder="1" applyAlignment="1">
      <alignment horizontal="center"/>
    </xf>
    <xf numFmtId="0" fontId="43" fillId="3" borderId="0" xfId="0" applyFont="1" applyFill="1" applyAlignment="1">
      <alignment horizontal="left"/>
    </xf>
    <xf numFmtId="0" fontId="0" fillId="3" borderId="0" xfId="0" applyFill="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44" fillId="21" borderId="53" xfId="0" applyFont="1" applyFill="1" applyBorder="1" applyAlignment="1" applyProtection="1">
      <alignment horizontal="center" vertical="center"/>
      <protection locked="0"/>
    </xf>
    <xf numFmtId="0" fontId="45" fillId="21" borderId="35" xfId="0" applyFont="1" applyFill="1" applyBorder="1" applyAlignment="1" applyProtection="1">
      <alignment vertical="center"/>
      <protection locked="0"/>
    </xf>
    <xf numFmtId="0" fontId="0" fillId="0" borderId="0" xfId="0"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4" xfId="0" applyFont="1" applyFill="1" applyBorder="1" applyAlignment="1" applyProtection="1">
      <alignment horizontal="left"/>
      <protection locked="0"/>
    </xf>
    <xf numFmtId="0" fontId="0" fillId="5" borderId="55" xfId="0" applyFill="1" applyBorder="1" applyProtection="1">
      <protection locked="0"/>
    </xf>
    <xf numFmtId="0" fontId="13" fillId="21" borderId="56" xfId="0" applyFont="1" applyFill="1" applyBorder="1" applyAlignment="1" applyProtection="1">
      <alignment horizontal="left" vertical="center"/>
      <protection locked="0"/>
    </xf>
    <xf numFmtId="0" fontId="17" fillId="0" borderId="0" xfId="0" applyFont="1" applyAlignment="1">
      <alignment horizontal="center"/>
    </xf>
    <xf numFmtId="0" fontId="17" fillId="0" borderId="57" xfId="0" applyFont="1" applyBorder="1" applyAlignment="1" applyProtection="1">
      <alignment horizontal="center" vertical="top" wrapText="1"/>
      <protection locked="0"/>
    </xf>
    <xf numFmtId="0" fontId="46" fillId="0" borderId="0" xfId="0" applyFont="1" applyAlignment="1" applyProtection="1">
      <alignment horizontal="right"/>
      <protection locked="0"/>
    </xf>
    <xf numFmtId="0" fontId="12" fillId="3" borderId="58" xfId="0" applyFont="1" applyFill="1" applyBorder="1"/>
    <xf numFmtId="0" fontId="12" fillId="3" borderId="59" xfId="0" applyFont="1" applyFill="1" applyBorder="1"/>
    <xf numFmtId="0" fontId="47" fillId="0" borderId="0" xfId="0" applyFont="1"/>
    <xf numFmtId="20" fontId="2" fillId="1" borderId="33" xfId="0" applyNumberFormat="1" applyFont="1" applyFill="1" applyBorder="1" applyAlignment="1">
      <alignment horizontal="left"/>
    </xf>
    <xf numFmtId="1" fontId="7" fillId="1" borderId="61" xfId="0" applyNumberFormat="1" applyFont="1" applyFill="1" applyBorder="1" applyAlignment="1">
      <alignment horizontal="center"/>
    </xf>
    <xf numFmtId="1" fontId="7" fillId="1" borderId="0" xfId="0" applyNumberFormat="1" applyFont="1" applyFill="1" applyAlignment="1">
      <alignment horizontal="center"/>
    </xf>
    <xf numFmtId="20" fontId="2" fillId="1" borderId="33" xfId="0" applyNumberFormat="1" applyFont="1" applyFill="1" applyBorder="1" applyAlignment="1">
      <alignment horizontal="center"/>
    </xf>
    <xf numFmtId="175" fontId="2" fillId="1" borderId="33" xfId="0" applyNumberFormat="1" applyFont="1" applyFill="1" applyBorder="1" applyAlignment="1">
      <alignment horizontal="center"/>
    </xf>
    <xf numFmtId="178" fontId="2" fillId="1" borderId="33" xfId="0" applyNumberFormat="1" applyFont="1" applyFill="1" applyBorder="1" applyAlignment="1">
      <alignment horizontal="center"/>
    </xf>
    <xf numFmtId="49" fontId="2" fillId="1" borderId="33" xfId="0" applyNumberFormat="1" applyFont="1" applyFill="1" applyBorder="1" applyAlignment="1">
      <alignment horizontal="center"/>
    </xf>
    <xf numFmtId="174" fontId="26" fillId="1" borderId="0" xfId="0" applyNumberFormat="1" applyFont="1" applyFill="1"/>
    <xf numFmtId="174" fontId="2" fillId="1" borderId="33" xfId="0" applyNumberFormat="1" applyFont="1" applyFill="1" applyBorder="1" applyAlignment="1">
      <alignment horizontal="center"/>
    </xf>
    <xf numFmtId="174" fontId="15" fillId="1" borderId="0" xfId="0" applyNumberFormat="1" applyFont="1" applyFill="1" applyAlignment="1">
      <alignment horizontal="center"/>
    </xf>
    <xf numFmtId="174"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4" fontId="32" fillId="1" borderId="0" xfId="0" applyNumberFormat="1" applyFont="1" applyFill="1"/>
    <xf numFmtId="20" fontId="6" fillId="1" borderId="33" xfId="0" applyNumberFormat="1" applyFont="1" applyFill="1" applyBorder="1" applyAlignment="1">
      <alignment horizontal="center"/>
    </xf>
    <xf numFmtId="177" fontId="3" fillId="0" borderId="0" xfId="0" applyNumberFormat="1" applyFont="1" applyProtection="1">
      <protection hidden="1"/>
    </xf>
    <xf numFmtId="177" fontId="12" fillId="0" borderId="0" xfId="0" applyNumberFormat="1" applyFont="1" applyProtection="1">
      <protection hidden="1"/>
    </xf>
    <xf numFmtId="0" fontId="3" fillId="0" borderId="0" xfId="0" applyFont="1"/>
    <xf numFmtId="0" fontId="2" fillId="4" borderId="0" xfId="0" applyFont="1" applyFill="1" applyProtection="1">
      <protection hidden="1"/>
    </xf>
    <xf numFmtId="1" fontId="2" fillId="4" borderId="0" xfId="0" applyNumberFormat="1" applyFont="1" applyFill="1" applyAlignment="1" applyProtection="1">
      <alignment horizontal="left"/>
      <protection hidden="1"/>
    </xf>
    <xf numFmtId="0" fontId="0" fillId="4" borderId="0" xfId="0" applyFill="1" applyProtection="1">
      <protection hidden="1"/>
    </xf>
    <xf numFmtId="0" fontId="0" fillId="4" borderId="0" xfId="0" applyFill="1" applyAlignment="1" applyProtection="1">
      <alignment horizontal="center"/>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181"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3" fillId="0" borderId="0" xfId="0" applyFont="1" applyAlignment="1" applyProtection="1">
      <alignment vertical="center"/>
      <protection hidden="1"/>
    </xf>
    <xf numFmtId="164" fontId="2" fillId="4" borderId="62"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3"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0" fontId="25" fillId="20" borderId="64" xfId="0" applyFont="1" applyFill="1" applyBorder="1" applyProtection="1">
      <protection locked="0"/>
    </xf>
    <xf numFmtId="17" fontId="0" fillId="0" borderId="0" xfId="0" applyNumberFormat="1"/>
    <xf numFmtId="169" fontId="24" fillId="0" borderId="66" xfId="0" applyNumberFormat="1" applyFont="1" applyBorder="1" applyAlignment="1">
      <alignment horizontal="center" vertical="center"/>
    </xf>
    <xf numFmtId="169" fontId="24" fillId="0" borderId="35" xfId="0" applyNumberFormat="1" applyFont="1" applyBorder="1" applyAlignment="1">
      <alignment horizontal="center" vertical="center"/>
    </xf>
    <xf numFmtId="0" fontId="0" fillId="0" borderId="67" xfId="0" applyBorder="1"/>
    <xf numFmtId="0" fontId="12" fillId="5" borderId="9" xfId="0" applyFont="1" applyFill="1" applyBorder="1" applyAlignment="1">
      <alignment horizontal="right"/>
    </xf>
    <xf numFmtId="0" fontId="0" fillId="5" borderId="68" xfId="0" applyFill="1" applyBorder="1"/>
    <xf numFmtId="0" fontId="0" fillId="5" borderId="69" xfId="0" applyFill="1" applyBorder="1" applyAlignment="1">
      <alignment wrapText="1"/>
    </xf>
    <xf numFmtId="0" fontId="12" fillId="5" borderId="70" xfId="0" applyFont="1" applyFill="1" applyBorder="1" applyAlignment="1">
      <alignment horizontal="right"/>
    </xf>
    <xf numFmtId="0" fontId="0" fillId="5" borderId="71" xfId="0" applyFill="1" applyBorder="1" applyAlignment="1">
      <alignment wrapText="1"/>
    </xf>
    <xf numFmtId="0" fontId="12" fillId="7" borderId="70" xfId="0" applyFont="1" applyFill="1" applyBorder="1" applyAlignment="1" applyProtection="1">
      <alignment horizontal="right"/>
      <protection locked="0"/>
    </xf>
    <xf numFmtId="0" fontId="0" fillId="7" borderId="28" xfId="0" applyFill="1" applyBorder="1"/>
    <xf numFmtId="0" fontId="0" fillId="7" borderId="71" xfId="0" applyFill="1" applyBorder="1" applyAlignment="1">
      <alignment wrapText="1"/>
    </xf>
    <xf numFmtId="0" fontId="12" fillId="3" borderId="70" xfId="0" applyFont="1" applyFill="1" applyBorder="1" applyAlignment="1" applyProtection="1">
      <alignment horizontal="right"/>
      <protection locked="0"/>
    </xf>
    <xf numFmtId="0" fontId="0" fillId="0" borderId="28" xfId="0" applyBorder="1"/>
    <xf numFmtId="170" fontId="0" fillId="0" borderId="48" xfId="0" applyNumberFormat="1" applyBorder="1"/>
    <xf numFmtId="0" fontId="0" fillId="0" borderId="63" xfId="0" applyBorder="1"/>
    <xf numFmtId="0" fontId="12" fillId="5" borderId="72" xfId="0" applyFont="1" applyFill="1" applyBorder="1"/>
    <xf numFmtId="0" fontId="12" fillId="5" borderId="29" xfId="0" applyFont="1" applyFill="1" applyBorder="1"/>
    <xf numFmtId="0" fontId="12" fillId="7" borderId="29" xfId="0" applyFont="1" applyFill="1" applyBorder="1" applyProtection="1">
      <protection locked="0"/>
    </xf>
    <xf numFmtId="0" fontId="12" fillId="3" borderId="29" xfId="0" applyFont="1" applyFill="1" applyBorder="1" applyProtection="1">
      <protection locked="0"/>
    </xf>
    <xf numFmtId="0" fontId="0" fillId="5" borderId="73" xfId="0" applyFill="1" applyBorder="1"/>
    <xf numFmtId="0" fontId="0" fillId="5" borderId="74" xfId="0" applyFill="1" applyBorder="1"/>
    <xf numFmtId="0" fontId="0" fillId="7" borderId="74" xfId="0" applyFill="1" applyBorder="1"/>
    <xf numFmtId="0" fontId="0" fillId="0" borderId="74" xfId="0" applyBorder="1"/>
    <xf numFmtId="0" fontId="0" fillId="0" borderId="75" xfId="0" applyBorder="1"/>
    <xf numFmtId="0" fontId="12" fillId="16" borderId="0" xfId="0" applyFont="1" applyFill="1" applyAlignment="1" applyProtection="1">
      <alignment horizontal="left"/>
      <protection locked="0"/>
    </xf>
    <xf numFmtId="0" fontId="2" fillId="6" borderId="76" xfId="0" applyFont="1" applyFill="1" applyBorder="1" applyAlignment="1">
      <alignment horizontal="center"/>
    </xf>
    <xf numFmtId="0" fontId="0" fillId="6" borderId="0" xfId="0" applyFill="1" applyAlignment="1">
      <alignment horizontal="center"/>
    </xf>
    <xf numFmtId="20" fontId="2" fillId="6" borderId="5" xfId="0" applyNumberFormat="1" applyFont="1" applyFill="1" applyBorder="1" applyAlignment="1">
      <alignment horizontal="center"/>
    </xf>
    <xf numFmtId="0" fontId="2" fillId="0" borderId="34" xfId="0" applyFont="1" applyBorder="1" applyAlignment="1">
      <alignment horizontal="left" vertical="top" wrapText="1"/>
    </xf>
    <xf numFmtId="0" fontId="2" fillId="0" borderId="34" xfId="0" applyFont="1" applyBorder="1" applyAlignment="1">
      <alignment horizontal="left" wrapText="1"/>
    </xf>
    <xf numFmtId="174" fontId="6" fillId="3" borderId="0" xfId="0" applyNumberFormat="1" applyFont="1" applyFill="1" applyAlignment="1">
      <alignment horizontal="center"/>
    </xf>
    <xf numFmtId="17" fontId="0" fillId="0" borderId="77" xfId="0" applyNumberFormat="1" applyBorder="1" applyAlignment="1">
      <alignment horizontal="center" vertical="top" textRotation="90"/>
    </xf>
    <xf numFmtId="179" fontId="0" fillId="0" borderId="66" xfId="0" applyNumberFormat="1" applyBorder="1" applyAlignment="1">
      <alignment horizontal="center" vertical="top" textRotation="90"/>
    </xf>
    <xf numFmtId="172" fontId="0" fillId="0" borderId="34" xfId="0" applyNumberFormat="1" applyBorder="1" applyAlignment="1">
      <alignment horizontal="center" vertical="top"/>
    </xf>
    <xf numFmtId="0" fontId="0" fillId="0" borderId="60" xfId="0" applyBorder="1" applyAlignment="1">
      <alignment vertical="top" wrapText="1"/>
    </xf>
    <xf numFmtId="0" fontId="0" fillId="0" borderId="77" xfId="0" applyBorder="1" applyAlignment="1">
      <alignment vertical="top" wrapText="1"/>
    </xf>
    <xf numFmtId="167" fontId="18" fillId="0" borderId="0" xfId="0" applyNumberFormat="1" applyFont="1" applyProtection="1">
      <protection hidden="1"/>
    </xf>
    <xf numFmtId="1" fontId="0" fillId="5" borderId="68" xfId="0" applyNumberFormat="1" applyFill="1" applyBorder="1"/>
    <xf numFmtId="1" fontId="0" fillId="5" borderId="72" xfId="0" applyNumberFormat="1" applyFill="1" applyBorder="1"/>
    <xf numFmtId="1" fontId="0" fillId="5" borderId="78" xfId="0" applyNumberFormat="1" applyFill="1" applyBorder="1"/>
    <xf numFmtId="1" fontId="0" fillId="5" borderId="28" xfId="0" applyNumberFormat="1" applyFill="1" applyBorder="1"/>
    <xf numFmtId="1" fontId="0" fillId="5" borderId="29" xfId="0" applyNumberFormat="1" applyFill="1" applyBorder="1"/>
    <xf numFmtId="1" fontId="0" fillId="5" borderId="79" xfId="0" applyNumberFormat="1" applyFill="1" applyBorder="1"/>
    <xf numFmtId="1" fontId="0" fillId="7" borderId="28" xfId="0" applyNumberFormat="1" applyFill="1" applyBorder="1"/>
    <xf numFmtId="1" fontId="0" fillId="7" borderId="29" xfId="0" applyNumberFormat="1" applyFill="1" applyBorder="1"/>
    <xf numFmtId="1" fontId="0" fillId="7" borderId="79" xfId="0" applyNumberFormat="1" applyFill="1" applyBorder="1"/>
    <xf numFmtId="1" fontId="0" fillId="0" borderId="28" xfId="0" applyNumberFormat="1" applyBorder="1"/>
    <xf numFmtId="1" fontId="0" fillId="0" borderId="29" xfId="0" applyNumberFormat="1" applyBorder="1"/>
    <xf numFmtId="1" fontId="0" fillId="0" borderId="79" xfId="0" applyNumberFormat="1" applyBorder="1"/>
    <xf numFmtId="0" fontId="48" fillId="0" borderId="71" xfId="0" applyFont="1" applyBorder="1" applyAlignment="1">
      <alignment wrapText="1"/>
    </xf>
    <xf numFmtId="21" fontId="0" fillId="0" borderId="0" xfId="0" applyNumberFormat="1"/>
    <xf numFmtId="0" fontId="46" fillId="0" borderId="0" xfId="0" applyFont="1" applyAlignment="1" applyProtection="1">
      <alignment horizontal="center"/>
      <protection locked="0"/>
    </xf>
    <xf numFmtId="170" fontId="0" fillId="0" borderId="0" xfId="0" applyNumberFormat="1" applyAlignment="1">
      <alignment horizontal="center"/>
    </xf>
    <xf numFmtId="1" fontId="0" fillId="16" borderId="67" xfId="0" applyNumberFormat="1" applyFill="1" applyBorder="1"/>
    <xf numFmtId="1" fontId="12" fillId="9" borderId="56" xfId="0" applyNumberFormat="1" applyFont="1" applyFill="1" applyBorder="1"/>
    <xf numFmtId="1" fontId="48" fillId="0" borderId="80" xfId="0" applyNumberFormat="1" applyFont="1" applyBorder="1"/>
    <xf numFmtId="1" fontId="48" fillId="0" borderId="81" xfId="0" applyNumberFormat="1" applyFont="1" applyBorder="1"/>
    <xf numFmtId="1" fontId="48" fillId="0" borderId="82" xfId="0" applyNumberFormat="1" applyFont="1" applyBorder="1"/>
    <xf numFmtId="49" fontId="0" fillId="0" borderId="0" xfId="0" applyNumberFormat="1" applyProtection="1">
      <protection locked="0"/>
    </xf>
    <xf numFmtId="1" fontId="12" fillId="3" borderId="49" xfId="0" applyNumberFormat="1" applyFont="1" applyFill="1" applyBorder="1" applyAlignment="1">
      <alignment horizontal="center" vertical="center"/>
    </xf>
    <xf numFmtId="1" fontId="12" fillId="3" borderId="49" xfId="0" applyNumberFormat="1" applyFont="1" applyFill="1" applyBorder="1" applyAlignment="1">
      <alignment vertical="center"/>
    </xf>
    <xf numFmtId="184" fontId="11" fillId="6" borderId="0" xfId="0" applyNumberFormat="1" applyFont="1" applyFill="1" applyAlignment="1">
      <alignment horizontal="left"/>
    </xf>
    <xf numFmtId="171" fontId="11" fillId="6" borderId="0" xfId="0" applyNumberFormat="1" applyFont="1" applyFill="1" applyAlignment="1">
      <alignment horizontal="left"/>
    </xf>
    <xf numFmtId="184" fontId="25" fillId="0" borderId="83" xfId="0" applyNumberFormat="1" applyFont="1" applyBorder="1" applyProtection="1">
      <protection locked="0"/>
    </xf>
    <xf numFmtId="184" fontId="25" fillId="0" borderId="84" xfId="0" applyNumberFormat="1" applyFont="1" applyBorder="1" applyProtection="1">
      <protection locked="0"/>
    </xf>
    <xf numFmtId="0" fontId="15" fillId="0" borderId="0" xfId="0" applyFont="1" applyAlignment="1" applyProtection="1">
      <alignment horizontal="right" vertical="center"/>
      <protection locked="0"/>
    </xf>
    <xf numFmtId="172" fontId="20" fillId="0" borderId="0" xfId="0" applyNumberFormat="1" applyFont="1" applyAlignment="1">
      <alignment horizontal="center" textRotation="90"/>
    </xf>
    <xf numFmtId="0" fontId="1" fillId="16" borderId="0" xfId="0" applyFont="1" applyFill="1" applyProtection="1">
      <protection locked="0"/>
    </xf>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85"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6" fontId="0" fillId="3" borderId="45" xfId="0" applyNumberFormat="1" applyFill="1" applyBorder="1" applyAlignment="1">
      <alignment horizontal="center"/>
    </xf>
    <xf numFmtId="0" fontId="17" fillId="0" borderId="0" xfId="0" applyFont="1" applyAlignment="1">
      <alignment horizontal="right"/>
    </xf>
    <xf numFmtId="186" fontId="0" fillId="0" borderId="0" xfId="0" applyNumberFormat="1" applyAlignment="1">
      <alignment horizontal="center"/>
    </xf>
    <xf numFmtId="0" fontId="17" fillId="0" borderId="86" xfId="0" applyFont="1" applyBorder="1" applyAlignment="1">
      <alignment horizontal="right"/>
    </xf>
    <xf numFmtId="170" fontId="0" fillId="17" borderId="1" xfId="0" applyNumberFormat="1" applyFill="1" applyBorder="1" applyAlignment="1">
      <alignment horizontal="center"/>
    </xf>
    <xf numFmtId="0" fontId="0" fillId="5" borderId="0" xfId="0" applyFill="1"/>
    <xf numFmtId="0" fontId="0" fillId="17" borderId="0" xfId="0" applyFill="1"/>
    <xf numFmtId="187" fontId="0" fillId="0" borderId="0" xfId="0" applyNumberFormat="1" applyAlignment="1">
      <alignment horizontal="center"/>
    </xf>
    <xf numFmtId="0" fontId="2" fillId="0" borderId="8" xfId="0" applyFont="1" applyBorder="1" applyAlignment="1">
      <alignment horizontal="center"/>
    </xf>
    <xf numFmtId="0" fontId="2" fillId="22" borderId="34" xfId="0" applyFont="1" applyFill="1" applyBorder="1" applyAlignment="1">
      <alignment horizontal="left" vertical="top"/>
    </xf>
    <xf numFmtId="0" fontId="5" fillId="3" borderId="14" xfId="0" applyFont="1" applyFill="1" applyBorder="1" applyAlignment="1" applyProtection="1">
      <alignment horizontal="right"/>
      <protection locked="0"/>
    </xf>
    <xf numFmtId="186" fontId="51" fillId="0" borderId="0" xfId="0" applyNumberFormat="1" applyFont="1" applyAlignment="1">
      <alignment horizontal="center"/>
    </xf>
    <xf numFmtId="186" fontId="50" fillId="0" borderId="1" xfId="0" applyNumberFormat="1" applyFont="1" applyBorder="1" applyAlignment="1">
      <alignment horizontal="center"/>
    </xf>
    <xf numFmtId="186"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18" fillId="0" borderId="0" xfId="0" applyFont="1" applyAlignment="1">
      <alignment horizontal="center"/>
    </xf>
    <xf numFmtId="0" fontId="5" fillId="0" borderId="0" xfId="0" applyFont="1"/>
    <xf numFmtId="186" fontId="5" fillId="24" borderId="1" xfId="0" applyNumberFormat="1" applyFont="1" applyFill="1" applyBorder="1" applyAlignment="1">
      <alignment horizontal="center"/>
    </xf>
    <xf numFmtId="170" fontId="0" fillId="24" borderId="1" xfId="0" applyNumberFormat="1" applyFill="1" applyBorder="1" applyAlignment="1">
      <alignment horizontal="center"/>
    </xf>
    <xf numFmtId="186" fontId="10" fillId="3" borderId="45"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8" xfId="0" applyNumberFormat="1" applyBorder="1" applyAlignment="1" applyProtection="1">
      <alignment horizontal="center"/>
      <protection locked="0"/>
    </xf>
    <xf numFmtId="2" fontId="0" fillId="0" borderId="28" xfId="0" applyNumberFormat="1" applyBorder="1" applyProtection="1">
      <protection locked="0"/>
    </xf>
    <xf numFmtId="2" fontId="0" fillId="0" borderId="28" xfId="0" applyNumberFormat="1" applyBorder="1"/>
    <xf numFmtId="2" fontId="0" fillId="0" borderId="28" xfId="0" applyNumberFormat="1" applyBorder="1" applyAlignment="1">
      <alignment horizontal="center"/>
    </xf>
    <xf numFmtId="2" fontId="49" fillId="0" borderId="28" xfId="0" applyNumberFormat="1" applyFont="1" applyBorder="1" applyProtection="1">
      <protection locked="0"/>
    </xf>
    <xf numFmtId="2" fontId="33" fillId="0" borderId="28" xfId="0" applyNumberFormat="1" applyFont="1" applyBorder="1" applyProtection="1">
      <protection locked="0"/>
    </xf>
    <xf numFmtId="2" fontId="0" fillId="0" borderId="30" xfId="0" applyNumberFormat="1" applyBorder="1" applyAlignment="1" applyProtection="1">
      <alignment horizontal="center"/>
      <protection locked="0"/>
    </xf>
    <xf numFmtId="2" fontId="0" fillId="0" borderId="30" xfId="0" applyNumberFormat="1" applyBorder="1" applyProtection="1">
      <protection locked="0"/>
    </xf>
    <xf numFmtId="2" fontId="0" fillId="0" borderId="30" xfId="0" applyNumberFormat="1" applyBorder="1"/>
    <xf numFmtId="2" fontId="0" fillId="0" borderId="30" xfId="0" applyNumberFormat="1" applyBorder="1" applyAlignment="1">
      <alignment horizontal="center"/>
    </xf>
    <xf numFmtId="2" fontId="0" fillId="3" borderId="51" xfId="0" applyNumberFormat="1" applyFill="1" applyBorder="1" applyAlignment="1">
      <alignment horizontal="center"/>
    </xf>
    <xf numFmtId="2" fontId="0" fillId="0" borderId="74" xfId="0" applyNumberFormat="1" applyBorder="1" applyAlignment="1">
      <alignment horizontal="center"/>
    </xf>
    <xf numFmtId="2" fontId="0" fillId="23" borderId="74" xfId="0" applyNumberFormat="1" applyFill="1" applyBorder="1" applyAlignment="1">
      <alignment horizontal="center"/>
    </xf>
    <xf numFmtId="2" fontId="0" fillId="0" borderId="87" xfId="0" applyNumberFormat="1" applyBorder="1"/>
    <xf numFmtId="2" fontId="0" fillId="3" borderId="88" xfId="0" applyNumberFormat="1" applyFill="1" applyBorder="1" applyAlignment="1">
      <alignment horizontal="center"/>
    </xf>
    <xf numFmtId="2" fontId="0" fillId="0" borderId="0" xfId="0" applyNumberFormat="1"/>
    <xf numFmtId="186" fontId="5" fillId="0" borderId="0" xfId="0" applyNumberFormat="1" applyFont="1" applyAlignment="1">
      <alignment horizontal="center"/>
    </xf>
    <xf numFmtId="0" fontId="5" fillId="0" borderId="0" xfId="0" applyFont="1" applyAlignment="1">
      <alignment horizontal="center"/>
    </xf>
    <xf numFmtId="0" fontId="2" fillId="6" borderId="5" xfId="0" applyFont="1" applyFill="1" applyBorder="1" applyAlignment="1">
      <alignment horizontal="left"/>
    </xf>
    <xf numFmtId="0" fontId="2" fillId="25" borderId="34" xfId="0" applyFont="1" applyFill="1" applyBorder="1" applyAlignment="1">
      <alignment horizontal="left" vertical="top"/>
    </xf>
    <xf numFmtId="0" fontId="5" fillId="3" borderId="17" xfId="0" applyFont="1" applyFill="1" applyBorder="1" applyAlignment="1" applyProtection="1">
      <alignment horizontal="right"/>
      <protection locked="0"/>
    </xf>
    <xf numFmtId="174" fontId="0" fillId="0" borderId="0" xfId="0" applyNumberFormat="1"/>
    <xf numFmtId="0" fontId="1" fillId="0" borderId="0" xfId="0" applyFont="1" applyAlignment="1">
      <alignment horizontal="center"/>
    </xf>
    <xf numFmtId="0" fontId="1" fillId="3" borderId="12" xfId="1" applyFill="1" applyBorder="1" applyProtection="1">
      <protection locked="0"/>
    </xf>
    <xf numFmtId="49" fontId="1" fillId="3" borderId="16" xfId="2" applyNumberFormat="1" applyFill="1" applyBorder="1" applyProtection="1">
      <protection locked="0"/>
    </xf>
    <xf numFmtId="0" fontId="11" fillId="3" borderId="21" xfId="0" applyFont="1" applyFill="1" applyBorder="1" applyProtection="1">
      <protection locked="0"/>
    </xf>
    <xf numFmtId="174" fontId="56" fillId="3" borderId="16" xfId="0" applyNumberFormat="1" applyFont="1" applyFill="1" applyBorder="1" applyAlignment="1" applyProtection="1">
      <alignment horizontal="left"/>
      <protection locked="0"/>
    </xf>
    <xf numFmtId="174" fontId="57" fillId="0" borderId="3" xfId="0" applyNumberFormat="1" applyFont="1" applyBorder="1" applyAlignment="1">
      <alignment horizontal="center"/>
    </xf>
    <xf numFmtId="174" fontId="2" fillId="25" borderId="3" xfId="0" applyNumberFormat="1" applyFont="1" applyFill="1" applyBorder="1" applyAlignment="1">
      <alignment horizontal="center"/>
    </xf>
    <xf numFmtId="0" fontId="2" fillId="25" borderId="34" xfId="0" applyFont="1" applyFill="1" applyBorder="1" applyAlignment="1">
      <alignment horizontal="left" vertical="top" wrapText="1"/>
    </xf>
    <xf numFmtId="174" fontId="15" fillId="25" borderId="0" xfId="0" applyNumberFormat="1" applyFont="1" applyFill="1" applyAlignment="1">
      <alignment horizontal="center"/>
    </xf>
    <xf numFmtId="0" fontId="13" fillId="21" borderId="35" xfId="0" applyFont="1" applyFill="1" applyBorder="1" applyAlignment="1" applyProtection="1">
      <alignment horizontal="left" vertical="center"/>
      <protection locked="0"/>
    </xf>
    <xf numFmtId="9" fontId="2" fillId="6" borderId="6" xfId="3" applyFont="1" applyFill="1" applyBorder="1" applyAlignment="1">
      <alignment horizontal="left"/>
    </xf>
    <xf numFmtId="1" fontId="2" fillId="26" borderId="8" xfId="0" applyNumberFormat="1" applyFont="1" applyFill="1" applyBorder="1" applyAlignment="1">
      <alignment horizontal="center"/>
    </xf>
    <xf numFmtId="0" fontId="20" fillId="6" borderId="6" xfId="0" applyFont="1" applyFill="1" applyBorder="1" applyAlignment="1" applyProtection="1">
      <alignment horizontal="left"/>
      <protection hidden="1"/>
    </xf>
    <xf numFmtId="0" fontId="20" fillId="6" borderId="5" xfId="0" applyFont="1" applyFill="1" applyBorder="1" applyProtection="1">
      <protection hidden="1"/>
    </xf>
    <xf numFmtId="0" fontId="20" fillId="6" borderId="5" xfId="0" applyFont="1" applyFill="1" applyBorder="1" applyAlignment="1" applyProtection="1">
      <alignment horizontal="center"/>
      <protection hidden="1"/>
    </xf>
    <xf numFmtId="1" fontId="20" fillId="0" borderId="6" xfId="0" applyNumberFormat="1" applyFont="1" applyBorder="1" applyAlignment="1" applyProtection="1">
      <alignment horizontal="right"/>
      <protection hidden="1"/>
    </xf>
    <xf numFmtId="0" fontId="59" fillId="0" borderId="7" xfId="0" applyFont="1" applyBorder="1" applyProtection="1">
      <protection hidden="1"/>
    </xf>
    <xf numFmtId="180" fontId="0" fillId="0" borderId="0" xfId="0" applyNumberFormat="1" applyAlignment="1" applyProtection="1">
      <alignment horizontal="left"/>
      <protection locked="0"/>
    </xf>
    <xf numFmtId="174" fontId="56" fillId="0" borderId="0" xfId="0" applyNumberFormat="1" applyFont="1" applyAlignment="1" applyProtection="1">
      <alignment horizontal="left"/>
      <protection locked="0"/>
    </xf>
    <xf numFmtId="0" fontId="1" fillId="28" borderId="14" xfId="0" applyFont="1" applyFill="1" applyBorder="1" applyAlignment="1" applyProtection="1">
      <alignment horizontal="left"/>
      <protection locked="0"/>
    </xf>
    <xf numFmtId="0" fontId="1" fillId="28" borderId="15" xfId="0" applyFont="1" applyFill="1" applyBorder="1" applyAlignment="1" applyProtection="1">
      <alignment horizontal="left"/>
      <protection locked="0"/>
    </xf>
    <xf numFmtId="0" fontId="1" fillId="28" borderId="16" xfId="0" applyFont="1" applyFill="1" applyBorder="1" applyAlignment="1" applyProtection="1">
      <alignment horizontal="left"/>
      <protection locked="0"/>
    </xf>
    <xf numFmtId="0" fontId="1" fillId="28" borderId="17" xfId="0" applyFont="1" applyFill="1" applyBorder="1" applyAlignment="1" applyProtection="1">
      <alignment horizontal="left"/>
      <protection locked="0"/>
    </xf>
    <xf numFmtId="0" fontId="1" fillId="28" borderId="0" xfId="0" applyFont="1" applyFill="1" applyAlignment="1" applyProtection="1">
      <alignment horizontal="left"/>
      <protection locked="0"/>
    </xf>
    <xf numFmtId="0" fontId="1" fillId="28" borderId="21" xfId="0" applyFont="1" applyFill="1" applyBorder="1" applyAlignment="1" applyProtection="1">
      <alignment horizontal="left"/>
      <protection locked="0"/>
    </xf>
    <xf numFmtId="0" fontId="1" fillId="28" borderId="96" xfId="0" applyFont="1" applyFill="1" applyBorder="1" applyAlignment="1" applyProtection="1">
      <alignment horizontal="left"/>
      <protection locked="0"/>
    </xf>
    <xf numFmtId="0" fontId="1" fillId="28" borderId="63" xfId="0" applyFont="1" applyFill="1" applyBorder="1" applyAlignment="1" applyProtection="1">
      <alignment horizontal="left"/>
      <protection locked="0"/>
    </xf>
    <xf numFmtId="0" fontId="1" fillId="28" borderId="97" xfId="0" applyFont="1" applyFill="1" applyBorder="1" applyAlignment="1" applyProtection="1">
      <alignment horizontal="left"/>
      <protection locked="0"/>
    </xf>
    <xf numFmtId="0" fontId="51" fillId="0" borderId="0" xfId="0" applyFont="1"/>
    <xf numFmtId="0" fontId="62" fillId="4" borderId="0" xfId="0" applyFont="1" applyFill="1" applyAlignment="1">
      <alignment horizontal="left"/>
    </xf>
    <xf numFmtId="0" fontId="62" fillId="3" borderId="0" xfId="0" applyFont="1" applyFill="1" applyAlignment="1">
      <alignment horizontal="left"/>
    </xf>
    <xf numFmtId="1" fontId="62" fillId="0" borderId="8" xfId="0" applyNumberFormat="1" applyFont="1" applyBorder="1" applyAlignment="1">
      <alignment horizontal="center"/>
    </xf>
    <xf numFmtId="9" fontId="62" fillId="6" borderId="6" xfId="3" applyFont="1" applyFill="1" applyBorder="1" applyAlignment="1">
      <alignment horizontal="left"/>
    </xf>
    <xf numFmtId="0" fontId="62" fillId="6" borderId="6" xfId="0" applyFont="1" applyFill="1" applyBorder="1"/>
    <xf numFmtId="0" fontId="64" fillId="6" borderId="5" xfId="0" applyFont="1" applyFill="1" applyBorder="1"/>
    <xf numFmtId="0" fontId="64" fillId="6" borderId="7" xfId="0" applyFont="1" applyFill="1" applyBorder="1"/>
    <xf numFmtId="1" fontId="62" fillId="26" borderId="8" xfId="0" applyNumberFormat="1" applyFont="1" applyFill="1" applyBorder="1" applyAlignment="1">
      <alignment horizontal="center"/>
    </xf>
    <xf numFmtId="0" fontId="1" fillId="5" borderId="0" xfId="0" applyFont="1" applyFill="1" applyProtection="1">
      <protection locked="0"/>
    </xf>
    <xf numFmtId="0" fontId="1" fillId="27" borderId="0" xfId="0" applyFont="1" applyFill="1" applyAlignment="1">
      <alignment horizontal="center"/>
    </xf>
    <xf numFmtId="0" fontId="1" fillId="16" borderId="98" xfId="0" applyFont="1" applyFill="1" applyBorder="1" applyProtection="1">
      <protection locked="0"/>
    </xf>
    <xf numFmtId="0" fontId="1" fillId="16" borderId="99" xfId="0" applyFont="1" applyFill="1" applyBorder="1" applyProtection="1">
      <protection locked="0"/>
    </xf>
    <xf numFmtId="0" fontId="5" fillId="16" borderId="99" xfId="0" applyFont="1" applyFill="1" applyBorder="1" applyAlignment="1" applyProtection="1">
      <alignment horizontal="right"/>
      <protection locked="0"/>
    </xf>
    <xf numFmtId="0" fontId="5" fillId="16" borderId="99" xfId="0" applyFont="1" applyFill="1" applyBorder="1" applyAlignment="1" applyProtection="1">
      <alignment horizontal="left"/>
      <protection locked="0"/>
    </xf>
    <xf numFmtId="0" fontId="1" fillId="16" borderId="100" xfId="0" applyFont="1" applyFill="1" applyBorder="1" applyAlignment="1" applyProtection="1">
      <alignment horizontal="left"/>
      <protection locked="0"/>
    </xf>
    <xf numFmtId="170" fontId="0" fillId="0" borderId="31" xfId="0" applyNumberFormat="1" applyBorder="1"/>
    <xf numFmtId="170" fontId="0" fillId="3" borderId="52" xfId="0" applyNumberFormat="1" applyFill="1" applyBorder="1" applyAlignment="1">
      <alignment horizontal="center"/>
    </xf>
    <xf numFmtId="0" fontId="1" fillId="3" borderId="17" xfId="0" applyFont="1" applyFill="1" applyBorder="1" applyAlignment="1" applyProtection="1">
      <alignment horizontal="left"/>
      <protection locked="0"/>
    </xf>
    <xf numFmtId="0" fontId="61" fillId="0" borderId="3" xfId="0" applyFont="1" applyBorder="1"/>
    <xf numFmtId="49" fontId="2" fillId="0" borderId="33" xfId="0" applyNumberFormat="1" applyFont="1" applyBorder="1" applyAlignment="1">
      <alignment horizontal="center"/>
    </xf>
    <xf numFmtId="0" fontId="60" fillId="0" borderId="0" xfId="0" applyFont="1"/>
    <xf numFmtId="0" fontId="61" fillId="0" borderId="0" xfId="0" applyFont="1"/>
    <xf numFmtId="1" fontId="0" fillId="16" borderId="53" xfId="0" applyNumberFormat="1" applyFill="1" applyBorder="1"/>
    <xf numFmtId="1" fontId="0" fillId="16" borderId="35" xfId="0" applyNumberFormat="1" applyFill="1" applyBorder="1"/>
    <xf numFmtId="0" fontId="1" fillId="0" borderId="0" xfId="0" applyFont="1" applyAlignment="1">
      <alignment horizontal="right"/>
    </xf>
    <xf numFmtId="2" fontId="0" fillId="10" borderId="28" xfId="0" applyNumberFormat="1" applyFill="1" applyBorder="1" applyAlignment="1">
      <alignment horizontal="center"/>
    </xf>
    <xf numFmtId="2" fontId="0" fillId="0" borderId="0" xfId="0" applyNumberFormat="1" applyAlignment="1">
      <alignment horizontal="center"/>
    </xf>
    <xf numFmtId="2" fontId="0" fillId="0" borderId="29" xfId="0" applyNumberFormat="1" applyBorder="1"/>
    <xf numFmtId="2" fontId="0" fillId="0" borderId="31" xfId="0" applyNumberFormat="1" applyBorder="1"/>
    <xf numFmtId="2" fontId="0" fillId="0" borderId="0" xfId="0" applyNumberFormat="1" applyAlignment="1" applyProtection="1">
      <alignment horizontal="center"/>
      <protection locked="0"/>
    </xf>
    <xf numFmtId="0" fontId="22" fillId="14" borderId="28" xfId="0" applyFont="1" applyFill="1" applyBorder="1" applyAlignment="1">
      <alignment horizontal="center"/>
    </xf>
    <xf numFmtId="184" fontId="25" fillId="0" borderId="101" xfId="0" applyNumberFormat="1" applyFont="1" applyBorder="1" applyProtection="1">
      <protection locked="0"/>
    </xf>
    <xf numFmtId="0" fontId="25" fillId="20" borderId="65" xfId="0" applyFont="1" applyFill="1" applyBorder="1" applyProtection="1">
      <protection locked="0"/>
    </xf>
    <xf numFmtId="49" fontId="0" fillId="6" borderId="17" xfId="0" applyNumberFormat="1" applyFill="1" applyBorder="1" applyAlignment="1" applyProtection="1">
      <alignment horizontal="left"/>
      <protection locked="0"/>
    </xf>
    <xf numFmtId="49" fontId="0" fillId="6" borderId="0" xfId="0" applyNumberFormat="1" applyFill="1" applyAlignment="1" applyProtection="1">
      <alignment horizontal="left"/>
      <protection locked="0"/>
    </xf>
    <xf numFmtId="49" fontId="0" fillId="6" borderId="21" xfId="0" applyNumberFormat="1" applyFill="1" applyBorder="1" applyAlignment="1" applyProtection="1">
      <alignment horizontal="left"/>
      <protection locked="0"/>
    </xf>
    <xf numFmtId="0" fontId="1" fillId="5" borderId="17" xfId="0" applyFont="1" applyFill="1" applyBorder="1" applyAlignment="1" applyProtection="1">
      <alignment horizontal="left" vertical="top" wrapText="1"/>
      <protection locked="0"/>
    </xf>
    <xf numFmtId="0" fontId="13" fillId="5" borderId="0" xfId="0" applyFont="1" applyFill="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44" fillId="21" borderId="53" xfId="0" applyFont="1" applyFill="1" applyBorder="1" applyAlignment="1" applyProtection="1">
      <alignment horizontal="center" vertical="center"/>
      <protection locked="0"/>
    </xf>
    <xf numFmtId="0" fontId="44" fillId="21" borderId="35" xfId="0" applyFont="1" applyFill="1" applyBorder="1" applyAlignment="1" applyProtection="1">
      <alignment horizontal="center" vertical="center"/>
      <protection locked="0"/>
    </xf>
    <xf numFmtId="0" fontId="0" fillId="5" borderId="92" xfId="0" applyFill="1" applyBorder="1" applyAlignment="1" applyProtection="1">
      <alignment horizontal="left"/>
      <protection locked="0"/>
    </xf>
    <xf numFmtId="0" fontId="0" fillId="5" borderId="93" xfId="0" applyFill="1" applyBorder="1" applyAlignment="1" applyProtection="1">
      <alignment horizontal="left"/>
      <protection locked="0"/>
    </xf>
    <xf numFmtId="0" fontId="0" fillId="5" borderId="94" xfId="0" applyFill="1" applyBorder="1" applyAlignment="1" applyProtection="1">
      <alignment horizontal="left"/>
      <protection locked="0"/>
    </xf>
    <xf numFmtId="0" fontId="0" fillId="0" borderId="15" xfId="0" applyBorder="1" applyAlignment="1" applyProtection="1">
      <alignment horizontal="center"/>
      <protection locked="0"/>
    </xf>
    <xf numFmtId="0" fontId="0" fillId="0" borderId="0" xfId="0" applyAlignment="1">
      <alignment horizontal="center"/>
    </xf>
    <xf numFmtId="0" fontId="0" fillId="5" borderId="17" xfId="0" applyFill="1" applyBorder="1" applyAlignment="1" applyProtection="1">
      <alignment horizontal="left"/>
      <protection locked="0"/>
    </xf>
    <xf numFmtId="0" fontId="0" fillId="5" borderId="0" xfId="0" applyFill="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Alignment="1" applyProtection="1">
      <alignment horizontal="left"/>
      <protection locked="0"/>
    </xf>
    <xf numFmtId="49" fontId="0" fillId="3" borderId="21" xfId="0" applyNumberFormat="1" applyFill="1" applyBorder="1" applyAlignment="1" applyProtection="1">
      <alignment horizontal="left"/>
      <protection locked="0"/>
    </xf>
    <xf numFmtId="176" fontId="2" fillId="0" borderId="0" xfId="0" applyNumberFormat="1" applyFont="1" applyAlignment="1">
      <alignment horizontal="left"/>
    </xf>
    <xf numFmtId="0" fontId="41" fillId="10" borderId="0" xfId="0" applyFont="1" applyFill="1" applyAlignment="1">
      <alignment horizontal="center" vertical="center"/>
    </xf>
    <xf numFmtId="177" fontId="21" fillId="0" borderId="0" xfId="0" applyNumberFormat="1" applyFont="1" applyAlignment="1">
      <alignment horizontal="center" vertical="top"/>
    </xf>
    <xf numFmtId="0" fontId="0" fillId="3" borderId="89" xfId="0" applyFill="1" applyBorder="1" applyAlignment="1">
      <alignment horizontal="right" vertical="center"/>
    </xf>
    <xf numFmtId="0" fontId="0" fillId="3" borderId="90" xfId="0" applyFill="1" applyBorder="1" applyAlignment="1">
      <alignment horizontal="right" vertical="center"/>
    </xf>
    <xf numFmtId="164" fontId="3" fillId="3" borderId="43" xfId="0" applyNumberFormat="1" applyFont="1" applyFill="1" applyBorder="1" applyAlignment="1">
      <alignment horizontal="center"/>
    </xf>
    <xf numFmtId="164" fontId="3" fillId="3" borderId="91" xfId="0" applyNumberFormat="1" applyFont="1" applyFill="1" applyBorder="1" applyAlignment="1">
      <alignment horizontal="center"/>
    </xf>
    <xf numFmtId="176" fontId="2" fillId="0" borderId="6" xfId="0" applyNumberFormat="1" applyFont="1" applyBorder="1" applyAlignment="1">
      <alignment horizontal="center"/>
    </xf>
    <xf numFmtId="176" fontId="2" fillId="0" borderId="5" xfId="0" applyNumberFormat="1" applyFont="1" applyBorder="1" applyAlignment="1">
      <alignment horizontal="center"/>
    </xf>
    <xf numFmtId="176" fontId="2" fillId="0" borderId="7" xfId="0" applyNumberFormat="1" applyFont="1" applyBorder="1" applyAlignment="1">
      <alignment horizontal="center"/>
    </xf>
    <xf numFmtId="0" fontId="15" fillId="0" borderId="11" xfId="0" applyFont="1" applyBorder="1" applyAlignment="1">
      <alignment horizontal="right"/>
    </xf>
    <xf numFmtId="0" fontId="2" fillId="0" borderId="36" xfId="0" applyFont="1" applyBorder="1" applyAlignment="1">
      <alignment horizontal="center" vertical="top"/>
    </xf>
    <xf numFmtId="0" fontId="2" fillId="0" borderId="38" xfId="0" applyFont="1" applyBorder="1" applyAlignment="1">
      <alignment horizontal="center" vertical="top"/>
    </xf>
    <xf numFmtId="176" fontId="2" fillId="0" borderId="6" xfId="0" applyNumberFormat="1" applyFont="1" applyBorder="1" applyAlignment="1" applyProtection="1">
      <alignment horizontal="left"/>
      <protection hidden="1"/>
    </xf>
    <xf numFmtId="176" fontId="2" fillId="0" borderId="7" xfId="0" applyNumberFormat="1" applyFont="1" applyBorder="1" applyAlignment="1" applyProtection="1">
      <alignment horizontal="left"/>
      <protection hidden="1"/>
    </xf>
    <xf numFmtId="164" fontId="2" fillId="4" borderId="62" xfId="0" applyNumberFormat="1" applyFont="1" applyFill="1" applyBorder="1" applyAlignment="1" applyProtection="1">
      <alignment horizontal="left" vertical="center"/>
      <protection hidden="1"/>
    </xf>
    <xf numFmtId="164" fontId="2" fillId="4" borderId="95" xfId="0" applyNumberFormat="1" applyFont="1" applyFill="1" applyBorder="1" applyAlignment="1" applyProtection="1">
      <alignment horizontal="left" vertical="center"/>
      <protection hidden="1"/>
    </xf>
    <xf numFmtId="170" fontId="11" fillId="0" borderId="28" xfId="0" applyNumberFormat="1" applyFont="1" applyFill="1" applyBorder="1" applyAlignment="1">
      <alignment horizontal="center" vertical="center"/>
    </xf>
    <xf numFmtId="0" fontId="22" fillId="0" borderId="28" xfId="0" applyFont="1" applyFill="1" applyBorder="1" applyAlignment="1">
      <alignment horizontal="center"/>
    </xf>
  </cellXfs>
  <cellStyles count="4">
    <cellStyle name="Normal 2" xfId="1" xr:uid="{9EF1560B-1553-4A06-AD26-451826D093D2}"/>
    <cellStyle name="Normal 5" xfId="2" xr:uid="{B0F5FC8D-FD0B-4C73-8843-083E99CE7040}"/>
    <cellStyle name="Prozent" xfId="3" builtinId="5"/>
    <cellStyle name="Standard" xfId="0" builtinId="0"/>
  </cellStyles>
  <dxfs count="42">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b/>
        <i val="0"/>
        <strike val="0"/>
        <color rgb="FFFFC000"/>
      </font>
      <fill>
        <patternFill patternType="none">
          <bgColor auto="1"/>
        </patternFill>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44834</c:v>
                </c:pt>
                <c:pt idx="1">
                  <c:v>44835</c:v>
                </c:pt>
                <c:pt idx="2">
                  <c:v>44836</c:v>
                </c:pt>
                <c:pt idx="3">
                  <c:v>44837</c:v>
                </c:pt>
                <c:pt idx="4">
                  <c:v>44838</c:v>
                </c:pt>
                <c:pt idx="5">
                  <c:v>44839</c:v>
                </c:pt>
                <c:pt idx="6">
                  <c:v>44840</c:v>
                </c:pt>
                <c:pt idx="7">
                  <c:v>44841</c:v>
                </c:pt>
                <c:pt idx="8">
                  <c:v>44842</c:v>
                </c:pt>
                <c:pt idx="9">
                  <c:v>44843</c:v>
                </c:pt>
                <c:pt idx="10">
                  <c:v>44844</c:v>
                </c:pt>
                <c:pt idx="11">
                  <c:v>44845</c:v>
                </c:pt>
                <c:pt idx="12">
                  <c:v>44846</c:v>
                </c:pt>
                <c:pt idx="13">
                  <c:v>44847</c:v>
                </c:pt>
                <c:pt idx="14">
                  <c:v>44848</c:v>
                </c:pt>
                <c:pt idx="15">
                  <c:v>44849</c:v>
                </c:pt>
                <c:pt idx="16">
                  <c:v>44850</c:v>
                </c:pt>
                <c:pt idx="17">
                  <c:v>44851</c:v>
                </c:pt>
                <c:pt idx="18">
                  <c:v>44852</c:v>
                </c:pt>
                <c:pt idx="19">
                  <c:v>44853</c:v>
                </c:pt>
                <c:pt idx="20">
                  <c:v>44854</c:v>
                </c:pt>
                <c:pt idx="21">
                  <c:v>44855</c:v>
                </c:pt>
                <c:pt idx="22">
                  <c:v>44856</c:v>
                </c:pt>
                <c:pt idx="23">
                  <c:v>44857</c:v>
                </c:pt>
                <c:pt idx="24">
                  <c:v>44858</c:v>
                </c:pt>
                <c:pt idx="25">
                  <c:v>44859</c:v>
                </c:pt>
                <c:pt idx="26">
                  <c:v>44860</c:v>
                </c:pt>
                <c:pt idx="27">
                  <c:v>44861</c:v>
                </c:pt>
                <c:pt idx="28">
                  <c:v>44862</c:v>
                </c:pt>
                <c:pt idx="29">
                  <c:v>44863</c:v>
                </c:pt>
                <c:pt idx="30">
                  <c:v>44864</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44834</c:v>
                </c:pt>
                <c:pt idx="1">
                  <c:v>44835</c:v>
                </c:pt>
                <c:pt idx="2">
                  <c:v>44836</c:v>
                </c:pt>
                <c:pt idx="3">
                  <c:v>44837</c:v>
                </c:pt>
                <c:pt idx="4">
                  <c:v>44838</c:v>
                </c:pt>
                <c:pt idx="5">
                  <c:v>44839</c:v>
                </c:pt>
                <c:pt idx="6">
                  <c:v>44840</c:v>
                </c:pt>
                <c:pt idx="7">
                  <c:v>44841</c:v>
                </c:pt>
                <c:pt idx="8">
                  <c:v>44842</c:v>
                </c:pt>
                <c:pt idx="9">
                  <c:v>44843</c:v>
                </c:pt>
                <c:pt idx="10">
                  <c:v>44844</c:v>
                </c:pt>
                <c:pt idx="11">
                  <c:v>44845</c:v>
                </c:pt>
                <c:pt idx="12">
                  <c:v>44846</c:v>
                </c:pt>
                <c:pt idx="13">
                  <c:v>44847</c:v>
                </c:pt>
                <c:pt idx="14">
                  <c:v>44848</c:v>
                </c:pt>
                <c:pt idx="15">
                  <c:v>44849</c:v>
                </c:pt>
                <c:pt idx="16">
                  <c:v>44850</c:v>
                </c:pt>
                <c:pt idx="17">
                  <c:v>44851</c:v>
                </c:pt>
                <c:pt idx="18">
                  <c:v>44852</c:v>
                </c:pt>
                <c:pt idx="19">
                  <c:v>44853</c:v>
                </c:pt>
                <c:pt idx="20">
                  <c:v>44854</c:v>
                </c:pt>
                <c:pt idx="21">
                  <c:v>44855</c:v>
                </c:pt>
                <c:pt idx="22">
                  <c:v>44856</c:v>
                </c:pt>
                <c:pt idx="23">
                  <c:v>44857</c:v>
                </c:pt>
                <c:pt idx="24">
                  <c:v>44858</c:v>
                </c:pt>
                <c:pt idx="25">
                  <c:v>44859</c:v>
                </c:pt>
                <c:pt idx="26">
                  <c:v>44860</c:v>
                </c:pt>
                <c:pt idx="27">
                  <c:v>44861</c:v>
                </c:pt>
                <c:pt idx="28">
                  <c:v>44862</c:v>
                </c:pt>
                <c:pt idx="29">
                  <c:v>44863</c:v>
                </c:pt>
                <c:pt idx="30">
                  <c:v>44864</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44834</c:v>
                </c:pt>
                <c:pt idx="1">
                  <c:v>44835</c:v>
                </c:pt>
                <c:pt idx="2">
                  <c:v>44836</c:v>
                </c:pt>
                <c:pt idx="3">
                  <c:v>44837</c:v>
                </c:pt>
                <c:pt idx="4">
                  <c:v>44838</c:v>
                </c:pt>
                <c:pt idx="5">
                  <c:v>44839</c:v>
                </c:pt>
                <c:pt idx="6">
                  <c:v>44840</c:v>
                </c:pt>
                <c:pt idx="7">
                  <c:v>44841</c:v>
                </c:pt>
                <c:pt idx="8">
                  <c:v>44842</c:v>
                </c:pt>
                <c:pt idx="9">
                  <c:v>44843</c:v>
                </c:pt>
                <c:pt idx="10">
                  <c:v>44844</c:v>
                </c:pt>
                <c:pt idx="11">
                  <c:v>44845</c:v>
                </c:pt>
                <c:pt idx="12">
                  <c:v>44846</c:v>
                </c:pt>
                <c:pt idx="13">
                  <c:v>44847</c:v>
                </c:pt>
                <c:pt idx="14">
                  <c:v>44848</c:v>
                </c:pt>
                <c:pt idx="15">
                  <c:v>44849</c:v>
                </c:pt>
                <c:pt idx="16">
                  <c:v>44850</c:v>
                </c:pt>
                <c:pt idx="17">
                  <c:v>44851</c:v>
                </c:pt>
                <c:pt idx="18">
                  <c:v>44852</c:v>
                </c:pt>
                <c:pt idx="19">
                  <c:v>44853</c:v>
                </c:pt>
                <c:pt idx="20">
                  <c:v>44854</c:v>
                </c:pt>
                <c:pt idx="21">
                  <c:v>44855</c:v>
                </c:pt>
                <c:pt idx="22">
                  <c:v>44856</c:v>
                </c:pt>
                <c:pt idx="23">
                  <c:v>44857</c:v>
                </c:pt>
                <c:pt idx="24">
                  <c:v>44858</c:v>
                </c:pt>
                <c:pt idx="25">
                  <c:v>44859</c:v>
                </c:pt>
                <c:pt idx="26">
                  <c:v>44860</c:v>
                </c:pt>
                <c:pt idx="27">
                  <c:v>44861</c:v>
                </c:pt>
                <c:pt idx="28">
                  <c:v>44862</c:v>
                </c:pt>
                <c:pt idx="29">
                  <c:v>44863</c:v>
                </c:pt>
                <c:pt idx="30">
                  <c:v>44864</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44834</c:v>
                </c:pt>
                <c:pt idx="1">
                  <c:v>44835</c:v>
                </c:pt>
                <c:pt idx="2">
                  <c:v>44836</c:v>
                </c:pt>
                <c:pt idx="3">
                  <c:v>44837</c:v>
                </c:pt>
                <c:pt idx="4">
                  <c:v>44838</c:v>
                </c:pt>
                <c:pt idx="5">
                  <c:v>44839</c:v>
                </c:pt>
                <c:pt idx="6">
                  <c:v>44840</c:v>
                </c:pt>
                <c:pt idx="7">
                  <c:v>44841</c:v>
                </c:pt>
                <c:pt idx="8">
                  <c:v>44842</c:v>
                </c:pt>
                <c:pt idx="9">
                  <c:v>44843</c:v>
                </c:pt>
                <c:pt idx="10">
                  <c:v>44844</c:v>
                </c:pt>
                <c:pt idx="11">
                  <c:v>44845</c:v>
                </c:pt>
                <c:pt idx="12">
                  <c:v>44846</c:v>
                </c:pt>
                <c:pt idx="13">
                  <c:v>44847</c:v>
                </c:pt>
                <c:pt idx="14">
                  <c:v>44848</c:v>
                </c:pt>
                <c:pt idx="15">
                  <c:v>44849</c:v>
                </c:pt>
                <c:pt idx="16">
                  <c:v>44850</c:v>
                </c:pt>
                <c:pt idx="17">
                  <c:v>44851</c:v>
                </c:pt>
                <c:pt idx="18">
                  <c:v>44852</c:v>
                </c:pt>
                <c:pt idx="19">
                  <c:v>44853</c:v>
                </c:pt>
                <c:pt idx="20">
                  <c:v>44854</c:v>
                </c:pt>
                <c:pt idx="21">
                  <c:v>44855</c:v>
                </c:pt>
                <c:pt idx="22">
                  <c:v>44856</c:v>
                </c:pt>
                <c:pt idx="23">
                  <c:v>44857</c:v>
                </c:pt>
                <c:pt idx="24">
                  <c:v>44858</c:v>
                </c:pt>
                <c:pt idx="25">
                  <c:v>44859</c:v>
                </c:pt>
                <c:pt idx="26">
                  <c:v>44860</c:v>
                </c:pt>
                <c:pt idx="27">
                  <c:v>44861</c:v>
                </c:pt>
                <c:pt idx="28">
                  <c:v>44862</c:v>
                </c:pt>
                <c:pt idx="29">
                  <c:v>44863</c:v>
                </c:pt>
                <c:pt idx="30">
                  <c:v>44864</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26-Oct</c:v>
                </c:pt>
                <c:pt idx="1">
                  <c:v>26-Oct</c:v>
                </c:pt>
                <c:pt idx="2">
                  <c:v>26-Oct</c:v>
                </c:pt>
                <c:pt idx="3">
                  <c:v>26-Oct</c:v>
                </c:pt>
                <c:pt idx="4">
                  <c:v>26-Oct</c:v>
                </c:pt>
                <c:pt idx="5">
                  <c:v>26-Oct</c:v>
                </c:pt>
                <c:pt idx="6">
                  <c:v>26-Oct</c:v>
                </c:pt>
                <c:pt idx="7">
                  <c:v>26-Oct</c:v>
                </c:pt>
                <c:pt idx="8">
                  <c:v>26-Oct</c:v>
                </c:pt>
                <c:pt idx="9">
                  <c:v>26-Oct</c:v>
                </c:pt>
                <c:pt idx="10">
                  <c:v>26-Oct</c:v>
                </c:pt>
                <c:pt idx="11">
                  <c:v>26-Oct</c:v>
                </c:pt>
                <c:pt idx="12">
                  <c:v>26-Oct</c:v>
                </c:pt>
                <c:pt idx="13">
                  <c:v>26-Oct</c:v>
                </c:pt>
                <c:pt idx="14">
                  <c:v>26-Oct</c:v>
                </c:pt>
                <c:pt idx="15">
                  <c:v>26-Oct</c:v>
                </c:pt>
                <c:pt idx="16">
                  <c:v>26-Oct</c:v>
                </c:pt>
                <c:pt idx="17">
                  <c:v>26-Oct</c:v>
                </c:pt>
                <c:pt idx="18">
                  <c:v>26-Oct</c:v>
                </c:pt>
                <c:pt idx="19">
                  <c:v>26-Oct</c:v>
                </c:pt>
                <c:pt idx="20">
                  <c:v>26-Oct</c:v>
                </c:pt>
                <c:pt idx="21">
                  <c:v>26-Oct</c:v>
                </c:pt>
                <c:pt idx="22">
                  <c:v>26-Oct</c:v>
                </c:pt>
                <c:pt idx="23">
                  <c:v>26-Oct</c:v>
                </c:pt>
                <c:pt idx="24">
                  <c:v>26-Oct</c:v>
                </c:pt>
                <c:pt idx="25">
                  <c:v>26-Oct</c:v>
                </c:pt>
                <c:pt idx="26">
                  <c:v>26-Oct</c:v>
                </c:pt>
                <c:pt idx="27">
                  <c:v>26-Oct</c:v>
                </c:pt>
                <c:pt idx="28">
                  <c:v>26-Oct</c:v>
                </c:pt>
                <c:pt idx="29">
                  <c:v>26-Oct</c:v>
                </c:pt>
                <c:pt idx="30">
                  <c:v>26-Oct</c:v>
                </c:pt>
                <c:pt idx="31">
                  <c:v>26-Nov</c:v>
                </c:pt>
                <c:pt idx="32">
                  <c:v>26-Nov</c:v>
                </c:pt>
                <c:pt idx="33">
                  <c:v>26-Nov</c:v>
                </c:pt>
                <c:pt idx="34">
                  <c:v>26-Nov</c:v>
                </c:pt>
                <c:pt idx="35">
                  <c:v>26-Nov</c:v>
                </c:pt>
                <c:pt idx="36">
                  <c:v>26-Nov</c:v>
                </c:pt>
                <c:pt idx="37">
                  <c:v>26-Nov</c:v>
                </c:pt>
                <c:pt idx="38">
                  <c:v>26-Nov</c:v>
                </c:pt>
                <c:pt idx="39">
                  <c:v>26-Nov</c:v>
                </c:pt>
                <c:pt idx="40">
                  <c:v>26-Nov</c:v>
                </c:pt>
                <c:pt idx="41">
                  <c:v>26-Nov</c:v>
                </c:pt>
                <c:pt idx="42">
                  <c:v>26-Nov</c:v>
                </c:pt>
                <c:pt idx="43">
                  <c:v>26-Nov</c:v>
                </c:pt>
                <c:pt idx="44">
                  <c:v>26-Nov</c:v>
                </c:pt>
                <c:pt idx="45">
                  <c:v>26-Nov</c:v>
                </c:pt>
                <c:pt idx="46">
                  <c:v>26-Nov</c:v>
                </c:pt>
                <c:pt idx="47">
                  <c:v>26-Nov</c:v>
                </c:pt>
                <c:pt idx="48">
                  <c:v>26-Nov</c:v>
                </c:pt>
                <c:pt idx="49">
                  <c:v>26-Nov</c:v>
                </c:pt>
                <c:pt idx="50">
                  <c:v>26-Nov</c:v>
                </c:pt>
                <c:pt idx="51">
                  <c:v>26-Nov</c:v>
                </c:pt>
                <c:pt idx="52">
                  <c:v>26-Nov</c:v>
                </c:pt>
                <c:pt idx="53">
                  <c:v>26-Nov</c:v>
                </c:pt>
                <c:pt idx="54">
                  <c:v>26-Nov</c:v>
                </c:pt>
                <c:pt idx="55">
                  <c:v>26-Nov</c:v>
                </c:pt>
                <c:pt idx="56">
                  <c:v>26-Nov</c:v>
                </c:pt>
                <c:pt idx="57">
                  <c:v>26-Nov</c:v>
                </c:pt>
                <c:pt idx="58">
                  <c:v>26-Nov</c:v>
                </c:pt>
                <c:pt idx="59">
                  <c:v>26-Nov</c:v>
                </c:pt>
                <c:pt idx="60">
                  <c:v>26-Nov</c:v>
                </c:pt>
                <c:pt idx="61">
                  <c:v>26-Dec</c:v>
                </c:pt>
                <c:pt idx="62">
                  <c:v>26-Dec</c:v>
                </c:pt>
                <c:pt idx="63">
                  <c:v>26-Dec</c:v>
                </c:pt>
                <c:pt idx="64">
                  <c:v>26-Dec</c:v>
                </c:pt>
                <c:pt idx="65">
                  <c:v>26-Dec</c:v>
                </c:pt>
                <c:pt idx="66">
                  <c:v>26-Dec</c:v>
                </c:pt>
                <c:pt idx="67">
                  <c:v>26-Dec</c:v>
                </c:pt>
                <c:pt idx="68">
                  <c:v>26-Dec</c:v>
                </c:pt>
                <c:pt idx="69">
                  <c:v>26-Dec</c:v>
                </c:pt>
                <c:pt idx="70">
                  <c:v>26-Dec</c:v>
                </c:pt>
                <c:pt idx="71">
                  <c:v>26-Dec</c:v>
                </c:pt>
                <c:pt idx="72">
                  <c:v>26-Dec</c:v>
                </c:pt>
                <c:pt idx="73">
                  <c:v>26-Dec</c:v>
                </c:pt>
                <c:pt idx="74">
                  <c:v>26-Dec</c:v>
                </c:pt>
                <c:pt idx="75">
                  <c:v>26-Dec</c:v>
                </c:pt>
                <c:pt idx="76">
                  <c:v>26-Dec</c:v>
                </c:pt>
                <c:pt idx="77">
                  <c:v>26-Dec</c:v>
                </c:pt>
                <c:pt idx="78">
                  <c:v>26-Dec</c:v>
                </c:pt>
                <c:pt idx="79">
                  <c:v>26-Dec</c:v>
                </c:pt>
                <c:pt idx="80">
                  <c:v>26-Dec</c:v>
                </c:pt>
                <c:pt idx="81">
                  <c:v>26-Dec</c:v>
                </c:pt>
                <c:pt idx="82">
                  <c:v>26-Dec</c:v>
                </c:pt>
                <c:pt idx="83">
                  <c:v>26-Dec</c:v>
                </c:pt>
                <c:pt idx="84">
                  <c:v>26-Dec</c:v>
                </c:pt>
                <c:pt idx="85">
                  <c:v>26-Dec</c:v>
                </c:pt>
                <c:pt idx="86">
                  <c:v>26-Dec</c:v>
                </c:pt>
                <c:pt idx="87">
                  <c:v>26-Dec</c:v>
                </c:pt>
                <c:pt idx="88">
                  <c:v>26-Dec</c:v>
                </c:pt>
                <c:pt idx="89">
                  <c:v>26-Dec</c:v>
                </c:pt>
                <c:pt idx="90">
                  <c:v>26-Dec</c:v>
                </c:pt>
                <c:pt idx="91">
                  <c:v>26-Dec</c:v>
                </c:pt>
                <c:pt idx="92">
                  <c:v>27-Jan</c:v>
                </c:pt>
                <c:pt idx="93">
                  <c:v>27-Jan</c:v>
                </c:pt>
                <c:pt idx="94">
                  <c:v>27-Jan</c:v>
                </c:pt>
                <c:pt idx="95">
                  <c:v>27-Jan</c:v>
                </c:pt>
                <c:pt idx="96">
                  <c:v>27-Jan</c:v>
                </c:pt>
                <c:pt idx="97">
                  <c:v>27-Jan</c:v>
                </c:pt>
                <c:pt idx="98">
                  <c:v>27-Jan</c:v>
                </c:pt>
                <c:pt idx="99">
                  <c:v>27-Jan</c:v>
                </c:pt>
                <c:pt idx="100">
                  <c:v>27-Jan</c:v>
                </c:pt>
                <c:pt idx="101">
                  <c:v>27-Jan</c:v>
                </c:pt>
                <c:pt idx="102">
                  <c:v>27-Jan</c:v>
                </c:pt>
                <c:pt idx="103">
                  <c:v>27-Jan</c:v>
                </c:pt>
                <c:pt idx="104">
                  <c:v>27-Jan</c:v>
                </c:pt>
                <c:pt idx="105">
                  <c:v>27-Jan</c:v>
                </c:pt>
                <c:pt idx="106">
                  <c:v>27-Jan</c:v>
                </c:pt>
                <c:pt idx="107">
                  <c:v>27-Jan</c:v>
                </c:pt>
                <c:pt idx="108">
                  <c:v>27-Jan</c:v>
                </c:pt>
                <c:pt idx="109">
                  <c:v>27-Jan</c:v>
                </c:pt>
                <c:pt idx="110">
                  <c:v>27-Jan</c:v>
                </c:pt>
                <c:pt idx="111">
                  <c:v>27-Jan</c:v>
                </c:pt>
                <c:pt idx="112">
                  <c:v>27-Jan</c:v>
                </c:pt>
                <c:pt idx="113">
                  <c:v>27-Jan</c:v>
                </c:pt>
                <c:pt idx="114">
                  <c:v>27-Jan</c:v>
                </c:pt>
                <c:pt idx="115">
                  <c:v>27-Jan</c:v>
                </c:pt>
                <c:pt idx="116">
                  <c:v>27-Jan</c:v>
                </c:pt>
                <c:pt idx="117">
                  <c:v>27-Jan</c:v>
                </c:pt>
                <c:pt idx="118">
                  <c:v>27-Jan</c:v>
                </c:pt>
                <c:pt idx="119">
                  <c:v>27-Jan</c:v>
                </c:pt>
                <c:pt idx="120">
                  <c:v>27-Jan</c:v>
                </c:pt>
                <c:pt idx="121">
                  <c:v>27-Jan</c:v>
                </c:pt>
                <c:pt idx="122">
                  <c:v>27-Jan</c:v>
                </c:pt>
                <c:pt idx="123">
                  <c:v>27-Feb</c:v>
                </c:pt>
                <c:pt idx="124">
                  <c:v>27-Feb</c:v>
                </c:pt>
                <c:pt idx="125">
                  <c:v>27-Feb</c:v>
                </c:pt>
                <c:pt idx="126">
                  <c:v>27-Feb</c:v>
                </c:pt>
                <c:pt idx="127">
                  <c:v>27-Feb</c:v>
                </c:pt>
                <c:pt idx="128">
                  <c:v>27-Feb</c:v>
                </c:pt>
                <c:pt idx="129">
                  <c:v>27-Feb</c:v>
                </c:pt>
                <c:pt idx="130">
                  <c:v>27-Feb</c:v>
                </c:pt>
                <c:pt idx="131">
                  <c:v>27-Feb</c:v>
                </c:pt>
                <c:pt idx="132">
                  <c:v>27-Feb</c:v>
                </c:pt>
                <c:pt idx="133">
                  <c:v>27-Feb</c:v>
                </c:pt>
                <c:pt idx="134">
                  <c:v>27-Feb</c:v>
                </c:pt>
                <c:pt idx="135">
                  <c:v>27-Feb</c:v>
                </c:pt>
                <c:pt idx="136">
                  <c:v>27-Feb</c:v>
                </c:pt>
                <c:pt idx="137">
                  <c:v>27-Feb</c:v>
                </c:pt>
                <c:pt idx="138">
                  <c:v>27-Feb</c:v>
                </c:pt>
                <c:pt idx="139">
                  <c:v>27-Feb</c:v>
                </c:pt>
                <c:pt idx="140">
                  <c:v>27-Feb</c:v>
                </c:pt>
                <c:pt idx="141">
                  <c:v>27-Feb</c:v>
                </c:pt>
                <c:pt idx="142">
                  <c:v>27-Feb</c:v>
                </c:pt>
                <c:pt idx="143">
                  <c:v>27-Feb</c:v>
                </c:pt>
                <c:pt idx="144">
                  <c:v>27-Feb</c:v>
                </c:pt>
                <c:pt idx="145">
                  <c:v>27-Feb</c:v>
                </c:pt>
                <c:pt idx="146">
                  <c:v>27-Feb</c:v>
                </c:pt>
                <c:pt idx="147">
                  <c:v>27-Feb</c:v>
                </c:pt>
                <c:pt idx="148">
                  <c:v>27-Feb</c:v>
                </c:pt>
                <c:pt idx="149">
                  <c:v>27-Feb</c:v>
                </c:pt>
                <c:pt idx="150">
                  <c:v>27-Feb</c:v>
                </c:pt>
                <c:pt idx="151">
                  <c:v>27-Mar</c:v>
                </c:pt>
                <c:pt idx="152">
                  <c:v>27-Mar</c:v>
                </c:pt>
                <c:pt idx="153">
                  <c:v>27-Mar</c:v>
                </c:pt>
                <c:pt idx="154">
                  <c:v>27-Mar</c:v>
                </c:pt>
                <c:pt idx="155">
                  <c:v>27-Mar</c:v>
                </c:pt>
                <c:pt idx="156">
                  <c:v>27-Mar</c:v>
                </c:pt>
                <c:pt idx="157">
                  <c:v>27-Mar</c:v>
                </c:pt>
                <c:pt idx="158">
                  <c:v>27-Mar</c:v>
                </c:pt>
                <c:pt idx="159">
                  <c:v>27-Mar</c:v>
                </c:pt>
                <c:pt idx="160">
                  <c:v>27-Mar</c:v>
                </c:pt>
                <c:pt idx="161">
                  <c:v>27-Mar</c:v>
                </c:pt>
                <c:pt idx="162">
                  <c:v>27-Mar</c:v>
                </c:pt>
                <c:pt idx="163">
                  <c:v>27-Mar</c:v>
                </c:pt>
                <c:pt idx="164">
                  <c:v>27-Mar</c:v>
                </c:pt>
                <c:pt idx="165">
                  <c:v>27-Mar</c:v>
                </c:pt>
                <c:pt idx="166">
                  <c:v>27-Mar</c:v>
                </c:pt>
                <c:pt idx="167">
                  <c:v>27-Mar</c:v>
                </c:pt>
                <c:pt idx="168">
                  <c:v>27-Mar</c:v>
                </c:pt>
                <c:pt idx="169">
                  <c:v>27-Mar</c:v>
                </c:pt>
                <c:pt idx="170">
                  <c:v>27-Mar</c:v>
                </c:pt>
                <c:pt idx="171">
                  <c:v>27-Mar</c:v>
                </c:pt>
                <c:pt idx="172">
                  <c:v>27-Mar</c:v>
                </c:pt>
                <c:pt idx="173">
                  <c:v>27-Mar</c:v>
                </c:pt>
                <c:pt idx="174">
                  <c:v>27-Mar</c:v>
                </c:pt>
                <c:pt idx="175">
                  <c:v>27-Mar</c:v>
                </c:pt>
                <c:pt idx="176">
                  <c:v>27-Mar</c:v>
                </c:pt>
                <c:pt idx="177">
                  <c:v>27-Mar</c:v>
                </c:pt>
                <c:pt idx="178">
                  <c:v>27-Mar</c:v>
                </c:pt>
                <c:pt idx="179">
                  <c:v>27-Mar</c:v>
                </c:pt>
                <c:pt idx="180">
                  <c:v>27-Mar</c:v>
                </c:pt>
                <c:pt idx="181">
                  <c:v>27-Mar</c:v>
                </c:pt>
                <c:pt idx="182">
                  <c:v>27-Apr</c:v>
                </c:pt>
                <c:pt idx="183">
                  <c:v>27-Apr</c:v>
                </c:pt>
                <c:pt idx="184">
                  <c:v>27-Apr</c:v>
                </c:pt>
                <c:pt idx="185">
                  <c:v>27-Apr</c:v>
                </c:pt>
                <c:pt idx="186">
                  <c:v>27-Apr</c:v>
                </c:pt>
                <c:pt idx="187">
                  <c:v>27-Apr</c:v>
                </c:pt>
                <c:pt idx="188">
                  <c:v>27-Apr</c:v>
                </c:pt>
                <c:pt idx="189">
                  <c:v>27-Apr</c:v>
                </c:pt>
                <c:pt idx="190">
                  <c:v>27-Apr</c:v>
                </c:pt>
                <c:pt idx="191">
                  <c:v>27-Apr</c:v>
                </c:pt>
                <c:pt idx="192">
                  <c:v>27-Apr</c:v>
                </c:pt>
                <c:pt idx="193">
                  <c:v>27-Apr</c:v>
                </c:pt>
                <c:pt idx="194">
                  <c:v>27-Apr</c:v>
                </c:pt>
                <c:pt idx="195">
                  <c:v>27-Apr</c:v>
                </c:pt>
                <c:pt idx="196">
                  <c:v>27-Apr</c:v>
                </c:pt>
                <c:pt idx="197">
                  <c:v>27-Apr</c:v>
                </c:pt>
                <c:pt idx="198">
                  <c:v>27-Apr</c:v>
                </c:pt>
                <c:pt idx="199">
                  <c:v>27-Apr</c:v>
                </c:pt>
                <c:pt idx="200">
                  <c:v>27-Apr</c:v>
                </c:pt>
                <c:pt idx="201">
                  <c:v>27-Apr</c:v>
                </c:pt>
                <c:pt idx="202">
                  <c:v>27-Apr</c:v>
                </c:pt>
                <c:pt idx="203">
                  <c:v>27-Apr</c:v>
                </c:pt>
                <c:pt idx="204">
                  <c:v>27-Apr</c:v>
                </c:pt>
                <c:pt idx="205">
                  <c:v>27-Apr</c:v>
                </c:pt>
                <c:pt idx="206">
                  <c:v>27-Apr</c:v>
                </c:pt>
                <c:pt idx="207">
                  <c:v>27-Apr</c:v>
                </c:pt>
                <c:pt idx="208">
                  <c:v>27-Apr</c:v>
                </c:pt>
                <c:pt idx="209">
                  <c:v>27-Apr</c:v>
                </c:pt>
                <c:pt idx="210">
                  <c:v>27-Apr</c:v>
                </c:pt>
                <c:pt idx="211">
                  <c:v>27-Apr</c:v>
                </c:pt>
                <c:pt idx="212">
                  <c:v>27-May</c:v>
                </c:pt>
                <c:pt idx="213">
                  <c:v>27-May</c:v>
                </c:pt>
                <c:pt idx="214">
                  <c:v>27-May</c:v>
                </c:pt>
                <c:pt idx="215">
                  <c:v>27-May</c:v>
                </c:pt>
                <c:pt idx="216">
                  <c:v>27-May</c:v>
                </c:pt>
                <c:pt idx="217">
                  <c:v>27-May</c:v>
                </c:pt>
                <c:pt idx="218">
                  <c:v>27-May</c:v>
                </c:pt>
                <c:pt idx="219">
                  <c:v>27-May</c:v>
                </c:pt>
                <c:pt idx="220">
                  <c:v>27-May</c:v>
                </c:pt>
                <c:pt idx="221">
                  <c:v>27-May</c:v>
                </c:pt>
                <c:pt idx="222">
                  <c:v>27-May</c:v>
                </c:pt>
                <c:pt idx="223">
                  <c:v>27-May</c:v>
                </c:pt>
                <c:pt idx="224">
                  <c:v>27-May</c:v>
                </c:pt>
                <c:pt idx="225">
                  <c:v>27-May</c:v>
                </c:pt>
                <c:pt idx="226">
                  <c:v>27-May</c:v>
                </c:pt>
                <c:pt idx="227">
                  <c:v>27-May</c:v>
                </c:pt>
                <c:pt idx="228">
                  <c:v>27-May</c:v>
                </c:pt>
                <c:pt idx="229">
                  <c:v>27-May</c:v>
                </c:pt>
                <c:pt idx="230">
                  <c:v>27-May</c:v>
                </c:pt>
                <c:pt idx="231">
                  <c:v>27-May</c:v>
                </c:pt>
                <c:pt idx="232">
                  <c:v>27-May</c:v>
                </c:pt>
                <c:pt idx="233">
                  <c:v>27-May</c:v>
                </c:pt>
                <c:pt idx="234">
                  <c:v>27-May</c:v>
                </c:pt>
                <c:pt idx="235">
                  <c:v>27-May</c:v>
                </c:pt>
                <c:pt idx="236">
                  <c:v>27-May</c:v>
                </c:pt>
                <c:pt idx="237">
                  <c:v>27-May</c:v>
                </c:pt>
                <c:pt idx="238">
                  <c:v>27-May</c:v>
                </c:pt>
                <c:pt idx="239">
                  <c:v>27-May</c:v>
                </c:pt>
                <c:pt idx="240">
                  <c:v>27-May</c:v>
                </c:pt>
                <c:pt idx="241">
                  <c:v>27-May</c:v>
                </c:pt>
                <c:pt idx="242">
                  <c:v>27-May</c:v>
                </c:pt>
                <c:pt idx="243">
                  <c:v>27-Jun</c:v>
                </c:pt>
                <c:pt idx="244">
                  <c:v>27-Jun</c:v>
                </c:pt>
                <c:pt idx="245">
                  <c:v>27-Jun</c:v>
                </c:pt>
                <c:pt idx="246">
                  <c:v>27-Jun</c:v>
                </c:pt>
                <c:pt idx="247">
                  <c:v>27-Jun</c:v>
                </c:pt>
                <c:pt idx="248">
                  <c:v>27-Jun</c:v>
                </c:pt>
                <c:pt idx="249">
                  <c:v>27-Jun</c:v>
                </c:pt>
                <c:pt idx="250">
                  <c:v>27-Jun</c:v>
                </c:pt>
                <c:pt idx="251">
                  <c:v>27-Jun</c:v>
                </c:pt>
                <c:pt idx="252">
                  <c:v>27-Jun</c:v>
                </c:pt>
                <c:pt idx="253">
                  <c:v>27-Jun</c:v>
                </c:pt>
                <c:pt idx="254">
                  <c:v>27-Jun</c:v>
                </c:pt>
                <c:pt idx="255">
                  <c:v>27-Jun</c:v>
                </c:pt>
                <c:pt idx="256">
                  <c:v>27-Jun</c:v>
                </c:pt>
                <c:pt idx="257">
                  <c:v>27-Jun</c:v>
                </c:pt>
                <c:pt idx="258">
                  <c:v>27-Jun</c:v>
                </c:pt>
                <c:pt idx="259">
                  <c:v>27-Jun</c:v>
                </c:pt>
                <c:pt idx="260">
                  <c:v>27-Jun</c:v>
                </c:pt>
                <c:pt idx="261">
                  <c:v>27-Jun</c:v>
                </c:pt>
                <c:pt idx="262">
                  <c:v>27-Jun</c:v>
                </c:pt>
                <c:pt idx="263">
                  <c:v>27-Jun</c:v>
                </c:pt>
                <c:pt idx="264">
                  <c:v>27-Jun</c:v>
                </c:pt>
                <c:pt idx="265">
                  <c:v>27-Jun</c:v>
                </c:pt>
                <c:pt idx="266">
                  <c:v>27-Jun</c:v>
                </c:pt>
                <c:pt idx="267">
                  <c:v>27-Jun</c:v>
                </c:pt>
                <c:pt idx="268">
                  <c:v>27-Jun</c:v>
                </c:pt>
                <c:pt idx="269">
                  <c:v>27-Jun</c:v>
                </c:pt>
                <c:pt idx="270">
                  <c:v>27-Jun</c:v>
                </c:pt>
                <c:pt idx="271">
                  <c:v>27-Jun</c:v>
                </c:pt>
                <c:pt idx="272">
                  <c:v>27-Jun</c:v>
                </c:pt>
                <c:pt idx="273">
                  <c:v>27-Jul</c:v>
                </c:pt>
                <c:pt idx="274">
                  <c:v>27-Jul</c:v>
                </c:pt>
                <c:pt idx="275">
                  <c:v>27-Jul</c:v>
                </c:pt>
                <c:pt idx="276">
                  <c:v>27-Jul</c:v>
                </c:pt>
                <c:pt idx="277">
                  <c:v>27-Jul</c:v>
                </c:pt>
                <c:pt idx="278">
                  <c:v>27-Jul</c:v>
                </c:pt>
                <c:pt idx="279">
                  <c:v>27-Jul</c:v>
                </c:pt>
                <c:pt idx="280">
                  <c:v>27-Jul</c:v>
                </c:pt>
                <c:pt idx="281">
                  <c:v>27-Jul</c:v>
                </c:pt>
                <c:pt idx="282">
                  <c:v>27-Jul</c:v>
                </c:pt>
                <c:pt idx="283">
                  <c:v>27-Jul</c:v>
                </c:pt>
                <c:pt idx="284">
                  <c:v>27-Jul</c:v>
                </c:pt>
                <c:pt idx="285">
                  <c:v>27-Jul</c:v>
                </c:pt>
                <c:pt idx="286">
                  <c:v>27-Jul</c:v>
                </c:pt>
                <c:pt idx="287">
                  <c:v>27-Jul</c:v>
                </c:pt>
                <c:pt idx="288">
                  <c:v>27-Jul</c:v>
                </c:pt>
                <c:pt idx="289">
                  <c:v>27-Jul</c:v>
                </c:pt>
                <c:pt idx="290">
                  <c:v>27-Jul</c:v>
                </c:pt>
                <c:pt idx="291">
                  <c:v>27-Jul</c:v>
                </c:pt>
                <c:pt idx="292">
                  <c:v>27-Jul</c:v>
                </c:pt>
                <c:pt idx="293">
                  <c:v>27-Jul</c:v>
                </c:pt>
                <c:pt idx="294">
                  <c:v>27-Jul</c:v>
                </c:pt>
                <c:pt idx="295">
                  <c:v>27-Jul</c:v>
                </c:pt>
                <c:pt idx="296">
                  <c:v>27-Jul</c:v>
                </c:pt>
                <c:pt idx="297">
                  <c:v>27-Jul</c:v>
                </c:pt>
                <c:pt idx="298">
                  <c:v>27-Jul</c:v>
                </c:pt>
                <c:pt idx="299">
                  <c:v>27-Jul</c:v>
                </c:pt>
                <c:pt idx="300">
                  <c:v>27-Jul</c:v>
                </c:pt>
                <c:pt idx="301">
                  <c:v>27-Jul</c:v>
                </c:pt>
                <c:pt idx="302">
                  <c:v>27-Jul</c:v>
                </c:pt>
                <c:pt idx="303">
                  <c:v>27-Jul</c:v>
                </c:pt>
                <c:pt idx="304">
                  <c:v>27-Aug</c:v>
                </c:pt>
                <c:pt idx="305">
                  <c:v>27-Aug</c:v>
                </c:pt>
                <c:pt idx="306">
                  <c:v>27-Aug</c:v>
                </c:pt>
                <c:pt idx="307">
                  <c:v>27-Aug</c:v>
                </c:pt>
                <c:pt idx="308">
                  <c:v>27-Aug</c:v>
                </c:pt>
                <c:pt idx="309">
                  <c:v>27-Aug</c:v>
                </c:pt>
                <c:pt idx="310">
                  <c:v>27-Aug</c:v>
                </c:pt>
                <c:pt idx="311">
                  <c:v>27-Aug</c:v>
                </c:pt>
                <c:pt idx="312">
                  <c:v>27-Aug</c:v>
                </c:pt>
                <c:pt idx="313">
                  <c:v>27-Aug</c:v>
                </c:pt>
                <c:pt idx="314">
                  <c:v>27-Aug</c:v>
                </c:pt>
                <c:pt idx="315">
                  <c:v>27-Aug</c:v>
                </c:pt>
                <c:pt idx="316">
                  <c:v>27-Aug</c:v>
                </c:pt>
                <c:pt idx="317">
                  <c:v>27-Aug</c:v>
                </c:pt>
                <c:pt idx="318">
                  <c:v>27-Aug</c:v>
                </c:pt>
                <c:pt idx="319">
                  <c:v>27-Aug</c:v>
                </c:pt>
                <c:pt idx="320">
                  <c:v>27-Aug</c:v>
                </c:pt>
                <c:pt idx="321">
                  <c:v>27-Aug</c:v>
                </c:pt>
                <c:pt idx="322">
                  <c:v>27-Aug</c:v>
                </c:pt>
                <c:pt idx="323">
                  <c:v>27-Aug</c:v>
                </c:pt>
                <c:pt idx="324">
                  <c:v>27-Aug</c:v>
                </c:pt>
                <c:pt idx="325">
                  <c:v>27-Aug</c:v>
                </c:pt>
                <c:pt idx="326">
                  <c:v>27-Aug</c:v>
                </c:pt>
                <c:pt idx="327">
                  <c:v>27-Aug</c:v>
                </c:pt>
                <c:pt idx="328">
                  <c:v>27-Aug</c:v>
                </c:pt>
                <c:pt idx="329">
                  <c:v>27-Aug</c:v>
                </c:pt>
                <c:pt idx="330">
                  <c:v>27-Aug</c:v>
                </c:pt>
                <c:pt idx="331">
                  <c:v>27-Aug</c:v>
                </c:pt>
                <c:pt idx="332">
                  <c:v>27-Aug</c:v>
                </c:pt>
                <c:pt idx="333">
                  <c:v>27-Aug</c:v>
                </c:pt>
                <c:pt idx="334">
                  <c:v>27-Aug</c:v>
                </c:pt>
                <c:pt idx="335">
                  <c:v>27-Sep</c:v>
                </c:pt>
                <c:pt idx="336">
                  <c:v>27-Sep</c:v>
                </c:pt>
                <c:pt idx="337">
                  <c:v>27-Sep</c:v>
                </c:pt>
                <c:pt idx="338">
                  <c:v>27-Sep</c:v>
                </c:pt>
                <c:pt idx="339">
                  <c:v>27-Sep</c:v>
                </c:pt>
                <c:pt idx="340">
                  <c:v>27-Sep</c:v>
                </c:pt>
                <c:pt idx="341">
                  <c:v>27-Sep</c:v>
                </c:pt>
                <c:pt idx="342">
                  <c:v>27-Sep</c:v>
                </c:pt>
                <c:pt idx="343">
                  <c:v>27-Sep</c:v>
                </c:pt>
                <c:pt idx="344">
                  <c:v>27-Sep</c:v>
                </c:pt>
                <c:pt idx="345">
                  <c:v>27-Sep</c:v>
                </c:pt>
                <c:pt idx="346">
                  <c:v>27-Sep</c:v>
                </c:pt>
                <c:pt idx="347">
                  <c:v>27-Sep</c:v>
                </c:pt>
                <c:pt idx="348">
                  <c:v>27-Sep</c:v>
                </c:pt>
                <c:pt idx="349">
                  <c:v>27-Sep</c:v>
                </c:pt>
                <c:pt idx="350">
                  <c:v>27-Sep</c:v>
                </c:pt>
                <c:pt idx="351">
                  <c:v>27-Sep</c:v>
                </c:pt>
                <c:pt idx="352">
                  <c:v>27-Sep</c:v>
                </c:pt>
                <c:pt idx="353">
                  <c:v>27-Sep</c:v>
                </c:pt>
                <c:pt idx="354">
                  <c:v>27-Sep</c:v>
                </c:pt>
                <c:pt idx="355">
                  <c:v>27-Sep</c:v>
                </c:pt>
                <c:pt idx="356">
                  <c:v>27-Sep</c:v>
                </c:pt>
                <c:pt idx="357">
                  <c:v>27-Sep</c:v>
                </c:pt>
                <c:pt idx="358">
                  <c:v>27-Sep</c:v>
                </c:pt>
                <c:pt idx="359">
                  <c:v>27-Sep</c:v>
                </c:pt>
                <c:pt idx="360">
                  <c:v>27-Sep</c:v>
                </c:pt>
                <c:pt idx="361">
                  <c:v>27-Sep</c:v>
                </c:pt>
                <c:pt idx="362">
                  <c:v>27-Sep</c:v>
                </c:pt>
                <c:pt idx="363">
                  <c:v>27-Sep</c:v>
                </c:pt>
                <c:pt idx="364">
                  <c:v>27-Sep</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26-Oct</c:v>
                </c:pt>
                <c:pt idx="1">
                  <c:v>26-Oct</c:v>
                </c:pt>
                <c:pt idx="2">
                  <c:v>26-Oct</c:v>
                </c:pt>
                <c:pt idx="3">
                  <c:v>26-Oct</c:v>
                </c:pt>
                <c:pt idx="4">
                  <c:v>26-Oct</c:v>
                </c:pt>
                <c:pt idx="5">
                  <c:v>26-Oct</c:v>
                </c:pt>
                <c:pt idx="6">
                  <c:v>26-Oct</c:v>
                </c:pt>
                <c:pt idx="7">
                  <c:v>26-Oct</c:v>
                </c:pt>
                <c:pt idx="8">
                  <c:v>26-Oct</c:v>
                </c:pt>
                <c:pt idx="9">
                  <c:v>26-Oct</c:v>
                </c:pt>
                <c:pt idx="10">
                  <c:v>26-Oct</c:v>
                </c:pt>
                <c:pt idx="11">
                  <c:v>26-Oct</c:v>
                </c:pt>
                <c:pt idx="12">
                  <c:v>26-Oct</c:v>
                </c:pt>
                <c:pt idx="13">
                  <c:v>26-Oct</c:v>
                </c:pt>
                <c:pt idx="14">
                  <c:v>26-Oct</c:v>
                </c:pt>
                <c:pt idx="15">
                  <c:v>26-Oct</c:v>
                </c:pt>
                <c:pt idx="16">
                  <c:v>26-Oct</c:v>
                </c:pt>
                <c:pt idx="17">
                  <c:v>26-Oct</c:v>
                </c:pt>
                <c:pt idx="18">
                  <c:v>26-Oct</c:v>
                </c:pt>
                <c:pt idx="19">
                  <c:v>26-Oct</c:v>
                </c:pt>
                <c:pt idx="20">
                  <c:v>26-Oct</c:v>
                </c:pt>
                <c:pt idx="21">
                  <c:v>26-Oct</c:v>
                </c:pt>
                <c:pt idx="22">
                  <c:v>26-Oct</c:v>
                </c:pt>
                <c:pt idx="23">
                  <c:v>26-Oct</c:v>
                </c:pt>
                <c:pt idx="24">
                  <c:v>26-Oct</c:v>
                </c:pt>
                <c:pt idx="25">
                  <c:v>26-Oct</c:v>
                </c:pt>
                <c:pt idx="26">
                  <c:v>26-Oct</c:v>
                </c:pt>
                <c:pt idx="27">
                  <c:v>26-Oct</c:v>
                </c:pt>
                <c:pt idx="28">
                  <c:v>26-Oct</c:v>
                </c:pt>
                <c:pt idx="29">
                  <c:v>26-Oct</c:v>
                </c:pt>
                <c:pt idx="30">
                  <c:v>26-Oct</c:v>
                </c:pt>
                <c:pt idx="31">
                  <c:v>26-Nov</c:v>
                </c:pt>
                <c:pt idx="32">
                  <c:v>26-Nov</c:v>
                </c:pt>
                <c:pt idx="33">
                  <c:v>26-Nov</c:v>
                </c:pt>
                <c:pt idx="34">
                  <c:v>26-Nov</c:v>
                </c:pt>
                <c:pt idx="35">
                  <c:v>26-Nov</c:v>
                </c:pt>
                <c:pt idx="36">
                  <c:v>26-Nov</c:v>
                </c:pt>
                <c:pt idx="37">
                  <c:v>26-Nov</c:v>
                </c:pt>
                <c:pt idx="38">
                  <c:v>26-Nov</c:v>
                </c:pt>
                <c:pt idx="39">
                  <c:v>26-Nov</c:v>
                </c:pt>
                <c:pt idx="40">
                  <c:v>26-Nov</c:v>
                </c:pt>
                <c:pt idx="41">
                  <c:v>26-Nov</c:v>
                </c:pt>
                <c:pt idx="42">
                  <c:v>26-Nov</c:v>
                </c:pt>
                <c:pt idx="43">
                  <c:v>26-Nov</c:v>
                </c:pt>
                <c:pt idx="44">
                  <c:v>26-Nov</c:v>
                </c:pt>
                <c:pt idx="45">
                  <c:v>26-Nov</c:v>
                </c:pt>
                <c:pt idx="46">
                  <c:v>26-Nov</c:v>
                </c:pt>
                <c:pt idx="47">
                  <c:v>26-Nov</c:v>
                </c:pt>
                <c:pt idx="48">
                  <c:v>26-Nov</c:v>
                </c:pt>
                <c:pt idx="49">
                  <c:v>26-Nov</c:v>
                </c:pt>
                <c:pt idx="50">
                  <c:v>26-Nov</c:v>
                </c:pt>
                <c:pt idx="51">
                  <c:v>26-Nov</c:v>
                </c:pt>
                <c:pt idx="52">
                  <c:v>26-Nov</c:v>
                </c:pt>
                <c:pt idx="53">
                  <c:v>26-Nov</c:v>
                </c:pt>
                <c:pt idx="54">
                  <c:v>26-Nov</c:v>
                </c:pt>
                <c:pt idx="55">
                  <c:v>26-Nov</c:v>
                </c:pt>
                <c:pt idx="56">
                  <c:v>26-Nov</c:v>
                </c:pt>
                <c:pt idx="57">
                  <c:v>26-Nov</c:v>
                </c:pt>
                <c:pt idx="58">
                  <c:v>26-Nov</c:v>
                </c:pt>
                <c:pt idx="59">
                  <c:v>26-Nov</c:v>
                </c:pt>
                <c:pt idx="60">
                  <c:v>26-Nov</c:v>
                </c:pt>
                <c:pt idx="61">
                  <c:v>26-Dec</c:v>
                </c:pt>
                <c:pt idx="62">
                  <c:v>26-Dec</c:v>
                </c:pt>
                <c:pt idx="63">
                  <c:v>26-Dec</c:v>
                </c:pt>
                <c:pt idx="64">
                  <c:v>26-Dec</c:v>
                </c:pt>
                <c:pt idx="65">
                  <c:v>26-Dec</c:v>
                </c:pt>
                <c:pt idx="66">
                  <c:v>26-Dec</c:v>
                </c:pt>
                <c:pt idx="67">
                  <c:v>26-Dec</c:v>
                </c:pt>
                <c:pt idx="68">
                  <c:v>26-Dec</c:v>
                </c:pt>
                <c:pt idx="69">
                  <c:v>26-Dec</c:v>
                </c:pt>
                <c:pt idx="70">
                  <c:v>26-Dec</c:v>
                </c:pt>
                <c:pt idx="71">
                  <c:v>26-Dec</c:v>
                </c:pt>
                <c:pt idx="72">
                  <c:v>26-Dec</c:v>
                </c:pt>
                <c:pt idx="73">
                  <c:v>26-Dec</c:v>
                </c:pt>
                <c:pt idx="74">
                  <c:v>26-Dec</c:v>
                </c:pt>
                <c:pt idx="75">
                  <c:v>26-Dec</c:v>
                </c:pt>
                <c:pt idx="76">
                  <c:v>26-Dec</c:v>
                </c:pt>
                <c:pt idx="77">
                  <c:v>26-Dec</c:v>
                </c:pt>
                <c:pt idx="78">
                  <c:v>26-Dec</c:v>
                </c:pt>
                <c:pt idx="79">
                  <c:v>26-Dec</c:v>
                </c:pt>
                <c:pt idx="80">
                  <c:v>26-Dec</c:v>
                </c:pt>
                <c:pt idx="81">
                  <c:v>26-Dec</c:v>
                </c:pt>
                <c:pt idx="82">
                  <c:v>26-Dec</c:v>
                </c:pt>
                <c:pt idx="83">
                  <c:v>26-Dec</c:v>
                </c:pt>
                <c:pt idx="84">
                  <c:v>26-Dec</c:v>
                </c:pt>
                <c:pt idx="85">
                  <c:v>26-Dec</c:v>
                </c:pt>
                <c:pt idx="86">
                  <c:v>26-Dec</c:v>
                </c:pt>
                <c:pt idx="87">
                  <c:v>26-Dec</c:v>
                </c:pt>
                <c:pt idx="88">
                  <c:v>26-Dec</c:v>
                </c:pt>
                <c:pt idx="89">
                  <c:v>26-Dec</c:v>
                </c:pt>
                <c:pt idx="90">
                  <c:v>26-Dec</c:v>
                </c:pt>
                <c:pt idx="91">
                  <c:v>26-Dec</c:v>
                </c:pt>
                <c:pt idx="92">
                  <c:v>27-Jan</c:v>
                </c:pt>
                <c:pt idx="93">
                  <c:v>27-Jan</c:v>
                </c:pt>
                <c:pt idx="94">
                  <c:v>27-Jan</c:v>
                </c:pt>
                <c:pt idx="95">
                  <c:v>27-Jan</c:v>
                </c:pt>
                <c:pt idx="96">
                  <c:v>27-Jan</c:v>
                </c:pt>
                <c:pt idx="97">
                  <c:v>27-Jan</c:v>
                </c:pt>
                <c:pt idx="98">
                  <c:v>27-Jan</c:v>
                </c:pt>
                <c:pt idx="99">
                  <c:v>27-Jan</c:v>
                </c:pt>
                <c:pt idx="100">
                  <c:v>27-Jan</c:v>
                </c:pt>
                <c:pt idx="101">
                  <c:v>27-Jan</c:v>
                </c:pt>
                <c:pt idx="102">
                  <c:v>27-Jan</c:v>
                </c:pt>
                <c:pt idx="103">
                  <c:v>27-Jan</c:v>
                </c:pt>
                <c:pt idx="104">
                  <c:v>27-Jan</c:v>
                </c:pt>
                <c:pt idx="105">
                  <c:v>27-Jan</c:v>
                </c:pt>
                <c:pt idx="106">
                  <c:v>27-Jan</c:v>
                </c:pt>
                <c:pt idx="107">
                  <c:v>27-Jan</c:v>
                </c:pt>
                <c:pt idx="108">
                  <c:v>27-Jan</c:v>
                </c:pt>
                <c:pt idx="109">
                  <c:v>27-Jan</c:v>
                </c:pt>
                <c:pt idx="110">
                  <c:v>27-Jan</c:v>
                </c:pt>
                <c:pt idx="111">
                  <c:v>27-Jan</c:v>
                </c:pt>
                <c:pt idx="112">
                  <c:v>27-Jan</c:v>
                </c:pt>
                <c:pt idx="113">
                  <c:v>27-Jan</c:v>
                </c:pt>
                <c:pt idx="114">
                  <c:v>27-Jan</c:v>
                </c:pt>
                <c:pt idx="115">
                  <c:v>27-Jan</c:v>
                </c:pt>
                <c:pt idx="116">
                  <c:v>27-Jan</c:v>
                </c:pt>
                <c:pt idx="117">
                  <c:v>27-Jan</c:v>
                </c:pt>
                <c:pt idx="118">
                  <c:v>27-Jan</c:v>
                </c:pt>
                <c:pt idx="119">
                  <c:v>27-Jan</c:v>
                </c:pt>
                <c:pt idx="120">
                  <c:v>27-Jan</c:v>
                </c:pt>
                <c:pt idx="121">
                  <c:v>27-Jan</c:v>
                </c:pt>
                <c:pt idx="122">
                  <c:v>27-Jan</c:v>
                </c:pt>
                <c:pt idx="123">
                  <c:v>27-Feb</c:v>
                </c:pt>
                <c:pt idx="124">
                  <c:v>27-Feb</c:v>
                </c:pt>
                <c:pt idx="125">
                  <c:v>27-Feb</c:v>
                </c:pt>
                <c:pt idx="126">
                  <c:v>27-Feb</c:v>
                </c:pt>
                <c:pt idx="127">
                  <c:v>27-Feb</c:v>
                </c:pt>
                <c:pt idx="128">
                  <c:v>27-Feb</c:v>
                </c:pt>
                <c:pt idx="129">
                  <c:v>27-Feb</c:v>
                </c:pt>
                <c:pt idx="130">
                  <c:v>27-Feb</c:v>
                </c:pt>
                <c:pt idx="131">
                  <c:v>27-Feb</c:v>
                </c:pt>
                <c:pt idx="132">
                  <c:v>27-Feb</c:v>
                </c:pt>
                <c:pt idx="133">
                  <c:v>27-Feb</c:v>
                </c:pt>
                <c:pt idx="134">
                  <c:v>27-Feb</c:v>
                </c:pt>
                <c:pt idx="135">
                  <c:v>27-Feb</c:v>
                </c:pt>
                <c:pt idx="136">
                  <c:v>27-Feb</c:v>
                </c:pt>
                <c:pt idx="137">
                  <c:v>27-Feb</c:v>
                </c:pt>
                <c:pt idx="138">
                  <c:v>27-Feb</c:v>
                </c:pt>
                <c:pt idx="139">
                  <c:v>27-Feb</c:v>
                </c:pt>
                <c:pt idx="140">
                  <c:v>27-Feb</c:v>
                </c:pt>
                <c:pt idx="141">
                  <c:v>27-Feb</c:v>
                </c:pt>
                <c:pt idx="142">
                  <c:v>27-Feb</c:v>
                </c:pt>
                <c:pt idx="143">
                  <c:v>27-Feb</c:v>
                </c:pt>
                <c:pt idx="144">
                  <c:v>27-Feb</c:v>
                </c:pt>
                <c:pt idx="145">
                  <c:v>27-Feb</c:v>
                </c:pt>
                <c:pt idx="146">
                  <c:v>27-Feb</c:v>
                </c:pt>
                <c:pt idx="147">
                  <c:v>27-Feb</c:v>
                </c:pt>
                <c:pt idx="148">
                  <c:v>27-Feb</c:v>
                </c:pt>
                <c:pt idx="149">
                  <c:v>27-Feb</c:v>
                </c:pt>
                <c:pt idx="150">
                  <c:v>27-Feb</c:v>
                </c:pt>
                <c:pt idx="151">
                  <c:v>27-Mar</c:v>
                </c:pt>
                <c:pt idx="152">
                  <c:v>27-Mar</c:v>
                </c:pt>
                <c:pt idx="153">
                  <c:v>27-Mar</c:v>
                </c:pt>
                <c:pt idx="154">
                  <c:v>27-Mar</c:v>
                </c:pt>
                <c:pt idx="155">
                  <c:v>27-Mar</c:v>
                </c:pt>
                <c:pt idx="156">
                  <c:v>27-Mar</c:v>
                </c:pt>
                <c:pt idx="157">
                  <c:v>27-Mar</c:v>
                </c:pt>
                <c:pt idx="158">
                  <c:v>27-Mar</c:v>
                </c:pt>
                <c:pt idx="159">
                  <c:v>27-Mar</c:v>
                </c:pt>
                <c:pt idx="160">
                  <c:v>27-Mar</c:v>
                </c:pt>
                <c:pt idx="161">
                  <c:v>27-Mar</c:v>
                </c:pt>
                <c:pt idx="162">
                  <c:v>27-Mar</c:v>
                </c:pt>
                <c:pt idx="163">
                  <c:v>27-Mar</c:v>
                </c:pt>
                <c:pt idx="164">
                  <c:v>27-Mar</c:v>
                </c:pt>
                <c:pt idx="165">
                  <c:v>27-Mar</c:v>
                </c:pt>
                <c:pt idx="166">
                  <c:v>27-Mar</c:v>
                </c:pt>
                <c:pt idx="167">
                  <c:v>27-Mar</c:v>
                </c:pt>
                <c:pt idx="168">
                  <c:v>27-Mar</c:v>
                </c:pt>
                <c:pt idx="169">
                  <c:v>27-Mar</c:v>
                </c:pt>
                <c:pt idx="170">
                  <c:v>27-Mar</c:v>
                </c:pt>
                <c:pt idx="171">
                  <c:v>27-Mar</c:v>
                </c:pt>
                <c:pt idx="172">
                  <c:v>27-Mar</c:v>
                </c:pt>
                <c:pt idx="173">
                  <c:v>27-Mar</c:v>
                </c:pt>
                <c:pt idx="174">
                  <c:v>27-Mar</c:v>
                </c:pt>
                <c:pt idx="175">
                  <c:v>27-Mar</c:v>
                </c:pt>
                <c:pt idx="176">
                  <c:v>27-Mar</c:v>
                </c:pt>
                <c:pt idx="177">
                  <c:v>27-Mar</c:v>
                </c:pt>
                <c:pt idx="178">
                  <c:v>27-Mar</c:v>
                </c:pt>
                <c:pt idx="179">
                  <c:v>27-Mar</c:v>
                </c:pt>
                <c:pt idx="180">
                  <c:v>27-Mar</c:v>
                </c:pt>
                <c:pt idx="181">
                  <c:v>27-Mar</c:v>
                </c:pt>
                <c:pt idx="182">
                  <c:v>27-Apr</c:v>
                </c:pt>
                <c:pt idx="183">
                  <c:v>27-Apr</c:v>
                </c:pt>
                <c:pt idx="184">
                  <c:v>27-Apr</c:v>
                </c:pt>
                <c:pt idx="185">
                  <c:v>27-Apr</c:v>
                </c:pt>
                <c:pt idx="186">
                  <c:v>27-Apr</c:v>
                </c:pt>
                <c:pt idx="187">
                  <c:v>27-Apr</c:v>
                </c:pt>
                <c:pt idx="188">
                  <c:v>27-Apr</c:v>
                </c:pt>
                <c:pt idx="189">
                  <c:v>27-Apr</c:v>
                </c:pt>
                <c:pt idx="190">
                  <c:v>27-Apr</c:v>
                </c:pt>
                <c:pt idx="191">
                  <c:v>27-Apr</c:v>
                </c:pt>
                <c:pt idx="192">
                  <c:v>27-Apr</c:v>
                </c:pt>
                <c:pt idx="193">
                  <c:v>27-Apr</c:v>
                </c:pt>
                <c:pt idx="194">
                  <c:v>27-Apr</c:v>
                </c:pt>
                <c:pt idx="195">
                  <c:v>27-Apr</c:v>
                </c:pt>
                <c:pt idx="196">
                  <c:v>27-Apr</c:v>
                </c:pt>
                <c:pt idx="197">
                  <c:v>27-Apr</c:v>
                </c:pt>
                <c:pt idx="198">
                  <c:v>27-Apr</c:v>
                </c:pt>
                <c:pt idx="199">
                  <c:v>27-Apr</c:v>
                </c:pt>
                <c:pt idx="200">
                  <c:v>27-Apr</c:v>
                </c:pt>
                <c:pt idx="201">
                  <c:v>27-Apr</c:v>
                </c:pt>
                <c:pt idx="202">
                  <c:v>27-Apr</c:v>
                </c:pt>
                <c:pt idx="203">
                  <c:v>27-Apr</c:v>
                </c:pt>
                <c:pt idx="204">
                  <c:v>27-Apr</c:v>
                </c:pt>
                <c:pt idx="205">
                  <c:v>27-Apr</c:v>
                </c:pt>
                <c:pt idx="206">
                  <c:v>27-Apr</c:v>
                </c:pt>
                <c:pt idx="207">
                  <c:v>27-Apr</c:v>
                </c:pt>
                <c:pt idx="208">
                  <c:v>27-Apr</c:v>
                </c:pt>
                <c:pt idx="209">
                  <c:v>27-Apr</c:v>
                </c:pt>
                <c:pt idx="210">
                  <c:v>27-Apr</c:v>
                </c:pt>
                <c:pt idx="211">
                  <c:v>27-Apr</c:v>
                </c:pt>
                <c:pt idx="212">
                  <c:v>27-May</c:v>
                </c:pt>
                <c:pt idx="213">
                  <c:v>27-May</c:v>
                </c:pt>
                <c:pt idx="214">
                  <c:v>27-May</c:v>
                </c:pt>
                <c:pt idx="215">
                  <c:v>27-May</c:v>
                </c:pt>
                <c:pt idx="216">
                  <c:v>27-May</c:v>
                </c:pt>
                <c:pt idx="217">
                  <c:v>27-May</c:v>
                </c:pt>
                <c:pt idx="218">
                  <c:v>27-May</c:v>
                </c:pt>
                <c:pt idx="219">
                  <c:v>27-May</c:v>
                </c:pt>
                <c:pt idx="220">
                  <c:v>27-May</c:v>
                </c:pt>
                <c:pt idx="221">
                  <c:v>27-May</c:v>
                </c:pt>
                <c:pt idx="222">
                  <c:v>27-May</c:v>
                </c:pt>
                <c:pt idx="223">
                  <c:v>27-May</c:v>
                </c:pt>
                <c:pt idx="224">
                  <c:v>27-May</c:v>
                </c:pt>
                <c:pt idx="225">
                  <c:v>27-May</c:v>
                </c:pt>
                <c:pt idx="226">
                  <c:v>27-May</c:v>
                </c:pt>
                <c:pt idx="227">
                  <c:v>27-May</c:v>
                </c:pt>
                <c:pt idx="228">
                  <c:v>27-May</c:v>
                </c:pt>
                <c:pt idx="229">
                  <c:v>27-May</c:v>
                </c:pt>
                <c:pt idx="230">
                  <c:v>27-May</c:v>
                </c:pt>
                <c:pt idx="231">
                  <c:v>27-May</c:v>
                </c:pt>
                <c:pt idx="232">
                  <c:v>27-May</c:v>
                </c:pt>
                <c:pt idx="233">
                  <c:v>27-May</c:v>
                </c:pt>
                <c:pt idx="234">
                  <c:v>27-May</c:v>
                </c:pt>
                <c:pt idx="235">
                  <c:v>27-May</c:v>
                </c:pt>
                <c:pt idx="236">
                  <c:v>27-May</c:v>
                </c:pt>
                <c:pt idx="237">
                  <c:v>27-May</c:v>
                </c:pt>
                <c:pt idx="238">
                  <c:v>27-May</c:v>
                </c:pt>
                <c:pt idx="239">
                  <c:v>27-May</c:v>
                </c:pt>
                <c:pt idx="240">
                  <c:v>27-May</c:v>
                </c:pt>
                <c:pt idx="241">
                  <c:v>27-May</c:v>
                </c:pt>
                <c:pt idx="242">
                  <c:v>27-May</c:v>
                </c:pt>
                <c:pt idx="243">
                  <c:v>27-Jun</c:v>
                </c:pt>
                <c:pt idx="244">
                  <c:v>27-Jun</c:v>
                </c:pt>
                <c:pt idx="245">
                  <c:v>27-Jun</c:v>
                </c:pt>
                <c:pt idx="246">
                  <c:v>27-Jun</c:v>
                </c:pt>
                <c:pt idx="247">
                  <c:v>27-Jun</c:v>
                </c:pt>
                <c:pt idx="248">
                  <c:v>27-Jun</c:v>
                </c:pt>
                <c:pt idx="249">
                  <c:v>27-Jun</c:v>
                </c:pt>
                <c:pt idx="250">
                  <c:v>27-Jun</c:v>
                </c:pt>
                <c:pt idx="251">
                  <c:v>27-Jun</c:v>
                </c:pt>
                <c:pt idx="252">
                  <c:v>27-Jun</c:v>
                </c:pt>
                <c:pt idx="253">
                  <c:v>27-Jun</c:v>
                </c:pt>
                <c:pt idx="254">
                  <c:v>27-Jun</c:v>
                </c:pt>
                <c:pt idx="255">
                  <c:v>27-Jun</c:v>
                </c:pt>
                <c:pt idx="256">
                  <c:v>27-Jun</c:v>
                </c:pt>
                <c:pt idx="257">
                  <c:v>27-Jun</c:v>
                </c:pt>
                <c:pt idx="258">
                  <c:v>27-Jun</c:v>
                </c:pt>
                <c:pt idx="259">
                  <c:v>27-Jun</c:v>
                </c:pt>
                <c:pt idx="260">
                  <c:v>27-Jun</c:v>
                </c:pt>
                <c:pt idx="261">
                  <c:v>27-Jun</c:v>
                </c:pt>
                <c:pt idx="262">
                  <c:v>27-Jun</c:v>
                </c:pt>
                <c:pt idx="263">
                  <c:v>27-Jun</c:v>
                </c:pt>
                <c:pt idx="264">
                  <c:v>27-Jun</c:v>
                </c:pt>
                <c:pt idx="265">
                  <c:v>27-Jun</c:v>
                </c:pt>
                <c:pt idx="266">
                  <c:v>27-Jun</c:v>
                </c:pt>
                <c:pt idx="267">
                  <c:v>27-Jun</c:v>
                </c:pt>
                <c:pt idx="268">
                  <c:v>27-Jun</c:v>
                </c:pt>
                <c:pt idx="269">
                  <c:v>27-Jun</c:v>
                </c:pt>
                <c:pt idx="270">
                  <c:v>27-Jun</c:v>
                </c:pt>
                <c:pt idx="271">
                  <c:v>27-Jun</c:v>
                </c:pt>
                <c:pt idx="272">
                  <c:v>27-Jun</c:v>
                </c:pt>
                <c:pt idx="273">
                  <c:v>27-Jul</c:v>
                </c:pt>
                <c:pt idx="274">
                  <c:v>27-Jul</c:v>
                </c:pt>
                <c:pt idx="275">
                  <c:v>27-Jul</c:v>
                </c:pt>
                <c:pt idx="276">
                  <c:v>27-Jul</c:v>
                </c:pt>
                <c:pt idx="277">
                  <c:v>27-Jul</c:v>
                </c:pt>
                <c:pt idx="278">
                  <c:v>27-Jul</c:v>
                </c:pt>
                <c:pt idx="279">
                  <c:v>27-Jul</c:v>
                </c:pt>
                <c:pt idx="280">
                  <c:v>27-Jul</c:v>
                </c:pt>
                <c:pt idx="281">
                  <c:v>27-Jul</c:v>
                </c:pt>
                <c:pt idx="282">
                  <c:v>27-Jul</c:v>
                </c:pt>
                <c:pt idx="283">
                  <c:v>27-Jul</c:v>
                </c:pt>
                <c:pt idx="284">
                  <c:v>27-Jul</c:v>
                </c:pt>
                <c:pt idx="285">
                  <c:v>27-Jul</c:v>
                </c:pt>
                <c:pt idx="286">
                  <c:v>27-Jul</c:v>
                </c:pt>
                <c:pt idx="287">
                  <c:v>27-Jul</c:v>
                </c:pt>
                <c:pt idx="288">
                  <c:v>27-Jul</c:v>
                </c:pt>
                <c:pt idx="289">
                  <c:v>27-Jul</c:v>
                </c:pt>
                <c:pt idx="290">
                  <c:v>27-Jul</c:v>
                </c:pt>
                <c:pt idx="291">
                  <c:v>27-Jul</c:v>
                </c:pt>
                <c:pt idx="292">
                  <c:v>27-Jul</c:v>
                </c:pt>
                <c:pt idx="293">
                  <c:v>27-Jul</c:v>
                </c:pt>
                <c:pt idx="294">
                  <c:v>27-Jul</c:v>
                </c:pt>
                <c:pt idx="295">
                  <c:v>27-Jul</c:v>
                </c:pt>
                <c:pt idx="296">
                  <c:v>27-Jul</c:v>
                </c:pt>
                <c:pt idx="297">
                  <c:v>27-Jul</c:v>
                </c:pt>
                <c:pt idx="298">
                  <c:v>27-Jul</c:v>
                </c:pt>
                <c:pt idx="299">
                  <c:v>27-Jul</c:v>
                </c:pt>
                <c:pt idx="300">
                  <c:v>27-Jul</c:v>
                </c:pt>
                <c:pt idx="301">
                  <c:v>27-Jul</c:v>
                </c:pt>
                <c:pt idx="302">
                  <c:v>27-Jul</c:v>
                </c:pt>
                <c:pt idx="303">
                  <c:v>27-Jul</c:v>
                </c:pt>
                <c:pt idx="304">
                  <c:v>27-Aug</c:v>
                </c:pt>
                <c:pt idx="305">
                  <c:v>27-Aug</c:v>
                </c:pt>
                <c:pt idx="306">
                  <c:v>27-Aug</c:v>
                </c:pt>
                <c:pt idx="307">
                  <c:v>27-Aug</c:v>
                </c:pt>
                <c:pt idx="308">
                  <c:v>27-Aug</c:v>
                </c:pt>
                <c:pt idx="309">
                  <c:v>27-Aug</c:v>
                </c:pt>
                <c:pt idx="310">
                  <c:v>27-Aug</c:v>
                </c:pt>
                <c:pt idx="311">
                  <c:v>27-Aug</c:v>
                </c:pt>
                <c:pt idx="312">
                  <c:v>27-Aug</c:v>
                </c:pt>
                <c:pt idx="313">
                  <c:v>27-Aug</c:v>
                </c:pt>
                <c:pt idx="314">
                  <c:v>27-Aug</c:v>
                </c:pt>
                <c:pt idx="315">
                  <c:v>27-Aug</c:v>
                </c:pt>
                <c:pt idx="316">
                  <c:v>27-Aug</c:v>
                </c:pt>
                <c:pt idx="317">
                  <c:v>27-Aug</c:v>
                </c:pt>
                <c:pt idx="318">
                  <c:v>27-Aug</c:v>
                </c:pt>
                <c:pt idx="319">
                  <c:v>27-Aug</c:v>
                </c:pt>
                <c:pt idx="320">
                  <c:v>27-Aug</c:v>
                </c:pt>
                <c:pt idx="321">
                  <c:v>27-Aug</c:v>
                </c:pt>
                <c:pt idx="322">
                  <c:v>27-Aug</c:v>
                </c:pt>
                <c:pt idx="323">
                  <c:v>27-Aug</c:v>
                </c:pt>
                <c:pt idx="324">
                  <c:v>27-Aug</c:v>
                </c:pt>
                <c:pt idx="325">
                  <c:v>27-Aug</c:v>
                </c:pt>
                <c:pt idx="326">
                  <c:v>27-Aug</c:v>
                </c:pt>
                <c:pt idx="327">
                  <c:v>27-Aug</c:v>
                </c:pt>
                <c:pt idx="328">
                  <c:v>27-Aug</c:v>
                </c:pt>
                <c:pt idx="329">
                  <c:v>27-Aug</c:v>
                </c:pt>
                <c:pt idx="330">
                  <c:v>27-Aug</c:v>
                </c:pt>
                <c:pt idx="331">
                  <c:v>27-Aug</c:v>
                </c:pt>
                <c:pt idx="332">
                  <c:v>27-Aug</c:v>
                </c:pt>
                <c:pt idx="333">
                  <c:v>27-Aug</c:v>
                </c:pt>
                <c:pt idx="334">
                  <c:v>27-Aug</c:v>
                </c:pt>
                <c:pt idx="335">
                  <c:v>27-Sep</c:v>
                </c:pt>
                <c:pt idx="336">
                  <c:v>27-Sep</c:v>
                </c:pt>
                <c:pt idx="337">
                  <c:v>27-Sep</c:v>
                </c:pt>
                <c:pt idx="338">
                  <c:v>27-Sep</c:v>
                </c:pt>
                <c:pt idx="339">
                  <c:v>27-Sep</c:v>
                </c:pt>
                <c:pt idx="340">
                  <c:v>27-Sep</c:v>
                </c:pt>
                <c:pt idx="341">
                  <c:v>27-Sep</c:v>
                </c:pt>
                <c:pt idx="342">
                  <c:v>27-Sep</c:v>
                </c:pt>
                <c:pt idx="343">
                  <c:v>27-Sep</c:v>
                </c:pt>
                <c:pt idx="344">
                  <c:v>27-Sep</c:v>
                </c:pt>
                <c:pt idx="345">
                  <c:v>27-Sep</c:v>
                </c:pt>
                <c:pt idx="346">
                  <c:v>27-Sep</c:v>
                </c:pt>
                <c:pt idx="347">
                  <c:v>27-Sep</c:v>
                </c:pt>
                <c:pt idx="348">
                  <c:v>27-Sep</c:v>
                </c:pt>
                <c:pt idx="349">
                  <c:v>27-Sep</c:v>
                </c:pt>
                <c:pt idx="350">
                  <c:v>27-Sep</c:v>
                </c:pt>
                <c:pt idx="351">
                  <c:v>27-Sep</c:v>
                </c:pt>
                <c:pt idx="352">
                  <c:v>27-Sep</c:v>
                </c:pt>
                <c:pt idx="353">
                  <c:v>27-Sep</c:v>
                </c:pt>
                <c:pt idx="354">
                  <c:v>27-Sep</c:v>
                </c:pt>
                <c:pt idx="355">
                  <c:v>27-Sep</c:v>
                </c:pt>
                <c:pt idx="356">
                  <c:v>27-Sep</c:v>
                </c:pt>
                <c:pt idx="357">
                  <c:v>27-Sep</c:v>
                </c:pt>
                <c:pt idx="358">
                  <c:v>27-Sep</c:v>
                </c:pt>
                <c:pt idx="359">
                  <c:v>27-Sep</c:v>
                </c:pt>
                <c:pt idx="360">
                  <c:v>27-Sep</c:v>
                </c:pt>
                <c:pt idx="361">
                  <c:v>27-Sep</c:v>
                </c:pt>
                <c:pt idx="362">
                  <c:v>27-Sep</c:v>
                </c:pt>
                <c:pt idx="363">
                  <c:v>27-Sep</c:v>
                </c:pt>
                <c:pt idx="364">
                  <c:v>27-Sep</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1"/>
      </c:catAx>
      <c:valAx>
        <c:axId val="104996224"/>
        <c:scaling>
          <c:orientation val="minMax"/>
        </c:scaling>
        <c:delete val="0"/>
        <c:axPos val="l"/>
        <c:majorGridlines>
          <c:spPr>
            <a:ln w="3175">
              <a:solidFill>
                <a:srgbClr val="000000"/>
              </a:solidFill>
              <a:prstDash val="solid"/>
            </a:ln>
          </c:spPr>
        </c:majorGridlines>
        <c:title>
          <c:tx>
            <c:strRef>
              <c:f>Arbeitszeit!$AE$4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1"/>
      </c:catAx>
      <c:valAx>
        <c:axId val="263987200"/>
        <c:scaling>
          <c:orientation val="minMax"/>
        </c:scaling>
        <c:delete val="0"/>
        <c:axPos val="r"/>
        <c:title>
          <c:tx>
            <c:strRef>
              <c:f>Arbeitszeit!$AN$4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44834</c:v>
                </c:pt>
                <c:pt idx="1">
                  <c:v>44865</c:v>
                </c:pt>
                <c:pt idx="2">
                  <c:v>44895</c:v>
                </c:pt>
                <c:pt idx="3">
                  <c:v>44926</c:v>
                </c:pt>
                <c:pt idx="4">
                  <c:v>44957</c:v>
                </c:pt>
                <c:pt idx="5">
                  <c:v>44985</c:v>
                </c:pt>
                <c:pt idx="6">
                  <c:v>45016</c:v>
                </c:pt>
                <c:pt idx="7">
                  <c:v>45046</c:v>
                </c:pt>
                <c:pt idx="8">
                  <c:v>45077</c:v>
                </c:pt>
                <c:pt idx="9">
                  <c:v>45107</c:v>
                </c:pt>
                <c:pt idx="10">
                  <c:v>45138</c:v>
                </c:pt>
                <c:pt idx="11">
                  <c:v>45169</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44834</c:v>
                </c:pt>
                <c:pt idx="1">
                  <c:v>44865</c:v>
                </c:pt>
                <c:pt idx="2">
                  <c:v>44895</c:v>
                </c:pt>
                <c:pt idx="3">
                  <c:v>44926</c:v>
                </c:pt>
                <c:pt idx="4">
                  <c:v>44957</c:v>
                </c:pt>
                <c:pt idx="5">
                  <c:v>44985</c:v>
                </c:pt>
                <c:pt idx="6">
                  <c:v>45016</c:v>
                </c:pt>
                <c:pt idx="7">
                  <c:v>45046</c:v>
                </c:pt>
                <c:pt idx="8">
                  <c:v>45077</c:v>
                </c:pt>
                <c:pt idx="9">
                  <c:v>45107</c:v>
                </c:pt>
                <c:pt idx="10">
                  <c:v>45138</c:v>
                </c:pt>
                <c:pt idx="11">
                  <c:v>45169</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44834</c:v>
                </c:pt>
                <c:pt idx="1">
                  <c:v>44865</c:v>
                </c:pt>
                <c:pt idx="2">
                  <c:v>44895</c:v>
                </c:pt>
                <c:pt idx="3">
                  <c:v>44926</c:v>
                </c:pt>
                <c:pt idx="4">
                  <c:v>44957</c:v>
                </c:pt>
                <c:pt idx="5">
                  <c:v>44985</c:v>
                </c:pt>
                <c:pt idx="6">
                  <c:v>45016</c:v>
                </c:pt>
                <c:pt idx="7">
                  <c:v>45046</c:v>
                </c:pt>
                <c:pt idx="8">
                  <c:v>45077</c:v>
                </c:pt>
                <c:pt idx="9">
                  <c:v>45107</c:v>
                </c:pt>
                <c:pt idx="10">
                  <c:v>45138</c:v>
                </c:pt>
                <c:pt idx="11">
                  <c:v>45169</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44834</c:v>
                </c:pt>
                <c:pt idx="1">
                  <c:v>44865</c:v>
                </c:pt>
                <c:pt idx="2">
                  <c:v>44895</c:v>
                </c:pt>
                <c:pt idx="3">
                  <c:v>44926</c:v>
                </c:pt>
                <c:pt idx="4">
                  <c:v>44957</c:v>
                </c:pt>
                <c:pt idx="5">
                  <c:v>44985</c:v>
                </c:pt>
                <c:pt idx="6">
                  <c:v>45016</c:v>
                </c:pt>
                <c:pt idx="7">
                  <c:v>45046</c:v>
                </c:pt>
                <c:pt idx="8">
                  <c:v>45077</c:v>
                </c:pt>
                <c:pt idx="9">
                  <c:v>45107</c:v>
                </c:pt>
                <c:pt idx="10">
                  <c:v>45138</c:v>
                </c:pt>
                <c:pt idx="11">
                  <c:v>45169</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Okt 2026</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28575</xdr:colOff>
      <xdr:row>31</xdr:row>
      <xdr:rowOff>9525</xdr:rowOff>
    </xdr:from>
    <xdr:to>
      <xdr:col>16</xdr:col>
      <xdr:colOff>57150</xdr:colOff>
      <xdr:row>48</xdr:row>
      <xdr:rowOff>76200</xdr:rowOff>
    </xdr:to>
    <xdr:graphicFrame macro="">
      <xdr:nvGraphicFramePr>
        <xdr:cNvPr id="43380" name="Chart 5">
          <a:extLst>
            <a:ext uri="{FF2B5EF4-FFF2-40B4-BE49-F238E27FC236}">
              <a16:creationId xmlns:a16="http://schemas.microsoft.com/office/drawing/2014/main" id="{00000000-0008-0000-09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1" sqref="C71"/>
    </sheetView>
  </sheetViews>
  <sheetFormatPr baseColWidth="10" defaultColWidth="11.5703125" defaultRowHeight="12.75"/>
  <cols>
    <col min="1" max="1" width="7.5703125" customWidth="1"/>
    <col min="2" max="2" width="4.42578125" customWidth="1"/>
    <col min="3" max="3" width="18.28515625" style="269"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81</v>
      </c>
      <c r="B1" s="2" t="str">
        <f>B_PersonName</f>
        <v>Mustermann</v>
      </c>
      <c r="C1" s="283"/>
      <c r="D1" s="3"/>
      <c r="F1" s="4" t="s">
        <v>82</v>
      </c>
      <c r="G1" t="str">
        <f>B_Department</f>
        <v>Siemens</v>
      </c>
    </row>
    <row r="2" spans="1:24">
      <c r="A2" s="264" t="str">
        <f ca="1">CELL("filename",A2)</f>
        <v>https://d.docs.live.net/c89853cd948112b7/Dokumente/Siemens/Glaz ab 2026/[vGlaz2026 - FY27 Aufgaben50.xlsm]Classic</v>
      </c>
      <c r="B2" s="104"/>
      <c r="C2" s="283"/>
      <c r="D2" s="3"/>
    </row>
    <row r="3" spans="1:24" ht="21" customHeight="1">
      <c r="A3" s="325">
        <v>1</v>
      </c>
      <c r="B3" s="326"/>
      <c r="C3" s="327">
        <f>DATE(YEAR(B_Year),MONTH(B_Year)-1+$A$3,1)</f>
        <v>44834</v>
      </c>
      <c r="D3" s="328" t="s">
        <v>40</v>
      </c>
      <c r="I3" s="610" t="s">
        <v>41</v>
      </c>
      <c r="J3" s="610"/>
      <c r="K3" s="610"/>
      <c r="L3" s="610"/>
      <c r="M3" s="610"/>
      <c r="N3" s="610"/>
      <c r="O3" s="610"/>
      <c r="P3" s="610"/>
      <c r="R3" s="324">
        <f>Arbeitszeit!XWorkTimeMax</f>
        <v>0.41666666666666669</v>
      </c>
    </row>
    <row r="4" spans="1:24" ht="21.75">
      <c r="A4" s="313" t="s">
        <v>151</v>
      </c>
      <c r="B4" s="314" t="s">
        <v>14</v>
      </c>
      <c r="C4" s="316" t="s">
        <v>83</v>
      </c>
      <c r="D4" s="201" t="s">
        <v>84</v>
      </c>
      <c r="F4" s="316" t="s">
        <v>85</v>
      </c>
      <c r="G4" s="316" t="s">
        <v>86</v>
      </c>
      <c r="H4" s="316" t="s">
        <v>85</v>
      </c>
      <c r="I4" s="316" t="s">
        <v>86</v>
      </c>
      <c r="J4" s="317" t="s">
        <v>87</v>
      </c>
      <c r="K4" s="317" t="s">
        <v>117</v>
      </c>
      <c r="L4" s="318" t="s">
        <v>18</v>
      </c>
      <c r="M4" s="317" t="s">
        <v>88</v>
      </c>
      <c r="N4" s="319" t="s">
        <v>8</v>
      </c>
      <c r="O4" s="320" t="s">
        <v>89</v>
      </c>
      <c r="P4" s="321"/>
      <c r="Q4" s="8"/>
      <c r="R4" s="317" t="str">
        <f>Arbeitszeit!AD4</f>
        <v>&gt; 10 Std</v>
      </c>
      <c r="S4" s="322" t="s">
        <v>90</v>
      </c>
      <c r="T4" s="323" t="s">
        <v>91</v>
      </c>
      <c r="U4" s="323" t="s">
        <v>92</v>
      </c>
      <c r="V4" s="10" t="s">
        <v>140</v>
      </c>
      <c r="W4" s="317" t="s">
        <v>110</v>
      </c>
      <c r="X4" s="317" t="s">
        <v>17</v>
      </c>
    </row>
    <row r="5" spans="1:24">
      <c r="A5" s="142">
        <f>IF(MONTH(C3)&lt;&gt;MONTH($C$3),"",C3)</f>
        <v>44834</v>
      </c>
      <c r="B5" s="106">
        <f>IF(A5="","",NumberOfWeek(A5))</f>
        <v>40</v>
      </c>
      <c r="C5" s="273" t="str">
        <f t="shared" ref="C5:C35" si="0">VLOOKUP(A5,db_Jahr,5,FALSE)</f>
        <v/>
      </c>
      <c r="D5" s="5" t="str">
        <f t="shared" ref="D5:D35" si="1">IF(ISBLANK(VLOOKUP($A5,db_Jahr,gSP_G_Kennung,FALSE)),"",VLOOKUP($A5,db_Jahr,gSP_G_Kennung,FALSE))</f>
        <v/>
      </c>
      <c r="E5" s="6" t="str">
        <f>IF(D5="",IF(F5="","",0),CODE(UPPER(D5)))</f>
        <v/>
      </c>
      <c r="F5" s="76" t="str">
        <f t="shared" ref="F5:F20" si="2">IF(ISNUMBER(VLOOKUP($A5,db_Jahr,gSP_Kom1,FALSE)),VLOOKUP($A5,db_Jahr,gSP_Kom1,FALSE),"")</f>
        <v/>
      </c>
      <c r="G5" s="76">
        <f t="shared" ref="G5:G35" si="3">VLOOKUP($A5,db_Jahr,gSP_Geh1,FALSE)</f>
        <v>0</v>
      </c>
      <c r="H5" s="76" t="str">
        <f t="shared" ref="H5:H35" si="4">IF(ISNUMBER(VLOOKUP($A5,db_Jahr,gSP_Kom2,FALSE)),VLOOKUP($A5,db_Jahr,gSP_Kom2,FALSE),"")</f>
        <v/>
      </c>
      <c r="I5" s="76">
        <f t="shared" ref="I5:I35" si="5">VLOOKUP($A5,db_Jahr,gSP_Geh2,FALSE)</f>
        <v>0</v>
      </c>
      <c r="J5" s="76">
        <f t="shared" ref="J5:J35" si="6">VLOOKUP($A5,db_Jahr,gSP_Ist,FALSE)</f>
        <v>0</v>
      </c>
      <c r="K5" s="62"/>
      <c r="L5" s="78">
        <f>VLOOKUP($A5,db_Jahr,gSP_Abzug,FALSE)</f>
        <v>3.125E-2</v>
      </c>
      <c r="M5" s="76">
        <f>VLOOKUP($A5,db_Jahr,gSP_Soll,FALSE)</f>
        <v>0</v>
      </c>
      <c r="N5" s="108">
        <f>VLOOKUP($A5,db_Jahr,gSP_V_Soll,FALSE)</f>
        <v>0.29166666666666669</v>
      </c>
      <c r="O5" s="75">
        <f t="shared" ref="O5:O35" si="7">IF(V5&lt;Feiertag,J5-M5,"")</f>
        <v>0</v>
      </c>
      <c r="P5" s="63" t="str">
        <f t="shared" ref="P5:P35" si="8">IF(V5=Feiertag,"",IF((J5-M5)&lt;0,"*",""))</f>
        <v/>
      </c>
      <c r="Q5" s="108">
        <f>VLOOKUP($A5,db_Jahr,gSP_V_Overtime,FALSE)</f>
        <v>0</v>
      </c>
      <c r="R5" s="76" t="str">
        <f>VLOOKUP($A5,db_Jahr,gSP_MaxOvertime,FALSE)</f>
        <v/>
      </c>
      <c r="S5" s="64">
        <f t="shared" ref="S5:S35" si="9">IF(ISNUMBER(J5 ), IF( J5 &gt;= M5, M5, J5 ),"")</f>
        <v>0</v>
      </c>
      <c r="T5" s="64">
        <f t="shared" ref="T5:T35" si="10">IF( ISNUMBER( J5 ), IF( J5 &gt;= M5, J5 - M5, "" ), "" )</f>
        <v>0</v>
      </c>
      <c r="U5" s="64" t="str">
        <f t="shared" ref="U5:U35" si="11">IF( ISNUMBER( J5 ), IF( J5 &gt;= M5, "", M5 - J5 ), "" )</f>
        <v/>
      </c>
      <c r="V5">
        <f t="shared" ref="V5:V35" si="12">IF(A5="",0,IF(ISERROR(VLOOKUP(A5,db_Feiertag,2,FALSE)),WEEKDAY(A5,2),Feiertag))</f>
        <v>4</v>
      </c>
      <c r="W5" s="77">
        <f>$A$38+SUM(O5)-X5</f>
        <v>0</v>
      </c>
      <c r="X5" s="77">
        <f>VLOOKUP($A5,db_Jahr,gSP_Korr,FALSE)</f>
        <v>0</v>
      </c>
    </row>
    <row r="6" spans="1:24">
      <c r="A6" s="142">
        <f>IF(A5="","",IF(MONTH(A5+1)&lt;&gt;MONTH($C$3),"",A5+1))</f>
        <v>44835</v>
      </c>
      <c r="B6" s="106">
        <f t="shared" ref="B6:B35" si="13">IF(A6="","",NumberOfWeek(A6))</f>
        <v>40</v>
      </c>
      <c r="C6" s="273" t="str">
        <f t="shared" si="0"/>
        <v/>
      </c>
      <c r="D6" s="5" t="str">
        <f t="shared" si="1"/>
        <v/>
      </c>
      <c r="E6" s="6" t="str">
        <f t="shared" ref="E6:E35" si="14">IF(D6="",IF(F6="","",0),CODE(UPPER(D6)))</f>
        <v/>
      </c>
      <c r="F6" s="76" t="str">
        <f t="shared" si="2"/>
        <v/>
      </c>
      <c r="G6" s="76">
        <f t="shared" si="3"/>
        <v>0</v>
      </c>
      <c r="H6" s="76" t="str">
        <f t="shared" si="4"/>
        <v/>
      </c>
      <c r="I6" s="76">
        <f t="shared" si="5"/>
        <v>0</v>
      </c>
      <c r="J6" s="76">
        <f t="shared" si="6"/>
        <v>0</v>
      </c>
      <c r="K6" s="62"/>
      <c r="L6" s="78">
        <f t="shared" ref="L6:L35" si="15">VLOOKUP($A6,db_Jahr,gSP_Abzug,FALSE)</f>
        <v>3.125E-2</v>
      </c>
      <c r="M6" s="76">
        <f t="shared" ref="M6:M35" si="16">VLOOKUP($A6,db_Jahr,gSP_Soll,FALSE)</f>
        <v>0</v>
      </c>
      <c r="N6" s="108">
        <f t="shared" ref="N6:N35" si="17">VLOOKUP($A6,db_Jahr,gSP_V_Soll,FALSE)</f>
        <v>0.29166666666666669</v>
      </c>
      <c r="O6" s="75">
        <f t="shared" si="7"/>
        <v>0</v>
      </c>
      <c r="P6" s="63" t="str">
        <f t="shared" si="8"/>
        <v/>
      </c>
      <c r="Q6" s="108">
        <f t="shared" ref="Q6:Q35" si="18">VLOOKUP($A6,db_Jahr,gSP_V_Overtime,FALSE)</f>
        <v>0</v>
      </c>
      <c r="R6" s="76" t="str">
        <f t="shared" ref="R6:R35" si="19">VLOOKUP($A6,db_Jahr,gSP_MaxOvertime,FALSE)</f>
        <v/>
      </c>
      <c r="S6" s="64">
        <f t="shared" si="9"/>
        <v>0</v>
      </c>
      <c r="T6" s="64">
        <f t="shared" si="10"/>
        <v>0</v>
      </c>
      <c r="U6" s="64" t="str">
        <f t="shared" si="11"/>
        <v/>
      </c>
      <c r="V6">
        <f t="shared" si="12"/>
        <v>5</v>
      </c>
      <c r="W6" s="77">
        <f>W5+SUM(O6)-X6</f>
        <v>0</v>
      </c>
      <c r="X6" s="77">
        <f t="shared" ref="X6:X35" si="20">VLOOKUP($A6,db_Jahr,gSP_Korr,FALSE)</f>
        <v>0</v>
      </c>
    </row>
    <row r="7" spans="1:24">
      <c r="A7" s="142">
        <f t="shared" ref="A7:A35" si="21">IF(A6="","",IF(MONTH(A6+1)&lt;&gt;MONTH($C$3),"",A6+1))</f>
        <v>44836</v>
      </c>
      <c r="B7" s="106">
        <f t="shared" si="13"/>
        <v>40</v>
      </c>
      <c r="C7" s="273" t="str">
        <f t="shared" si="0"/>
        <v>Tag der Deutschen Einheit</v>
      </c>
      <c r="D7" s="5" t="str">
        <f t="shared" si="1"/>
        <v/>
      </c>
      <c r="E7" s="6" t="str">
        <f t="shared" si="14"/>
        <v/>
      </c>
      <c r="F7" s="76" t="str">
        <f t="shared" si="2"/>
        <v/>
      </c>
      <c r="G7" s="76">
        <f t="shared" si="3"/>
        <v>0</v>
      </c>
      <c r="H7" s="76" t="str">
        <f t="shared" si="4"/>
        <v/>
      </c>
      <c r="I7" s="76">
        <f t="shared" si="5"/>
        <v>0</v>
      </c>
      <c r="J7" s="76">
        <f t="shared" si="6"/>
        <v>0</v>
      </c>
      <c r="K7" s="62"/>
      <c r="L7" s="78">
        <f t="shared" si="15"/>
        <v>3.125E-2</v>
      </c>
      <c r="M7" s="76">
        <f t="shared" si="16"/>
        <v>0</v>
      </c>
      <c r="N7" s="108" t="str">
        <f t="shared" si="17"/>
        <v/>
      </c>
      <c r="O7" s="75" t="str">
        <f t="shared" si="7"/>
        <v/>
      </c>
      <c r="P7" s="63" t="str">
        <f t="shared" si="8"/>
        <v/>
      </c>
      <c r="Q7" s="108">
        <f t="shared" si="18"/>
        <v>0</v>
      </c>
      <c r="R7" s="76" t="str">
        <f t="shared" si="19"/>
        <v/>
      </c>
      <c r="S7" s="64">
        <f t="shared" si="9"/>
        <v>0</v>
      </c>
      <c r="T7" s="64">
        <f t="shared" si="10"/>
        <v>0</v>
      </c>
      <c r="U7" s="64" t="str">
        <f t="shared" si="11"/>
        <v/>
      </c>
      <c r="V7">
        <f t="shared" si="12"/>
        <v>8</v>
      </c>
      <c r="W7" s="77">
        <f t="shared" ref="W7:W35" si="22">W6+SUM(O7)-X7</f>
        <v>0</v>
      </c>
      <c r="X7" s="77">
        <f t="shared" si="20"/>
        <v>0</v>
      </c>
    </row>
    <row r="8" spans="1:24">
      <c r="A8" s="142">
        <f t="shared" si="21"/>
        <v>44837</v>
      </c>
      <c r="B8" s="106">
        <f t="shared" si="13"/>
        <v>40</v>
      </c>
      <c r="C8" s="273" t="str">
        <f t="shared" si="0"/>
        <v/>
      </c>
      <c r="D8" s="5" t="str">
        <f t="shared" si="1"/>
        <v/>
      </c>
      <c r="E8" s="6" t="str">
        <f t="shared" si="14"/>
        <v/>
      </c>
      <c r="F8" s="76" t="str">
        <f t="shared" si="2"/>
        <v/>
      </c>
      <c r="G8" s="76">
        <f t="shared" si="3"/>
        <v>0</v>
      </c>
      <c r="H8" s="76" t="str">
        <f t="shared" si="4"/>
        <v/>
      </c>
      <c r="I8" s="76">
        <f t="shared" si="5"/>
        <v>0</v>
      </c>
      <c r="J8" s="76">
        <f t="shared" si="6"/>
        <v>0</v>
      </c>
      <c r="K8" s="62"/>
      <c r="L8" s="78">
        <f t="shared" si="15"/>
        <v>3.125E-2</v>
      </c>
      <c r="M8" s="76">
        <f t="shared" si="16"/>
        <v>0</v>
      </c>
      <c r="N8" s="108">
        <f t="shared" si="17"/>
        <v>0</v>
      </c>
      <c r="O8" s="75">
        <f t="shared" si="7"/>
        <v>0</v>
      </c>
      <c r="P8" s="63" t="str">
        <f t="shared" si="8"/>
        <v/>
      </c>
      <c r="Q8" s="108">
        <f t="shared" si="18"/>
        <v>0</v>
      </c>
      <c r="R8" s="76" t="str">
        <f t="shared" si="19"/>
        <v/>
      </c>
      <c r="S8" s="64">
        <f t="shared" si="9"/>
        <v>0</v>
      </c>
      <c r="T8" s="64">
        <f t="shared" si="10"/>
        <v>0</v>
      </c>
      <c r="U8" s="64" t="str">
        <f t="shared" si="11"/>
        <v/>
      </c>
      <c r="V8">
        <f t="shared" si="12"/>
        <v>7</v>
      </c>
      <c r="W8" s="77">
        <f t="shared" si="22"/>
        <v>0</v>
      </c>
      <c r="X8" s="77">
        <f t="shared" si="20"/>
        <v>0</v>
      </c>
    </row>
    <row r="9" spans="1:24">
      <c r="A9" s="142">
        <f t="shared" si="21"/>
        <v>44838</v>
      </c>
      <c r="B9" s="106">
        <f t="shared" si="13"/>
        <v>41</v>
      </c>
      <c r="C9" s="273" t="str">
        <f t="shared" si="0"/>
        <v/>
      </c>
      <c r="D9" s="5" t="str">
        <f t="shared" si="1"/>
        <v/>
      </c>
      <c r="E9" s="6" t="str">
        <f t="shared" si="14"/>
        <v/>
      </c>
      <c r="F9" s="76" t="str">
        <f t="shared" si="2"/>
        <v/>
      </c>
      <c r="G9" s="76">
        <f t="shared" si="3"/>
        <v>0</v>
      </c>
      <c r="H9" s="76" t="str">
        <f t="shared" si="4"/>
        <v/>
      </c>
      <c r="I9" s="76">
        <f t="shared" si="5"/>
        <v>0</v>
      </c>
      <c r="J9" s="76">
        <f t="shared" si="6"/>
        <v>0</v>
      </c>
      <c r="K9" s="62"/>
      <c r="L9" s="78">
        <f t="shared" si="15"/>
        <v>3.125E-2</v>
      </c>
      <c r="M9" s="76">
        <f t="shared" si="16"/>
        <v>0</v>
      </c>
      <c r="N9" s="108">
        <f t="shared" si="17"/>
        <v>0.29166666666666669</v>
      </c>
      <c r="O9" s="75">
        <f t="shared" si="7"/>
        <v>0</v>
      </c>
      <c r="P9" s="63" t="str">
        <f t="shared" si="8"/>
        <v/>
      </c>
      <c r="Q9" s="108">
        <f t="shared" si="18"/>
        <v>0</v>
      </c>
      <c r="R9" s="76" t="str">
        <f t="shared" si="19"/>
        <v/>
      </c>
      <c r="S9" s="64">
        <f t="shared" si="9"/>
        <v>0</v>
      </c>
      <c r="T9" s="64">
        <f t="shared" si="10"/>
        <v>0</v>
      </c>
      <c r="U9" s="64" t="str">
        <f t="shared" si="11"/>
        <v/>
      </c>
      <c r="V9">
        <f t="shared" si="12"/>
        <v>1</v>
      </c>
      <c r="W9" s="77">
        <f t="shared" si="22"/>
        <v>0</v>
      </c>
      <c r="X9" s="77">
        <f t="shared" si="20"/>
        <v>0</v>
      </c>
    </row>
    <row r="10" spans="1:24">
      <c r="A10" s="142">
        <f t="shared" si="21"/>
        <v>44839</v>
      </c>
      <c r="B10" s="106">
        <f t="shared" si="13"/>
        <v>41</v>
      </c>
      <c r="C10" s="273" t="str">
        <f t="shared" si="0"/>
        <v/>
      </c>
      <c r="D10" s="5" t="str">
        <f t="shared" si="1"/>
        <v/>
      </c>
      <c r="E10" s="6" t="str">
        <f t="shared" si="14"/>
        <v/>
      </c>
      <c r="F10" s="76" t="str">
        <f t="shared" si="2"/>
        <v/>
      </c>
      <c r="G10" s="76">
        <f t="shared" si="3"/>
        <v>0</v>
      </c>
      <c r="H10" s="76" t="str">
        <f t="shared" si="4"/>
        <v/>
      </c>
      <c r="I10" s="76">
        <f t="shared" si="5"/>
        <v>0</v>
      </c>
      <c r="J10" s="76">
        <f t="shared" si="6"/>
        <v>0</v>
      </c>
      <c r="K10" s="62"/>
      <c r="L10" s="78">
        <f t="shared" si="15"/>
        <v>3.125E-2</v>
      </c>
      <c r="M10" s="76">
        <f t="shared" si="16"/>
        <v>0</v>
      </c>
      <c r="N10" s="108">
        <f t="shared" si="17"/>
        <v>0.29166666666666669</v>
      </c>
      <c r="O10" s="75">
        <f t="shared" si="7"/>
        <v>0</v>
      </c>
      <c r="P10" s="63" t="str">
        <f t="shared" si="8"/>
        <v/>
      </c>
      <c r="Q10" s="108">
        <f t="shared" si="18"/>
        <v>0</v>
      </c>
      <c r="R10" s="76" t="str">
        <f t="shared" si="19"/>
        <v/>
      </c>
      <c r="S10" s="64">
        <f t="shared" si="9"/>
        <v>0</v>
      </c>
      <c r="T10" s="64">
        <f t="shared" si="10"/>
        <v>0</v>
      </c>
      <c r="U10" s="64" t="str">
        <f t="shared" si="11"/>
        <v/>
      </c>
      <c r="V10">
        <f t="shared" si="12"/>
        <v>2</v>
      </c>
      <c r="W10" s="77">
        <f t="shared" si="22"/>
        <v>0</v>
      </c>
      <c r="X10" s="77">
        <f t="shared" si="20"/>
        <v>0</v>
      </c>
    </row>
    <row r="11" spans="1:24">
      <c r="A11" s="142">
        <f t="shared" si="21"/>
        <v>44840</v>
      </c>
      <c r="B11" s="106">
        <f t="shared" si="13"/>
        <v>41</v>
      </c>
      <c r="C11" s="273" t="str">
        <f t="shared" si="0"/>
        <v/>
      </c>
      <c r="D11" s="5" t="str">
        <f t="shared" si="1"/>
        <v/>
      </c>
      <c r="E11" s="6" t="str">
        <f t="shared" si="14"/>
        <v/>
      </c>
      <c r="F11" s="76" t="str">
        <f t="shared" si="2"/>
        <v/>
      </c>
      <c r="G11" s="76">
        <f t="shared" si="3"/>
        <v>0</v>
      </c>
      <c r="H11" s="76" t="str">
        <f t="shared" si="4"/>
        <v/>
      </c>
      <c r="I11" s="76">
        <f t="shared" si="5"/>
        <v>0</v>
      </c>
      <c r="J11" s="76">
        <f t="shared" si="6"/>
        <v>0</v>
      </c>
      <c r="K11" s="62"/>
      <c r="L11" s="78">
        <f t="shared" si="15"/>
        <v>3.125E-2</v>
      </c>
      <c r="M11" s="76">
        <f t="shared" si="16"/>
        <v>0</v>
      </c>
      <c r="N11" s="108">
        <f t="shared" si="17"/>
        <v>0.29166666666666669</v>
      </c>
      <c r="O11" s="75">
        <f t="shared" si="7"/>
        <v>0</v>
      </c>
      <c r="P11" s="63" t="str">
        <f t="shared" si="8"/>
        <v/>
      </c>
      <c r="Q11" s="108">
        <f t="shared" si="18"/>
        <v>0</v>
      </c>
      <c r="R11" s="76" t="str">
        <f t="shared" si="19"/>
        <v/>
      </c>
      <c r="S11" s="64">
        <f t="shared" si="9"/>
        <v>0</v>
      </c>
      <c r="T11" s="64">
        <f t="shared" si="10"/>
        <v>0</v>
      </c>
      <c r="U11" s="64" t="str">
        <f t="shared" si="11"/>
        <v/>
      </c>
      <c r="V11">
        <f t="shared" si="12"/>
        <v>3</v>
      </c>
      <c r="W11" s="77">
        <f t="shared" si="22"/>
        <v>0</v>
      </c>
      <c r="X11" s="77">
        <f t="shared" si="20"/>
        <v>0</v>
      </c>
    </row>
    <row r="12" spans="1:24">
      <c r="A12" s="142">
        <f t="shared" si="21"/>
        <v>44841</v>
      </c>
      <c r="B12" s="106">
        <f t="shared" si="13"/>
        <v>41</v>
      </c>
      <c r="C12" s="273" t="str">
        <f t="shared" si="0"/>
        <v/>
      </c>
      <c r="D12" s="5" t="str">
        <f t="shared" si="1"/>
        <v/>
      </c>
      <c r="E12" s="6" t="str">
        <f t="shared" si="14"/>
        <v/>
      </c>
      <c r="F12" s="76" t="str">
        <f t="shared" si="2"/>
        <v/>
      </c>
      <c r="G12" s="76">
        <f t="shared" si="3"/>
        <v>0</v>
      </c>
      <c r="H12" s="76" t="str">
        <f t="shared" si="4"/>
        <v/>
      </c>
      <c r="I12" s="76">
        <f t="shared" si="5"/>
        <v>0</v>
      </c>
      <c r="J12" s="76">
        <f t="shared" si="6"/>
        <v>0</v>
      </c>
      <c r="K12" s="62"/>
      <c r="L12" s="78">
        <f t="shared" si="15"/>
        <v>3.125E-2</v>
      </c>
      <c r="M12" s="76">
        <f t="shared" si="16"/>
        <v>0</v>
      </c>
      <c r="N12" s="108">
        <f t="shared" si="17"/>
        <v>0.29166666666666669</v>
      </c>
      <c r="O12" s="75">
        <f t="shared" si="7"/>
        <v>0</v>
      </c>
      <c r="P12" s="63" t="str">
        <f t="shared" si="8"/>
        <v/>
      </c>
      <c r="Q12" s="108">
        <f t="shared" si="18"/>
        <v>0</v>
      </c>
      <c r="R12" s="76" t="str">
        <f t="shared" si="19"/>
        <v/>
      </c>
      <c r="S12" s="64">
        <f t="shared" si="9"/>
        <v>0</v>
      </c>
      <c r="T12" s="64">
        <f t="shared" si="10"/>
        <v>0</v>
      </c>
      <c r="U12" s="64" t="str">
        <f t="shared" si="11"/>
        <v/>
      </c>
      <c r="V12">
        <f t="shared" si="12"/>
        <v>4</v>
      </c>
      <c r="W12" s="77">
        <f t="shared" si="22"/>
        <v>0</v>
      </c>
      <c r="X12" s="77">
        <f t="shared" si="20"/>
        <v>0</v>
      </c>
    </row>
    <row r="13" spans="1:24">
      <c r="A13" s="142">
        <f t="shared" si="21"/>
        <v>44842</v>
      </c>
      <c r="B13" s="106">
        <f t="shared" si="13"/>
        <v>41</v>
      </c>
      <c r="C13" s="273" t="str">
        <f t="shared" si="0"/>
        <v/>
      </c>
      <c r="D13" s="5" t="str">
        <f t="shared" si="1"/>
        <v/>
      </c>
      <c r="E13" s="6" t="str">
        <f t="shared" si="14"/>
        <v/>
      </c>
      <c r="F13" s="76" t="str">
        <f t="shared" si="2"/>
        <v/>
      </c>
      <c r="G13" s="76">
        <f t="shared" si="3"/>
        <v>0</v>
      </c>
      <c r="H13" s="76" t="str">
        <f t="shared" si="4"/>
        <v/>
      </c>
      <c r="I13" s="76">
        <f t="shared" si="5"/>
        <v>0</v>
      </c>
      <c r="J13" s="76">
        <f t="shared" si="6"/>
        <v>0</v>
      </c>
      <c r="K13" s="62"/>
      <c r="L13" s="78">
        <f t="shared" si="15"/>
        <v>3.125E-2</v>
      </c>
      <c r="M13" s="76">
        <f t="shared" si="16"/>
        <v>0</v>
      </c>
      <c r="N13" s="108">
        <f t="shared" si="17"/>
        <v>0.29166666666666669</v>
      </c>
      <c r="O13" s="75">
        <f t="shared" si="7"/>
        <v>0</v>
      </c>
      <c r="P13" s="63" t="str">
        <f t="shared" si="8"/>
        <v/>
      </c>
      <c r="Q13" s="108">
        <f t="shared" si="18"/>
        <v>0</v>
      </c>
      <c r="R13" s="76" t="str">
        <f t="shared" si="19"/>
        <v/>
      </c>
      <c r="S13" s="64">
        <f t="shared" si="9"/>
        <v>0</v>
      </c>
      <c r="T13" s="64">
        <f t="shared" si="10"/>
        <v>0</v>
      </c>
      <c r="U13" s="64" t="str">
        <f t="shared" si="11"/>
        <v/>
      </c>
      <c r="V13">
        <f t="shared" si="12"/>
        <v>5</v>
      </c>
      <c r="W13" s="77">
        <f t="shared" si="22"/>
        <v>0</v>
      </c>
      <c r="X13" s="77">
        <f t="shared" si="20"/>
        <v>0</v>
      </c>
    </row>
    <row r="14" spans="1:24">
      <c r="A14" s="142">
        <f t="shared" si="21"/>
        <v>44843</v>
      </c>
      <c r="B14" s="106">
        <f t="shared" si="13"/>
        <v>41</v>
      </c>
      <c r="C14" s="273" t="str">
        <f t="shared" si="0"/>
        <v/>
      </c>
      <c r="D14" s="5" t="str">
        <f t="shared" si="1"/>
        <v/>
      </c>
      <c r="E14" s="6" t="str">
        <f t="shared" si="14"/>
        <v/>
      </c>
      <c r="F14" s="76" t="str">
        <f t="shared" si="2"/>
        <v/>
      </c>
      <c r="G14" s="76">
        <f t="shared" si="3"/>
        <v>0</v>
      </c>
      <c r="H14" s="76" t="str">
        <f t="shared" si="4"/>
        <v/>
      </c>
      <c r="I14" s="76">
        <f t="shared" si="5"/>
        <v>0</v>
      </c>
      <c r="J14" s="76">
        <f t="shared" si="6"/>
        <v>0</v>
      </c>
      <c r="K14" s="62"/>
      <c r="L14" s="78">
        <f t="shared" si="15"/>
        <v>3.125E-2</v>
      </c>
      <c r="M14" s="76">
        <f t="shared" si="16"/>
        <v>0</v>
      </c>
      <c r="N14" s="108">
        <f t="shared" si="17"/>
        <v>0</v>
      </c>
      <c r="O14" s="75">
        <f t="shared" si="7"/>
        <v>0</v>
      </c>
      <c r="P14" s="63" t="str">
        <f t="shared" si="8"/>
        <v/>
      </c>
      <c r="Q14" s="108">
        <f t="shared" si="18"/>
        <v>0</v>
      </c>
      <c r="R14" s="76" t="str">
        <f t="shared" si="19"/>
        <v/>
      </c>
      <c r="S14" s="64">
        <f t="shared" si="9"/>
        <v>0</v>
      </c>
      <c r="T14" s="64">
        <f t="shared" si="10"/>
        <v>0</v>
      </c>
      <c r="U14" s="64" t="str">
        <f t="shared" si="11"/>
        <v/>
      </c>
      <c r="V14">
        <f t="shared" si="12"/>
        <v>6</v>
      </c>
      <c r="W14" s="77">
        <f t="shared" si="22"/>
        <v>0</v>
      </c>
      <c r="X14" s="77">
        <f t="shared" si="20"/>
        <v>0</v>
      </c>
    </row>
    <row r="15" spans="1:24">
      <c r="A15" s="142">
        <f t="shared" si="21"/>
        <v>44844</v>
      </c>
      <c r="B15" s="106">
        <f t="shared" si="13"/>
        <v>41</v>
      </c>
      <c r="C15" s="273" t="str">
        <f t="shared" si="0"/>
        <v/>
      </c>
      <c r="D15" s="5" t="str">
        <f t="shared" si="1"/>
        <v/>
      </c>
      <c r="E15" s="6" t="str">
        <f t="shared" si="14"/>
        <v/>
      </c>
      <c r="F15" s="76" t="str">
        <f t="shared" si="2"/>
        <v/>
      </c>
      <c r="G15" s="76">
        <f t="shared" si="3"/>
        <v>0</v>
      </c>
      <c r="H15" s="76" t="str">
        <f t="shared" si="4"/>
        <v/>
      </c>
      <c r="I15" s="76">
        <f t="shared" si="5"/>
        <v>0</v>
      </c>
      <c r="J15" s="76">
        <f t="shared" si="6"/>
        <v>0</v>
      </c>
      <c r="K15" s="62"/>
      <c r="L15" s="78">
        <f t="shared" si="15"/>
        <v>3.125E-2</v>
      </c>
      <c r="M15" s="76">
        <f t="shared" si="16"/>
        <v>0</v>
      </c>
      <c r="N15" s="108">
        <f t="shared" si="17"/>
        <v>0</v>
      </c>
      <c r="O15" s="75">
        <f t="shared" si="7"/>
        <v>0</v>
      </c>
      <c r="P15" s="63" t="str">
        <f t="shared" si="8"/>
        <v/>
      </c>
      <c r="Q15" s="108">
        <f t="shared" si="18"/>
        <v>0</v>
      </c>
      <c r="R15" s="76" t="str">
        <f t="shared" si="19"/>
        <v/>
      </c>
      <c r="S15" s="64">
        <f t="shared" si="9"/>
        <v>0</v>
      </c>
      <c r="T15" s="64">
        <f t="shared" si="10"/>
        <v>0</v>
      </c>
      <c r="U15" s="64" t="str">
        <f t="shared" si="11"/>
        <v/>
      </c>
      <c r="V15">
        <f t="shared" si="12"/>
        <v>7</v>
      </c>
      <c r="W15" s="77">
        <f t="shared" si="22"/>
        <v>0</v>
      </c>
      <c r="X15" s="77">
        <f t="shared" si="20"/>
        <v>0</v>
      </c>
    </row>
    <row r="16" spans="1:24">
      <c r="A16" s="142">
        <f t="shared" si="21"/>
        <v>44845</v>
      </c>
      <c r="B16" s="106">
        <f t="shared" si="13"/>
        <v>42</v>
      </c>
      <c r="C16" s="273" t="str">
        <f t="shared" si="0"/>
        <v/>
      </c>
      <c r="D16" s="5" t="str">
        <f t="shared" si="1"/>
        <v/>
      </c>
      <c r="E16" s="6" t="str">
        <f t="shared" si="14"/>
        <v/>
      </c>
      <c r="F16" s="76" t="str">
        <f t="shared" si="2"/>
        <v/>
      </c>
      <c r="G16" s="76">
        <f t="shared" si="3"/>
        <v>0</v>
      </c>
      <c r="H16" s="76" t="str">
        <f t="shared" si="4"/>
        <v/>
      </c>
      <c r="I16" s="76">
        <f t="shared" si="5"/>
        <v>0</v>
      </c>
      <c r="J16" s="76">
        <f t="shared" si="6"/>
        <v>0</v>
      </c>
      <c r="K16" s="62"/>
      <c r="L16" s="78">
        <f t="shared" si="15"/>
        <v>3.125E-2</v>
      </c>
      <c r="M16" s="76">
        <f t="shared" si="16"/>
        <v>0</v>
      </c>
      <c r="N16" s="108">
        <f t="shared" si="17"/>
        <v>0.29166666666666669</v>
      </c>
      <c r="O16" s="75">
        <f t="shared" si="7"/>
        <v>0</v>
      </c>
      <c r="P16" s="63" t="str">
        <f t="shared" si="8"/>
        <v/>
      </c>
      <c r="Q16" s="108">
        <f t="shared" si="18"/>
        <v>0</v>
      </c>
      <c r="R16" s="76" t="str">
        <f t="shared" si="19"/>
        <v/>
      </c>
      <c r="S16" s="64">
        <f t="shared" si="9"/>
        <v>0</v>
      </c>
      <c r="T16" s="64">
        <f t="shared" si="10"/>
        <v>0</v>
      </c>
      <c r="U16" s="64" t="str">
        <f t="shared" si="11"/>
        <v/>
      </c>
      <c r="V16">
        <f t="shared" si="12"/>
        <v>1</v>
      </c>
      <c r="W16" s="77">
        <f t="shared" si="22"/>
        <v>0</v>
      </c>
      <c r="X16" s="77">
        <f t="shared" si="20"/>
        <v>0</v>
      </c>
    </row>
    <row r="17" spans="1:24">
      <c r="A17" s="142">
        <f t="shared" si="21"/>
        <v>44846</v>
      </c>
      <c r="B17" s="106">
        <f t="shared" si="13"/>
        <v>42</v>
      </c>
      <c r="C17" s="273" t="str">
        <f t="shared" si="0"/>
        <v/>
      </c>
      <c r="D17" s="5" t="str">
        <f t="shared" si="1"/>
        <v/>
      </c>
      <c r="E17" s="6" t="str">
        <f t="shared" si="14"/>
        <v/>
      </c>
      <c r="F17" s="76" t="str">
        <f t="shared" si="2"/>
        <v/>
      </c>
      <c r="G17" s="76">
        <f t="shared" si="3"/>
        <v>0</v>
      </c>
      <c r="H17" s="76" t="str">
        <f t="shared" si="4"/>
        <v/>
      </c>
      <c r="I17" s="76">
        <f t="shared" si="5"/>
        <v>0</v>
      </c>
      <c r="J17" s="76">
        <f t="shared" si="6"/>
        <v>0</v>
      </c>
      <c r="K17" s="62"/>
      <c r="L17" s="78">
        <f t="shared" si="15"/>
        <v>3.125E-2</v>
      </c>
      <c r="M17" s="76">
        <f t="shared" si="16"/>
        <v>0</v>
      </c>
      <c r="N17" s="108">
        <f t="shared" si="17"/>
        <v>0.29166666666666669</v>
      </c>
      <c r="O17" s="75">
        <f t="shared" si="7"/>
        <v>0</v>
      </c>
      <c r="P17" s="63" t="str">
        <f t="shared" si="8"/>
        <v/>
      </c>
      <c r="Q17" s="108">
        <f t="shared" si="18"/>
        <v>0</v>
      </c>
      <c r="R17" s="76" t="str">
        <f t="shared" si="19"/>
        <v/>
      </c>
      <c r="S17" s="64">
        <f t="shared" si="9"/>
        <v>0</v>
      </c>
      <c r="T17" s="64">
        <f t="shared" si="10"/>
        <v>0</v>
      </c>
      <c r="U17" s="64" t="str">
        <f t="shared" si="11"/>
        <v/>
      </c>
      <c r="V17">
        <f t="shared" si="12"/>
        <v>2</v>
      </c>
      <c r="W17" s="77">
        <f t="shared" si="22"/>
        <v>0</v>
      </c>
      <c r="X17" s="77">
        <f t="shared" si="20"/>
        <v>0</v>
      </c>
    </row>
    <row r="18" spans="1:24">
      <c r="A18" s="142">
        <f t="shared" si="21"/>
        <v>44847</v>
      </c>
      <c r="B18" s="106">
        <f t="shared" si="13"/>
        <v>42</v>
      </c>
      <c r="C18" s="273" t="str">
        <f t="shared" si="0"/>
        <v/>
      </c>
      <c r="D18" s="5" t="str">
        <f t="shared" si="1"/>
        <v/>
      </c>
      <c r="E18" s="6" t="str">
        <f t="shared" si="14"/>
        <v/>
      </c>
      <c r="F18" s="76" t="str">
        <f t="shared" si="2"/>
        <v/>
      </c>
      <c r="G18" s="76">
        <f t="shared" si="3"/>
        <v>0</v>
      </c>
      <c r="H18" s="76" t="str">
        <f t="shared" si="4"/>
        <v/>
      </c>
      <c r="I18" s="76">
        <f t="shared" si="5"/>
        <v>0</v>
      </c>
      <c r="J18" s="76">
        <f t="shared" si="6"/>
        <v>0</v>
      </c>
      <c r="K18" s="62"/>
      <c r="L18" s="78">
        <f t="shared" si="15"/>
        <v>3.125E-2</v>
      </c>
      <c r="M18" s="76">
        <f t="shared" si="16"/>
        <v>0</v>
      </c>
      <c r="N18" s="108">
        <f t="shared" si="17"/>
        <v>0.29166666666666669</v>
      </c>
      <c r="O18" s="75">
        <f t="shared" si="7"/>
        <v>0</v>
      </c>
      <c r="P18" s="63" t="str">
        <f t="shared" si="8"/>
        <v/>
      </c>
      <c r="Q18" s="108">
        <f t="shared" si="18"/>
        <v>0</v>
      </c>
      <c r="R18" s="76" t="str">
        <f t="shared" si="19"/>
        <v/>
      </c>
      <c r="S18" s="64">
        <f t="shared" si="9"/>
        <v>0</v>
      </c>
      <c r="T18" s="64">
        <f t="shared" si="10"/>
        <v>0</v>
      </c>
      <c r="U18" s="64" t="str">
        <f t="shared" si="11"/>
        <v/>
      </c>
      <c r="V18">
        <f t="shared" si="12"/>
        <v>3</v>
      </c>
      <c r="W18" s="77">
        <f t="shared" si="22"/>
        <v>0</v>
      </c>
      <c r="X18" s="77">
        <f t="shared" si="20"/>
        <v>0</v>
      </c>
    </row>
    <row r="19" spans="1:24">
      <c r="A19" s="142">
        <f t="shared" si="21"/>
        <v>44848</v>
      </c>
      <c r="B19" s="106">
        <f t="shared" si="13"/>
        <v>42</v>
      </c>
      <c r="C19" s="273" t="str">
        <f t="shared" si="0"/>
        <v/>
      </c>
      <c r="D19" s="5" t="str">
        <f t="shared" si="1"/>
        <v/>
      </c>
      <c r="E19" s="6" t="str">
        <f t="shared" si="14"/>
        <v/>
      </c>
      <c r="F19" s="76" t="str">
        <f t="shared" si="2"/>
        <v/>
      </c>
      <c r="G19" s="76">
        <f t="shared" si="3"/>
        <v>0</v>
      </c>
      <c r="H19" s="76" t="str">
        <f t="shared" si="4"/>
        <v/>
      </c>
      <c r="I19" s="76">
        <f t="shared" si="5"/>
        <v>0</v>
      </c>
      <c r="J19" s="76">
        <f t="shared" si="6"/>
        <v>0</v>
      </c>
      <c r="K19" s="62"/>
      <c r="L19" s="78">
        <f t="shared" si="15"/>
        <v>3.125E-2</v>
      </c>
      <c r="M19" s="76">
        <f t="shared" si="16"/>
        <v>0</v>
      </c>
      <c r="N19" s="108">
        <f t="shared" si="17"/>
        <v>0.29166666666666669</v>
      </c>
      <c r="O19" s="75">
        <f t="shared" si="7"/>
        <v>0</v>
      </c>
      <c r="P19" s="63" t="str">
        <f t="shared" si="8"/>
        <v/>
      </c>
      <c r="Q19" s="108">
        <f t="shared" si="18"/>
        <v>0</v>
      </c>
      <c r="R19" s="76" t="str">
        <f t="shared" si="19"/>
        <v/>
      </c>
      <c r="S19" s="64">
        <f t="shared" si="9"/>
        <v>0</v>
      </c>
      <c r="T19" s="64">
        <f t="shared" si="10"/>
        <v>0</v>
      </c>
      <c r="U19" s="64" t="str">
        <f t="shared" si="11"/>
        <v/>
      </c>
      <c r="V19">
        <f t="shared" si="12"/>
        <v>4</v>
      </c>
      <c r="W19" s="77">
        <f t="shared" si="22"/>
        <v>0</v>
      </c>
      <c r="X19" s="77">
        <f t="shared" si="20"/>
        <v>0</v>
      </c>
    </row>
    <row r="20" spans="1:24">
      <c r="A20" s="142">
        <f t="shared" si="21"/>
        <v>44849</v>
      </c>
      <c r="B20" s="106">
        <f t="shared" si="13"/>
        <v>42</v>
      </c>
      <c r="C20" s="273" t="str">
        <f t="shared" si="0"/>
        <v/>
      </c>
      <c r="D20" s="5" t="str">
        <f t="shared" si="1"/>
        <v/>
      </c>
      <c r="E20" s="6" t="str">
        <f t="shared" si="14"/>
        <v/>
      </c>
      <c r="F20" s="76" t="str">
        <f t="shared" si="2"/>
        <v/>
      </c>
      <c r="G20" s="76">
        <f t="shared" si="3"/>
        <v>0</v>
      </c>
      <c r="H20" s="76" t="str">
        <f t="shared" si="4"/>
        <v/>
      </c>
      <c r="I20" s="76">
        <f t="shared" si="5"/>
        <v>0</v>
      </c>
      <c r="J20" s="76">
        <f t="shared" si="6"/>
        <v>0</v>
      </c>
      <c r="K20" s="62"/>
      <c r="L20" s="78">
        <f t="shared" si="15"/>
        <v>3.125E-2</v>
      </c>
      <c r="M20" s="76">
        <f t="shared" si="16"/>
        <v>0</v>
      </c>
      <c r="N20" s="108">
        <f t="shared" si="17"/>
        <v>0.29166666666666669</v>
      </c>
      <c r="O20" s="75">
        <f t="shared" si="7"/>
        <v>0</v>
      </c>
      <c r="P20" s="63" t="str">
        <f t="shared" si="8"/>
        <v/>
      </c>
      <c r="Q20" s="108">
        <f t="shared" si="18"/>
        <v>0</v>
      </c>
      <c r="R20" s="76" t="str">
        <f t="shared" si="19"/>
        <v/>
      </c>
      <c r="S20" s="64">
        <f t="shared" si="9"/>
        <v>0</v>
      </c>
      <c r="T20" s="64">
        <f t="shared" si="10"/>
        <v>0</v>
      </c>
      <c r="U20" s="64" t="str">
        <f t="shared" si="11"/>
        <v/>
      </c>
      <c r="V20">
        <f t="shared" si="12"/>
        <v>5</v>
      </c>
      <c r="W20" s="77">
        <f t="shared" si="22"/>
        <v>0</v>
      </c>
      <c r="X20" s="77">
        <f t="shared" si="20"/>
        <v>0</v>
      </c>
    </row>
    <row r="21" spans="1:24">
      <c r="A21" s="142">
        <f t="shared" si="21"/>
        <v>44850</v>
      </c>
      <c r="B21" s="106">
        <f t="shared" si="13"/>
        <v>42</v>
      </c>
      <c r="C21" s="273" t="str">
        <f t="shared" si="0"/>
        <v/>
      </c>
      <c r="D21" s="5" t="str">
        <f t="shared" si="1"/>
        <v/>
      </c>
      <c r="E21" s="6" t="str">
        <f t="shared" si="14"/>
        <v/>
      </c>
      <c r="F21" s="76" t="str">
        <f t="shared" ref="F21:F35" si="23">IF(ISNUMBER(VLOOKUP($A21,db_Jahr,gSP_Kom1,FALSE)),VLOOKUP($A21,db_Jahr,gSP_Kom1,FALSE),"")</f>
        <v/>
      </c>
      <c r="G21" s="76">
        <f t="shared" si="3"/>
        <v>0</v>
      </c>
      <c r="H21" s="76" t="str">
        <f t="shared" si="4"/>
        <v/>
      </c>
      <c r="I21" s="76">
        <f t="shared" si="5"/>
        <v>0</v>
      </c>
      <c r="J21" s="76">
        <f t="shared" si="6"/>
        <v>0</v>
      </c>
      <c r="K21" s="62"/>
      <c r="L21" s="78">
        <f t="shared" si="15"/>
        <v>3.125E-2</v>
      </c>
      <c r="M21" s="76">
        <f t="shared" si="16"/>
        <v>0</v>
      </c>
      <c r="N21" s="108">
        <f t="shared" si="17"/>
        <v>0</v>
      </c>
      <c r="O21" s="75">
        <f t="shared" si="7"/>
        <v>0</v>
      </c>
      <c r="P21" s="63" t="str">
        <f t="shared" si="8"/>
        <v/>
      </c>
      <c r="Q21" s="108">
        <f t="shared" si="18"/>
        <v>0</v>
      </c>
      <c r="R21" s="76" t="str">
        <f t="shared" si="19"/>
        <v/>
      </c>
      <c r="S21" s="64">
        <f t="shared" si="9"/>
        <v>0</v>
      </c>
      <c r="T21" s="64">
        <f t="shared" si="10"/>
        <v>0</v>
      </c>
      <c r="U21" s="64" t="str">
        <f t="shared" si="11"/>
        <v/>
      </c>
      <c r="V21">
        <f t="shared" si="12"/>
        <v>6</v>
      </c>
      <c r="W21" s="77">
        <f t="shared" si="22"/>
        <v>0</v>
      </c>
      <c r="X21" s="77">
        <f t="shared" si="20"/>
        <v>0</v>
      </c>
    </row>
    <row r="22" spans="1:24">
      <c r="A22" s="142">
        <f t="shared" si="21"/>
        <v>44851</v>
      </c>
      <c r="B22" s="106">
        <f t="shared" si="13"/>
        <v>42</v>
      </c>
      <c r="C22" s="273" t="str">
        <f t="shared" si="0"/>
        <v/>
      </c>
      <c r="D22" s="5" t="str">
        <f t="shared" si="1"/>
        <v/>
      </c>
      <c r="E22" s="6" t="str">
        <f t="shared" si="14"/>
        <v/>
      </c>
      <c r="F22" s="76" t="str">
        <f t="shared" si="23"/>
        <v/>
      </c>
      <c r="G22" s="76">
        <f t="shared" si="3"/>
        <v>0</v>
      </c>
      <c r="H22" s="76" t="str">
        <f t="shared" si="4"/>
        <v/>
      </c>
      <c r="I22" s="76">
        <f t="shared" si="5"/>
        <v>0</v>
      </c>
      <c r="J22" s="76">
        <f t="shared" si="6"/>
        <v>0</v>
      </c>
      <c r="K22" s="62"/>
      <c r="L22" s="78">
        <f t="shared" si="15"/>
        <v>3.125E-2</v>
      </c>
      <c r="M22" s="76">
        <f t="shared" si="16"/>
        <v>0</v>
      </c>
      <c r="N22" s="108">
        <f t="shared" si="17"/>
        <v>0</v>
      </c>
      <c r="O22" s="75">
        <f t="shared" si="7"/>
        <v>0</v>
      </c>
      <c r="P22" s="63" t="str">
        <f t="shared" si="8"/>
        <v/>
      </c>
      <c r="Q22" s="108">
        <f t="shared" si="18"/>
        <v>0</v>
      </c>
      <c r="R22" s="76" t="str">
        <f t="shared" si="19"/>
        <v/>
      </c>
      <c r="S22" s="64">
        <f t="shared" si="9"/>
        <v>0</v>
      </c>
      <c r="T22" s="64">
        <f t="shared" si="10"/>
        <v>0</v>
      </c>
      <c r="U22" s="64" t="str">
        <f t="shared" si="11"/>
        <v/>
      </c>
      <c r="V22">
        <f t="shared" si="12"/>
        <v>7</v>
      </c>
      <c r="W22" s="77">
        <f t="shared" si="22"/>
        <v>0</v>
      </c>
      <c r="X22" s="77">
        <f t="shared" si="20"/>
        <v>0</v>
      </c>
    </row>
    <row r="23" spans="1:24">
      <c r="A23" s="142">
        <f t="shared" si="21"/>
        <v>44852</v>
      </c>
      <c r="B23" s="106">
        <f t="shared" si="13"/>
        <v>43</v>
      </c>
      <c r="C23" s="273" t="str">
        <f t="shared" si="0"/>
        <v/>
      </c>
      <c r="D23" s="5" t="str">
        <f t="shared" si="1"/>
        <v/>
      </c>
      <c r="E23" s="6" t="str">
        <f t="shared" si="14"/>
        <v/>
      </c>
      <c r="F23" s="76" t="str">
        <f t="shared" si="23"/>
        <v/>
      </c>
      <c r="G23" s="76">
        <f t="shared" si="3"/>
        <v>0</v>
      </c>
      <c r="H23" s="76" t="str">
        <f t="shared" si="4"/>
        <v/>
      </c>
      <c r="I23" s="76">
        <f t="shared" si="5"/>
        <v>0</v>
      </c>
      <c r="J23" s="76">
        <f t="shared" si="6"/>
        <v>0</v>
      </c>
      <c r="K23" s="62"/>
      <c r="L23" s="78">
        <f t="shared" si="15"/>
        <v>3.125E-2</v>
      </c>
      <c r="M23" s="76">
        <f t="shared" si="16"/>
        <v>0</v>
      </c>
      <c r="N23" s="108">
        <f t="shared" si="17"/>
        <v>0.29166666666666669</v>
      </c>
      <c r="O23" s="75">
        <f t="shared" si="7"/>
        <v>0</v>
      </c>
      <c r="P23" s="63" t="str">
        <f t="shared" si="8"/>
        <v/>
      </c>
      <c r="Q23" s="108">
        <f t="shared" si="18"/>
        <v>0</v>
      </c>
      <c r="R23" s="76" t="str">
        <f t="shared" si="19"/>
        <v/>
      </c>
      <c r="S23" s="64">
        <f t="shared" si="9"/>
        <v>0</v>
      </c>
      <c r="T23" s="64">
        <f t="shared" si="10"/>
        <v>0</v>
      </c>
      <c r="U23" s="64" t="str">
        <f t="shared" si="11"/>
        <v/>
      </c>
      <c r="V23">
        <f t="shared" si="12"/>
        <v>1</v>
      </c>
      <c r="W23" s="77">
        <f t="shared" si="22"/>
        <v>0</v>
      </c>
      <c r="X23" s="77">
        <f t="shared" si="20"/>
        <v>0</v>
      </c>
    </row>
    <row r="24" spans="1:24">
      <c r="A24" s="142">
        <f t="shared" si="21"/>
        <v>44853</v>
      </c>
      <c r="B24" s="106">
        <f t="shared" si="13"/>
        <v>43</v>
      </c>
      <c r="C24" s="273" t="str">
        <f t="shared" si="0"/>
        <v/>
      </c>
      <c r="D24" s="5" t="str">
        <f t="shared" si="1"/>
        <v/>
      </c>
      <c r="E24" s="6" t="str">
        <f t="shared" si="14"/>
        <v/>
      </c>
      <c r="F24" s="76" t="str">
        <f t="shared" si="23"/>
        <v/>
      </c>
      <c r="G24" s="76">
        <f t="shared" si="3"/>
        <v>0</v>
      </c>
      <c r="H24" s="76" t="str">
        <f t="shared" si="4"/>
        <v/>
      </c>
      <c r="I24" s="76">
        <f t="shared" si="5"/>
        <v>0</v>
      </c>
      <c r="J24" s="76">
        <f t="shared" si="6"/>
        <v>0</v>
      </c>
      <c r="K24" s="62"/>
      <c r="L24" s="78">
        <f>VLOOKUP($A24,db_Jahr,gSP_Abzug,FALSE)</f>
        <v>3.125E-2</v>
      </c>
      <c r="M24" s="76">
        <f t="shared" si="16"/>
        <v>0</v>
      </c>
      <c r="N24" s="108">
        <f t="shared" si="17"/>
        <v>0.29166666666666669</v>
      </c>
      <c r="O24" s="75">
        <f t="shared" si="7"/>
        <v>0</v>
      </c>
      <c r="P24" s="63" t="str">
        <f t="shared" si="8"/>
        <v/>
      </c>
      <c r="Q24" s="108">
        <f t="shared" si="18"/>
        <v>0</v>
      </c>
      <c r="R24" s="76" t="str">
        <f t="shared" si="19"/>
        <v/>
      </c>
      <c r="S24" s="64">
        <f t="shared" si="9"/>
        <v>0</v>
      </c>
      <c r="T24" s="64">
        <f t="shared" si="10"/>
        <v>0</v>
      </c>
      <c r="U24" s="64" t="str">
        <f t="shared" si="11"/>
        <v/>
      </c>
      <c r="V24">
        <f t="shared" si="12"/>
        <v>2</v>
      </c>
      <c r="W24" s="77">
        <f t="shared" si="22"/>
        <v>0</v>
      </c>
      <c r="X24" s="77">
        <f t="shared" si="20"/>
        <v>0</v>
      </c>
    </row>
    <row r="25" spans="1:24">
      <c r="A25" s="142">
        <f t="shared" si="21"/>
        <v>44854</v>
      </c>
      <c r="B25" s="106">
        <f t="shared" si="13"/>
        <v>43</v>
      </c>
      <c r="C25" s="273" t="str">
        <f t="shared" si="0"/>
        <v/>
      </c>
      <c r="D25" s="5" t="str">
        <f t="shared" si="1"/>
        <v/>
      </c>
      <c r="E25" s="6" t="str">
        <f t="shared" si="14"/>
        <v/>
      </c>
      <c r="F25" s="76" t="str">
        <f t="shared" si="23"/>
        <v/>
      </c>
      <c r="G25" s="76">
        <f t="shared" si="3"/>
        <v>0</v>
      </c>
      <c r="H25" s="76" t="str">
        <f t="shared" si="4"/>
        <v/>
      </c>
      <c r="I25" s="76">
        <f t="shared" si="5"/>
        <v>0</v>
      </c>
      <c r="J25" s="76">
        <f t="shared" si="6"/>
        <v>0</v>
      </c>
      <c r="K25" s="62"/>
      <c r="L25" s="78">
        <f t="shared" si="15"/>
        <v>3.125E-2</v>
      </c>
      <c r="M25" s="76">
        <f t="shared" si="16"/>
        <v>0</v>
      </c>
      <c r="N25" s="108">
        <f t="shared" si="17"/>
        <v>0.29166666666666669</v>
      </c>
      <c r="O25" s="75">
        <f t="shared" si="7"/>
        <v>0</v>
      </c>
      <c r="P25" s="63" t="str">
        <f t="shared" si="8"/>
        <v/>
      </c>
      <c r="Q25" s="108">
        <f t="shared" si="18"/>
        <v>0</v>
      </c>
      <c r="R25" s="76" t="str">
        <f t="shared" si="19"/>
        <v/>
      </c>
      <c r="S25" s="64">
        <f t="shared" si="9"/>
        <v>0</v>
      </c>
      <c r="T25" s="64">
        <f t="shared" si="10"/>
        <v>0</v>
      </c>
      <c r="U25" s="64" t="str">
        <f t="shared" si="11"/>
        <v/>
      </c>
      <c r="V25">
        <f t="shared" si="12"/>
        <v>3</v>
      </c>
      <c r="W25" s="77">
        <f t="shared" si="22"/>
        <v>0</v>
      </c>
      <c r="X25" s="77">
        <f t="shared" si="20"/>
        <v>0</v>
      </c>
    </row>
    <row r="26" spans="1:24">
      <c r="A26" s="142">
        <f t="shared" si="21"/>
        <v>44855</v>
      </c>
      <c r="B26" s="106">
        <f t="shared" si="13"/>
        <v>43</v>
      </c>
      <c r="C26" s="273" t="str">
        <f t="shared" si="0"/>
        <v/>
      </c>
      <c r="D26" s="5" t="str">
        <f t="shared" si="1"/>
        <v/>
      </c>
      <c r="E26" s="6" t="str">
        <f t="shared" si="14"/>
        <v/>
      </c>
      <c r="F26" s="76" t="str">
        <f t="shared" si="23"/>
        <v/>
      </c>
      <c r="G26" s="76">
        <f t="shared" si="3"/>
        <v>0</v>
      </c>
      <c r="H26" s="76" t="str">
        <f t="shared" si="4"/>
        <v/>
      </c>
      <c r="I26" s="76">
        <f t="shared" si="5"/>
        <v>0</v>
      </c>
      <c r="J26" s="76">
        <f t="shared" si="6"/>
        <v>0</v>
      </c>
      <c r="K26" s="62"/>
      <c r="L26" s="78">
        <f t="shared" si="15"/>
        <v>3.125E-2</v>
      </c>
      <c r="M26" s="76">
        <f t="shared" si="16"/>
        <v>0</v>
      </c>
      <c r="N26" s="108">
        <f t="shared" si="17"/>
        <v>0.29166666666666669</v>
      </c>
      <c r="O26" s="75">
        <f t="shared" si="7"/>
        <v>0</v>
      </c>
      <c r="P26" s="63" t="str">
        <f t="shared" si="8"/>
        <v/>
      </c>
      <c r="Q26" s="108">
        <f t="shared" si="18"/>
        <v>0</v>
      </c>
      <c r="R26" s="76" t="str">
        <f t="shared" si="19"/>
        <v/>
      </c>
      <c r="S26" s="64">
        <f t="shared" si="9"/>
        <v>0</v>
      </c>
      <c r="T26" s="64">
        <f t="shared" si="10"/>
        <v>0</v>
      </c>
      <c r="U26" s="64" t="str">
        <f t="shared" si="11"/>
        <v/>
      </c>
      <c r="V26">
        <f t="shared" si="12"/>
        <v>4</v>
      </c>
      <c r="W26" s="77">
        <f t="shared" si="22"/>
        <v>0</v>
      </c>
      <c r="X26" s="77">
        <f t="shared" si="20"/>
        <v>0</v>
      </c>
    </row>
    <row r="27" spans="1:24">
      <c r="A27" s="142">
        <f t="shared" si="21"/>
        <v>44856</v>
      </c>
      <c r="B27" s="106">
        <f t="shared" si="13"/>
        <v>43</v>
      </c>
      <c r="C27" s="273" t="str">
        <f t="shared" si="0"/>
        <v/>
      </c>
      <c r="D27" s="5" t="str">
        <f t="shared" si="1"/>
        <v/>
      </c>
      <c r="E27" s="6" t="str">
        <f t="shared" si="14"/>
        <v/>
      </c>
      <c r="F27" s="76" t="str">
        <f t="shared" si="23"/>
        <v/>
      </c>
      <c r="G27" s="76">
        <f t="shared" si="3"/>
        <v>0</v>
      </c>
      <c r="H27" s="76" t="str">
        <f t="shared" si="4"/>
        <v/>
      </c>
      <c r="I27" s="76">
        <f t="shared" si="5"/>
        <v>0</v>
      </c>
      <c r="J27" s="76">
        <f t="shared" si="6"/>
        <v>0</v>
      </c>
      <c r="K27" s="62"/>
      <c r="L27" s="78">
        <f t="shared" si="15"/>
        <v>3.125E-2</v>
      </c>
      <c r="M27" s="76">
        <f t="shared" si="16"/>
        <v>0</v>
      </c>
      <c r="N27" s="108">
        <f t="shared" si="17"/>
        <v>0.29166666666666669</v>
      </c>
      <c r="O27" s="75">
        <f t="shared" si="7"/>
        <v>0</v>
      </c>
      <c r="P27" s="63" t="str">
        <f t="shared" si="8"/>
        <v/>
      </c>
      <c r="Q27" s="108">
        <f t="shared" si="18"/>
        <v>0</v>
      </c>
      <c r="R27" s="76" t="str">
        <f t="shared" si="19"/>
        <v/>
      </c>
      <c r="S27" s="64">
        <f t="shared" si="9"/>
        <v>0</v>
      </c>
      <c r="T27" s="64">
        <f t="shared" si="10"/>
        <v>0</v>
      </c>
      <c r="U27" s="64" t="str">
        <f t="shared" si="11"/>
        <v/>
      </c>
      <c r="V27">
        <f t="shared" si="12"/>
        <v>5</v>
      </c>
      <c r="W27" s="77">
        <f t="shared" si="22"/>
        <v>0</v>
      </c>
      <c r="X27" s="77">
        <f t="shared" si="20"/>
        <v>0</v>
      </c>
    </row>
    <row r="28" spans="1:24">
      <c r="A28" s="142">
        <f t="shared" si="21"/>
        <v>44857</v>
      </c>
      <c r="B28" s="106">
        <f t="shared" si="13"/>
        <v>43</v>
      </c>
      <c r="C28" s="273" t="str">
        <f t="shared" si="0"/>
        <v/>
      </c>
      <c r="D28" s="5" t="str">
        <f t="shared" si="1"/>
        <v/>
      </c>
      <c r="E28" s="6" t="str">
        <f t="shared" si="14"/>
        <v/>
      </c>
      <c r="F28" s="76" t="str">
        <f t="shared" si="23"/>
        <v/>
      </c>
      <c r="G28" s="76">
        <f t="shared" si="3"/>
        <v>0</v>
      </c>
      <c r="H28" s="76" t="str">
        <f t="shared" si="4"/>
        <v/>
      </c>
      <c r="I28" s="76">
        <f t="shared" si="5"/>
        <v>0</v>
      </c>
      <c r="J28" s="76">
        <f t="shared" si="6"/>
        <v>0</v>
      </c>
      <c r="K28" s="62"/>
      <c r="L28" s="78">
        <f t="shared" si="15"/>
        <v>3.125E-2</v>
      </c>
      <c r="M28" s="76">
        <f t="shared" si="16"/>
        <v>0</v>
      </c>
      <c r="N28" s="108">
        <f t="shared" si="17"/>
        <v>0</v>
      </c>
      <c r="O28" s="75">
        <f t="shared" si="7"/>
        <v>0</v>
      </c>
      <c r="P28" s="63" t="str">
        <f t="shared" si="8"/>
        <v/>
      </c>
      <c r="Q28" s="108">
        <f t="shared" si="18"/>
        <v>0</v>
      </c>
      <c r="R28" s="76" t="str">
        <f t="shared" si="19"/>
        <v/>
      </c>
      <c r="S28" s="64">
        <f t="shared" si="9"/>
        <v>0</v>
      </c>
      <c r="T28" s="64">
        <f t="shared" si="10"/>
        <v>0</v>
      </c>
      <c r="U28" s="64" t="str">
        <f t="shared" si="11"/>
        <v/>
      </c>
      <c r="V28">
        <f t="shared" si="12"/>
        <v>6</v>
      </c>
      <c r="W28" s="77">
        <f t="shared" si="22"/>
        <v>0</v>
      </c>
      <c r="X28" s="77">
        <f t="shared" si="20"/>
        <v>0</v>
      </c>
    </row>
    <row r="29" spans="1:24">
      <c r="A29" s="142">
        <f t="shared" si="21"/>
        <v>44858</v>
      </c>
      <c r="B29" s="106">
        <f t="shared" si="13"/>
        <v>43</v>
      </c>
      <c r="C29" s="273" t="str">
        <f t="shared" si="0"/>
        <v/>
      </c>
      <c r="D29" s="5" t="str">
        <f t="shared" si="1"/>
        <v/>
      </c>
      <c r="E29" s="6" t="str">
        <f t="shared" si="14"/>
        <v/>
      </c>
      <c r="F29" s="76" t="str">
        <f t="shared" si="23"/>
        <v/>
      </c>
      <c r="G29" s="76">
        <f t="shared" si="3"/>
        <v>0</v>
      </c>
      <c r="H29" s="76" t="str">
        <f t="shared" si="4"/>
        <v/>
      </c>
      <c r="I29" s="76">
        <f t="shared" si="5"/>
        <v>0</v>
      </c>
      <c r="J29" s="76">
        <f t="shared" si="6"/>
        <v>0</v>
      </c>
      <c r="K29" s="62"/>
      <c r="L29" s="78">
        <f t="shared" si="15"/>
        <v>3.125E-2</v>
      </c>
      <c r="M29" s="76">
        <f t="shared" si="16"/>
        <v>0</v>
      </c>
      <c r="N29" s="108">
        <f t="shared" si="17"/>
        <v>0</v>
      </c>
      <c r="O29" s="75">
        <f t="shared" si="7"/>
        <v>0</v>
      </c>
      <c r="P29" s="63" t="str">
        <f t="shared" si="8"/>
        <v/>
      </c>
      <c r="Q29" s="108">
        <f t="shared" si="18"/>
        <v>0</v>
      </c>
      <c r="R29" s="76" t="str">
        <f t="shared" si="19"/>
        <v/>
      </c>
      <c r="S29" s="64">
        <f t="shared" si="9"/>
        <v>0</v>
      </c>
      <c r="T29" s="64">
        <f t="shared" si="10"/>
        <v>0</v>
      </c>
      <c r="U29" s="64" t="str">
        <f t="shared" si="11"/>
        <v/>
      </c>
      <c r="V29">
        <f t="shared" si="12"/>
        <v>7</v>
      </c>
      <c r="W29" s="77">
        <f t="shared" si="22"/>
        <v>0</v>
      </c>
      <c r="X29" s="77">
        <f t="shared" si="20"/>
        <v>0</v>
      </c>
    </row>
    <row r="30" spans="1:24">
      <c r="A30" s="142">
        <f t="shared" si="21"/>
        <v>44859</v>
      </c>
      <c r="B30" s="106">
        <f t="shared" si="13"/>
        <v>44</v>
      </c>
      <c r="C30" s="273" t="str">
        <f t="shared" si="0"/>
        <v/>
      </c>
      <c r="D30" s="5" t="str">
        <f t="shared" si="1"/>
        <v/>
      </c>
      <c r="E30" s="6" t="str">
        <f t="shared" si="14"/>
        <v/>
      </c>
      <c r="F30" s="76" t="str">
        <f t="shared" si="23"/>
        <v/>
      </c>
      <c r="G30" s="76">
        <f t="shared" si="3"/>
        <v>0</v>
      </c>
      <c r="H30" s="76" t="str">
        <f t="shared" si="4"/>
        <v/>
      </c>
      <c r="I30" s="76">
        <f t="shared" si="5"/>
        <v>0</v>
      </c>
      <c r="J30" s="76">
        <f t="shared" si="6"/>
        <v>0</v>
      </c>
      <c r="K30" s="62"/>
      <c r="L30" s="78">
        <f t="shared" si="15"/>
        <v>3.125E-2</v>
      </c>
      <c r="M30" s="76">
        <f t="shared" si="16"/>
        <v>0</v>
      </c>
      <c r="N30" s="108">
        <f t="shared" si="17"/>
        <v>0.29166666666666669</v>
      </c>
      <c r="O30" s="75">
        <f t="shared" si="7"/>
        <v>0</v>
      </c>
      <c r="P30" s="63" t="str">
        <f t="shared" si="8"/>
        <v/>
      </c>
      <c r="Q30" s="108">
        <f t="shared" si="18"/>
        <v>0</v>
      </c>
      <c r="R30" s="76" t="str">
        <f t="shared" si="19"/>
        <v/>
      </c>
      <c r="S30" s="64">
        <f t="shared" si="9"/>
        <v>0</v>
      </c>
      <c r="T30" s="64">
        <f t="shared" si="10"/>
        <v>0</v>
      </c>
      <c r="U30" s="64" t="str">
        <f t="shared" si="11"/>
        <v/>
      </c>
      <c r="V30">
        <f t="shared" si="12"/>
        <v>1</v>
      </c>
      <c r="W30" s="77">
        <f t="shared" si="22"/>
        <v>0</v>
      </c>
      <c r="X30" s="77">
        <f t="shared" si="20"/>
        <v>0</v>
      </c>
    </row>
    <row r="31" spans="1:24">
      <c r="A31" s="142">
        <f t="shared" si="21"/>
        <v>44860</v>
      </c>
      <c r="B31" s="106">
        <f t="shared" si="13"/>
        <v>44</v>
      </c>
      <c r="C31" s="273" t="str">
        <f t="shared" si="0"/>
        <v/>
      </c>
      <c r="D31" s="5" t="str">
        <f t="shared" si="1"/>
        <v/>
      </c>
      <c r="E31" s="6" t="str">
        <f t="shared" si="14"/>
        <v/>
      </c>
      <c r="F31" s="76" t="str">
        <f t="shared" si="23"/>
        <v/>
      </c>
      <c r="G31" s="76">
        <f t="shared" si="3"/>
        <v>0</v>
      </c>
      <c r="H31" s="76" t="str">
        <f t="shared" si="4"/>
        <v/>
      </c>
      <c r="I31" s="76">
        <f t="shared" si="5"/>
        <v>0</v>
      </c>
      <c r="J31" s="76">
        <f t="shared" si="6"/>
        <v>0</v>
      </c>
      <c r="K31" s="62"/>
      <c r="L31" s="78">
        <f t="shared" si="15"/>
        <v>3.125E-2</v>
      </c>
      <c r="M31" s="76">
        <f t="shared" si="16"/>
        <v>0</v>
      </c>
      <c r="N31" s="108">
        <f t="shared" si="17"/>
        <v>0.29166666666666669</v>
      </c>
      <c r="O31" s="75">
        <f t="shared" si="7"/>
        <v>0</v>
      </c>
      <c r="P31" s="63" t="str">
        <f t="shared" si="8"/>
        <v/>
      </c>
      <c r="Q31" s="108">
        <f t="shared" si="18"/>
        <v>0</v>
      </c>
      <c r="R31" s="76" t="str">
        <f t="shared" si="19"/>
        <v/>
      </c>
      <c r="S31" s="64">
        <f t="shared" si="9"/>
        <v>0</v>
      </c>
      <c r="T31" s="64">
        <f t="shared" si="10"/>
        <v>0</v>
      </c>
      <c r="U31" s="64" t="str">
        <f t="shared" si="11"/>
        <v/>
      </c>
      <c r="V31">
        <f t="shared" si="12"/>
        <v>2</v>
      </c>
      <c r="W31" s="77">
        <f t="shared" si="22"/>
        <v>0</v>
      </c>
      <c r="X31" s="77">
        <f t="shared" si="20"/>
        <v>0</v>
      </c>
    </row>
    <row r="32" spans="1:24">
      <c r="A32" s="142">
        <f t="shared" si="21"/>
        <v>44861</v>
      </c>
      <c r="B32" s="106">
        <f t="shared" si="13"/>
        <v>44</v>
      </c>
      <c r="C32" s="273" t="str">
        <f t="shared" si="0"/>
        <v/>
      </c>
      <c r="D32" s="5" t="str">
        <f t="shared" si="1"/>
        <v/>
      </c>
      <c r="E32" s="6" t="str">
        <f t="shared" si="14"/>
        <v/>
      </c>
      <c r="F32" s="76" t="str">
        <f t="shared" si="23"/>
        <v/>
      </c>
      <c r="G32" s="76">
        <f t="shared" si="3"/>
        <v>0</v>
      </c>
      <c r="H32" s="76" t="str">
        <f t="shared" si="4"/>
        <v/>
      </c>
      <c r="I32" s="76">
        <f t="shared" si="5"/>
        <v>0</v>
      </c>
      <c r="J32" s="76">
        <f t="shared" si="6"/>
        <v>0</v>
      </c>
      <c r="K32" s="62"/>
      <c r="L32" s="78">
        <f t="shared" si="15"/>
        <v>3.125E-2</v>
      </c>
      <c r="M32" s="76">
        <f t="shared" si="16"/>
        <v>0</v>
      </c>
      <c r="N32" s="108">
        <f t="shared" si="17"/>
        <v>0.29166666666666669</v>
      </c>
      <c r="O32" s="75">
        <f t="shared" si="7"/>
        <v>0</v>
      </c>
      <c r="P32" s="63" t="str">
        <f t="shared" si="8"/>
        <v/>
      </c>
      <c r="Q32" s="108">
        <f t="shared" si="18"/>
        <v>0</v>
      </c>
      <c r="R32" s="76" t="str">
        <f t="shared" si="19"/>
        <v/>
      </c>
      <c r="S32" s="64">
        <f t="shared" si="9"/>
        <v>0</v>
      </c>
      <c r="T32" s="64">
        <f t="shared" si="10"/>
        <v>0</v>
      </c>
      <c r="U32" s="64" t="str">
        <f t="shared" si="11"/>
        <v/>
      </c>
      <c r="V32">
        <f t="shared" si="12"/>
        <v>3</v>
      </c>
      <c r="W32" s="77">
        <f t="shared" si="22"/>
        <v>0</v>
      </c>
      <c r="X32" s="77">
        <f t="shared" si="20"/>
        <v>0</v>
      </c>
    </row>
    <row r="33" spans="1:24">
      <c r="A33" s="142">
        <f t="shared" si="21"/>
        <v>44862</v>
      </c>
      <c r="B33" s="106">
        <f t="shared" si="13"/>
        <v>44</v>
      </c>
      <c r="C33" s="273" t="str">
        <f t="shared" si="0"/>
        <v/>
      </c>
      <c r="D33" s="5" t="str">
        <f t="shared" si="1"/>
        <v/>
      </c>
      <c r="E33" s="6" t="str">
        <f t="shared" si="14"/>
        <v/>
      </c>
      <c r="F33" s="76" t="str">
        <f t="shared" si="23"/>
        <v/>
      </c>
      <c r="G33" s="76">
        <f t="shared" si="3"/>
        <v>0</v>
      </c>
      <c r="H33" s="76" t="str">
        <f t="shared" si="4"/>
        <v/>
      </c>
      <c r="I33" s="76">
        <f t="shared" si="5"/>
        <v>0</v>
      </c>
      <c r="J33" s="76">
        <f t="shared" si="6"/>
        <v>0</v>
      </c>
      <c r="K33" s="62"/>
      <c r="L33" s="78">
        <f t="shared" si="15"/>
        <v>3.125E-2</v>
      </c>
      <c r="M33" s="76">
        <f t="shared" si="16"/>
        <v>0</v>
      </c>
      <c r="N33" s="108">
        <f t="shared" si="17"/>
        <v>0.29166666666666669</v>
      </c>
      <c r="O33" s="75">
        <f t="shared" si="7"/>
        <v>0</v>
      </c>
      <c r="P33" s="63" t="str">
        <f t="shared" si="8"/>
        <v/>
      </c>
      <c r="Q33" s="108">
        <f t="shared" si="18"/>
        <v>0</v>
      </c>
      <c r="R33" s="76" t="str">
        <f t="shared" si="19"/>
        <v/>
      </c>
      <c r="S33" s="64">
        <f t="shared" si="9"/>
        <v>0</v>
      </c>
      <c r="T33" s="64">
        <f t="shared" si="10"/>
        <v>0</v>
      </c>
      <c r="U33" s="64" t="str">
        <f t="shared" si="11"/>
        <v/>
      </c>
      <c r="V33">
        <f t="shared" si="12"/>
        <v>4</v>
      </c>
      <c r="W33" s="77">
        <f t="shared" si="22"/>
        <v>0</v>
      </c>
      <c r="X33" s="77">
        <f t="shared" si="20"/>
        <v>0</v>
      </c>
    </row>
    <row r="34" spans="1:24">
      <c r="A34" s="142">
        <f t="shared" si="21"/>
        <v>44863</v>
      </c>
      <c r="B34" s="106">
        <f t="shared" si="13"/>
        <v>44</v>
      </c>
      <c r="C34" s="273" t="str">
        <f t="shared" si="0"/>
        <v/>
      </c>
      <c r="D34" s="5" t="str">
        <f t="shared" si="1"/>
        <v/>
      </c>
      <c r="E34" s="6" t="str">
        <f t="shared" si="14"/>
        <v/>
      </c>
      <c r="F34" s="76" t="str">
        <f t="shared" si="23"/>
        <v/>
      </c>
      <c r="G34" s="76">
        <f t="shared" si="3"/>
        <v>0</v>
      </c>
      <c r="H34" s="76" t="str">
        <f t="shared" si="4"/>
        <v/>
      </c>
      <c r="I34" s="76">
        <f t="shared" si="5"/>
        <v>0</v>
      </c>
      <c r="J34" s="76">
        <f t="shared" si="6"/>
        <v>0</v>
      </c>
      <c r="K34" s="62"/>
      <c r="L34" s="78">
        <f t="shared" si="15"/>
        <v>3.125E-2</v>
      </c>
      <c r="M34" s="76">
        <f t="shared" si="16"/>
        <v>0</v>
      </c>
      <c r="N34" s="108">
        <f t="shared" si="17"/>
        <v>0.29166666666666669</v>
      </c>
      <c r="O34" s="75">
        <f t="shared" si="7"/>
        <v>0</v>
      </c>
      <c r="P34" s="63" t="str">
        <f t="shared" si="8"/>
        <v/>
      </c>
      <c r="Q34" s="108">
        <f t="shared" si="18"/>
        <v>0</v>
      </c>
      <c r="R34" s="76" t="str">
        <f t="shared" si="19"/>
        <v/>
      </c>
      <c r="S34" s="64">
        <f t="shared" si="9"/>
        <v>0</v>
      </c>
      <c r="T34" s="64">
        <f t="shared" si="10"/>
        <v>0</v>
      </c>
      <c r="U34" s="64" t="str">
        <f t="shared" si="11"/>
        <v/>
      </c>
      <c r="V34">
        <f t="shared" si="12"/>
        <v>5</v>
      </c>
      <c r="W34" s="77">
        <f t="shared" si="22"/>
        <v>0</v>
      </c>
      <c r="X34" s="77">
        <f t="shared" si="20"/>
        <v>0</v>
      </c>
    </row>
    <row r="35" spans="1:24">
      <c r="A35" s="142">
        <f t="shared" si="21"/>
        <v>44864</v>
      </c>
      <c r="B35" s="106">
        <f t="shared" si="13"/>
        <v>44</v>
      </c>
      <c r="C35" s="273" t="str">
        <f t="shared" si="0"/>
        <v/>
      </c>
      <c r="D35" s="5" t="str">
        <f t="shared" si="1"/>
        <v/>
      </c>
      <c r="E35" s="6" t="str">
        <f t="shared" si="14"/>
        <v/>
      </c>
      <c r="F35" s="76" t="str">
        <f t="shared" si="23"/>
        <v/>
      </c>
      <c r="G35" s="76">
        <f t="shared" si="3"/>
        <v>0</v>
      </c>
      <c r="H35" s="76" t="str">
        <f t="shared" si="4"/>
        <v/>
      </c>
      <c r="I35" s="76">
        <f t="shared" si="5"/>
        <v>0</v>
      </c>
      <c r="J35" s="76">
        <f t="shared" si="6"/>
        <v>0</v>
      </c>
      <c r="K35" s="62"/>
      <c r="L35" s="78">
        <f t="shared" si="15"/>
        <v>3.125E-2</v>
      </c>
      <c r="M35" s="76">
        <f t="shared" si="16"/>
        <v>0</v>
      </c>
      <c r="N35" s="108">
        <f t="shared" si="17"/>
        <v>0</v>
      </c>
      <c r="O35" s="75">
        <f t="shared" si="7"/>
        <v>0</v>
      </c>
      <c r="P35" s="63" t="str">
        <f t="shared" si="8"/>
        <v/>
      </c>
      <c r="Q35" s="108">
        <f t="shared" si="18"/>
        <v>0</v>
      </c>
      <c r="R35" s="76" t="str">
        <f t="shared" si="19"/>
        <v/>
      </c>
      <c r="S35" s="64">
        <f t="shared" si="9"/>
        <v>0</v>
      </c>
      <c r="T35" s="64">
        <f t="shared" si="10"/>
        <v>0</v>
      </c>
      <c r="U35" s="64" t="str">
        <f t="shared" si="11"/>
        <v/>
      </c>
      <c r="V35">
        <f t="shared" si="12"/>
        <v>6</v>
      </c>
      <c r="W35" s="77">
        <f t="shared" si="22"/>
        <v>0</v>
      </c>
      <c r="X35" s="77">
        <f t="shared" si="20"/>
        <v>0</v>
      </c>
    </row>
    <row r="36" spans="1:24">
      <c r="A36" s="8"/>
      <c r="B36" s="8"/>
      <c r="C36" s="9" t="s">
        <v>108</v>
      </c>
      <c r="D36" s="3"/>
      <c r="F36" s="8"/>
      <c r="G36" s="8"/>
      <c r="H36" s="8"/>
      <c r="I36" s="8"/>
      <c r="J36" s="10"/>
      <c r="K36" s="10"/>
      <c r="M36" s="10"/>
      <c r="O36" s="86"/>
      <c r="P36" s="11"/>
      <c r="Q36" s="1"/>
      <c r="R36" s="12"/>
    </row>
    <row r="37" spans="1:24">
      <c r="A37" s="253" t="s">
        <v>32</v>
      </c>
      <c r="B37" s="213"/>
      <c r="C37" s="225"/>
      <c r="D37" s="3"/>
      <c r="F37" s="253" t="s">
        <v>31</v>
      </c>
      <c r="G37" s="213"/>
      <c r="H37" s="225"/>
      <c r="I37" s="253"/>
      <c r="J37" s="213"/>
      <c r="K37" s="225"/>
      <c r="M37" s="10"/>
      <c r="O37" s="86"/>
      <c r="P37" s="11"/>
      <c r="Q37" s="1"/>
      <c r="R37" s="12"/>
    </row>
    <row r="38" spans="1:24">
      <c r="A38" s="219">
        <f>VLOOKUP($A$5-1,db_Jahr,gSP_SaldoGes,FALSE)</f>
        <v>0</v>
      </c>
      <c r="B38" s="251" t="s">
        <v>93</v>
      </c>
      <c r="C38" s="252"/>
      <c r="D38" s="4"/>
      <c r="E38" s="3"/>
      <c r="F38" s="214" t="s">
        <v>94</v>
      </c>
      <c r="G38" s="215"/>
      <c r="H38" s="216"/>
      <c r="I38" s="216"/>
      <c r="J38" s="15">
        <f>SUM(J5:J35)</f>
        <v>0</v>
      </c>
      <c r="K38" s="16"/>
      <c r="L38" s="1"/>
      <c r="O38" s="254">
        <f>SUM(O5:O35)</f>
        <v>0</v>
      </c>
      <c r="P38" s="255" t="str">
        <f>IF(O38&lt;0,"*","")</f>
        <v/>
      </c>
      <c r="R38" s="17">
        <f>SUM(R5:R35)</f>
        <v>0</v>
      </c>
    </row>
    <row r="39" spans="1:24">
      <c r="A39" s="220">
        <f>VLOOKUP($A$5-1,db_Jahr,gSP_UrlR,FALSE)</f>
        <v>0</v>
      </c>
      <c r="B39" s="251" t="s">
        <v>95</v>
      </c>
      <c r="C39" s="315"/>
      <c r="F39" s="217" t="s">
        <v>96</v>
      </c>
      <c r="G39" s="218"/>
      <c r="H39" s="215"/>
      <c r="I39" s="215"/>
      <c r="J39" s="15">
        <f>SUM(M5:M35)</f>
        <v>0</v>
      </c>
      <c r="K39" s="16"/>
      <c r="L39" s="1"/>
    </row>
    <row r="40" spans="1:24">
      <c r="A40" s="220">
        <f>IF(MONTH($A$5)=1,B_UrlaubNeu,0)</f>
        <v>0</v>
      </c>
      <c r="B40" s="251" t="s">
        <v>11</v>
      </c>
      <c r="C40" s="315"/>
      <c r="D40" s="65"/>
      <c r="E40" s="3"/>
      <c r="F40" s="217" t="s">
        <v>30</v>
      </c>
      <c r="G40" s="218"/>
      <c r="H40" s="215"/>
      <c r="I40" s="215"/>
      <c r="J40" s="15">
        <f>SUMIF(R_Monat,$C$3,R_Korrekt)</f>
        <v>0</v>
      </c>
      <c r="K40" s="16"/>
      <c r="L40" s="1"/>
    </row>
    <row r="41" spans="1:24">
      <c r="A41" s="220">
        <f>SUMIF(R_Monat,$C$3,R_Krank)</f>
        <v>0</v>
      </c>
      <c r="B41" s="251" t="s">
        <v>146</v>
      </c>
      <c r="C41" s="252"/>
      <c r="D41" s="249"/>
      <c r="E41" s="3"/>
      <c r="F41" s="217" t="s">
        <v>99</v>
      </c>
      <c r="G41" s="218"/>
      <c r="H41" s="216"/>
      <c r="I41" s="216"/>
      <c r="J41" s="15">
        <f>A38+J38-J39-J40</f>
        <v>0</v>
      </c>
      <c r="K41" s="16" t="str">
        <f>IF(J41&lt;0,"*","")</f>
        <v/>
      </c>
      <c r="M41" s="609">
        <f>J41/B_WorkTime</f>
        <v>0</v>
      </c>
      <c r="N41" s="609"/>
      <c r="O41" s="609"/>
      <c r="P41" s="609"/>
    </row>
    <row r="42" spans="1:24">
      <c r="A42" s="220">
        <f>(FREQUENCY(E5:E35,0)-FREQUENCY(E5:E35,-1))+(FREQUENCY(E5:E35,83)-FREQUENCY(E5:E35,82))</f>
        <v>0</v>
      </c>
      <c r="B42" s="251" t="s">
        <v>21</v>
      </c>
      <c r="C42" s="315"/>
      <c r="E42" s="3"/>
      <c r="F42" s="217" t="s">
        <v>25</v>
      </c>
      <c r="G42" s="218"/>
      <c r="H42" s="215"/>
      <c r="I42" s="215"/>
      <c r="J42" s="205">
        <f>SUMIF(R_Monat,$C$3,R_Urlaub)</f>
        <v>0</v>
      </c>
      <c r="K42" s="16"/>
    </row>
    <row r="43" spans="1:24">
      <c r="A43" s="250">
        <f>IF(J38&gt;0,J38 / A42,0)</f>
        <v>0</v>
      </c>
      <c r="B43" s="251" t="s">
        <v>22</v>
      </c>
      <c r="C43" s="252"/>
      <c r="F43" s="217" t="s">
        <v>98</v>
      </c>
      <c r="G43" s="218"/>
      <c r="H43" s="215"/>
      <c r="I43" s="215"/>
      <c r="J43" s="205">
        <f>A39+A40-J42</f>
        <v>0</v>
      </c>
      <c r="K43" s="16"/>
      <c r="M43" s="21"/>
    </row>
  </sheetData>
  <mergeCells count="2">
    <mergeCell ref="M41:P41"/>
    <mergeCell ref="I3:P3"/>
  </mergeCells>
  <phoneticPr fontId="0" type="noConversion"/>
  <conditionalFormatting sqref="C7:C35 D5:N35 C5 P5:X35">
    <cfRule type="expression" dxfId="41" priority="1" stopIfTrue="1">
      <formula>INDIRECT(ADDRESS(ROW(),COLUMN(xDay)))&gt;5</formula>
    </cfRule>
  </conditionalFormatting>
  <conditionalFormatting sqref="O5:O35">
    <cfRule type="expression" dxfId="40" priority="2" stopIfTrue="1">
      <formula>INDIRECT(ADDRESS(ROW(),COLUMN(xDay)))&gt;5</formula>
    </cfRule>
    <cfRule type="cellIs" dxfId="39" priority="3" stopIfTrue="1" operator="lessThan">
      <formula>0</formula>
    </cfRule>
  </conditionalFormatting>
  <conditionalFormatting sqref="A5:B5 A6:C6 A7:B35">
    <cfRule type="expression" dxfId="38" priority="4" stopIfTrue="1">
      <formula>INDIRECT(ADDRESS(ROW(),COLUMN(xDay)))&gt;5</formula>
    </cfRule>
  </conditionalFormatting>
  <conditionalFormatting sqref="O38">
    <cfRule type="cellIs" dxfId="37"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baseColWidth="10" defaultColWidth="11.5703125"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47" customFormat="1" ht="39.950000000000003" customHeight="1">
      <c r="A2" s="105">
        <f>B_Year</f>
        <v>44834</v>
      </c>
      <c r="B2" s="287">
        <f>B_Year</f>
        <v>44834</v>
      </c>
      <c r="C2" s="287">
        <f>B2</f>
        <v>44834</v>
      </c>
      <c r="D2" s="287">
        <f>DATE(YEAR(B2),MONTH(B2)+1,1)</f>
        <v>44865</v>
      </c>
      <c r="E2" s="287">
        <f>D2</f>
        <v>44865</v>
      </c>
      <c r="F2" s="287">
        <f>DATE(YEAR(D2),MONTH(D2)+1,1)</f>
        <v>44895</v>
      </c>
      <c r="G2" s="287">
        <f>F2</f>
        <v>44895</v>
      </c>
      <c r="H2" s="287">
        <f>DATE(YEAR(F2),MONTH(F2)+1,1)</f>
        <v>44926</v>
      </c>
      <c r="I2" s="287">
        <f>H2</f>
        <v>44926</v>
      </c>
      <c r="J2" s="287">
        <f>DATE(YEAR(H2),MONTH(H2)+1,1)</f>
        <v>44957</v>
      </c>
      <c r="K2" s="287">
        <f>J2</f>
        <v>44957</v>
      </c>
      <c r="L2" s="287">
        <f>DATE(YEAR(J2),MONTH(J2)+1,1)</f>
        <v>44985</v>
      </c>
      <c r="M2" s="287">
        <f>L2</f>
        <v>44985</v>
      </c>
      <c r="N2" s="287">
        <f>DATE(YEAR(L2),MONTH(L2)+1,1)</f>
        <v>45016</v>
      </c>
      <c r="O2" s="287">
        <f>N2</f>
        <v>45016</v>
      </c>
      <c r="P2" s="287">
        <f>DATE(YEAR(N2),MONTH(N2)+1,1)</f>
        <v>45046</v>
      </c>
      <c r="Q2" s="287">
        <f>P2</f>
        <v>45046</v>
      </c>
      <c r="R2" s="287">
        <f>DATE(YEAR(P2),MONTH(P2)+1,1)</f>
        <v>45077</v>
      </c>
      <c r="S2" s="287">
        <f>R2</f>
        <v>45077</v>
      </c>
      <c r="T2" s="287">
        <f>DATE(YEAR(R2),MONTH(R2)+1,1)</f>
        <v>45107</v>
      </c>
      <c r="U2" s="287">
        <f>T2</f>
        <v>45107</v>
      </c>
      <c r="V2" s="287">
        <f>DATE(YEAR(T2),MONTH(T2)+1,1)</f>
        <v>45138</v>
      </c>
      <c r="W2" s="287">
        <f>V2</f>
        <v>45138</v>
      </c>
      <c r="X2" s="287">
        <f>DATE(YEAR(V2),MONTH(V2)+1,1)</f>
        <v>45169</v>
      </c>
      <c r="Y2" s="467">
        <f>X2</f>
        <v>45169</v>
      </c>
    </row>
    <row r="3" spans="1:27" s="47" customFormat="1" ht="11.25">
      <c r="A3" s="48">
        <v>1</v>
      </c>
      <c r="B3" s="626" t="str">
        <f t="shared" ref="B3:B9" si="0">IF(OR(ISERROR(C3),C3=""),"-",IF(OR(C3=K_ArbeitNormal,C3=K_ArbeitOverTime,C3=K_ArbeitOverMax),VLOOKUP(DATE(YEAR(C$2),MONTH(C$2),$A3),db_Jahr,gSP_KalZeit,FALSE),""))</f>
        <v/>
      </c>
      <c r="C3" s="627">
        <f t="shared" ref="C3:G32" si="1">IF(MONTH(DATE(YEAR(C$2),MONTH(C$2),$A3))=MONTH(C$2),VLOOKUP(DATE(YEAR(C$2),MONTH(C$2),$A3),db_Jahr,gSP_KalTyp,FALSE),"")</f>
        <v>0</v>
      </c>
      <c r="D3" s="100" t="str">
        <f t="shared" ref="D3:D33" si="2">IF(OR(ISERROR(E3),E3=""),"-",IF(OR(E3=K_ArbeitNormal,E3=K_ArbeitOverTime,E3=K_ArbeitOverMax),VLOOKUP(DATE(YEAR(E$2),MONTH(E$2),$A3),db_Jahr,gSP_KalZeit,FALSE),""))</f>
        <v/>
      </c>
      <c r="E3" s="101">
        <f t="shared" si="1"/>
        <v>8</v>
      </c>
      <c r="F3" s="626" t="str">
        <f t="shared" ref="F3:F33" si="3">IF(OR(ISERROR(G3),G3=""),"-",IF(OR(G3=K_ArbeitNormal,G3=K_ArbeitOverTime,G3=K_ArbeitOverMax),VLOOKUP(DATE(YEAR(G$2),MONTH(G$2),$A3),db_Jahr,gSP_KalZeit,FALSE),""))</f>
        <v/>
      </c>
      <c r="G3" s="627">
        <f t="shared" si="1"/>
        <v>0</v>
      </c>
      <c r="H3" s="100" t="str">
        <f t="shared" ref="H3:H33" si="4">IF(OR(ISERROR(I3),I3=""),"-",IF(OR(I3=K_ArbeitNormal,I3=K_ArbeitOverTime,I3=K_ArbeitOverMax),VLOOKUP(DATE(YEAR(I$2),MONTH(I$2),$A3),db_Jahr,gSP_KalZeit,FALSE),""))</f>
        <v/>
      </c>
      <c r="I3" s="101">
        <f t="shared" ref="I3:I32" si="5">IF(MONTH(DATE(YEAR(I$2),MONTH(I$2),$A3))=MONTH(I$2),VLOOKUP(DATE(YEAR(I$2),MONTH(I$2),$A3),db_Jahr,gSP_KalTyp,FALSE),"")</f>
        <v>8</v>
      </c>
      <c r="J3" s="626" t="str">
        <f t="shared" ref="J3:J33" si="6">IF(OR(ISERROR(K3),K3=""),"-",IF(OR(K3=K_ArbeitNormal,K3=K_ArbeitOverTime,K3=K_ArbeitOverMax),VLOOKUP(DATE(YEAR(K$2),MONTH(K$2),$A3),db_Jahr,gSP_KalZeit,FALSE),""))</f>
        <v/>
      </c>
      <c r="K3" s="627">
        <f t="shared" ref="K3:K32" si="7">IF(MONTH(DATE(YEAR(K$2),MONTH(K$2),$A3))=MONTH(K$2),VLOOKUP(DATE(YEAR(K$2),MONTH(K$2),$A3),db_Jahr,gSP_KalTyp,FALSE),"")</f>
        <v>0</v>
      </c>
      <c r="L3" s="626" t="str">
        <f t="shared" ref="L3:L33" si="8">IF(OR(ISERROR(M3),M3=""),"-",IF(OR(M3=K_ArbeitNormal,M3=K_ArbeitOverTime,M3=K_ArbeitOverMax),VLOOKUP(DATE(YEAR(M$2),MONTH(M$2),$A3),db_Jahr,gSP_KalZeit,FALSE),""))</f>
        <v/>
      </c>
      <c r="M3" s="627">
        <f t="shared" ref="M3:M32" si="9">IF(MONTH(DATE(YEAR(M$2),MONTH(M$2),$A3))=MONTH(M$2),VLOOKUP(DATE(YEAR(M$2),MONTH(M$2),$A3),db_Jahr,gSP_KalTyp,FALSE),"")</f>
        <v>0</v>
      </c>
      <c r="N3" s="626" t="str">
        <f t="shared" ref="N3:N33" si="10">IF(OR(ISERROR(O3),O3=""),"-",IF(OR(O3=K_ArbeitNormal,O3=K_ArbeitOverTime,O3=K_ArbeitOverMax),VLOOKUP(DATE(YEAR(O$2),MONTH(O$2),$A3),db_Jahr,gSP_KalZeit,FALSE),""))</f>
        <v/>
      </c>
      <c r="O3" s="627">
        <f t="shared" ref="O3:O32" si="11">IF(MONTH(DATE(YEAR(O$2),MONTH(O$2),$A3))=MONTH(O$2),VLOOKUP(DATE(YEAR(O$2),MONTH(O$2),$A3),db_Jahr,gSP_KalTyp,FALSE),"")</f>
        <v>0</v>
      </c>
      <c r="P3" s="100" t="str">
        <f t="shared" ref="P3:P33" si="12">IF(OR(ISERROR(Q3),Q3=""),"-",IF(OR(Q3=K_ArbeitNormal,Q3=K_ArbeitOverTime,Q3=K_ArbeitOverMax),VLOOKUP(DATE(YEAR(Q$2),MONTH(Q$2),$A3),db_Jahr,gSP_KalZeit,FALSE),""))</f>
        <v/>
      </c>
      <c r="Q3" s="101">
        <f t="shared" ref="Q3:Q32" si="13">IF(MONTH(DATE(YEAR(Q$2),MONTH(Q$2),$A3))=MONTH(Q$2),VLOOKUP(DATE(YEAR(Q$2),MONTH(Q$2),$A3),db_Jahr,gSP_KalTyp,FALSE),"")</f>
        <v>8</v>
      </c>
      <c r="R3" s="626" t="str">
        <f t="shared" ref="R3:R33" si="14">IF(OR(ISERROR(S3),S3=""),"-",IF(OR(S3=K_ArbeitNormal,S3=K_ArbeitOverTime,S3=K_ArbeitOverMax),VLOOKUP(DATE(YEAR(S$2),MONTH(S$2),$A3),db_Jahr,gSP_KalZeit,FALSE),""))</f>
        <v/>
      </c>
      <c r="S3" s="627">
        <f t="shared" ref="S3:S32" si="15">IF(MONTH(DATE(YEAR(S$2),MONTH(S$2),$A3))=MONTH(S$2),VLOOKUP(DATE(YEAR(S$2),MONTH(S$2),$A3),db_Jahr,gSP_KalTyp,FALSE),"")</f>
        <v>0</v>
      </c>
      <c r="T3" s="626" t="str">
        <f t="shared" ref="T3:T33" si="16">IF(OR(ISERROR(U3),U3=""),"-",IF(OR(U3=K_ArbeitNormal,U3=K_ArbeitOverTime,U3=K_ArbeitOverMax),VLOOKUP(DATE(YEAR(U$2),MONTH(U$2),$A3),db_Jahr,gSP_KalZeit,FALSE),""))</f>
        <v/>
      </c>
      <c r="U3" s="627">
        <f t="shared" ref="U3:U32" si="17">IF(MONTH(DATE(YEAR(U$2),MONTH(U$2),$A3))=MONTH(U$2),VLOOKUP(DATE(YEAR(U$2),MONTH(U$2),$A3),db_Jahr,gSP_KalTyp,FALSE),"")</f>
        <v>0</v>
      </c>
      <c r="V3" s="102" t="str">
        <f t="shared" ref="V3:V33" si="18">IF(OR(ISERROR(W3),W3=""),"-",IF(OR(W3=K_ArbeitNormal,W3=K_ArbeitOverTime,W3=K_ArbeitOverMax),VLOOKUP(DATE(YEAR(W$2),MONTH(W$2),$A3),db_Jahr,gSP_KalZeit,FALSE),""))</f>
        <v/>
      </c>
      <c r="W3" s="103">
        <f t="shared" ref="W3:W32" si="19">IF(MONTH(DATE(YEAR(W$2),MONTH(W$2),$A3))=MONTH(W$2),VLOOKUP(DATE(YEAR(W$2),MONTH(W$2),$A3),db_Jahr,gSP_KalTyp,FALSE),"")</f>
        <v>7</v>
      </c>
      <c r="X3" s="626" t="str">
        <f t="shared" ref="X3:X33" si="20">IF(OR(ISERROR(Y3),Y3=""),"-",IF(OR(Y3=K_ArbeitNormal,Y3=K_ArbeitOverTime,Y3=K_ArbeitOverMax),VLOOKUP(DATE(YEAR(Y$2),MONTH(Y$2),$A3),db_Jahr,gSP_KalZeit,FALSE),""))</f>
        <v/>
      </c>
      <c r="Y3" s="627">
        <f t="shared" ref="Y3:Y32" si="21">IF(MONTH(DATE(YEAR(Y$2),MONTH(Y$2),$A3))=MONTH(Y$2),VLOOKUP(DATE(YEAR(Y$2),MONTH(Y$2),$A3),db_Jahr,gSP_KalTyp,FALSE),"")</f>
        <v>0</v>
      </c>
    </row>
    <row r="4" spans="1:27" s="47" customFormat="1" ht="11.25">
      <c r="A4" s="48">
        <f t="shared" ref="A4:A33" si="22">A3+1</f>
        <v>2</v>
      </c>
      <c r="B4" s="626" t="str">
        <f t="shared" si="0"/>
        <v/>
      </c>
      <c r="C4" s="627">
        <f t="shared" si="1"/>
        <v>0</v>
      </c>
      <c r="D4" s="626" t="str">
        <f t="shared" si="2"/>
        <v/>
      </c>
      <c r="E4" s="627">
        <f t="shared" si="1"/>
        <v>0</v>
      </c>
      <c r="F4" s="626" t="str">
        <f t="shared" si="3"/>
        <v/>
      </c>
      <c r="G4" s="627">
        <f t="shared" si="1"/>
        <v>0</v>
      </c>
      <c r="H4" s="102" t="str">
        <f t="shared" si="4"/>
        <v/>
      </c>
      <c r="I4" s="103">
        <f t="shared" si="5"/>
        <v>7</v>
      </c>
      <c r="J4" s="626" t="str">
        <f t="shared" si="6"/>
        <v/>
      </c>
      <c r="K4" s="627">
        <f t="shared" si="7"/>
        <v>0</v>
      </c>
      <c r="L4" s="626" t="str">
        <f t="shared" si="8"/>
        <v/>
      </c>
      <c r="M4" s="627">
        <f t="shared" si="9"/>
        <v>0</v>
      </c>
      <c r="N4" s="626" t="str">
        <f t="shared" si="10"/>
        <v/>
      </c>
      <c r="O4" s="627">
        <f t="shared" si="11"/>
        <v>0</v>
      </c>
      <c r="P4" s="102" t="str">
        <f t="shared" si="12"/>
        <v/>
      </c>
      <c r="Q4" s="103">
        <f t="shared" si="13"/>
        <v>7</v>
      </c>
      <c r="R4" s="626" t="str">
        <f t="shared" si="14"/>
        <v/>
      </c>
      <c r="S4" s="627">
        <f t="shared" si="15"/>
        <v>0</v>
      </c>
      <c r="T4" s="626" t="str">
        <f t="shared" si="16"/>
        <v/>
      </c>
      <c r="U4" s="627">
        <f t="shared" si="17"/>
        <v>0</v>
      </c>
      <c r="V4" s="626" t="str">
        <f t="shared" si="18"/>
        <v/>
      </c>
      <c r="W4" s="627">
        <f t="shared" si="19"/>
        <v>0</v>
      </c>
      <c r="X4" s="626" t="str">
        <f t="shared" si="20"/>
        <v/>
      </c>
      <c r="Y4" s="627">
        <f t="shared" si="21"/>
        <v>0</v>
      </c>
      <c r="AA4" s="141" t="s">
        <v>81</v>
      </c>
    </row>
    <row r="5" spans="1:27" s="47" customFormat="1" ht="11.25">
      <c r="A5" s="48">
        <f t="shared" si="22"/>
        <v>3</v>
      </c>
      <c r="B5" s="100" t="str">
        <f t="shared" si="0"/>
        <v/>
      </c>
      <c r="C5" s="101">
        <f t="shared" si="1"/>
        <v>8</v>
      </c>
      <c r="D5" s="626" t="str">
        <f t="shared" si="2"/>
        <v/>
      </c>
      <c r="E5" s="627">
        <f t="shared" si="1"/>
        <v>0</v>
      </c>
      <c r="F5" s="626" t="str">
        <f t="shared" si="3"/>
        <v/>
      </c>
      <c r="G5" s="627">
        <f t="shared" si="1"/>
        <v>0</v>
      </c>
      <c r="H5" s="102" t="str">
        <f t="shared" si="4"/>
        <v/>
      </c>
      <c r="I5" s="103">
        <f t="shared" si="5"/>
        <v>7</v>
      </c>
      <c r="J5" s="626" t="str">
        <f t="shared" si="6"/>
        <v/>
      </c>
      <c r="K5" s="627">
        <f t="shared" si="7"/>
        <v>0</v>
      </c>
      <c r="L5" s="626" t="str">
        <f t="shared" si="8"/>
        <v/>
      </c>
      <c r="M5" s="627">
        <f t="shared" si="9"/>
        <v>0</v>
      </c>
      <c r="N5" s="102" t="str">
        <f t="shared" si="10"/>
        <v/>
      </c>
      <c r="O5" s="103">
        <f t="shared" si="11"/>
        <v>7</v>
      </c>
      <c r="P5" s="626" t="str">
        <f t="shared" si="12"/>
        <v/>
      </c>
      <c r="Q5" s="627">
        <f t="shared" si="13"/>
        <v>0</v>
      </c>
      <c r="R5" s="626" t="str">
        <f t="shared" si="14"/>
        <v/>
      </c>
      <c r="S5" s="627">
        <f t="shared" si="15"/>
        <v>0</v>
      </c>
      <c r="T5" s="102" t="str">
        <f t="shared" si="16"/>
        <v/>
      </c>
      <c r="U5" s="103">
        <f t="shared" si="17"/>
        <v>7</v>
      </c>
      <c r="V5" s="626" t="str">
        <f t="shared" si="18"/>
        <v/>
      </c>
      <c r="W5" s="627">
        <f t="shared" si="19"/>
        <v>0</v>
      </c>
      <c r="X5" s="626" t="str">
        <f t="shared" si="20"/>
        <v/>
      </c>
      <c r="Y5" s="627">
        <f t="shared" si="21"/>
        <v>0</v>
      </c>
      <c r="AA5" s="286" t="str">
        <f>B_PersonName</f>
        <v>Mustermann</v>
      </c>
    </row>
    <row r="6" spans="1:27" s="47" customFormat="1" ht="11.25">
      <c r="A6" s="48">
        <f t="shared" si="22"/>
        <v>4</v>
      </c>
      <c r="B6" s="102" t="str">
        <f t="shared" si="0"/>
        <v/>
      </c>
      <c r="C6" s="103">
        <f t="shared" si="1"/>
        <v>7</v>
      </c>
      <c r="D6" s="626" t="str">
        <f t="shared" si="2"/>
        <v/>
      </c>
      <c r="E6" s="627">
        <f t="shared" si="1"/>
        <v>0</v>
      </c>
      <c r="F6" s="626" t="str">
        <f t="shared" si="3"/>
        <v/>
      </c>
      <c r="G6" s="627">
        <f t="shared" si="1"/>
        <v>0</v>
      </c>
      <c r="H6" s="626" t="str">
        <f t="shared" si="4"/>
        <v/>
      </c>
      <c r="I6" s="627">
        <f t="shared" si="5"/>
        <v>0</v>
      </c>
      <c r="J6" s="626" t="str">
        <f t="shared" si="6"/>
        <v/>
      </c>
      <c r="K6" s="627">
        <f t="shared" si="7"/>
        <v>0</v>
      </c>
      <c r="L6" s="626" t="str">
        <f t="shared" si="8"/>
        <v/>
      </c>
      <c r="M6" s="627">
        <f t="shared" si="9"/>
        <v>0</v>
      </c>
      <c r="N6" s="102" t="str">
        <f t="shared" si="10"/>
        <v/>
      </c>
      <c r="O6" s="103">
        <f t="shared" si="11"/>
        <v>7</v>
      </c>
      <c r="P6" s="626" t="str">
        <f t="shared" si="12"/>
        <v/>
      </c>
      <c r="Q6" s="627">
        <f t="shared" si="13"/>
        <v>0</v>
      </c>
      <c r="R6" s="626" t="str">
        <f t="shared" si="14"/>
        <v/>
      </c>
      <c r="S6" s="627">
        <f t="shared" si="15"/>
        <v>0</v>
      </c>
      <c r="T6" s="102" t="str">
        <f t="shared" si="16"/>
        <v/>
      </c>
      <c r="U6" s="103">
        <f t="shared" si="17"/>
        <v>7</v>
      </c>
      <c r="V6" s="626" t="str">
        <f t="shared" si="18"/>
        <v/>
      </c>
      <c r="W6" s="627">
        <f t="shared" si="19"/>
        <v>0</v>
      </c>
      <c r="X6" s="102" t="str">
        <f t="shared" si="20"/>
        <v/>
      </c>
      <c r="Y6" s="103">
        <f t="shared" si="21"/>
        <v>7</v>
      </c>
    </row>
    <row r="7" spans="1:27" s="47" customFormat="1" ht="11.25">
      <c r="A7" s="48">
        <f t="shared" si="22"/>
        <v>5</v>
      </c>
      <c r="B7" s="626" t="str">
        <f t="shared" si="0"/>
        <v/>
      </c>
      <c r="C7" s="627">
        <f t="shared" si="1"/>
        <v>0</v>
      </c>
      <c r="D7" s="626" t="str">
        <f t="shared" si="2"/>
        <v/>
      </c>
      <c r="E7" s="627">
        <f t="shared" si="1"/>
        <v>0</v>
      </c>
      <c r="F7" s="102" t="str">
        <f t="shared" si="3"/>
        <v/>
      </c>
      <c r="G7" s="103">
        <f t="shared" si="1"/>
        <v>7</v>
      </c>
      <c r="H7" s="626" t="str">
        <f t="shared" si="4"/>
        <v/>
      </c>
      <c r="I7" s="627">
        <f t="shared" si="5"/>
        <v>0</v>
      </c>
      <c r="J7" s="626" t="str">
        <f t="shared" si="6"/>
        <v/>
      </c>
      <c r="K7" s="627">
        <f t="shared" si="7"/>
        <v>0</v>
      </c>
      <c r="L7" s="626" t="str">
        <f t="shared" si="8"/>
        <v/>
      </c>
      <c r="M7" s="627">
        <f t="shared" si="9"/>
        <v>0</v>
      </c>
      <c r="N7" s="626" t="str">
        <f t="shared" si="10"/>
        <v/>
      </c>
      <c r="O7" s="627">
        <f t="shared" si="11"/>
        <v>0</v>
      </c>
      <c r="P7" s="626" t="str">
        <f t="shared" si="12"/>
        <v/>
      </c>
      <c r="Q7" s="627">
        <f t="shared" si="13"/>
        <v>0</v>
      </c>
      <c r="R7" s="102" t="str">
        <f t="shared" si="14"/>
        <v/>
      </c>
      <c r="S7" s="103">
        <f t="shared" si="15"/>
        <v>7</v>
      </c>
      <c r="T7" s="626" t="str">
        <f t="shared" si="16"/>
        <v/>
      </c>
      <c r="U7" s="627">
        <f t="shared" si="17"/>
        <v>0</v>
      </c>
      <c r="V7" s="626" t="str">
        <f t="shared" si="18"/>
        <v/>
      </c>
      <c r="W7" s="627">
        <f t="shared" si="19"/>
        <v>0</v>
      </c>
      <c r="X7" s="102" t="str">
        <f t="shared" si="20"/>
        <v/>
      </c>
      <c r="Y7" s="103">
        <f t="shared" si="21"/>
        <v>7</v>
      </c>
      <c r="AA7" s="141" t="s">
        <v>82</v>
      </c>
    </row>
    <row r="8" spans="1:27" s="47" customFormat="1" ht="11.25">
      <c r="A8" s="48">
        <f t="shared" si="22"/>
        <v>6</v>
      </c>
      <c r="B8" s="626" t="str">
        <f t="shared" si="0"/>
        <v/>
      </c>
      <c r="C8" s="627">
        <f t="shared" si="1"/>
        <v>0</v>
      </c>
      <c r="D8" s="626" t="str">
        <f t="shared" si="2"/>
        <v/>
      </c>
      <c r="E8" s="627">
        <f t="shared" si="1"/>
        <v>0</v>
      </c>
      <c r="F8" s="102" t="str">
        <f t="shared" si="3"/>
        <v/>
      </c>
      <c r="G8" s="103">
        <f t="shared" si="1"/>
        <v>7</v>
      </c>
      <c r="H8" s="100" t="str">
        <f t="shared" si="4"/>
        <v/>
      </c>
      <c r="I8" s="101">
        <f t="shared" si="5"/>
        <v>8</v>
      </c>
      <c r="J8" s="102" t="str">
        <f t="shared" si="6"/>
        <v/>
      </c>
      <c r="K8" s="103">
        <f t="shared" si="7"/>
        <v>7</v>
      </c>
      <c r="L8" s="102" t="str">
        <f t="shared" si="8"/>
        <v/>
      </c>
      <c r="M8" s="103">
        <f t="shared" si="9"/>
        <v>7</v>
      </c>
      <c r="N8" s="626" t="str">
        <f t="shared" si="10"/>
        <v/>
      </c>
      <c r="O8" s="627">
        <f t="shared" si="11"/>
        <v>0</v>
      </c>
      <c r="P8" s="100" t="str">
        <f t="shared" si="12"/>
        <v/>
      </c>
      <c r="Q8" s="101">
        <f t="shared" si="13"/>
        <v>8</v>
      </c>
      <c r="R8" s="102" t="str">
        <f t="shared" si="14"/>
        <v/>
      </c>
      <c r="S8" s="103">
        <f t="shared" si="15"/>
        <v>7</v>
      </c>
      <c r="T8" s="626" t="str">
        <f t="shared" si="16"/>
        <v/>
      </c>
      <c r="U8" s="627">
        <f t="shared" si="17"/>
        <v>0</v>
      </c>
      <c r="V8" s="626" t="str">
        <f t="shared" si="18"/>
        <v/>
      </c>
      <c r="W8" s="627">
        <f t="shared" si="19"/>
        <v>0</v>
      </c>
      <c r="X8" s="626" t="str">
        <f t="shared" si="20"/>
        <v/>
      </c>
      <c r="Y8" s="627">
        <f t="shared" si="21"/>
        <v>0</v>
      </c>
      <c r="AA8" s="47" t="str">
        <f>B_Department</f>
        <v>Siemens</v>
      </c>
    </row>
    <row r="9" spans="1:27" s="47" customFormat="1" ht="11.25">
      <c r="A9" s="48">
        <f t="shared" si="22"/>
        <v>7</v>
      </c>
      <c r="B9" s="626" t="str">
        <f t="shared" si="0"/>
        <v/>
      </c>
      <c r="C9" s="627">
        <f t="shared" si="1"/>
        <v>0</v>
      </c>
      <c r="D9" s="102" t="str">
        <f t="shared" si="2"/>
        <v/>
      </c>
      <c r="E9" s="103">
        <f t="shared" si="1"/>
        <v>7</v>
      </c>
      <c r="F9" s="626" t="str">
        <f t="shared" si="3"/>
        <v/>
      </c>
      <c r="G9" s="627">
        <f t="shared" si="1"/>
        <v>0</v>
      </c>
      <c r="H9" s="626" t="str">
        <f t="shared" si="4"/>
        <v/>
      </c>
      <c r="I9" s="627">
        <f t="shared" si="5"/>
        <v>0</v>
      </c>
      <c r="J9" s="102" t="str">
        <f t="shared" si="6"/>
        <v/>
      </c>
      <c r="K9" s="103">
        <f t="shared" si="7"/>
        <v>7</v>
      </c>
      <c r="L9" s="102" t="str">
        <f t="shared" si="8"/>
        <v/>
      </c>
      <c r="M9" s="103">
        <f t="shared" si="9"/>
        <v>7</v>
      </c>
      <c r="N9" s="626" t="str">
        <f t="shared" si="10"/>
        <v/>
      </c>
      <c r="O9" s="627">
        <f t="shared" si="11"/>
        <v>0</v>
      </c>
      <c r="P9" s="626" t="str">
        <f t="shared" si="12"/>
        <v/>
      </c>
      <c r="Q9" s="627">
        <f t="shared" si="13"/>
        <v>0</v>
      </c>
      <c r="R9" s="626" t="str">
        <f t="shared" si="14"/>
        <v/>
      </c>
      <c r="S9" s="627">
        <f t="shared" si="15"/>
        <v>0</v>
      </c>
      <c r="T9" s="626" t="str">
        <f t="shared" si="16"/>
        <v/>
      </c>
      <c r="U9" s="627">
        <f t="shared" si="17"/>
        <v>0</v>
      </c>
      <c r="V9" s="102" t="str">
        <f t="shared" si="18"/>
        <v/>
      </c>
      <c r="W9" s="103">
        <f t="shared" si="19"/>
        <v>7</v>
      </c>
      <c r="X9" s="626" t="str">
        <f t="shared" si="20"/>
        <v/>
      </c>
      <c r="Y9" s="627">
        <f t="shared" si="21"/>
        <v>0</v>
      </c>
    </row>
    <row r="10" spans="1:27" s="47" customFormat="1" ht="11.25">
      <c r="A10" s="48">
        <f t="shared" si="22"/>
        <v>8</v>
      </c>
      <c r="B10" s="626" t="str">
        <f t="shared" ref="B10:B33" si="23">IF(OR(ISERROR(C10),C10=""),"-",IF(OR(C10=K_ArbeitNormal,C10=K_ArbeitOverTime,C10=K_ArbeitOverMax),VLOOKUP(DATE(YEAR(C$2),MONTH(C$2),$A10),db_Jahr,gSP_KalZeit,FALSE),""))</f>
        <v/>
      </c>
      <c r="C10" s="627">
        <f t="shared" si="1"/>
        <v>0</v>
      </c>
      <c r="D10" s="102" t="str">
        <f t="shared" si="2"/>
        <v/>
      </c>
      <c r="E10" s="103">
        <f t="shared" si="1"/>
        <v>7</v>
      </c>
      <c r="F10" s="626" t="str">
        <f t="shared" si="3"/>
        <v/>
      </c>
      <c r="G10" s="627">
        <f t="shared" si="1"/>
        <v>0</v>
      </c>
      <c r="H10" s="626" t="str">
        <f t="shared" si="4"/>
        <v/>
      </c>
      <c r="I10" s="627">
        <f t="shared" si="5"/>
        <v>0</v>
      </c>
      <c r="J10" s="626" t="str">
        <f t="shared" si="6"/>
        <v/>
      </c>
      <c r="K10" s="627">
        <f t="shared" si="7"/>
        <v>0</v>
      </c>
      <c r="L10" s="626" t="str">
        <f t="shared" si="8"/>
        <v/>
      </c>
      <c r="M10" s="627">
        <f t="shared" si="9"/>
        <v>0</v>
      </c>
      <c r="N10" s="626" t="str">
        <f t="shared" si="10"/>
        <v/>
      </c>
      <c r="O10" s="627">
        <f t="shared" si="11"/>
        <v>0</v>
      </c>
      <c r="P10" s="102" t="str">
        <f t="shared" si="12"/>
        <v/>
      </c>
      <c r="Q10" s="103">
        <f t="shared" si="13"/>
        <v>7</v>
      </c>
      <c r="R10" s="626" t="str">
        <f t="shared" si="14"/>
        <v/>
      </c>
      <c r="S10" s="627">
        <f t="shared" si="15"/>
        <v>0</v>
      </c>
      <c r="T10" s="626" t="str">
        <f t="shared" si="16"/>
        <v/>
      </c>
      <c r="U10" s="627">
        <f t="shared" si="17"/>
        <v>0</v>
      </c>
      <c r="V10" s="102" t="str">
        <f t="shared" si="18"/>
        <v/>
      </c>
      <c r="W10" s="103">
        <f t="shared" si="19"/>
        <v>7</v>
      </c>
      <c r="X10" s="626" t="str">
        <f t="shared" si="20"/>
        <v/>
      </c>
      <c r="Y10" s="627">
        <f t="shared" si="21"/>
        <v>0</v>
      </c>
    </row>
    <row r="11" spans="1:27" s="47" customFormat="1" ht="11.25">
      <c r="A11" s="48">
        <f t="shared" si="22"/>
        <v>9</v>
      </c>
      <c r="B11" s="626" t="str">
        <f t="shared" si="23"/>
        <v/>
      </c>
      <c r="C11" s="627">
        <f t="shared" si="1"/>
        <v>0</v>
      </c>
      <c r="D11" s="626" t="str">
        <f t="shared" si="2"/>
        <v/>
      </c>
      <c r="E11" s="627">
        <f t="shared" si="1"/>
        <v>0</v>
      </c>
      <c r="F11" s="626" t="str">
        <f t="shared" si="3"/>
        <v/>
      </c>
      <c r="G11" s="627">
        <f t="shared" si="1"/>
        <v>0</v>
      </c>
      <c r="H11" s="102" t="str">
        <f t="shared" si="4"/>
        <v/>
      </c>
      <c r="I11" s="103">
        <f t="shared" si="5"/>
        <v>7</v>
      </c>
      <c r="J11" s="626" t="str">
        <f t="shared" si="6"/>
        <v/>
      </c>
      <c r="K11" s="627">
        <f t="shared" si="7"/>
        <v>0</v>
      </c>
      <c r="L11" s="626" t="str">
        <f t="shared" si="8"/>
        <v/>
      </c>
      <c r="M11" s="627">
        <f t="shared" si="9"/>
        <v>0</v>
      </c>
      <c r="N11" s="626" t="str">
        <f t="shared" si="10"/>
        <v/>
      </c>
      <c r="O11" s="627">
        <f t="shared" si="11"/>
        <v>0</v>
      </c>
      <c r="P11" s="102" t="str">
        <f t="shared" si="12"/>
        <v/>
      </c>
      <c r="Q11" s="103">
        <f t="shared" si="13"/>
        <v>7</v>
      </c>
      <c r="R11" s="626" t="str">
        <f t="shared" si="14"/>
        <v/>
      </c>
      <c r="S11" s="627">
        <f t="shared" si="15"/>
        <v>0</v>
      </c>
      <c r="T11" s="626" t="str">
        <f t="shared" si="16"/>
        <v/>
      </c>
      <c r="U11" s="627">
        <f t="shared" si="17"/>
        <v>0</v>
      </c>
      <c r="V11" s="626" t="str">
        <f t="shared" si="18"/>
        <v/>
      </c>
      <c r="W11" s="627">
        <f t="shared" si="19"/>
        <v>0</v>
      </c>
      <c r="X11" s="626" t="str">
        <f t="shared" si="20"/>
        <v/>
      </c>
      <c r="Y11" s="627">
        <f t="shared" si="21"/>
        <v>0</v>
      </c>
      <c r="AA11" s="93" t="s">
        <v>35</v>
      </c>
    </row>
    <row r="12" spans="1:27" s="47" customFormat="1" ht="11.25">
      <c r="A12" s="48">
        <f t="shared" si="22"/>
        <v>10</v>
      </c>
      <c r="B12" s="102" t="str">
        <f t="shared" si="23"/>
        <v/>
      </c>
      <c r="C12" s="103">
        <f t="shared" si="1"/>
        <v>7</v>
      </c>
      <c r="D12" s="626" t="str">
        <f t="shared" si="2"/>
        <v/>
      </c>
      <c r="E12" s="627">
        <f t="shared" si="1"/>
        <v>0</v>
      </c>
      <c r="F12" s="626" t="str">
        <f t="shared" si="3"/>
        <v/>
      </c>
      <c r="G12" s="627">
        <f t="shared" si="1"/>
        <v>0</v>
      </c>
      <c r="H12" s="102" t="str">
        <f t="shared" si="4"/>
        <v/>
      </c>
      <c r="I12" s="103">
        <f t="shared" si="5"/>
        <v>7</v>
      </c>
      <c r="J12" s="626" t="str">
        <f t="shared" si="6"/>
        <v/>
      </c>
      <c r="K12" s="627">
        <f t="shared" si="7"/>
        <v>0</v>
      </c>
      <c r="L12" s="626" t="str">
        <f t="shared" si="8"/>
        <v/>
      </c>
      <c r="M12" s="627">
        <f t="shared" si="9"/>
        <v>0</v>
      </c>
      <c r="N12" s="102" t="str">
        <f t="shared" si="10"/>
        <v/>
      </c>
      <c r="O12" s="103">
        <f t="shared" si="11"/>
        <v>7</v>
      </c>
      <c r="P12" s="626" t="str">
        <f t="shared" si="12"/>
        <v/>
      </c>
      <c r="Q12" s="627">
        <f t="shared" si="13"/>
        <v>0</v>
      </c>
      <c r="R12" s="626" t="str">
        <f t="shared" si="14"/>
        <v/>
      </c>
      <c r="S12" s="627">
        <f t="shared" si="15"/>
        <v>0</v>
      </c>
      <c r="T12" s="102" t="str">
        <f t="shared" si="16"/>
        <v/>
      </c>
      <c r="U12" s="103">
        <f t="shared" si="17"/>
        <v>7</v>
      </c>
      <c r="V12" s="626" t="str">
        <f t="shared" si="18"/>
        <v/>
      </c>
      <c r="W12" s="627">
        <f t="shared" si="19"/>
        <v>0</v>
      </c>
      <c r="X12" s="626" t="str">
        <f t="shared" si="20"/>
        <v/>
      </c>
      <c r="Y12" s="627">
        <f t="shared" si="21"/>
        <v>0</v>
      </c>
    </row>
    <row r="13" spans="1:27" s="47" customFormat="1" ht="11.25">
      <c r="A13" s="48">
        <f t="shared" si="22"/>
        <v>11</v>
      </c>
      <c r="B13" s="102" t="str">
        <f t="shared" si="23"/>
        <v/>
      </c>
      <c r="C13" s="103">
        <f t="shared" si="1"/>
        <v>7</v>
      </c>
      <c r="D13" s="626" t="str">
        <f t="shared" si="2"/>
        <v/>
      </c>
      <c r="E13" s="627">
        <f t="shared" si="1"/>
        <v>0</v>
      </c>
      <c r="F13" s="626" t="str">
        <f t="shared" si="3"/>
        <v/>
      </c>
      <c r="G13" s="627">
        <f t="shared" si="1"/>
        <v>0</v>
      </c>
      <c r="H13" s="626" t="str">
        <f t="shared" si="4"/>
        <v/>
      </c>
      <c r="I13" s="627">
        <f t="shared" si="5"/>
        <v>0</v>
      </c>
      <c r="J13" s="626" t="str">
        <f t="shared" si="6"/>
        <v/>
      </c>
      <c r="K13" s="627">
        <f t="shared" si="7"/>
        <v>0</v>
      </c>
      <c r="L13" s="626" t="str">
        <f t="shared" si="8"/>
        <v/>
      </c>
      <c r="M13" s="627">
        <f t="shared" si="9"/>
        <v>0</v>
      </c>
      <c r="N13" s="102" t="str">
        <f t="shared" si="10"/>
        <v/>
      </c>
      <c r="O13" s="103">
        <f t="shared" si="11"/>
        <v>7</v>
      </c>
      <c r="P13" s="626" t="str">
        <f t="shared" si="12"/>
        <v/>
      </c>
      <c r="Q13" s="627">
        <f t="shared" si="13"/>
        <v>0</v>
      </c>
      <c r="R13" s="626" t="str">
        <f t="shared" si="14"/>
        <v/>
      </c>
      <c r="S13" s="627">
        <f t="shared" si="15"/>
        <v>0</v>
      </c>
      <c r="T13" s="102" t="str">
        <f t="shared" si="16"/>
        <v/>
      </c>
      <c r="U13" s="103">
        <f t="shared" si="17"/>
        <v>7</v>
      </c>
      <c r="V13" s="626" t="str">
        <f t="shared" si="18"/>
        <v/>
      </c>
      <c r="W13" s="627">
        <f t="shared" si="19"/>
        <v>0</v>
      </c>
      <c r="X13" s="102" t="str">
        <f t="shared" si="20"/>
        <v/>
      </c>
      <c r="Y13" s="103">
        <f t="shared" si="21"/>
        <v>7</v>
      </c>
      <c r="AA13" s="94" t="s">
        <v>166</v>
      </c>
    </row>
    <row r="14" spans="1:27" s="47" customFormat="1" ht="11.25">
      <c r="A14" s="48">
        <f t="shared" si="22"/>
        <v>12</v>
      </c>
      <c r="B14" s="626" t="str">
        <f t="shared" si="23"/>
        <v/>
      </c>
      <c r="C14" s="627">
        <f t="shared" si="1"/>
        <v>0</v>
      </c>
      <c r="D14" s="626" t="str">
        <f t="shared" si="2"/>
        <v/>
      </c>
      <c r="E14" s="627">
        <f t="shared" si="1"/>
        <v>0</v>
      </c>
      <c r="F14" s="102" t="str">
        <f t="shared" si="3"/>
        <v/>
      </c>
      <c r="G14" s="103">
        <f t="shared" si="1"/>
        <v>7</v>
      </c>
      <c r="H14" s="626" t="str">
        <f t="shared" si="4"/>
        <v/>
      </c>
      <c r="I14" s="627">
        <f t="shared" si="5"/>
        <v>0</v>
      </c>
      <c r="J14" s="626" t="str">
        <f t="shared" si="6"/>
        <v/>
      </c>
      <c r="K14" s="627">
        <f t="shared" si="7"/>
        <v>0</v>
      </c>
      <c r="L14" s="626" t="str">
        <f t="shared" si="8"/>
        <v/>
      </c>
      <c r="M14" s="627">
        <f t="shared" si="9"/>
        <v>0</v>
      </c>
      <c r="N14" s="626" t="str">
        <f t="shared" si="10"/>
        <v/>
      </c>
      <c r="O14" s="627">
        <f t="shared" si="11"/>
        <v>0</v>
      </c>
      <c r="P14" s="626" t="str">
        <f t="shared" si="12"/>
        <v/>
      </c>
      <c r="Q14" s="627">
        <f t="shared" si="13"/>
        <v>0</v>
      </c>
      <c r="R14" s="102" t="str">
        <f t="shared" si="14"/>
        <v/>
      </c>
      <c r="S14" s="103">
        <f t="shared" si="15"/>
        <v>7</v>
      </c>
      <c r="T14" s="626" t="str">
        <f t="shared" si="16"/>
        <v/>
      </c>
      <c r="U14" s="627">
        <f t="shared" si="17"/>
        <v>0</v>
      </c>
      <c r="V14" s="626" t="str">
        <f t="shared" si="18"/>
        <v/>
      </c>
      <c r="W14" s="627">
        <f t="shared" si="19"/>
        <v>0</v>
      </c>
      <c r="X14" s="102" t="str">
        <f t="shared" si="20"/>
        <v/>
      </c>
      <c r="Y14" s="103">
        <f t="shared" si="21"/>
        <v>7</v>
      </c>
      <c r="AA14" s="95" t="s">
        <v>164</v>
      </c>
    </row>
    <row r="15" spans="1:27" s="47" customFormat="1" ht="11.25">
      <c r="A15" s="48">
        <f t="shared" si="22"/>
        <v>13</v>
      </c>
      <c r="B15" s="626" t="str">
        <f t="shared" si="23"/>
        <v/>
      </c>
      <c r="C15" s="627">
        <f t="shared" si="1"/>
        <v>0</v>
      </c>
      <c r="D15" s="626" t="str">
        <f t="shared" si="2"/>
        <v/>
      </c>
      <c r="E15" s="627">
        <f t="shared" si="1"/>
        <v>0</v>
      </c>
      <c r="F15" s="102" t="str">
        <f t="shared" si="3"/>
        <v/>
      </c>
      <c r="G15" s="103">
        <f t="shared" si="1"/>
        <v>7</v>
      </c>
      <c r="H15" s="626" t="str">
        <f t="shared" si="4"/>
        <v/>
      </c>
      <c r="I15" s="627">
        <f t="shared" si="5"/>
        <v>0</v>
      </c>
      <c r="J15" s="102" t="str">
        <f t="shared" si="6"/>
        <v/>
      </c>
      <c r="K15" s="103">
        <f t="shared" si="7"/>
        <v>7</v>
      </c>
      <c r="L15" s="102" t="str">
        <f t="shared" si="8"/>
        <v/>
      </c>
      <c r="M15" s="103">
        <f t="shared" si="9"/>
        <v>7</v>
      </c>
      <c r="N15" s="626" t="str">
        <f t="shared" si="10"/>
        <v/>
      </c>
      <c r="O15" s="627">
        <f t="shared" si="11"/>
        <v>0</v>
      </c>
      <c r="P15" s="626" t="str">
        <f t="shared" si="12"/>
        <v/>
      </c>
      <c r="Q15" s="627">
        <f t="shared" si="13"/>
        <v>0</v>
      </c>
      <c r="R15" s="102" t="str">
        <f t="shared" si="14"/>
        <v/>
      </c>
      <c r="S15" s="103">
        <f t="shared" si="15"/>
        <v>7</v>
      </c>
      <c r="T15" s="626" t="str">
        <f t="shared" si="16"/>
        <v/>
      </c>
      <c r="U15" s="627">
        <f t="shared" si="17"/>
        <v>0</v>
      </c>
      <c r="V15" s="626" t="str">
        <f t="shared" si="18"/>
        <v/>
      </c>
      <c r="W15" s="627">
        <f t="shared" si="19"/>
        <v>0</v>
      </c>
      <c r="X15" s="626" t="str">
        <f t="shared" si="20"/>
        <v/>
      </c>
      <c r="Y15" s="627">
        <f t="shared" si="21"/>
        <v>0</v>
      </c>
    </row>
    <row r="16" spans="1:27" s="47" customFormat="1" ht="11.25">
      <c r="A16" s="48">
        <f t="shared" si="22"/>
        <v>14</v>
      </c>
      <c r="B16" s="626" t="str">
        <f t="shared" si="23"/>
        <v/>
      </c>
      <c r="C16" s="627">
        <f t="shared" si="1"/>
        <v>0</v>
      </c>
      <c r="D16" s="102" t="str">
        <f t="shared" si="2"/>
        <v/>
      </c>
      <c r="E16" s="103">
        <f t="shared" si="1"/>
        <v>7</v>
      </c>
      <c r="F16" s="626" t="str">
        <f t="shared" si="3"/>
        <v/>
      </c>
      <c r="G16" s="627">
        <f t="shared" si="1"/>
        <v>0</v>
      </c>
      <c r="H16" s="626" t="str">
        <f t="shared" si="4"/>
        <v/>
      </c>
      <c r="I16" s="627">
        <f t="shared" si="5"/>
        <v>0</v>
      </c>
      <c r="J16" s="102" t="str">
        <f t="shared" si="6"/>
        <v/>
      </c>
      <c r="K16" s="103">
        <f t="shared" si="7"/>
        <v>7</v>
      </c>
      <c r="L16" s="102" t="str">
        <f t="shared" si="8"/>
        <v/>
      </c>
      <c r="M16" s="103">
        <f t="shared" si="9"/>
        <v>7</v>
      </c>
      <c r="N16" s="626" t="str">
        <f t="shared" si="10"/>
        <v/>
      </c>
      <c r="O16" s="627">
        <f t="shared" si="11"/>
        <v>0</v>
      </c>
      <c r="P16" s="626" t="str">
        <f t="shared" si="12"/>
        <v/>
      </c>
      <c r="Q16" s="627">
        <f t="shared" si="13"/>
        <v>0</v>
      </c>
      <c r="R16" s="626" t="str">
        <f t="shared" si="14"/>
        <v/>
      </c>
      <c r="S16" s="627">
        <f t="shared" si="15"/>
        <v>0</v>
      </c>
      <c r="T16" s="626" t="str">
        <f t="shared" si="16"/>
        <v/>
      </c>
      <c r="U16" s="627">
        <f t="shared" si="17"/>
        <v>0</v>
      </c>
      <c r="V16" s="102" t="str">
        <f t="shared" si="18"/>
        <v/>
      </c>
      <c r="W16" s="103">
        <f t="shared" si="19"/>
        <v>7</v>
      </c>
      <c r="X16" s="626" t="str">
        <f t="shared" si="20"/>
        <v/>
      </c>
      <c r="Y16" s="627">
        <f t="shared" si="21"/>
        <v>0</v>
      </c>
      <c r="AA16" s="90" t="s">
        <v>36</v>
      </c>
    </row>
    <row r="17" spans="1:27" s="47" customFormat="1" ht="11.25">
      <c r="A17" s="48">
        <f t="shared" si="22"/>
        <v>15</v>
      </c>
      <c r="B17" s="626" t="str">
        <f t="shared" si="23"/>
        <v/>
      </c>
      <c r="C17" s="627">
        <f t="shared" si="1"/>
        <v>0</v>
      </c>
      <c r="D17" s="102" t="str">
        <f t="shared" si="2"/>
        <v/>
      </c>
      <c r="E17" s="103">
        <f t="shared" si="1"/>
        <v>7</v>
      </c>
      <c r="F17" s="626" t="str">
        <f t="shared" si="3"/>
        <v/>
      </c>
      <c r="G17" s="627">
        <f t="shared" si="1"/>
        <v>0</v>
      </c>
      <c r="H17" s="626" t="str">
        <f t="shared" si="4"/>
        <v/>
      </c>
      <c r="I17" s="627">
        <f t="shared" si="5"/>
        <v>0</v>
      </c>
      <c r="J17" s="626" t="str">
        <f t="shared" si="6"/>
        <v/>
      </c>
      <c r="K17" s="627">
        <f t="shared" si="7"/>
        <v>0</v>
      </c>
      <c r="L17" s="626" t="str">
        <f t="shared" si="8"/>
        <v/>
      </c>
      <c r="M17" s="627">
        <f t="shared" si="9"/>
        <v>0</v>
      </c>
      <c r="N17" s="626" t="str">
        <f t="shared" si="10"/>
        <v/>
      </c>
      <c r="O17" s="627">
        <f t="shared" si="11"/>
        <v>0</v>
      </c>
      <c r="P17" s="102" t="str">
        <f t="shared" si="12"/>
        <v/>
      </c>
      <c r="Q17" s="103">
        <f t="shared" si="13"/>
        <v>7</v>
      </c>
      <c r="R17" s="626" t="str">
        <f t="shared" si="14"/>
        <v/>
      </c>
      <c r="S17" s="627">
        <f t="shared" si="15"/>
        <v>0</v>
      </c>
      <c r="T17" s="626" t="str">
        <f t="shared" si="16"/>
        <v/>
      </c>
      <c r="U17" s="627">
        <f t="shared" si="17"/>
        <v>0</v>
      </c>
      <c r="V17" s="102" t="str">
        <f t="shared" si="18"/>
        <v/>
      </c>
      <c r="W17" s="103">
        <f t="shared" si="19"/>
        <v>7</v>
      </c>
      <c r="X17" s="626" t="str">
        <f t="shared" si="20"/>
        <v/>
      </c>
      <c r="Y17" s="627">
        <f t="shared" si="21"/>
        <v>0</v>
      </c>
      <c r="AA17" s="91" t="s">
        <v>38</v>
      </c>
    </row>
    <row r="18" spans="1:27" s="47" customFormat="1" ht="11.25">
      <c r="A18" s="48">
        <f t="shared" si="22"/>
        <v>16</v>
      </c>
      <c r="B18" s="626" t="str">
        <f t="shared" si="23"/>
        <v/>
      </c>
      <c r="C18" s="627">
        <f t="shared" si="1"/>
        <v>0</v>
      </c>
      <c r="D18" s="626" t="str">
        <f t="shared" si="2"/>
        <v/>
      </c>
      <c r="E18" s="627">
        <f t="shared" si="1"/>
        <v>0</v>
      </c>
      <c r="F18" s="626" t="str">
        <f t="shared" si="3"/>
        <v/>
      </c>
      <c r="G18" s="627">
        <f t="shared" si="1"/>
        <v>0</v>
      </c>
      <c r="H18" s="102" t="str">
        <f t="shared" si="4"/>
        <v/>
      </c>
      <c r="I18" s="103">
        <f t="shared" si="5"/>
        <v>7</v>
      </c>
      <c r="J18" s="626" t="str">
        <f t="shared" si="6"/>
        <v/>
      </c>
      <c r="K18" s="627">
        <f t="shared" si="7"/>
        <v>0</v>
      </c>
      <c r="L18" s="626" t="str">
        <f t="shared" si="8"/>
        <v/>
      </c>
      <c r="M18" s="627">
        <f t="shared" si="9"/>
        <v>0</v>
      </c>
      <c r="N18" s="626" t="str">
        <f t="shared" si="10"/>
        <v/>
      </c>
      <c r="O18" s="627">
        <f t="shared" si="11"/>
        <v>0</v>
      </c>
      <c r="P18" s="100" t="str">
        <f t="shared" si="12"/>
        <v/>
      </c>
      <c r="Q18" s="101">
        <f t="shared" si="13"/>
        <v>8</v>
      </c>
      <c r="R18" s="626" t="str">
        <f t="shared" si="14"/>
        <v/>
      </c>
      <c r="S18" s="627">
        <f t="shared" si="15"/>
        <v>0</v>
      </c>
      <c r="T18" s="626" t="str">
        <f t="shared" si="16"/>
        <v/>
      </c>
      <c r="U18" s="627">
        <f t="shared" si="17"/>
        <v>0</v>
      </c>
      <c r="V18" s="626" t="str">
        <f t="shared" si="18"/>
        <v/>
      </c>
      <c r="W18" s="627">
        <f t="shared" si="19"/>
        <v>0</v>
      </c>
      <c r="X18" s="626" t="str">
        <f t="shared" si="20"/>
        <v/>
      </c>
      <c r="Y18" s="627">
        <f t="shared" si="21"/>
        <v>0</v>
      </c>
      <c r="AA18" s="92" t="s">
        <v>37</v>
      </c>
    </row>
    <row r="19" spans="1:27" s="47" customFormat="1" ht="11.25">
      <c r="A19" s="48">
        <f t="shared" si="22"/>
        <v>17</v>
      </c>
      <c r="B19" s="102" t="str">
        <f t="shared" si="23"/>
        <v/>
      </c>
      <c r="C19" s="103">
        <f t="shared" si="1"/>
        <v>7</v>
      </c>
      <c r="D19" s="626" t="str">
        <f t="shared" si="2"/>
        <v/>
      </c>
      <c r="E19" s="627">
        <f t="shared" si="1"/>
        <v>0</v>
      </c>
      <c r="F19" s="626" t="str">
        <f t="shared" si="3"/>
        <v/>
      </c>
      <c r="G19" s="627">
        <f t="shared" si="1"/>
        <v>0</v>
      </c>
      <c r="H19" s="102" t="str">
        <f t="shared" si="4"/>
        <v/>
      </c>
      <c r="I19" s="103">
        <f t="shared" si="5"/>
        <v>7</v>
      </c>
      <c r="J19" s="626" t="str">
        <f t="shared" si="6"/>
        <v/>
      </c>
      <c r="K19" s="627">
        <f t="shared" si="7"/>
        <v>0</v>
      </c>
      <c r="L19" s="626" t="str">
        <f t="shared" si="8"/>
        <v/>
      </c>
      <c r="M19" s="627">
        <f t="shared" si="9"/>
        <v>0</v>
      </c>
      <c r="N19" s="102" t="str">
        <f t="shared" si="10"/>
        <v/>
      </c>
      <c r="O19" s="103">
        <f t="shared" si="11"/>
        <v>7</v>
      </c>
      <c r="P19" s="100" t="str">
        <f t="shared" si="12"/>
        <v/>
      </c>
      <c r="Q19" s="101">
        <f t="shared" si="13"/>
        <v>8</v>
      </c>
      <c r="R19" s="626" t="str">
        <f t="shared" si="14"/>
        <v/>
      </c>
      <c r="S19" s="627">
        <f t="shared" si="15"/>
        <v>0</v>
      </c>
      <c r="T19" s="102" t="str">
        <f t="shared" si="16"/>
        <v/>
      </c>
      <c r="U19" s="103">
        <f t="shared" si="17"/>
        <v>7</v>
      </c>
      <c r="V19" s="626" t="str">
        <f t="shared" si="18"/>
        <v/>
      </c>
      <c r="W19" s="627">
        <f t="shared" si="19"/>
        <v>0</v>
      </c>
      <c r="X19" s="626" t="str">
        <f t="shared" si="20"/>
        <v/>
      </c>
      <c r="Y19" s="627">
        <f t="shared" si="21"/>
        <v>0</v>
      </c>
    </row>
    <row r="20" spans="1:27" s="47" customFormat="1" ht="11.25">
      <c r="A20" s="48">
        <f t="shared" si="22"/>
        <v>18</v>
      </c>
      <c r="B20" s="102" t="str">
        <f t="shared" si="23"/>
        <v/>
      </c>
      <c r="C20" s="103">
        <f t="shared" si="1"/>
        <v>7</v>
      </c>
      <c r="D20" s="626" t="str">
        <f t="shared" si="2"/>
        <v/>
      </c>
      <c r="E20" s="627">
        <f t="shared" si="1"/>
        <v>0</v>
      </c>
      <c r="F20" s="626" t="str">
        <f t="shared" si="3"/>
        <v/>
      </c>
      <c r="G20" s="627">
        <f t="shared" si="1"/>
        <v>0</v>
      </c>
      <c r="H20" s="626" t="str">
        <f t="shared" si="4"/>
        <v/>
      </c>
      <c r="I20" s="627">
        <f t="shared" si="5"/>
        <v>0</v>
      </c>
      <c r="J20" s="626" t="str">
        <f t="shared" si="6"/>
        <v/>
      </c>
      <c r="K20" s="627">
        <f t="shared" si="7"/>
        <v>0</v>
      </c>
      <c r="L20" s="626" t="str">
        <f t="shared" si="8"/>
        <v/>
      </c>
      <c r="M20" s="627">
        <f t="shared" si="9"/>
        <v>0</v>
      </c>
      <c r="N20" s="102" t="str">
        <f t="shared" si="10"/>
        <v/>
      </c>
      <c r="O20" s="103">
        <f t="shared" si="11"/>
        <v>7</v>
      </c>
      <c r="P20" s="626" t="str">
        <f t="shared" si="12"/>
        <v/>
      </c>
      <c r="Q20" s="627">
        <f t="shared" si="13"/>
        <v>0</v>
      </c>
      <c r="R20" s="626" t="str">
        <f t="shared" si="14"/>
        <v/>
      </c>
      <c r="S20" s="627">
        <f t="shared" si="15"/>
        <v>0</v>
      </c>
      <c r="T20" s="102" t="str">
        <f t="shared" si="16"/>
        <v/>
      </c>
      <c r="U20" s="103">
        <f t="shared" si="17"/>
        <v>7</v>
      </c>
      <c r="V20" s="626" t="str">
        <f t="shared" si="18"/>
        <v/>
      </c>
      <c r="W20" s="627">
        <f t="shared" si="19"/>
        <v>0</v>
      </c>
      <c r="X20" s="102" t="str">
        <f t="shared" si="20"/>
        <v/>
      </c>
      <c r="Y20" s="103">
        <f t="shared" si="21"/>
        <v>7</v>
      </c>
      <c r="AA20" s="139" t="s">
        <v>12</v>
      </c>
    </row>
    <row r="21" spans="1:27" s="47" customFormat="1" ht="11.25">
      <c r="A21" s="48">
        <f t="shared" si="22"/>
        <v>19</v>
      </c>
      <c r="B21" s="626" t="str">
        <f t="shared" si="23"/>
        <v/>
      </c>
      <c r="C21" s="627">
        <f t="shared" si="1"/>
        <v>0</v>
      </c>
      <c r="D21" s="626" t="str">
        <f t="shared" si="2"/>
        <v/>
      </c>
      <c r="E21" s="627">
        <f t="shared" si="1"/>
        <v>0</v>
      </c>
      <c r="F21" s="102" t="str">
        <f t="shared" si="3"/>
        <v/>
      </c>
      <c r="G21" s="103">
        <f t="shared" si="1"/>
        <v>7</v>
      </c>
      <c r="H21" s="626" t="str">
        <f t="shared" si="4"/>
        <v/>
      </c>
      <c r="I21" s="627">
        <f t="shared" si="5"/>
        <v>0</v>
      </c>
      <c r="J21" s="626" t="str">
        <f t="shared" si="6"/>
        <v/>
      </c>
      <c r="K21" s="627">
        <f t="shared" si="7"/>
        <v>0</v>
      </c>
      <c r="L21" s="626" t="str">
        <f t="shared" si="8"/>
        <v/>
      </c>
      <c r="M21" s="627">
        <f t="shared" si="9"/>
        <v>0</v>
      </c>
      <c r="N21" s="626" t="str">
        <f t="shared" si="10"/>
        <v/>
      </c>
      <c r="O21" s="627">
        <f t="shared" si="11"/>
        <v>0</v>
      </c>
      <c r="P21" s="626" t="str">
        <f t="shared" si="12"/>
        <v/>
      </c>
      <c r="Q21" s="627">
        <f t="shared" si="13"/>
        <v>0</v>
      </c>
      <c r="R21" s="102" t="str">
        <f t="shared" si="14"/>
        <v/>
      </c>
      <c r="S21" s="103">
        <f t="shared" si="15"/>
        <v>7</v>
      </c>
      <c r="T21" s="626" t="str">
        <f t="shared" si="16"/>
        <v/>
      </c>
      <c r="U21" s="627">
        <f t="shared" si="17"/>
        <v>0</v>
      </c>
      <c r="V21" s="626" t="str">
        <f t="shared" si="18"/>
        <v/>
      </c>
      <c r="W21" s="627">
        <f t="shared" si="19"/>
        <v>0</v>
      </c>
      <c r="X21" s="102" t="str">
        <f t="shared" si="20"/>
        <v/>
      </c>
      <c r="Y21" s="103">
        <f t="shared" si="21"/>
        <v>7</v>
      </c>
      <c r="AA21" s="285" t="s">
        <v>100</v>
      </c>
    </row>
    <row r="22" spans="1:27" s="47" customFormat="1" ht="11.25">
      <c r="A22" s="48">
        <f t="shared" si="22"/>
        <v>20</v>
      </c>
      <c r="B22" s="626" t="str">
        <f t="shared" si="23"/>
        <v/>
      </c>
      <c r="C22" s="627">
        <f t="shared" si="1"/>
        <v>0</v>
      </c>
      <c r="D22" s="626" t="str">
        <f t="shared" si="2"/>
        <v/>
      </c>
      <c r="E22" s="627">
        <f t="shared" si="1"/>
        <v>0</v>
      </c>
      <c r="F22" s="102" t="str">
        <f t="shared" si="3"/>
        <v/>
      </c>
      <c r="G22" s="103">
        <f t="shared" si="1"/>
        <v>7</v>
      </c>
      <c r="H22" s="626" t="str">
        <f t="shared" si="4"/>
        <v/>
      </c>
      <c r="I22" s="627">
        <f t="shared" si="5"/>
        <v>0</v>
      </c>
      <c r="J22" s="102" t="str">
        <f t="shared" si="6"/>
        <v/>
      </c>
      <c r="K22" s="103">
        <f t="shared" si="7"/>
        <v>7</v>
      </c>
      <c r="L22" s="102" t="str">
        <f t="shared" si="8"/>
        <v/>
      </c>
      <c r="M22" s="103">
        <f t="shared" si="9"/>
        <v>7</v>
      </c>
      <c r="N22" s="626" t="str">
        <f t="shared" si="10"/>
        <v/>
      </c>
      <c r="O22" s="627">
        <f t="shared" si="11"/>
        <v>0</v>
      </c>
      <c r="P22" s="626" t="str">
        <f t="shared" si="12"/>
        <v/>
      </c>
      <c r="Q22" s="627">
        <f t="shared" si="13"/>
        <v>0</v>
      </c>
      <c r="R22" s="102" t="str">
        <f t="shared" si="14"/>
        <v/>
      </c>
      <c r="S22" s="103">
        <f t="shared" si="15"/>
        <v>7</v>
      </c>
      <c r="T22" s="626" t="str">
        <f t="shared" si="16"/>
        <v/>
      </c>
      <c r="U22" s="627">
        <f t="shared" si="17"/>
        <v>0</v>
      </c>
      <c r="V22" s="626" t="str">
        <f t="shared" si="18"/>
        <v/>
      </c>
      <c r="W22" s="627">
        <f t="shared" si="19"/>
        <v>0</v>
      </c>
      <c r="X22" s="626" t="str">
        <f t="shared" si="20"/>
        <v/>
      </c>
      <c r="Y22" s="627">
        <f t="shared" si="21"/>
        <v>0</v>
      </c>
      <c r="AA22" s="96" t="s">
        <v>101</v>
      </c>
    </row>
    <row r="23" spans="1:27" s="47" customFormat="1" ht="11.25">
      <c r="A23" s="48">
        <f t="shared" si="22"/>
        <v>21</v>
      </c>
      <c r="B23" s="626" t="str">
        <f t="shared" si="23"/>
        <v/>
      </c>
      <c r="C23" s="627">
        <f t="shared" si="1"/>
        <v>0</v>
      </c>
      <c r="D23" s="102" t="str">
        <f t="shared" si="2"/>
        <v/>
      </c>
      <c r="E23" s="103">
        <f t="shared" si="1"/>
        <v>7</v>
      </c>
      <c r="F23" s="626" t="str">
        <f t="shared" si="3"/>
        <v/>
      </c>
      <c r="G23" s="627">
        <f t="shared" si="1"/>
        <v>0</v>
      </c>
      <c r="H23" s="626" t="str">
        <f t="shared" si="4"/>
        <v/>
      </c>
      <c r="I23" s="627">
        <f t="shared" si="5"/>
        <v>0</v>
      </c>
      <c r="J23" s="102" t="str">
        <f t="shared" si="6"/>
        <v/>
      </c>
      <c r="K23" s="103">
        <f t="shared" si="7"/>
        <v>7</v>
      </c>
      <c r="L23" s="102" t="str">
        <f t="shared" si="8"/>
        <v/>
      </c>
      <c r="M23" s="103">
        <f t="shared" si="9"/>
        <v>7</v>
      </c>
      <c r="N23" s="626" t="str">
        <f t="shared" si="10"/>
        <v/>
      </c>
      <c r="O23" s="627">
        <f t="shared" si="11"/>
        <v>0</v>
      </c>
      <c r="P23" s="626" t="str">
        <f t="shared" si="12"/>
        <v/>
      </c>
      <c r="Q23" s="627">
        <f t="shared" si="13"/>
        <v>0</v>
      </c>
      <c r="R23" s="626" t="str">
        <f t="shared" si="14"/>
        <v/>
      </c>
      <c r="S23" s="627">
        <f t="shared" si="15"/>
        <v>0</v>
      </c>
      <c r="T23" s="626" t="str">
        <f t="shared" si="16"/>
        <v/>
      </c>
      <c r="U23" s="627">
        <f t="shared" si="17"/>
        <v>0</v>
      </c>
      <c r="V23" s="102" t="str">
        <f t="shared" si="18"/>
        <v/>
      </c>
      <c r="W23" s="103">
        <f t="shared" si="19"/>
        <v>7</v>
      </c>
      <c r="X23" s="626" t="str">
        <f t="shared" si="20"/>
        <v/>
      </c>
      <c r="Y23" s="627">
        <f t="shared" si="21"/>
        <v>0</v>
      </c>
    </row>
    <row r="24" spans="1:27" s="47" customFormat="1" ht="11.25">
      <c r="A24" s="48">
        <f t="shared" si="22"/>
        <v>22</v>
      </c>
      <c r="B24" s="626" t="str">
        <f t="shared" si="23"/>
        <v/>
      </c>
      <c r="C24" s="627">
        <f t="shared" si="1"/>
        <v>0</v>
      </c>
      <c r="D24" s="102" t="str">
        <f t="shared" si="2"/>
        <v/>
      </c>
      <c r="E24" s="103">
        <f t="shared" si="1"/>
        <v>7</v>
      </c>
      <c r="F24" s="626" t="str">
        <f t="shared" si="3"/>
        <v/>
      </c>
      <c r="G24" s="627">
        <f t="shared" si="1"/>
        <v>0</v>
      </c>
      <c r="H24" s="626" t="str">
        <f t="shared" si="4"/>
        <v/>
      </c>
      <c r="I24" s="627">
        <f t="shared" si="5"/>
        <v>0</v>
      </c>
      <c r="J24" s="626" t="str">
        <f t="shared" si="6"/>
        <v/>
      </c>
      <c r="K24" s="627">
        <f t="shared" si="7"/>
        <v>0</v>
      </c>
      <c r="L24" s="626" t="str">
        <f t="shared" si="8"/>
        <v/>
      </c>
      <c r="M24" s="627">
        <f t="shared" si="9"/>
        <v>0</v>
      </c>
      <c r="N24" s="626" t="str">
        <f t="shared" si="10"/>
        <v/>
      </c>
      <c r="O24" s="627">
        <f t="shared" si="11"/>
        <v>0</v>
      </c>
      <c r="P24" s="102" t="str">
        <f t="shared" si="12"/>
        <v/>
      </c>
      <c r="Q24" s="103">
        <f t="shared" si="13"/>
        <v>7</v>
      </c>
      <c r="R24" s="626" t="str">
        <f t="shared" si="14"/>
        <v/>
      </c>
      <c r="S24" s="627">
        <f t="shared" si="15"/>
        <v>0</v>
      </c>
      <c r="T24" s="626" t="str">
        <f t="shared" si="16"/>
        <v/>
      </c>
      <c r="U24" s="627">
        <f t="shared" si="17"/>
        <v>0</v>
      </c>
      <c r="V24" s="102" t="str">
        <f t="shared" si="18"/>
        <v/>
      </c>
      <c r="W24" s="103">
        <f t="shared" si="19"/>
        <v>7</v>
      </c>
      <c r="X24" s="626" t="str">
        <f t="shared" si="20"/>
        <v/>
      </c>
      <c r="Y24" s="627">
        <f t="shared" si="21"/>
        <v>0</v>
      </c>
      <c r="AA24" s="284" t="s">
        <v>39</v>
      </c>
    </row>
    <row r="25" spans="1:27" s="47" customFormat="1" ht="11.25">
      <c r="A25" s="48">
        <f t="shared" si="22"/>
        <v>23</v>
      </c>
      <c r="B25" s="626" t="str">
        <f t="shared" si="23"/>
        <v/>
      </c>
      <c r="C25" s="627">
        <f t="shared" si="1"/>
        <v>0</v>
      </c>
      <c r="D25" s="626" t="str">
        <f t="shared" si="2"/>
        <v/>
      </c>
      <c r="E25" s="627">
        <f t="shared" si="1"/>
        <v>0</v>
      </c>
      <c r="F25" s="626" t="str">
        <f t="shared" si="3"/>
        <v/>
      </c>
      <c r="G25" s="627">
        <f t="shared" si="1"/>
        <v>0</v>
      </c>
      <c r="H25" s="102" t="str">
        <f t="shared" si="4"/>
        <v/>
      </c>
      <c r="I25" s="103">
        <f t="shared" si="5"/>
        <v>7</v>
      </c>
      <c r="J25" s="626" t="str">
        <f t="shared" si="6"/>
        <v/>
      </c>
      <c r="K25" s="627">
        <f t="shared" si="7"/>
        <v>0</v>
      </c>
      <c r="L25" s="626" t="str">
        <f t="shared" si="8"/>
        <v/>
      </c>
      <c r="M25" s="627">
        <f t="shared" si="9"/>
        <v>0</v>
      </c>
      <c r="N25" s="626" t="str">
        <f t="shared" si="10"/>
        <v/>
      </c>
      <c r="O25" s="627">
        <f t="shared" si="11"/>
        <v>0</v>
      </c>
      <c r="P25" s="102" t="str">
        <f t="shared" si="12"/>
        <v/>
      </c>
      <c r="Q25" s="103">
        <f t="shared" si="13"/>
        <v>7</v>
      </c>
      <c r="R25" s="626" t="str">
        <f t="shared" si="14"/>
        <v/>
      </c>
      <c r="S25" s="627">
        <f t="shared" si="15"/>
        <v>0</v>
      </c>
      <c r="T25" s="626" t="str">
        <f t="shared" si="16"/>
        <v/>
      </c>
      <c r="U25" s="627">
        <f t="shared" si="17"/>
        <v>0</v>
      </c>
      <c r="V25" s="626" t="str">
        <f t="shared" si="18"/>
        <v/>
      </c>
      <c r="W25" s="627">
        <f t="shared" si="19"/>
        <v>0</v>
      </c>
      <c r="X25" s="626" t="str">
        <f t="shared" si="20"/>
        <v/>
      </c>
      <c r="Y25" s="627">
        <f t="shared" si="21"/>
        <v>0</v>
      </c>
    </row>
    <row r="26" spans="1:27" s="47" customFormat="1" ht="11.25">
      <c r="A26" s="48">
        <f t="shared" si="22"/>
        <v>24</v>
      </c>
      <c r="B26" s="102" t="str">
        <f t="shared" si="23"/>
        <v/>
      </c>
      <c r="C26" s="103">
        <f t="shared" si="1"/>
        <v>7</v>
      </c>
      <c r="D26" s="626" t="str">
        <f t="shared" si="2"/>
        <v/>
      </c>
      <c r="E26" s="627">
        <f t="shared" si="1"/>
        <v>0</v>
      </c>
      <c r="F26" s="626" t="str">
        <f t="shared" si="3"/>
        <v/>
      </c>
      <c r="G26" s="627">
        <f t="shared" si="1"/>
        <v>0</v>
      </c>
      <c r="H26" s="102" t="str">
        <f t="shared" si="4"/>
        <v/>
      </c>
      <c r="I26" s="103">
        <f t="shared" si="5"/>
        <v>7</v>
      </c>
      <c r="J26" s="626" t="str">
        <f t="shared" si="6"/>
        <v/>
      </c>
      <c r="K26" s="627">
        <f t="shared" si="7"/>
        <v>0</v>
      </c>
      <c r="L26" s="626" t="str">
        <f t="shared" si="8"/>
        <v/>
      </c>
      <c r="M26" s="627">
        <f t="shared" si="9"/>
        <v>0</v>
      </c>
      <c r="N26" s="102" t="str">
        <f t="shared" si="10"/>
        <v/>
      </c>
      <c r="O26" s="103">
        <f t="shared" si="11"/>
        <v>7</v>
      </c>
      <c r="P26" s="626" t="str">
        <f t="shared" si="12"/>
        <v/>
      </c>
      <c r="Q26" s="627">
        <f t="shared" si="13"/>
        <v>0</v>
      </c>
      <c r="R26" s="626" t="str">
        <f t="shared" si="14"/>
        <v/>
      </c>
      <c r="S26" s="627">
        <f t="shared" si="15"/>
        <v>0</v>
      </c>
      <c r="T26" s="102" t="str">
        <f t="shared" si="16"/>
        <v/>
      </c>
      <c r="U26" s="103">
        <f t="shared" si="17"/>
        <v>7</v>
      </c>
      <c r="V26" s="626" t="str">
        <f t="shared" si="18"/>
        <v/>
      </c>
      <c r="W26" s="627">
        <f t="shared" si="19"/>
        <v>0</v>
      </c>
      <c r="X26" s="626" t="str">
        <f t="shared" si="20"/>
        <v/>
      </c>
      <c r="Y26" s="627">
        <f t="shared" si="21"/>
        <v>0</v>
      </c>
    </row>
    <row r="27" spans="1:27" s="47" customFormat="1" ht="11.25">
      <c r="A27" s="48">
        <f t="shared" si="22"/>
        <v>25</v>
      </c>
      <c r="B27" s="102" t="str">
        <f t="shared" si="23"/>
        <v/>
      </c>
      <c r="C27" s="103">
        <f t="shared" si="1"/>
        <v>7</v>
      </c>
      <c r="D27" s="626" t="str">
        <f t="shared" si="2"/>
        <v/>
      </c>
      <c r="E27" s="627">
        <f t="shared" si="1"/>
        <v>0</v>
      </c>
      <c r="F27" s="100" t="str">
        <f t="shared" si="3"/>
        <v/>
      </c>
      <c r="G27" s="101">
        <f t="shared" si="1"/>
        <v>8</v>
      </c>
      <c r="H27" s="626" t="str">
        <f t="shared" si="4"/>
        <v/>
      </c>
      <c r="I27" s="627">
        <f t="shared" si="5"/>
        <v>0</v>
      </c>
      <c r="J27" s="626" t="str">
        <f t="shared" si="6"/>
        <v/>
      </c>
      <c r="K27" s="627">
        <f t="shared" si="7"/>
        <v>0</v>
      </c>
      <c r="L27" s="626" t="str">
        <f t="shared" si="8"/>
        <v/>
      </c>
      <c r="M27" s="627">
        <f t="shared" si="9"/>
        <v>0</v>
      </c>
      <c r="N27" s="102" t="str">
        <f t="shared" si="10"/>
        <v/>
      </c>
      <c r="O27" s="103">
        <f t="shared" si="11"/>
        <v>7</v>
      </c>
      <c r="P27" s="626" t="str">
        <f t="shared" si="12"/>
        <v/>
      </c>
      <c r="Q27" s="627">
        <f t="shared" si="13"/>
        <v>0</v>
      </c>
      <c r="R27" s="626" t="str">
        <f t="shared" si="14"/>
        <v/>
      </c>
      <c r="S27" s="627">
        <f t="shared" si="15"/>
        <v>0</v>
      </c>
      <c r="T27" s="102" t="str">
        <f t="shared" si="16"/>
        <v/>
      </c>
      <c r="U27" s="103">
        <f t="shared" si="17"/>
        <v>7</v>
      </c>
      <c r="V27" s="626" t="str">
        <f t="shared" si="18"/>
        <v/>
      </c>
      <c r="W27" s="627">
        <f t="shared" si="19"/>
        <v>0</v>
      </c>
      <c r="X27" s="102" t="str">
        <f t="shared" si="20"/>
        <v/>
      </c>
      <c r="Y27" s="103">
        <f t="shared" si="21"/>
        <v>7</v>
      </c>
    </row>
    <row r="28" spans="1:27" s="47" customFormat="1" ht="11.25">
      <c r="A28" s="48">
        <f t="shared" si="22"/>
        <v>26</v>
      </c>
      <c r="B28" s="626" t="str">
        <f t="shared" si="23"/>
        <v/>
      </c>
      <c r="C28" s="627">
        <f t="shared" si="1"/>
        <v>0</v>
      </c>
      <c r="D28" s="626" t="str">
        <f t="shared" si="2"/>
        <v/>
      </c>
      <c r="E28" s="627">
        <f t="shared" si="1"/>
        <v>0</v>
      </c>
      <c r="F28" s="100" t="str">
        <f t="shared" si="3"/>
        <v/>
      </c>
      <c r="G28" s="101">
        <f t="shared" si="1"/>
        <v>8</v>
      </c>
      <c r="H28" s="626" t="str">
        <f t="shared" si="4"/>
        <v/>
      </c>
      <c r="I28" s="627">
        <f t="shared" si="5"/>
        <v>0</v>
      </c>
      <c r="J28" s="626" t="str">
        <f t="shared" si="6"/>
        <v/>
      </c>
      <c r="K28" s="627">
        <f t="shared" si="7"/>
        <v>0</v>
      </c>
      <c r="L28" s="100" t="str">
        <f t="shared" si="8"/>
        <v/>
      </c>
      <c r="M28" s="101">
        <f t="shared" si="9"/>
        <v>8</v>
      </c>
      <c r="N28" s="626" t="str">
        <f t="shared" si="10"/>
        <v/>
      </c>
      <c r="O28" s="627">
        <f t="shared" si="11"/>
        <v>0</v>
      </c>
      <c r="P28" s="626" t="str">
        <f t="shared" si="12"/>
        <v/>
      </c>
      <c r="Q28" s="627">
        <f t="shared" si="13"/>
        <v>0</v>
      </c>
      <c r="R28" s="102" t="str">
        <f t="shared" si="14"/>
        <v/>
      </c>
      <c r="S28" s="103">
        <f t="shared" si="15"/>
        <v>7</v>
      </c>
      <c r="T28" s="626" t="str">
        <f t="shared" si="16"/>
        <v/>
      </c>
      <c r="U28" s="627">
        <f t="shared" si="17"/>
        <v>0</v>
      </c>
      <c r="V28" s="626" t="str">
        <f t="shared" si="18"/>
        <v/>
      </c>
      <c r="W28" s="627">
        <f t="shared" si="19"/>
        <v>0</v>
      </c>
      <c r="X28" s="102" t="str">
        <f t="shared" si="20"/>
        <v/>
      </c>
      <c r="Y28" s="103">
        <f t="shared" si="21"/>
        <v>7</v>
      </c>
    </row>
    <row r="29" spans="1:27" s="47" customFormat="1" ht="11.25">
      <c r="A29" s="48">
        <f t="shared" si="22"/>
        <v>27</v>
      </c>
      <c r="B29" s="626" t="str">
        <f t="shared" si="23"/>
        <v/>
      </c>
      <c r="C29" s="627">
        <f t="shared" si="1"/>
        <v>0</v>
      </c>
      <c r="D29" s="626" t="str">
        <f t="shared" si="2"/>
        <v/>
      </c>
      <c r="E29" s="627">
        <f t="shared" si="1"/>
        <v>0</v>
      </c>
      <c r="F29" s="102" t="str">
        <f t="shared" si="3"/>
        <v/>
      </c>
      <c r="G29" s="103">
        <f t="shared" si="1"/>
        <v>7</v>
      </c>
      <c r="H29" s="626" t="str">
        <f t="shared" si="4"/>
        <v/>
      </c>
      <c r="I29" s="627">
        <f t="shared" si="5"/>
        <v>0</v>
      </c>
      <c r="J29" s="102" t="str">
        <f t="shared" si="6"/>
        <v/>
      </c>
      <c r="K29" s="103">
        <f t="shared" si="7"/>
        <v>7</v>
      </c>
      <c r="L29" s="102" t="str">
        <f t="shared" si="8"/>
        <v/>
      </c>
      <c r="M29" s="103">
        <f t="shared" si="9"/>
        <v>7</v>
      </c>
      <c r="N29" s="626" t="str">
        <f t="shared" si="10"/>
        <v/>
      </c>
      <c r="O29" s="627">
        <f t="shared" si="11"/>
        <v>0</v>
      </c>
      <c r="P29" s="100" t="str">
        <f t="shared" si="12"/>
        <v/>
      </c>
      <c r="Q29" s="101">
        <f t="shared" si="13"/>
        <v>8</v>
      </c>
      <c r="R29" s="102" t="str">
        <f t="shared" si="14"/>
        <v/>
      </c>
      <c r="S29" s="103">
        <f t="shared" si="15"/>
        <v>7</v>
      </c>
      <c r="T29" s="626" t="str">
        <f t="shared" si="16"/>
        <v/>
      </c>
      <c r="U29" s="627">
        <f t="shared" si="17"/>
        <v>0</v>
      </c>
      <c r="V29" s="626" t="str">
        <f t="shared" si="18"/>
        <v/>
      </c>
      <c r="W29" s="627">
        <f t="shared" si="19"/>
        <v>0</v>
      </c>
      <c r="X29" s="626" t="str">
        <f t="shared" si="20"/>
        <v/>
      </c>
      <c r="Y29" s="627">
        <f t="shared" si="21"/>
        <v>0</v>
      </c>
    </row>
    <row r="30" spans="1:27" s="47" customFormat="1" ht="11.25">
      <c r="A30" s="48">
        <f t="shared" si="22"/>
        <v>28</v>
      </c>
      <c r="B30" s="626" t="str">
        <f t="shared" si="23"/>
        <v/>
      </c>
      <c r="C30" s="627">
        <f t="shared" si="1"/>
        <v>0</v>
      </c>
      <c r="D30" s="102" t="str">
        <f t="shared" si="2"/>
        <v/>
      </c>
      <c r="E30" s="103">
        <f t="shared" si="1"/>
        <v>7</v>
      </c>
      <c r="F30" s="626" t="str">
        <f t="shared" si="3"/>
        <v/>
      </c>
      <c r="G30" s="627">
        <f t="shared" si="1"/>
        <v>0</v>
      </c>
      <c r="H30" s="626" t="str">
        <f t="shared" si="4"/>
        <v/>
      </c>
      <c r="I30" s="627">
        <f t="shared" si="5"/>
        <v>0</v>
      </c>
      <c r="J30" s="102" t="str">
        <f t="shared" si="6"/>
        <v/>
      </c>
      <c r="K30" s="103">
        <f t="shared" si="7"/>
        <v>7</v>
      </c>
      <c r="L30" s="100" t="str">
        <f t="shared" si="8"/>
        <v/>
      </c>
      <c r="M30" s="101">
        <f t="shared" si="9"/>
        <v>8</v>
      </c>
      <c r="N30" s="626" t="str">
        <f t="shared" si="10"/>
        <v/>
      </c>
      <c r="O30" s="627">
        <f t="shared" si="11"/>
        <v>0</v>
      </c>
      <c r="P30" s="626" t="str">
        <f t="shared" si="12"/>
        <v/>
      </c>
      <c r="Q30" s="627">
        <f t="shared" si="13"/>
        <v>0</v>
      </c>
      <c r="R30" s="626" t="str">
        <f t="shared" si="14"/>
        <v/>
      </c>
      <c r="S30" s="627">
        <f t="shared" si="15"/>
        <v>0</v>
      </c>
      <c r="T30" s="626" t="str">
        <f t="shared" si="16"/>
        <v/>
      </c>
      <c r="U30" s="627">
        <f t="shared" si="17"/>
        <v>0</v>
      </c>
      <c r="V30" s="102" t="str">
        <f t="shared" si="18"/>
        <v/>
      </c>
      <c r="W30" s="103">
        <f t="shared" si="19"/>
        <v>7</v>
      </c>
      <c r="X30" s="626" t="str">
        <f t="shared" si="20"/>
        <v/>
      </c>
      <c r="Y30" s="627">
        <f t="shared" si="21"/>
        <v>0</v>
      </c>
    </row>
    <row r="31" spans="1:27" s="47" customFormat="1" ht="11.25">
      <c r="A31" s="48">
        <f t="shared" si="22"/>
        <v>29</v>
      </c>
      <c r="B31" s="626" t="str">
        <f t="shared" si="23"/>
        <v/>
      </c>
      <c r="C31" s="627">
        <f t="shared" si="1"/>
        <v>0</v>
      </c>
      <c r="D31" s="102" t="str">
        <f t="shared" si="2"/>
        <v/>
      </c>
      <c r="E31" s="103">
        <f t="shared" si="1"/>
        <v>7</v>
      </c>
      <c r="F31" s="626" t="str">
        <f t="shared" si="3"/>
        <v/>
      </c>
      <c r="G31" s="627">
        <f t="shared" si="1"/>
        <v>0</v>
      </c>
      <c r="H31" s="626" t="str">
        <f t="shared" si="4"/>
        <v/>
      </c>
      <c r="I31" s="627">
        <f t="shared" si="5"/>
        <v>0</v>
      </c>
      <c r="J31" s="99" t="str">
        <f t="shared" si="6"/>
        <v>-</v>
      </c>
      <c r="K31" s="579" t="str">
        <f t="shared" si="7"/>
        <v/>
      </c>
      <c r="L31" s="100" t="str">
        <f t="shared" si="8"/>
        <v/>
      </c>
      <c r="M31" s="101">
        <f t="shared" si="9"/>
        <v>8</v>
      </c>
      <c r="N31" s="626" t="str">
        <f t="shared" si="10"/>
        <v/>
      </c>
      <c r="O31" s="627">
        <f t="shared" si="11"/>
        <v>0</v>
      </c>
      <c r="P31" s="102" t="str">
        <f t="shared" si="12"/>
        <v/>
      </c>
      <c r="Q31" s="103">
        <f t="shared" si="13"/>
        <v>7</v>
      </c>
      <c r="R31" s="626" t="str">
        <f t="shared" si="14"/>
        <v/>
      </c>
      <c r="S31" s="627">
        <f t="shared" si="15"/>
        <v>0</v>
      </c>
      <c r="T31" s="626" t="str">
        <f t="shared" si="16"/>
        <v/>
      </c>
      <c r="U31" s="627">
        <f t="shared" si="17"/>
        <v>0</v>
      </c>
      <c r="V31" s="102" t="str">
        <f t="shared" si="18"/>
        <v/>
      </c>
      <c r="W31" s="103">
        <f t="shared" si="19"/>
        <v>7</v>
      </c>
      <c r="X31" s="626" t="str">
        <f t="shared" si="20"/>
        <v/>
      </c>
      <c r="Y31" s="627">
        <f t="shared" si="21"/>
        <v>0</v>
      </c>
    </row>
    <row r="32" spans="1:27" s="47" customFormat="1" ht="11.25">
      <c r="A32" s="48">
        <f t="shared" si="22"/>
        <v>30</v>
      </c>
      <c r="B32" s="626" t="str">
        <f t="shared" si="23"/>
        <v/>
      </c>
      <c r="C32" s="627">
        <f t="shared" si="1"/>
        <v>0</v>
      </c>
      <c r="D32" s="626" t="str">
        <f t="shared" si="2"/>
        <v/>
      </c>
      <c r="E32" s="627">
        <f t="shared" si="1"/>
        <v>0</v>
      </c>
      <c r="F32" s="626" t="str">
        <f t="shared" si="3"/>
        <v/>
      </c>
      <c r="G32" s="627">
        <f t="shared" si="1"/>
        <v>0</v>
      </c>
      <c r="H32" s="102" t="str">
        <f t="shared" si="4"/>
        <v/>
      </c>
      <c r="I32" s="103">
        <f t="shared" si="5"/>
        <v>7</v>
      </c>
      <c r="J32" s="99" t="str">
        <f t="shared" si="6"/>
        <v>-</v>
      </c>
      <c r="K32" s="579" t="str">
        <f t="shared" si="7"/>
        <v/>
      </c>
      <c r="L32" s="626" t="str">
        <f t="shared" si="8"/>
        <v/>
      </c>
      <c r="M32" s="627">
        <f t="shared" si="9"/>
        <v>0</v>
      </c>
      <c r="N32" s="626" t="str">
        <f t="shared" si="10"/>
        <v/>
      </c>
      <c r="O32" s="627">
        <f t="shared" si="11"/>
        <v>0</v>
      </c>
      <c r="P32" s="102" t="str">
        <f t="shared" si="12"/>
        <v/>
      </c>
      <c r="Q32" s="103">
        <f t="shared" si="13"/>
        <v>7</v>
      </c>
      <c r="R32" s="626" t="str">
        <f t="shared" si="14"/>
        <v/>
      </c>
      <c r="S32" s="627">
        <f t="shared" si="15"/>
        <v>0</v>
      </c>
      <c r="T32" s="626" t="str">
        <f t="shared" si="16"/>
        <v/>
      </c>
      <c r="U32" s="627">
        <f t="shared" si="17"/>
        <v>0</v>
      </c>
      <c r="V32" s="626" t="str">
        <f t="shared" si="18"/>
        <v/>
      </c>
      <c r="W32" s="627">
        <f t="shared" si="19"/>
        <v>0</v>
      </c>
      <c r="X32" s="626" t="str">
        <f t="shared" si="20"/>
        <v/>
      </c>
      <c r="Y32" s="627">
        <f t="shared" si="21"/>
        <v>0</v>
      </c>
    </row>
    <row r="33" spans="1:27" s="47" customFormat="1" ht="11.25">
      <c r="A33" s="48">
        <f t="shared" si="22"/>
        <v>31</v>
      </c>
      <c r="B33" s="102" t="str">
        <f t="shared" si="23"/>
        <v/>
      </c>
      <c r="C33" s="103">
        <f>IF(MONTH(DATE(YEAR(C$2),MONTH(C$2),$A33))=MONTH(C$2),VLOOKUP(DATE(YEAR(C$2),MONTH(C$2),$A33),db_Jahr,gSP_KalTyp,FALSE),"")</f>
        <v>7</v>
      </c>
      <c r="D33" s="99" t="str">
        <f t="shared" si="2"/>
        <v>-</v>
      </c>
      <c r="E33" s="579" t="str">
        <f>IF(MONTH(DATE(YEAR(E$2),MONTH(E$2),$A33))=MONTH(E$2),VLOOKUP(DATE(YEAR(E$2),MONTH(E$2),$A33),db_Jahr,gSP_KalTyp,FALSE),"")</f>
        <v/>
      </c>
      <c r="F33" s="626" t="str">
        <f t="shared" si="3"/>
        <v/>
      </c>
      <c r="G33" s="627">
        <f>IF(MONTH(DATE(YEAR(G$2),MONTH(G$2),$A33))=MONTH(G$2),VLOOKUP(DATE(YEAR(G$2),MONTH(G$2),$A33),db_Jahr,gSP_KalTyp,FALSE),"")</f>
        <v>0</v>
      </c>
      <c r="H33" s="102" t="str">
        <f t="shared" si="4"/>
        <v/>
      </c>
      <c r="I33" s="103">
        <f>IF(MONTH(DATE(YEAR(I$2),MONTH(I$2),$A33))=MONTH(I$2),VLOOKUP(DATE(YEAR(I$2),MONTH(I$2),$A33),db_Jahr,gSP_KalTyp,FALSE),"")</f>
        <v>7</v>
      </c>
      <c r="J33" s="99" t="str">
        <f t="shared" si="6"/>
        <v>-</v>
      </c>
      <c r="K33" s="579" t="str">
        <f>IF(MONTH(DATE(YEAR(K$2),MONTH(K$2),$A33))=MONTH(K$2),VLOOKUP(DATE(YEAR(K$2),MONTH(K$2),$A33),db_Jahr,gSP_KalTyp,FALSE),"")</f>
        <v/>
      </c>
      <c r="L33" s="626" t="str">
        <f t="shared" si="8"/>
        <v/>
      </c>
      <c r="M33" s="627">
        <f>IF(MONTH(DATE(YEAR(M$2),MONTH(M$2),$A33))=MONTH(M$2),VLOOKUP(DATE(YEAR(M$2),MONTH(M$2),$A33),db_Jahr,gSP_KalTyp,FALSE),"")</f>
        <v>0</v>
      </c>
      <c r="N33" s="99" t="str">
        <f t="shared" si="10"/>
        <v>-</v>
      </c>
      <c r="O33" s="579" t="str">
        <f>IF(MONTH(DATE(YEAR(O$2),MONTH(O$2),$A33))=MONTH(O$2),VLOOKUP(DATE(YEAR(O$2),MONTH(O$2),$A33),db_Jahr,gSP_KalTyp,FALSE),"")</f>
        <v/>
      </c>
      <c r="P33" s="626" t="str">
        <f t="shared" si="12"/>
        <v/>
      </c>
      <c r="Q33" s="627">
        <f>IF(MONTH(DATE(YEAR(Q$2),MONTH(Q$2),$A33))=MONTH(Q$2),VLOOKUP(DATE(YEAR(Q$2),MONTH(Q$2),$A33),db_Jahr,gSP_KalTyp,FALSE),"")</f>
        <v>0</v>
      </c>
      <c r="R33" s="99" t="str">
        <f t="shared" si="14"/>
        <v>-</v>
      </c>
      <c r="S33" s="579" t="str">
        <f>IF(MONTH(DATE(YEAR(S$2),MONTH(S$2),$A33))=MONTH(S$2),VLOOKUP(DATE(YEAR(S$2),MONTH(S$2),$A33),db_Jahr,gSP_KalTyp,FALSE),"")</f>
        <v/>
      </c>
      <c r="T33" s="102" t="str">
        <f t="shared" si="16"/>
        <v/>
      </c>
      <c r="U33" s="103">
        <f>IF(MONTH(DATE(YEAR(U$2),MONTH(U$2),$A33))=MONTH(U$2),VLOOKUP(DATE(YEAR(U$2),MONTH(U$2),$A33),db_Jahr,gSP_KalTyp,FALSE),"")</f>
        <v>7</v>
      </c>
      <c r="V33" s="626" t="str">
        <f t="shared" si="18"/>
        <v/>
      </c>
      <c r="W33" s="627">
        <f>IF(MONTH(DATE(YEAR(W$2),MONTH(W$2),$A33))=MONTH(W$2),VLOOKUP(DATE(YEAR(W$2),MONTH(W$2),$A33),db_Jahr,gSP_KalTyp,FALSE),"")</f>
        <v>0</v>
      </c>
      <c r="X33" s="99" t="str">
        <f t="shared" si="20"/>
        <v>-</v>
      </c>
      <c r="Y33" s="579" t="str">
        <f>IF(MONTH(DATE(YEAR(Y$2),MONTH(Y$2),$A33))=MONTH(Y$2),VLOOKUP(DATE(YEAR(Y$2),MONTH(Y$2),$A33),db_Jahr,gSP_KalTyp,FALSE),"")</f>
        <v/>
      </c>
    </row>
    <row r="34" spans="1:27" ht="5.25" customHeight="1"/>
    <row r="35" spans="1:27">
      <c r="E35" s="10"/>
      <c r="G35" s="10"/>
      <c r="I35" s="10"/>
      <c r="K35" s="10"/>
      <c r="M35" s="10"/>
      <c r="O35" s="10"/>
      <c r="Q35" s="10"/>
      <c r="S35" s="10"/>
      <c r="U35" s="10"/>
      <c r="V35" s="10"/>
      <c r="W35" s="10"/>
      <c r="Y35" s="10"/>
      <c r="AA35" s="466" t="str">
        <f ca="1">CELL("filename",AA35)</f>
        <v>https://d.docs.live.net/c89853cd948112b7/Dokumente/Siemens/Glaz ab 2026/[vGlaz2026 - FY27 Aufgaben50.xlsm]Kalender</v>
      </c>
    </row>
    <row r="36" spans="1:27" hidden="1">
      <c r="B36" s="10">
        <v>0</v>
      </c>
      <c r="C36" s="97"/>
      <c r="D36" s="10">
        <f>K_Wochenende</f>
        <v>7</v>
      </c>
      <c r="E36" s="10"/>
      <c r="F36" s="10">
        <f>K_Feiertag</f>
        <v>8</v>
      </c>
      <c r="G36" s="10"/>
      <c r="H36" s="10"/>
      <c r="I36" s="10"/>
      <c r="J36" s="10">
        <f>K_ArbeitNormal</f>
        <v>1</v>
      </c>
      <c r="K36" s="10"/>
      <c r="L36" s="10">
        <f>K_ArbeitOverTime</f>
        <v>2</v>
      </c>
      <c r="M36" s="10"/>
      <c r="N36" s="10">
        <f>K_ArbeitOverMax</f>
        <v>3</v>
      </c>
      <c r="O36" s="10"/>
      <c r="P36" s="10"/>
      <c r="Q36" s="10"/>
      <c r="R36" s="10">
        <f>K_Urlaub</f>
        <v>85</v>
      </c>
      <c r="S36" s="10"/>
      <c r="T36" s="10">
        <f>K_Krank</f>
        <v>75</v>
      </c>
      <c r="U36" s="10"/>
      <c r="V36" s="10"/>
      <c r="W36" s="10"/>
      <c r="X36" s="10"/>
      <c r="Y36" s="10"/>
    </row>
    <row r="37" spans="1:27">
      <c r="D37" s="10"/>
      <c r="E37" s="10"/>
      <c r="G37" s="10"/>
      <c r="I37" s="10"/>
      <c r="K37" s="10"/>
      <c r="M37" s="10"/>
      <c r="O37" s="10"/>
      <c r="Q37" s="10"/>
      <c r="S37" s="10"/>
      <c r="U37" s="10"/>
      <c r="W37" s="10"/>
      <c r="Y37" s="10"/>
    </row>
    <row r="40" spans="1:27">
      <c r="E40" s="97"/>
      <c r="G40" s="97"/>
      <c r="I40" s="97"/>
      <c r="K40" s="97"/>
      <c r="M40" s="97"/>
      <c r="O40" s="97"/>
      <c r="Q40" s="97"/>
      <c r="S40" s="97"/>
      <c r="U40" s="97"/>
      <c r="W40" s="97"/>
      <c r="Y40" s="97"/>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25 D36:AB41 D35:Z35 AB35 D29:AB34 D26:Z28 AB26:AB28"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20"/>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2" sqref="C2"/>
    </sheetView>
  </sheetViews>
  <sheetFormatPr baseColWidth="10" defaultColWidth="11.5703125" defaultRowHeight="12.75" outlineLevelRow="1" outlineLevelCol="1"/>
  <cols>
    <col min="1" max="1" width="13.7109375" customWidth="1"/>
    <col min="2" max="2" width="17" customWidth="1"/>
    <col min="3" max="3" width="6.7109375" customWidth="1"/>
    <col min="4" max="33" width="6.7109375" customWidth="1" outlineLevel="1"/>
    <col min="35" max="35" width="3.7109375" customWidth="1"/>
    <col min="36" max="36" width="21" customWidth="1"/>
  </cols>
  <sheetData>
    <row r="1" spans="1:37" ht="5.0999999999999996" customHeight="1" thickBot="1"/>
    <row r="2" spans="1:37" ht="13.5" thickBot="1">
      <c r="B2" s="478" t="s">
        <v>68</v>
      </c>
      <c r="C2" s="495">
        <v>44469</v>
      </c>
      <c r="D2" t="s">
        <v>69</v>
      </c>
      <c r="L2" s="97"/>
    </row>
    <row r="3" spans="1:37" ht="13.5" thickBot="1">
      <c r="B3" s="476" t="s">
        <v>177</v>
      </c>
      <c r="C3" s="475">
        <v>44499</v>
      </c>
      <c r="D3" t="s">
        <v>178</v>
      </c>
      <c r="L3" s="97"/>
    </row>
    <row r="4" spans="1:37" ht="5.0999999999999996" customHeight="1">
      <c r="B4" s="476"/>
      <c r="C4" s="486">
        <f>DATE(YEAR(A_Aufgabendatum),MONTH(A_Aufgabendatum)+1,1)</f>
        <v>44500</v>
      </c>
    </row>
    <row r="5" spans="1:37">
      <c r="B5" s="487"/>
      <c r="C5" s="487">
        <f>C2</f>
        <v>44469</v>
      </c>
      <c r="D5" s="487">
        <f t="shared" ref="D5:AG5" si="0">IF(AND(C5&gt;0,C5&lt;A_Aufgabenende),C5+1,0)</f>
        <v>44470</v>
      </c>
      <c r="E5" s="487">
        <f t="shared" si="0"/>
        <v>44471</v>
      </c>
      <c r="F5" s="487">
        <f t="shared" si="0"/>
        <v>44472</v>
      </c>
      <c r="G5" s="487">
        <f t="shared" si="0"/>
        <v>44473</v>
      </c>
      <c r="H5" s="487">
        <f t="shared" si="0"/>
        <v>44474</v>
      </c>
      <c r="I5" s="487">
        <f t="shared" si="0"/>
        <v>44475</v>
      </c>
      <c r="J5" s="487">
        <f t="shared" si="0"/>
        <v>44476</v>
      </c>
      <c r="K5" s="487">
        <f t="shared" si="0"/>
        <v>44477</v>
      </c>
      <c r="L5" s="487">
        <f t="shared" si="0"/>
        <v>44478</v>
      </c>
      <c r="M5" s="487">
        <f t="shared" si="0"/>
        <v>44479</v>
      </c>
      <c r="N5" s="487">
        <f t="shared" si="0"/>
        <v>44480</v>
      </c>
      <c r="O5" s="487">
        <f t="shared" si="0"/>
        <v>44481</v>
      </c>
      <c r="P5" s="487">
        <f t="shared" si="0"/>
        <v>44482</v>
      </c>
      <c r="Q5" s="487">
        <f t="shared" si="0"/>
        <v>44483</v>
      </c>
      <c r="R5" s="487">
        <f t="shared" si="0"/>
        <v>44484</v>
      </c>
      <c r="S5" s="487">
        <f t="shared" si="0"/>
        <v>44485</v>
      </c>
      <c r="T5" s="487">
        <f t="shared" si="0"/>
        <v>44486</v>
      </c>
      <c r="U5" s="487">
        <f t="shared" si="0"/>
        <v>44487</v>
      </c>
      <c r="V5" s="487">
        <f t="shared" si="0"/>
        <v>44488</v>
      </c>
      <c r="W5" s="487">
        <f t="shared" si="0"/>
        <v>44489</v>
      </c>
      <c r="X5" s="487">
        <f t="shared" si="0"/>
        <v>44490</v>
      </c>
      <c r="Y5" s="487">
        <f t="shared" si="0"/>
        <v>44491</v>
      </c>
      <c r="Z5" s="487">
        <f t="shared" si="0"/>
        <v>44492</v>
      </c>
      <c r="AA5" s="487">
        <f t="shared" si="0"/>
        <v>44493</v>
      </c>
      <c r="AB5" s="487">
        <f t="shared" si="0"/>
        <v>44494</v>
      </c>
      <c r="AC5" s="487">
        <f t="shared" si="0"/>
        <v>44495</v>
      </c>
      <c r="AD5" s="487">
        <f t="shared" si="0"/>
        <v>44496</v>
      </c>
      <c r="AE5" s="487">
        <f t="shared" si="0"/>
        <v>44497</v>
      </c>
      <c r="AF5" s="487">
        <f t="shared" si="0"/>
        <v>44498</v>
      </c>
      <c r="AG5" s="487">
        <f t="shared" si="0"/>
        <v>44499</v>
      </c>
      <c r="AH5" s="488" t="s">
        <v>71</v>
      </c>
      <c r="AI5" s="514"/>
    </row>
    <row r="6" spans="1:37">
      <c r="A6">
        <f>AK6</f>
        <v>0</v>
      </c>
      <c r="B6" s="469" t="str">
        <f>Aufgaben!G3</f>
        <v>Urlaub</v>
      </c>
      <c r="C6" s="472" t="e">
        <f>IF(C$5&gt;0,(INDEX(A_Aufgaben,(C$5-Arbeitszeit!$A$6+1),(2*(ROW()-ROW(A_Aufgabendatum))-1))),"")</f>
        <v>#VALUE!</v>
      </c>
      <c r="D6" s="471" t="e">
        <f>IF(D$5&gt;0,(INDEX(A_Aufgaben,(D$5-Arbeitszeit!$A$6+1),(2*(ROW()-ROW(A_Aufgabendatum))-1))),"")</f>
        <v>#VALUE!</v>
      </c>
      <c r="E6" s="470" t="e">
        <f>IF(E$5&gt;0,(INDEX(A_Aufgaben,(E$5-Arbeitszeit!$A$6+1),(2*(ROW()-ROW(A_Aufgabendatum))-1))),"")</f>
        <v>#VALUE!</v>
      </c>
      <c r="F6" s="471" t="e">
        <f>IF(F$5&gt;0,(INDEX(A_Aufgaben,(F$5-Arbeitszeit!$A$6+1),(2*(ROW()-ROW(A_Aufgabendatum))-1))),"")</f>
        <v>#VALUE!</v>
      </c>
      <c r="G6" s="470" t="e">
        <f>IF(G$5&gt;0,(INDEX(A_Aufgaben,(G$5-Arbeitszeit!$A$6+1),(2*(ROW()-ROW(A_Aufgabendatum))-1))),"")</f>
        <v>#VALUE!</v>
      </c>
      <c r="H6" s="471" t="e">
        <f>IF(H$5&gt;0,(INDEX(A_Aufgaben,(H$5-Arbeitszeit!$A$6+1),(2*(ROW()-ROW(A_Aufgabendatum))-1))),"")</f>
        <v>#VALUE!</v>
      </c>
      <c r="I6" s="470" t="e">
        <f>IF(I$5&gt;0,(INDEX(A_Aufgaben,(I$5-Arbeitszeit!$A$6+1),(2*(ROW()-ROW(A_Aufgabendatum))-1))),"")</f>
        <v>#VALUE!</v>
      </c>
      <c r="J6" s="471" t="e">
        <f>IF(J$5&gt;0,(INDEX(A_Aufgaben,(J$5-Arbeitszeit!$A$6+1),(2*(ROW()-ROW(A_Aufgabendatum))-1))),"")</f>
        <v>#VALUE!</v>
      </c>
      <c r="K6" s="470" t="e">
        <f>IF(K$5&gt;0,(INDEX(A_Aufgaben,(K$5-Arbeitszeit!$A$6+1),(2*(ROW()-ROW(A_Aufgabendatum))-1))),"")</f>
        <v>#VALUE!</v>
      </c>
      <c r="L6" s="471" t="e">
        <f>IF(L$5&gt;0,(INDEX(A_Aufgaben,(L$5-Arbeitszeit!$A$6+1),(2*(ROW()-ROW(A_Aufgabendatum))-1))),"")</f>
        <v>#VALUE!</v>
      </c>
      <c r="M6" s="470" t="e">
        <f>IF(M$5&gt;0,(INDEX(A_Aufgaben,(M$5-Arbeitszeit!$A$6+1),(2*(ROW()-ROW(A_Aufgabendatum))-1))),"")</f>
        <v>#VALUE!</v>
      </c>
      <c r="N6" s="471" t="e">
        <f>IF(N$5&gt;0,(INDEX(A_Aufgaben,(N$5-Arbeitszeit!$A$6+1),(2*(ROW()-ROW(A_Aufgabendatum))-1))),"")</f>
        <v>#VALUE!</v>
      </c>
      <c r="O6" s="470" t="e">
        <f>IF(O$5&gt;0,(INDEX(A_Aufgaben,(O$5-Arbeitszeit!$A$6+1),(2*(ROW()-ROW(A_Aufgabendatum))-1))),"")</f>
        <v>#VALUE!</v>
      </c>
      <c r="P6" s="471" t="e">
        <f>IF(P$5&gt;0,(INDEX(A_Aufgaben,(P$5-Arbeitszeit!$A$6+1),(2*(ROW()-ROW(A_Aufgabendatum))-1))),"")</f>
        <v>#VALUE!</v>
      </c>
      <c r="Q6" s="470" t="e">
        <f>IF(Q$5&gt;0,(INDEX(A_Aufgaben,(Q$5-Arbeitszeit!$A$6+1),(2*(ROW()-ROW(A_Aufgabendatum))-1))),"")</f>
        <v>#VALUE!</v>
      </c>
      <c r="R6" s="471" t="e">
        <f>IF(R$5&gt;0,(INDEX(A_Aufgaben,(R$5-Arbeitszeit!$A$6+1),(2*(ROW()-ROW(A_Aufgabendatum))-1))),"")</f>
        <v>#VALUE!</v>
      </c>
      <c r="S6" s="470" t="e">
        <f>IF(S$5&gt;0,(INDEX(A_Aufgaben,(S$5-Arbeitszeit!$A$6+1),(2*(ROW()-ROW(A_Aufgabendatum))-1))),"")</f>
        <v>#VALUE!</v>
      </c>
      <c r="T6" s="471" t="e">
        <f>IF(T$5&gt;0,(INDEX(A_Aufgaben,(T$5-Arbeitszeit!$A$6+1),(2*(ROW()-ROW(A_Aufgabendatum))-1))),"")</f>
        <v>#VALUE!</v>
      </c>
      <c r="U6" s="470" t="e">
        <f>IF(U$5&gt;0,(INDEX(A_Aufgaben,(U$5-Arbeitszeit!$A$6+1),(2*(ROW()-ROW(A_Aufgabendatum))-1))),"")</f>
        <v>#VALUE!</v>
      </c>
      <c r="V6" s="471" t="e">
        <f>IF(V$5&gt;0,(INDEX(A_Aufgaben,(V$5-Arbeitszeit!$A$6+1),(2*(ROW()-ROW(A_Aufgabendatum))-1))),"")</f>
        <v>#VALUE!</v>
      </c>
      <c r="W6" s="470" t="e">
        <f>IF(W$5&gt;0,(INDEX(A_Aufgaben,(W$5-Arbeitszeit!$A$6+1),(2*(ROW()-ROW(A_Aufgabendatum))-1))),"")</f>
        <v>#VALUE!</v>
      </c>
      <c r="X6" s="471" t="e">
        <f>IF(X$5&gt;0,(INDEX(A_Aufgaben,(X$5-Arbeitszeit!$A$6+1),(2*(ROW()-ROW(A_Aufgabendatum))-1))),"")</f>
        <v>#VALUE!</v>
      </c>
      <c r="Y6" s="470" t="e">
        <f>IF(Y$5&gt;0,(INDEX(A_Aufgaben,(Y$5-Arbeitszeit!$A$6+1),(2*(ROW()-ROW(A_Aufgabendatum))-1))),"")</f>
        <v>#VALUE!</v>
      </c>
      <c r="Z6" s="471" t="e">
        <f>IF(Z$5&gt;0,(INDEX(A_Aufgaben,(Z$5-Arbeitszeit!$A$6+1),(2*(ROW()-ROW(A_Aufgabendatum))-1))),"")</f>
        <v>#VALUE!</v>
      </c>
      <c r="AA6" s="470" t="e">
        <f>IF(AA$5&gt;0,(INDEX(A_Aufgaben,(AA$5-Arbeitszeit!$A$6+1),(2*(ROW()-ROW(A_Aufgabendatum))-1))),"")</f>
        <v>#VALUE!</v>
      </c>
      <c r="AB6" s="471" t="e">
        <f>IF(AB$5&gt;0,(INDEX(A_Aufgaben,(AB$5-Arbeitszeit!$A$6+1),(2*(ROW()-ROW(A_Aufgabendatum))-1))),"")</f>
        <v>#VALUE!</v>
      </c>
      <c r="AC6" s="470" t="e">
        <f>IF(AC$5&gt;0,(INDEX(A_Aufgaben,(AC$5-Arbeitszeit!$A$6+1),(2*(ROW()-ROW(A_Aufgabendatum))-1))),"")</f>
        <v>#VALUE!</v>
      </c>
      <c r="AD6" s="471" t="e">
        <f>IF(AD$5&gt;0,(INDEX(A_Aufgaben,(AD$5-Arbeitszeit!$A$6+1),(2*(ROW()-ROW(A_Aufgabendatum))-1))),"")</f>
        <v>#VALUE!</v>
      </c>
      <c r="AE6" s="470" t="e">
        <f>IF(AE$5&gt;0,(INDEX(A_Aufgaben,(AE$5-Arbeitszeit!$A$6+1),(2*(ROW()-ROW(A_Aufgabendatum))-1))),"")</f>
        <v>#VALUE!</v>
      </c>
      <c r="AF6" s="471" t="e">
        <f>IF(AF$5&gt;0,(INDEX(A_Aufgaben,(AF$5-Arbeitszeit!$A$6+1),(2*(ROW()-ROW(A_Aufgabendatum))-1))),"")</f>
        <v>#VALUE!</v>
      </c>
      <c r="AG6" s="470" t="e">
        <f>IF(AG$5&gt;0,(INDEX(A_Aufgaben,(AG$5-Arbeitszeit!$A$6+1),(2*(ROW()-ROW(A_Aufgabendatum))-1))),"")</f>
        <v>#VALUE!</v>
      </c>
      <c r="AH6" s="479" t="e">
        <f t="shared" ref="AH6:AH26" si="1">SUM(C6:AG6)</f>
        <v>#VALUE!</v>
      </c>
      <c r="AI6" s="3">
        <f>COUNTIF(C6:AG6,"&gt;0")</f>
        <v>0</v>
      </c>
    </row>
    <row r="7" spans="1:37">
      <c r="A7">
        <f>AK7</f>
        <v>0</v>
      </c>
      <c r="B7" s="469" t="str">
        <f>Aufgaben!I3</f>
        <v>Krank</v>
      </c>
      <c r="C7" s="470" t="e">
        <f>IF(C$5&gt;0,(INDEX(A_Aufgaben,(C$5-Arbeitszeit!$A$6+1),(2*(ROW()-ROW(A_Aufgabendatum))-1))),"")</f>
        <v>#VALUE!</v>
      </c>
      <c r="D7" s="471" t="e">
        <f>IF(D$5&gt;0,(INDEX(A_Aufgaben,(D$5-Arbeitszeit!$A$6+1),(2*(ROW()-ROW(A_Aufgabendatum))-1))),"")</f>
        <v>#VALUE!</v>
      </c>
      <c r="E7" s="470" t="e">
        <f>IF(E$5&gt;0,(INDEX(A_Aufgaben,(E$5-Arbeitszeit!$A$6+1),(2*(ROW()-ROW(A_Aufgabendatum))-1))),"")</f>
        <v>#VALUE!</v>
      </c>
      <c r="F7" s="471" t="e">
        <f>IF(F$5&gt;0,(INDEX(A_Aufgaben,(F$5-Arbeitszeit!$A$6+1),(2*(ROW()-ROW(A_Aufgabendatum))-1))),"")</f>
        <v>#VALUE!</v>
      </c>
      <c r="G7" s="470" t="e">
        <f>IF(G$5&gt;0,(INDEX(A_Aufgaben,(G$5-Arbeitszeit!$A$6+1),(2*(ROW()-ROW(A_Aufgabendatum))-1))),"")</f>
        <v>#VALUE!</v>
      </c>
      <c r="H7" s="471" t="e">
        <f>IF(H$5&gt;0,(INDEX(A_Aufgaben,(H$5-Arbeitszeit!$A$6+1),(2*(ROW()-ROW(A_Aufgabendatum))-1))),"")</f>
        <v>#VALUE!</v>
      </c>
      <c r="I7" s="470" t="e">
        <f>IF(I$5&gt;0,(INDEX(A_Aufgaben,(I$5-Arbeitszeit!$A$6+1),(2*(ROW()-ROW(A_Aufgabendatum))-1))),"")</f>
        <v>#VALUE!</v>
      </c>
      <c r="J7" s="471" t="e">
        <f>IF(J$5&gt;0,(INDEX(A_Aufgaben,(J$5-Arbeitszeit!$A$6+1),(2*(ROW()-ROW(A_Aufgabendatum))-1))),"")</f>
        <v>#VALUE!</v>
      </c>
      <c r="K7" s="470" t="e">
        <f>IF(K$5&gt;0,(INDEX(A_Aufgaben,(K$5-Arbeitszeit!$A$6+1),(2*(ROW()-ROW(A_Aufgabendatum))-1))),"")</f>
        <v>#VALUE!</v>
      </c>
      <c r="L7" s="471" t="e">
        <f>IF(L$5&gt;0,(INDEX(A_Aufgaben,(L$5-Arbeitszeit!$A$6+1),(2*(ROW()-ROW(A_Aufgabendatum))-1))),"")</f>
        <v>#VALUE!</v>
      </c>
      <c r="M7" s="470" t="e">
        <f>IF(M$5&gt;0,(INDEX(A_Aufgaben,(M$5-Arbeitszeit!$A$6+1),(2*(ROW()-ROW(A_Aufgabendatum))-1))),"")</f>
        <v>#VALUE!</v>
      </c>
      <c r="N7" s="471" t="e">
        <f>IF(N$5&gt;0,(INDEX(A_Aufgaben,(N$5-Arbeitszeit!$A$6+1),(2*(ROW()-ROW(A_Aufgabendatum))-1))),"")</f>
        <v>#VALUE!</v>
      </c>
      <c r="O7" s="470" t="e">
        <f>IF(O$5&gt;0,(INDEX(A_Aufgaben,(O$5-Arbeitszeit!$A$6+1),(2*(ROW()-ROW(A_Aufgabendatum))-1))),"")</f>
        <v>#VALUE!</v>
      </c>
      <c r="P7" s="471" t="e">
        <f>IF(P$5&gt;0,(INDEX(A_Aufgaben,(P$5-Arbeitszeit!$A$6+1),(2*(ROW()-ROW(A_Aufgabendatum))-1))),"")</f>
        <v>#VALUE!</v>
      </c>
      <c r="Q7" s="470" t="e">
        <f>IF(Q$5&gt;0,(INDEX(A_Aufgaben,(Q$5-Arbeitszeit!$A$6+1),(2*(ROW()-ROW(A_Aufgabendatum))-1))),"")</f>
        <v>#VALUE!</v>
      </c>
      <c r="R7" s="471" t="e">
        <f>IF(R$5&gt;0,(INDEX(A_Aufgaben,(R$5-Arbeitszeit!$A$6+1),(2*(ROW()-ROW(A_Aufgabendatum))-1))),"")</f>
        <v>#VALUE!</v>
      </c>
      <c r="S7" s="470" t="e">
        <f>IF(S$5&gt;0,(INDEX(A_Aufgaben,(S$5-Arbeitszeit!$A$6+1),(2*(ROW()-ROW(A_Aufgabendatum))-1))),"")</f>
        <v>#VALUE!</v>
      </c>
      <c r="T7" s="471" t="e">
        <f>IF(T$5&gt;0,(INDEX(A_Aufgaben,(T$5-Arbeitszeit!$A$6+1),(2*(ROW()-ROW(A_Aufgabendatum))-1))),"")</f>
        <v>#VALUE!</v>
      </c>
      <c r="U7" s="470" t="e">
        <f>IF(U$5&gt;0,(INDEX(A_Aufgaben,(U$5-Arbeitszeit!$A$6+1),(2*(ROW()-ROW(A_Aufgabendatum))-1))),"")</f>
        <v>#VALUE!</v>
      </c>
      <c r="V7" s="471" t="e">
        <f>IF(V$5&gt;0,(INDEX(A_Aufgaben,(V$5-Arbeitszeit!$A$6+1),(2*(ROW()-ROW(A_Aufgabendatum))-1))),"")</f>
        <v>#VALUE!</v>
      </c>
      <c r="W7" s="470" t="e">
        <f>IF(W$5&gt;0,(INDEX(A_Aufgaben,(W$5-Arbeitszeit!$A$6+1),(2*(ROW()-ROW(A_Aufgabendatum))-1))),"")</f>
        <v>#VALUE!</v>
      </c>
      <c r="X7" s="471" t="e">
        <f>IF(X$5&gt;0,(INDEX(A_Aufgaben,(X$5-Arbeitszeit!$A$6+1),(2*(ROW()-ROW(A_Aufgabendatum))-1))),"")</f>
        <v>#VALUE!</v>
      </c>
      <c r="Y7" s="470" t="e">
        <f>IF(Y$5&gt;0,(INDEX(A_Aufgaben,(Y$5-Arbeitszeit!$A$6+1),(2*(ROW()-ROW(A_Aufgabendatum))-1))),"")</f>
        <v>#VALUE!</v>
      </c>
      <c r="Z7" s="471" t="e">
        <f>IF(Z$5&gt;0,(INDEX(A_Aufgaben,(Z$5-Arbeitszeit!$A$6+1),(2*(ROW()-ROW(A_Aufgabendatum))-1))),"")</f>
        <v>#VALUE!</v>
      </c>
      <c r="AA7" s="470" t="e">
        <f>IF(AA$5&gt;0,(INDEX(A_Aufgaben,(AA$5-Arbeitszeit!$A$6+1),(2*(ROW()-ROW(A_Aufgabendatum))-1))),"")</f>
        <v>#VALUE!</v>
      </c>
      <c r="AB7" s="471" t="e">
        <f>IF(AB$5&gt;0,(INDEX(A_Aufgaben,(AB$5-Arbeitszeit!$A$6+1),(2*(ROW()-ROW(A_Aufgabendatum))-1))),"")</f>
        <v>#VALUE!</v>
      </c>
      <c r="AC7" s="470" t="e">
        <f>IF(AC$5&gt;0,(INDEX(A_Aufgaben,(AC$5-Arbeitszeit!$A$6+1),(2*(ROW()-ROW(A_Aufgabendatum))-1))),"")</f>
        <v>#VALUE!</v>
      </c>
      <c r="AD7" s="471" t="e">
        <f>IF(AD$5&gt;0,(INDEX(A_Aufgaben,(AD$5-Arbeitszeit!$A$6+1),(2*(ROW()-ROW(A_Aufgabendatum))-1))),"")</f>
        <v>#VALUE!</v>
      </c>
      <c r="AE7" s="470" t="e">
        <f>IF(AE$5&gt;0,(INDEX(A_Aufgaben,(AE$5-Arbeitszeit!$A$6+1),(2*(ROW()-ROW(A_Aufgabendatum))-1))),"")</f>
        <v>#VALUE!</v>
      </c>
      <c r="AF7" s="471" t="e">
        <f>IF(AF$5&gt;0,(INDEX(A_Aufgaben,(AF$5-Arbeitszeit!$A$6+1),(2*(ROW()-ROW(A_Aufgabendatum))-1))),"")</f>
        <v>#VALUE!</v>
      </c>
      <c r="AG7" s="470" t="e">
        <f>IF(AG$5&gt;0,(INDEX(A_Aufgaben,(AG$5-Arbeitszeit!$A$6+1),(2*(ROW()-ROW(A_Aufgabendatum))-1))),"")</f>
        <v>#VALUE!</v>
      </c>
      <c r="AH7" s="479" t="e">
        <f t="shared" si="1"/>
        <v>#VALUE!</v>
      </c>
      <c r="AI7" s="3">
        <f>COUNTIF(C7:AG7,"&gt;0")</f>
        <v>0</v>
      </c>
    </row>
    <row r="8" spans="1:37">
      <c r="A8">
        <f>AK8</f>
        <v>0</v>
      </c>
      <c r="B8" s="469" t="str">
        <f>Aufgaben!K3</f>
        <v>Allgemein</v>
      </c>
      <c r="C8" s="470" t="e">
        <f>IF(C$5&gt;0,(INDEX(A_Aufgaben,(C$5-Arbeitszeit!$A$6+1),(2*(ROW()-ROW(A_Aufgabendatum))-1))),"")</f>
        <v>#VALUE!</v>
      </c>
      <c r="D8" s="471" t="e">
        <f>IF(D$5&gt;0,(INDEX(A_Aufgaben,(D$5-Arbeitszeit!$A$6+1),(2*(ROW()-ROW(A_Aufgabendatum))-1))),"")</f>
        <v>#VALUE!</v>
      </c>
      <c r="E8" s="470" t="e">
        <f>IF(E$5&gt;0,(INDEX(A_Aufgaben,(E$5-Arbeitszeit!$A$6+1),(2*(ROW()-ROW(A_Aufgabendatum))-1))),"")</f>
        <v>#VALUE!</v>
      </c>
      <c r="F8" s="471" t="e">
        <f>IF(F$5&gt;0,(INDEX(A_Aufgaben,(F$5-Arbeitszeit!$A$6+1),(2*(ROW()-ROW(A_Aufgabendatum))-1))),"")</f>
        <v>#VALUE!</v>
      </c>
      <c r="G8" s="470" t="e">
        <f>IF(G$5&gt;0,(INDEX(A_Aufgaben,(G$5-Arbeitszeit!$A$6+1),(2*(ROW()-ROW(A_Aufgabendatum))-1))),"")</f>
        <v>#VALUE!</v>
      </c>
      <c r="H8" s="471" t="e">
        <f>IF(H$5&gt;0,(INDEX(A_Aufgaben,(H$5-Arbeitszeit!$A$6+1),(2*(ROW()-ROW(A_Aufgabendatum))-1))),"")</f>
        <v>#VALUE!</v>
      </c>
      <c r="I8" s="470" t="e">
        <f>IF(I$5&gt;0,(INDEX(A_Aufgaben,(I$5-Arbeitszeit!$A$6+1),(2*(ROW()-ROW(A_Aufgabendatum))-1))),"")</f>
        <v>#VALUE!</v>
      </c>
      <c r="J8" s="471" t="e">
        <f>IF(J$5&gt;0,(INDEX(A_Aufgaben,(J$5-Arbeitszeit!$A$6+1),(2*(ROW()-ROW(A_Aufgabendatum))-1))),"")</f>
        <v>#VALUE!</v>
      </c>
      <c r="K8" s="470" t="e">
        <f>IF(K$5&gt;0,(INDEX(A_Aufgaben,(K$5-Arbeitszeit!$A$6+1),(2*(ROW()-ROW(A_Aufgabendatum))-1))),"")</f>
        <v>#VALUE!</v>
      </c>
      <c r="L8" s="471" t="e">
        <f>IF(L$5&gt;0,(INDEX(A_Aufgaben,(L$5-Arbeitszeit!$A$6+1),(2*(ROW()-ROW(A_Aufgabendatum))-1))),"")</f>
        <v>#VALUE!</v>
      </c>
      <c r="M8" s="470" t="e">
        <f>IF(M$5&gt;0,(INDEX(A_Aufgaben,(M$5-Arbeitszeit!$A$6+1),(2*(ROW()-ROW(A_Aufgabendatum))-1))),"")</f>
        <v>#VALUE!</v>
      </c>
      <c r="N8" s="471" t="e">
        <f>IF(N$5&gt;0,(INDEX(A_Aufgaben,(N$5-Arbeitszeit!$A$6+1),(2*(ROW()-ROW(A_Aufgabendatum))-1))),"")</f>
        <v>#VALUE!</v>
      </c>
      <c r="O8" s="470" t="e">
        <f>IF(O$5&gt;0,(INDEX(A_Aufgaben,(O$5-Arbeitszeit!$A$6+1),(2*(ROW()-ROW(A_Aufgabendatum))-1))),"")</f>
        <v>#VALUE!</v>
      </c>
      <c r="P8" s="471" t="e">
        <f>IF(P$5&gt;0,(INDEX(A_Aufgaben,(P$5-Arbeitszeit!$A$6+1),(2*(ROW()-ROW(A_Aufgabendatum))-1))),"")</f>
        <v>#VALUE!</v>
      </c>
      <c r="Q8" s="470" t="e">
        <f>IF(Q$5&gt;0,(INDEX(A_Aufgaben,(Q$5-Arbeitszeit!$A$6+1),(2*(ROW()-ROW(A_Aufgabendatum))-1))),"")</f>
        <v>#VALUE!</v>
      </c>
      <c r="R8" s="471" t="e">
        <f>IF(R$5&gt;0,(INDEX(A_Aufgaben,(R$5-Arbeitszeit!$A$6+1),(2*(ROW()-ROW(A_Aufgabendatum))-1))),"")</f>
        <v>#VALUE!</v>
      </c>
      <c r="S8" s="470" t="e">
        <f>IF(S$5&gt;0,(INDEX(A_Aufgaben,(S$5-Arbeitszeit!$A$6+1),(2*(ROW()-ROW(A_Aufgabendatum))-1))),"")</f>
        <v>#VALUE!</v>
      </c>
      <c r="T8" s="471" t="e">
        <f>IF(T$5&gt;0,(INDEX(A_Aufgaben,(T$5-Arbeitszeit!$A$6+1),(2*(ROW()-ROW(A_Aufgabendatum))-1))),"")</f>
        <v>#VALUE!</v>
      </c>
      <c r="U8" s="470" t="e">
        <f>IF(U$5&gt;0,(INDEX(A_Aufgaben,(U$5-Arbeitszeit!$A$6+1),(2*(ROW()-ROW(A_Aufgabendatum))-1))),"")</f>
        <v>#VALUE!</v>
      </c>
      <c r="V8" s="471" t="e">
        <f>IF(V$5&gt;0,(INDEX(A_Aufgaben,(V$5-Arbeitszeit!$A$6+1),(2*(ROW()-ROW(A_Aufgabendatum))-1))),"")</f>
        <v>#VALUE!</v>
      </c>
      <c r="W8" s="470" t="e">
        <f>IF(W$5&gt;0,(INDEX(A_Aufgaben,(W$5-Arbeitszeit!$A$6+1),(2*(ROW()-ROW(A_Aufgabendatum))-1))),"")</f>
        <v>#VALUE!</v>
      </c>
      <c r="X8" s="471" t="e">
        <f>IF(X$5&gt;0,(INDEX(A_Aufgaben,(X$5-Arbeitszeit!$A$6+1),(2*(ROW()-ROW(A_Aufgabendatum))-1))),"")</f>
        <v>#VALUE!</v>
      </c>
      <c r="Y8" s="470" t="e">
        <f>IF(Y$5&gt;0,(INDEX(A_Aufgaben,(Y$5-Arbeitszeit!$A$6+1),(2*(ROW()-ROW(A_Aufgabendatum))-1))),"")</f>
        <v>#VALUE!</v>
      </c>
      <c r="Z8" s="471" t="e">
        <f>IF(Z$5&gt;0,(INDEX(A_Aufgaben,(Z$5-Arbeitszeit!$A$6+1),(2*(ROW()-ROW(A_Aufgabendatum))-1))),"")</f>
        <v>#VALUE!</v>
      </c>
      <c r="AA8" s="470" t="e">
        <f>IF(AA$5&gt;0,(INDEX(A_Aufgaben,(AA$5-Arbeitszeit!$A$6+1),(2*(ROW()-ROW(A_Aufgabendatum))-1))),"")</f>
        <v>#VALUE!</v>
      </c>
      <c r="AB8" s="471" t="e">
        <f>IF(AB$5&gt;0,(INDEX(A_Aufgaben,(AB$5-Arbeitszeit!$A$6+1),(2*(ROW()-ROW(A_Aufgabendatum))-1))),"")</f>
        <v>#VALUE!</v>
      </c>
      <c r="AC8" s="470" t="e">
        <f>IF(AC$5&gt;0,(INDEX(A_Aufgaben,(AC$5-Arbeitszeit!$A$6+1),(2*(ROW()-ROW(A_Aufgabendatum))-1))),"")</f>
        <v>#VALUE!</v>
      </c>
      <c r="AD8" s="471" t="e">
        <f>IF(AD$5&gt;0,(INDEX(A_Aufgaben,(AD$5-Arbeitszeit!$A$6+1),(2*(ROW()-ROW(A_Aufgabendatum))-1))),"")</f>
        <v>#VALUE!</v>
      </c>
      <c r="AE8" s="470" t="e">
        <f>IF(AE$5&gt;0,(INDEX(A_Aufgaben,(AE$5-Arbeitszeit!$A$6+1),(2*(ROW()-ROW(A_Aufgabendatum))-1))),"")</f>
        <v>#VALUE!</v>
      </c>
      <c r="AF8" s="471" t="e">
        <f>IF(AF$5&gt;0,(INDEX(A_Aufgaben,(AF$5-Arbeitszeit!$A$6+1),(2*(ROW()-ROW(A_Aufgabendatum))-1))),"")</f>
        <v>#VALUE!</v>
      </c>
      <c r="AG8" s="470" t="e">
        <f>IF(AG$5&gt;0,(INDEX(A_Aufgaben,(AG$5-Arbeitszeit!$A$6+1),(2*(ROW()-ROW(A_Aufgabendatum))-1))),"")</f>
        <v>#VALUE!</v>
      </c>
      <c r="AH8" s="479" t="e">
        <f t="shared" si="1"/>
        <v>#VALUE!</v>
      </c>
      <c r="AI8" s="3">
        <f>COUNTIF(C8:AG8,"&gt;0")</f>
        <v>0</v>
      </c>
    </row>
    <row r="9" spans="1:37">
      <c r="A9">
        <f>AK9</f>
        <v>0</v>
      </c>
      <c r="B9" s="469" t="str">
        <f>Aufgaben!M3</f>
        <v>Aufgabe 01</v>
      </c>
      <c r="C9" s="470" t="e">
        <f>IF(C$5&gt;0,(INDEX(A_Aufgaben,(C$5-Arbeitszeit!$A$6+1),(2*(ROW()-ROW(A_Aufgabendatum))-1))),"")</f>
        <v>#VALUE!</v>
      </c>
      <c r="D9" s="471" t="e">
        <f>IF(D$5&gt;0,(INDEX(A_Aufgaben,(D$5-Arbeitszeit!$A$6+1),(2*(ROW()-ROW(A_Aufgabendatum))-1))),"")</f>
        <v>#VALUE!</v>
      </c>
      <c r="E9" s="470" t="e">
        <f>IF(E$5&gt;0,(INDEX(A_Aufgaben,(E$5-Arbeitszeit!$A$6+1),(2*(ROW()-ROW(A_Aufgabendatum))-1))),"")</f>
        <v>#VALUE!</v>
      </c>
      <c r="F9" s="471" t="e">
        <f>IF(F$5&gt;0,(INDEX(A_Aufgaben,(F$5-Arbeitszeit!$A$6+1),(2*(ROW()-ROW(A_Aufgabendatum))-1))),"")</f>
        <v>#VALUE!</v>
      </c>
      <c r="G9" s="470" t="e">
        <f>IF(G$5&gt;0,(INDEX(A_Aufgaben,(G$5-Arbeitszeit!$A$6+1),(2*(ROW()-ROW(A_Aufgabendatum))-1))),"")</f>
        <v>#VALUE!</v>
      </c>
      <c r="H9" s="471" t="e">
        <f>IF(H$5&gt;0,(INDEX(A_Aufgaben,(H$5-Arbeitszeit!$A$6+1),(2*(ROW()-ROW(A_Aufgabendatum))-1))),"")</f>
        <v>#VALUE!</v>
      </c>
      <c r="I9" s="470" t="e">
        <f>IF(I$5&gt;0,(INDEX(A_Aufgaben,(I$5-Arbeitszeit!$A$6+1),(2*(ROW()-ROW(A_Aufgabendatum))-1))),"")</f>
        <v>#VALUE!</v>
      </c>
      <c r="J9" s="471" t="e">
        <f>IF(J$5&gt;0,(INDEX(A_Aufgaben,(J$5-Arbeitszeit!$A$6+1),(2*(ROW()-ROW(A_Aufgabendatum))-1))),"")</f>
        <v>#VALUE!</v>
      </c>
      <c r="K9" s="470" t="e">
        <f>IF(K$5&gt;0,(INDEX(A_Aufgaben,(K$5-Arbeitszeit!$A$6+1),(2*(ROW()-ROW(A_Aufgabendatum))-1))),"")</f>
        <v>#VALUE!</v>
      </c>
      <c r="L9" s="471" t="e">
        <f>IF(L$5&gt;0,(INDEX(A_Aufgaben,(L$5-Arbeitszeit!$A$6+1),(2*(ROW()-ROW(A_Aufgabendatum))-1))),"")</f>
        <v>#VALUE!</v>
      </c>
      <c r="M9" s="470" t="e">
        <f>IF(M$5&gt;0,(INDEX(A_Aufgaben,(M$5-Arbeitszeit!$A$6+1),(2*(ROW()-ROW(A_Aufgabendatum))-1))),"")</f>
        <v>#VALUE!</v>
      </c>
      <c r="N9" s="471" t="e">
        <f>IF(N$5&gt;0,(INDEX(A_Aufgaben,(N$5-Arbeitszeit!$A$6+1),(2*(ROW()-ROW(A_Aufgabendatum))-1))),"")</f>
        <v>#VALUE!</v>
      </c>
      <c r="O9" s="470" t="e">
        <f>IF(O$5&gt;0,(INDEX(A_Aufgaben,(O$5-Arbeitszeit!$A$6+1),(2*(ROW()-ROW(A_Aufgabendatum))-1))),"")</f>
        <v>#VALUE!</v>
      </c>
      <c r="P9" s="471" t="e">
        <f>IF(P$5&gt;0,(INDEX(A_Aufgaben,(P$5-Arbeitszeit!$A$6+1),(2*(ROW()-ROW(A_Aufgabendatum))-1))),"")</f>
        <v>#VALUE!</v>
      </c>
      <c r="Q9" s="470" t="e">
        <f>IF(Q$5&gt;0,(INDEX(A_Aufgaben,(Q$5-Arbeitszeit!$A$6+1),(2*(ROW()-ROW(A_Aufgabendatum))-1))),"")</f>
        <v>#VALUE!</v>
      </c>
      <c r="R9" s="471" t="e">
        <f>IF(R$5&gt;0,(INDEX(A_Aufgaben,(R$5-Arbeitszeit!$A$6+1),(2*(ROW()-ROW(A_Aufgabendatum))-1))),"")</f>
        <v>#VALUE!</v>
      </c>
      <c r="S9" s="470" t="e">
        <f>IF(S$5&gt;0,(INDEX(A_Aufgaben,(S$5-Arbeitszeit!$A$6+1),(2*(ROW()-ROW(A_Aufgabendatum))-1))),"")</f>
        <v>#VALUE!</v>
      </c>
      <c r="T9" s="471" t="e">
        <f>IF(T$5&gt;0,(INDEX(A_Aufgaben,(T$5-Arbeitszeit!$A$6+1),(2*(ROW()-ROW(A_Aufgabendatum))-1))),"")</f>
        <v>#VALUE!</v>
      </c>
      <c r="U9" s="470" t="e">
        <f>IF(U$5&gt;0,(INDEX(A_Aufgaben,(U$5-Arbeitszeit!$A$6+1),(2*(ROW()-ROW(A_Aufgabendatum))-1))),"")</f>
        <v>#VALUE!</v>
      </c>
      <c r="V9" s="471" t="e">
        <f>IF(V$5&gt;0,(INDEX(A_Aufgaben,(V$5-Arbeitszeit!$A$6+1),(2*(ROW()-ROW(A_Aufgabendatum))-1))),"")</f>
        <v>#VALUE!</v>
      </c>
      <c r="W9" s="470" t="e">
        <f>IF(W$5&gt;0,(INDEX(A_Aufgaben,(W$5-Arbeitszeit!$A$6+1),(2*(ROW()-ROW(A_Aufgabendatum))-1))),"")</f>
        <v>#VALUE!</v>
      </c>
      <c r="X9" s="471" t="e">
        <f>IF(X$5&gt;0,(INDEX(A_Aufgaben,(X$5-Arbeitszeit!$A$6+1),(2*(ROW()-ROW(A_Aufgabendatum))-1))),"")</f>
        <v>#VALUE!</v>
      </c>
      <c r="Y9" s="470" t="e">
        <f>IF(Y$5&gt;0,(INDEX(A_Aufgaben,(Y$5-Arbeitszeit!$A$6+1),(2*(ROW()-ROW(A_Aufgabendatum))-1))),"")</f>
        <v>#VALUE!</v>
      </c>
      <c r="Z9" s="471" t="e">
        <f>IF(Z$5&gt;0,(INDEX(A_Aufgaben,(Z$5-Arbeitszeit!$A$6+1),(2*(ROW()-ROW(A_Aufgabendatum))-1))),"")</f>
        <v>#VALUE!</v>
      </c>
      <c r="AA9" s="470" t="e">
        <f>IF(AA$5&gt;0,(INDEX(A_Aufgaben,(AA$5-Arbeitszeit!$A$6+1),(2*(ROW()-ROW(A_Aufgabendatum))-1))),"")</f>
        <v>#VALUE!</v>
      </c>
      <c r="AB9" s="471" t="e">
        <f>IF(AB$5&gt;0,(INDEX(A_Aufgaben,(AB$5-Arbeitszeit!$A$6+1),(2*(ROW()-ROW(A_Aufgabendatum))-1))),"")</f>
        <v>#VALUE!</v>
      </c>
      <c r="AC9" s="470" t="e">
        <f>IF(AC$5&gt;0,(INDEX(A_Aufgaben,(AC$5-Arbeitszeit!$A$6+1),(2*(ROW()-ROW(A_Aufgabendatum))-1))),"")</f>
        <v>#VALUE!</v>
      </c>
      <c r="AD9" s="471" t="e">
        <f>IF(AD$5&gt;0,(INDEX(A_Aufgaben,(AD$5-Arbeitszeit!$A$6+1),(2*(ROW()-ROW(A_Aufgabendatum))-1))),"")</f>
        <v>#VALUE!</v>
      </c>
      <c r="AE9" s="470" t="e">
        <f>IF(AE$5&gt;0,(INDEX(A_Aufgaben,(AE$5-Arbeitszeit!$A$6+1),(2*(ROW()-ROW(A_Aufgabendatum))-1))),"")</f>
        <v>#VALUE!</v>
      </c>
      <c r="AF9" s="471" t="e">
        <f>IF(AF$5&gt;0,(INDEX(A_Aufgaben,(AF$5-Arbeitszeit!$A$6+1),(2*(ROW()-ROW(A_Aufgabendatum))-1))),"")</f>
        <v>#VALUE!</v>
      </c>
      <c r="AG9" s="470" t="e">
        <f>IF(AG$5&gt;0,(INDEX(A_Aufgaben,(AG$5-Arbeitszeit!$A$6+1),(2*(ROW()-ROW(A_Aufgabendatum))-1))),"")</f>
        <v>#VALUE!</v>
      </c>
      <c r="AH9" s="479" t="e">
        <f t="shared" si="1"/>
        <v>#VALUE!</v>
      </c>
      <c r="AI9" s="3">
        <f>COUNTIF(C9:AG9,"&gt;0")</f>
        <v>0</v>
      </c>
    </row>
    <row r="10" spans="1:37">
      <c r="A10">
        <f>AK10</f>
        <v>0</v>
      </c>
      <c r="B10" s="469" t="str">
        <f>Aufgaben!O3</f>
        <v>Aufgabe 02</v>
      </c>
      <c r="C10" s="470" t="e">
        <f>IF(C$5&gt;0,(INDEX(A_Aufgaben,(C$5-Arbeitszeit!$A$6+1),(2*(ROW()-ROW(A_Aufgabendatum))-1))),"")</f>
        <v>#VALUE!</v>
      </c>
      <c r="D10" s="471" t="e">
        <f>IF(D$5&gt;0,(INDEX(A_Aufgaben,(D$5-Arbeitszeit!$A$6+1),(2*(ROW()-ROW(A_Aufgabendatum))-1))),"")</f>
        <v>#VALUE!</v>
      </c>
      <c r="E10" s="470" t="e">
        <f>IF(E$5&gt;0,(INDEX(A_Aufgaben,(E$5-Arbeitszeit!$A$6+1),(2*(ROW()-ROW(A_Aufgabendatum))-1))),"")</f>
        <v>#VALUE!</v>
      </c>
      <c r="F10" s="471" t="e">
        <f>IF(F$5&gt;0,(INDEX(A_Aufgaben,(F$5-Arbeitszeit!$A$6+1),(2*(ROW()-ROW(A_Aufgabendatum))-1))),"")</f>
        <v>#VALUE!</v>
      </c>
      <c r="G10" s="470" t="e">
        <f>IF(G$5&gt;0,(INDEX(A_Aufgaben,(G$5-Arbeitszeit!$A$6+1),(2*(ROW()-ROW(A_Aufgabendatum))-1))),"")</f>
        <v>#VALUE!</v>
      </c>
      <c r="H10" s="471" t="e">
        <f>IF(H$5&gt;0,(INDEX(A_Aufgaben,(H$5-Arbeitszeit!$A$6+1),(2*(ROW()-ROW(A_Aufgabendatum))-1))),"")</f>
        <v>#VALUE!</v>
      </c>
      <c r="I10" s="470" t="e">
        <f>IF(I$5&gt;0,(INDEX(A_Aufgaben,(I$5-Arbeitszeit!$A$6+1),(2*(ROW()-ROW(A_Aufgabendatum))-1))),"")</f>
        <v>#VALUE!</v>
      </c>
      <c r="J10" s="471" t="e">
        <f>IF(J$5&gt;0,(INDEX(A_Aufgaben,(J$5-Arbeitszeit!$A$6+1),(2*(ROW()-ROW(A_Aufgabendatum))-1))),"")</f>
        <v>#VALUE!</v>
      </c>
      <c r="K10" s="470" t="e">
        <f>IF(K$5&gt;0,(INDEX(A_Aufgaben,(K$5-Arbeitszeit!$A$6+1),(2*(ROW()-ROW(A_Aufgabendatum))-1))),"")</f>
        <v>#VALUE!</v>
      </c>
      <c r="L10" s="471" t="e">
        <f>IF(L$5&gt;0,(INDEX(A_Aufgaben,(L$5-Arbeitszeit!$A$6+1),(2*(ROW()-ROW(A_Aufgabendatum))-1))),"")</f>
        <v>#VALUE!</v>
      </c>
      <c r="M10" s="470" t="e">
        <f>IF(M$5&gt;0,(INDEX(A_Aufgaben,(M$5-Arbeitszeit!$A$6+1),(2*(ROW()-ROW(A_Aufgabendatum))-1))),"")</f>
        <v>#VALUE!</v>
      </c>
      <c r="N10" s="471" t="e">
        <f>IF(N$5&gt;0,(INDEX(A_Aufgaben,(N$5-Arbeitszeit!$A$6+1),(2*(ROW()-ROW(A_Aufgabendatum))-1))),"")</f>
        <v>#VALUE!</v>
      </c>
      <c r="O10" s="470" t="e">
        <f>IF(O$5&gt;0,(INDEX(A_Aufgaben,(O$5-Arbeitszeit!$A$6+1),(2*(ROW()-ROW(A_Aufgabendatum))-1))),"")</f>
        <v>#VALUE!</v>
      </c>
      <c r="P10" s="471" t="e">
        <f>IF(P$5&gt;0,(INDEX(A_Aufgaben,(P$5-Arbeitszeit!$A$6+1),(2*(ROW()-ROW(A_Aufgabendatum))-1))),"")</f>
        <v>#VALUE!</v>
      </c>
      <c r="Q10" s="470" t="e">
        <f>IF(Q$5&gt;0,(INDEX(A_Aufgaben,(Q$5-Arbeitszeit!$A$6+1),(2*(ROW()-ROW(A_Aufgabendatum))-1))),"")</f>
        <v>#VALUE!</v>
      </c>
      <c r="R10" s="471" t="e">
        <f>IF(R$5&gt;0,(INDEX(A_Aufgaben,(R$5-Arbeitszeit!$A$6+1),(2*(ROW()-ROW(A_Aufgabendatum))-1))),"")</f>
        <v>#VALUE!</v>
      </c>
      <c r="S10" s="470" t="e">
        <f>IF(S$5&gt;0,(INDEX(A_Aufgaben,(S$5-Arbeitszeit!$A$6+1),(2*(ROW()-ROW(A_Aufgabendatum))-1))),"")</f>
        <v>#VALUE!</v>
      </c>
      <c r="T10" s="471" t="e">
        <f>IF(T$5&gt;0,(INDEX(A_Aufgaben,(T$5-Arbeitszeit!$A$6+1),(2*(ROW()-ROW(A_Aufgabendatum))-1))),"")</f>
        <v>#VALUE!</v>
      </c>
      <c r="U10" s="470" t="e">
        <f>IF(U$5&gt;0,(INDEX(A_Aufgaben,(U$5-Arbeitszeit!$A$6+1),(2*(ROW()-ROW(A_Aufgabendatum))-1))),"")</f>
        <v>#VALUE!</v>
      </c>
      <c r="V10" s="471" t="e">
        <f>IF(V$5&gt;0,(INDEX(A_Aufgaben,(V$5-Arbeitszeit!$A$6+1),(2*(ROW()-ROW(A_Aufgabendatum))-1))),"")</f>
        <v>#VALUE!</v>
      </c>
      <c r="W10" s="470" t="e">
        <f>IF(W$5&gt;0,(INDEX(A_Aufgaben,(W$5-Arbeitszeit!$A$6+1),(2*(ROW()-ROW(A_Aufgabendatum))-1))),"")</f>
        <v>#VALUE!</v>
      </c>
      <c r="X10" s="471" t="e">
        <f>IF(X$5&gt;0,(INDEX(A_Aufgaben,(X$5-Arbeitszeit!$A$6+1),(2*(ROW()-ROW(A_Aufgabendatum))-1))),"")</f>
        <v>#VALUE!</v>
      </c>
      <c r="Y10" s="470" t="e">
        <f>IF(Y$5&gt;0,(INDEX(A_Aufgaben,(Y$5-Arbeitszeit!$A$6+1),(2*(ROW()-ROW(A_Aufgabendatum))-1))),"")</f>
        <v>#VALUE!</v>
      </c>
      <c r="Z10" s="471" t="e">
        <f>IF(Z$5&gt;0,(INDEX(A_Aufgaben,(Z$5-Arbeitszeit!$A$6+1),(2*(ROW()-ROW(A_Aufgabendatum))-1))),"")</f>
        <v>#VALUE!</v>
      </c>
      <c r="AA10" s="470" t="e">
        <f>IF(AA$5&gt;0,(INDEX(A_Aufgaben,(AA$5-Arbeitszeit!$A$6+1),(2*(ROW()-ROW(A_Aufgabendatum))-1))),"")</f>
        <v>#VALUE!</v>
      </c>
      <c r="AB10" s="471" t="e">
        <f>IF(AB$5&gt;0,(INDEX(A_Aufgaben,(AB$5-Arbeitszeit!$A$6+1),(2*(ROW()-ROW(A_Aufgabendatum))-1))),"")</f>
        <v>#VALUE!</v>
      </c>
      <c r="AC10" s="470" t="e">
        <f>IF(AC$5&gt;0,(INDEX(A_Aufgaben,(AC$5-Arbeitszeit!$A$6+1),(2*(ROW()-ROW(A_Aufgabendatum))-1))),"")</f>
        <v>#VALUE!</v>
      </c>
      <c r="AD10" s="471" t="e">
        <f>IF(AD$5&gt;0,(INDEX(A_Aufgaben,(AD$5-Arbeitszeit!$A$6+1),(2*(ROW()-ROW(A_Aufgabendatum))-1))),"")</f>
        <v>#VALUE!</v>
      </c>
      <c r="AE10" s="470" t="e">
        <f>IF(AE$5&gt;0,(INDEX(A_Aufgaben,(AE$5-Arbeitszeit!$A$6+1),(2*(ROW()-ROW(A_Aufgabendatum))-1))),"")</f>
        <v>#VALUE!</v>
      </c>
      <c r="AF10" s="471" t="e">
        <f>IF(AF$5&gt;0,(INDEX(A_Aufgaben,(AF$5-Arbeitszeit!$A$6+1),(2*(ROW()-ROW(A_Aufgabendatum))-1))),"")</f>
        <v>#VALUE!</v>
      </c>
      <c r="AG10" s="470" t="e">
        <f>IF(AG$5&gt;0,(INDEX(A_Aufgaben,(AG$5-Arbeitszeit!$A$6+1),(2*(ROW()-ROW(A_Aufgabendatum))-1))),"")</f>
        <v>#VALUE!</v>
      </c>
      <c r="AH10" s="479" t="e">
        <f t="shared" si="1"/>
        <v>#VALUE!</v>
      </c>
      <c r="AI10" s="3">
        <f t="shared" ref="AI10:AI26" si="2">COUNTIF(C10:AG10,"&gt;0")</f>
        <v>0</v>
      </c>
    </row>
    <row r="11" spans="1:37">
      <c r="A11">
        <f t="shared" ref="A11:A26" si="3">AK11</f>
        <v>0</v>
      </c>
      <c r="B11" s="469" t="str">
        <f>Aufgaben!Q3</f>
        <v>Aufgabe 03</v>
      </c>
      <c r="C11" s="470" t="e">
        <f>IF(C$5&gt;0,(INDEX(A_Aufgaben,(C$5-Arbeitszeit!$A$6+1),(2*(ROW()-ROW(A_Aufgabendatum))-1))),"")</f>
        <v>#VALUE!</v>
      </c>
      <c r="D11" s="471" t="e">
        <f>IF(D$5&gt;0,(INDEX(A_Aufgaben,(D$5-Arbeitszeit!$A$6+1),(2*(ROW()-ROW(A_Aufgabendatum))-1))),"")</f>
        <v>#VALUE!</v>
      </c>
      <c r="E11" s="470" t="e">
        <f>IF(E$5&gt;0,(INDEX(A_Aufgaben,(E$5-Arbeitszeit!$A$6+1),(2*(ROW()-ROW(A_Aufgabendatum))-1))),"")</f>
        <v>#VALUE!</v>
      </c>
      <c r="F11" s="471" t="e">
        <f>IF(F$5&gt;0,(INDEX(A_Aufgaben,(F$5-Arbeitszeit!$A$6+1),(2*(ROW()-ROW(A_Aufgabendatum))-1))),"")</f>
        <v>#VALUE!</v>
      </c>
      <c r="G11" s="470" t="e">
        <f>IF(G$5&gt;0,(INDEX(A_Aufgaben,(G$5-Arbeitszeit!$A$6+1),(2*(ROW()-ROW(A_Aufgabendatum))-1))),"")</f>
        <v>#VALUE!</v>
      </c>
      <c r="H11" s="471" t="e">
        <f>IF(H$5&gt;0,(INDEX(A_Aufgaben,(H$5-Arbeitszeit!$A$6+1),(2*(ROW()-ROW(A_Aufgabendatum))-1))),"")</f>
        <v>#VALUE!</v>
      </c>
      <c r="I11" s="470" t="e">
        <f>IF(I$5&gt;0,(INDEX(A_Aufgaben,(I$5-Arbeitszeit!$A$6+1),(2*(ROW()-ROW(A_Aufgabendatum))-1))),"")</f>
        <v>#VALUE!</v>
      </c>
      <c r="J11" s="471" t="e">
        <f>IF(J$5&gt;0,(INDEX(A_Aufgaben,(J$5-Arbeitszeit!$A$6+1),(2*(ROW()-ROW(A_Aufgabendatum))-1))),"")</f>
        <v>#VALUE!</v>
      </c>
      <c r="K11" s="470" t="e">
        <f>IF(K$5&gt;0,(INDEX(A_Aufgaben,(K$5-Arbeitszeit!$A$6+1),(2*(ROW()-ROW(A_Aufgabendatum))-1))),"")</f>
        <v>#VALUE!</v>
      </c>
      <c r="L11" s="471" t="e">
        <f>IF(L$5&gt;0,(INDEX(A_Aufgaben,(L$5-Arbeitszeit!$A$6+1),(2*(ROW()-ROW(A_Aufgabendatum))-1))),"")</f>
        <v>#VALUE!</v>
      </c>
      <c r="M11" s="470" t="e">
        <f>IF(M$5&gt;0,(INDEX(A_Aufgaben,(M$5-Arbeitszeit!$A$6+1),(2*(ROW()-ROW(A_Aufgabendatum))-1))),"")</f>
        <v>#VALUE!</v>
      </c>
      <c r="N11" s="471" t="e">
        <f>IF(N$5&gt;0,(INDEX(A_Aufgaben,(N$5-Arbeitszeit!$A$6+1),(2*(ROW()-ROW(A_Aufgabendatum))-1))),"")</f>
        <v>#VALUE!</v>
      </c>
      <c r="O11" s="470" t="e">
        <f>IF(O$5&gt;0,(INDEX(A_Aufgaben,(O$5-Arbeitszeit!$A$6+1),(2*(ROW()-ROW(A_Aufgabendatum))-1))),"")</f>
        <v>#VALUE!</v>
      </c>
      <c r="P11" s="471" t="e">
        <f>IF(P$5&gt;0,(INDEX(A_Aufgaben,(P$5-Arbeitszeit!$A$6+1),(2*(ROW()-ROW(A_Aufgabendatum))-1))),"")</f>
        <v>#VALUE!</v>
      </c>
      <c r="Q11" s="470" t="e">
        <f>IF(Q$5&gt;0,(INDEX(A_Aufgaben,(Q$5-Arbeitszeit!$A$6+1),(2*(ROW()-ROW(A_Aufgabendatum))-1))),"")</f>
        <v>#VALUE!</v>
      </c>
      <c r="R11" s="471" t="e">
        <f>IF(R$5&gt;0,(INDEX(A_Aufgaben,(R$5-Arbeitszeit!$A$6+1),(2*(ROW()-ROW(A_Aufgabendatum))-1))),"")</f>
        <v>#VALUE!</v>
      </c>
      <c r="S11" s="470" t="e">
        <f>IF(S$5&gt;0,(INDEX(A_Aufgaben,(S$5-Arbeitszeit!$A$6+1),(2*(ROW()-ROW(A_Aufgabendatum))-1))),"")</f>
        <v>#VALUE!</v>
      </c>
      <c r="T11" s="471" t="e">
        <f>IF(T$5&gt;0,(INDEX(A_Aufgaben,(T$5-Arbeitszeit!$A$6+1),(2*(ROW()-ROW(A_Aufgabendatum))-1))),"")</f>
        <v>#VALUE!</v>
      </c>
      <c r="U11" s="470" t="e">
        <f>IF(U$5&gt;0,(INDEX(A_Aufgaben,(U$5-Arbeitszeit!$A$6+1),(2*(ROW()-ROW(A_Aufgabendatum))-1))),"")</f>
        <v>#VALUE!</v>
      </c>
      <c r="V11" s="471" t="e">
        <f>IF(V$5&gt;0,(INDEX(A_Aufgaben,(V$5-Arbeitszeit!$A$6+1),(2*(ROW()-ROW(A_Aufgabendatum))-1))),"")</f>
        <v>#VALUE!</v>
      </c>
      <c r="W11" s="470" t="e">
        <f>IF(W$5&gt;0,(INDEX(A_Aufgaben,(W$5-Arbeitszeit!$A$6+1),(2*(ROW()-ROW(A_Aufgabendatum))-1))),"")</f>
        <v>#VALUE!</v>
      </c>
      <c r="X11" s="471" t="e">
        <f>IF(X$5&gt;0,(INDEX(A_Aufgaben,(X$5-Arbeitszeit!$A$6+1),(2*(ROW()-ROW(A_Aufgabendatum))-1))),"")</f>
        <v>#VALUE!</v>
      </c>
      <c r="Y11" s="470" t="e">
        <f>IF(Y$5&gt;0,(INDEX(A_Aufgaben,(Y$5-Arbeitszeit!$A$6+1),(2*(ROW()-ROW(A_Aufgabendatum))-1))),"")</f>
        <v>#VALUE!</v>
      </c>
      <c r="Z11" s="471" t="e">
        <f>IF(Z$5&gt;0,(INDEX(A_Aufgaben,(Z$5-Arbeitszeit!$A$6+1),(2*(ROW()-ROW(A_Aufgabendatum))-1))),"")</f>
        <v>#VALUE!</v>
      </c>
      <c r="AA11" s="470" t="e">
        <f>IF(AA$5&gt;0,(INDEX(A_Aufgaben,(AA$5-Arbeitszeit!$A$6+1),(2*(ROW()-ROW(A_Aufgabendatum))-1))),"")</f>
        <v>#VALUE!</v>
      </c>
      <c r="AB11" s="471" t="e">
        <f>IF(AB$5&gt;0,(INDEX(A_Aufgaben,(AB$5-Arbeitszeit!$A$6+1),(2*(ROW()-ROW(A_Aufgabendatum))-1))),"")</f>
        <v>#VALUE!</v>
      </c>
      <c r="AC11" s="470" t="e">
        <f>IF(AC$5&gt;0,(INDEX(A_Aufgaben,(AC$5-Arbeitszeit!$A$6+1),(2*(ROW()-ROW(A_Aufgabendatum))-1))),"")</f>
        <v>#VALUE!</v>
      </c>
      <c r="AD11" s="471" t="e">
        <f>IF(AD$5&gt;0,(INDEX(A_Aufgaben,(AD$5-Arbeitszeit!$A$6+1),(2*(ROW()-ROW(A_Aufgabendatum))-1))),"")</f>
        <v>#VALUE!</v>
      </c>
      <c r="AE11" s="470" t="e">
        <f>IF(AE$5&gt;0,(INDEX(A_Aufgaben,(AE$5-Arbeitszeit!$A$6+1),(2*(ROW()-ROW(A_Aufgabendatum))-1))),"")</f>
        <v>#VALUE!</v>
      </c>
      <c r="AF11" s="471" t="e">
        <f>IF(AF$5&gt;0,(INDEX(A_Aufgaben,(AF$5-Arbeitszeit!$A$6+1),(2*(ROW()-ROW(A_Aufgabendatum))-1))),"")</f>
        <v>#VALUE!</v>
      </c>
      <c r="AG11" s="470" t="e">
        <f>IF(AG$5&gt;0,(INDEX(A_Aufgaben,(AG$5-Arbeitszeit!$A$6+1),(2*(ROW()-ROW(A_Aufgabendatum))-1))),"")</f>
        <v>#VALUE!</v>
      </c>
      <c r="AH11" s="479" t="e">
        <f t="shared" si="1"/>
        <v>#VALUE!</v>
      </c>
      <c r="AI11" s="3">
        <f t="shared" si="2"/>
        <v>0</v>
      </c>
    </row>
    <row r="12" spans="1:37">
      <c r="A12">
        <f t="shared" si="3"/>
        <v>0</v>
      </c>
      <c r="B12" s="469" t="str">
        <f>Aufgaben!S3</f>
        <v>Aufgabe 04</v>
      </c>
      <c r="C12" s="470" t="e">
        <f>IF(C$5&gt;0,(INDEX(A_Aufgaben,(C$5-Arbeitszeit!$A$6+1),(2*(ROW()-ROW(A_Aufgabendatum))-1))),"")</f>
        <v>#VALUE!</v>
      </c>
      <c r="D12" s="471" t="e">
        <f>IF(D$5&gt;0,(INDEX(A_Aufgaben,(D$5-Arbeitszeit!$A$6+1),(2*(ROW()-ROW(A_Aufgabendatum))-1))),"")</f>
        <v>#VALUE!</v>
      </c>
      <c r="E12" s="470" t="e">
        <f>IF(E$5&gt;0,(INDEX(A_Aufgaben,(E$5-Arbeitszeit!$A$6+1),(2*(ROW()-ROW(A_Aufgabendatum))-1))),"")</f>
        <v>#VALUE!</v>
      </c>
      <c r="F12" s="471" t="e">
        <f>IF(F$5&gt;0,(INDEX(A_Aufgaben,(F$5-Arbeitszeit!$A$6+1),(2*(ROW()-ROW(A_Aufgabendatum))-1))),"")</f>
        <v>#VALUE!</v>
      </c>
      <c r="G12" s="470" t="e">
        <f>IF(G$5&gt;0,(INDEX(A_Aufgaben,(G$5-Arbeitszeit!$A$6+1),(2*(ROW()-ROW(A_Aufgabendatum))-1))),"")</f>
        <v>#VALUE!</v>
      </c>
      <c r="H12" s="471" t="e">
        <f>IF(H$5&gt;0,(INDEX(A_Aufgaben,(H$5-Arbeitszeit!$A$6+1),(2*(ROW()-ROW(A_Aufgabendatum))-1))),"")</f>
        <v>#VALUE!</v>
      </c>
      <c r="I12" s="470" t="e">
        <f>IF(I$5&gt;0,(INDEX(A_Aufgaben,(I$5-Arbeitszeit!$A$6+1),(2*(ROW()-ROW(A_Aufgabendatum))-1))),"")</f>
        <v>#VALUE!</v>
      </c>
      <c r="J12" s="471" t="e">
        <f>IF(J$5&gt;0,(INDEX(A_Aufgaben,(J$5-Arbeitszeit!$A$6+1),(2*(ROW()-ROW(A_Aufgabendatum))-1))),"")</f>
        <v>#VALUE!</v>
      </c>
      <c r="K12" s="470" t="e">
        <f>IF(K$5&gt;0,(INDEX(A_Aufgaben,(K$5-Arbeitszeit!$A$6+1),(2*(ROW()-ROW(A_Aufgabendatum))-1))),"")</f>
        <v>#VALUE!</v>
      </c>
      <c r="L12" s="471" t="e">
        <f>IF(L$5&gt;0,(INDEX(A_Aufgaben,(L$5-Arbeitszeit!$A$6+1),(2*(ROW()-ROW(A_Aufgabendatum))-1))),"")</f>
        <v>#VALUE!</v>
      </c>
      <c r="M12" s="470" t="e">
        <f>IF(M$5&gt;0,(INDEX(A_Aufgaben,(M$5-Arbeitszeit!$A$6+1),(2*(ROW()-ROW(A_Aufgabendatum))-1))),"")</f>
        <v>#VALUE!</v>
      </c>
      <c r="N12" s="471" t="e">
        <f>IF(N$5&gt;0,(INDEX(A_Aufgaben,(N$5-Arbeitszeit!$A$6+1),(2*(ROW()-ROW(A_Aufgabendatum))-1))),"")</f>
        <v>#VALUE!</v>
      </c>
      <c r="O12" s="470" t="e">
        <f>IF(O$5&gt;0,(INDEX(A_Aufgaben,(O$5-Arbeitszeit!$A$6+1),(2*(ROW()-ROW(A_Aufgabendatum))-1))),"")</f>
        <v>#VALUE!</v>
      </c>
      <c r="P12" s="471" t="e">
        <f>IF(P$5&gt;0,(INDEX(A_Aufgaben,(P$5-Arbeitszeit!$A$6+1),(2*(ROW()-ROW(A_Aufgabendatum))-1))),"")</f>
        <v>#VALUE!</v>
      </c>
      <c r="Q12" s="470" t="e">
        <f>IF(Q$5&gt;0,(INDEX(A_Aufgaben,(Q$5-Arbeitszeit!$A$6+1),(2*(ROW()-ROW(A_Aufgabendatum))-1))),"")</f>
        <v>#VALUE!</v>
      </c>
      <c r="R12" s="471" t="e">
        <f>IF(R$5&gt;0,(INDEX(A_Aufgaben,(R$5-Arbeitszeit!$A$6+1),(2*(ROW()-ROW(A_Aufgabendatum))-1))),"")</f>
        <v>#VALUE!</v>
      </c>
      <c r="S12" s="470" t="e">
        <f>IF(S$5&gt;0,(INDEX(A_Aufgaben,(S$5-Arbeitszeit!$A$6+1),(2*(ROW()-ROW(A_Aufgabendatum))-1))),"")</f>
        <v>#VALUE!</v>
      </c>
      <c r="T12" s="471" t="e">
        <f>IF(T$5&gt;0,(INDEX(A_Aufgaben,(T$5-Arbeitszeit!$A$6+1),(2*(ROW()-ROW(A_Aufgabendatum))-1))),"")</f>
        <v>#VALUE!</v>
      </c>
      <c r="U12" s="470" t="e">
        <f>IF(U$5&gt;0,(INDEX(A_Aufgaben,(U$5-Arbeitszeit!$A$6+1),(2*(ROW()-ROW(A_Aufgabendatum))-1))),"")</f>
        <v>#VALUE!</v>
      </c>
      <c r="V12" s="471" t="e">
        <f>IF(V$5&gt;0,(INDEX(A_Aufgaben,(V$5-Arbeitszeit!$A$6+1),(2*(ROW()-ROW(A_Aufgabendatum))-1))),"")</f>
        <v>#VALUE!</v>
      </c>
      <c r="W12" s="470" t="e">
        <f>IF(W$5&gt;0,(INDEX(A_Aufgaben,(W$5-Arbeitszeit!$A$6+1),(2*(ROW()-ROW(A_Aufgabendatum))-1))),"")</f>
        <v>#VALUE!</v>
      </c>
      <c r="X12" s="471" t="e">
        <f>IF(X$5&gt;0,(INDEX(A_Aufgaben,(X$5-Arbeitszeit!$A$6+1),(2*(ROW()-ROW(A_Aufgabendatum))-1))),"")</f>
        <v>#VALUE!</v>
      </c>
      <c r="Y12" s="470" t="e">
        <f>IF(Y$5&gt;0,(INDEX(A_Aufgaben,(Y$5-Arbeitszeit!$A$6+1),(2*(ROW()-ROW(A_Aufgabendatum))-1))),"")</f>
        <v>#VALUE!</v>
      </c>
      <c r="Z12" s="471" t="e">
        <f>IF(Z$5&gt;0,(INDEX(A_Aufgaben,(Z$5-Arbeitszeit!$A$6+1),(2*(ROW()-ROW(A_Aufgabendatum))-1))),"")</f>
        <v>#VALUE!</v>
      </c>
      <c r="AA12" s="470" t="e">
        <f>IF(AA$5&gt;0,(INDEX(A_Aufgaben,(AA$5-Arbeitszeit!$A$6+1),(2*(ROW()-ROW(A_Aufgabendatum))-1))),"")</f>
        <v>#VALUE!</v>
      </c>
      <c r="AB12" s="471" t="e">
        <f>IF(AB$5&gt;0,(INDEX(A_Aufgaben,(AB$5-Arbeitszeit!$A$6+1),(2*(ROW()-ROW(A_Aufgabendatum))-1))),"")</f>
        <v>#VALUE!</v>
      </c>
      <c r="AC12" s="470" t="e">
        <f>IF(AC$5&gt;0,(INDEX(A_Aufgaben,(AC$5-Arbeitszeit!$A$6+1),(2*(ROW()-ROW(A_Aufgabendatum))-1))),"")</f>
        <v>#VALUE!</v>
      </c>
      <c r="AD12" s="471" t="e">
        <f>IF(AD$5&gt;0,(INDEX(A_Aufgaben,(AD$5-Arbeitszeit!$A$6+1),(2*(ROW()-ROW(A_Aufgabendatum))-1))),"")</f>
        <v>#VALUE!</v>
      </c>
      <c r="AE12" s="470" t="e">
        <f>IF(AE$5&gt;0,(INDEX(A_Aufgaben,(AE$5-Arbeitszeit!$A$6+1),(2*(ROW()-ROW(A_Aufgabendatum))-1))),"")</f>
        <v>#VALUE!</v>
      </c>
      <c r="AF12" s="471" t="e">
        <f>IF(AF$5&gt;0,(INDEX(A_Aufgaben,(AF$5-Arbeitszeit!$A$6+1),(2*(ROW()-ROW(A_Aufgabendatum))-1))),"")</f>
        <v>#VALUE!</v>
      </c>
      <c r="AG12" s="470" t="e">
        <f>IF(AG$5&gt;0,(INDEX(A_Aufgaben,(AG$5-Arbeitszeit!$A$6+1),(2*(ROW()-ROW(A_Aufgabendatum))-1))),"")</f>
        <v>#VALUE!</v>
      </c>
      <c r="AH12" s="479" t="e">
        <f t="shared" si="1"/>
        <v>#VALUE!</v>
      </c>
      <c r="AI12" s="3">
        <f t="shared" si="2"/>
        <v>0</v>
      </c>
    </row>
    <row r="13" spans="1:37">
      <c r="A13">
        <f t="shared" si="3"/>
        <v>0</v>
      </c>
      <c r="B13" s="469" t="str">
        <f>Aufgaben!U3</f>
        <v>Aufgabe 05</v>
      </c>
      <c r="C13" s="470" t="e">
        <f>IF(C$5&gt;0,(INDEX(A_Aufgaben,(C$5-Arbeitszeit!$A$6+1),(2*(ROW()-ROW(A_Aufgabendatum))-1))),"")</f>
        <v>#VALUE!</v>
      </c>
      <c r="D13" s="471" t="e">
        <f>IF(D$5&gt;0,(INDEX(A_Aufgaben,(D$5-Arbeitszeit!$A$6+1),(2*(ROW()-ROW(A_Aufgabendatum))-1))),"")</f>
        <v>#VALUE!</v>
      </c>
      <c r="E13" s="470" t="e">
        <f>IF(E$5&gt;0,(INDEX(A_Aufgaben,(E$5-Arbeitszeit!$A$6+1),(2*(ROW()-ROW(A_Aufgabendatum))-1))),"")</f>
        <v>#VALUE!</v>
      </c>
      <c r="F13" s="471" t="e">
        <f>IF(F$5&gt;0,(INDEX(A_Aufgaben,(F$5-Arbeitszeit!$A$6+1),(2*(ROW()-ROW(A_Aufgabendatum))-1))),"")</f>
        <v>#VALUE!</v>
      </c>
      <c r="G13" s="470" t="e">
        <f>IF(G$5&gt;0,(INDEX(A_Aufgaben,(G$5-Arbeitszeit!$A$6+1),(2*(ROW()-ROW(A_Aufgabendatum))-1))),"")</f>
        <v>#VALUE!</v>
      </c>
      <c r="H13" s="471" t="e">
        <f>IF(H$5&gt;0,(INDEX(A_Aufgaben,(H$5-Arbeitszeit!$A$6+1),(2*(ROW()-ROW(A_Aufgabendatum))-1))),"")</f>
        <v>#VALUE!</v>
      </c>
      <c r="I13" s="470" t="e">
        <f>IF(I$5&gt;0,(INDEX(A_Aufgaben,(I$5-Arbeitszeit!$A$6+1),(2*(ROW()-ROW(A_Aufgabendatum))-1))),"")</f>
        <v>#VALUE!</v>
      </c>
      <c r="J13" s="471" t="e">
        <f>IF(J$5&gt;0,(INDEX(A_Aufgaben,(J$5-Arbeitszeit!$A$6+1),(2*(ROW()-ROW(A_Aufgabendatum))-1))),"")</f>
        <v>#VALUE!</v>
      </c>
      <c r="K13" s="470" t="e">
        <f>IF(K$5&gt;0,(INDEX(A_Aufgaben,(K$5-Arbeitszeit!$A$6+1),(2*(ROW()-ROW(A_Aufgabendatum))-1))),"")</f>
        <v>#VALUE!</v>
      </c>
      <c r="L13" s="471" t="e">
        <f>IF(L$5&gt;0,(INDEX(A_Aufgaben,(L$5-Arbeitszeit!$A$6+1),(2*(ROW()-ROW(A_Aufgabendatum))-1))),"")</f>
        <v>#VALUE!</v>
      </c>
      <c r="M13" s="470" t="e">
        <f>IF(M$5&gt;0,(INDEX(A_Aufgaben,(M$5-Arbeitszeit!$A$6+1),(2*(ROW()-ROW(A_Aufgabendatum))-1))),"")</f>
        <v>#VALUE!</v>
      </c>
      <c r="N13" s="471" t="e">
        <f>IF(N$5&gt;0,(INDEX(A_Aufgaben,(N$5-Arbeitszeit!$A$6+1),(2*(ROW()-ROW(A_Aufgabendatum))-1))),"")</f>
        <v>#VALUE!</v>
      </c>
      <c r="O13" s="470" t="e">
        <f>IF(O$5&gt;0,(INDEX(A_Aufgaben,(O$5-Arbeitszeit!$A$6+1),(2*(ROW()-ROW(A_Aufgabendatum))-1))),"")</f>
        <v>#VALUE!</v>
      </c>
      <c r="P13" s="471" t="e">
        <f>IF(P$5&gt;0,(INDEX(A_Aufgaben,(P$5-Arbeitszeit!$A$6+1),(2*(ROW()-ROW(A_Aufgabendatum))-1))),"")</f>
        <v>#VALUE!</v>
      </c>
      <c r="Q13" s="470" t="e">
        <f>IF(Q$5&gt;0,(INDEX(A_Aufgaben,(Q$5-Arbeitszeit!$A$6+1),(2*(ROW()-ROW(A_Aufgabendatum))-1))),"")</f>
        <v>#VALUE!</v>
      </c>
      <c r="R13" s="471" t="e">
        <f>IF(R$5&gt;0,(INDEX(A_Aufgaben,(R$5-Arbeitszeit!$A$6+1),(2*(ROW()-ROW(A_Aufgabendatum))-1))),"")</f>
        <v>#VALUE!</v>
      </c>
      <c r="S13" s="470" t="e">
        <f>IF(S$5&gt;0,(INDEX(A_Aufgaben,(S$5-Arbeitszeit!$A$6+1),(2*(ROW()-ROW(A_Aufgabendatum))-1))),"")</f>
        <v>#VALUE!</v>
      </c>
      <c r="T13" s="471" t="e">
        <f>IF(T$5&gt;0,(INDEX(A_Aufgaben,(T$5-Arbeitszeit!$A$6+1),(2*(ROW()-ROW(A_Aufgabendatum))-1))),"")</f>
        <v>#VALUE!</v>
      </c>
      <c r="U13" s="470" t="e">
        <f>IF(U$5&gt;0,(INDEX(A_Aufgaben,(U$5-Arbeitszeit!$A$6+1),(2*(ROW()-ROW(A_Aufgabendatum))-1))),"")</f>
        <v>#VALUE!</v>
      </c>
      <c r="V13" s="471" t="e">
        <f>IF(V$5&gt;0,(INDEX(A_Aufgaben,(V$5-Arbeitszeit!$A$6+1),(2*(ROW()-ROW(A_Aufgabendatum))-1))),"")</f>
        <v>#VALUE!</v>
      </c>
      <c r="W13" s="470" t="e">
        <f>IF(W$5&gt;0,(INDEX(A_Aufgaben,(W$5-Arbeitszeit!$A$6+1),(2*(ROW()-ROW(A_Aufgabendatum))-1))),"")</f>
        <v>#VALUE!</v>
      </c>
      <c r="X13" s="471" t="e">
        <f>IF(X$5&gt;0,(INDEX(A_Aufgaben,(X$5-Arbeitszeit!$A$6+1),(2*(ROW()-ROW(A_Aufgabendatum))-1))),"")</f>
        <v>#VALUE!</v>
      </c>
      <c r="Y13" s="470" t="e">
        <f>IF(Y$5&gt;0,(INDEX(A_Aufgaben,(Y$5-Arbeitszeit!$A$6+1),(2*(ROW()-ROW(A_Aufgabendatum))-1))),"")</f>
        <v>#VALUE!</v>
      </c>
      <c r="Z13" s="471" t="e">
        <f>IF(Z$5&gt;0,(INDEX(A_Aufgaben,(Z$5-Arbeitszeit!$A$6+1),(2*(ROW()-ROW(A_Aufgabendatum))-1))),"")</f>
        <v>#VALUE!</v>
      </c>
      <c r="AA13" s="470" t="e">
        <f>IF(AA$5&gt;0,(INDEX(A_Aufgaben,(AA$5-Arbeitszeit!$A$6+1),(2*(ROW()-ROW(A_Aufgabendatum))-1))),"")</f>
        <v>#VALUE!</v>
      </c>
      <c r="AB13" s="471" t="e">
        <f>IF(AB$5&gt;0,(INDEX(A_Aufgaben,(AB$5-Arbeitszeit!$A$6+1),(2*(ROW()-ROW(A_Aufgabendatum))-1))),"")</f>
        <v>#VALUE!</v>
      </c>
      <c r="AC13" s="470" t="e">
        <f>IF(AC$5&gt;0,(INDEX(A_Aufgaben,(AC$5-Arbeitszeit!$A$6+1),(2*(ROW()-ROW(A_Aufgabendatum))-1))),"")</f>
        <v>#VALUE!</v>
      </c>
      <c r="AD13" s="471" t="e">
        <f>IF(AD$5&gt;0,(INDEX(A_Aufgaben,(AD$5-Arbeitszeit!$A$6+1),(2*(ROW()-ROW(A_Aufgabendatum))-1))),"")</f>
        <v>#VALUE!</v>
      </c>
      <c r="AE13" s="470" t="e">
        <f>IF(AE$5&gt;0,(INDEX(A_Aufgaben,(AE$5-Arbeitszeit!$A$6+1),(2*(ROW()-ROW(A_Aufgabendatum))-1))),"")</f>
        <v>#VALUE!</v>
      </c>
      <c r="AF13" s="471" t="e">
        <f>IF(AF$5&gt;0,(INDEX(A_Aufgaben,(AF$5-Arbeitszeit!$A$6+1),(2*(ROW()-ROW(A_Aufgabendatum))-1))),"")</f>
        <v>#VALUE!</v>
      </c>
      <c r="AG13" s="470" t="e">
        <f>IF(AG$5&gt;0,(INDEX(A_Aufgaben,(AG$5-Arbeitszeit!$A$6+1),(2*(ROW()-ROW(A_Aufgabendatum))-1))),"")</f>
        <v>#VALUE!</v>
      </c>
      <c r="AH13" s="479" t="e">
        <f t="shared" si="1"/>
        <v>#VALUE!</v>
      </c>
      <c r="AI13" s="3">
        <f t="shared" si="2"/>
        <v>0</v>
      </c>
    </row>
    <row r="14" spans="1:37">
      <c r="A14">
        <f t="shared" si="3"/>
        <v>0</v>
      </c>
      <c r="B14" s="469" t="str">
        <f>Aufgaben!W3</f>
        <v>Aufgabe 06</v>
      </c>
      <c r="C14" s="470" t="e">
        <f>IF(C$5&gt;0,(INDEX(A_Aufgaben,(C$5-Arbeitszeit!$A$6+1),(2*(ROW()-ROW(A_Aufgabendatum))-1))),"")</f>
        <v>#VALUE!</v>
      </c>
      <c r="D14" s="471" t="e">
        <f>IF(D$5&gt;0,(INDEX(A_Aufgaben,(D$5-Arbeitszeit!$A$6+1),(2*(ROW()-ROW(A_Aufgabendatum))-1))),"")</f>
        <v>#VALUE!</v>
      </c>
      <c r="E14" s="470" t="e">
        <f>IF(E$5&gt;0,(INDEX(A_Aufgaben,(E$5-Arbeitszeit!$A$6+1),(2*(ROW()-ROW(A_Aufgabendatum))-1))),"")</f>
        <v>#VALUE!</v>
      </c>
      <c r="F14" s="471" t="e">
        <f>IF(F$5&gt;0,(INDEX(A_Aufgaben,(F$5-Arbeitszeit!$A$6+1),(2*(ROW()-ROW(A_Aufgabendatum))-1))),"")</f>
        <v>#VALUE!</v>
      </c>
      <c r="G14" s="470" t="e">
        <f>IF(G$5&gt;0,(INDEX(A_Aufgaben,(G$5-Arbeitszeit!$A$6+1),(2*(ROW()-ROW(A_Aufgabendatum))-1))),"")</f>
        <v>#VALUE!</v>
      </c>
      <c r="H14" s="471" t="e">
        <f>IF(H$5&gt;0,(INDEX(A_Aufgaben,(H$5-Arbeitszeit!$A$6+1),(2*(ROW()-ROW(A_Aufgabendatum))-1))),"")</f>
        <v>#VALUE!</v>
      </c>
      <c r="I14" s="470" t="e">
        <f>IF(I$5&gt;0,(INDEX(A_Aufgaben,(I$5-Arbeitszeit!$A$6+1),(2*(ROW()-ROW(A_Aufgabendatum))-1))),"")</f>
        <v>#VALUE!</v>
      </c>
      <c r="J14" s="471" t="e">
        <f>IF(J$5&gt;0,(INDEX(A_Aufgaben,(J$5-Arbeitszeit!$A$6+1),(2*(ROW()-ROW(A_Aufgabendatum))-1))),"")</f>
        <v>#VALUE!</v>
      </c>
      <c r="K14" s="470" t="e">
        <f>IF(K$5&gt;0,(INDEX(A_Aufgaben,(K$5-Arbeitszeit!$A$6+1),(2*(ROW()-ROW(A_Aufgabendatum))-1))),"")</f>
        <v>#VALUE!</v>
      </c>
      <c r="L14" s="471" t="e">
        <f>IF(L$5&gt;0,(INDEX(A_Aufgaben,(L$5-Arbeitszeit!$A$6+1),(2*(ROW()-ROW(A_Aufgabendatum))-1))),"")</f>
        <v>#VALUE!</v>
      </c>
      <c r="M14" s="470" t="e">
        <f>IF(M$5&gt;0,(INDEX(A_Aufgaben,(M$5-Arbeitszeit!$A$6+1),(2*(ROW()-ROW(A_Aufgabendatum))-1))),"")</f>
        <v>#VALUE!</v>
      </c>
      <c r="N14" s="471" t="e">
        <f>IF(N$5&gt;0,(INDEX(A_Aufgaben,(N$5-Arbeitszeit!$A$6+1),(2*(ROW()-ROW(A_Aufgabendatum))-1))),"")</f>
        <v>#VALUE!</v>
      </c>
      <c r="O14" s="470" t="e">
        <f>IF(O$5&gt;0,(INDEX(A_Aufgaben,(O$5-Arbeitszeit!$A$6+1),(2*(ROW()-ROW(A_Aufgabendatum))-1))),"")</f>
        <v>#VALUE!</v>
      </c>
      <c r="P14" s="471" t="e">
        <f>IF(P$5&gt;0,(INDEX(A_Aufgaben,(P$5-Arbeitszeit!$A$6+1),(2*(ROW()-ROW(A_Aufgabendatum))-1))),"")</f>
        <v>#VALUE!</v>
      </c>
      <c r="Q14" s="470" t="e">
        <f>IF(Q$5&gt;0,(INDEX(A_Aufgaben,(Q$5-Arbeitszeit!$A$6+1),(2*(ROW()-ROW(A_Aufgabendatum))-1))),"")</f>
        <v>#VALUE!</v>
      </c>
      <c r="R14" s="471" t="e">
        <f>IF(R$5&gt;0,(INDEX(A_Aufgaben,(R$5-Arbeitszeit!$A$6+1),(2*(ROW()-ROW(A_Aufgabendatum))-1))),"")</f>
        <v>#VALUE!</v>
      </c>
      <c r="S14" s="470" t="e">
        <f>IF(S$5&gt;0,(INDEX(A_Aufgaben,(S$5-Arbeitszeit!$A$6+1),(2*(ROW()-ROW(A_Aufgabendatum))-1))),"")</f>
        <v>#VALUE!</v>
      </c>
      <c r="T14" s="471" t="e">
        <f>IF(T$5&gt;0,(INDEX(A_Aufgaben,(T$5-Arbeitszeit!$A$6+1),(2*(ROW()-ROW(A_Aufgabendatum))-1))),"")</f>
        <v>#VALUE!</v>
      </c>
      <c r="U14" s="470" t="e">
        <f>IF(U$5&gt;0,(INDEX(A_Aufgaben,(U$5-Arbeitszeit!$A$6+1),(2*(ROW()-ROW(A_Aufgabendatum))-1))),"")</f>
        <v>#VALUE!</v>
      </c>
      <c r="V14" s="471" t="e">
        <f>IF(V$5&gt;0,(INDEX(A_Aufgaben,(V$5-Arbeitszeit!$A$6+1),(2*(ROW()-ROW(A_Aufgabendatum))-1))),"")</f>
        <v>#VALUE!</v>
      </c>
      <c r="W14" s="470" t="e">
        <f>IF(W$5&gt;0,(INDEX(A_Aufgaben,(W$5-Arbeitszeit!$A$6+1),(2*(ROW()-ROW(A_Aufgabendatum))-1))),"")</f>
        <v>#VALUE!</v>
      </c>
      <c r="X14" s="471" t="e">
        <f>IF(X$5&gt;0,(INDEX(A_Aufgaben,(X$5-Arbeitszeit!$A$6+1),(2*(ROW()-ROW(A_Aufgabendatum))-1))),"")</f>
        <v>#VALUE!</v>
      </c>
      <c r="Y14" s="470" t="e">
        <f>IF(Y$5&gt;0,(INDEX(A_Aufgaben,(Y$5-Arbeitszeit!$A$6+1),(2*(ROW()-ROW(A_Aufgabendatum))-1))),"")</f>
        <v>#VALUE!</v>
      </c>
      <c r="Z14" s="471" t="e">
        <f>IF(Z$5&gt;0,(INDEX(A_Aufgaben,(Z$5-Arbeitszeit!$A$6+1),(2*(ROW()-ROW(A_Aufgabendatum))-1))),"")</f>
        <v>#VALUE!</v>
      </c>
      <c r="AA14" s="470" t="e">
        <f>IF(AA$5&gt;0,(INDEX(A_Aufgaben,(AA$5-Arbeitszeit!$A$6+1),(2*(ROW()-ROW(A_Aufgabendatum))-1))),"")</f>
        <v>#VALUE!</v>
      </c>
      <c r="AB14" s="471" t="e">
        <f>IF(AB$5&gt;0,(INDEX(A_Aufgaben,(AB$5-Arbeitszeit!$A$6+1),(2*(ROW()-ROW(A_Aufgabendatum))-1))),"")</f>
        <v>#VALUE!</v>
      </c>
      <c r="AC14" s="470" t="e">
        <f>IF(AC$5&gt;0,(INDEX(A_Aufgaben,(AC$5-Arbeitszeit!$A$6+1),(2*(ROW()-ROW(A_Aufgabendatum))-1))),"")</f>
        <v>#VALUE!</v>
      </c>
      <c r="AD14" s="471" t="e">
        <f>IF(AD$5&gt;0,(INDEX(A_Aufgaben,(AD$5-Arbeitszeit!$A$6+1),(2*(ROW()-ROW(A_Aufgabendatum))-1))),"")</f>
        <v>#VALUE!</v>
      </c>
      <c r="AE14" s="470" t="e">
        <f>IF(AE$5&gt;0,(INDEX(A_Aufgaben,(AE$5-Arbeitszeit!$A$6+1),(2*(ROW()-ROW(A_Aufgabendatum))-1))),"")</f>
        <v>#VALUE!</v>
      </c>
      <c r="AF14" s="471" t="e">
        <f>IF(AF$5&gt;0,(INDEX(A_Aufgaben,(AF$5-Arbeitszeit!$A$6+1),(2*(ROW()-ROW(A_Aufgabendatum))-1))),"")</f>
        <v>#VALUE!</v>
      </c>
      <c r="AG14" s="470" t="e">
        <f>IF(AG$5&gt;0,(INDEX(A_Aufgaben,(AG$5-Arbeitszeit!$A$6+1),(2*(ROW()-ROW(A_Aufgabendatum))-1))),"")</f>
        <v>#VALUE!</v>
      </c>
      <c r="AH14" s="479" t="e">
        <f t="shared" si="1"/>
        <v>#VALUE!</v>
      </c>
      <c r="AI14" s="3">
        <f t="shared" si="2"/>
        <v>0</v>
      </c>
    </row>
    <row r="15" spans="1:37">
      <c r="A15">
        <f t="shared" si="3"/>
        <v>0</v>
      </c>
      <c r="B15" s="469" t="str">
        <f>Aufgaben!Y3</f>
        <v>Aufgabe 07</v>
      </c>
      <c r="C15" s="470" t="e">
        <f>IF(C$5&gt;0,(INDEX(A_Aufgaben,(C$5-Arbeitszeit!$A$6+1),(2*(ROW()-ROW(A_Aufgabendatum))-1))),"")</f>
        <v>#VALUE!</v>
      </c>
      <c r="D15" s="471" t="e">
        <f>IF(D$5&gt;0,(INDEX(A_Aufgaben,(D$5-Arbeitszeit!$A$6+1),(2*(ROW()-ROW(A_Aufgabendatum))-1))),"")</f>
        <v>#VALUE!</v>
      </c>
      <c r="E15" s="470" t="e">
        <f>IF(E$5&gt;0,(INDEX(A_Aufgaben,(E$5-Arbeitszeit!$A$6+1),(2*(ROW()-ROW(A_Aufgabendatum))-1))),"")</f>
        <v>#VALUE!</v>
      </c>
      <c r="F15" s="471" t="e">
        <f>IF(F$5&gt;0,(INDEX(A_Aufgaben,(F$5-Arbeitszeit!$A$6+1),(2*(ROW()-ROW(A_Aufgabendatum))-1))),"")</f>
        <v>#VALUE!</v>
      </c>
      <c r="G15" s="470" t="e">
        <f>IF(G$5&gt;0,(INDEX(A_Aufgaben,(G$5-Arbeitszeit!$A$6+1),(2*(ROW()-ROW(A_Aufgabendatum))-1))),"")</f>
        <v>#VALUE!</v>
      </c>
      <c r="H15" s="471" t="e">
        <f>IF(H$5&gt;0,(INDEX(A_Aufgaben,(H$5-Arbeitszeit!$A$6+1),(2*(ROW()-ROW(A_Aufgabendatum))-1))),"")</f>
        <v>#VALUE!</v>
      </c>
      <c r="I15" s="470" t="e">
        <f>IF(I$5&gt;0,(INDEX(A_Aufgaben,(I$5-Arbeitszeit!$A$6+1),(2*(ROW()-ROW(A_Aufgabendatum))-1))),"")</f>
        <v>#VALUE!</v>
      </c>
      <c r="J15" s="471" t="e">
        <f>IF(J$5&gt;0,(INDEX(A_Aufgaben,(J$5-Arbeitszeit!$A$6+1),(2*(ROW()-ROW(A_Aufgabendatum))-1))),"")</f>
        <v>#VALUE!</v>
      </c>
      <c r="K15" s="470" t="e">
        <f>IF(K$5&gt;0,(INDEX(A_Aufgaben,(K$5-Arbeitszeit!$A$6+1),(2*(ROW()-ROW(A_Aufgabendatum))-1))),"")</f>
        <v>#VALUE!</v>
      </c>
      <c r="L15" s="471" t="e">
        <f>IF(L$5&gt;0,(INDEX(A_Aufgaben,(L$5-Arbeitszeit!$A$6+1),(2*(ROW()-ROW(A_Aufgabendatum))-1))),"")</f>
        <v>#VALUE!</v>
      </c>
      <c r="M15" s="470" t="e">
        <f>IF(M$5&gt;0,(INDEX(A_Aufgaben,(M$5-Arbeitszeit!$A$6+1),(2*(ROW()-ROW(A_Aufgabendatum))-1))),"")</f>
        <v>#VALUE!</v>
      </c>
      <c r="N15" s="471" t="e">
        <f>IF(N$5&gt;0,(INDEX(A_Aufgaben,(N$5-Arbeitszeit!$A$6+1),(2*(ROW()-ROW(A_Aufgabendatum))-1))),"")</f>
        <v>#VALUE!</v>
      </c>
      <c r="O15" s="470" t="e">
        <f>IF(O$5&gt;0,(INDEX(A_Aufgaben,(O$5-Arbeitszeit!$A$6+1),(2*(ROW()-ROW(A_Aufgabendatum))-1))),"")</f>
        <v>#VALUE!</v>
      </c>
      <c r="P15" s="471" t="e">
        <f>IF(P$5&gt;0,(INDEX(A_Aufgaben,(P$5-Arbeitszeit!$A$6+1),(2*(ROW()-ROW(A_Aufgabendatum))-1))),"")</f>
        <v>#VALUE!</v>
      </c>
      <c r="Q15" s="470" t="e">
        <f>IF(Q$5&gt;0,(INDEX(A_Aufgaben,(Q$5-Arbeitszeit!$A$6+1),(2*(ROW()-ROW(A_Aufgabendatum))-1))),"")</f>
        <v>#VALUE!</v>
      </c>
      <c r="R15" s="471" t="e">
        <f>IF(R$5&gt;0,(INDEX(A_Aufgaben,(R$5-Arbeitszeit!$A$6+1),(2*(ROW()-ROW(A_Aufgabendatum))-1))),"")</f>
        <v>#VALUE!</v>
      </c>
      <c r="S15" s="470" t="e">
        <f>IF(S$5&gt;0,(INDEX(A_Aufgaben,(S$5-Arbeitszeit!$A$6+1),(2*(ROW()-ROW(A_Aufgabendatum))-1))),"")</f>
        <v>#VALUE!</v>
      </c>
      <c r="T15" s="471" t="e">
        <f>IF(T$5&gt;0,(INDEX(A_Aufgaben,(T$5-Arbeitszeit!$A$6+1),(2*(ROW()-ROW(A_Aufgabendatum))-1))),"")</f>
        <v>#VALUE!</v>
      </c>
      <c r="U15" s="470" t="e">
        <f>IF(U$5&gt;0,(INDEX(A_Aufgaben,(U$5-Arbeitszeit!$A$6+1),(2*(ROW()-ROW(A_Aufgabendatum))-1))),"")</f>
        <v>#VALUE!</v>
      </c>
      <c r="V15" s="471" t="e">
        <f>IF(V$5&gt;0,(INDEX(A_Aufgaben,(V$5-Arbeitszeit!$A$6+1),(2*(ROW()-ROW(A_Aufgabendatum))-1))),"")</f>
        <v>#VALUE!</v>
      </c>
      <c r="W15" s="470" t="e">
        <f>IF(W$5&gt;0,(INDEX(A_Aufgaben,(W$5-Arbeitszeit!$A$6+1),(2*(ROW()-ROW(A_Aufgabendatum))-1))),"")</f>
        <v>#VALUE!</v>
      </c>
      <c r="X15" s="471" t="e">
        <f>IF(X$5&gt;0,(INDEX(A_Aufgaben,(X$5-Arbeitszeit!$A$6+1),(2*(ROW()-ROW(A_Aufgabendatum))-1))),"")</f>
        <v>#VALUE!</v>
      </c>
      <c r="Y15" s="470" t="e">
        <f>IF(Y$5&gt;0,(INDEX(A_Aufgaben,(Y$5-Arbeitszeit!$A$6+1),(2*(ROW()-ROW(A_Aufgabendatum))-1))),"")</f>
        <v>#VALUE!</v>
      </c>
      <c r="Z15" s="471" t="e">
        <f>IF(Z$5&gt;0,(INDEX(A_Aufgaben,(Z$5-Arbeitszeit!$A$6+1),(2*(ROW()-ROW(A_Aufgabendatum))-1))),"")</f>
        <v>#VALUE!</v>
      </c>
      <c r="AA15" s="470" t="e">
        <f>IF(AA$5&gt;0,(INDEX(A_Aufgaben,(AA$5-Arbeitszeit!$A$6+1),(2*(ROW()-ROW(A_Aufgabendatum))-1))),"")</f>
        <v>#VALUE!</v>
      </c>
      <c r="AB15" s="471" t="e">
        <f>IF(AB$5&gt;0,(INDEX(A_Aufgaben,(AB$5-Arbeitszeit!$A$6+1),(2*(ROW()-ROW(A_Aufgabendatum))-1))),"")</f>
        <v>#VALUE!</v>
      </c>
      <c r="AC15" s="470" t="e">
        <f>IF(AC$5&gt;0,(INDEX(A_Aufgaben,(AC$5-Arbeitszeit!$A$6+1),(2*(ROW()-ROW(A_Aufgabendatum))-1))),"")</f>
        <v>#VALUE!</v>
      </c>
      <c r="AD15" s="471" t="e">
        <f>IF(AD$5&gt;0,(INDEX(A_Aufgaben,(AD$5-Arbeitszeit!$A$6+1),(2*(ROW()-ROW(A_Aufgabendatum))-1))),"")</f>
        <v>#VALUE!</v>
      </c>
      <c r="AE15" s="470" t="e">
        <f>IF(AE$5&gt;0,(INDEX(A_Aufgaben,(AE$5-Arbeitszeit!$A$6+1),(2*(ROW()-ROW(A_Aufgabendatum))-1))),"")</f>
        <v>#VALUE!</v>
      </c>
      <c r="AF15" s="471" t="e">
        <f>IF(AF$5&gt;0,(INDEX(A_Aufgaben,(AF$5-Arbeitszeit!$A$6+1),(2*(ROW()-ROW(A_Aufgabendatum))-1))),"")</f>
        <v>#VALUE!</v>
      </c>
      <c r="AG15" s="470" t="e">
        <f>IF(AG$5&gt;0,(INDEX(A_Aufgaben,(AG$5-Arbeitszeit!$A$6+1),(2*(ROW()-ROW(A_Aufgabendatum))-1))),"")</f>
        <v>#VALUE!</v>
      </c>
      <c r="AH15" s="479" t="e">
        <f t="shared" si="1"/>
        <v>#VALUE!</v>
      </c>
      <c r="AI15" s="3">
        <f t="shared" si="2"/>
        <v>0</v>
      </c>
      <c r="AK15" s="269"/>
    </row>
    <row r="16" spans="1:37">
      <c r="A16">
        <f t="shared" si="3"/>
        <v>0</v>
      </c>
      <c r="B16" s="469" t="str">
        <f>Aufgaben!AA3</f>
        <v>Aufgabe 08</v>
      </c>
      <c r="C16" s="470" t="e">
        <f>IF(C$5&gt;0,(INDEX(A_Aufgaben,(C$5-Arbeitszeit!$A$6+1),(2*(ROW()-ROW(A_Aufgabendatum))-1))),"")</f>
        <v>#VALUE!</v>
      </c>
      <c r="D16" s="471" t="e">
        <f>IF(D$5&gt;0,(INDEX(A_Aufgaben,(D$5-Arbeitszeit!$A$6+1),(2*(ROW()-ROW(A_Aufgabendatum))-1))),"")</f>
        <v>#VALUE!</v>
      </c>
      <c r="E16" s="470" t="e">
        <f>IF(E$5&gt;0,(INDEX(A_Aufgaben,(E$5-Arbeitszeit!$A$6+1),(2*(ROW()-ROW(A_Aufgabendatum))-1))),"")</f>
        <v>#VALUE!</v>
      </c>
      <c r="F16" s="471" t="e">
        <f>IF(F$5&gt;0,(INDEX(A_Aufgaben,(F$5-Arbeitszeit!$A$6+1),(2*(ROW()-ROW(A_Aufgabendatum))-1))),"")</f>
        <v>#VALUE!</v>
      </c>
      <c r="G16" s="470" t="e">
        <f>IF(G$5&gt;0,(INDEX(A_Aufgaben,(G$5-Arbeitszeit!$A$6+1),(2*(ROW()-ROW(A_Aufgabendatum))-1))),"")</f>
        <v>#VALUE!</v>
      </c>
      <c r="H16" s="471" t="e">
        <f>IF(H$5&gt;0,(INDEX(A_Aufgaben,(H$5-Arbeitszeit!$A$6+1),(2*(ROW()-ROW(A_Aufgabendatum))-1))),"")</f>
        <v>#VALUE!</v>
      </c>
      <c r="I16" s="470" t="e">
        <f>IF(I$5&gt;0,(INDEX(A_Aufgaben,(I$5-Arbeitszeit!$A$6+1),(2*(ROW()-ROW(A_Aufgabendatum))-1))),"")</f>
        <v>#VALUE!</v>
      </c>
      <c r="J16" s="471" t="e">
        <f>IF(J$5&gt;0,(INDEX(A_Aufgaben,(J$5-Arbeitszeit!$A$6+1),(2*(ROW()-ROW(A_Aufgabendatum))-1))),"")</f>
        <v>#VALUE!</v>
      </c>
      <c r="K16" s="470" t="e">
        <f>IF(K$5&gt;0,(INDEX(A_Aufgaben,(K$5-Arbeitszeit!$A$6+1),(2*(ROW()-ROW(A_Aufgabendatum))-1))),"")</f>
        <v>#VALUE!</v>
      </c>
      <c r="L16" s="471" t="e">
        <f>IF(L$5&gt;0,(INDEX(A_Aufgaben,(L$5-Arbeitszeit!$A$6+1),(2*(ROW()-ROW(A_Aufgabendatum))-1))),"")</f>
        <v>#VALUE!</v>
      </c>
      <c r="M16" s="470" t="e">
        <f>IF(M$5&gt;0,(INDEX(A_Aufgaben,(M$5-Arbeitszeit!$A$6+1),(2*(ROW()-ROW(A_Aufgabendatum))-1))),"")</f>
        <v>#VALUE!</v>
      </c>
      <c r="N16" s="471" t="e">
        <f>IF(N$5&gt;0,(INDEX(A_Aufgaben,(N$5-Arbeitszeit!$A$6+1),(2*(ROW()-ROW(A_Aufgabendatum))-1))),"")</f>
        <v>#VALUE!</v>
      </c>
      <c r="O16" s="470" t="e">
        <f>IF(O$5&gt;0,(INDEX(A_Aufgaben,(O$5-Arbeitszeit!$A$6+1),(2*(ROW()-ROW(A_Aufgabendatum))-1))),"")</f>
        <v>#VALUE!</v>
      </c>
      <c r="P16" s="471" t="e">
        <f>IF(P$5&gt;0,(INDEX(A_Aufgaben,(P$5-Arbeitszeit!$A$6+1),(2*(ROW()-ROW(A_Aufgabendatum))-1))),"")</f>
        <v>#VALUE!</v>
      </c>
      <c r="Q16" s="470" t="e">
        <f>IF(Q$5&gt;0,(INDEX(A_Aufgaben,(Q$5-Arbeitszeit!$A$6+1),(2*(ROW()-ROW(A_Aufgabendatum))-1))),"")</f>
        <v>#VALUE!</v>
      </c>
      <c r="R16" s="471" t="e">
        <f>IF(R$5&gt;0,(INDEX(A_Aufgaben,(R$5-Arbeitszeit!$A$6+1),(2*(ROW()-ROW(A_Aufgabendatum))-1))),"")</f>
        <v>#VALUE!</v>
      </c>
      <c r="S16" s="470" t="e">
        <f>IF(S$5&gt;0,(INDEX(A_Aufgaben,(S$5-Arbeitszeit!$A$6+1),(2*(ROW()-ROW(A_Aufgabendatum))-1))),"")</f>
        <v>#VALUE!</v>
      </c>
      <c r="T16" s="471" t="e">
        <f>IF(T$5&gt;0,(INDEX(A_Aufgaben,(T$5-Arbeitszeit!$A$6+1),(2*(ROW()-ROW(A_Aufgabendatum))-1))),"")</f>
        <v>#VALUE!</v>
      </c>
      <c r="U16" s="470" t="e">
        <f>IF(U$5&gt;0,(INDEX(A_Aufgaben,(U$5-Arbeitszeit!$A$6+1),(2*(ROW()-ROW(A_Aufgabendatum))-1))),"")</f>
        <v>#VALUE!</v>
      </c>
      <c r="V16" s="471" t="e">
        <f>IF(V$5&gt;0,(INDEX(A_Aufgaben,(V$5-Arbeitszeit!$A$6+1),(2*(ROW()-ROW(A_Aufgabendatum))-1))),"")</f>
        <v>#VALUE!</v>
      </c>
      <c r="W16" s="470" t="e">
        <f>IF(W$5&gt;0,(INDEX(A_Aufgaben,(W$5-Arbeitszeit!$A$6+1),(2*(ROW()-ROW(A_Aufgabendatum))-1))),"")</f>
        <v>#VALUE!</v>
      </c>
      <c r="X16" s="471" t="e">
        <f>IF(X$5&gt;0,(INDEX(A_Aufgaben,(X$5-Arbeitszeit!$A$6+1),(2*(ROW()-ROW(A_Aufgabendatum))-1))),"")</f>
        <v>#VALUE!</v>
      </c>
      <c r="Y16" s="470" t="e">
        <f>IF(Y$5&gt;0,(INDEX(A_Aufgaben,(Y$5-Arbeitszeit!$A$6+1),(2*(ROW()-ROW(A_Aufgabendatum))-1))),"")</f>
        <v>#VALUE!</v>
      </c>
      <c r="Z16" s="471" t="e">
        <f>IF(Z$5&gt;0,(INDEX(A_Aufgaben,(Z$5-Arbeitszeit!$A$6+1),(2*(ROW()-ROW(A_Aufgabendatum))-1))),"")</f>
        <v>#VALUE!</v>
      </c>
      <c r="AA16" s="470" t="e">
        <f>IF(AA$5&gt;0,(INDEX(A_Aufgaben,(AA$5-Arbeitszeit!$A$6+1),(2*(ROW()-ROW(A_Aufgabendatum))-1))),"")</f>
        <v>#VALUE!</v>
      </c>
      <c r="AB16" s="471" t="e">
        <f>IF(AB$5&gt;0,(INDEX(A_Aufgaben,(AB$5-Arbeitszeit!$A$6+1),(2*(ROW()-ROW(A_Aufgabendatum))-1))),"")</f>
        <v>#VALUE!</v>
      </c>
      <c r="AC16" s="470" t="e">
        <f>IF(AC$5&gt;0,(INDEX(A_Aufgaben,(AC$5-Arbeitszeit!$A$6+1),(2*(ROW()-ROW(A_Aufgabendatum))-1))),"")</f>
        <v>#VALUE!</v>
      </c>
      <c r="AD16" s="471" t="e">
        <f>IF(AD$5&gt;0,(INDEX(A_Aufgaben,(AD$5-Arbeitszeit!$A$6+1),(2*(ROW()-ROW(A_Aufgabendatum))-1))),"")</f>
        <v>#VALUE!</v>
      </c>
      <c r="AE16" s="470" t="e">
        <f>IF(AE$5&gt;0,(INDEX(A_Aufgaben,(AE$5-Arbeitszeit!$A$6+1),(2*(ROW()-ROW(A_Aufgabendatum))-1))),"")</f>
        <v>#VALUE!</v>
      </c>
      <c r="AF16" s="471" t="e">
        <f>IF(AF$5&gt;0,(INDEX(A_Aufgaben,(AF$5-Arbeitszeit!$A$6+1),(2*(ROW()-ROW(A_Aufgabendatum))-1))),"")</f>
        <v>#VALUE!</v>
      </c>
      <c r="AG16" s="470" t="e">
        <f>IF(AG$5&gt;0,(INDEX(A_Aufgaben,(AG$5-Arbeitszeit!$A$6+1),(2*(ROW()-ROW(A_Aufgabendatum))-1))),"")</f>
        <v>#VALUE!</v>
      </c>
      <c r="AH16" s="479" t="e">
        <f t="shared" si="1"/>
        <v>#VALUE!</v>
      </c>
      <c r="AI16" s="3">
        <f t="shared" si="2"/>
        <v>0</v>
      </c>
    </row>
    <row r="17" spans="1:35">
      <c r="A17">
        <f t="shared" si="3"/>
        <v>0</v>
      </c>
      <c r="B17" s="469" t="str">
        <f>Aufgaben!AC3</f>
        <v>Aufgabe 09</v>
      </c>
      <c r="C17" s="470" t="e">
        <f>IF(C$5&gt;0,(INDEX(A_Aufgaben,(C$5-Arbeitszeit!$A$6+1),(2*(ROW()-ROW(A_Aufgabendatum))-1))),"")</f>
        <v>#VALUE!</v>
      </c>
      <c r="D17" s="471" t="e">
        <f>IF(D$5&gt;0,(INDEX(A_Aufgaben,(D$5-Arbeitszeit!$A$6+1),(2*(ROW()-ROW(A_Aufgabendatum))-1))),"")</f>
        <v>#VALUE!</v>
      </c>
      <c r="E17" s="470" t="e">
        <f>IF(E$5&gt;0,(INDEX(A_Aufgaben,(E$5-Arbeitszeit!$A$6+1),(2*(ROW()-ROW(A_Aufgabendatum))-1))),"")</f>
        <v>#VALUE!</v>
      </c>
      <c r="F17" s="471" t="e">
        <f>IF(F$5&gt;0,(INDEX(A_Aufgaben,(F$5-Arbeitszeit!$A$6+1),(2*(ROW()-ROW(A_Aufgabendatum))-1))),"")</f>
        <v>#VALUE!</v>
      </c>
      <c r="G17" s="470" t="e">
        <f>IF(G$5&gt;0,(INDEX(A_Aufgaben,(G$5-Arbeitszeit!$A$6+1),(2*(ROW()-ROW(A_Aufgabendatum))-1))),"")</f>
        <v>#VALUE!</v>
      </c>
      <c r="H17" s="471" t="e">
        <f>IF(H$5&gt;0,(INDEX(A_Aufgaben,(H$5-Arbeitszeit!$A$6+1),(2*(ROW()-ROW(A_Aufgabendatum))-1))),"")</f>
        <v>#VALUE!</v>
      </c>
      <c r="I17" s="470" t="e">
        <f>IF(I$5&gt;0,(INDEX(A_Aufgaben,(I$5-Arbeitszeit!$A$6+1),(2*(ROW()-ROW(A_Aufgabendatum))-1))),"")</f>
        <v>#VALUE!</v>
      </c>
      <c r="J17" s="471" t="e">
        <f>IF(J$5&gt;0,(INDEX(A_Aufgaben,(J$5-Arbeitszeit!$A$6+1),(2*(ROW()-ROW(A_Aufgabendatum))-1))),"")</f>
        <v>#VALUE!</v>
      </c>
      <c r="K17" s="470" t="e">
        <f>IF(K$5&gt;0,(INDEX(A_Aufgaben,(K$5-Arbeitszeit!$A$6+1),(2*(ROW()-ROW(A_Aufgabendatum))-1))),"")</f>
        <v>#VALUE!</v>
      </c>
      <c r="L17" s="471" t="e">
        <f>IF(L$5&gt;0,(INDEX(A_Aufgaben,(L$5-Arbeitszeit!$A$6+1),(2*(ROW()-ROW(A_Aufgabendatum))-1))),"")</f>
        <v>#VALUE!</v>
      </c>
      <c r="M17" s="470" t="e">
        <f>IF(M$5&gt;0,(INDEX(A_Aufgaben,(M$5-Arbeitszeit!$A$6+1),(2*(ROW()-ROW(A_Aufgabendatum))-1))),"")</f>
        <v>#VALUE!</v>
      </c>
      <c r="N17" s="471" t="e">
        <f>IF(N$5&gt;0,(INDEX(A_Aufgaben,(N$5-Arbeitszeit!$A$6+1),(2*(ROW()-ROW(A_Aufgabendatum))-1))),"")</f>
        <v>#VALUE!</v>
      </c>
      <c r="O17" s="470" t="e">
        <f>IF(O$5&gt;0,(INDEX(A_Aufgaben,(O$5-Arbeitszeit!$A$6+1),(2*(ROW()-ROW(A_Aufgabendatum))-1))),"")</f>
        <v>#VALUE!</v>
      </c>
      <c r="P17" s="471" t="e">
        <f>IF(P$5&gt;0,(INDEX(A_Aufgaben,(P$5-Arbeitszeit!$A$6+1),(2*(ROW()-ROW(A_Aufgabendatum))-1))),"")</f>
        <v>#VALUE!</v>
      </c>
      <c r="Q17" s="470" t="e">
        <f>IF(Q$5&gt;0,(INDEX(A_Aufgaben,(Q$5-Arbeitszeit!$A$6+1),(2*(ROW()-ROW(A_Aufgabendatum))-1))),"")</f>
        <v>#VALUE!</v>
      </c>
      <c r="R17" s="471" t="e">
        <f>IF(R$5&gt;0,(INDEX(A_Aufgaben,(R$5-Arbeitszeit!$A$6+1),(2*(ROW()-ROW(A_Aufgabendatum))-1))),"")</f>
        <v>#VALUE!</v>
      </c>
      <c r="S17" s="470" t="e">
        <f>IF(S$5&gt;0,(INDEX(A_Aufgaben,(S$5-Arbeitszeit!$A$6+1),(2*(ROW()-ROW(A_Aufgabendatum))-1))),"")</f>
        <v>#VALUE!</v>
      </c>
      <c r="T17" s="471" t="e">
        <f>IF(T$5&gt;0,(INDEX(A_Aufgaben,(T$5-Arbeitszeit!$A$6+1),(2*(ROW()-ROW(A_Aufgabendatum))-1))),"")</f>
        <v>#VALUE!</v>
      </c>
      <c r="U17" s="470" t="e">
        <f>IF(U$5&gt;0,(INDEX(A_Aufgaben,(U$5-Arbeitszeit!$A$6+1),(2*(ROW()-ROW(A_Aufgabendatum))-1))),"")</f>
        <v>#VALUE!</v>
      </c>
      <c r="V17" s="471" t="e">
        <f>IF(V$5&gt;0,(INDEX(A_Aufgaben,(V$5-Arbeitszeit!$A$6+1),(2*(ROW()-ROW(A_Aufgabendatum))-1))),"")</f>
        <v>#VALUE!</v>
      </c>
      <c r="W17" s="470" t="e">
        <f>IF(W$5&gt;0,(INDEX(A_Aufgaben,(W$5-Arbeitszeit!$A$6+1),(2*(ROW()-ROW(A_Aufgabendatum))-1))),"")</f>
        <v>#VALUE!</v>
      </c>
      <c r="X17" s="471" t="e">
        <f>IF(X$5&gt;0,(INDEX(A_Aufgaben,(X$5-Arbeitszeit!$A$6+1),(2*(ROW()-ROW(A_Aufgabendatum))-1))),"")</f>
        <v>#VALUE!</v>
      </c>
      <c r="Y17" s="470" t="e">
        <f>IF(Y$5&gt;0,(INDEX(A_Aufgaben,(Y$5-Arbeitszeit!$A$6+1),(2*(ROW()-ROW(A_Aufgabendatum))-1))),"")</f>
        <v>#VALUE!</v>
      </c>
      <c r="Z17" s="471" t="e">
        <f>IF(Z$5&gt;0,(INDEX(A_Aufgaben,(Z$5-Arbeitszeit!$A$6+1),(2*(ROW()-ROW(A_Aufgabendatum))-1))),"")</f>
        <v>#VALUE!</v>
      </c>
      <c r="AA17" s="470" t="e">
        <f>IF(AA$5&gt;0,(INDEX(A_Aufgaben,(AA$5-Arbeitszeit!$A$6+1),(2*(ROW()-ROW(A_Aufgabendatum))-1))),"")</f>
        <v>#VALUE!</v>
      </c>
      <c r="AB17" s="471" t="e">
        <f>IF(AB$5&gt;0,(INDEX(A_Aufgaben,(AB$5-Arbeitszeit!$A$6+1),(2*(ROW()-ROW(A_Aufgabendatum))-1))),"")</f>
        <v>#VALUE!</v>
      </c>
      <c r="AC17" s="470" t="e">
        <f>IF(AC$5&gt;0,(INDEX(A_Aufgaben,(AC$5-Arbeitszeit!$A$6+1),(2*(ROW()-ROW(A_Aufgabendatum))-1))),"")</f>
        <v>#VALUE!</v>
      </c>
      <c r="AD17" s="471" t="e">
        <f>IF(AD$5&gt;0,(INDEX(A_Aufgaben,(AD$5-Arbeitszeit!$A$6+1),(2*(ROW()-ROW(A_Aufgabendatum))-1))),"")</f>
        <v>#VALUE!</v>
      </c>
      <c r="AE17" s="470" t="e">
        <f>IF(AE$5&gt;0,(INDEX(A_Aufgaben,(AE$5-Arbeitszeit!$A$6+1),(2*(ROW()-ROW(A_Aufgabendatum))-1))),"")</f>
        <v>#VALUE!</v>
      </c>
      <c r="AF17" s="471" t="e">
        <f>IF(AF$5&gt;0,(INDEX(A_Aufgaben,(AF$5-Arbeitszeit!$A$6+1),(2*(ROW()-ROW(A_Aufgabendatum))-1))),"")</f>
        <v>#VALUE!</v>
      </c>
      <c r="AG17" s="470" t="e">
        <f>IF(AG$5&gt;0,(INDEX(A_Aufgaben,(AG$5-Arbeitszeit!$A$6+1),(2*(ROW()-ROW(A_Aufgabendatum))-1))),"")</f>
        <v>#VALUE!</v>
      </c>
      <c r="AH17" s="479" t="e">
        <f t="shared" si="1"/>
        <v>#VALUE!</v>
      </c>
      <c r="AI17" s="3">
        <f t="shared" si="2"/>
        <v>0</v>
      </c>
    </row>
    <row r="18" spans="1:35">
      <c r="A18">
        <f t="shared" si="3"/>
        <v>0</v>
      </c>
      <c r="B18" s="469" t="str">
        <f>Aufgaben!AE3</f>
        <v>Aufgabe 10</v>
      </c>
      <c r="C18" s="470" t="e">
        <f>IF(C$5&gt;0,(INDEX(A_Aufgaben,(C$5-Arbeitszeit!$A$6+1),(2*(ROW()-ROW(A_Aufgabendatum))-1))),"")</f>
        <v>#VALUE!</v>
      </c>
      <c r="D18" s="471" t="e">
        <f>IF(D$5&gt;0,(INDEX(A_Aufgaben,(D$5-Arbeitszeit!$A$6+1),(2*(ROW()-ROW(A_Aufgabendatum))-1))),"")</f>
        <v>#VALUE!</v>
      </c>
      <c r="E18" s="470" t="e">
        <f>IF(E$5&gt;0,(INDEX(A_Aufgaben,(E$5-Arbeitszeit!$A$6+1),(2*(ROW()-ROW(A_Aufgabendatum))-1))),"")</f>
        <v>#VALUE!</v>
      </c>
      <c r="F18" s="471" t="e">
        <f>IF(F$5&gt;0,(INDEX(A_Aufgaben,(F$5-Arbeitszeit!$A$6+1),(2*(ROW()-ROW(A_Aufgabendatum))-1))),"")</f>
        <v>#VALUE!</v>
      </c>
      <c r="G18" s="470" t="e">
        <f>IF(G$5&gt;0,(INDEX(A_Aufgaben,(G$5-Arbeitszeit!$A$6+1),(2*(ROW()-ROW(A_Aufgabendatum))-1))),"")</f>
        <v>#VALUE!</v>
      </c>
      <c r="H18" s="471" t="e">
        <f>IF(H$5&gt;0,(INDEX(A_Aufgaben,(H$5-Arbeitszeit!$A$6+1),(2*(ROW()-ROW(A_Aufgabendatum))-1))),"")</f>
        <v>#VALUE!</v>
      </c>
      <c r="I18" s="470" t="e">
        <f>IF(I$5&gt;0,(INDEX(A_Aufgaben,(I$5-Arbeitszeit!$A$6+1),(2*(ROW()-ROW(A_Aufgabendatum))-1))),"")</f>
        <v>#VALUE!</v>
      </c>
      <c r="J18" s="471" t="e">
        <f>IF(J$5&gt;0,(INDEX(A_Aufgaben,(J$5-Arbeitszeit!$A$6+1),(2*(ROW()-ROW(A_Aufgabendatum))-1))),"")</f>
        <v>#VALUE!</v>
      </c>
      <c r="K18" s="470" t="e">
        <f>IF(K$5&gt;0,(INDEX(A_Aufgaben,(K$5-Arbeitszeit!$A$6+1),(2*(ROW()-ROW(A_Aufgabendatum))-1))),"")</f>
        <v>#VALUE!</v>
      </c>
      <c r="L18" s="471" t="e">
        <f>IF(L$5&gt;0,(INDEX(A_Aufgaben,(L$5-Arbeitszeit!$A$6+1),(2*(ROW()-ROW(A_Aufgabendatum))-1))),"")</f>
        <v>#VALUE!</v>
      </c>
      <c r="M18" s="470" t="e">
        <f>IF(M$5&gt;0,(INDEX(A_Aufgaben,(M$5-Arbeitszeit!$A$6+1),(2*(ROW()-ROW(A_Aufgabendatum))-1))),"")</f>
        <v>#VALUE!</v>
      </c>
      <c r="N18" s="471" t="e">
        <f>IF(N$5&gt;0,(INDEX(A_Aufgaben,(N$5-Arbeitszeit!$A$6+1),(2*(ROW()-ROW(A_Aufgabendatum))-1))),"")</f>
        <v>#VALUE!</v>
      </c>
      <c r="O18" s="470" t="e">
        <f>IF(O$5&gt;0,(INDEX(A_Aufgaben,(O$5-Arbeitszeit!$A$6+1),(2*(ROW()-ROW(A_Aufgabendatum))-1))),"")</f>
        <v>#VALUE!</v>
      </c>
      <c r="P18" s="471" t="e">
        <f>IF(P$5&gt;0,(INDEX(A_Aufgaben,(P$5-Arbeitszeit!$A$6+1),(2*(ROW()-ROW(A_Aufgabendatum))-1))),"")</f>
        <v>#VALUE!</v>
      </c>
      <c r="Q18" s="470" t="e">
        <f>IF(Q$5&gt;0,(INDEX(A_Aufgaben,(Q$5-Arbeitszeit!$A$6+1),(2*(ROW()-ROW(A_Aufgabendatum))-1))),"")</f>
        <v>#VALUE!</v>
      </c>
      <c r="R18" s="471" t="e">
        <f>IF(R$5&gt;0,(INDEX(A_Aufgaben,(R$5-Arbeitszeit!$A$6+1),(2*(ROW()-ROW(A_Aufgabendatum))-1))),"")</f>
        <v>#VALUE!</v>
      </c>
      <c r="S18" s="470" t="e">
        <f>IF(S$5&gt;0,(INDEX(A_Aufgaben,(S$5-Arbeitszeit!$A$6+1),(2*(ROW()-ROW(A_Aufgabendatum))-1))),"")</f>
        <v>#VALUE!</v>
      </c>
      <c r="T18" s="471" t="e">
        <f>IF(T$5&gt;0,(INDEX(A_Aufgaben,(T$5-Arbeitszeit!$A$6+1),(2*(ROW()-ROW(A_Aufgabendatum))-1))),"")</f>
        <v>#VALUE!</v>
      </c>
      <c r="U18" s="470" t="e">
        <f>IF(U$5&gt;0,(INDEX(A_Aufgaben,(U$5-Arbeitszeit!$A$6+1),(2*(ROW()-ROW(A_Aufgabendatum))-1))),"")</f>
        <v>#VALUE!</v>
      </c>
      <c r="V18" s="471" t="e">
        <f>IF(V$5&gt;0,(INDEX(A_Aufgaben,(V$5-Arbeitszeit!$A$6+1),(2*(ROW()-ROW(A_Aufgabendatum))-1))),"")</f>
        <v>#VALUE!</v>
      </c>
      <c r="W18" s="470" t="e">
        <f>IF(W$5&gt;0,(INDEX(A_Aufgaben,(W$5-Arbeitszeit!$A$6+1),(2*(ROW()-ROW(A_Aufgabendatum))-1))),"")</f>
        <v>#VALUE!</v>
      </c>
      <c r="X18" s="471" t="e">
        <f>IF(X$5&gt;0,(INDEX(A_Aufgaben,(X$5-Arbeitszeit!$A$6+1),(2*(ROW()-ROW(A_Aufgabendatum))-1))),"")</f>
        <v>#VALUE!</v>
      </c>
      <c r="Y18" s="470" t="e">
        <f>IF(Y$5&gt;0,(INDEX(A_Aufgaben,(Y$5-Arbeitszeit!$A$6+1),(2*(ROW()-ROW(A_Aufgabendatum))-1))),"")</f>
        <v>#VALUE!</v>
      </c>
      <c r="Z18" s="471" t="e">
        <f>IF(Z$5&gt;0,(INDEX(A_Aufgaben,(Z$5-Arbeitszeit!$A$6+1),(2*(ROW()-ROW(A_Aufgabendatum))-1))),"")</f>
        <v>#VALUE!</v>
      </c>
      <c r="AA18" s="470" t="e">
        <f>IF(AA$5&gt;0,(INDEX(A_Aufgaben,(AA$5-Arbeitszeit!$A$6+1),(2*(ROW()-ROW(A_Aufgabendatum))-1))),"")</f>
        <v>#VALUE!</v>
      </c>
      <c r="AB18" s="471" t="e">
        <f>IF(AB$5&gt;0,(INDEX(A_Aufgaben,(AB$5-Arbeitszeit!$A$6+1),(2*(ROW()-ROW(A_Aufgabendatum))-1))),"")</f>
        <v>#VALUE!</v>
      </c>
      <c r="AC18" s="470" t="e">
        <f>IF(AC$5&gt;0,(INDEX(A_Aufgaben,(AC$5-Arbeitszeit!$A$6+1),(2*(ROW()-ROW(A_Aufgabendatum))-1))),"")</f>
        <v>#VALUE!</v>
      </c>
      <c r="AD18" s="471" t="e">
        <f>IF(AD$5&gt;0,(INDEX(A_Aufgaben,(AD$5-Arbeitszeit!$A$6+1),(2*(ROW()-ROW(A_Aufgabendatum))-1))),"")</f>
        <v>#VALUE!</v>
      </c>
      <c r="AE18" s="470" t="e">
        <f>IF(AE$5&gt;0,(INDEX(A_Aufgaben,(AE$5-Arbeitszeit!$A$6+1),(2*(ROW()-ROW(A_Aufgabendatum))-1))),"")</f>
        <v>#VALUE!</v>
      </c>
      <c r="AF18" s="471" t="e">
        <f>IF(AF$5&gt;0,(INDEX(A_Aufgaben,(AF$5-Arbeitszeit!$A$6+1),(2*(ROW()-ROW(A_Aufgabendatum))-1))),"")</f>
        <v>#VALUE!</v>
      </c>
      <c r="AG18" s="470" t="e">
        <f>IF(AG$5&gt;0,(INDEX(A_Aufgaben,(AG$5-Arbeitszeit!$A$6+1),(2*(ROW()-ROW(A_Aufgabendatum))-1))),"")</f>
        <v>#VALUE!</v>
      </c>
      <c r="AH18" s="479" t="e">
        <f t="shared" si="1"/>
        <v>#VALUE!</v>
      </c>
      <c r="AI18" s="3">
        <f t="shared" si="2"/>
        <v>0</v>
      </c>
    </row>
    <row r="19" spans="1:35">
      <c r="A19">
        <f t="shared" si="3"/>
        <v>0</v>
      </c>
      <c r="B19" s="469" t="str">
        <f>Aufgaben!AG3</f>
        <v>Aufgabe 11</v>
      </c>
      <c r="C19" s="470" t="e">
        <f>IF(C$5&gt;0,(INDEX(A_Aufgaben,(C$5-Arbeitszeit!$A$6+1),(2*(ROW()-ROW(A_Aufgabendatum))-1))),"")</f>
        <v>#VALUE!</v>
      </c>
      <c r="D19" s="471" t="e">
        <f>IF(D$5&gt;0,(INDEX(A_Aufgaben,(D$5-Arbeitszeit!$A$6+1),(2*(ROW()-ROW(A_Aufgabendatum))-1))),"")</f>
        <v>#VALUE!</v>
      </c>
      <c r="E19" s="470" t="e">
        <f>IF(E$5&gt;0,(INDEX(A_Aufgaben,(E$5-Arbeitszeit!$A$6+1),(2*(ROW()-ROW(A_Aufgabendatum))-1))),"")</f>
        <v>#VALUE!</v>
      </c>
      <c r="F19" s="471" t="e">
        <f>IF(F$5&gt;0,(INDEX(A_Aufgaben,(F$5-Arbeitszeit!$A$6+1),(2*(ROW()-ROW(A_Aufgabendatum))-1))),"")</f>
        <v>#VALUE!</v>
      </c>
      <c r="G19" s="470" t="e">
        <f>IF(G$5&gt;0,(INDEX(A_Aufgaben,(G$5-Arbeitszeit!$A$6+1),(2*(ROW()-ROW(A_Aufgabendatum))-1))),"")</f>
        <v>#VALUE!</v>
      </c>
      <c r="H19" s="471" t="e">
        <f>IF(H$5&gt;0,(INDEX(A_Aufgaben,(H$5-Arbeitszeit!$A$6+1),(2*(ROW()-ROW(A_Aufgabendatum))-1))),"")</f>
        <v>#VALUE!</v>
      </c>
      <c r="I19" s="470" t="e">
        <f>IF(I$5&gt;0,(INDEX(A_Aufgaben,(I$5-Arbeitszeit!$A$6+1),(2*(ROW()-ROW(A_Aufgabendatum))-1))),"")</f>
        <v>#VALUE!</v>
      </c>
      <c r="J19" s="471" t="e">
        <f>IF(J$5&gt;0,(INDEX(A_Aufgaben,(J$5-Arbeitszeit!$A$6+1),(2*(ROW()-ROW(A_Aufgabendatum))-1))),"")</f>
        <v>#VALUE!</v>
      </c>
      <c r="K19" s="470" t="e">
        <f>IF(K$5&gt;0,(INDEX(A_Aufgaben,(K$5-Arbeitszeit!$A$6+1),(2*(ROW()-ROW(A_Aufgabendatum))-1))),"")</f>
        <v>#VALUE!</v>
      </c>
      <c r="L19" s="471" t="e">
        <f>IF(L$5&gt;0,(INDEX(A_Aufgaben,(L$5-Arbeitszeit!$A$6+1),(2*(ROW()-ROW(A_Aufgabendatum))-1))),"")</f>
        <v>#VALUE!</v>
      </c>
      <c r="M19" s="470" t="e">
        <f>IF(M$5&gt;0,(INDEX(A_Aufgaben,(M$5-Arbeitszeit!$A$6+1),(2*(ROW()-ROW(A_Aufgabendatum))-1))),"")</f>
        <v>#VALUE!</v>
      </c>
      <c r="N19" s="471" t="e">
        <f>IF(N$5&gt;0,(INDEX(A_Aufgaben,(N$5-Arbeitszeit!$A$6+1),(2*(ROW()-ROW(A_Aufgabendatum))-1))),"")</f>
        <v>#VALUE!</v>
      </c>
      <c r="O19" s="470" t="e">
        <f>IF(O$5&gt;0,(INDEX(A_Aufgaben,(O$5-Arbeitszeit!$A$6+1),(2*(ROW()-ROW(A_Aufgabendatum))-1))),"")</f>
        <v>#VALUE!</v>
      </c>
      <c r="P19" s="471" t="e">
        <f>IF(P$5&gt;0,(INDEX(A_Aufgaben,(P$5-Arbeitszeit!$A$6+1),(2*(ROW()-ROW(A_Aufgabendatum))-1))),"")</f>
        <v>#VALUE!</v>
      </c>
      <c r="Q19" s="470" t="e">
        <f>IF(Q$5&gt;0,(INDEX(A_Aufgaben,(Q$5-Arbeitszeit!$A$6+1),(2*(ROW()-ROW(A_Aufgabendatum))-1))),"")</f>
        <v>#VALUE!</v>
      </c>
      <c r="R19" s="471" t="e">
        <f>IF(R$5&gt;0,(INDEX(A_Aufgaben,(R$5-Arbeitszeit!$A$6+1),(2*(ROW()-ROW(A_Aufgabendatum))-1))),"")</f>
        <v>#VALUE!</v>
      </c>
      <c r="S19" s="470" t="e">
        <f>IF(S$5&gt;0,(INDEX(A_Aufgaben,(S$5-Arbeitszeit!$A$6+1),(2*(ROW()-ROW(A_Aufgabendatum))-1))),"")</f>
        <v>#VALUE!</v>
      </c>
      <c r="T19" s="471" t="e">
        <f>IF(T$5&gt;0,(INDEX(A_Aufgaben,(T$5-Arbeitszeit!$A$6+1),(2*(ROW()-ROW(A_Aufgabendatum))-1))),"")</f>
        <v>#VALUE!</v>
      </c>
      <c r="U19" s="470" t="e">
        <f>IF(U$5&gt;0,(INDEX(A_Aufgaben,(U$5-Arbeitszeit!$A$6+1),(2*(ROW()-ROW(A_Aufgabendatum))-1))),"")</f>
        <v>#VALUE!</v>
      </c>
      <c r="V19" s="471" t="e">
        <f>IF(V$5&gt;0,(INDEX(A_Aufgaben,(V$5-Arbeitszeit!$A$6+1),(2*(ROW()-ROW(A_Aufgabendatum))-1))),"")</f>
        <v>#VALUE!</v>
      </c>
      <c r="W19" s="470" t="e">
        <f>IF(W$5&gt;0,(INDEX(A_Aufgaben,(W$5-Arbeitszeit!$A$6+1),(2*(ROW()-ROW(A_Aufgabendatum))-1))),"")</f>
        <v>#VALUE!</v>
      </c>
      <c r="X19" s="471" t="e">
        <f>IF(X$5&gt;0,(INDEX(A_Aufgaben,(X$5-Arbeitszeit!$A$6+1),(2*(ROW()-ROW(A_Aufgabendatum))-1))),"")</f>
        <v>#VALUE!</v>
      </c>
      <c r="Y19" s="470" t="e">
        <f>IF(Y$5&gt;0,(INDEX(A_Aufgaben,(Y$5-Arbeitszeit!$A$6+1),(2*(ROW()-ROW(A_Aufgabendatum))-1))),"")</f>
        <v>#VALUE!</v>
      </c>
      <c r="Z19" s="471" t="e">
        <f>IF(Z$5&gt;0,(INDEX(A_Aufgaben,(Z$5-Arbeitszeit!$A$6+1),(2*(ROW()-ROW(A_Aufgabendatum))-1))),"")</f>
        <v>#VALUE!</v>
      </c>
      <c r="AA19" s="470" t="e">
        <f>IF(AA$5&gt;0,(INDEX(A_Aufgaben,(AA$5-Arbeitszeit!$A$6+1),(2*(ROW()-ROW(A_Aufgabendatum))-1))),"")</f>
        <v>#VALUE!</v>
      </c>
      <c r="AB19" s="471" t="e">
        <f>IF(AB$5&gt;0,(INDEX(A_Aufgaben,(AB$5-Arbeitszeit!$A$6+1),(2*(ROW()-ROW(A_Aufgabendatum))-1))),"")</f>
        <v>#VALUE!</v>
      </c>
      <c r="AC19" s="470" t="e">
        <f>IF(AC$5&gt;0,(INDEX(A_Aufgaben,(AC$5-Arbeitszeit!$A$6+1),(2*(ROW()-ROW(A_Aufgabendatum))-1))),"")</f>
        <v>#VALUE!</v>
      </c>
      <c r="AD19" s="471" t="e">
        <f>IF(AD$5&gt;0,(INDEX(A_Aufgaben,(AD$5-Arbeitszeit!$A$6+1),(2*(ROW()-ROW(A_Aufgabendatum))-1))),"")</f>
        <v>#VALUE!</v>
      </c>
      <c r="AE19" s="470" t="e">
        <f>IF(AE$5&gt;0,(INDEX(A_Aufgaben,(AE$5-Arbeitszeit!$A$6+1),(2*(ROW()-ROW(A_Aufgabendatum))-1))),"")</f>
        <v>#VALUE!</v>
      </c>
      <c r="AF19" s="471" t="e">
        <f>IF(AF$5&gt;0,(INDEX(A_Aufgaben,(AF$5-Arbeitszeit!$A$6+1),(2*(ROW()-ROW(A_Aufgabendatum))-1))),"")</f>
        <v>#VALUE!</v>
      </c>
      <c r="AG19" s="470" t="e">
        <f>IF(AG$5&gt;0,(INDEX(A_Aufgaben,(AG$5-Arbeitszeit!$A$6+1),(2*(ROW()-ROW(A_Aufgabendatum))-1))),"")</f>
        <v>#VALUE!</v>
      </c>
      <c r="AH19" s="479" t="e">
        <f t="shared" si="1"/>
        <v>#VALUE!</v>
      </c>
      <c r="AI19" s="3">
        <f t="shared" si="2"/>
        <v>0</v>
      </c>
    </row>
    <row r="20" spans="1:35">
      <c r="A20">
        <f t="shared" si="3"/>
        <v>0</v>
      </c>
      <c r="B20" s="469" t="str">
        <f>Aufgaben!AI3</f>
        <v>Aufgabe 12</v>
      </c>
      <c r="C20" s="470" t="e">
        <f>IF(C$5&gt;0,(INDEX(A_Aufgaben,(C$5-Arbeitszeit!$A$6+1),(2*(ROW()-ROW(A_Aufgabendatum))-1))),"")</f>
        <v>#VALUE!</v>
      </c>
      <c r="D20" s="471" t="e">
        <f>IF(D$5&gt;0,(INDEX(A_Aufgaben,(D$5-Arbeitszeit!$A$6+1),(2*(ROW()-ROW(A_Aufgabendatum))-1))),"")</f>
        <v>#VALUE!</v>
      </c>
      <c r="E20" s="470" t="e">
        <f>IF(E$5&gt;0,(INDEX(A_Aufgaben,(E$5-Arbeitszeit!$A$6+1),(2*(ROW()-ROW(A_Aufgabendatum))-1))),"")</f>
        <v>#VALUE!</v>
      </c>
      <c r="F20" s="471" t="e">
        <f>IF(F$5&gt;0,(INDEX(A_Aufgaben,(F$5-Arbeitszeit!$A$6+1),(2*(ROW()-ROW(A_Aufgabendatum))-1))),"")</f>
        <v>#VALUE!</v>
      </c>
      <c r="G20" s="470" t="e">
        <f>IF(G$5&gt;0,(INDEX(A_Aufgaben,(G$5-Arbeitszeit!$A$6+1),(2*(ROW()-ROW(A_Aufgabendatum))-1))),"")</f>
        <v>#VALUE!</v>
      </c>
      <c r="H20" s="471" t="e">
        <f>IF(H$5&gt;0,(INDEX(A_Aufgaben,(H$5-Arbeitszeit!$A$6+1),(2*(ROW()-ROW(A_Aufgabendatum))-1))),"")</f>
        <v>#VALUE!</v>
      </c>
      <c r="I20" s="470" t="e">
        <f>IF(I$5&gt;0,(INDEX(A_Aufgaben,(I$5-Arbeitszeit!$A$6+1),(2*(ROW()-ROW(A_Aufgabendatum))-1))),"")</f>
        <v>#VALUE!</v>
      </c>
      <c r="J20" s="471" t="e">
        <f>IF(J$5&gt;0,(INDEX(A_Aufgaben,(J$5-Arbeitszeit!$A$6+1),(2*(ROW()-ROW(A_Aufgabendatum))-1))),"")</f>
        <v>#VALUE!</v>
      </c>
      <c r="K20" s="470" t="e">
        <f>IF(K$5&gt;0,(INDEX(A_Aufgaben,(K$5-Arbeitszeit!$A$6+1),(2*(ROW()-ROW(A_Aufgabendatum))-1))),"")</f>
        <v>#VALUE!</v>
      </c>
      <c r="L20" s="471" t="e">
        <f>IF(L$5&gt;0,(INDEX(A_Aufgaben,(L$5-Arbeitszeit!$A$6+1),(2*(ROW()-ROW(A_Aufgabendatum))-1))),"")</f>
        <v>#VALUE!</v>
      </c>
      <c r="M20" s="470" t="e">
        <f>IF(M$5&gt;0,(INDEX(A_Aufgaben,(M$5-Arbeitszeit!$A$6+1),(2*(ROW()-ROW(A_Aufgabendatum))-1))),"")</f>
        <v>#VALUE!</v>
      </c>
      <c r="N20" s="471" t="e">
        <f>IF(N$5&gt;0,(INDEX(A_Aufgaben,(N$5-Arbeitszeit!$A$6+1),(2*(ROW()-ROW(A_Aufgabendatum))-1))),"")</f>
        <v>#VALUE!</v>
      </c>
      <c r="O20" s="470" t="e">
        <f>IF(O$5&gt;0,(INDEX(A_Aufgaben,(O$5-Arbeitszeit!$A$6+1),(2*(ROW()-ROW(A_Aufgabendatum))-1))),"")</f>
        <v>#VALUE!</v>
      </c>
      <c r="P20" s="471" t="e">
        <f>IF(P$5&gt;0,(INDEX(A_Aufgaben,(P$5-Arbeitszeit!$A$6+1),(2*(ROW()-ROW(A_Aufgabendatum))-1))),"")</f>
        <v>#VALUE!</v>
      </c>
      <c r="Q20" s="470" t="e">
        <f>IF(Q$5&gt;0,(INDEX(A_Aufgaben,(Q$5-Arbeitszeit!$A$6+1),(2*(ROW()-ROW(A_Aufgabendatum))-1))),"")</f>
        <v>#VALUE!</v>
      </c>
      <c r="R20" s="471" t="e">
        <f>IF(R$5&gt;0,(INDEX(A_Aufgaben,(R$5-Arbeitszeit!$A$6+1),(2*(ROW()-ROW(A_Aufgabendatum))-1))),"")</f>
        <v>#VALUE!</v>
      </c>
      <c r="S20" s="470" t="e">
        <f>IF(S$5&gt;0,(INDEX(A_Aufgaben,(S$5-Arbeitszeit!$A$6+1),(2*(ROW()-ROW(A_Aufgabendatum))-1))),"")</f>
        <v>#VALUE!</v>
      </c>
      <c r="T20" s="471" t="e">
        <f>IF(T$5&gt;0,(INDEX(A_Aufgaben,(T$5-Arbeitszeit!$A$6+1),(2*(ROW()-ROW(A_Aufgabendatum))-1))),"")</f>
        <v>#VALUE!</v>
      </c>
      <c r="U20" s="470" t="e">
        <f>IF(U$5&gt;0,(INDEX(A_Aufgaben,(U$5-Arbeitszeit!$A$6+1),(2*(ROW()-ROW(A_Aufgabendatum))-1))),"")</f>
        <v>#VALUE!</v>
      </c>
      <c r="V20" s="471" t="e">
        <f>IF(V$5&gt;0,(INDEX(A_Aufgaben,(V$5-Arbeitszeit!$A$6+1),(2*(ROW()-ROW(A_Aufgabendatum))-1))),"")</f>
        <v>#VALUE!</v>
      </c>
      <c r="W20" s="470" t="e">
        <f>IF(W$5&gt;0,(INDEX(A_Aufgaben,(W$5-Arbeitszeit!$A$6+1),(2*(ROW()-ROW(A_Aufgabendatum))-1))),"")</f>
        <v>#VALUE!</v>
      </c>
      <c r="X20" s="471" t="e">
        <f>IF(X$5&gt;0,(INDEX(A_Aufgaben,(X$5-Arbeitszeit!$A$6+1),(2*(ROW()-ROW(A_Aufgabendatum))-1))),"")</f>
        <v>#VALUE!</v>
      </c>
      <c r="Y20" s="470" t="e">
        <f>IF(Y$5&gt;0,(INDEX(A_Aufgaben,(Y$5-Arbeitszeit!$A$6+1),(2*(ROW()-ROW(A_Aufgabendatum))-1))),"")</f>
        <v>#VALUE!</v>
      </c>
      <c r="Z20" s="471" t="e">
        <f>IF(Z$5&gt;0,(INDEX(A_Aufgaben,(Z$5-Arbeitszeit!$A$6+1),(2*(ROW()-ROW(A_Aufgabendatum))-1))),"")</f>
        <v>#VALUE!</v>
      </c>
      <c r="AA20" s="470" t="e">
        <f>IF(AA$5&gt;0,(INDEX(A_Aufgaben,(AA$5-Arbeitszeit!$A$6+1),(2*(ROW()-ROW(A_Aufgabendatum))-1))),"")</f>
        <v>#VALUE!</v>
      </c>
      <c r="AB20" s="471" t="e">
        <f>IF(AB$5&gt;0,(INDEX(A_Aufgaben,(AB$5-Arbeitszeit!$A$6+1),(2*(ROW()-ROW(A_Aufgabendatum))-1))),"")</f>
        <v>#VALUE!</v>
      </c>
      <c r="AC20" s="470" t="e">
        <f>IF(AC$5&gt;0,(INDEX(A_Aufgaben,(AC$5-Arbeitszeit!$A$6+1),(2*(ROW()-ROW(A_Aufgabendatum))-1))),"")</f>
        <v>#VALUE!</v>
      </c>
      <c r="AD20" s="471" t="e">
        <f>IF(AD$5&gt;0,(INDEX(A_Aufgaben,(AD$5-Arbeitszeit!$A$6+1),(2*(ROW()-ROW(A_Aufgabendatum))-1))),"")</f>
        <v>#VALUE!</v>
      </c>
      <c r="AE20" s="470" t="e">
        <f>IF(AE$5&gt;0,(INDEX(A_Aufgaben,(AE$5-Arbeitszeit!$A$6+1),(2*(ROW()-ROW(A_Aufgabendatum))-1))),"")</f>
        <v>#VALUE!</v>
      </c>
      <c r="AF20" s="471" t="e">
        <f>IF(AF$5&gt;0,(INDEX(A_Aufgaben,(AF$5-Arbeitszeit!$A$6+1),(2*(ROW()-ROW(A_Aufgabendatum))-1))),"")</f>
        <v>#VALUE!</v>
      </c>
      <c r="AG20" s="470" t="e">
        <f>IF(AG$5&gt;0,(INDEX(A_Aufgaben,(AG$5-Arbeitszeit!$A$6+1),(2*(ROW()-ROW(A_Aufgabendatum))-1))),"")</f>
        <v>#VALUE!</v>
      </c>
      <c r="AH20" s="479" t="e">
        <f t="shared" si="1"/>
        <v>#VALUE!</v>
      </c>
      <c r="AI20" s="3">
        <f t="shared" si="2"/>
        <v>0</v>
      </c>
    </row>
    <row r="21" spans="1:35">
      <c r="A21">
        <f t="shared" si="3"/>
        <v>0</v>
      </c>
      <c r="B21" s="469" t="str">
        <f>Aufgaben!AK3</f>
        <v>Aufgabe 13</v>
      </c>
      <c r="C21" s="470" t="e">
        <f>IF(C$5&gt;0,(INDEX(A_Aufgaben,(C$5-Arbeitszeit!$A$6+1),(2*(ROW()-ROW(A_Aufgabendatum))-1))),"")</f>
        <v>#VALUE!</v>
      </c>
      <c r="D21" s="471" t="e">
        <f>IF(D$5&gt;0,(INDEX(A_Aufgaben,(D$5-Arbeitszeit!$A$6+1),(2*(ROW()-ROW(A_Aufgabendatum))-1))),"")</f>
        <v>#VALUE!</v>
      </c>
      <c r="E21" s="470" t="e">
        <f>IF(E$5&gt;0,(INDEX(A_Aufgaben,(E$5-Arbeitszeit!$A$6+1),(2*(ROW()-ROW(A_Aufgabendatum))-1))),"")</f>
        <v>#VALUE!</v>
      </c>
      <c r="F21" s="471" t="e">
        <f>IF(F$5&gt;0,(INDEX(A_Aufgaben,(F$5-Arbeitszeit!$A$6+1),(2*(ROW()-ROW(A_Aufgabendatum))-1))),"")</f>
        <v>#VALUE!</v>
      </c>
      <c r="G21" s="470" t="e">
        <f>IF(G$5&gt;0,(INDEX(A_Aufgaben,(G$5-Arbeitszeit!$A$6+1),(2*(ROW()-ROW(A_Aufgabendatum))-1))),"")</f>
        <v>#VALUE!</v>
      </c>
      <c r="H21" s="471" t="e">
        <f>IF(H$5&gt;0,(INDEX(A_Aufgaben,(H$5-Arbeitszeit!$A$6+1),(2*(ROW()-ROW(A_Aufgabendatum))-1))),"")</f>
        <v>#VALUE!</v>
      </c>
      <c r="I21" s="470" t="e">
        <f>IF(I$5&gt;0,(INDEX(A_Aufgaben,(I$5-Arbeitszeit!$A$6+1),(2*(ROW()-ROW(A_Aufgabendatum))-1))),"")</f>
        <v>#VALUE!</v>
      </c>
      <c r="J21" s="471" t="e">
        <f>IF(J$5&gt;0,(INDEX(A_Aufgaben,(J$5-Arbeitszeit!$A$6+1),(2*(ROW()-ROW(A_Aufgabendatum))-1))),"")</f>
        <v>#VALUE!</v>
      </c>
      <c r="K21" s="470" t="e">
        <f>IF(K$5&gt;0,(INDEX(A_Aufgaben,(K$5-Arbeitszeit!$A$6+1),(2*(ROW()-ROW(A_Aufgabendatum))-1))),"")</f>
        <v>#VALUE!</v>
      </c>
      <c r="L21" s="471" t="e">
        <f>IF(L$5&gt;0,(INDEX(A_Aufgaben,(L$5-Arbeitszeit!$A$6+1),(2*(ROW()-ROW(A_Aufgabendatum))-1))),"")</f>
        <v>#VALUE!</v>
      </c>
      <c r="M21" s="470" t="e">
        <f>IF(M$5&gt;0,(INDEX(A_Aufgaben,(M$5-Arbeitszeit!$A$6+1),(2*(ROW()-ROW(A_Aufgabendatum))-1))),"")</f>
        <v>#VALUE!</v>
      </c>
      <c r="N21" s="471" t="e">
        <f>IF(N$5&gt;0,(INDEX(A_Aufgaben,(N$5-Arbeitszeit!$A$6+1),(2*(ROW()-ROW(A_Aufgabendatum))-1))),"")</f>
        <v>#VALUE!</v>
      </c>
      <c r="O21" s="470" t="e">
        <f>IF(O$5&gt;0,(INDEX(A_Aufgaben,(O$5-Arbeitszeit!$A$6+1),(2*(ROW()-ROW(A_Aufgabendatum))-1))),"")</f>
        <v>#VALUE!</v>
      </c>
      <c r="P21" s="471" t="e">
        <f>IF(P$5&gt;0,(INDEX(A_Aufgaben,(P$5-Arbeitszeit!$A$6+1),(2*(ROW()-ROW(A_Aufgabendatum))-1))),"")</f>
        <v>#VALUE!</v>
      </c>
      <c r="Q21" s="470" t="e">
        <f>IF(Q$5&gt;0,(INDEX(A_Aufgaben,(Q$5-Arbeitszeit!$A$6+1),(2*(ROW()-ROW(A_Aufgabendatum))-1))),"")</f>
        <v>#VALUE!</v>
      </c>
      <c r="R21" s="471" t="e">
        <f>IF(R$5&gt;0,(INDEX(A_Aufgaben,(R$5-Arbeitszeit!$A$6+1),(2*(ROW()-ROW(A_Aufgabendatum))-1))),"")</f>
        <v>#VALUE!</v>
      </c>
      <c r="S21" s="470" t="e">
        <f>IF(S$5&gt;0,(INDEX(A_Aufgaben,(S$5-Arbeitszeit!$A$6+1),(2*(ROW()-ROW(A_Aufgabendatum))-1))),"")</f>
        <v>#VALUE!</v>
      </c>
      <c r="T21" s="471" t="e">
        <f>IF(T$5&gt;0,(INDEX(A_Aufgaben,(T$5-Arbeitszeit!$A$6+1),(2*(ROW()-ROW(A_Aufgabendatum))-1))),"")</f>
        <v>#VALUE!</v>
      </c>
      <c r="U21" s="470" t="e">
        <f>IF(U$5&gt;0,(INDEX(A_Aufgaben,(U$5-Arbeitszeit!$A$6+1),(2*(ROW()-ROW(A_Aufgabendatum))-1))),"")</f>
        <v>#VALUE!</v>
      </c>
      <c r="V21" s="471" t="e">
        <f>IF(V$5&gt;0,(INDEX(A_Aufgaben,(V$5-Arbeitszeit!$A$6+1),(2*(ROW()-ROW(A_Aufgabendatum))-1))),"")</f>
        <v>#VALUE!</v>
      </c>
      <c r="W21" s="470" t="e">
        <f>IF(W$5&gt;0,(INDEX(A_Aufgaben,(W$5-Arbeitszeit!$A$6+1),(2*(ROW()-ROW(A_Aufgabendatum))-1))),"")</f>
        <v>#VALUE!</v>
      </c>
      <c r="X21" s="471" t="e">
        <f>IF(X$5&gt;0,(INDEX(A_Aufgaben,(X$5-Arbeitszeit!$A$6+1),(2*(ROW()-ROW(A_Aufgabendatum))-1))),"")</f>
        <v>#VALUE!</v>
      </c>
      <c r="Y21" s="470" t="e">
        <f>IF(Y$5&gt;0,(INDEX(A_Aufgaben,(Y$5-Arbeitszeit!$A$6+1),(2*(ROW()-ROW(A_Aufgabendatum))-1))),"")</f>
        <v>#VALUE!</v>
      </c>
      <c r="Z21" s="471" t="e">
        <f>IF(Z$5&gt;0,(INDEX(A_Aufgaben,(Z$5-Arbeitszeit!$A$6+1),(2*(ROW()-ROW(A_Aufgabendatum))-1))),"")</f>
        <v>#VALUE!</v>
      </c>
      <c r="AA21" s="470" t="e">
        <f>IF(AA$5&gt;0,(INDEX(A_Aufgaben,(AA$5-Arbeitszeit!$A$6+1),(2*(ROW()-ROW(A_Aufgabendatum))-1))),"")</f>
        <v>#VALUE!</v>
      </c>
      <c r="AB21" s="471" t="e">
        <f>IF(AB$5&gt;0,(INDEX(A_Aufgaben,(AB$5-Arbeitszeit!$A$6+1),(2*(ROW()-ROW(A_Aufgabendatum))-1))),"")</f>
        <v>#VALUE!</v>
      </c>
      <c r="AC21" s="470" t="e">
        <f>IF(AC$5&gt;0,(INDEX(A_Aufgaben,(AC$5-Arbeitszeit!$A$6+1),(2*(ROW()-ROW(A_Aufgabendatum))-1))),"")</f>
        <v>#VALUE!</v>
      </c>
      <c r="AD21" s="471" t="e">
        <f>IF(AD$5&gt;0,(INDEX(A_Aufgaben,(AD$5-Arbeitszeit!$A$6+1),(2*(ROW()-ROW(A_Aufgabendatum))-1))),"")</f>
        <v>#VALUE!</v>
      </c>
      <c r="AE21" s="470" t="e">
        <f>IF(AE$5&gt;0,(INDEX(A_Aufgaben,(AE$5-Arbeitszeit!$A$6+1),(2*(ROW()-ROW(A_Aufgabendatum))-1))),"")</f>
        <v>#VALUE!</v>
      </c>
      <c r="AF21" s="471" t="e">
        <f>IF(AF$5&gt;0,(INDEX(A_Aufgaben,(AF$5-Arbeitszeit!$A$6+1),(2*(ROW()-ROW(A_Aufgabendatum))-1))),"")</f>
        <v>#VALUE!</v>
      </c>
      <c r="AG21" s="470" t="e">
        <f>IF(AG$5&gt;0,(INDEX(A_Aufgaben,(AG$5-Arbeitszeit!$A$6+1),(2*(ROW()-ROW(A_Aufgabendatum))-1))),"")</f>
        <v>#VALUE!</v>
      </c>
      <c r="AH21" s="479" t="e">
        <f t="shared" si="1"/>
        <v>#VALUE!</v>
      </c>
      <c r="AI21" s="3">
        <f t="shared" si="2"/>
        <v>0</v>
      </c>
    </row>
    <row r="22" spans="1:35">
      <c r="A22">
        <f t="shared" si="3"/>
        <v>0</v>
      </c>
      <c r="B22" s="469" t="str">
        <f>Aufgaben!AM3</f>
        <v>Aufgabe 14</v>
      </c>
      <c r="C22" s="470" t="e">
        <f>IF(C$5&gt;0,(INDEX(A_Aufgaben,(C$5-Arbeitszeit!$A$6+1),(2*(ROW()-ROW(A_Aufgabendatum))-1))),"")</f>
        <v>#VALUE!</v>
      </c>
      <c r="D22" s="471" t="e">
        <f>IF(D$5&gt;0,(INDEX(A_Aufgaben,(D$5-Arbeitszeit!$A$6+1),(2*(ROW()-ROW(A_Aufgabendatum))-1))),"")</f>
        <v>#VALUE!</v>
      </c>
      <c r="E22" s="470" t="e">
        <f>IF(E$5&gt;0,(INDEX(A_Aufgaben,(E$5-Arbeitszeit!$A$6+1),(2*(ROW()-ROW(A_Aufgabendatum))-1))),"")</f>
        <v>#VALUE!</v>
      </c>
      <c r="F22" s="471" t="e">
        <f>IF(F$5&gt;0,(INDEX(A_Aufgaben,(F$5-Arbeitszeit!$A$6+1),(2*(ROW()-ROW(A_Aufgabendatum))-1))),"")</f>
        <v>#VALUE!</v>
      </c>
      <c r="G22" s="470" t="e">
        <f>IF(G$5&gt;0,(INDEX(A_Aufgaben,(G$5-Arbeitszeit!$A$6+1),(2*(ROW()-ROW(A_Aufgabendatum))-1))),"")</f>
        <v>#VALUE!</v>
      </c>
      <c r="H22" s="471" t="e">
        <f>IF(H$5&gt;0,(INDEX(A_Aufgaben,(H$5-Arbeitszeit!$A$6+1),(2*(ROW()-ROW(A_Aufgabendatum))-1))),"")</f>
        <v>#VALUE!</v>
      </c>
      <c r="I22" s="470" t="e">
        <f>IF(I$5&gt;0,(INDEX(A_Aufgaben,(I$5-Arbeitszeit!$A$6+1),(2*(ROW()-ROW(A_Aufgabendatum))-1))),"")</f>
        <v>#VALUE!</v>
      </c>
      <c r="J22" s="471" t="e">
        <f>IF(J$5&gt;0,(INDEX(A_Aufgaben,(J$5-Arbeitszeit!$A$6+1),(2*(ROW()-ROW(A_Aufgabendatum))-1))),"")</f>
        <v>#VALUE!</v>
      </c>
      <c r="K22" s="470" t="e">
        <f>IF(K$5&gt;0,(INDEX(A_Aufgaben,(K$5-Arbeitszeit!$A$6+1),(2*(ROW()-ROW(A_Aufgabendatum))-1))),"")</f>
        <v>#VALUE!</v>
      </c>
      <c r="L22" s="471" t="e">
        <f>IF(L$5&gt;0,(INDEX(A_Aufgaben,(L$5-Arbeitszeit!$A$6+1),(2*(ROW()-ROW(A_Aufgabendatum))-1))),"")</f>
        <v>#VALUE!</v>
      </c>
      <c r="M22" s="470" t="e">
        <f>IF(M$5&gt;0,(INDEX(A_Aufgaben,(M$5-Arbeitszeit!$A$6+1),(2*(ROW()-ROW(A_Aufgabendatum))-1))),"")</f>
        <v>#VALUE!</v>
      </c>
      <c r="N22" s="471" t="e">
        <f>IF(N$5&gt;0,(INDEX(A_Aufgaben,(N$5-Arbeitszeit!$A$6+1),(2*(ROW()-ROW(A_Aufgabendatum))-1))),"")</f>
        <v>#VALUE!</v>
      </c>
      <c r="O22" s="470" t="e">
        <f>IF(O$5&gt;0,(INDEX(A_Aufgaben,(O$5-Arbeitszeit!$A$6+1),(2*(ROW()-ROW(A_Aufgabendatum))-1))),"")</f>
        <v>#VALUE!</v>
      </c>
      <c r="P22" s="471" t="e">
        <f>IF(P$5&gt;0,(INDEX(A_Aufgaben,(P$5-Arbeitszeit!$A$6+1),(2*(ROW()-ROW(A_Aufgabendatum))-1))),"")</f>
        <v>#VALUE!</v>
      </c>
      <c r="Q22" s="470" t="e">
        <f>IF(Q$5&gt;0,(INDEX(A_Aufgaben,(Q$5-Arbeitszeit!$A$6+1),(2*(ROW()-ROW(A_Aufgabendatum))-1))),"")</f>
        <v>#VALUE!</v>
      </c>
      <c r="R22" s="471" t="e">
        <f>IF(R$5&gt;0,(INDEX(A_Aufgaben,(R$5-Arbeitszeit!$A$6+1),(2*(ROW()-ROW(A_Aufgabendatum))-1))),"")</f>
        <v>#VALUE!</v>
      </c>
      <c r="S22" s="470" t="e">
        <f>IF(S$5&gt;0,(INDEX(A_Aufgaben,(S$5-Arbeitszeit!$A$6+1),(2*(ROW()-ROW(A_Aufgabendatum))-1))),"")</f>
        <v>#VALUE!</v>
      </c>
      <c r="T22" s="471" t="e">
        <f>IF(T$5&gt;0,(INDEX(A_Aufgaben,(T$5-Arbeitszeit!$A$6+1),(2*(ROW()-ROW(A_Aufgabendatum))-1))),"")</f>
        <v>#VALUE!</v>
      </c>
      <c r="U22" s="470" t="e">
        <f>IF(U$5&gt;0,(INDEX(A_Aufgaben,(U$5-Arbeitszeit!$A$6+1),(2*(ROW()-ROW(A_Aufgabendatum))-1))),"")</f>
        <v>#VALUE!</v>
      </c>
      <c r="V22" s="471" t="e">
        <f>IF(V$5&gt;0,(INDEX(A_Aufgaben,(V$5-Arbeitszeit!$A$6+1),(2*(ROW()-ROW(A_Aufgabendatum))-1))),"")</f>
        <v>#VALUE!</v>
      </c>
      <c r="W22" s="470" t="e">
        <f>IF(W$5&gt;0,(INDEX(A_Aufgaben,(W$5-Arbeitszeit!$A$6+1),(2*(ROW()-ROW(A_Aufgabendatum))-1))),"")</f>
        <v>#VALUE!</v>
      </c>
      <c r="X22" s="471" t="e">
        <f>IF(X$5&gt;0,(INDEX(A_Aufgaben,(X$5-Arbeitszeit!$A$6+1),(2*(ROW()-ROW(A_Aufgabendatum))-1))),"")</f>
        <v>#VALUE!</v>
      </c>
      <c r="Y22" s="470" t="e">
        <f>IF(Y$5&gt;0,(INDEX(A_Aufgaben,(Y$5-Arbeitszeit!$A$6+1),(2*(ROW()-ROW(A_Aufgabendatum))-1))),"")</f>
        <v>#VALUE!</v>
      </c>
      <c r="Z22" s="471" t="e">
        <f>IF(Z$5&gt;0,(INDEX(A_Aufgaben,(Z$5-Arbeitszeit!$A$6+1),(2*(ROW()-ROW(A_Aufgabendatum))-1))),"")</f>
        <v>#VALUE!</v>
      </c>
      <c r="AA22" s="470" t="e">
        <f>IF(AA$5&gt;0,(INDEX(A_Aufgaben,(AA$5-Arbeitszeit!$A$6+1),(2*(ROW()-ROW(A_Aufgabendatum))-1))),"")</f>
        <v>#VALUE!</v>
      </c>
      <c r="AB22" s="471" t="e">
        <f>IF(AB$5&gt;0,(INDEX(A_Aufgaben,(AB$5-Arbeitszeit!$A$6+1),(2*(ROW()-ROW(A_Aufgabendatum))-1))),"")</f>
        <v>#VALUE!</v>
      </c>
      <c r="AC22" s="470" t="e">
        <f>IF(AC$5&gt;0,(INDEX(A_Aufgaben,(AC$5-Arbeitszeit!$A$6+1),(2*(ROW()-ROW(A_Aufgabendatum))-1))),"")</f>
        <v>#VALUE!</v>
      </c>
      <c r="AD22" s="471" t="e">
        <f>IF(AD$5&gt;0,(INDEX(A_Aufgaben,(AD$5-Arbeitszeit!$A$6+1),(2*(ROW()-ROW(A_Aufgabendatum))-1))),"")</f>
        <v>#VALUE!</v>
      </c>
      <c r="AE22" s="470" t="e">
        <f>IF(AE$5&gt;0,(INDEX(A_Aufgaben,(AE$5-Arbeitszeit!$A$6+1),(2*(ROW()-ROW(A_Aufgabendatum))-1))),"")</f>
        <v>#VALUE!</v>
      </c>
      <c r="AF22" s="471" t="e">
        <f>IF(AF$5&gt;0,(INDEX(A_Aufgaben,(AF$5-Arbeitszeit!$A$6+1),(2*(ROW()-ROW(A_Aufgabendatum))-1))),"")</f>
        <v>#VALUE!</v>
      </c>
      <c r="AG22" s="470" t="e">
        <f>IF(AG$5&gt;0,(INDEX(A_Aufgaben,(AG$5-Arbeitszeit!$A$6+1),(2*(ROW()-ROW(A_Aufgabendatum))-1))),"")</f>
        <v>#VALUE!</v>
      </c>
      <c r="AH22" s="479" t="e">
        <f t="shared" si="1"/>
        <v>#VALUE!</v>
      </c>
      <c r="AI22" s="3">
        <f t="shared" si="2"/>
        <v>0</v>
      </c>
    </row>
    <row r="23" spans="1:35">
      <c r="A23">
        <f t="shared" si="3"/>
        <v>0</v>
      </c>
      <c r="B23" s="469" t="str">
        <f>Aufgaben!AO3</f>
        <v>Aufgabe 15</v>
      </c>
      <c r="C23" s="470" t="e">
        <f>IF(C$5&gt;0,(INDEX(A_Aufgaben,(C$5-Arbeitszeit!$A$6+1),(2*(ROW()-ROW(A_Aufgabendatum))-1))),"")</f>
        <v>#VALUE!</v>
      </c>
      <c r="D23" s="471" t="e">
        <f>IF(D$5&gt;0,(INDEX(A_Aufgaben,(D$5-Arbeitszeit!$A$6+1),(2*(ROW()-ROW(A_Aufgabendatum))-1))),"")</f>
        <v>#VALUE!</v>
      </c>
      <c r="E23" s="470" t="e">
        <f>IF(E$5&gt;0,(INDEX(A_Aufgaben,(E$5-Arbeitszeit!$A$6+1),(2*(ROW()-ROW(A_Aufgabendatum))-1))),"")</f>
        <v>#VALUE!</v>
      </c>
      <c r="F23" s="471" t="e">
        <f>IF(F$5&gt;0,(INDEX(A_Aufgaben,(F$5-Arbeitszeit!$A$6+1),(2*(ROW()-ROW(A_Aufgabendatum))-1))),"")</f>
        <v>#VALUE!</v>
      </c>
      <c r="G23" s="470" t="e">
        <f>IF(G$5&gt;0,(INDEX(A_Aufgaben,(G$5-Arbeitszeit!$A$6+1),(2*(ROW()-ROW(A_Aufgabendatum))-1))),"")</f>
        <v>#VALUE!</v>
      </c>
      <c r="H23" s="471" t="e">
        <f>IF(H$5&gt;0,(INDEX(A_Aufgaben,(H$5-Arbeitszeit!$A$6+1),(2*(ROW()-ROW(A_Aufgabendatum))-1))),"")</f>
        <v>#VALUE!</v>
      </c>
      <c r="I23" s="470" t="e">
        <f>IF(I$5&gt;0,(INDEX(A_Aufgaben,(I$5-Arbeitszeit!$A$6+1),(2*(ROW()-ROW(A_Aufgabendatum))-1))),"")</f>
        <v>#VALUE!</v>
      </c>
      <c r="J23" s="471" t="e">
        <f>IF(J$5&gt;0,(INDEX(A_Aufgaben,(J$5-Arbeitszeit!$A$6+1),(2*(ROW()-ROW(A_Aufgabendatum))-1))),"")</f>
        <v>#VALUE!</v>
      </c>
      <c r="K23" s="470" t="e">
        <f>IF(K$5&gt;0,(INDEX(A_Aufgaben,(K$5-Arbeitszeit!$A$6+1),(2*(ROW()-ROW(A_Aufgabendatum))-1))),"")</f>
        <v>#VALUE!</v>
      </c>
      <c r="L23" s="471" t="e">
        <f>IF(L$5&gt;0,(INDEX(A_Aufgaben,(L$5-Arbeitszeit!$A$6+1),(2*(ROW()-ROW(A_Aufgabendatum))-1))),"")</f>
        <v>#VALUE!</v>
      </c>
      <c r="M23" s="470" t="e">
        <f>IF(M$5&gt;0,(INDEX(A_Aufgaben,(M$5-Arbeitszeit!$A$6+1),(2*(ROW()-ROW(A_Aufgabendatum))-1))),"")</f>
        <v>#VALUE!</v>
      </c>
      <c r="N23" s="471" t="e">
        <f>IF(N$5&gt;0,(INDEX(A_Aufgaben,(N$5-Arbeitszeit!$A$6+1),(2*(ROW()-ROW(A_Aufgabendatum))-1))),"")</f>
        <v>#VALUE!</v>
      </c>
      <c r="O23" s="470" t="e">
        <f>IF(O$5&gt;0,(INDEX(A_Aufgaben,(O$5-Arbeitszeit!$A$6+1),(2*(ROW()-ROW(A_Aufgabendatum))-1))),"")</f>
        <v>#VALUE!</v>
      </c>
      <c r="P23" s="471" t="e">
        <f>IF(P$5&gt;0,(INDEX(A_Aufgaben,(P$5-Arbeitszeit!$A$6+1),(2*(ROW()-ROW(A_Aufgabendatum))-1))),"")</f>
        <v>#VALUE!</v>
      </c>
      <c r="Q23" s="470" t="e">
        <f>IF(Q$5&gt;0,(INDEX(A_Aufgaben,(Q$5-Arbeitszeit!$A$6+1),(2*(ROW()-ROW(A_Aufgabendatum))-1))),"")</f>
        <v>#VALUE!</v>
      </c>
      <c r="R23" s="471" t="e">
        <f>IF(R$5&gt;0,(INDEX(A_Aufgaben,(R$5-Arbeitszeit!$A$6+1),(2*(ROW()-ROW(A_Aufgabendatum))-1))),"")</f>
        <v>#VALUE!</v>
      </c>
      <c r="S23" s="470" t="e">
        <f>IF(S$5&gt;0,(INDEX(A_Aufgaben,(S$5-Arbeitszeit!$A$6+1),(2*(ROW()-ROW(A_Aufgabendatum))-1))),"")</f>
        <v>#VALUE!</v>
      </c>
      <c r="T23" s="471" t="e">
        <f>IF(T$5&gt;0,(INDEX(A_Aufgaben,(T$5-Arbeitszeit!$A$6+1),(2*(ROW()-ROW(A_Aufgabendatum))-1))),"")</f>
        <v>#VALUE!</v>
      </c>
      <c r="U23" s="470" t="e">
        <f>IF(U$5&gt;0,(INDEX(A_Aufgaben,(U$5-Arbeitszeit!$A$6+1),(2*(ROW()-ROW(A_Aufgabendatum))-1))),"")</f>
        <v>#VALUE!</v>
      </c>
      <c r="V23" s="471" t="e">
        <f>IF(V$5&gt;0,(INDEX(A_Aufgaben,(V$5-Arbeitszeit!$A$6+1),(2*(ROW()-ROW(A_Aufgabendatum))-1))),"")</f>
        <v>#VALUE!</v>
      </c>
      <c r="W23" s="470" t="e">
        <f>IF(W$5&gt;0,(INDEX(A_Aufgaben,(W$5-Arbeitszeit!$A$6+1),(2*(ROW()-ROW(A_Aufgabendatum))-1))),"")</f>
        <v>#VALUE!</v>
      </c>
      <c r="X23" s="471" t="e">
        <f>IF(X$5&gt;0,(INDEX(A_Aufgaben,(X$5-Arbeitszeit!$A$6+1),(2*(ROW()-ROW(A_Aufgabendatum))-1))),"")</f>
        <v>#VALUE!</v>
      </c>
      <c r="Y23" s="470" t="e">
        <f>IF(Y$5&gt;0,(INDEX(A_Aufgaben,(Y$5-Arbeitszeit!$A$6+1),(2*(ROW()-ROW(A_Aufgabendatum))-1))),"")</f>
        <v>#VALUE!</v>
      </c>
      <c r="Z23" s="471" t="e">
        <f>IF(Z$5&gt;0,(INDEX(A_Aufgaben,(Z$5-Arbeitszeit!$A$6+1),(2*(ROW()-ROW(A_Aufgabendatum))-1))),"")</f>
        <v>#VALUE!</v>
      </c>
      <c r="AA23" s="470" t="e">
        <f>IF(AA$5&gt;0,(INDEX(A_Aufgaben,(AA$5-Arbeitszeit!$A$6+1),(2*(ROW()-ROW(A_Aufgabendatum))-1))),"")</f>
        <v>#VALUE!</v>
      </c>
      <c r="AB23" s="471" t="e">
        <f>IF(AB$5&gt;0,(INDEX(A_Aufgaben,(AB$5-Arbeitszeit!$A$6+1),(2*(ROW()-ROW(A_Aufgabendatum))-1))),"")</f>
        <v>#VALUE!</v>
      </c>
      <c r="AC23" s="470" t="e">
        <f>IF(AC$5&gt;0,(INDEX(A_Aufgaben,(AC$5-Arbeitszeit!$A$6+1),(2*(ROW()-ROW(A_Aufgabendatum))-1))),"")</f>
        <v>#VALUE!</v>
      </c>
      <c r="AD23" s="471" t="e">
        <f>IF(AD$5&gt;0,(INDEX(A_Aufgaben,(AD$5-Arbeitszeit!$A$6+1),(2*(ROW()-ROW(A_Aufgabendatum))-1))),"")</f>
        <v>#VALUE!</v>
      </c>
      <c r="AE23" s="470" t="e">
        <f>IF(AE$5&gt;0,(INDEX(A_Aufgaben,(AE$5-Arbeitszeit!$A$6+1),(2*(ROW()-ROW(A_Aufgabendatum))-1))),"")</f>
        <v>#VALUE!</v>
      </c>
      <c r="AF23" s="471" t="e">
        <f>IF(AF$5&gt;0,(INDEX(A_Aufgaben,(AF$5-Arbeitszeit!$A$6+1),(2*(ROW()-ROW(A_Aufgabendatum))-1))),"")</f>
        <v>#VALUE!</v>
      </c>
      <c r="AG23" s="470" t="e">
        <f>IF(AG$5&gt;0,(INDEX(A_Aufgaben,(AG$5-Arbeitszeit!$A$6+1),(2*(ROW()-ROW(A_Aufgabendatum))-1))),"")</f>
        <v>#VALUE!</v>
      </c>
      <c r="AH23" s="479" t="e">
        <f t="shared" si="1"/>
        <v>#VALUE!</v>
      </c>
      <c r="AI23" s="3">
        <f t="shared" si="2"/>
        <v>0</v>
      </c>
    </row>
    <row r="24" spans="1:35">
      <c r="A24">
        <f t="shared" si="3"/>
        <v>0</v>
      </c>
      <c r="B24" s="469" t="str">
        <f>Aufgaben!AQ3</f>
        <v>Aufgabe 16</v>
      </c>
      <c r="C24" s="470" t="e">
        <f>IF(C$5&gt;0,(INDEX(A_Aufgaben,(C$5-Arbeitszeit!$A$6+1),(2*(ROW()-ROW(A_Aufgabendatum))-1))),"")</f>
        <v>#VALUE!</v>
      </c>
      <c r="D24" s="471" t="e">
        <f>IF(D$5&gt;0,(INDEX(A_Aufgaben,(D$5-Arbeitszeit!$A$6+1),(2*(ROW()-ROW(A_Aufgabendatum))-1))),"")</f>
        <v>#VALUE!</v>
      </c>
      <c r="E24" s="470" t="e">
        <f>IF(E$5&gt;0,(INDEX(A_Aufgaben,(E$5-Arbeitszeit!$A$6+1),(2*(ROW()-ROW(A_Aufgabendatum))-1))),"")</f>
        <v>#VALUE!</v>
      </c>
      <c r="F24" s="471" t="e">
        <f>IF(F$5&gt;0,(INDEX(A_Aufgaben,(F$5-Arbeitszeit!$A$6+1),(2*(ROW()-ROW(A_Aufgabendatum))-1))),"")</f>
        <v>#VALUE!</v>
      </c>
      <c r="G24" s="470" t="e">
        <f>IF(G$5&gt;0,(INDEX(A_Aufgaben,(G$5-Arbeitszeit!$A$6+1),(2*(ROW()-ROW(A_Aufgabendatum))-1))),"")</f>
        <v>#VALUE!</v>
      </c>
      <c r="H24" s="471" t="e">
        <f>IF(H$5&gt;0,(INDEX(A_Aufgaben,(H$5-Arbeitszeit!$A$6+1),(2*(ROW()-ROW(A_Aufgabendatum))-1))),"")</f>
        <v>#VALUE!</v>
      </c>
      <c r="I24" s="470" t="e">
        <f>IF(I$5&gt;0,(INDEX(A_Aufgaben,(I$5-Arbeitszeit!$A$6+1),(2*(ROW()-ROW(A_Aufgabendatum))-1))),"")</f>
        <v>#VALUE!</v>
      </c>
      <c r="J24" s="471" t="e">
        <f>IF(J$5&gt;0,(INDEX(A_Aufgaben,(J$5-Arbeitszeit!$A$6+1),(2*(ROW()-ROW(A_Aufgabendatum))-1))),"")</f>
        <v>#VALUE!</v>
      </c>
      <c r="K24" s="470" t="e">
        <f>IF(K$5&gt;0,(INDEX(A_Aufgaben,(K$5-Arbeitszeit!$A$6+1),(2*(ROW()-ROW(A_Aufgabendatum))-1))),"")</f>
        <v>#VALUE!</v>
      </c>
      <c r="L24" s="471" t="e">
        <f>IF(L$5&gt;0,(INDEX(A_Aufgaben,(L$5-Arbeitszeit!$A$6+1),(2*(ROW()-ROW(A_Aufgabendatum))-1))),"")</f>
        <v>#VALUE!</v>
      </c>
      <c r="M24" s="470" t="e">
        <f>IF(M$5&gt;0,(INDEX(A_Aufgaben,(M$5-Arbeitszeit!$A$6+1),(2*(ROW()-ROW(A_Aufgabendatum))-1))),"")</f>
        <v>#VALUE!</v>
      </c>
      <c r="N24" s="471" t="e">
        <f>IF(N$5&gt;0,(INDEX(A_Aufgaben,(N$5-Arbeitszeit!$A$6+1),(2*(ROW()-ROW(A_Aufgabendatum))-1))),"")</f>
        <v>#VALUE!</v>
      </c>
      <c r="O24" s="470" t="e">
        <f>IF(O$5&gt;0,(INDEX(A_Aufgaben,(O$5-Arbeitszeit!$A$6+1),(2*(ROW()-ROW(A_Aufgabendatum))-1))),"")</f>
        <v>#VALUE!</v>
      </c>
      <c r="P24" s="471" t="e">
        <f>IF(P$5&gt;0,(INDEX(A_Aufgaben,(P$5-Arbeitszeit!$A$6+1),(2*(ROW()-ROW(A_Aufgabendatum))-1))),"")</f>
        <v>#VALUE!</v>
      </c>
      <c r="Q24" s="470" t="e">
        <f>IF(Q$5&gt;0,(INDEX(A_Aufgaben,(Q$5-Arbeitszeit!$A$6+1),(2*(ROW()-ROW(A_Aufgabendatum))-1))),"")</f>
        <v>#VALUE!</v>
      </c>
      <c r="R24" s="471" t="e">
        <f>IF(R$5&gt;0,(INDEX(A_Aufgaben,(R$5-Arbeitszeit!$A$6+1),(2*(ROW()-ROW(A_Aufgabendatum))-1))),"")</f>
        <v>#VALUE!</v>
      </c>
      <c r="S24" s="470" t="e">
        <f>IF(S$5&gt;0,(INDEX(A_Aufgaben,(S$5-Arbeitszeit!$A$6+1),(2*(ROW()-ROW(A_Aufgabendatum))-1))),"")</f>
        <v>#VALUE!</v>
      </c>
      <c r="T24" s="471" t="e">
        <f>IF(T$5&gt;0,(INDEX(A_Aufgaben,(T$5-Arbeitszeit!$A$6+1),(2*(ROW()-ROW(A_Aufgabendatum))-1))),"")</f>
        <v>#VALUE!</v>
      </c>
      <c r="U24" s="470" t="e">
        <f>IF(U$5&gt;0,(INDEX(A_Aufgaben,(U$5-Arbeitszeit!$A$6+1),(2*(ROW()-ROW(A_Aufgabendatum))-1))),"")</f>
        <v>#VALUE!</v>
      </c>
      <c r="V24" s="471" t="e">
        <f>IF(V$5&gt;0,(INDEX(A_Aufgaben,(V$5-Arbeitszeit!$A$6+1),(2*(ROW()-ROW(A_Aufgabendatum))-1))),"")</f>
        <v>#VALUE!</v>
      </c>
      <c r="W24" s="470" t="e">
        <f>IF(W$5&gt;0,(INDEX(A_Aufgaben,(W$5-Arbeitszeit!$A$6+1),(2*(ROW()-ROW(A_Aufgabendatum))-1))),"")</f>
        <v>#VALUE!</v>
      </c>
      <c r="X24" s="471" t="e">
        <f>IF(X$5&gt;0,(INDEX(A_Aufgaben,(X$5-Arbeitszeit!$A$6+1),(2*(ROW()-ROW(A_Aufgabendatum))-1))),"")</f>
        <v>#VALUE!</v>
      </c>
      <c r="Y24" s="470" t="e">
        <f>IF(Y$5&gt;0,(INDEX(A_Aufgaben,(Y$5-Arbeitszeit!$A$6+1),(2*(ROW()-ROW(A_Aufgabendatum))-1))),"")</f>
        <v>#VALUE!</v>
      </c>
      <c r="Z24" s="471" t="e">
        <f>IF(Z$5&gt;0,(INDEX(A_Aufgaben,(Z$5-Arbeitszeit!$A$6+1),(2*(ROW()-ROW(A_Aufgabendatum))-1))),"")</f>
        <v>#VALUE!</v>
      </c>
      <c r="AA24" s="470" t="e">
        <f>IF(AA$5&gt;0,(INDEX(A_Aufgaben,(AA$5-Arbeitszeit!$A$6+1),(2*(ROW()-ROW(A_Aufgabendatum))-1))),"")</f>
        <v>#VALUE!</v>
      </c>
      <c r="AB24" s="471" t="e">
        <f>IF(AB$5&gt;0,(INDEX(A_Aufgaben,(AB$5-Arbeitszeit!$A$6+1),(2*(ROW()-ROW(A_Aufgabendatum))-1))),"")</f>
        <v>#VALUE!</v>
      </c>
      <c r="AC24" s="470" t="e">
        <f>IF(AC$5&gt;0,(INDEX(A_Aufgaben,(AC$5-Arbeitszeit!$A$6+1),(2*(ROW()-ROW(A_Aufgabendatum))-1))),"")</f>
        <v>#VALUE!</v>
      </c>
      <c r="AD24" s="471" t="e">
        <f>IF(AD$5&gt;0,(INDEX(A_Aufgaben,(AD$5-Arbeitszeit!$A$6+1),(2*(ROW()-ROW(A_Aufgabendatum))-1))),"")</f>
        <v>#VALUE!</v>
      </c>
      <c r="AE24" s="470" t="e">
        <f>IF(AE$5&gt;0,(INDEX(A_Aufgaben,(AE$5-Arbeitszeit!$A$6+1),(2*(ROW()-ROW(A_Aufgabendatum))-1))),"")</f>
        <v>#VALUE!</v>
      </c>
      <c r="AF24" s="471" t="e">
        <f>IF(AF$5&gt;0,(INDEX(A_Aufgaben,(AF$5-Arbeitszeit!$A$6+1),(2*(ROW()-ROW(A_Aufgabendatum))-1))),"")</f>
        <v>#VALUE!</v>
      </c>
      <c r="AG24" s="470" t="e">
        <f>IF(AG$5&gt;0,(INDEX(A_Aufgaben,(AG$5-Arbeitszeit!$A$6+1),(2*(ROW()-ROW(A_Aufgabendatum))-1))),"")</f>
        <v>#VALUE!</v>
      </c>
      <c r="AH24" s="479" t="e">
        <f t="shared" si="1"/>
        <v>#VALUE!</v>
      </c>
      <c r="AI24" s="3">
        <f t="shared" si="2"/>
        <v>0</v>
      </c>
    </row>
    <row r="25" spans="1:35">
      <c r="A25">
        <f t="shared" si="3"/>
        <v>0</v>
      </c>
      <c r="B25" s="469" t="str">
        <f>Aufgaben!AS3</f>
        <v>Aufgabe 17</v>
      </c>
      <c r="C25" s="470" t="e">
        <f>IF(C$5&gt;0,(INDEX(A_Aufgaben,(C$5-Arbeitszeit!$A$6+1),(2*(ROW()-ROW(A_Aufgabendatum))-1))),"")</f>
        <v>#VALUE!</v>
      </c>
      <c r="D25" s="471" t="e">
        <f>IF(D$5&gt;0,(INDEX(A_Aufgaben,(D$5-Arbeitszeit!$A$6+1),(2*(ROW()-ROW(A_Aufgabendatum))-1))),"")</f>
        <v>#VALUE!</v>
      </c>
      <c r="E25" s="470" t="e">
        <f>IF(E$5&gt;0,(INDEX(A_Aufgaben,(E$5-Arbeitszeit!$A$6+1),(2*(ROW()-ROW(A_Aufgabendatum))-1))),"")</f>
        <v>#VALUE!</v>
      </c>
      <c r="F25" s="471" t="e">
        <f>IF(F$5&gt;0,(INDEX(A_Aufgaben,(F$5-Arbeitszeit!$A$6+1),(2*(ROW()-ROW(A_Aufgabendatum))-1))),"")</f>
        <v>#VALUE!</v>
      </c>
      <c r="G25" s="470" t="e">
        <f>IF(G$5&gt;0,(INDEX(A_Aufgaben,(G$5-Arbeitszeit!$A$6+1),(2*(ROW()-ROW(A_Aufgabendatum))-1))),"")</f>
        <v>#VALUE!</v>
      </c>
      <c r="H25" s="471" t="e">
        <f>IF(H$5&gt;0,(INDEX(A_Aufgaben,(H$5-Arbeitszeit!$A$6+1),(2*(ROW()-ROW(A_Aufgabendatum))-1))),"")</f>
        <v>#VALUE!</v>
      </c>
      <c r="I25" s="470" t="e">
        <f>IF(I$5&gt;0,(INDEX(A_Aufgaben,(I$5-Arbeitszeit!$A$6+1),(2*(ROW()-ROW(A_Aufgabendatum))-1))),"")</f>
        <v>#VALUE!</v>
      </c>
      <c r="J25" s="471" t="e">
        <f>IF(J$5&gt;0,(INDEX(A_Aufgaben,(J$5-Arbeitszeit!$A$6+1),(2*(ROW()-ROW(A_Aufgabendatum))-1))),"")</f>
        <v>#VALUE!</v>
      </c>
      <c r="K25" s="470" t="e">
        <f>IF(K$5&gt;0,(INDEX(A_Aufgaben,(K$5-Arbeitszeit!$A$6+1),(2*(ROW()-ROW(A_Aufgabendatum))-1))),"")</f>
        <v>#VALUE!</v>
      </c>
      <c r="L25" s="471" t="e">
        <f>IF(L$5&gt;0,(INDEX(A_Aufgaben,(L$5-Arbeitszeit!$A$6+1),(2*(ROW()-ROW(A_Aufgabendatum))-1))),"")</f>
        <v>#VALUE!</v>
      </c>
      <c r="M25" s="470" t="e">
        <f>IF(M$5&gt;0,(INDEX(A_Aufgaben,(M$5-Arbeitszeit!$A$6+1),(2*(ROW()-ROW(A_Aufgabendatum))-1))),"")</f>
        <v>#VALUE!</v>
      </c>
      <c r="N25" s="471" t="e">
        <f>IF(N$5&gt;0,(INDEX(A_Aufgaben,(N$5-Arbeitszeit!$A$6+1),(2*(ROW()-ROW(A_Aufgabendatum))-1))),"")</f>
        <v>#VALUE!</v>
      </c>
      <c r="O25" s="470" t="e">
        <f>IF(O$5&gt;0,(INDEX(A_Aufgaben,(O$5-Arbeitszeit!$A$6+1),(2*(ROW()-ROW(A_Aufgabendatum))-1))),"")</f>
        <v>#VALUE!</v>
      </c>
      <c r="P25" s="471" t="e">
        <f>IF(P$5&gt;0,(INDEX(A_Aufgaben,(P$5-Arbeitszeit!$A$6+1),(2*(ROW()-ROW(A_Aufgabendatum))-1))),"")</f>
        <v>#VALUE!</v>
      </c>
      <c r="Q25" s="470" t="e">
        <f>IF(Q$5&gt;0,(INDEX(A_Aufgaben,(Q$5-Arbeitszeit!$A$6+1),(2*(ROW()-ROW(A_Aufgabendatum))-1))),"")</f>
        <v>#VALUE!</v>
      </c>
      <c r="R25" s="471" t="e">
        <f>IF(R$5&gt;0,(INDEX(A_Aufgaben,(R$5-Arbeitszeit!$A$6+1),(2*(ROW()-ROW(A_Aufgabendatum))-1))),"")</f>
        <v>#VALUE!</v>
      </c>
      <c r="S25" s="470" t="e">
        <f>IF(S$5&gt;0,(INDEX(A_Aufgaben,(S$5-Arbeitszeit!$A$6+1),(2*(ROW()-ROW(A_Aufgabendatum))-1))),"")</f>
        <v>#VALUE!</v>
      </c>
      <c r="T25" s="471" t="e">
        <f>IF(T$5&gt;0,(INDEX(A_Aufgaben,(T$5-Arbeitszeit!$A$6+1),(2*(ROW()-ROW(A_Aufgabendatum))-1))),"")</f>
        <v>#VALUE!</v>
      </c>
      <c r="U25" s="470" t="e">
        <f>IF(U$5&gt;0,(INDEX(A_Aufgaben,(U$5-Arbeitszeit!$A$6+1),(2*(ROW()-ROW(A_Aufgabendatum))-1))),"")</f>
        <v>#VALUE!</v>
      </c>
      <c r="V25" s="471" t="e">
        <f>IF(V$5&gt;0,(INDEX(A_Aufgaben,(V$5-Arbeitszeit!$A$6+1),(2*(ROW()-ROW(A_Aufgabendatum))-1))),"")</f>
        <v>#VALUE!</v>
      </c>
      <c r="W25" s="470" t="e">
        <f>IF(W$5&gt;0,(INDEX(A_Aufgaben,(W$5-Arbeitszeit!$A$6+1),(2*(ROW()-ROW(A_Aufgabendatum))-1))),"")</f>
        <v>#VALUE!</v>
      </c>
      <c r="X25" s="471" t="e">
        <f>IF(X$5&gt;0,(INDEX(A_Aufgaben,(X$5-Arbeitszeit!$A$6+1),(2*(ROW()-ROW(A_Aufgabendatum))-1))),"")</f>
        <v>#VALUE!</v>
      </c>
      <c r="Y25" s="470" t="e">
        <f>IF(Y$5&gt;0,(INDEX(A_Aufgaben,(Y$5-Arbeitszeit!$A$6+1),(2*(ROW()-ROW(A_Aufgabendatum))-1))),"")</f>
        <v>#VALUE!</v>
      </c>
      <c r="Z25" s="471" t="e">
        <f>IF(Z$5&gt;0,(INDEX(A_Aufgaben,(Z$5-Arbeitszeit!$A$6+1),(2*(ROW()-ROW(A_Aufgabendatum))-1))),"")</f>
        <v>#VALUE!</v>
      </c>
      <c r="AA25" s="470" t="e">
        <f>IF(AA$5&gt;0,(INDEX(A_Aufgaben,(AA$5-Arbeitszeit!$A$6+1),(2*(ROW()-ROW(A_Aufgabendatum))-1))),"")</f>
        <v>#VALUE!</v>
      </c>
      <c r="AB25" s="471" t="e">
        <f>IF(AB$5&gt;0,(INDEX(A_Aufgaben,(AB$5-Arbeitszeit!$A$6+1),(2*(ROW()-ROW(A_Aufgabendatum))-1))),"")</f>
        <v>#VALUE!</v>
      </c>
      <c r="AC25" s="470" t="e">
        <f>IF(AC$5&gt;0,(INDEX(A_Aufgaben,(AC$5-Arbeitszeit!$A$6+1),(2*(ROW()-ROW(A_Aufgabendatum))-1))),"")</f>
        <v>#VALUE!</v>
      </c>
      <c r="AD25" s="471" t="e">
        <f>IF(AD$5&gt;0,(INDEX(A_Aufgaben,(AD$5-Arbeitszeit!$A$6+1),(2*(ROW()-ROW(A_Aufgabendatum))-1))),"")</f>
        <v>#VALUE!</v>
      </c>
      <c r="AE25" s="470" t="e">
        <f>IF(AE$5&gt;0,(INDEX(A_Aufgaben,(AE$5-Arbeitszeit!$A$6+1),(2*(ROW()-ROW(A_Aufgabendatum))-1))),"")</f>
        <v>#VALUE!</v>
      </c>
      <c r="AF25" s="471" t="e">
        <f>IF(AF$5&gt;0,(INDEX(A_Aufgaben,(AF$5-Arbeitszeit!$A$6+1),(2*(ROW()-ROW(A_Aufgabendatum))-1))),"")</f>
        <v>#VALUE!</v>
      </c>
      <c r="AG25" s="470" t="e">
        <f>IF(AG$5&gt;0,(INDEX(A_Aufgaben,(AG$5-Arbeitszeit!$A$6+1),(2*(ROW()-ROW(A_Aufgabendatum))-1))),"")</f>
        <v>#VALUE!</v>
      </c>
      <c r="AH25" s="479" t="e">
        <f t="shared" si="1"/>
        <v>#VALUE!</v>
      </c>
      <c r="AI25" s="3">
        <f t="shared" si="2"/>
        <v>0</v>
      </c>
    </row>
    <row r="26" spans="1:35">
      <c r="A26">
        <f t="shared" si="3"/>
        <v>0</v>
      </c>
      <c r="B26" s="469" t="str">
        <f>Aufgaben!AU3</f>
        <v>Aufgabe 18</v>
      </c>
      <c r="C26" s="470" t="e">
        <f>IF(C$5&gt;0,(INDEX(A_Aufgaben,(C$5-Arbeitszeit!$A$6+1),(2*(ROW()-ROW(A_Aufgabendatum))-1))),"")</f>
        <v>#VALUE!</v>
      </c>
      <c r="D26" s="471" t="e">
        <f>IF(D$5&gt;0,(INDEX(A_Aufgaben,(D$5-Arbeitszeit!$A$6+1),(2*(ROW()-ROW(A_Aufgabendatum))-1))),"")</f>
        <v>#VALUE!</v>
      </c>
      <c r="E26" s="470" t="e">
        <f>IF(E$5&gt;0,(INDEX(A_Aufgaben,(E$5-Arbeitszeit!$A$6+1),(2*(ROW()-ROW(A_Aufgabendatum))-1))),"")</f>
        <v>#VALUE!</v>
      </c>
      <c r="F26" s="471" t="e">
        <f>IF(F$5&gt;0,(INDEX(A_Aufgaben,(F$5-Arbeitszeit!$A$6+1),(2*(ROW()-ROW(A_Aufgabendatum))-1))),"")</f>
        <v>#VALUE!</v>
      </c>
      <c r="G26" s="470" t="e">
        <f>IF(G$5&gt;0,(INDEX(A_Aufgaben,(G$5-Arbeitszeit!$A$6+1),(2*(ROW()-ROW(A_Aufgabendatum))-1))),"")</f>
        <v>#VALUE!</v>
      </c>
      <c r="H26" s="471" t="e">
        <f>IF(H$5&gt;0,(INDEX(A_Aufgaben,(H$5-Arbeitszeit!$A$6+1),(2*(ROW()-ROW(A_Aufgabendatum))-1))),"")</f>
        <v>#VALUE!</v>
      </c>
      <c r="I26" s="470" t="e">
        <f>IF(I$5&gt;0,(INDEX(A_Aufgaben,(I$5-Arbeitszeit!$A$6+1),(2*(ROW()-ROW(A_Aufgabendatum))-1))),"")</f>
        <v>#VALUE!</v>
      </c>
      <c r="J26" s="471" t="e">
        <f>IF(J$5&gt;0,(INDEX(A_Aufgaben,(J$5-Arbeitszeit!$A$6+1),(2*(ROW()-ROW(A_Aufgabendatum))-1))),"")</f>
        <v>#VALUE!</v>
      </c>
      <c r="K26" s="470" t="e">
        <f>IF(K$5&gt;0,(INDEX(A_Aufgaben,(K$5-Arbeitszeit!$A$6+1),(2*(ROW()-ROW(A_Aufgabendatum))-1))),"")</f>
        <v>#VALUE!</v>
      </c>
      <c r="L26" s="471" t="e">
        <f>IF(L$5&gt;0,(INDEX(A_Aufgaben,(L$5-Arbeitszeit!$A$6+1),(2*(ROW()-ROW(A_Aufgabendatum))-1))),"")</f>
        <v>#VALUE!</v>
      </c>
      <c r="M26" s="470" t="e">
        <f>IF(M$5&gt;0,(INDEX(A_Aufgaben,(M$5-Arbeitszeit!$A$6+1),(2*(ROW()-ROW(A_Aufgabendatum))-1))),"")</f>
        <v>#VALUE!</v>
      </c>
      <c r="N26" s="471" t="e">
        <f>IF(N$5&gt;0,(INDEX(A_Aufgaben,(N$5-Arbeitszeit!$A$6+1),(2*(ROW()-ROW(A_Aufgabendatum))-1))),"")</f>
        <v>#VALUE!</v>
      </c>
      <c r="O26" s="470" t="e">
        <f>IF(O$5&gt;0,(INDEX(A_Aufgaben,(O$5-Arbeitszeit!$A$6+1),(2*(ROW()-ROW(A_Aufgabendatum))-1))),"")</f>
        <v>#VALUE!</v>
      </c>
      <c r="P26" s="471" t="e">
        <f>IF(P$5&gt;0,(INDEX(A_Aufgaben,(P$5-Arbeitszeit!$A$6+1),(2*(ROW()-ROW(A_Aufgabendatum))-1))),"")</f>
        <v>#VALUE!</v>
      </c>
      <c r="Q26" s="470" t="e">
        <f>IF(Q$5&gt;0,(INDEX(A_Aufgaben,(Q$5-Arbeitszeit!$A$6+1),(2*(ROW()-ROW(A_Aufgabendatum))-1))),"")</f>
        <v>#VALUE!</v>
      </c>
      <c r="R26" s="471" t="e">
        <f>IF(R$5&gt;0,(INDEX(A_Aufgaben,(R$5-Arbeitszeit!$A$6+1),(2*(ROW()-ROW(A_Aufgabendatum))-1))),"")</f>
        <v>#VALUE!</v>
      </c>
      <c r="S26" s="470" t="e">
        <f>IF(S$5&gt;0,(INDEX(A_Aufgaben,(S$5-Arbeitszeit!$A$6+1),(2*(ROW()-ROW(A_Aufgabendatum))-1))),"")</f>
        <v>#VALUE!</v>
      </c>
      <c r="T26" s="471" t="e">
        <f>IF(T$5&gt;0,(INDEX(A_Aufgaben,(T$5-Arbeitszeit!$A$6+1),(2*(ROW()-ROW(A_Aufgabendatum))-1))),"")</f>
        <v>#VALUE!</v>
      </c>
      <c r="U26" s="470" t="e">
        <f>IF(U$5&gt;0,(INDEX(A_Aufgaben,(U$5-Arbeitszeit!$A$6+1),(2*(ROW()-ROW(A_Aufgabendatum))-1))),"")</f>
        <v>#VALUE!</v>
      </c>
      <c r="V26" s="471" t="e">
        <f>IF(V$5&gt;0,(INDEX(A_Aufgaben,(V$5-Arbeitszeit!$A$6+1),(2*(ROW()-ROW(A_Aufgabendatum))-1))),"")</f>
        <v>#VALUE!</v>
      </c>
      <c r="W26" s="470" t="e">
        <f>IF(W$5&gt;0,(INDEX(A_Aufgaben,(W$5-Arbeitszeit!$A$6+1),(2*(ROW()-ROW(A_Aufgabendatum))-1))),"")</f>
        <v>#VALUE!</v>
      </c>
      <c r="X26" s="471" t="e">
        <f>IF(X$5&gt;0,(INDEX(A_Aufgaben,(X$5-Arbeitszeit!$A$6+1),(2*(ROW()-ROW(A_Aufgabendatum))-1))),"")</f>
        <v>#VALUE!</v>
      </c>
      <c r="Y26" s="470" t="e">
        <f>IF(Y$5&gt;0,(INDEX(A_Aufgaben,(Y$5-Arbeitszeit!$A$6+1),(2*(ROW()-ROW(A_Aufgabendatum))-1))),"")</f>
        <v>#VALUE!</v>
      </c>
      <c r="Z26" s="471" t="e">
        <f>IF(Z$5&gt;0,(INDEX(A_Aufgaben,(Z$5-Arbeitszeit!$A$6+1),(2*(ROW()-ROW(A_Aufgabendatum))-1))),"")</f>
        <v>#VALUE!</v>
      </c>
      <c r="AA26" s="470" t="e">
        <f>IF(AA$5&gt;0,(INDEX(A_Aufgaben,(AA$5-Arbeitszeit!$A$6+1),(2*(ROW()-ROW(A_Aufgabendatum))-1))),"")</f>
        <v>#VALUE!</v>
      </c>
      <c r="AB26" s="471" t="e">
        <f>IF(AB$5&gt;0,(INDEX(A_Aufgaben,(AB$5-Arbeitszeit!$A$6+1),(2*(ROW()-ROW(A_Aufgabendatum))-1))),"")</f>
        <v>#VALUE!</v>
      </c>
      <c r="AC26" s="470" t="e">
        <f>IF(AC$5&gt;0,(INDEX(A_Aufgaben,(AC$5-Arbeitszeit!$A$6+1),(2*(ROW()-ROW(A_Aufgabendatum))-1))),"")</f>
        <v>#VALUE!</v>
      </c>
      <c r="AD26" s="471" t="e">
        <f>IF(AD$5&gt;0,(INDEX(A_Aufgaben,(AD$5-Arbeitszeit!$A$6+1),(2*(ROW()-ROW(A_Aufgabendatum))-1))),"")</f>
        <v>#VALUE!</v>
      </c>
      <c r="AE26" s="470" t="e">
        <f>IF(AE$5&gt;0,(INDEX(A_Aufgaben,(AE$5-Arbeitszeit!$A$6+1),(2*(ROW()-ROW(A_Aufgabendatum))-1))),"")</f>
        <v>#VALUE!</v>
      </c>
      <c r="AF26" s="471" t="e">
        <f>IF(AF$5&gt;0,(INDEX(A_Aufgaben,(AF$5-Arbeitszeit!$A$6+1),(2*(ROW()-ROW(A_Aufgabendatum))-1))),"")</f>
        <v>#VALUE!</v>
      </c>
      <c r="AG26" s="470" t="e">
        <f>IF(AG$5&gt;0,(INDEX(A_Aufgaben,(AG$5-Arbeitszeit!$A$6+1),(2*(ROW()-ROW(A_Aufgabendatum))-1))),"")</f>
        <v>#VALUE!</v>
      </c>
      <c r="AH26" s="479" t="e">
        <f t="shared" si="1"/>
        <v>#VALUE!</v>
      </c>
      <c r="AI26" s="3">
        <f t="shared" si="2"/>
        <v>0</v>
      </c>
    </row>
    <row r="27" spans="1:35">
      <c r="B27" s="469" t="str">
        <f>Aufgaben!AW3</f>
        <v>Aufgabe 19</v>
      </c>
      <c r="C27" s="470" t="e">
        <f>IF(C$5&gt;0,(INDEX(A_Aufgaben,(C$5-Arbeitszeit!$A$6+1),(2*(ROW()-ROW(A_Aufgabendatum))-1))),"")</f>
        <v>#VALUE!</v>
      </c>
      <c r="D27" s="471" t="e">
        <f>IF(D$5&gt;0,(INDEX(A_Aufgaben,(D$5-Arbeitszeit!$A$6+1),(2*(ROW()-ROW(A_Aufgabendatum))-1))),"")</f>
        <v>#VALUE!</v>
      </c>
      <c r="E27" s="470" t="e">
        <f>IF(E$5&gt;0,(INDEX(A_Aufgaben,(E$5-Arbeitszeit!$A$6+1),(2*(ROW()-ROW(A_Aufgabendatum))-1))),"")</f>
        <v>#VALUE!</v>
      </c>
      <c r="F27" s="471" t="e">
        <f>IF(F$5&gt;0,(INDEX(A_Aufgaben,(F$5-Arbeitszeit!$A$6+1),(2*(ROW()-ROW(A_Aufgabendatum))-1))),"")</f>
        <v>#VALUE!</v>
      </c>
      <c r="G27" s="470" t="e">
        <f>IF(G$5&gt;0,(INDEX(A_Aufgaben,(G$5-Arbeitszeit!$A$6+1),(2*(ROW()-ROW(A_Aufgabendatum))-1))),"")</f>
        <v>#VALUE!</v>
      </c>
      <c r="H27" s="471" t="e">
        <f>IF(H$5&gt;0,(INDEX(A_Aufgaben,(H$5-Arbeitszeit!$A$6+1),(2*(ROW()-ROW(A_Aufgabendatum))-1))),"")</f>
        <v>#VALUE!</v>
      </c>
      <c r="I27" s="470" t="e">
        <f>IF(I$5&gt;0,(INDEX(A_Aufgaben,(I$5-Arbeitszeit!$A$6+1),(2*(ROW()-ROW(A_Aufgabendatum))-1))),"")</f>
        <v>#VALUE!</v>
      </c>
      <c r="J27" s="471" t="e">
        <f>IF(J$5&gt;0,(INDEX(A_Aufgaben,(J$5-Arbeitszeit!$A$6+1),(2*(ROW()-ROW(A_Aufgabendatum))-1))),"")</f>
        <v>#VALUE!</v>
      </c>
      <c r="K27" s="470" t="e">
        <f>IF(K$5&gt;0,(INDEX(A_Aufgaben,(K$5-Arbeitszeit!$A$6+1),(2*(ROW()-ROW(A_Aufgabendatum))-1))),"")</f>
        <v>#VALUE!</v>
      </c>
      <c r="L27" s="471" t="e">
        <f>IF(L$5&gt;0,(INDEX(A_Aufgaben,(L$5-Arbeitszeit!$A$6+1),(2*(ROW()-ROW(A_Aufgabendatum))-1))),"")</f>
        <v>#VALUE!</v>
      </c>
      <c r="M27" s="470" t="e">
        <f>IF(M$5&gt;0,(INDEX(A_Aufgaben,(M$5-Arbeitszeit!$A$6+1),(2*(ROW()-ROW(A_Aufgabendatum))-1))),"")</f>
        <v>#VALUE!</v>
      </c>
      <c r="N27" s="471" t="e">
        <f>IF(N$5&gt;0,(INDEX(A_Aufgaben,(N$5-Arbeitszeit!$A$6+1),(2*(ROW()-ROW(A_Aufgabendatum))-1))),"")</f>
        <v>#VALUE!</v>
      </c>
      <c r="O27" s="470" t="e">
        <f>IF(O$5&gt;0,(INDEX(A_Aufgaben,(O$5-Arbeitszeit!$A$6+1),(2*(ROW()-ROW(A_Aufgabendatum))-1))),"")</f>
        <v>#VALUE!</v>
      </c>
      <c r="P27" s="471" t="e">
        <f>IF(P$5&gt;0,(INDEX(A_Aufgaben,(P$5-Arbeitszeit!$A$6+1),(2*(ROW()-ROW(A_Aufgabendatum))-1))),"")</f>
        <v>#VALUE!</v>
      </c>
      <c r="Q27" s="470" t="e">
        <f>IF(Q$5&gt;0,(INDEX(A_Aufgaben,(Q$5-Arbeitszeit!$A$6+1),(2*(ROW()-ROW(A_Aufgabendatum))-1))),"")</f>
        <v>#VALUE!</v>
      </c>
      <c r="R27" s="471" t="e">
        <f>IF(R$5&gt;0,(INDEX(A_Aufgaben,(R$5-Arbeitszeit!$A$6+1),(2*(ROW()-ROW(A_Aufgabendatum))-1))),"")</f>
        <v>#VALUE!</v>
      </c>
      <c r="S27" s="470" t="e">
        <f>IF(S$5&gt;0,(INDEX(A_Aufgaben,(S$5-Arbeitszeit!$A$6+1),(2*(ROW()-ROW(A_Aufgabendatum))-1))),"")</f>
        <v>#VALUE!</v>
      </c>
      <c r="T27" s="471" t="e">
        <f>IF(T$5&gt;0,(INDEX(A_Aufgaben,(T$5-Arbeitszeit!$A$6+1),(2*(ROW()-ROW(A_Aufgabendatum))-1))),"")</f>
        <v>#VALUE!</v>
      </c>
      <c r="U27" s="470" t="e">
        <f>IF(U$5&gt;0,(INDEX(A_Aufgaben,(U$5-Arbeitszeit!$A$6+1),(2*(ROW()-ROW(A_Aufgabendatum))-1))),"")</f>
        <v>#VALUE!</v>
      </c>
      <c r="V27" s="471" t="e">
        <f>IF(V$5&gt;0,(INDEX(A_Aufgaben,(V$5-Arbeitszeit!$A$6+1),(2*(ROW()-ROW(A_Aufgabendatum))-1))),"")</f>
        <v>#VALUE!</v>
      </c>
      <c r="W27" s="470" t="e">
        <f>IF(W$5&gt;0,(INDEX(A_Aufgaben,(W$5-Arbeitszeit!$A$6+1),(2*(ROW()-ROW(A_Aufgabendatum))-1))),"")</f>
        <v>#VALUE!</v>
      </c>
      <c r="X27" s="471" t="e">
        <f>IF(X$5&gt;0,(INDEX(A_Aufgaben,(X$5-Arbeitszeit!$A$6+1),(2*(ROW()-ROW(A_Aufgabendatum))-1))),"")</f>
        <v>#VALUE!</v>
      </c>
      <c r="Y27" s="470" t="e">
        <f>IF(Y$5&gt;0,(INDEX(A_Aufgaben,(Y$5-Arbeitszeit!$A$6+1),(2*(ROW()-ROW(A_Aufgabendatum))-1))),"")</f>
        <v>#VALUE!</v>
      </c>
      <c r="Z27" s="471" t="e">
        <f>IF(Z$5&gt;0,(INDEX(A_Aufgaben,(Z$5-Arbeitszeit!$A$6+1),(2*(ROW()-ROW(A_Aufgabendatum))-1))),"")</f>
        <v>#VALUE!</v>
      </c>
      <c r="AA27" s="470" t="e">
        <f>IF(AA$5&gt;0,(INDEX(A_Aufgaben,(AA$5-Arbeitszeit!$A$6+1),(2*(ROW()-ROW(A_Aufgabendatum))-1))),"")</f>
        <v>#VALUE!</v>
      </c>
      <c r="AB27" s="471" t="e">
        <f>IF(AB$5&gt;0,(INDEX(A_Aufgaben,(AB$5-Arbeitszeit!$A$6+1),(2*(ROW()-ROW(A_Aufgabendatum))-1))),"")</f>
        <v>#VALUE!</v>
      </c>
      <c r="AC27" s="470" t="e">
        <f>IF(AC$5&gt;0,(INDEX(A_Aufgaben,(AC$5-Arbeitszeit!$A$6+1),(2*(ROW()-ROW(A_Aufgabendatum))-1))),"")</f>
        <v>#VALUE!</v>
      </c>
      <c r="AD27" s="471" t="e">
        <f>IF(AD$5&gt;0,(INDEX(A_Aufgaben,(AD$5-Arbeitszeit!$A$6+1),(2*(ROW()-ROW(A_Aufgabendatum))-1))),"")</f>
        <v>#VALUE!</v>
      </c>
      <c r="AE27" s="470" t="e">
        <f>IF(AE$5&gt;0,(INDEX(A_Aufgaben,(AE$5-Arbeitszeit!$A$6+1),(2*(ROW()-ROW(A_Aufgabendatum))-1))),"")</f>
        <v>#VALUE!</v>
      </c>
      <c r="AF27" s="471" t="e">
        <f>IF(AF$5&gt;0,(INDEX(A_Aufgaben,(AF$5-Arbeitszeit!$A$6+1),(2*(ROW()-ROW(A_Aufgabendatum))-1))),"")</f>
        <v>#VALUE!</v>
      </c>
      <c r="AG27" s="470" t="e">
        <f>IF(AG$5&gt;0,(INDEX(A_Aufgaben,(AG$5-Arbeitszeit!$A$6+1),(2*(ROW()-ROW(A_Aufgabendatum))-1))),"")</f>
        <v>#VALUE!</v>
      </c>
      <c r="AH27" s="479" t="e">
        <f t="shared" ref="AH27:AH28" si="4">SUM(C27:AG27)</f>
        <v>#VALUE!</v>
      </c>
      <c r="AI27" s="3"/>
    </row>
    <row r="28" spans="1:35">
      <c r="B28" s="469" t="str">
        <f>Aufgaben!AY3</f>
        <v>Aufgabe 20</v>
      </c>
      <c r="C28" s="470" t="e">
        <f>IF(C$5&gt;0,(INDEX(A_Aufgaben,(C$5-Arbeitszeit!$A$6+1),(2*(ROW()-ROW(A_Aufgabendatum))-1))),"")</f>
        <v>#VALUE!</v>
      </c>
      <c r="D28" s="471" t="e">
        <f>IF(D$5&gt;0,(INDEX(A_Aufgaben,(D$5-Arbeitszeit!$A$6+1),(2*(ROW()-ROW(A_Aufgabendatum))-1))),"")</f>
        <v>#VALUE!</v>
      </c>
      <c r="E28" s="470" t="e">
        <f>IF(E$5&gt;0,(INDEX(A_Aufgaben,(E$5-Arbeitszeit!$A$6+1),(2*(ROW()-ROW(A_Aufgabendatum))-1))),"")</f>
        <v>#VALUE!</v>
      </c>
      <c r="F28" s="471" t="e">
        <f>IF(F$5&gt;0,(INDEX(A_Aufgaben,(F$5-Arbeitszeit!$A$6+1),(2*(ROW()-ROW(A_Aufgabendatum))-1))),"")</f>
        <v>#VALUE!</v>
      </c>
      <c r="G28" s="470" t="e">
        <f>IF(G$5&gt;0,(INDEX(A_Aufgaben,(G$5-Arbeitszeit!$A$6+1),(2*(ROW()-ROW(A_Aufgabendatum))-1))),"")</f>
        <v>#VALUE!</v>
      </c>
      <c r="H28" s="471" t="e">
        <f>IF(H$5&gt;0,(INDEX(A_Aufgaben,(H$5-Arbeitszeit!$A$6+1),(2*(ROW()-ROW(A_Aufgabendatum))-1))),"")</f>
        <v>#VALUE!</v>
      </c>
      <c r="I28" s="470" t="e">
        <f>IF(I$5&gt;0,(INDEX(A_Aufgaben,(I$5-Arbeitszeit!$A$6+1),(2*(ROW()-ROW(A_Aufgabendatum))-1))),"")</f>
        <v>#VALUE!</v>
      </c>
      <c r="J28" s="471" t="e">
        <f>IF(J$5&gt;0,(INDEX(A_Aufgaben,(J$5-Arbeitszeit!$A$6+1),(2*(ROW()-ROW(A_Aufgabendatum))-1))),"")</f>
        <v>#VALUE!</v>
      </c>
      <c r="K28" s="470" t="e">
        <f>IF(K$5&gt;0,(INDEX(A_Aufgaben,(K$5-Arbeitszeit!$A$6+1),(2*(ROW()-ROW(A_Aufgabendatum))-1))),"")</f>
        <v>#VALUE!</v>
      </c>
      <c r="L28" s="471" t="e">
        <f>IF(L$5&gt;0,(INDEX(A_Aufgaben,(L$5-Arbeitszeit!$A$6+1),(2*(ROW()-ROW(A_Aufgabendatum))-1))),"")</f>
        <v>#VALUE!</v>
      </c>
      <c r="M28" s="470" t="e">
        <f>IF(M$5&gt;0,(INDEX(A_Aufgaben,(M$5-Arbeitszeit!$A$6+1),(2*(ROW()-ROW(A_Aufgabendatum))-1))),"")</f>
        <v>#VALUE!</v>
      </c>
      <c r="N28" s="471" t="e">
        <f>IF(N$5&gt;0,(INDEX(A_Aufgaben,(N$5-Arbeitszeit!$A$6+1),(2*(ROW()-ROW(A_Aufgabendatum))-1))),"")</f>
        <v>#VALUE!</v>
      </c>
      <c r="O28" s="470" t="e">
        <f>IF(O$5&gt;0,(INDEX(A_Aufgaben,(O$5-Arbeitszeit!$A$6+1),(2*(ROW()-ROW(A_Aufgabendatum))-1))),"")</f>
        <v>#VALUE!</v>
      </c>
      <c r="P28" s="471" t="e">
        <f>IF(P$5&gt;0,(INDEX(A_Aufgaben,(P$5-Arbeitszeit!$A$6+1),(2*(ROW()-ROW(A_Aufgabendatum))-1))),"")</f>
        <v>#VALUE!</v>
      </c>
      <c r="Q28" s="470" t="e">
        <f>IF(Q$5&gt;0,(INDEX(A_Aufgaben,(Q$5-Arbeitszeit!$A$6+1),(2*(ROW()-ROW(A_Aufgabendatum))-1))),"")</f>
        <v>#VALUE!</v>
      </c>
      <c r="R28" s="471" t="e">
        <f>IF(R$5&gt;0,(INDEX(A_Aufgaben,(R$5-Arbeitszeit!$A$6+1),(2*(ROW()-ROW(A_Aufgabendatum))-1))),"")</f>
        <v>#VALUE!</v>
      </c>
      <c r="S28" s="470" t="e">
        <f>IF(S$5&gt;0,(INDEX(A_Aufgaben,(S$5-Arbeitszeit!$A$6+1),(2*(ROW()-ROW(A_Aufgabendatum))-1))),"")</f>
        <v>#VALUE!</v>
      </c>
      <c r="T28" s="471" t="e">
        <f>IF(T$5&gt;0,(INDEX(A_Aufgaben,(T$5-Arbeitszeit!$A$6+1),(2*(ROW()-ROW(A_Aufgabendatum))-1))),"")</f>
        <v>#VALUE!</v>
      </c>
      <c r="U28" s="470" t="e">
        <f>IF(U$5&gt;0,(INDEX(A_Aufgaben,(U$5-Arbeitszeit!$A$6+1),(2*(ROW()-ROW(A_Aufgabendatum))-1))),"")</f>
        <v>#VALUE!</v>
      </c>
      <c r="V28" s="471" t="e">
        <f>IF(V$5&gt;0,(INDEX(A_Aufgaben,(V$5-Arbeitszeit!$A$6+1),(2*(ROW()-ROW(A_Aufgabendatum))-1))),"")</f>
        <v>#VALUE!</v>
      </c>
      <c r="W28" s="470" t="e">
        <f>IF(W$5&gt;0,(INDEX(A_Aufgaben,(W$5-Arbeitszeit!$A$6+1),(2*(ROW()-ROW(A_Aufgabendatum))-1))),"")</f>
        <v>#VALUE!</v>
      </c>
      <c r="X28" s="471" t="e">
        <f>IF(X$5&gt;0,(INDEX(A_Aufgaben,(X$5-Arbeitszeit!$A$6+1),(2*(ROW()-ROW(A_Aufgabendatum))-1))),"")</f>
        <v>#VALUE!</v>
      </c>
      <c r="Y28" s="470" t="e">
        <f>IF(Y$5&gt;0,(INDEX(A_Aufgaben,(Y$5-Arbeitszeit!$A$6+1),(2*(ROW()-ROW(A_Aufgabendatum))-1))),"")</f>
        <v>#VALUE!</v>
      </c>
      <c r="Z28" s="471" t="e">
        <f>IF(Z$5&gt;0,(INDEX(A_Aufgaben,(Z$5-Arbeitszeit!$A$6+1),(2*(ROW()-ROW(A_Aufgabendatum))-1))),"")</f>
        <v>#VALUE!</v>
      </c>
      <c r="AA28" s="470" t="e">
        <f>IF(AA$5&gt;0,(INDEX(A_Aufgaben,(AA$5-Arbeitszeit!$A$6+1),(2*(ROW()-ROW(A_Aufgabendatum))-1))),"")</f>
        <v>#VALUE!</v>
      </c>
      <c r="AB28" s="471" t="e">
        <f>IF(AB$5&gt;0,(INDEX(A_Aufgaben,(AB$5-Arbeitszeit!$A$6+1),(2*(ROW()-ROW(A_Aufgabendatum))-1))),"")</f>
        <v>#VALUE!</v>
      </c>
      <c r="AC28" s="470" t="e">
        <f>IF(AC$5&gt;0,(INDEX(A_Aufgaben,(AC$5-Arbeitszeit!$A$6+1),(2*(ROW()-ROW(A_Aufgabendatum))-1))),"")</f>
        <v>#VALUE!</v>
      </c>
      <c r="AD28" s="471" t="e">
        <f>IF(AD$5&gt;0,(INDEX(A_Aufgaben,(AD$5-Arbeitszeit!$A$6+1),(2*(ROW()-ROW(A_Aufgabendatum))-1))),"")</f>
        <v>#VALUE!</v>
      </c>
      <c r="AE28" s="470" t="e">
        <f>IF(AE$5&gt;0,(INDEX(A_Aufgaben,(AE$5-Arbeitszeit!$A$6+1),(2*(ROW()-ROW(A_Aufgabendatum))-1))),"")</f>
        <v>#VALUE!</v>
      </c>
      <c r="AF28" s="471" t="e">
        <f>IF(AF$5&gt;0,(INDEX(A_Aufgaben,(AF$5-Arbeitszeit!$A$6+1),(2*(ROW()-ROW(A_Aufgabendatum))-1))),"")</f>
        <v>#VALUE!</v>
      </c>
      <c r="AG28" s="470" t="e">
        <f>IF(AG$5&gt;0,(INDEX(A_Aufgaben,(AG$5-Arbeitszeit!$A$6+1),(2*(ROW()-ROW(A_Aufgabendatum))-1))),"")</f>
        <v>#VALUE!</v>
      </c>
      <c r="AH28" s="479" t="e">
        <f t="shared" si="4"/>
        <v>#VALUE!</v>
      </c>
      <c r="AI28" s="3"/>
    </row>
    <row r="29" spans="1:35">
      <c r="B29" s="469" t="str">
        <f>Aufgaben!BA3</f>
        <v>Aufgabe 21</v>
      </c>
      <c r="C29" s="470" t="e">
        <f>IF(C$5&gt;0,(INDEX(A_Aufgaben,(C$5-Arbeitszeit!$A$6+1),(2*(ROW()-ROW(A_Aufgabendatum))-1))),"")</f>
        <v>#VALUE!</v>
      </c>
      <c r="D29" s="471" t="e">
        <f>IF(D$5&gt;0,(INDEX(A_Aufgaben,(D$5-Arbeitszeit!$A$6+1),(2*(ROW()-ROW(A_Aufgabendatum))-1))),"")</f>
        <v>#VALUE!</v>
      </c>
      <c r="E29" s="470" t="e">
        <f>IF(E$5&gt;0,(INDEX(A_Aufgaben,(E$5-Arbeitszeit!$A$6+1),(2*(ROW()-ROW(A_Aufgabendatum))-1))),"")</f>
        <v>#VALUE!</v>
      </c>
      <c r="F29" s="471" t="e">
        <f>IF(F$5&gt;0,(INDEX(A_Aufgaben,(F$5-Arbeitszeit!$A$6+1),(2*(ROW()-ROW(A_Aufgabendatum))-1))),"")</f>
        <v>#VALUE!</v>
      </c>
      <c r="G29" s="470" t="e">
        <f>IF(G$5&gt;0,(INDEX(A_Aufgaben,(G$5-Arbeitszeit!$A$6+1),(2*(ROW()-ROW(A_Aufgabendatum))-1))),"")</f>
        <v>#VALUE!</v>
      </c>
      <c r="H29" s="471" t="e">
        <f>IF(H$5&gt;0,(INDEX(A_Aufgaben,(H$5-Arbeitszeit!$A$6+1),(2*(ROW()-ROW(A_Aufgabendatum))-1))),"")</f>
        <v>#VALUE!</v>
      </c>
      <c r="I29" s="470" t="e">
        <f>IF(I$5&gt;0,(INDEX(A_Aufgaben,(I$5-Arbeitszeit!$A$6+1),(2*(ROW()-ROW(A_Aufgabendatum))-1))),"")</f>
        <v>#VALUE!</v>
      </c>
      <c r="J29" s="471" t="e">
        <f>IF(J$5&gt;0,(INDEX(A_Aufgaben,(J$5-Arbeitszeit!$A$6+1),(2*(ROW()-ROW(A_Aufgabendatum))-1))),"")</f>
        <v>#VALUE!</v>
      </c>
      <c r="K29" s="470" t="e">
        <f>IF(K$5&gt;0,(INDEX(A_Aufgaben,(K$5-Arbeitszeit!$A$6+1),(2*(ROW()-ROW(A_Aufgabendatum))-1))),"")</f>
        <v>#VALUE!</v>
      </c>
      <c r="L29" s="471" t="e">
        <f>IF(L$5&gt;0,(INDEX(A_Aufgaben,(L$5-Arbeitszeit!$A$6+1),(2*(ROW()-ROW(A_Aufgabendatum))-1))),"")</f>
        <v>#VALUE!</v>
      </c>
      <c r="M29" s="470" t="e">
        <f>IF(M$5&gt;0,(INDEX(A_Aufgaben,(M$5-Arbeitszeit!$A$6+1),(2*(ROW()-ROW(A_Aufgabendatum))-1))),"")</f>
        <v>#VALUE!</v>
      </c>
      <c r="N29" s="471" t="e">
        <f>IF(N$5&gt;0,(INDEX(A_Aufgaben,(N$5-Arbeitszeit!$A$6+1),(2*(ROW()-ROW(A_Aufgabendatum))-1))),"")</f>
        <v>#VALUE!</v>
      </c>
      <c r="O29" s="470" t="e">
        <f>IF(O$5&gt;0,(INDEX(A_Aufgaben,(O$5-Arbeitszeit!$A$6+1),(2*(ROW()-ROW(A_Aufgabendatum))-1))),"")</f>
        <v>#VALUE!</v>
      </c>
      <c r="P29" s="471" t="e">
        <f>IF(P$5&gt;0,(INDEX(A_Aufgaben,(P$5-Arbeitszeit!$A$6+1),(2*(ROW()-ROW(A_Aufgabendatum))-1))),"")</f>
        <v>#VALUE!</v>
      </c>
      <c r="Q29" s="470" t="e">
        <f>IF(Q$5&gt;0,(INDEX(A_Aufgaben,(Q$5-Arbeitszeit!$A$6+1),(2*(ROW()-ROW(A_Aufgabendatum))-1))),"")</f>
        <v>#VALUE!</v>
      </c>
      <c r="R29" s="471" t="e">
        <f>IF(R$5&gt;0,(INDEX(A_Aufgaben,(R$5-Arbeitszeit!$A$6+1),(2*(ROW()-ROW(A_Aufgabendatum))-1))),"")</f>
        <v>#VALUE!</v>
      </c>
      <c r="S29" s="470" t="e">
        <f>IF(S$5&gt;0,(INDEX(A_Aufgaben,(S$5-Arbeitszeit!$A$6+1),(2*(ROW()-ROW(A_Aufgabendatum))-1))),"")</f>
        <v>#VALUE!</v>
      </c>
      <c r="T29" s="471" t="e">
        <f>IF(T$5&gt;0,(INDEX(A_Aufgaben,(T$5-Arbeitszeit!$A$6+1),(2*(ROW()-ROW(A_Aufgabendatum))-1))),"")</f>
        <v>#VALUE!</v>
      </c>
      <c r="U29" s="470" t="e">
        <f>IF(U$5&gt;0,(INDEX(A_Aufgaben,(U$5-Arbeitszeit!$A$6+1),(2*(ROW()-ROW(A_Aufgabendatum))-1))),"")</f>
        <v>#VALUE!</v>
      </c>
      <c r="V29" s="471" t="e">
        <f>IF(V$5&gt;0,(INDEX(A_Aufgaben,(V$5-Arbeitszeit!$A$6+1),(2*(ROW()-ROW(A_Aufgabendatum))-1))),"")</f>
        <v>#VALUE!</v>
      </c>
      <c r="W29" s="470" t="e">
        <f>IF(W$5&gt;0,(INDEX(A_Aufgaben,(W$5-Arbeitszeit!$A$6+1),(2*(ROW()-ROW(A_Aufgabendatum))-1))),"")</f>
        <v>#VALUE!</v>
      </c>
      <c r="X29" s="471" t="e">
        <f>IF(X$5&gt;0,(INDEX(A_Aufgaben,(X$5-Arbeitszeit!$A$6+1),(2*(ROW()-ROW(A_Aufgabendatum))-1))),"")</f>
        <v>#VALUE!</v>
      </c>
      <c r="Y29" s="470" t="e">
        <f>IF(Y$5&gt;0,(INDEX(A_Aufgaben,(Y$5-Arbeitszeit!$A$6+1),(2*(ROW()-ROW(A_Aufgabendatum))-1))),"")</f>
        <v>#VALUE!</v>
      </c>
      <c r="Z29" s="471" t="e">
        <f>IF(Z$5&gt;0,(INDEX(A_Aufgaben,(Z$5-Arbeitszeit!$A$6+1),(2*(ROW()-ROW(A_Aufgabendatum))-1))),"")</f>
        <v>#VALUE!</v>
      </c>
      <c r="AA29" s="470" t="e">
        <f>IF(AA$5&gt;0,(INDEX(A_Aufgaben,(AA$5-Arbeitszeit!$A$6+1),(2*(ROW()-ROW(A_Aufgabendatum))-1))),"")</f>
        <v>#VALUE!</v>
      </c>
      <c r="AB29" s="471" t="e">
        <f>IF(AB$5&gt;0,(INDEX(A_Aufgaben,(AB$5-Arbeitszeit!$A$6+1),(2*(ROW()-ROW(A_Aufgabendatum))-1))),"")</f>
        <v>#VALUE!</v>
      </c>
      <c r="AC29" s="470" t="e">
        <f>IF(AC$5&gt;0,(INDEX(A_Aufgaben,(AC$5-Arbeitszeit!$A$6+1),(2*(ROW()-ROW(A_Aufgabendatum))-1))),"")</f>
        <v>#VALUE!</v>
      </c>
      <c r="AD29" s="471" t="e">
        <f>IF(AD$5&gt;0,(INDEX(A_Aufgaben,(AD$5-Arbeitszeit!$A$6+1),(2*(ROW()-ROW(A_Aufgabendatum))-1))),"")</f>
        <v>#VALUE!</v>
      </c>
      <c r="AE29" s="470" t="e">
        <f>IF(AE$5&gt;0,(INDEX(A_Aufgaben,(AE$5-Arbeitszeit!$A$6+1),(2*(ROW()-ROW(A_Aufgabendatum))-1))),"")</f>
        <v>#VALUE!</v>
      </c>
      <c r="AF29" s="471" t="e">
        <f>IF(AF$5&gt;0,(INDEX(A_Aufgaben,(AF$5-Arbeitszeit!$A$6+1),(2*(ROW()-ROW(A_Aufgabendatum))-1))),"")</f>
        <v>#VALUE!</v>
      </c>
      <c r="AG29" s="470" t="e">
        <f>IF(AG$5&gt;0,(INDEX(A_Aufgaben,(AG$5-Arbeitszeit!$A$6+1),(2*(ROW()-ROW(A_Aufgabendatum))-1))),"")</f>
        <v>#VALUE!</v>
      </c>
      <c r="AH29" s="479" t="e">
        <f t="shared" ref="AH29:AH58" si="5">SUM(C29:AG29)</f>
        <v>#VALUE!</v>
      </c>
      <c r="AI29" s="3"/>
    </row>
    <row r="30" spans="1:35">
      <c r="B30" s="469" t="str">
        <f>Aufgaben!BC3</f>
        <v>Aufgabe 22</v>
      </c>
      <c r="C30" s="470" t="e">
        <f>IF(C$5&gt;0,(INDEX(A_Aufgaben,(C$5-Arbeitszeit!$A$6+1),(2*(ROW()-ROW(A_Aufgabendatum))-1))),"")</f>
        <v>#VALUE!</v>
      </c>
      <c r="D30" s="471" t="e">
        <f>IF(D$5&gt;0,(INDEX(A_Aufgaben,(D$5-Arbeitszeit!$A$6+1),(2*(ROW()-ROW(A_Aufgabendatum))-1))),"")</f>
        <v>#VALUE!</v>
      </c>
      <c r="E30" s="470" t="e">
        <f>IF(E$5&gt;0,(INDEX(A_Aufgaben,(E$5-Arbeitszeit!$A$6+1),(2*(ROW()-ROW(A_Aufgabendatum))-1))),"")</f>
        <v>#VALUE!</v>
      </c>
      <c r="F30" s="471" t="e">
        <f>IF(F$5&gt;0,(INDEX(A_Aufgaben,(F$5-Arbeitszeit!$A$6+1),(2*(ROW()-ROW(A_Aufgabendatum))-1))),"")</f>
        <v>#VALUE!</v>
      </c>
      <c r="G30" s="470" t="e">
        <f>IF(G$5&gt;0,(INDEX(A_Aufgaben,(G$5-Arbeitszeit!$A$6+1),(2*(ROW()-ROW(A_Aufgabendatum))-1))),"")</f>
        <v>#VALUE!</v>
      </c>
      <c r="H30" s="471" t="e">
        <f>IF(H$5&gt;0,(INDEX(A_Aufgaben,(H$5-Arbeitszeit!$A$6+1),(2*(ROW()-ROW(A_Aufgabendatum))-1))),"")</f>
        <v>#VALUE!</v>
      </c>
      <c r="I30" s="470" t="e">
        <f>IF(I$5&gt;0,(INDEX(A_Aufgaben,(I$5-Arbeitszeit!$A$6+1),(2*(ROW()-ROW(A_Aufgabendatum))-1))),"")</f>
        <v>#VALUE!</v>
      </c>
      <c r="J30" s="471" t="e">
        <f>IF(J$5&gt;0,(INDEX(A_Aufgaben,(J$5-Arbeitszeit!$A$6+1),(2*(ROW()-ROW(A_Aufgabendatum))-1))),"")</f>
        <v>#VALUE!</v>
      </c>
      <c r="K30" s="470" t="e">
        <f>IF(K$5&gt;0,(INDEX(A_Aufgaben,(K$5-Arbeitszeit!$A$6+1),(2*(ROW()-ROW(A_Aufgabendatum))-1))),"")</f>
        <v>#VALUE!</v>
      </c>
      <c r="L30" s="471" t="e">
        <f>IF(L$5&gt;0,(INDEX(A_Aufgaben,(L$5-Arbeitszeit!$A$6+1),(2*(ROW()-ROW(A_Aufgabendatum))-1))),"")</f>
        <v>#VALUE!</v>
      </c>
      <c r="M30" s="470" t="e">
        <f>IF(M$5&gt;0,(INDEX(A_Aufgaben,(M$5-Arbeitszeit!$A$6+1),(2*(ROW()-ROW(A_Aufgabendatum))-1))),"")</f>
        <v>#VALUE!</v>
      </c>
      <c r="N30" s="471" t="e">
        <f>IF(N$5&gt;0,(INDEX(A_Aufgaben,(N$5-Arbeitszeit!$A$6+1),(2*(ROW()-ROW(A_Aufgabendatum))-1))),"")</f>
        <v>#VALUE!</v>
      </c>
      <c r="O30" s="470" t="e">
        <f>IF(O$5&gt;0,(INDEX(A_Aufgaben,(O$5-Arbeitszeit!$A$6+1),(2*(ROW()-ROW(A_Aufgabendatum))-1))),"")</f>
        <v>#VALUE!</v>
      </c>
      <c r="P30" s="471" t="e">
        <f>IF(P$5&gt;0,(INDEX(A_Aufgaben,(P$5-Arbeitszeit!$A$6+1),(2*(ROW()-ROW(A_Aufgabendatum))-1))),"")</f>
        <v>#VALUE!</v>
      </c>
      <c r="Q30" s="470" t="e">
        <f>IF(Q$5&gt;0,(INDEX(A_Aufgaben,(Q$5-Arbeitszeit!$A$6+1),(2*(ROW()-ROW(A_Aufgabendatum))-1))),"")</f>
        <v>#VALUE!</v>
      </c>
      <c r="R30" s="471" t="e">
        <f>IF(R$5&gt;0,(INDEX(A_Aufgaben,(R$5-Arbeitszeit!$A$6+1),(2*(ROW()-ROW(A_Aufgabendatum))-1))),"")</f>
        <v>#VALUE!</v>
      </c>
      <c r="S30" s="470" t="e">
        <f>IF(S$5&gt;0,(INDEX(A_Aufgaben,(S$5-Arbeitszeit!$A$6+1),(2*(ROW()-ROW(A_Aufgabendatum))-1))),"")</f>
        <v>#VALUE!</v>
      </c>
      <c r="T30" s="471" t="e">
        <f>IF(T$5&gt;0,(INDEX(A_Aufgaben,(T$5-Arbeitszeit!$A$6+1),(2*(ROW()-ROW(A_Aufgabendatum))-1))),"")</f>
        <v>#VALUE!</v>
      </c>
      <c r="U30" s="470" t="e">
        <f>IF(U$5&gt;0,(INDEX(A_Aufgaben,(U$5-Arbeitszeit!$A$6+1),(2*(ROW()-ROW(A_Aufgabendatum))-1))),"")</f>
        <v>#VALUE!</v>
      </c>
      <c r="V30" s="471" t="e">
        <f>IF(V$5&gt;0,(INDEX(A_Aufgaben,(V$5-Arbeitszeit!$A$6+1),(2*(ROW()-ROW(A_Aufgabendatum))-1))),"")</f>
        <v>#VALUE!</v>
      </c>
      <c r="W30" s="470" t="e">
        <f>IF(W$5&gt;0,(INDEX(A_Aufgaben,(W$5-Arbeitszeit!$A$6+1),(2*(ROW()-ROW(A_Aufgabendatum))-1))),"")</f>
        <v>#VALUE!</v>
      </c>
      <c r="X30" s="471" t="e">
        <f>IF(X$5&gt;0,(INDEX(A_Aufgaben,(X$5-Arbeitszeit!$A$6+1),(2*(ROW()-ROW(A_Aufgabendatum))-1))),"")</f>
        <v>#VALUE!</v>
      </c>
      <c r="Y30" s="470" t="e">
        <f>IF(Y$5&gt;0,(INDEX(A_Aufgaben,(Y$5-Arbeitszeit!$A$6+1),(2*(ROW()-ROW(A_Aufgabendatum))-1))),"")</f>
        <v>#VALUE!</v>
      </c>
      <c r="Z30" s="471" t="e">
        <f>IF(Z$5&gt;0,(INDEX(A_Aufgaben,(Z$5-Arbeitszeit!$A$6+1),(2*(ROW()-ROW(A_Aufgabendatum))-1))),"")</f>
        <v>#VALUE!</v>
      </c>
      <c r="AA30" s="470" t="e">
        <f>IF(AA$5&gt;0,(INDEX(A_Aufgaben,(AA$5-Arbeitszeit!$A$6+1),(2*(ROW()-ROW(A_Aufgabendatum))-1))),"")</f>
        <v>#VALUE!</v>
      </c>
      <c r="AB30" s="471" t="e">
        <f>IF(AB$5&gt;0,(INDEX(A_Aufgaben,(AB$5-Arbeitszeit!$A$6+1),(2*(ROW()-ROW(A_Aufgabendatum))-1))),"")</f>
        <v>#VALUE!</v>
      </c>
      <c r="AC30" s="470" t="e">
        <f>IF(AC$5&gt;0,(INDEX(A_Aufgaben,(AC$5-Arbeitszeit!$A$6+1),(2*(ROW()-ROW(A_Aufgabendatum))-1))),"")</f>
        <v>#VALUE!</v>
      </c>
      <c r="AD30" s="471" t="e">
        <f>IF(AD$5&gt;0,(INDEX(A_Aufgaben,(AD$5-Arbeitszeit!$A$6+1),(2*(ROW()-ROW(A_Aufgabendatum))-1))),"")</f>
        <v>#VALUE!</v>
      </c>
      <c r="AE30" s="470" t="e">
        <f>IF(AE$5&gt;0,(INDEX(A_Aufgaben,(AE$5-Arbeitszeit!$A$6+1),(2*(ROW()-ROW(A_Aufgabendatum))-1))),"")</f>
        <v>#VALUE!</v>
      </c>
      <c r="AF30" s="471" t="e">
        <f>IF(AF$5&gt;0,(INDEX(A_Aufgaben,(AF$5-Arbeitszeit!$A$6+1),(2*(ROW()-ROW(A_Aufgabendatum))-1))),"")</f>
        <v>#VALUE!</v>
      </c>
      <c r="AG30" s="470" t="e">
        <f>IF(AG$5&gt;0,(INDEX(A_Aufgaben,(AG$5-Arbeitszeit!$A$6+1),(2*(ROW()-ROW(A_Aufgabendatum))-1))),"")</f>
        <v>#VALUE!</v>
      </c>
      <c r="AH30" s="479" t="e">
        <f t="shared" si="5"/>
        <v>#VALUE!</v>
      </c>
      <c r="AI30" s="3"/>
    </row>
    <row r="31" spans="1:35">
      <c r="B31" s="469" t="str">
        <f>Aufgaben!BE3</f>
        <v>Aufgabe 23</v>
      </c>
      <c r="C31" s="470" t="e">
        <f>IF(C$5&gt;0,(INDEX(A_Aufgaben,(C$5-Arbeitszeit!$A$6+1),(2*(ROW()-ROW(A_Aufgabendatum))-1))),"")</f>
        <v>#VALUE!</v>
      </c>
      <c r="D31" s="471" t="e">
        <f>IF(D$5&gt;0,(INDEX(A_Aufgaben,(D$5-Arbeitszeit!$A$6+1),(2*(ROW()-ROW(A_Aufgabendatum))-1))),"")</f>
        <v>#VALUE!</v>
      </c>
      <c r="E31" s="470" t="e">
        <f>IF(E$5&gt;0,(INDEX(A_Aufgaben,(E$5-Arbeitszeit!$A$6+1),(2*(ROW()-ROW(A_Aufgabendatum))-1))),"")</f>
        <v>#VALUE!</v>
      </c>
      <c r="F31" s="471" t="e">
        <f>IF(F$5&gt;0,(INDEX(A_Aufgaben,(F$5-Arbeitszeit!$A$6+1),(2*(ROW()-ROW(A_Aufgabendatum))-1))),"")</f>
        <v>#VALUE!</v>
      </c>
      <c r="G31" s="470" t="e">
        <f>IF(G$5&gt;0,(INDEX(A_Aufgaben,(G$5-Arbeitszeit!$A$6+1),(2*(ROW()-ROW(A_Aufgabendatum))-1))),"")</f>
        <v>#VALUE!</v>
      </c>
      <c r="H31" s="471" t="e">
        <f>IF(H$5&gt;0,(INDEX(A_Aufgaben,(H$5-Arbeitszeit!$A$6+1),(2*(ROW()-ROW(A_Aufgabendatum))-1))),"")</f>
        <v>#VALUE!</v>
      </c>
      <c r="I31" s="470" t="e">
        <f>IF(I$5&gt;0,(INDEX(A_Aufgaben,(I$5-Arbeitszeit!$A$6+1),(2*(ROW()-ROW(A_Aufgabendatum))-1))),"")</f>
        <v>#VALUE!</v>
      </c>
      <c r="J31" s="471" t="e">
        <f>IF(J$5&gt;0,(INDEX(A_Aufgaben,(J$5-Arbeitszeit!$A$6+1),(2*(ROW()-ROW(A_Aufgabendatum))-1))),"")</f>
        <v>#VALUE!</v>
      </c>
      <c r="K31" s="470" t="e">
        <f>IF(K$5&gt;0,(INDEX(A_Aufgaben,(K$5-Arbeitszeit!$A$6+1),(2*(ROW()-ROW(A_Aufgabendatum))-1))),"")</f>
        <v>#VALUE!</v>
      </c>
      <c r="L31" s="471" t="e">
        <f>IF(L$5&gt;0,(INDEX(A_Aufgaben,(L$5-Arbeitszeit!$A$6+1),(2*(ROW()-ROW(A_Aufgabendatum))-1))),"")</f>
        <v>#VALUE!</v>
      </c>
      <c r="M31" s="470" t="e">
        <f>IF(M$5&gt;0,(INDEX(A_Aufgaben,(M$5-Arbeitszeit!$A$6+1),(2*(ROW()-ROW(A_Aufgabendatum))-1))),"")</f>
        <v>#VALUE!</v>
      </c>
      <c r="N31" s="471" t="e">
        <f>IF(N$5&gt;0,(INDEX(A_Aufgaben,(N$5-Arbeitszeit!$A$6+1),(2*(ROW()-ROW(A_Aufgabendatum))-1))),"")</f>
        <v>#VALUE!</v>
      </c>
      <c r="O31" s="470" t="e">
        <f>IF(O$5&gt;0,(INDEX(A_Aufgaben,(O$5-Arbeitszeit!$A$6+1),(2*(ROW()-ROW(A_Aufgabendatum))-1))),"")</f>
        <v>#VALUE!</v>
      </c>
      <c r="P31" s="471" t="e">
        <f>IF(P$5&gt;0,(INDEX(A_Aufgaben,(P$5-Arbeitszeit!$A$6+1),(2*(ROW()-ROW(A_Aufgabendatum))-1))),"")</f>
        <v>#VALUE!</v>
      </c>
      <c r="Q31" s="470" t="e">
        <f>IF(Q$5&gt;0,(INDEX(A_Aufgaben,(Q$5-Arbeitszeit!$A$6+1),(2*(ROW()-ROW(A_Aufgabendatum))-1))),"")</f>
        <v>#VALUE!</v>
      </c>
      <c r="R31" s="471" t="e">
        <f>IF(R$5&gt;0,(INDEX(A_Aufgaben,(R$5-Arbeitszeit!$A$6+1),(2*(ROW()-ROW(A_Aufgabendatum))-1))),"")</f>
        <v>#VALUE!</v>
      </c>
      <c r="S31" s="470" t="e">
        <f>IF(S$5&gt;0,(INDEX(A_Aufgaben,(S$5-Arbeitszeit!$A$6+1),(2*(ROW()-ROW(A_Aufgabendatum))-1))),"")</f>
        <v>#VALUE!</v>
      </c>
      <c r="T31" s="471" t="e">
        <f>IF(T$5&gt;0,(INDEX(A_Aufgaben,(T$5-Arbeitszeit!$A$6+1),(2*(ROW()-ROW(A_Aufgabendatum))-1))),"")</f>
        <v>#VALUE!</v>
      </c>
      <c r="U31" s="470" t="e">
        <f>IF(U$5&gt;0,(INDEX(A_Aufgaben,(U$5-Arbeitszeit!$A$6+1),(2*(ROW()-ROW(A_Aufgabendatum))-1))),"")</f>
        <v>#VALUE!</v>
      </c>
      <c r="V31" s="471" t="e">
        <f>IF(V$5&gt;0,(INDEX(A_Aufgaben,(V$5-Arbeitszeit!$A$6+1),(2*(ROW()-ROW(A_Aufgabendatum))-1))),"")</f>
        <v>#VALUE!</v>
      </c>
      <c r="W31" s="470" t="e">
        <f>IF(W$5&gt;0,(INDEX(A_Aufgaben,(W$5-Arbeitszeit!$A$6+1),(2*(ROW()-ROW(A_Aufgabendatum))-1))),"")</f>
        <v>#VALUE!</v>
      </c>
      <c r="X31" s="471" t="e">
        <f>IF(X$5&gt;0,(INDEX(A_Aufgaben,(X$5-Arbeitszeit!$A$6+1),(2*(ROW()-ROW(A_Aufgabendatum))-1))),"")</f>
        <v>#VALUE!</v>
      </c>
      <c r="Y31" s="470" t="e">
        <f>IF(Y$5&gt;0,(INDEX(A_Aufgaben,(Y$5-Arbeitszeit!$A$6+1),(2*(ROW()-ROW(A_Aufgabendatum))-1))),"")</f>
        <v>#VALUE!</v>
      </c>
      <c r="Z31" s="471" t="e">
        <f>IF(Z$5&gt;0,(INDEX(A_Aufgaben,(Z$5-Arbeitszeit!$A$6+1),(2*(ROW()-ROW(A_Aufgabendatum))-1))),"")</f>
        <v>#VALUE!</v>
      </c>
      <c r="AA31" s="470" t="e">
        <f>IF(AA$5&gt;0,(INDEX(A_Aufgaben,(AA$5-Arbeitszeit!$A$6+1),(2*(ROW()-ROW(A_Aufgabendatum))-1))),"")</f>
        <v>#VALUE!</v>
      </c>
      <c r="AB31" s="471" t="e">
        <f>IF(AB$5&gt;0,(INDEX(A_Aufgaben,(AB$5-Arbeitszeit!$A$6+1),(2*(ROW()-ROW(A_Aufgabendatum))-1))),"")</f>
        <v>#VALUE!</v>
      </c>
      <c r="AC31" s="470" t="e">
        <f>IF(AC$5&gt;0,(INDEX(A_Aufgaben,(AC$5-Arbeitszeit!$A$6+1),(2*(ROW()-ROW(A_Aufgabendatum))-1))),"")</f>
        <v>#VALUE!</v>
      </c>
      <c r="AD31" s="471" t="e">
        <f>IF(AD$5&gt;0,(INDEX(A_Aufgaben,(AD$5-Arbeitszeit!$A$6+1),(2*(ROW()-ROW(A_Aufgabendatum))-1))),"")</f>
        <v>#VALUE!</v>
      </c>
      <c r="AE31" s="470" t="e">
        <f>IF(AE$5&gt;0,(INDEX(A_Aufgaben,(AE$5-Arbeitszeit!$A$6+1),(2*(ROW()-ROW(A_Aufgabendatum))-1))),"")</f>
        <v>#VALUE!</v>
      </c>
      <c r="AF31" s="471" t="e">
        <f>IF(AF$5&gt;0,(INDEX(A_Aufgaben,(AF$5-Arbeitszeit!$A$6+1),(2*(ROW()-ROW(A_Aufgabendatum))-1))),"")</f>
        <v>#VALUE!</v>
      </c>
      <c r="AG31" s="470" t="e">
        <f>IF(AG$5&gt;0,(INDEX(A_Aufgaben,(AG$5-Arbeitszeit!$A$6+1),(2*(ROW()-ROW(A_Aufgabendatum))-1))),"")</f>
        <v>#VALUE!</v>
      </c>
      <c r="AH31" s="479" t="e">
        <f t="shared" si="5"/>
        <v>#VALUE!</v>
      </c>
      <c r="AI31" s="3"/>
    </row>
    <row r="32" spans="1:35">
      <c r="B32" s="469" t="str">
        <f>Aufgaben!BG3</f>
        <v>Aufgabe 24</v>
      </c>
      <c r="C32" s="470" t="e">
        <f>IF(C$5&gt;0,(INDEX(A_Aufgaben,(C$5-Arbeitszeit!$A$6+1),(2*(ROW()-ROW(A_Aufgabendatum))-1))),"")</f>
        <v>#VALUE!</v>
      </c>
      <c r="D32" s="471" t="e">
        <f>IF(D$5&gt;0,(INDEX(A_Aufgaben,(D$5-Arbeitszeit!$A$6+1),(2*(ROW()-ROW(A_Aufgabendatum))-1))),"")</f>
        <v>#VALUE!</v>
      </c>
      <c r="E32" s="470" t="e">
        <f>IF(E$5&gt;0,(INDEX(A_Aufgaben,(E$5-Arbeitszeit!$A$6+1),(2*(ROW()-ROW(A_Aufgabendatum))-1))),"")</f>
        <v>#VALUE!</v>
      </c>
      <c r="F32" s="471" t="e">
        <f>IF(F$5&gt;0,(INDEX(A_Aufgaben,(F$5-Arbeitszeit!$A$6+1),(2*(ROW()-ROW(A_Aufgabendatum))-1))),"")</f>
        <v>#VALUE!</v>
      </c>
      <c r="G32" s="470" t="e">
        <f>IF(G$5&gt;0,(INDEX(A_Aufgaben,(G$5-Arbeitszeit!$A$6+1),(2*(ROW()-ROW(A_Aufgabendatum))-1))),"")</f>
        <v>#VALUE!</v>
      </c>
      <c r="H32" s="471" t="e">
        <f>IF(H$5&gt;0,(INDEX(A_Aufgaben,(H$5-Arbeitszeit!$A$6+1),(2*(ROW()-ROW(A_Aufgabendatum))-1))),"")</f>
        <v>#VALUE!</v>
      </c>
      <c r="I32" s="470" t="e">
        <f>IF(I$5&gt;0,(INDEX(A_Aufgaben,(I$5-Arbeitszeit!$A$6+1),(2*(ROW()-ROW(A_Aufgabendatum))-1))),"")</f>
        <v>#VALUE!</v>
      </c>
      <c r="J32" s="471" t="e">
        <f>IF(J$5&gt;0,(INDEX(A_Aufgaben,(J$5-Arbeitszeit!$A$6+1),(2*(ROW()-ROW(A_Aufgabendatum))-1))),"")</f>
        <v>#VALUE!</v>
      </c>
      <c r="K32" s="470" t="e">
        <f>IF(K$5&gt;0,(INDEX(A_Aufgaben,(K$5-Arbeitszeit!$A$6+1),(2*(ROW()-ROW(A_Aufgabendatum))-1))),"")</f>
        <v>#VALUE!</v>
      </c>
      <c r="L32" s="471" t="e">
        <f>IF(L$5&gt;0,(INDEX(A_Aufgaben,(L$5-Arbeitszeit!$A$6+1),(2*(ROW()-ROW(A_Aufgabendatum))-1))),"")</f>
        <v>#VALUE!</v>
      </c>
      <c r="M32" s="470" t="e">
        <f>IF(M$5&gt;0,(INDEX(A_Aufgaben,(M$5-Arbeitszeit!$A$6+1),(2*(ROW()-ROW(A_Aufgabendatum))-1))),"")</f>
        <v>#VALUE!</v>
      </c>
      <c r="N32" s="471" t="e">
        <f>IF(N$5&gt;0,(INDEX(A_Aufgaben,(N$5-Arbeitszeit!$A$6+1),(2*(ROW()-ROW(A_Aufgabendatum))-1))),"")</f>
        <v>#VALUE!</v>
      </c>
      <c r="O32" s="470" t="e">
        <f>IF(O$5&gt;0,(INDEX(A_Aufgaben,(O$5-Arbeitszeit!$A$6+1),(2*(ROW()-ROW(A_Aufgabendatum))-1))),"")</f>
        <v>#VALUE!</v>
      </c>
      <c r="P32" s="471" t="e">
        <f>IF(P$5&gt;0,(INDEX(A_Aufgaben,(P$5-Arbeitszeit!$A$6+1),(2*(ROW()-ROW(A_Aufgabendatum))-1))),"")</f>
        <v>#VALUE!</v>
      </c>
      <c r="Q32" s="470" t="e">
        <f>IF(Q$5&gt;0,(INDEX(A_Aufgaben,(Q$5-Arbeitszeit!$A$6+1),(2*(ROW()-ROW(A_Aufgabendatum))-1))),"")</f>
        <v>#VALUE!</v>
      </c>
      <c r="R32" s="471" t="e">
        <f>IF(R$5&gt;0,(INDEX(A_Aufgaben,(R$5-Arbeitszeit!$A$6+1),(2*(ROW()-ROW(A_Aufgabendatum))-1))),"")</f>
        <v>#VALUE!</v>
      </c>
      <c r="S32" s="470" t="e">
        <f>IF(S$5&gt;0,(INDEX(A_Aufgaben,(S$5-Arbeitszeit!$A$6+1),(2*(ROW()-ROW(A_Aufgabendatum))-1))),"")</f>
        <v>#VALUE!</v>
      </c>
      <c r="T32" s="471" t="e">
        <f>IF(T$5&gt;0,(INDEX(A_Aufgaben,(T$5-Arbeitszeit!$A$6+1),(2*(ROW()-ROW(A_Aufgabendatum))-1))),"")</f>
        <v>#VALUE!</v>
      </c>
      <c r="U32" s="470" t="e">
        <f>IF(U$5&gt;0,(INDEX(A_Aufgaben,(U$5-Arbeitszeit!$A$6+1),(2*(ROW()-ROW(A_Aufgabendatum))-1))),"")</f>
        <v>#VALUE!</v>
      </c>
      <c r="V32" s="471" t="e">
        <f>IF(V$5&gt;0,(INDEX(A_Aufgaben,(V$5-Arbeitszeit!$A$6+1),(2*(ROW()-ROW(A_Aufgabendatum))-1))),"")</f>
        <v>#VALUE!</v>
      </c>
      <c r="W32" s="470" t="e">
        <f>IF(W$5&gt;0,(INDEX(A_Aufgaben,(W$5-Arbeitszeit!$A$6+1),(2*(ROW()-ROW(A_Aufgabendatum))-1))),"")</f>
        <v>#VALUE!</v>
      </c>
      <c r="X32" s="471" t="e">
        <f>IF(X$5&gt;0,(INDEX(A_Aufgaben,(X$5-Arbeitszeit!$A$6+1),(2*(ROW()-ROW(A_Aufgabendatum))-1))),"")</f>
        <v>#VALUE!</v>
      </c>
      <c r="Y32" s="470" t="e">
        <f>IF(Y$5&gt;0,(INDEX(A_Aufgaben,(Y$5-Arbeitszeit!$A$6+1),(2*(ROW()-ROW(A_Aufgabendatum))-1))),"")</f>
        <v>#VALUE!</v>
      </c>
      <c r="Z32" s="471" t="e">
        <f>IF(Z$5&gt;0,(INDEX(A_Aufgaben,(Z$5-Arbeitszeit!$A$6+1),(2*(ROW()-ROW(A_Aufgabendatum))-1))),"")</f>
        <v>#VALUE!</v>
      </c>
      <c r="AA32" s="470" t="e">
        <f>IF(AA$5&gt;0,(INDEX(A_Aufgaben,(AA$5-Arbeitszeit!$A$6+1),(2*(ROW()-ROW(A_Aufgabendatum))-1))),"")</f>
        <v>#VALUE!</v>
      </c>
      <c r="AB32" s="471" t="e">
        <f>IF(AB$5&gt;0,(INDEX(A_Aufgaben,(AB$5-Arbeitszeit!$A$6+1),(2*(ROW()-ROW(A_Aufgabendatum))-1))),"")</f>
        <v>#VALUE!</v>
      </c>
      <c r="AC32" s="470" t="e">
        <f>IF(AC$5&gt;0,(INDEX(A_Aufgaben,(AC$5-Arbeitszeit!$A$6+1),(2*(ROW()-ROW(A_Aufgabendatum))-1))),"")</f>
        <v>#VALUE!</v>
      </c>
      <c r="AD32" s="471" t="e">
        <f>IF(AD$5&gt;0,(INDEX(A_Aufgaben,(AD$5-Arbeitszeit!$A$6+1),(2*(ROW()-ROW(A_Aufgabendatum))-1))),"")</f>
        <v>#VALUE!</v>
      </c>
      <c r="AE32" s="470" t="e">
        <f>IF(AE$5&gt;0,(INDEX(A_Aufgaben,(AE$5-Arbeitszeit!$A$6+1),(2*(ROW()-ROW(A_Aufgabendatum))-1))),"")</f>
        <v>#VALUE!</v>
      </c>
      <c r="AF32" s="471" t="e">
        <f>IF(AF$5&gt;0,(INDEX(A_Aufgaben,(AF$5-Arbeitszeit!$A$6+1),(2*(ROW()-ROW(A_Aufgabendatum))-1))),"")</f>
        <v>#VALUE!</v>
      </c>
      <c r="AG32" s="470" t="e">
        <f>IF(AG$5&gt;0,(INDEX(A_Aufgaben,(AG$5-Arbeitszeit!$A$6+1),(2*(ROW()-ROW(A_Aufgabendatum))-1))),"")</f>
        <v>#VALUE!</v>
      </c>
      <c r="AH32" s="479" t="e">
        <f t="shared" si="5"/>
        <v>#VALUE!</v>
      </c>
      <c r="AI32" s="3"/>
    </row>
    <row r="33" spans="2:35">
      <c r="B33" s="469" t="str">
        <f>Aufgaben!BI3</f>
        <v>Aufgabe 25</v>
      </c>
      <c r="C33" s="470" t="e">
        <f>IF(C$5&gt;0,(INDEX(A_Aufgaben,(C$5-Arbeitszeit!$A$6+1),(2*(ROW()-ROW(A_Aufgabendatum))-1))),"")</f>
        <v>#VALUE!</v>
      </c>
      <c r="D33" s="471" t="e">
        <f>IF(D$5&gt;0,(INDEX(A_Aufgaben,(D$5-Arbeitszeit!$A$6+1),(2*(ROW()-ROW(A_Aufgabendatum))-1))),"")</f>
        <v>#VALUE!</v>
      </c>
      <c r="E33" s="470" t="e">
        <f>IF(E$5&gt;0,(INDEX(A_Aufgaben,(E$5-Arbeitszeit!$A$6+1),(2*(ROW()-ROW(A_Aufgabendatum))-1))),"")</f>
        <v>#VALUE!</v>
      </c>
      <c r="F33" s="471" t="e">
        <f>IF(F$5&gt;0,(INDEX(A_Aufgaben,(F$5-Arbeitszeit!$A$6+1),(2*(ROW()-ROW(A_Aufgabendatum))-1))),"")</f>
        <v>#VALUE!</v>
      </c>
      <c r="G33" s="470" t="e">
        <f>IF(G$5&gt;0,(INDEX(A_Aufgaben,(G$5-Arbeitszeit!$A$6+1),(2*(ROW()-ROW(A_Aufgabendatum))-1))),"")</f>
        <v>#VALUE!</v>
      </c>
      <c r="H33" s="471" t="e">
        <f>IF(H$5&gt;0,(INDEX(A_Aufgaben,(H$5-Arbeitszeit!$A$6+1),(2*(ROW()-ROW(A_Aufgabendatum))-1))),"")</f>
        <v>#VALUE!</v>
      </c>
      <c r="I33" s="470" t="e">
        <f>IF(I$5&gt;0,(INDEX(A_Aufgaben,(I$5-Arbeitszeit!$A$6+1),(2*(ROW()-ROW(A_Aufgabendatum))-1))),"")</f>
        <v>#VALUE!</v>
      </c>
      <c r="J33" s="471" t="e">
        <f>IF(J$5&gt;0,(INDEX(A_Aufgaben,(J$5-Arbeitszeit!$A$6+1),(2*(ROW()-ROW(A_Aufgabendatum))-1))),"")</f>
        <v>#VALUE!</v>
      </c>
      <c r="K33" s="470" t="e">
        <f>IF(K$5&gt;0,(INDEX(A_Aufgaben,(K$5-Arbeitszeit!$A$6+1),(2*(ROW()-ROW(A_Aufgabendatum))-1))),"")</f>
        <v>#VALUE!</v>
      </c>
      <c r="L33" s="471" t="e">
        <f>IF(L$5&gt;0,(INDEX(A_Aufgaben,(L$5-Arbeitszeit!$A$6+1),(2*(ROW()-ROW(A_Aufgabendatum))-1))),"")</f>
        <v>#VALUE!</v>
      </c>
      <c r="M33" s="470" t="e">
        <f>IF(M$5&gt;0,(INDEX(A_Aufgaben,(M$5-Arbeitszeit!$A$6+1),(2*(ROW()-ROW(A_Aufgabendatum))-1))),"")</f>
        <v>#VALUE!</v>
      </c>
      <c r="N33" s="471" t="e">
        <f>IF(N$5&gt;0,(INDEX(A_Aufgaben,(N$5-Arbeitszeit!$A$6+1),(2*(ROW()-ROW(A_Aufgabendatum))-1))),"")</f>
        <v>#VALUE!</v>
      </c>
      <c r="O33" s="470" t="e">
        <f>IF(O$5&gt;0,(INDEX(A_Aufgaben,(O$5-Arbeitszeit!$A$6+1),(2*(ROW()-ROW(A_Aufgabendatum))-1))),"")</f>
        <v>#VALUE!</v>
      </c>
      <c r="P33" s="471" t="e">
        <f>IF(P$5&gt;0,(INDEX(A_Aufgaben,(P$5-Arbeitszeit!$A$6+1),(2*(ROW()-ROW(A_Aufgabendatum))-1))),"")</f>
        <v>#VALUE!</v>
      </c>
      <c r="Q33" s="470" t="e">
        <f>IF(Q$5&gt;0,(INDEX(A_Aufgaben,(Q$5-Arbeitszeit!$A$6+1),(2*(ROW()-ROW(A_Aufgabendatum))-1))),"")</f>
        <v>#VALUE!</v>
      </c>
      <c r="R33" s="471" t="e">
        <f>IF(R$5&gt;0,(INDEX(A_Aufgaben,(R$5-Arbeitszeit!$A$6+1),(2*(ROW()-ROW(A_Aufgabendatum))-1))),"")</f>
        <v>#VALUE!</v>
      </c>
      <c r="S33" s="470" t="e">
        <f>IF(S$5&gt;0,(INDEX(A_Aufgaben,(S$5-Arbeitszeit!$A$6+1),(2*(ROW()-ROW(A_Aufgabendatum))-1))),"")</f>
        <v>#VALUE!</v>
      </c>
      <c r="T33" s="471" t="e">
        <f>IF(T$5&gt;0,(INDEX(A_Aufgaben,(T$5-Arbeitszeit!$A$6+1),(2*(ROW()-ROW(A_Aufgabendatum))-1))),"")</f>
        <v>#VALUE!</v>
      </c>
      <c r="U33" s="470" t="e">
        <f>IF(U$5&gt;0,(INDEX(A_Aufgaben,(U$5-Arbeitszeit!$A$6+1),(2*(ROW()-ROW(A_Aufgabendatum))-1))),"")</f>
        <v>#VALUE!</v>
      </c>
      <c r="V33" s="471" t="e">
        <f>IF(V$5&gt;0,(INDEX(A_Aufgaben,(V$5-Arbeitszeit!$A$6+1),(2*(ROW()-ROW(A_Aufgabendatum))-1))),"")</f>
        <v>#VALUE!</v>
      </c>
      <c r="W33" s="470" t="e">
        <f>IF(W$5&gt;0,(INDEX(A_Aufgaben,(W$5-Arbeitszeit!$A$6+1),(2*(ROW()-ROW(A_Aufgabendatum))-1))),"")</f>
        <v>#VALUE!</v>
      </c>
      <c r="X33" s="471" t="e">
        <f>IF(X$5&gt;0,(INDEX(A_Aufgaben,(X$5-Arbeitszeit!$A$6+1),(2*(ROW()-ROW(A_Aufgabendatum))-1))),"")</f>
        <v>#VALUE!</v>
      </c>
      <c r="Y33" s="470" t="e">
        <f>IF(Y$5&gt;0,(INDEX(A_Aufgaben,(Y$5-Arbeitszeit!$A$6+1),(2*(ROW()-ROW(A_Aufgabendatum))-1))),"")</f>
        <v>#VALUE!</v>
      </c>
      <c r="Z33" s="471" t="e">
        <f>IF(Z$5&gt;0,(INDEX(A_Aufgaben,(Z$5-Arbeitszeit!$A$6+1),(2*(ROW()-ROW(A_Aufgabendatum))-1))),"")</f>
        <v>#VALUE!</v>
      </c>
      <c r="AA33" s="470" t="e">
        <f>IF(AA$5&gt;0,(INDEX(A_Aufgaben,(AA$5-Arbeitszeit!$A$6+1),(2*(ROW()-ROW(A_Aufgabendatum))-1))),"")</f>
        <v>#VALUE!</v>
      </c>
      <c r="AB33" s="471" t="e">
        <f>IF(AB$5&gt;0,(INDEX(A_Aufgaben,(AB$5-Arbeitszeit!$A$6+1),(2*(ROW()-ROW(A_Aufgabendatum))-1))),"")</f>
        <v>#VALUE!</v>
      </c>
      <c r="AC33" s="470" t="e">
        <f>IF(AC$5&gt;0,(INDEX(A_Aufgaben,(AC$5-Arbeitszeit!$A$6+1),(2*(ROW()-ROW(A_Aufgabendatum))-1))),"")</f>
        <v>#VALUE!</v>
      </c>
      <c r="AD33" s="471" t="e">
        <f>IF(AD$5&gt;0,(INDEX(A_Aufgaben,(AD$5-Arbeitszeit!$A$6+1),(2*(ROW()-ROW(A_Aufgabendatum))-1))),"")</f>
        <v>#VALUE!</v>
      </c>
      <c r="AE33" s="470" t="e">
        <f>IF(AE$5&gt;0,(INDEX(A_Aufgaben,(AE$5-Arbeitszeit!$A$6+1),(2*(ROW()-ROW(A_Aufgabendatum))-1))),"")</f>
        <v>#VALUE!</v>
      </c>
      <c r="AF33" s="471" t="e">
        <f>IF(AF$5&gt;0,(INDEX(A_Aufgaben,(AF$5-Arbeitszeit!$A$6+1),(2*(ROW()-ROW(A_Aufgabendatum))-1))),"")</f>
        <v>#VALUE!</v>
      </c>
      <c r="AG33" s="470" t="e">
        <f>IF(AG$5&gt;0,(INDEX(A_Aufgaben,(AG$5-Arbeitszeit!$A$6+1),(2*(ROW()-ROW(A_Aufgabendatum))-1))),"")</f>
        <v>#VALUE!</v>
      </c>
      <c r="AH33" s="479" t="e">
        <f t="shared" si="5"/>
        <v>#VALUE!</v>
      </c>
      <c r="AI33" s="3"/>
    </row>
    <row r="34" spans="2:35">
      <c r="B34" s="469" t="str">
        <f>Aufgaben!BK3</f>
        <v>Aufgabe 26</v>
      </c>
      <c r="C34" s="470" t="e">
        <f>IF(C$5&gt;0,(INDEX(A_Aufgaben,(C$5-Arbeitszeit!$A$6+1),(2*(ROW()-ROW(A_Aufgabendatum))-1))),"")</f>
        <v>#VALUE!</v>
      </c>
      <c r="D34" s="471" t="e">
        <f>IF(D$5&gt;0,(INDEX(A_Aufgaben,(D$5-Arbeitszeit!$A$6+1),(2*(ROW()-ROW(A_Aufgabendatum))-1))),"")</f>
        <v>#VALUE!</v>
      </c>
      <c r="E34" s="470" t="e">
        <f>IF(E$5&gt;0,(INDEX(A_Aufgaben,(E$5-Arbeitszeit!$A$6+1),(2*(ROW()-ROW(A_Aufgabendatum))-1))),"")</f>
        <v>#VALUE!</v>
      </c>
      <c r="F34" s="471" t="e">
        <f>IF(F$5&gt;0,(INDEX(A_Aufgaben,(F$5-Arbeitszeit!$A$6+1),(2*(ROW()-ROW(A_Aufgabendatum))-1))),"")</f>
        <v>#VALUE!</v>
      </c>
      <c r="G34" s="470" t="e">
        <f>IF(G$5&gt;0,(INDEX(A_Aufgaben,(G$5-Arbeitszeit!$A$6+1),(2*(ROW()-ROW(A_Aufgabendatum))-1))),"")</f>
        <v>#VALUE!</v>
      </c>
      <c r="H34" s="471" t="e">
        <f>IF(H$5&gt;0,(INDEX(A_Aufgaben,(H$5-Arbeitszeit!$A$6+1),(2*(ROW()-ROW(A_Aufgabendatum))-1))),"")</f>
        <v>#VALUE!</v>
      </c>
      <c r="I34" s="470" t="e">
        <f>IF(I$5&gt;0,(INDEX(A_Aufgaben,(I$5-Arbeitszeit!$A$6+1),(2*(ROW()-ROW(A_Aufgabendatum))-1))),"")</f>
        <v>#VALUE!</v>
      </c>
      <c r="J34" s="471" t="e">
        <f>IF(J$5&gt;0,(INDEX(A_Aufgaben,(J$5-Arbeitszeit!$A$6+1),(2*(ROW()-ROW(A_Aufgabendatum))-1))),"")</f>
        <v>#VALUE!</v>
      </c>
      <c r="K34" s="470" t="e">
        <f>IF(K$5&gt;0,(INDEX(A_Aufgaben,(K$5-Arbeitszeit!$A$6+1),(2*(ROW()-ROW(A_Aufgabendatum))-1))),"")</f>
        <v>#VALUE!</v>
      </c>
      <c r="L34" s="471" t="e">
        <f>IF(L$5&gt;0,(INDEX(A_Aufgaben,(L$5-Arbeitszeit!$A$6+1),(2*(ROW()-ROW(A_Aufgabendatum))-1))),"")</f>
        <v>#VALUE!</v>
      </c>
      <c r="M34" s="470" t="e">
        <f>IF(M$5&gt;0,(INDEX(A_Aufgaben,(M$5-Arbeitszeit!$A$6+1),(2*(ROW()-ROW(A_Aufgabendatum))-1))),"")</f>
        <v>#VALUE!</v>
      </c>
      <c r="N34" s="471" t="e">
        <f>IF(N$5&gt;0,(INDEX(A_Aufgaben,(N$5-Arbeitszeit!$A$6+1),(2*(ROW()-ROW(A_Aufgabendatum))-1))),"")</f>
        <v>#VALUE!</v>
      </c>
      <c r="O34" s="470" t="e">
        <f>IF(O$5&gt;0,(INDEX(A_Aufgaben,(O$5-Arbeitszeit!$A$6+1),(2*(ROW()-ROW(A_Aufgabendatum))-1))),"")</f>
        <v>#VALUE!</v>
      </c>
      <c r="P34" s="471" t="e">
        <f>IF(P$5&gt;0,(INDEX(A_Aufgaben,(P$5-Arbeitszeit!$A$6+1),(2*(ROW()-ROW(A_Aufgabendatum))-1))),"")</f>
        <v>#VALUE!</v>
      </c>
      <c r="Q34" s="470" t="e">
        <f>IF(Q$5&gt;0,(INDEX(A_Aufgaben,(Q$5-Arbeitszeit!$A$6+1),(2*(ROW()-ROW(A_Aufgabendatum))-1))),"")</f>
        <v>#VALUE!</v>
      </c>
      <c r="R34" s="471" t="e">
        <f>IF(R$5&gt;0,(INDEX(A_Aufgaben,(R$5-Arbeitszeit!$A$6+1),(2*(ROW()-ROW(A_Aufgabendatum))-1))),"")</f>
        <v>#VALUE!</v>
      </c>
      <c r="S34" s="470" t="e">
        <f>IF(S$5&gt;0,(INDEX(A_Aufgaben,(S$5-Arbeitszeit!$A$6+1),(2*(ROW()-ROW(A_Aufgabendatum))-1))),"")</f>
        <v>#VALUE!</v>
      </c>
      <c r="T34" s="471" t="e">
        <f>IF(T$5&gt;0,(INDEX(A_Aufgaben,(T$5-Arbeitszeit!$A$6+1),(2*(ROW()-ROW(A_Aufgabendatum))-1))),"")</f>
        <v>#VALUE!</v>
      </c>
      <c r="U34" s="470" t="e">
        <f>IF(U$5&gt;0,(INDEX(A_Aufgaben,(U$5-Arbeitszeit!$A$6+1),(2*(ROW()-ROW(A_Aufgabendatum))-1))),"")</f>
        <v>#VALUE!</v>
      </c>
      <c r="V34" s="471" t="e">
        <f>IF(V$5&gt;0,(INDEX(A_Aufgaben,(V$5-Arbeitszeit!$A$6+1),(2*(ROW()-ROW(A_Aufgabendatum))-1))),"")</f>
        <v>#VALUE!</v>
      </c>
      <c r="W34" s="470" t="e">
        <f>IF(W$5&gt;0,(INDEX(A_Aufgaben,(W$5-Arbeitszeit!$A$6+1),(2*(ROW()-ROW(A_Aufgabendatum))-1))),"")</f>
        <v>#VALUE!</v>
      </c>
      <c r="X34" s="471" t="e">
        <f>IF(X$5&gt;0,(INDEX(A_Aufgaben,(X$5-Arbeitszeit!$A$6+1),(2*(ROW()-ROW(A_Aufgabendatum))-1))),"")</f>
        <v>#VALUE!</v>
      </c>
      <c r="Y34" s="470" t="e">
        <f>IF(Y$5&gt;0,(INDEX(A_Aufgaben,(Y$5-Arbeitszeit!$A$6+1),(2*(ROW()-ROW(A_Aufgabendatum))-1))),"")</f>
        <v>#VALUE!</v>
      </c>
      <c r="Z34" s="471" t="e">
        <f>IF(Z$5&gt;0,(INDEX(A_Aufgaben,(Z$5-Arbeitszeit!$A$6+1),(2*(ROW()-ROW(A_Aufgabendatum))-1))),"")</f>
        <v>#VALUE!</v>
      </c>
      <c r="AA34" s="470" t="e">
        <f>IF(AA$5&gt;0,(INDEX(A_Aufgaben,(AA$5-Arbeitszeit!$A$6+1),(2*(ROW()-ROW(A_Aufgabendatum))-1))),"")</f>
        <v>#VALUE!</v>
      </c>
      <c r="AB34" s="471" t="e">
        <f>IF(AB$5&gt;0,(INDEX(A_Aufgaben,(AB$5-Arbeitszeit!$A$6+1),(2*(ROW()-ROW(A_Aufgabendatum))-1))),"")</f>
        <v>#VALUE!</v>
      </c>
      <c r="AC34" s="470" t="e">
        <f>IF(AC$5&gt;0,(INDEX(A_Aufgaben,(AC$5-Arbeitszeit!$A$6+1),(2*(ROW()-ROW(A_Aufgabendatum))-1))),"")</f>
        <v>#VALUE!</v>
      </c>
      <c r="AD34" s="471" t="e">
        <f>IF(AD$5&gt;0,(INDEX(A_Aufgaben,(AD$5-Arbeitszeit!$A$6+1),(2*(ROW()-ROW(A_Aufgabendatum))-1))),"")</f>
        <v>#VALUE!</v>
      </c>
      <c r="AE34" s="470" t="e">
        <f>IF(AE$5&gt;0,(INDEX(A_Aufgaben,(AE$5-Arbeitszeit!$A$6+1),(2*(ROW()-ROW(A_Aufgabendatum))-1))),"")</f>
        <v>#VALUE!</v>
      </c>
      <c r="AF34" s="471" t="e">
        <f>IF(AF$5&gt;0,(INDEX(A_Aufgaben,(AF$5-Arbeitszeit!$A$6+1),(2*(ROW()-ROW(A_Aufgabendatum))-1))),"")</f>
        <v>#VALUE!</v>
      </c>
      <c r="AG34" s="470" t="e">
        <f>IF(AG$5&gt;0,(INDEX(A_Aufgaben,(AG$5-Arbeitszeit!$A$6+1),(2*(ROW()-ROW(A_Aufgabendatum))-1))),"")</f>
        <v>#VALUE!</v>
      </c>
      <c r="AH34" s="479" t="e">
        <f t="shared" si="5"/>
        <v>#VALUE!</v>
      </c>
      <c r="AI34" s="3"/>
    </row>
    <row r="35" spans="2:35">
      <c r="B35" s="469" t="str">
        <f>Aufgaben!BM3</f>
        <v>Aufgabe 27</v>
      </c>
      <c r="C35" s="470" t="e">
        <f>IF(C$5&gt;0,(INDEX(A_Aufgaben,(C$5-Arbeitszeit!$A$6+1),(2*(ROW()-ROW(A_Aufgabendatum))-1))),"")</f>
        <v>#VALUE!</v>
      </c>
      <c r="D35" s="471" t="e">
        <f>IF(D$5&gt;0,(INDEX(A_Aufgaben,(D$5-Arbeitszeit!$A$6+1),(2*(ROW()-ROW(A_Aufgabendatum))-1))),"")</f>
        <v>#VALUE!</v>
      </c>
      <c r="E35" s="470" t="e">
        <f>IF(E$5&gt;0,(INDEX(A_Aufgaben,(E$5-Arbeitszeit!$A$6+1),(2*(ROW()-ROW(A_Aufgabendatum))-1))),"")</f>
        <v>#VALUE!</v>
      </c>
      <c r="F35" s="471" t="e">
        <f>IF(F$5&gt;0,(INDEX(A_Aufgaben,(F$5-Arbeitszeit!$A$6+1),(2*(ROW()-ROW(A_Aufgabendatum))-1))),"")</f>
        <v>#VALUE!</v>
      </c>
      <c r="G35" s="470" t="e">
        <f>IF(G$5&gt;0,(INDEX(A_Aufgaben,(G$5-Arbeitszeit!$A$6+1),(2*(ROW()-ROW(A_Aufgabendatum))-1))),"")</f>
        <v>#VALUE!</v>
      </c>
      <c r="H35" s="471" t="e">
        <f>IF(H$5&gt;0,(INDEX(A_Aufgaben,(H$5-Arbeitszeit!$A$6+1),(2*(ROW()-ROW(A_Aufgabendatum))-1))),"")</f>
        <v>#VALUE!</v>
      </c>
      <c r="I35" s="470" t="e">
        <f>IF(I$5&gt;0,(INDEX(A_Aufgaben,(I$5-Arbeitszeit!$A$6+1),(2*(ROW()-ROW(A_Aufgabendatum))-1))),"")</f>
        <v>#VALUE!</v>
      </c>
      <c r="J35" s="471" t="e">
        <f>IF(J$5&gt;0,(INDEX(A_Aufgaben,(J$5-Arbeitszeit!$A$6+1),(2*(ROW()-ROW(A_Aufgabendatum))-1))),"")</f>
        <v>#VALUE!</v>
      </c>
      <c r="K35" s="470" t="e">
        <f>IF(K$5&gt;0,(INDEX(A_Aufgaben,(K$5-Arbeitszeit!$A$6+1),(2*(ROW()-ROW(A_Aufgabendatum))-1))),"")</f>
        <v>#VALUE!</v>
      </c>
      <c r="L35" s="471" t="e">
        <f>IF(L$5&gt;0,(INDEX(A_Aufgaben,(L$5-Arbeitszeit!$A$6+1),(2*(ROW()-ROW(A_Aufgabendatum))-1))),"")</f>
        <v>#VALUE!</v>
      </c>
      <c r="M35" s="470" t="e">
        <f>IF(M$5&gt;0,(INDEX(A_Aufgaben,(M$5-Arbeitszeit!$A$6+1),(2*(ROW()-ROW(A_Aufgabendatum))-1))),"")</f>
        <v>#VALUE!</v>
      </c>
      <c r="N35" s="471" t="e">
        <f>IF(N$5&gt;0,(INDEX(A_Aufgaben,(N$5-Arbeitszeit!$A$6+1),(2*(ROW()-ROW(A_Aufgabendatum))-1))),"")</f>
        <v>#VALUE!</v>
      </c>
      <c r="O35" s="470" t="e">
        <f>IF(O$5&gt;0,(INDEX(A_Aufgaben,(O$5-Arbeitszeit!$A$6+1),(2*(ROW()-ROW(A_Aufgabendatum))-1))),"")</f>
        <v>#VALUE!</v>
      </c>
      <c r="P35" s="471" t="e">
        <f>IF(P$5&gt;0,(INDEX(A_Aufgaben,(P$5-Arbeitszeit!$A$6+1),(2*(ROW()-ROW(A_Aufgabendatum))-1))),"")</f>
        <v>#VALUE!</v>
      </c>
      <c r="Q35" s="470" t="e">
        <f>IF(Q$5&gt;0,(INDEX(A_Aufgaben,(Q$5-Arbeitszeit!$A$6+1),(2*(ROW()-ROW(A_Aufgabendatum))-1))),"")</f>
        <v>#VALUE!</v>
      </c>
      <c r="R35" s="471" t="e">
        <f>IF(R$5&gt;0,(INDEX(A_Aufgaben,(R$5-Arbeitszeit!$A$6+1),(2*(ROW()-ROW(A_Aufgabendatum))-1))),"")</f>
        <v>#VALUE!</v>
      </c>
      <c r="S35" s="470" t="e">
        <f>IF(S$5&gt;0,(INDEX(A_Aufgaben,(S$5-Arbeitszeit!$A$6+1),(2*(ROW()-ROW(A_Aufgabendatum))-1))),"")</f>
        <v>#VALUE!</v>
      </c>
      <c r="T35" s="471" t="e">
        <f>IF(T$5&gt;0,(INDEX(A_Aufgaben,(T$5-Arbeitszeit!$A$6+1),(2*(ROW()-ROW(A_Aufgabendatum))-1))),"")</f>
        <v>#VALUE!</v>
      </c>
      <c r="U35" s="470" t="e">
        <f>IF(U$5&gt;0,(INDEX(A_Aufgaben,(U$5-Arbeitszeit!$A$6+1),(2*(ROW()-ROW(A_Aufgabendatum))-1))),"")</f>
        <v>#VALUE!</v>
      </c>
      <c r="V35" s="471" t="e">
        <f>IF(V$5&gt;0,(INDEX(A_Aufgaben,(V$5-Arbeitszeit!$A$6+1),(2*(ROW()-ROW(A_Aufgabendatum))-1))),"")</f>
        <v>#VALUE!</v>
      </c>
      <c r="W35" s="470" t="e">
        <f>IF(W$5&gt;0,(INDEX(A_Aufgaben,(W$5-Arbeitszeit!$A$6+1),(2*(ROW()-ROW(A_Aufgabendatum))-1))),"")</f>
        <v>#VALUE!</v>
      </c>
      <c r="X35" s="471" t="e">
        <f>IF(X$5&gt;0,(INDEX(A_Aufgaben,(X$5-Arbeitszeit!$A$6+1),(2*(ROW()-ROW(A_Aufgabendatum))-1))),"")</f>
        <v>#VALUE!</v>
      </c>
      <c r="Y35" s="470" t="e">
        <f>IF(Y$5&gt;0,(INDEX(A_Aufgaben,(Y$5-Arbeitszeit!$A$6+1),(2*(ROW()-ROW(A_Aufgabendatum))-1))),"")</f>
        <v>#VALUE!</v>
      </c>
      <c r="Z35" s="471" t="e">
        <f>IF(Z$5&gt;0,(INDEX(A_Aufgaben,(Z$5-Arbeitszeit!$A$6+1),(2*(ROW()-ROW(A_Aufgabendatum))-1))),"")</f>
        <v>#VALUE!</v>
      </c>
      <c r="AA35" s="470" t="e">
        <f>IF(AA$5&gt;0,(INDEX(A_Aufgaben,(AA$5-Arbeitszeit!$A$6+1),(2*(ROW()-ROW(A_Aufgabendatum))-1))),"")</f>
        <v>#VALUE!</v>
      </c>
      <c r="AB35" s="471" t="e">
        <f>IF(AB$5&gt;0,(INDEX(A_Aufgaben,(AB$5-Arbeitszeit!$A$6+1),(2*(ROW()-ROW(A_Aufgabendatum))-1))),"")</f>
        <v>#VALUE!</v>
      </c>
      <c r="AC35" s="470" t="e">
        <f>IF(AC$5&gt;0,(INDEX(A_Aufgaben,(AC$5-Arbeitszeit!$A$6+1),(2*(ROW()-ROW(A_Aufgabendatum))-1))),"")</f>
        <v>#VALUE!</v>
      </c>
      <c r="AD35" s="471" t="e">
        <f>IF(AD$5&gt;0,(INDEX(A_Aufgaben,(AD$5-Arbeitszeit!$A$6+1),(2*(ROW()-ROW(A_Aufgabendatum))-1))),"")</f>
        <v>#VALUE!</v>
      </c>
      <c r="AE35" s="470" t="e">
        <f>IF(AE$5&gt;0,(INDEX(A_Aufgaben,(AE$5-Arbeitszeit!$A$6+1),(2*(ROW()-ROW(A_Aufgabendatum))-1))),"")</f>
        <v>#VALUE!</v>
      </c>
      <c r="AF35" s="471" t="e">
        <f>IF(AF$5&gt;0,(INDEX(A_Aufgaben,(AF$5-Arbeitszeit!$A$6+1),(2*(ROW()-ROW(A_Aufgabendatum))-1))),"")</f>
        <v>#VALUE!</v>
      </c>
      <c r="AG35" s="470" t="e">
        <f>IF(AG$5&gt;0,(INDEX(A_Aufgaben,(AG$5-Arbeitszeit!$A$6+1),(2*(ROW()-ROW(A_Aufgabendatum))-1))),"")</f>
        <v>#VALUE!</v>
      </c>
      <c r="AH35" s="479" t="e">
        <f t="shared" si="5"/>
        <v>#VALUE!</v>
      </c>
      <c r="AI35" s="3"/>
    </row>
    <row r="36" spans="2:35">
      <c r="B36" s="469" t="str">
        <f>Aufgaben!BO3</f>
        <v>Aufgabe 28</v>
      </c>
      <c r="C36" s="470" t="e">
        <f>IF(C$5&gt;0,(INDEX(A_Aufgaben,(C$5-Arbeitszeit!$A$6+1),(2*(ROW()-ROW(A_Aufgabendatum))-1))),"")</f>
        <v>#VALUE!</v>
      </c>
      <c r="D36" s="471" t="e">
        <f>IF(D$5&gt;0,(INDEX(A_Aufgaben,(D$5-Arbeitszeit!$A$6+1),(2*(ROW()-ROW(A_Aufgabendatum))-1))),"")</f>
        <v>#VALUE!</v>
      </c>
      <c r="E36" s="470" t="e">
        <f>IF(E$5&gt;0,(INDEX(A_Aufgaben,(E$5-Arbeitszeit!$A$6+1),(2*(ROW()-ROW(A_Aufgabendatum))-1))),"")</f>
        <v>#VALUE!</v>
      </c>
      <c r="F36" s="471" t="e">
        <f>IF(F$5&gt;0,(INDEX(A_Aufgaben,(F$5-Arbeitszeit!$A$6+1),(2*(ROW()-ROW(A_Aufgabendatum))-1))),"")</f>
        <v>#VALUE!</v>
      </c>
      <c r="G36" s="470" t="e">
        <f>IF(G$5&gt;0,(INDEX(A_Aufgaben,(G$5-Arbeitszeit!$A$6+1),(2*(ROW()-ROW(A_Aufgabendatum))-1))),"")</f>
        <v>#VALUE!</v>
      </c>
      <c r="H36" s="471" t="e">
        <f>IF(H$5&gt;0,(INDEX(A_Aufgaben,(H$5-Arbeitszeit!$A$6+1),(2*(ROW()-ROW(A_Aufgabendatum))-1))),"")</f>
        <v>#VALUE!</v>
      </c>
      <c r="I36" s="470" t="e">
        <f>IF(I$5&gt;0,(INDEX(A_Aufgaben,(I$5-Arbeitszeit!$A$6+1),(2*(ROW()-ROW(A_Aufgabendatum))-1))),"")</f>
        <v>#VALUE!</v>
      </c>
      <c r="J36" s="471" t="e">
        <f>IF(J$5&gt;0,(INDEX(A_Aufgaben,(J$5-Arbeitszeit!$A$6+1),(2*(ROW()-ROW(A_Aufgabendatum))-1))),"")</f>
        <v>#VALUE!</v>
      </c>
      <c r="K36" s="470" t="e">
        <f>IF(K$5&gt;0,(INDEX(A_Aufgaben,(K$5-Arbeitszeit!$A$6+1),(2*(ROW()-ROW(A_Aufgabendatum))-1))),"")</f>
        <v>#VALUE!</v>
      </c>
      <c r="L36" s="471" t="e">
        <f>IF(L$5&gt;0,(INDEX(A_Aufgaben,(L$5-Arbeitszeit!$A$6+1),(2*(ROW()-ROW(A_Aufgabendatum))-1))),"")</f>
        <v>#VALUE!</v>
      </c>
      <c r="M36" s="470" t="e">
        <f>IF(M$5&gt;0,(INDEX(A_Aufgaben,(M$5-Arbeitszeit!$A$6+1),(2*(ROW()-ROW(A_Aufgabendatum))-1))),"")</f>
        <v>#VALUE!</v>
      </c>
      <c r="N36" s="471" t="e">
        <f>IF(N$5&gt;0,(INDEX(A_Aufgaben,(N$5-Arbeitszeit!$A$6+1),(2*(ROW()-ROW(A_Aufgabendatum))-1))),"")</f>
        <v>#VALUE!</v>
      </c>
      <c r="O36" s="470" t="e">
        <f>IF(O$5&gt;0,(INDEX(A_Aufgaben,(O$5-Arbeitszeit!$A$6+1),(2*(ROW()-ROW(A_Aufgabendatum))-1))),"")</f>
        <v>#VALUE!</v>
      </c>
      <c r="P36" s="471" t="e">
        <f>IF(P$5&gt;0,(INDEX(A_Aufgaben,(P$5-Arbeitszeit!$A$6+1),(2*(ROW()-ROW(A_Aufgabendatum))-1))),"")</f>
        <v>#VALUE!</v>
      </c>
      <c r="Q36" s="470" t="e">
        <f>IF(Q$5&gt;0,(INDEX(A_Aufgaben,(Q$5-Arbeitszeit!$A$6+1),(2*(ROW()-ROW(A_Aufgabendatum))-1))),"")</f>
        <v>#VALUE!</v>
      </c>
      <c r="R36" s="471" t="e">
        <f>IF(R$5&gt;0,(INDEX(A_Aufgaben,(R$5-Arbeitszeit!$A$6+1),(2*(ROW()-ROW(A_Aufgabendatum))-1))),"")</f>
        <v>#VALUE!</v>
      </c>
      <c r="S36" s="470" t="e">
        <f>IF(S$5&gt;0,(INDEX(A_Aufgaben,(S$5-Arbeitszeit!$A$6+1),(2*(ROW()-ROW(A_Aufgabendatum))-1))),"")</f>
        <v>#VALUE!</v>
      </c>
      <c r="T36" s="471" t="e">
        <f>IF(T$5&gt;0,(INDEX(A_Aufgaben,(T$5-Arbeitszeit!$A$6+1),(2*(ROW()-ROW(A_Aufgabendatum))-1))),"")</f>
        <v>#VALUE!</v>
      </c>
      <c r="U36" s="470" t="e">
        <f>IF(U$5&gt;0,(INDEX(A_Aufgaben,(U$5-Arbeitszeit!$A$6+1),(2*(ROW()-ROW(A_Aufgabendatum))-1))),"")</f>
        <v>#VALUE!</v>
      </c>
      <c r="V36" s="471" t="e">
        <f>IF(V$5&gt;0,(INDEX(A_Aufgaben,(V$5-Arbeitszeit!$A$6+1),(2*(ROW()-ROW(A_Aufgabendatum))-1))),"")</f>
        <v>#VALUE!</v>
      </c>
      <c r="W36" s="470" t="e">
        <f>IF(W$5&gt;0,(INDEX(A_Aufgaben,(W$5-Arbeitszeit!$A$6+1),(2*(ROW()-ROW(A_Aufgabendatum))-1))),"")</f>
        <v>#VALUE!</v>
      </c>
      <c r="X36" s="471" t="e">
        <f>IF(X$5&gt;0,(INDEX(A_Aufgaben,(X$5-Arbeitszeit!$A$6+1),(2*(ROW()-ROW(A_Aufgabendatum))-1))),"")</f>
        <v>#VALUE!</v>
      </c>
      <c r="Y36" s="470" t="e">
        <f>IF(Y$5&gt;0,(INDEX(A_Aufgaben,(Y$5-Arbeitszeit!$A$6+1),(2*(ROW()-ROW(A_Aufgabendatum))-1))),"")</f>
        <v>#VALUE!</v>
      </c>
      <c r="Z36" s="471" t="e">
        <f>IF(Z$5&gt;0,(INDEX(A_Aufgaben,(Z$5-Arbeitszeit!$A$6+1),(2*(ROW()-ROW(A_Aufgabendatum))-1))),"")</f>
        <v>#VALUE!</v>
      </c>
      <c r="AA36" s="470" t="e">
        <f>IF(AA$5&gt;0,(INDEX(A_Aufgaben,(AA$5-Arbeitszeit!$A$6+1),(2*(ROW()-ROW(A_Aufgabendatum))-1))),"")</f>
        <v>#VALUE!</v>
      </c>
      <c r="AB36" s="471" t="e">
        <f>IF(AB$5&gt;0,(INDEX(A_Aufgaben,(AB$5-Arbeitszeit!$A$6+1),(2*(ROW()-ROW(A_Aufgabendatum))-1))),"")</f>
        <v>#VALUE!</v>
      </c>
      <c r="AC36" s="470" t="e">
        <f>IF(AC$5&gt;0,(INDEX(A_Aufgaben,(AC$5-Arbeitszeit!$A$6+1),(2*(ROW()-ROW(A_Aufgabendatum))-1))),"")</f>
        <v>#VALUE!</v>
      </c>
      <c r="AD36" s="471" t="e">
        <f>IF(AD$5&gt;0,(INDEX(A_Aufgaben,(AD$5-Arbeitszeit!$A$6+1),(2*(ROW()-ROW(A_Aufgabendatum))-1))),"")</f>
        <v>#VALUE!</v>
      </c>
      <c r="AE36" s="470" t="e">
        <f>IF(AE$5&gt;0,(INDEX(A_Aufgaben,(AE$5-Arbeitszeit!$A$6+1),(2*(ROW()-ROW(A_Aufgabendatum))-1))),"")</f>
        <v>#VALUE!</v>
      </c>
      <c r="AF36" s="471" t="e">
        <f>IF(AF$5&gt;0,(INDEX(A_Aufgaben,(AF$5-Arbeitszeit!$A$6+1),(2*(ROW()-ROW(A_Aufgabendatum))-1))),"")</f>
        <v>#VALUE!</v>
      </c>
      <c r="AG36" s="470" t="e">
        <f>IF(AG$5&gt;0,(INDEX(A_Aufgaben,(AG$5-Arbeitszeit!$A$6+1),(2*(ROW()-ROW(A_Aufgabendatum))-1))),"")</f>
        <v>#VALUE!</v>
      </c>
      <c r="AH36" s="479" t="e">
        <f t="shared" si="5"/>
        <v>#VALUE!</v>
      </c>
      <c r="AI36" s="3"/>
    </row>
    <row r="37" spans="2:35">
      <c r="B37" s="469" t="str">
        <f>Aufgaben!BQ3</f>
        <v>Aufgabe 29</v>
      </c>
      <c r="C37" s="470" t="e">
        <f>IF(C$5&gt;0,(INDEX(A_Aufgaben,(C$5-Arbeitszeit!$A$6+1),(2*(ROW()-ROW(A_Aufgabendatum))-1))),"")</f>
        <v>#VALUE!</v>
      </c>
      <c r="D37" s="471" t="e">
        <f>IF(D$5&gt;0,(INDEX(A_Aufgaben,(D$5-Arbeitszeit!$A$6+1),(2*(ROW()-ROW(A_Aufgabendatum))-1))),"")</f>
        <v>#VALUE!</v>
      </c>
      <c r="E37" s="470" t="e">
        <f>IF(E$5&gt;0,(INDEX(A_Aufgaben,(E$5-Arbeitszeit!$A$6+1),(2*(ROW()-ROW(A_Aufgabendatum))-1))),"")</f>
        <v>#VALUE!</v>
      </c>
      <c r="F37" s="471" t="e">
        <f>IF(F$5&gt;0,(INDEX(A_Aufgaben,(F$5-Arbeitszeit!$A$6+1),(2*(ROW()-ROW(A_Aufgabendatum))-1))),"")</f>
        <v>#VALUE!</v>
      </c>
      <c r="G37" s="470" t="e">
        <f>IF(G$5&gt;0,(INDEX(A_Aufgaben,(G$5-Arbeitszeit!$A$6+1),(2*(ROW()-ROW(A_Aufgabendatum))-1))),"")</f>
        <v>#VALUE!</v>
      </c>
      <c r="H37" s="471" t="e">
        <f>IF(H$5&gt;0,(INDEX(A_Aufgaben,(H$5-Arbeitszeit!$A$6+1),(2*(ROW()-ROW(A_Aufgabendatum))-1))),"")</f>
        <v>#VALUE!</v>
      </c>
      <c r="I37" s="470" t="e">
        <f>IF(I$5&gt;0,(INDEX(A_Aufgaben,(I$5-Arbeitszeit!$A$6+1),(2*(ROW()-ROW(A_Aufgabendatum))-1))),"")</f>
        <v>#VALUE!</v>
      </c>
      <c r="J37" s="471" t="e">
        <f>IF(J$5&gt;0,(INDEX(A_Aufgaben,(J$5-Arbeitszeit!$A$6+1),(2*(ROW()-ROW(A_Aufgabendatum))-1))),"")</f>
        <v>#VALUE!</v>
      </c>
      <c r="K37" s="470" t="e">
        <f>IF(K$5&gt;0,(INDEX(A_Aufgaben,(K$5-Arbeitszeit!$A$6+1),(2*(ROW()-ROW(A_Aufgabendatum))-1))),"")</f>
        <v>#VALUE!</v>
      </c>
      <c r="L37" s="471" t="e">
        <f>IF(L$5&gt;0,(INDEX(A_Aufgaben,(L$5-Arbeitszeit!$A$6+1),(2*(ROW()-ROW(A_Aufgabendatum))-1))),"")</f>
        <v>#VALUE!</v>
      </c>
      <c r="M37" s="470" t="e">
        <f>IF(M$5&gt;0,(INDEX(A_Aufgaben,(M$5-Arbeitszeit!$A$6+1),(2*(ROW()-ROW(A_Aufgabendatum))-1))),"")</f>
        <v>#VALUE!</v>
      </c>
      <c r="N37" s="471" t="e">
        <f>IF(N$5&gt;0,(INDEX(A_Aufgaben,(N$5-Arbeitszeit!$A$6+1),(2*(ROW()-ROW(A_Aufgabendatum))-1))),"")</f>
        <v>#VALUE!</v>
      </c>
      <c r="O37" s="470" t="e">
        <f>IF(O$5&gt;0,(INDEX(A_Aufgaben,(O$5-Arbeitszeit!$A$6+1),(2*(ROW()-ROW(A_Aufgabendatum))-1))),"")</f>
        <v>#VALUE!</v>
      </c>
      <c r="P37" s="471" t="e">
        <f>IF(P$5&gt;0,(INDEX(A_Aufgaben,(P$5-Arbeitszeit!$A$6+1),(2*(ROW()-ROW(A_Aufgabendatum))-1))),"")</f>
        <v>#VALUE!</v>
      </c>
      <c r="Q37" s="470" t="e">
        <f>IF(Q$5&gt;0,(INDEX(A_Aufgaben,(Q$5-Arbeitszeit!$A$6+1),(2*(ROW()-ROW(A_Aufgabendatum))-1))),"")</f>
        <v>#VALUE!</v>
      </c>
      <c r="R37" s="471" t="e">
        <f>IF(R$5&gt;0,(INDEX(A_Aufgaben,(R$5-Arbeitszeit!$A$6+1),(2*(ROW()-ROW(A_Aufgabendatum))-1))),"")</f>
        <v>#VALUE!</v>
      </c>
      <c r="S37" s="470" t="e">
        <f>IF(S$5&gt;0,(INDEX(A_Aufgaben,(S$5-Arbeitszeit!$A$6+1),(2*(ROW()-ROW(A_Aufgabendatum))-1))),"")</f>
        <v>#VALUE!</v>
      </c>
      <c r="T37" s="471" t="e">
        <f>IF(T$5&gt;0,(INDEX(A_Aufgaben,(T$5-Arbeitszeit!$A$6+1),(2*(ROW()-ROW(A_Aufgabendatum))-1))),"")</f>
        <v>#VALUE!</v>
      </c>
      <c r="U37" s="470" t="e">
        <f>IF(U$5&gt;0,(INDEX(A_Aufgaben,(U$5-Arbeitszeit!$A$6+1),(2*(ROW()-ROW(A_Aufgabendatum))-1))),"")</f>
        <v>#VALUE!</v>
      </c>
      <c r="V37" s="471" t="e">
        <f>IF(V$5&gt;0,(INDEX(A_Aufgaben,(V$5-Arbeitszeit!$A$6+1),(2*(ROW()-ROW(A_Aufgabendatum))-1))),"")</f>
        <v>#VALUE!</v>
      </c>
      <c r="W37" s="470" t="e">
        <f>IF(W$5&gt;0,(INDEX(A_Aufgaben,(W$5-Arbeitszeit!$A$6+1),(2*(ROW()-ROW(A_Aufgabendatum))-1))),"")</f>
        <v>#VALUE!</v>
      </c>
      <c r="X37" s="471" t="e">
        <f>IF(X$5&gt;0,(INDEX(A_Aufgaben,(X$5-Arbeitszeit!$A$6+1),(2*(ROW()-ROW(A_Aufgabendatum))-1))),"")</f>
        <v>#VALUE!</v>
      </c>
      <c r="Y37" s="470" t="e">
        <f>IF(Y$5&gt;0,(INDEX(A_Aufgaben,(Y$5-Arbeitszeit!$A$6+1),(2*(ROW()-ROW(A_Aufgabendatum))-1))),"")</f>
        <v>#VALUE!</v>
      </c>
      <c r="Z37" s="471" t="e">
        <f>IF(Z$5&gt;0,(INDEX(A_Aufgaben,(Z$5-Arbeitszeit!$A$6+1),(2*(ROW()-ROW(A_Aufgabendatum))-1))),"")</f>
        <v>#VALUE!</v>
      </c>
      <c r="AA37" s="470" t="e">
        <f>IF(AA$5&gt;0,(INDEX(A_Aufgaben,(AA$5-Arbeitszeit!$A$6+1),(2*(ROW()-ROW(A_Aufgabendatum))-1))),"")</f>
        <v>#VALUE!</v>
      </c>
      <c r="AB37" s="471" t="e">
        <f>IF(AB$5&gt;0,(INDEX(A_Aufgaben,(AB$5-Arbeitszeit!$A$6+1),(2*(ROW()-ROW(A_Aufgabendatum))-1))),"")</f>
        <v>#VALUE!</v>
      </c>
      <c r="AC37" s="470" t="e">
        <f>IF(AC$5&gt;0,(INDEX(A_Aufgaben,(AC$5-Arbeitszeit!$A$6+1),(2*(ROW()-ROW(A_Aufgabendatum))-1))),"")</f>
        <v>#VALUE!</v>
      </c>
      <c r="AD37" s="471" t="e">
        <f>IF(AD$5&gt;0,(INDEX(A_Aufgaben,(AD$5-Arbeitszeit!$A$6+1),(2*(ROW()-ROW(A_Aufgabendatum))-1))),"")</f>
        <v>#VALUE!</v>
      </c>
      <c r="AE37" s="470" t="e">
        <f>IF(AE$5&gt;0,(INDEX(A_Aufgaben,(AE$5-Arbeitszeit!$A$6+1),(2*(ROW()-ROW(A_Aufgabendatum))-1))),"")</f>
        <v>#VALUE!</v>
      </c>
      <c r="AF37" s="471" t="e">
        <f>IF(AF$5&gt;0,(INDEX(A_Aufgaben,(AF$5-Arbeitszeit!$A$6+1),(2*(ROW()-ROW(A_Aufgabendatum))-1))),"")</f>
        <v>#VALUE!</v>
      </c>
      <c r="AG37" s="470" t="e">
        <f>IF(AG$5&gt;0,(INDEX(A_Aufgaben,(AG$5-Arbeitszeit!$A$6+1),(2*(ROW()-ROW(A_Aufgabendatum))-1))),"")</f>
        <v>#VALUE!</v>
      </c>
      <c r="AH37" s="479" t="e">
        <f t="shared" si="5"/>
        <v>#VALUE!</v>
      </c>
      <c r="AI37" s="3"/>
    </row>
    <row r="38" spans="2:35">
      <c r="B38" s="469" t="str">
        <f>Aufgaben!BS3</f>
        <v>Aufgabe 30</v>
      </c>
      <c r="C38" s="470" t="e">
        <f>IF(C$5&gt;0,(INDEX(A_Aufgaben,(C$5-Arbeitszeit!$A$6+1),(2*(ROW()-ROW(A_Aufgabendatum))-1))),"")</f>
        <v>#VALUE!</v>
      </c>
      <c r="D38" s="471" t="e">
        <f>IF(D$5&gt;0,(INDEX(A_Aufgaben,(D$5-Arbeitszeit!$A$6+1),(2*(ROW()-ROW(A_Aufgabendatum))-1))),"")</f>
        <v>#VALUE!</v>
      </c>
      <c r="E38" s="470" t="e">
        <f>IF(E$5&gt;0,(INDEX(A_Aufgaben,(E$5-Arbeitszeit!$A$6+1),(2*(ROW()-ROW(A_Aufgabendatum))-1))),"")</f>
        <v>#VALUE!</v>
      </c>
      <c r="F38" s="471" t="e">
        <f>IF(F$5&gt;0,(INDEX(A_Aufgaben,(F$5-Arbeitszeit!$A$6+1),(2*(ROW()-ROW(A_Aufgabendatum))-1))),"")</f>
        <v>#VALUE!</v>
      </c>
      <c r="G38" s="470" t="e">
        <f>IF(G$5&gt;0,(INDEX(A_Aufgaben,(G$5-Arbeitszeit!$A$6+1),(2*(ROW()-ROW(A_Aufgabendatum))-1))),"")</f>
        <v>#VALUE!</v>
      </c>
      <c r="H38" s="471" t="e">
        <f>IF(H$5&gt;0,(INDEX(A_Aufgaben,(H$5-Arbeitszeit!$A$6+1),(2*(ROW()-ROW(A_Aufgabendatum))-1))),"")</f>
        <v>#VALUE!</v>
      </c>
      <c r="I38" s="470" t="e">
        <f>IF(I$5&gt;0,(INDEX(A_Aufgaben,(I$5-Arbeitszeit!$A$6+1),(2*(ROW()-ROW(A_Aufgabendatum))-1))),"")</f>
        <v>#VALUE!</v>
      </c>
      <c r="J38" s="471" t="e">
        <f>IF(J$5&gt;0,(INDEX(A_Aufgaben,(J$5-Arbeitszeit!$A$6+1),(2*(ROW()-ROW(A_Aufgabendatum))-1))),"")</f>
        <v>#VALUE!</v>
      </c>
      <c r="K38" s="470" t="e">
        <f>IF(K$5&gt;0,(INDEX(A_Aufgaben,(K$5-Arbeitszeit!$A$6+1),(2*(ROW()-ROW(A_Aufgabendatum))-1))),"")</f>
        <v>#VALUE!</v>
      </c>
      <c r="L38" s="471" t="e">
        <f>IF(L$5&gt;0,(INDEX(A_Aufgaben,(L$5-Arbeitszeit!$A$6+1),(2*(ROW()-ROW(A_Aufgabendatum))-1))),"")</f>
        <v>#VALUE!</v>
      </c>
      <c r="M38" s="470" t="e">
        <f>IF(M$5&gt;0,(INDEX(A_Aufgaben,(M$5-Arbeitszeit!$A$6+1),(2*(ROW()-ROW(A_Aufgabendatum))-1))),"")</f>
        <v>#VALUE!</v>
      </c>
      <c r="N38" s="471" t="e">
        <f>IF(N$5&gt;0,(INDEX(A_Aufgaben,(N$5-Arbeitszeit!$A$6+1),(2*(ROW()-ROW(A_Aufgabendatum))-1))),"")</f>
        <v>#VALUE!</v>
      </c>
      <c r="O38" s="470" t="e">
        <f>IF(O$5&gt;0,(INDEX(A_Aufgaben,(O$5-Arbeitszeit!$A$6+1),(2*(ROW()-ROW(A_Aufgabendatum))-1))),"")</f>
        <v>#VALUE!</v>
      </c>
      <c r="P38" s="471" t="e">
        <f>IF(P$5&gt;0,(INDEX(A_Aufgaben,(P$5-Arbeitszeit!$A$6+1),(2*(ROW()-ROW(A_Aufgabendatum))-1))),"")</f>
        <v>#VALUE!</v>
      </c>
      <c r="Q38" s="470" t="e">
        <f>IF(Q$5&gt;0,(INDEX(A_Aufgaben,(Q$5-Arbeitszeit!$A$6+1),(2*(ROW()-ROW(A_Aufgabendatum))-1))),"")</f>
        <v>#VALUE!</v>
      </c>
      <c r="R38" s="471" t="e">
        <f>IF(R$5&gt;0,(INDEX(A_Aufgaben,(R$5-Arbeitszeit!$A$6+1),(2*(ROW()-ROW(A_Aufgabendatum))-1))),"")</f>
        <v>#VALUE!</v>
      </c>
      <c r="S38" s="470" t="e">
        <f>IF(S$5&gt;0,(INDEX(A_Aufgaben,(S$5-Arbeitszeit!$A$6+1),(2*(ROW()-ROW(A_Aufgabendatum))-1))),"")</f>
        <v>#VALUE!</v>
      </c>
      <c r="T38" s="471" t="e">
        <f>IF(T$5&gt;0,(INDEX(A_Aufgaben,(T$5-Arbeitszeit!$A$6+1),(2*(ROW()-ROW(A_Aufgabendatum))-1))),"")</f>
        <v>#VALUE!</v>
      </c>
      <c r="U38" s="470" t="e">
        <f>IF(U$5&gt;0,(INDEX(A_Aufgaben,(U$5-Arbeitszeit!$A$6+1),(2*(ROW()-ROW(A_Aufgabendatum))-1))),"")</f>
        <v>#VALUE!</v>
      </c>
      <c r="V38" s="471" t="e">
        <f>IF(V$5&gt;0,(INDEX(A_Aufgaben,(V$5-Arbeitszeit!$A$6+1),(2*(ROW()-ROW(A_Aufgabendatum))-1))),"")</f>
        <v>#VALUE!</v>
      </c>
      <c r="W38" s="470" t="e">
        <f>IF(W$5&gt;0,(INDEX(A_Aufgaben,(W$5-Arbeitszeit!$A$6+1),(2*(ROW()-ROW(A_Aufgabendatum))-1))),"")</f>
        <v>#VALUE!</v>
      </c>
      <c r="X38" s="471" t="e">
        <f>IF(X$5&gt;0,(INDEX(A_Aufgaben,(X$5-Arbeitszeit!$A$6+1),(2*(ROW()-ROW(A_Aufgabendatum))-1))),"")</f>
        <v>#VALUE!</v>
      </c>
      <c r="Y38" s="470" t="e">
        <f>IF(Y$5&gt;0,(INDEX(A_Aufgaben,(Y$5-Arbeitszeit!$A$6+1),(2*(ROW()-ROW(A_Aufgabendatum))-1))),"")</f>
        <v>#VALUE!</v>
      </c>
      <c r="Z38" s="471" t="e">
        <f>IF(Z$5&gt;0,(INDEX(A_Aufgaben,(Z$5-Arbeitszeit!$A$6+1),(2*(ROW()-ROW(A_Aufgabendatum))-1))),"")</f>
        <v>#VALUE!</v>
      </c>
      <c r="AA38" s="470" t="e">
        <f>IF(AA$5&gt;0,(INDEX(A_Aufgaben,(AA$5-Arbeitszeit!$A$6+1),(2*(ROW()-ROW(A_Aufgabendatum))-1))),"")</f>
        <v>#VALUE!</v>
      </c>
      <c r="AB38" s="471" t="e">
        <f>IF(AB$5&gt;0,(INDEX(A_Aufgaben,(AB$5-Arbeitszeit!$A$6+1),(2*(ROW()-ROW(A_Aufgabendatum))-1))),"")</f>
        <v>#VALUE!</v>
      </c>
      <c r="AC38" s="470" t="e">
        <f>IF(AC$5&gt;0,(INDEX(A_Aufgaben,(AC$5-Arbeitszeit!$A$6+1),(2*(ROW()-ROW(A_Aufgabendatum))-1))),"")</f>
        <v>#VALUE!</v>
      </c>
      <c r="AD38" s="471" t="e">
        <f>IF(AD$5&gt;0,(INDEX(A_Aufgaben,(AD$5-Arbeitszeit!$A$6+1),(2*(ROW()-ROW(A_Aufgabendatum))-1))),"")</f>
        <v>#VALUE!</v>
      </c>
      <c r="AE38" s="470" t="e">
        <f>IF(AE$5&gt;0,(INDEX(A_Aufgaben,(AE$5-Arbeitszeit!$A$6+1),(2*(ROW()-ROW(A_Aufgabendatum))-1))),"")</f>
        <v>#VALUE!</v>
      </c>
      <c r="AF38" s="471" t="e">
        <f>IF(AF$5&gt;0,(INDEX(A_Aufgaben,(AF$5-Arbeitszeit!$A$6+1),(2*(ROW()-ROW(A_Aufgabendatum))-1))),"")</f>
        <v>#VALUE!</v>
      </c>
      <c r="AG38" s="470" t="e">
        <f>IF(AG$5&gt;0,(INDEX(A_Aufgaben,(AG$5-Arbeitszeit!$A$6+1),(2*(ROW()-ROW(A_Aufgabendatum))-1))),"")</f>
        <v>#VALUE!</v>
      </c>
      <c r="AH38" s="479" t="e">
        <f t="shared" si="5"/>
        <v>#VALUE!</v>
      </c>
      <c r="AI38" s="3"/>
    </row>
    <row r="39" spans="2:35">
      <c r="B39" s="469" t="str">
        <f>Aufgaben!BU3</f>
        <v>Aufgabe 31</v>
      </c>
      <c r="C39" s="470" t="e">
        <f>IF(C$5&gt;0,(INDEX(A_Aufgaben,(C$5-Arbeitszeit!$A$6+1),(2*(ROW()-ROW(A_Aufgabendatum))-1))),"")</f>
        <v>#VALUE!</v>
      </c>
      <c r="D39" s="471" t="e">
        <f>IF(D$5&gt;0,(INDEX(A_Aufgaben,(D$5-Arbeitszeit!$A$6+1),(2*(ROW()-ROW(A_Aufgabendatum))-1))),"")</f>
        <v>#VALUE!</v>
      </c>
      <c r="E39" s="470" t="e">
        <f>IF(E$5&gt;0,(INDEX(A_Aufgaben,(E$5-Arbeitszeit!$A$6+1),(2*(ROW()-ROW(A_Aufgabendatum))-1))),"")</f>
        <v>#VALUE!</v>
      </c>
      <c r="F39" s="471" t="e">
        <f>IF(F$5&gt;0,(INDEX(A_Aufgaben,(F$5-Arbeitszeit!$A$6+1),(2*(ROW()-ROW(A_Aufgabendatum))-1))),"")</f>
        <v>#VALUE!</v>
      </c>
      <c r="G39" s="470" t="e">
        <f>IF(G$5&gt;0,(INDEX(A_Aufgaben,(G$5-Arbeitszeit!$A$6+1),(2*(ROW()-ROW(A_Aufgabendatum))-1))),"")</f>
        <v>#VALUE!</v>
      </c>
      <c r="H39" s="471" t="e">
        <f>IF(H$5&gt;0,(INDEX(A_Aufgaben,(H$5-Arbeitszeit!$A$6+1),(2*(ROW()-ROW(A_Aufgabendatum))-1))),"")</f>
        <v>#VALUE!</v>
      </c>
      <c r="I39" s="470" t="e">
        <f>IF(I$5&gt;0,(INDEX(A_Aufgaben,(I$5-Arbeitszeit!$A$6+1),(2*(ROW()-ROW(A_Aufgabendatum))-1))),"")</f>
        <v>#VALUE!</v>
      </c>
      <c r="J39" s="471" t="e">
        <f>IF(J$5&gt;0,(INDEX(A_Aufgaben,(J$5-Arbeitszeit!$A$6+1),(2*(ROW()-ROW(A_Aufgabendatum))-1))),"")</f>
        <v>#VALUE!</v>
      </c>
      <c r="K39" s="470" t="e">
        <f>IF(K$5&gt;0,(INDEX(A_Aufgaben,(K$5-Arbeitszeit!$A$6+1),(2*(ROW()-ROW(A_Aufgabendatum))-1))),"")</f>
        <v>#VALUE!</v>
      </c>
      <c r="L39" s="471" t="e">
        <f>IF(L$5&gt;0,(INDEX(A_Aufgaben,(L$5-Arbeitszeit!$A$6+1),(2*(ROW()-ROW(A_Aufgabendatum))-1))),"")</f>
        <v>#VALUE!</v>
      </c>
      <c r="M39" s="470" t="e">
        <f>IF(M$5&gt;0,(INDEX(A_Aufgaben,(M$5-Arbeitszeit!$A$6+1),(2*(ROW()-ROW(A_Aufgabendatum))-1))),"")</f>
        <v>#VALUE!</v>
      </c>
      <c r="N39" s="471" t="e">
        <f>IF(N$5&gt;0,(INDEX(A_Aufgaben,(N$5-Arbeitszeit!$A$6+1),(2*(ROW()-ROW(A_Aufgabendatum))-1))),"")</f>
        <v>#VALUE!</v>
      </c>
      <c r="O39" s="470" t="e">
        <f>IF(O$5&gt;0,(INDEX(A_Aufgaben,(O$5-Arbeitszeit!$A$6+1),(2*(ROW()-ROW(A_Aufgabendatum))-1))),"")</f>
        <v>#VALUE!</v>
      </c>
      <c r="P39" s="471" t="e">
        <f>IF(P$5&gt;0,(INDEX(A_Aufgaben,(P$5-Arbeitszeit!$A$6+1),(2*(ROW()-ROW(A_Aufgabendatum))-1))),"")</f>
        <v>#VALUE!</v>
      </c>
      <c r="Q39" s="470" t="e">
        <f>IF(Q$5&gt;0,(INDEX(A_Aufgaben,(Q$5-Arbeitszeit!$A$6+1),(2*(ROW()-ROW(A_Aufgabendatum))-1))),"")</f>
        <v>#VALUE!</v>
      </c>
      <c r="R39" s="471" t="e">
        <f>IF(R$5&gt;0,(INDEX(A_Aufgaben,(R$5-Arbeitszeit!$A$6+1),(2*(ROW()-ROW(A_Aufgabendatum))-1))),"")</f>
        <v>#VALUE!</v>
      </c>
      <c r="S39" s="470" t="e">
        <f>IF(S$5&gt;0,(INDEX(A_Aufgaben,(S$5-Arbeitszeit!$A$6+1),(2*(ROW()-ROW(A_Aufgabendatum))-1))),"")</f>
        <v>#VALUE!</v>
      </c>
      <c r="T39" s="471" t="e">
        <f>IF(T$5&gt;0,(INDEX(A_Aufgaben,(T$5-Arbeitszeit!$A$6+1),(2*(ROW()-ROW(A_Aufgabendatum))-1))),"")</f>
        <v>#VALUE!</v>
      </c>
      <c r="U39" s="470" t="e">
        <f>IF(U$5&gt;0,(INDEX(A_Aufgaben,(U$5-Arbeitszeit!$A$6+1),(2*(ROW()-ROW(A_Aufgabendatum))-1))),"")</f>
        <v>#VALUE!</v>
      </c>
      <c r="V39" s="471" t="e">
        <f>IF(V$5&gt;0,(INDEX(A_Aufgaben,(V$5-Arbeitszeit!$A$6+1),(2*(ROW()-ROW(A_Aufgabendatum))-1))),"")</f>
        <v>#VALUE!</v>
      </c>
      <c r="W39" s="470" t="e">
        <f>IF(W$5&gt;0,(INDEX(A_Aufgaben,(W$5-Arbeitszeit!$A$6+1),(2*(ROW()-ROW(A_Aufgabendatum))-1))),"")</f>
        <v>#VALUE!</v>
      </c>
      <c r="X39" s="471" t="e">
        <f>IF(X$5&gt;0,(INDEX(A_Aufgaben,(X$5-Arbeitszeit!$A$6+1),(2*(ROW()-ROW(A_Aufgabendatum))-1))),"")</f>
        <v>#VALUE!</v>
      </c>
      <c r="Y39" s="470" t="e">
        <f>IF(Y$5&gt;0,(INDEX(A_Aufgaben,(Y$5-Arbeitszeit!$A$6+1),(2*(ROW()-ROW(A_Aufgabendatum))-1))),"")</f>
        <v>#VALUE!</v>
      </c>
      <c r="Z39" s="471" t="e">
        <f>IF(Z$5&gt;0,(INDEX(A_Aufgaben,(Z$5-Arbeitszeit!$A$6+1),(2*(ROW()-ROW(A_Aufgabendatum))-1))),"")</f>
        <v>#VALUE!</v>
      </c>
      <c r="AA39" s="470" t="e">
        <f>IF(AA$5&gt;0,(INDEX(A_Aufgaben,(AA$5-Arbeitszeit!$A$6+1),(2*(ROW()-ROW(A_Aufgabendatum))-1))),"")</f>
        <v>#VALUE!</v>
      </c>
      <c r="AB39" s="471" t="e">
        <f>IF(AB$5&gt;0,(INDEX(A_Aufgaben,(AB$5-Arbeitszeit!$A$6+1),(2*(ROW()-ROW(A_Aufgabendatum))-1))),"")</f>
        <v>#VALUE!</v>
      </c>
      <c r="AC39" s="470" t="e">
        <f>IF(AC$5&gt;0,(INDEX(A_Aufgaben,(AC$5-Arbeitszeit!$A$6+1),(2*(ROW()-ROW(A_Aufgabendatum))-1))),"")</f>
        <v>#VALUE!</v>
      </c>
      <c r="AD39" s="471" t="e">
        <f>IF(AD$5&gt;0,(INDEX(A_Aufgaben,(AD$5-Arbeitszeit!$A$6+1),(2*(ROW()-ROW(A_Aufgabendatum))-1))),"")</f>
        <v>#VALUE!</v>
      </c>
      <c r="AE39" s="470" t="e">
        <f>IF(AE$5&gt;0,(INDEX(A_Aufgaben,(AE$5-Arbeitszeit!$A$6+1),(2*(ROW()-ROW(A_Aufgabendatum))-1))),"")</f>
        <v>#VALUE!</v>
      </c>
      <c r="AF39" s="471" t="e">
        <f>IF(AF$5&gt;0,(INDEX(A_Aufgaben,(AF$5-Arbeitszeit!$A$6+1),(2*(ROW()-ROW(A_Aufgabendatum))-1))),"")</f>
        <v>#VALUE!</v>
      </c>
      <c r="AG39" s="470" t="e">
        <f>IF(AG$5&gt;0,(INDEX(A_Aufgaben,(AG$5-Arbeitszeit!$A$6+1),(2*(ROW()-ROW(A_Aufgabendatum))-1))),"")</f>
        <v>#VALUE!</v>
      </c>
      <c r="AH39" s="479" t="e">
        <f t="shared" si="5"/>
        <v>#VALUE!</v>
      </c>
      <c r="AI39" s="3"/>
    </row>
    <row r="40" spans="2:35">
      <c r="B40" s="469" t="str">
        <f>Aufgaben!BW3</f>
        <v>Aufgabe 32</v>
      </c>
      <c r="C40" s="470" t="e">
        <f>IF(C$5&gt;0,(INDEX(A_Aufgaben,(C$5-Arbeitszeit!$A$6+1),(2*(ROW()-ROW(A_Aufgabendatum))-1))),"")</f>
        <v>#VALUE!</v>
      </c>
      <c r="D40" s="471" t="e">
        <f>IF(D$5&gt;0,(INDEX(A_Aufgaben,(D$5-Arbeitszeit!$A$6+1),(2*(ROW()-ROW(A_Aufgabendatum))-1))),"")</f>
        <v>#VALUE!</v>
      </c>
      <c r="E40" s="470" t="e">
        <f>IF(E$5&gt;0,(INDEX(A_Aufgaben,(E$5-Arbeitszeit!$A$6+1),(2*(ROW()-ROW(A_Aufgabendatum))-1))),"")</f>
        <v>#VALUE!</v>
      </c>
      <c r="F40" s="471" t="e">
        <f>IF(F$5&gt;0,(INDEX(A_Aufgaben,(F$5-Arbeitszeit!$A$6+1),(2*(ROW()-ROW(A_Aufgabendatum))-1))),"")</f>
        <v>#VALUE!</v>
      </c>
      <c r="G40" s="470" t="e">
        <f>IF(G$5&gt;0,(INDEX(A_Aufgaben,(G$5-Arbeitszeit!$A$6+1),(2*(ROW()-ROW(A_Aufgabendatum))-1))),"")</f>
        <v>#VALUE!</v>
      </c>
      <c r="H40" s="471" t="e">
        <f>IF(H$5&gt;0,(INDEX(A_Aufgaben,(H$5-Arbeitszeit!$A$6+1),(2*(ROW()-ROW(A_Aufgabendatum))-1))),"")</f>
        <v>#VALUE!</v>
      </c>
      <c r="I40" s="470" t="e">
        <f>IF(I$5&gt;0,(INDEX(A_Aufgaben,(I$5-Arbeitszeit!$A$6+1),(2*(ROW()-ROW(A_Aufgabendatum))-1))),"")</f>
        <v>#VALUE!</v>
      </c>
      <c r="J40" s="471" t="e">
        <f>IF(J$5&gt;0,(INDEX(A_Aufgaben,(J$5-Arbeitszeit!$A$6+1),(2*(ROW()-ROW(A_Aufgabendatum))-1))),"")</f>
        <v>#VALUE!</v>
      </c>
      <c r="K40" s="470" t="e">
        <f>IF(K$5&gt;0,(INDEX(A_Aufgaben,(K$5-Arbeitszeit!$A$6+1),(2*(ROW()-ROW(A_Aufgabendatum))-1))),"")</f>
        <v>#VALUE!</v>
      </c>
      <c r="L40" s="471" t="e">
        <f>IF(L$5&gt;0,(INDEX(A_Aufgaben,(L$5-Arbeitszeit!$A$6+1),(2*(ROW()-ROW(A_Aufgabendatum))-1))),"")</f>
        <v>#VALUE!</v>
      </c>
      <c r="M40" s="470" t="e">
        <f>IF(M$5&gt;0,(INDEX(A_Aufgaben,(M$5-Arbeitszeit!$A$6+1),(2*(ROW()-ROW(A_Aufgabendatum))-1))),"")</f>
        <v>#VALUE!</v>
      </c>
      <c r="N40" s="471" t="e">
        <f>IF(N$5&gt;0,(INDEX(A_Aufgaben,(N$5-Arbeitszeit!$A$6+1),(2*(ROW()-ROW(A_Aufgabendatum))-1))),"")</f>
        <v>#VALUE!</v>
      </c>
      <c r="O40" s="470" t="e">
        <f>IF(O$5&gt;0,(INDEX(A_Aufgaben,(O$5-Arbeitszeit!$A$6+1),(2*(ROW()-ROW(A_Aufgabendatum))-1))),"")</f>
        <v>#VALUE!</v>
      </c>
      <c r="P40" s="471" t="e">
        <f>IF(P$5&gt;0,(INDEX(A_Aufgaben,(P$5-Arbeitszeit!$A$6+1),(2*(ROW()-ROW(A_Aufgabendatum))-1))),"")</f>
        <v>#VALUE!</v>
      </c>
      <c r="Q40" s="470" t="e">
        <f>IF(Q$5&gt;0,(INDEX(A_Aufgaben,(Q$5-Arbeitszeit!$A$6+1),(2*(ROW()-ROW(A_Aufgabendatum))-1))),"")</f>
        <v>#VALUE!</v>
      </c>
      <c r="R40" s="471" t="e">
        <f>IF(R$5&gt;0,(INDEX(A_Aufgaben,(R$5-Arbeitszeit!$A$6+1),(2*(ROW()-ROW(A_Aufgabendatum))-1))),"")</f>
        <v>#VALUE!</v>
      </c>
      <c r="S40" s="470" t="e">
        <f>IF(S$5&gt;0,(INDEX(A_Aufgaben,(S$5-Arbeitszeit!$A$6+1),(2*(ROW()-ROW(A_Aufgabendatum))-1))),"")</f>
        <v>#VALUE!</v>
      </c>
      <c r="T40" s="471" t="e">
        <f>IF(T$5&gt;0,(INDEX(A_Aufgaben,(T$5-Arbeitszeit!$A$6+1),(2*(ROW()-ROW(A_Aufgabendatum))-1))),"")</f>
        <v>#VALUE!</v>
      </c>
      <c r="U40" s="470" t="e">
        <f>IF(U$5&gt;0,(INDEX(A_Aufgaben,(U$5-Arbeitszeit!$A$6+1),(2*(ROW()-ROW(A_Aufgabendatum))-1))),"")</f>
        <v>#VALUE!</v>
      </c>
      <c r="V40" s="471" t="e">
        <f>IF(V$5&gt;0,(INDEX(A_Aufgaben,(V$5-Arbeitszeit!$A$6+1),(2*(ROW()-ROW(A_Aufgabendatum))-1))),"")</f>
        <v>#VALUE!</v>
      </c>
      <c r="W40" s="470" t="e">
        <f>IF(W$5&gt;0,(INDEX(A_Aufgaben,(W$5-Arbeitszeit!$A$6+1),(2*(ROW()-ROW(A_Aufgabendatum))-1))),"")</f>
        <v>#VALUE!</v>
      </c>
      <c r="X40" s="471" t="e">
        <f>IF(X$5&gt;0,(INDEX(A_Aufgaben,(X$5-Arbeitszeit!$A$6+1),(2*(ROW()-ROW(A_Aufgabendatum))-1))),"")</f>
        <v>#VALUE!</v>
      </c>
      <c r="Y40" s="470" t="e">
        <f>IF(Y$5&gt;0,(INDEX(A_Aufgaben,(Y$5-Arbeitszeit!$A$6+1),(2*(ROW()-ROW(A_Aufgabendatum))-1))),"")</f>
        <v>#VALUE!</v>
      </c>
      <c r="Z40" s="471" t="e">
        <f>IF(Z$5&gt;0,(INDEX(A_Aufgaben,(Z$5-Arbeitszeit!$A$6+1),(2*(ROW()-ROW(A_Aufgabendatum))-1))),"")</f>
        <v>#VALUE!</v>
      </c>
      <c r="AA40" s="470" t="e">
        <f>IF(AA$5&gt;0,(INDEX(A_Aufgaben,(AA$5-Arbeitszeit!$A$6+1),(2*(ROW()-ROW(A_Aufgabendatum))-1))),"")</f>
        <v>#VALUE!</v>
      </c>
      <c r="AB40" s="471" t="e">
        <f>IF(AB$5&gt;0,(INDEX(A_Aufgaben,(AB$5-Arbeitszeit!$A$6+1),(2*(ROW()-ROW(A_Aufgabendatum))-1))),"")</f>
        <v>#VALUE!</v>
      </c>
      <c r="AC40" s="470" t="e">
        <f>IF(AC$5&gt;0,(INDEX(A_Aufgaben,(AC$5-Arbeitszeit!$A$6+1),(2*(ROW()-ROW(A_Aufgabendatum))-1))),"")</f>
        <v>#VALUE!</v>
      </c>
      <c r="AD40" s="471" t="e">
        <f>IF(AD$5&gt;0,(INDEX(A_Aufgaben,(AD$5-Arbeitszeit!$A$6+1),(2*(ROW()-ROW(A_Aufgabendatum))-1))),"")</f>
        <v>#VALUE!</v>
      </c>
      <c r="AE40" s="470" t="e">
        <f>IF(AE$5&gt;0,(INDEX(A_Aufgaben,(AE$5-Arbeitszeit!$A$6+1),(2*(ROW()-ROW(A_Aufgabendatum))-1))),"")</f>
        <v>#VALUE!</v>
      </c>
      <c r="AF40" s="471" t="e">
        <f>IF(AF$5&gt;0,(INDEX(A_Aufgaben,(AF$5-Arbeitszeit!$A$6+1),(2*(ROW()-ROW(A_Aufgabendatum))-1))),"")</f>
        <v>#VALUE!</v>
      </c>
      <c r="AG40" s="470" t="e">
        <f>IF(AG$5&gt;0,(INDEX(A_Aufgaben,(AG$5-Arbeitszeit!$A$6+1),(2*(ROW()-ROW(A_Aufgabendatum))-1))),"")</f>
        <v>#VALUE!</v>
      </c>
      <c r="AH40" s="479" t="e">
        <f t="shared" si="5"/>
        <v>#VALUE!</v>
      </c>
      <c r="AI40" s="3"/>
    </row>
    <row r="41" spans="2:35">
      <c r="B41" s="469" t="str">
        <f>Aufgaben!BY3</f>
        <v>Aufgabe 33</v>
      </c>
      <c r="C41" s="470" t="e">
        <f>IF(C$5&gt;0,(INDEX(A_Aufgaben,(C$5-Arbeitszeit!$A$6+1),(2*(ROW()-ROW(A_Aufgabendatum))-1))),"")</f>
        <v>#VALUE!</v>
      </c>
      <c r="D41" s="471" t="e">
        <f>IF(D$5&gt;0,(INDEX(A_Aufgaben,(D$5-Arbeitszeit!$A$6+1),(2*(ROW()-ROW(A_Aufgabendatum))-1))),"")</f>
        <v>#VALUE!</v>
      </c>
      <c r="E41" s="470" t="e">
        <f>IF(E$5&gt;0,(INDEX(A_Aufgaben,(E$5-Arbeitszeit!$A$6+1),(2*(ROW()-ROW(A_Aufgabendatum))-1))),"")</f>
        <v>#VALUE!</v>
      </c>
      <c r="F41" s="471" t="e">
        <f>IF(F$5&gt;0,(INDEX(A_Aufgaben,(F$5-Arbeitszeit!$A$6+1),(2*(ROW()-ROW(A_Aufgabendatum))-1))),"")</f>
        <v>#VALUE!</v>
      </c>
      <c r="G41" s="470" t="e">
        <f>IF(G$5&gt;0,(INDEX(A_Aufgaben,(G$5-Arbeitszeit!$A$6+1),(2*(ROW()-ROW(A_Aufgabendatum))-1))),"")</f>
        <v>#VALUE!</v>
      </c>
      <c r="H41" s="471" t="e">
        <f>IF(H$5&gt;0,(INDEX(A_Aufgaben,(H$5-Arbeitszeit!$A$6+1),(2*(ROW()-ROW(A_Aufgabendatum))-1))),"")</f>
        <v>#VALUE!</v>
      </c>
      <c r="I41" s="470" t="e">
        <f>IF(I$5&gt;0,(INDEX(A_Aufgaben,(I$5-Arbeitszeit!$A$6+1),(2*(ROW()-ROW(A_Aufgabendatum))-1))),"")</f>
        <v>#VALUE!</v>
      </c>
      <c r="J41" s="471" t="e">
        <f>IF(J$5&gt;0,(INDEX(A_Aufgaben,(J$5-Arbeitszeit!$A$6+1),(2*(ROW()-ROW(A_Aufgabendatum))-1))),"")</f>
        <v>#VALUE!</v>
      </c>
      <c r="K41" s="470" t="e">
        <f>IF(K$5&gt;0,(INDEX(A_Aufgaben,(K$5-Arbeitszeit!$A$6+1),(2*(ROW()-ROW(A_Aufgabendatum))-1))),"")</f>
        <v>#VALUE!</v>
      </c>
      <c r="L41" s="471" t="e">
        <f>IF(L$5&gt;0,(INDEX(A_Aufgaben,(L$5-Arbeitszeit!$A$6+1),(2*(ROW()-ROW(A_Aufgabendatum))-1))),"")</f>
        <v>#VALUE!</v>
      </c>
      <c r="M41" s="470" t="e">
        <f>IF(M$5&gt;0,(INDEX(A_Aufgaben,(M$5-Arbeitszeit!$A$6+1),(2*(ROW()-ROW(A_Aufgabendatum))-1))),"")</f>
        <v>#VALUE!</v>
      </c>
      <c r="N41" s="471" t="e">
        <f>IF(N$5&gt;0,(INDEX(A_Aufgaben,(N$5-Arbeitszeit!$A$6+1),(2*(ROW()-ROW(A_Aufgabendatum))-1))),"")</f>
        <v>#VALUE!</v>
      </c>
      <c r="O41" s="470" t="e">
        <f>IF(O$5&gt;0,(INDEX(A_Aufgaben,(O$5-Arbeitszeit!$A$6+1),(2*(ROW()-ROW(A_Aufgabendatum))-1))),"")</f>
        <v>#VALUE!</v>
      </c>
      <c r="P41" s="471" t="e">
        <f>IF(P$5&gt;0,(INDEX(A_Aufgaben,(P$5-Arbeitszeit!$A$6+1),(2*(ROW()-ROW(A_Aufgabendatum))-1))),"")</f>
        <v>#VALUE!</v>
      </c>
      <c r="Q41" s="470" t="e">
        <f>IF(Q$5&gt;0,(INDEX(A_Aufgaben,(Q$5-Arbeitszeit!$A$6+1),(2*(ROW()-ROW(A_Aufgabendatum))-1))),"")</f>
        <v>#VALUE!</v>
      </c>
      <c r="R41" s="471" t="e">
        <f>IF(R$5&gt;0,(INDEX(A_Aufgaben,(R$5-Arbeitszeit!$A$6+1),(2*(ROW()-ROW(A_Aufgabendatum))-1))),"")</f>
        <v>#VALUE!</v>
      </c>
      <c r="S41" s="470" t="e">
        <f>IF(S$5&gt;0,(INDEX(A_Aufgaben,(S$5-Arbeitszeit!$A$6+1),(2*(ROW()-ROW(A_Aufgabendatum))-1))),"")</f>
        <v>#VALUE!</v>
      </c>
      <c r="T41" s="471" t="e">
        <f>IF(T$5&gt;0,(INDEX(A_Aufgaben,(T$5-Arbeitszeit!$A$6+1),(2*(ROW()-ROW(A_Aufgabendatum))-1))),"")</f>
        <v>#VALUE!</v>
      </c>
      <c r="U41" s="470" t="e">
        <f>IF(U$5&gt;0,(INDEX(A_Aufgaben,(U$5-Arbeitszeit!$A$6+1),(2*(ROW()-ROW(A_Aufgabendatum))-1))),"")</f>
        <v>#VALUE!</v>
      </c>
      <c r="V41" s="471" t="e">
        <f>IF(V$5&gt;0,(INDEX(A_Aufgaben,(V$5-Arbeitszeit!$A$6+1),(2*(ROW()-ROW(A_Aufgabendatum))-1))),"")</f>
        <v>#VALUE!</v>
      </c>
      <c r="W41" s="470" t="e">
        <f>IF(W$5&gt;0,(INDEX(A_Aufgaben,(W$5-Arbeitszeit!$A$6+1),(2*(ROW()-ROW(A_Aufgabendatum))-1))),"")</f>
        <v>#VALUE!</v>
      </c>
      <c r="X41" s="471" t="e">
        <f>IF(X$5&gt;0,(INDEX(A_Aufgaben,(X$5-Arbeitszeit!$A$6+1),(2*(ROW()-ROW(A_Aufgabendatum))-1))),"")</f>
        <v>#VALUE!</v>
      </c>
      <c r="Y41" s="470" t="e">
        <f>IF(Y$5&gt;0,(INDEX(A_Aufgaben,(Y$5-Arbeitszeit!$A$6+1),(2*(ROW()-ROW(A_Aufgabendatum))-1))),"")</f>
        <v>#VALUE!</v>
      </c>
      <c r="Z41" s="471" t="e">
        <f>IF(Z$5&gt;0,(INDEX(A_Aufgaben,(Z$5-Arbeitszeit!$A$6+1),(2*(ROW()-ROW(A_Aufgabendatum))-1))),"")</f>
        <v>#VALUE!</v>
      </c>
      <c r="AA41" s="470" t="e">
        <f>IF(AA$5&gt;0,(INDEX(A_Aufgaben,(AA$5-Arbeitszeit!$A$6+1),(2*(ROW()-ROW(A_Aufgabendatum))-1))),"")</f>
        <v>#VALUE!</v>
      </c>
      <c r="AB41" s="471" t="e">
        <f>IF(AB$5&gt;0,(INDEX(A_Aufgaben,(AB$5-Arbeitszeit!$A$6+1),(2*(ROW()-ROW(A_Aufgabendatum))-1))),"")</f>
        <v>#VALUE!</v>
      </c>
      <c r="AC41" s="470" t="e">
        <f>IF(AC$5&gt;0,(INDEX(A_Aufgaben,(AC$5-Arbeitszeit!$A$6+1),(2*(ROW()-ROW(A_Aufgabendatum))-1))),"")</f>
        <v>#VALUE!</v>
      </c>
      <c r="AD41" s="471" t="e">
        <f>IF(AD$5&gt;0,(INDEX(A_Aufgaben,(AD$5-Arbeitszeit!$A$6+1),(2*(ROW()-ROW(A_Aufgabendatum))-1))),"")</f>
        <v>#VALUE!</v>
      </c>
      <c r="AE41" s="470" t="e">
        <f>IF(AE$5&gt;0,(INDEX(A_Aufgaben,(AE$5-Arbeitszeit!$A$6+1),(2*(ROW()-ROW(A_Aufgabendatum))-1))),"")</f>
        <v>#VALUE!</v>
      </c>
      <c r="AF41" s="471" t="e">
        <f>IF(AF$5&gt;0,(INDEX(A_Aufgaben,(AF$5-Arbeitszeit!$A$6+1),(2*(ROW()-ROW(A_Aufgabendatum))-1))),"")</f>
        <v>#VALUE!</v>
      </c>
      <c r="AG41" s="470" t="e">
        <f>IF(AG$5&gt;0,(INDEX(A_Aufgaben,(AG$5-Arbeitszeit!$A$6+1),(2*(ROW()-ROW(A_Aufgabendatum))-1))),"")</f>
        <v>#VALUE!</v>
      </c>
      <c r="AH41" s="479" t="e">
        <f t="shared" si="5"/>
        <v>#VALUE!</v>
      </c>
      <c r="AI41" s="3"/>
    </row>
    <row r="42" spans="2:35">
      <c r="B42" s="469" t="str">
        <f>Aufgaben!CA3</f>
        <v>Aufgabe 34</v>
      </c>
      <c r="C42" s="470" t="e">
        <f>IF(C$5&gt;0,(INDEX(A_Aufgaben,(C$5-Arbeitszeit!$A$6+1),(2*(ROW()-ROW(A_Aufgabendatum))-1))),"")</f>
        <v>#VALUE!</v>
      </c>
      <c r="D42" s="471" t="e">
        <f>IF(D$5&gt;0,(INDEX(A_Aufgaben,(D$5-Arbeitszeit!$A$6+1),(2*(ROW()-ROW(A_Aufgabendatum))-1))),"")</f>
        <v>#VALUE!</v>
      </c>
      <c r="E42" s="470" t="e">
        <f>IF(E$5&gt;0,(INDEX(A_Aufgaben,(E$5-Arbeitszeit!$A$6+1),(2*(ROW()-ROW(A_Aufgabendatum))-1))),"")</f>
        <v>#VALUE!</v>
      </c>
      <c r="F42" s="471" t="e">
        <f>IF(F$5&gt;0,(INDEX(A_Aufgaben,(F$5-Arbeitszeit!$A$6+1),(2*(ROW()-ROW(A_Aufgabendatum))-1))),"")</f>
        <v>#VALUE!</v>
      </c>
      <c r="G42" s="470" t="e">
        <f>IF(G$5&gt;0,(INDEX(A_Aufgaben,(G$5-Arbeitszeit!$A$6+1),(2*(ROW()-ROW(A_Aufgabendatum))-1))),"")</f>
        <v>#VALUE!</v>
      </c>
      <c r="H42" s="471" t="e">
        <f>IF(H$5&gt;0,(INDEX(A_Aufgaben,(H$5-Arbeitszeit!$A$6+1),(2*(ROW()-ROW(A_Aufgabendatum))-1))),"")</f>
        <v>#VALUE!</v>
      </c>
      <c r="I42" s="470" t="e">
        <f>IF(I$5&gt;0,(INDEX(A_Aufgaben,(I$5-Arbeitszeit!$A$6+1),(2*(ROW()-ROW(A_Aufgabendatum))-1))),"")</f>
        <v>#VALUE!</v>
      </c>
      <c r="J42" s="471" t="e">
        <f>IF(J$5&gt;0,(INDEX(A_Aufgaben,(J$5-Arbeitszeit!$A$6+1),(2*(ROW()-ROW(A_Aufgabendatum))-1))),"")</f>
        <v>#VALUE!</v>
      </c>
      <c r="K42" s="470" t="e">
        <f>IF(K$5&gt;0,(INDEX(A_Aufgaben,(K$5-Arbeitszeit!$A$6+1),(2*(ROW()-ROW(A_Aufgabendatum))-1))),"")</f>
        <v>#VALUE!</v>
      </c>
      <c r="L42" s="471" t="e">
        <f>IF(L$5&gt;0,(INDEX(A_Aufgaben,(L$5-Arbeitszeit!$A$6+1),(2*(ROW()-ROW(A_Aufgabendatum))-1))),"")</f>
        <v>#VALUE!</v>
      </c>
      <c r="M42" s="470" t="e">
        <f>IF(M$5&gt;0,(INDEX(A_Aufgaben,(M$5-Arbeitszeit!$A$6+1),(2*(ROW()-ROW(A_Aufgabendatum))-1))),"")</f>
        <v>#VALUE!</v>
      </c>
      <c r="N42" s="471" t="e">
        <f>IF(N$5&gt;0,(INDEX(A_Aufgaben,(N$5-Arbeitszeit!$A$6+1),(2*(ROW()-ROW(A_Aufgabendatum))-1))),"")</f>
        <v>#VALUE!</v>
      </c>
      <c r="O42" s="470" t="e">
        <f>IF(O$5&gt;0,(INDEX(A_Aufgaben,(O$5-Arbeitszeit!$A$6+1),(2*(ROW()-ROW(A_Aufgabendatum))-1))),"")</f>
        <v>#VALUE!</v>
      </c>
      <c r="P42" s="471" t="e">
        <f>IF(P$5&gt;0,(INDEX(A_Aufgaben,(P$5-Arbeitszeit!$A$6+1),(2*(ROW()-ROW(A_Aufgabendatum))-1))),"")</f>
        <v>#VALUE!</v>
      </c>
      <c r="Q42" s="470" t="e">
        <f>IF(Q$5&gt;0,(INDEX(A_Aufgaben,(Q$5-Arbeitszeit!$A$6+1),(2*(ROW()-ROW(A_Aufgabendatum))-1))),"")</f>
        <v>#VALUE!</v>
      </c>
      <c r="R42" s="471" t="e">
        <f>IF(R$5&gt;0,(INDEX(A_Aufgaben,(R$5-Arbeitszeit!$A$6+1),(2*(ROW()-ROW(A_Aufgabendatum))-1))),"")</f>
        <v>#VALUE!</v>
      </c>
      <c r="S42" s="470" t="e">
        <f>IF(S$5&gt;0,(INDEX(A_Aufgaben,(S$5-Arbeitszeit!$A$6+1),(2*(ROW()-ROW(A_Aufgabendatum))-1))),"")</f>
        <v>#VALUE!</v>
      </c>
      <c r="T42" s="471" t="e">
        <f>IF(T$5&gt;0,(INDEX(A_Aufgaben,(T$5-Arbeitszeit!$A$6+1),(2*(ROW()-ROW(A_Aufgabendatum))-1))),"")</f>
        <v>#VALUE!</v>
      </c>
      <c r="U42" s="470" t="e">
        <f>IF(U$5&gt;0,(INDEX(A_Aufgaben,(U$5-Arbeitszeit!$A$6+1),(2*(ROW()-ROW(A_Aufgabendatum))-1))),"")</f>
        <v>#VALUE!</v>
      </c>
      <c r="V42" s="471" t="e">
        <f>IF(V$5&gt;0,(INDEX(A_Aufgaben,(V$5-Arbeitszeit!$A$6+1),(2*(ROW()-ROW(A_Aufgabendatum))-1))),"")</f>
        <v>#VALUE!</v>
      </c>
      <c r="W42" s="470" t="e">
        <f>IF(W$5&gt;0,(INDEX(A_Aufgaben,(W$5-Arbeitszeit!$A$6+1),(2*(ROW()-ROW(A_Aufgabendatum))-1))),"")</f>
        <v>#VALUE!</v>
      </c>
      <c r="X42" s="471" t="e">
        <f>IF(X$5&gt;0,(INDEX(A_Aufgaben,(X$5-Arbeitszeit!$A$6+1),(2*(ROW()-ROW(A_Aufgabendatum))-1))),"")</f>
        <v>#VALUE!</v>
      </c>
      <c r="Y42" s="470" t="e">
        <f>IF(Y$5&gt;0,(INDEX(A_Aufgaben,(Y$5-Arbeitszeit!$A$6+1),(2*(ROW()-ROW(A_Aufgabendatum))-1))),"")</f>
        <v>#VALUE!</v>
      </c>
      <c r="Z42" s="471" t="e">
        <f>IF(Z$5&gt;0,(INDEX(A_Aufgaben,(Z$5-Arbeitszeit!$A$6+1),(2*(ROW()-ROW(A_Aufgabendatum))-1))),"")</f>
        <v>#VALUE!</v>
      </c>
      <c r="AA42" s="470" t="e">
        <f>IF(AA$5&gt;0,(INDEX(A_Aufgaben,(AA$5-Arbeitszeit!$A$6+1),(2*(ROW()-ROW(A_Aufgabendatum))-1))),"")</f>
        <v>#VALUE!</v>
      </c>
      <c r="AB42" s="471" t="e">
        <f>IF(AB$5&gt;0,(INDEX(A_Aufgaben,(AB$5-Arbeitszeit!$A$6+1),(2*(ROW()-ROW(A_Aufgabendatum))-1))),"")</f>
        <v>#VALUE!</v>
      </c>
      <c r="AC42" s="470" t="e">
        <f>IF(AC$5&gt;0,(INDEX(A_Aufgaben,(AC$5-Arbeitszeit!$A$6+1),(2*(ROW()-ROW(A_Aufgabendatum))-1))),"")</f>
        <v>#VALUE!</v>
      </c>
      <c r="AD42" s="471" t="e">
        <f>IF(AD$5&gt;0,(INDEX(A_Aufgaben,(AD$5-Arbeitszeit!$A$6+1),(2*(ROW()-ROW(A_Aufgabendatum))-1))),"")</f>
        <v>#VALUE!</v>
      </c>
      <c r="AE42" s="470" t="e">
        <f>IF(AE$5&gt;0,(INDEX(A_Aufgaben,(AE$5-Arbeitszeit!$A$6+1),(2*(ROW()-ROW(A_Aufgabendatum))-1))),"")</f>
        <v>#VALUE!</v>
      </c>
      <c r="AF42" s="471" t="e">
        <f>IF(AF$5&gt;0,(INDEX(A_Aufgaben,(AF$5-Arbeitszeit!$A$6+1),(2*(ROW()-ROW(A_Aufgabendatum))-1))),"")</f>
        <v>#VALUE!</v>
      </c>
      <c r="AG42" s="470" t="e">
        <f>IF(AG$5&gt;0,(INDEX(A_Aufgaben,(AG$5-Arbeitszeit!$A$6+1),(2*(ROW()-ROW(A_Aufgabendatum))-1))),"")</f>
        <v>#VALUE!</v>
      </c>
      <c r="AH42" s="479" t="e">
        <f t="shared" si="5"/>
        <v>#VALUE!</v>
      </c>
      <c r="AI42" s="3"/>
    </row>
    <row r="43" spans="2:35">
      <c r="B43" s="469" t="str">
        <f>Aufgaben!CC3</f>
        <v>Aufgabe 35</v>
      </c>
      <c r="C43" s="470" t="e">
        <f>IF(C$5&gt;0,(INDEX(A_Aufgaben,(C$5-Arbeitszeit!$A$6+1),(2*(ROW()-ROW(A_Aufgabendatum))-1))),"")</f>
        <v>#VALUE!</v>
      </c>
      <c r="D43" s="471" t="e">
        <f>IF(D$5&gt;0,(INDEX(A_Aufgaben,(D$5-Arbeitszeit!$A$6+1),(2*(ROW()-ROW(A_Aufgabendatum))-1))),"")</f>
        <v>#VALUE!</v>
      </c>
      <c r="E43" s="470" t="e">
        <f>IF(E$5&gt;0,(INDEX(A_Aufgaben,(E$5-Arbeitszeit!$A$6+1),(2*(ROW()-ROW(A_Aufgabendatum))-1))),"")</f>
        <v>#VALUE!</v>
      </c>
      <c r="F43" s="471" t="e">
        <f>IF(F$5&gt;0,(INDEX(A_Aufgaben,(F$5-Arbeitszeit!$A$6+1),(2*(ROW()-ROW(A_Aufgabendatum))-1))),"")</f>
        <v>#VALUE!</v>
      </c>
      <c r="G43" s="470" t="e">
        <f>IF(G$5&gt;0,(INDEX(A_Aufgaben,(G$5-Arbeitszeit!$A$6+1),(2*(ROW()-ROW(A_Aufgabendatum))-1))),"")</f>
        <v>#VALUE!</v>
      </c>
      <c r="H43" s="471" t="e">
        <f>IF(H$5&gt;0,(INDEX(A_Aufgaben,(H$5-Arbeitszeit!$A$6+1),(2*(ROW()-ROW(A_Aufgabendatum))-1))),"")</f>
        <v>#VALUE!</v>
      </c>
      <c r="I43" s="470" t="e">
        <f>IF(I$5&gt;0,(INDEX(A_Aufgaben,(I$5-Arbeitszeit!$A$6+1),(2*(ROW()-ROW(A_Aufgabendatum))-1))),"")</f>
        <v>#VALUE!</v>
      </c>
      <c r="J43" s="471" t="e">
        <f>IF(J$5&gt;0,(INDEX(A_Aufgaben,(J$5-Arbeitszeit!$A$6+1),(2*(ROW()-ROW(A_Aufgabendatum))-1))),"")</f>
        <v>#VALUE!</v>
      </c>
      <c r="K43" s="470" t="e">
        <f>IF(K$5&gt;0,(INDEX(A_Aufgaben,(K$5-Arbeitszeit!$A$6+1),(2*(ROW()-ROW(A_Aufgabendatum))-1))),"")</f>
        <v>#VALUE!</v>
      </c>
      <c r="L43" s="471" t="e">
        <f>IF(L$5&gt;0,(INDEX(A_Aufgaben,(L$5-Arbeitszeit!$A$6+1),(2*(ROW()-ROW(A_Aufgabendatum))-1))),"")</f>
        <v>#VALUE!</v>
      </c>
      <c r="M43" s="470" t="e">
        <f>IF(M$5&gt;0,(INDEX(A_Aufgaben,(M$5-Arbeitszeit!$A$6+1),(2*(ROW()-ROW(A_Aufgabendatum))-1))),"")</f>
        <v>#VALUE!</v>
      </c>
      <c r="N43" s="471" t="e">
        <f>IF(N$5&gt;0,(INDEX(A_Aufgaben,(N$5-Arbeitszeit!$A$6+1),(2*(ROW()-ROW(A_Aufgabendatum))-1))),"")</f>
        <v>#VALUE!</v>
      </c>
      <c r="O43" s="470" t="e">
        <f>IF(O$5&gt;0,(INDEX(A_Aufgaben,(O$5-Arbeitszeit!$A$6+1),(2*(ROW()-ROW(A_Aufgabendatum))-1))),"")</f>
        <v>#VALUE!</v>
      </c>
      <c r="P43" s="471" t="e">
        <f>IF(P$5&gt;0,(INDEX(A_Aufgaben,(P$5-Arbeitszeit!$A$6+1),(2*(ROW()-ROW(A_Aufgabendatum))-1))),"")</f>
        <v>#VALUE!</v>
      </c>
      <c r="Q43" s="470" t="e">
        <f>IF(Q$5&gt;0,(INDEX(A_Aufgaben,(Q$5-Arbeitszeit!$A$6+1),(2*(ROW()-ROW(A_Aufgabendatum))-1))),"")</f>
        <v>#VALUE!</v>
      </c>
      <c r="R43" s="471" t="e">
        <f>IF(R$5&gt;0,(INDEX(A_Aufgaben,(R$5-Arbeitszeit!$A$6+1),(2*(ROW()-ROW(A_Aufgabendatum))-1))),"")</f>
        <v>#VALUE!</v>
      </c>
      <c r="S43" s="470" t="e">
        <f>IF(S$5&gt;0,(INDEX(A_Aufgaben,(S$5-Arbeitszeit!$A$6+1),(2*(ROW()-ROW(A_Aufgabendatum))-1))),"")</f>
        <v>#VALUE!</v>
      </c>
      <c r="T43" s="471" t="e">
        <f>IF(T$5&gt;0,(INDEX(A_Aufgaben,(T$5-Arbeitszeit!$A$6+1),(2*(ROW()-ROW(A_Aufgabendatum))-1))),"")</f>
        <v>#VALUE!</v>
      </c>
      <c r="U43" s="470" t="e">
        <f>IF(U$5&gt;0,(INDEX(A_Aufgaben,(U$5-Arbeitszeit!$A$6+1),(2*(ROW()-ROW(A_Aufgabendatum))-1))),"")</f>
        <v>#VALUE!</v>
      </c>
      <c r="V43" s="471" t="e">
        <f>IF(V$5&gt;0,(INDEX(A_Aufgaben,(V$5-Arbeitszeit!$A$6+1),(2*(ROW()-ROW(A_Aufgabendatum))-1))),"")</f>
        <v>#VALUE!</v>
      </c>
      <c r="W43" s="470" t="e">
        <f>IF(W$5&gt;0,(INDEX(A_Aufgaben,(W$5-Arbeitszeit!$A$6+1),(2*(ROW()-ROW(A_Aufgabendatum))-1))),"")</f>
        <v>#VALUE!</v>
      </c>
      <c r="X43" s="471" t="e">
        <f>IF(X$5&gt;0,(INDEX(A_Aufgaben,(X$5-Arbeitszeit!$A$6+1),(2*(ROW()-ROW(A_Aufgabendatum))-1))),"")</f>
        <v>#VALUE!</v>
      </c>
      <c r="Y43" s="470" t="e">
        <f>IF(Y$5&gt;0,(INDEX(A_Aufgaben,(Y$5-Arbeitszeit!$A$6+1),(2*(ROW()-ROW(A_Aufgabendatum))-1))),"")</f>
        <v>#VALUE!</v>
      </c>
      <c r="Z43" s="471" t="e">
        <f>IF(Z$5&gt;0,(INDEX(A_Aufgaben,(Z$5-Arbeitszeit!$A$6+1),(2*(ROW()-ROW(A_Aufgabendatum))-1))),"")</f>
        <v>#VALUE!</v>
      </c>
      <c r="AA43" s="470" t="e">
        <f>IF(AA$5&gt;0,(INDEX(A_Aufgaben,(AA$5-Arbeitszeit!$A$6+1),(2*(ROW()-ROW(A_Aufgabendatum))-1))),"")</f>
        <v>#VALUE!</v>
      </c>
      <c r="AB43" s="471" t="e">
        <f>IF(AB$5&gt;0,(INDEX(A_Aufgaben,(AB$5-Arbeitszeit!$A$6+1),(2*(ROW()-ROW(A_Aufgabendatum))-1))),"")</f>
        <v>#VALUE!</v>
      </c>
      <c r="AC43" s="470" t="e">
        <f>IF(AC$5&gt;0,(INDEX(A_Aufgaben,(AC$5-Arbeitszeit!$A$6+1),(2*(ROW()-ROW(A_Aufgabendatum))-1))),"")</f>
        <v>#VALUE!</v>
      </c>
      <c r="AD43" s="471" t="e">
        <f>IF(AD$5&gt;0,(INDEX(A_Aufgaben,(AD$5-Arbeitszeit!$A$6+1),(2*(ROW()-ROW(A_Aufgabendatum))-1))),"")</f>
        <v>#VALUE!</v>
      </c>
      <c r="AE43" s="470" t="e">
        <f>IF(AE$5&gt;0,(INDEX(A_Aufgaben,(AE$5-Arbeitszeit!$A$6+1),(2*(ROW()-ROW(A_Aufgabendatum))-1))),"")</f>
        <v>#VALUE!</v>
      </c>
      <c r="AF43" s="471" t="e">
        <f>IF(AF$5&gt;0,(INDEX(A_Aufgaben,(AF$5-Arbeitszeit!$A$6+1),(2*(ROW()-ROW(A_Aufgabendatum))-1))),"")</f>
        <v>#VALUE!</v>
      </c>
      <c r="AG43" s="470" t="e">
        <f>IF(AG$5&gt;0,(INDEX(A_Aufgaben,(AG$5-Arbeitszeit!$A$6+1),(2*(ROW()-ROW(A_Aufgabendatum))-1))),"")</f>
        <v>#VALUE!</v>
      </c>
      <c r="AH43" s="479" t="e">
        <f t="shared" si="5"/>
        <v>#VALUE!</v>
      </c>
      <c r="AI43" s="3"/>
    </row>
    <row r="44" spans="2:35">
      <c r="B44" s="469" t="str">
        <f>Aufgaben!CE3</f>
        <v>Aufgabe 36</v>
      </c>
      <c r="C44" s="470" t="e">
        <f>IF(C$5&gt;0,(INDEX(A_Aufgaben,(C$5-Arbeitszeit!$A$6+1),(2*(ROW()-ROW(A_Aufgabendatum))-1))),"")</f>
        <v>#VALUE!</v>
      </c>
      <c r="D44" s="471" t="e">
        <f>IF(D$5&gt;0,(INDEX(A_Aufgaben,(D$5-Arbeitszeit!$A$6+1),(2*(ROW()-ROW(A_Aufgabendatum))-1))),"")</f>
        <v>#VALUE!</v>
      </c>
      <c r="E44" s="470" t="e">
        <f>IF(E$5&gt;0,(INDEX(A_Aufgaben,(E$5-Arbeitszeit!$A$6+1),(2*(ROW()-ROW(A_Aufgabendatum))-1))),"")</f>
        <v>#VALUE!</v>
      </c>
      <c r="F44" s="471" t="e">
        <f>IF(F$5&gt;0,(INDEX(A_Aufgaben,(F$5-Arbeitszeit!$A$6+1),(2*(ROW()-ROW(A_Aufgabendatum))-1))),"")</f>
        <v>#VALUE!</v>
      </c>
      <c r="G44" s="470" t="e">
        <f>IF(G$5&gt;0,(INDEX(A_Aufgaben,(G$5-Arbeitszeit!$A$6+1),(2*(ROW()-ROW(A_Aufgabendatum))-1))),"")</f>
        <v>#VALUE!</v>
      </c>
      <c r="H44" s="471" t="e">
        <f>IF(H$5&gt;0,(INDEX(A_Aufgaben,(H$5-Arbeitszeit!$A$6+1),(2*(ROW()-ROW(A_Aufgabendatum))-1))),"")</f>
        <v>#VALUE!</v>
      </c>
      <c r="I44" s="470" t="e">
        <f>IF(I$5&gt;0,(INDEX(A_Aufgaben,(I$5-Arbeitszeit!$A$6+1),(2*(ROW()-ROW(A_Aufgabendatum))-1))),"")</f>
        <v>#VALUE!</v>
      </c>
      <c r="J44" s="471" t="e">
        <f>IF(J$5&gt;0,(INDEX(A_Aufgaben,(J$5-Arbeitszeit!$A$6+1),(2*(ROW()-ROW(A_Aufgabendatum))-1))),"")</f>
        <v>#VALUE!</v>
      </c>
      <c r="K44" s="470" t="e">
        <f>IF(K$5&gt;0,(INDEX(A_Aufgaben,(K$5-Arbeitszeit!$A$6+1),(2*(ROW()-ROW(A_Aufgabendatum))-1))),"")</f>
        <v>#VALUE!</v>
      </c>
      <c r="L44" s="471" t="e">
        <f>IF(L$5&gt;0,(INDEX(A_Aufgaben,(L$5-Arbeitszeit!$A$6+1),(2*(ROW()-ROW(A_Aufgabendatum))-1))),"")</f>
        <v>#VALUE!</v>
      </c>
      <c r="M44" s="470" t="e">
        <f>IF(M$5&gt;0,(INDEX(A_Aufgaben,(M$5-Arbeitszeit!$A$6+1),(2*(ROW()-ROW(A_Aufgabendatum))-1))),"")</f>
        <v>#VALUE!</v>
      </c>
      <c r="N44" s="471" t="e">
        <f>IF(N$5&gt;0,(INDEX(A_Aufgaben,(N$5-Arbeitszeit!$A$6+1),(2*(ROW()-ROW(A_Aufgabendatum))-1))),"")</f>
        <v>#VALUE!</v>
      </c>
      <c r="O44" s="470" t="e">
        <f>IF(O$5&gt;0,(INDEX(A_Aufgaben,(O$5-Arbeitszeit!$A$6+1),(2*(ROW()-ROW(A_Aufgabendatum))-1))),"")</f>
        <v>#VALUE!</v>
      </c>
      <c r="P44" s="471" t="e">
        <f>IF(P$5&gt;0,(INDEX(A_Aufgaben,(P$5-Arbeitszeit!$A$6+1),(2*(ROW()-ROW(A_Aufgabendatum))-1))),"")</f>
        <v>#VALUE!</v>
      </c>
      <c r="Q44" s="470" t="e">
        <f>IF(Q$5&gt;0,(INDEX(A_Aufgaben,(Q$5-Arbeitszeit!$A$6+1),(2*(ROW()-ROW(A_Aufgabendatum))-1))),"")</f>
        <v>#VALUE!</v>
      </c>
      <c r="R44" s="471" t="e">
        <f>IF(R$5&gt;0,(INDEX(A_Aufgaben,(R$5-Arbeitszeit!$A$6+1),(2*(ROW()-ROW(A_Aufgabendatum))-1))),"")</f>
        <v>#VALUE!</v>
      </c>
      <c r="S44" s="470" t="e">
        <f>IF(S$5&gt;0,(INDEX(A_Aufgaben,(S$5-Arbeitszeit!$A$6+1),(2*(ROW()-ROW(A_Aufgabendatum))-1))),"")</f>
        <v>#VALUE!</v>
      </c>
      <c r="T44" s="471" t="e">
        <f>IF(T$5&gt;0,(INDEX(A_Aufgaben,(T$5-Arbeitszeit!$A$6+1),(2*(ROW()-ROW(A_Aufgabendatum))-1))),"")</f>
        <v>#VALUE!</v>
      </c>
      <c r="U44" s="470" t="e">
        <f>IF(U$5&gt;0,(INDEX(A_Aufgaben,(U$5-Arbeitszeit!$A$6+1),(2*(ROW()-ROW(A_Aufgabendatum))-1))),"")</f>
        <v>#VALUE!</v>
      </c>
      <c r="V44" s="471" t="e">
        <f>IF(V$5&gt;0,(INDEX(A_Aufgaben,(V$5-Arbeitszeit!$A$6+1),(2*(ROW()-ROW(A_Aufgabendatum))-1))),"")</f>
        <v>#VALUE!</v>
      </c>
      <c r="W44" s="470" t="e">
        <f>IF(W$5&gt;0,(INDEX(A_Aufgaben,(W$5-Arbeitszeit!$A$6+1),(2*(ROW()-ROW(A_Aufgabendatum))-1))),"")</f>
        <v>#VALUE!</v>
      </c>
      <c r="X44" s="471" t="e">
        <f>IF(X$5&gt;0,(INDEX(A_Aufgaben,(X$5-Arbeitszeit!$A$6+1),(2*(ROW()-ROW(A_Aufgabendatum))-1))),"")</f>
        <v>#VALUE!</v>
      </c>
      <c r="Y44" s="470" t="e">
        <f>IF(Y$5&gt;0,(INDEX(A_Aufgaben,(Y$5-Arbeitszeit!$A$6+1),(2*(ROW()-ROW(A_Aufgabendatum))-1))),"")</f>
        <v>#VALUE!</v>
      </c>
      <c r="Z44" s="471" t="e">
        <f>IF(Z$5&gt;0,(INDEX(A_Aufgaben,(Z$5-Arbeitszeit!$A$6+1),(2*(ROW()-ROW(A_Aufgabendatum))-1))),"")</f>
        <v>#VALUE!</v>
      </c>
      <c r="AA44" s="470" t="e">
        <f>IF(AA$5&gt;0,(INDEX(A_Aufgaben,(AA$5-Arbeitszeit!$A$6+1),(2*(ROW()-ROW(A_Aufgabendatum))-1))),"")</f>
        <v>#VALUE!</v>
      </c>
      <c r="AB44" s="471" t="e">
        <f>IF(AB$5&gt;0,(INDEX(A_Aufgaben,(AB$5-Arbeitszeit!$A$6+1),(2*(ROW()-ROW(A_Aufgabendatum))-1))),"")</f>
        <v>#VALUE!</v>
      </c>
      <c r="AC44" s="470" t="e">
        <f>IF(AC$5&gt;0,(INDEX(A_Aufgaben,(AC$5-Arbeitszeit!$A$6+1),(2*(ROW()-ROW(A_Aufgabendatum))-1))),"")</f>
        <v>#VALUE!</v>
      </c>
      <c r="AD44" s="471" t="e">
        <f>IF(AD$5&gt;0,(INDEX(A_Aufgaben,(AD$5-Arbeitszeit!$A$6+1),(2*(ROW()-ROW(A_Aufgabendatum))-1))),"")</f>
        <v>#VALUE!</v>
      </c>
      <c r="AE44" s="470" t="e">
        <f>IF(AE$5&gt;0,(INDEX(A_Aufgaben,(AE$5-Arbeitszeit!$A$6+1),(2*(ROW()-ROW(A_Aufgabendatum))-1))),"")</f>
        <v>#VALUE!</v>
      </c>
      <c r="AF44" s="471" t="e">
        <f>IF(AF$5&gt;0,(INDEX(A_Aufgaben,(AF$5-Arbeitszeit!$A$6+1),(2*(ROW()-ROW(A_Aufgabendatum))-1))),"")</f>
        <v>#VALUE!</v>
      </c>
      <c r="AG44" s="470" t="e">
        <f>IF(AG$5&gt;0,(INDEX(A_Aufgaben,(AG$5-Arbeitszeit!$A$6+1),(2*(ROW()-ROW(A_Aufgabendatum))-1))),"")</f>
        <v>#VALUE!</v>
      </c>
      <c r="AH44" s="479" t="e">
        <f t="shared" si="5"/>
        <v>#VALUE!</v>
      </c>
      <c r="AI44" s="3"/>
    </row>
    <row r="45" spans="2:35">
      <c r="B45" s="469" t="str">
        <f>Aufgaben!CG3</f>
        <v>Aufgabe 37</v>
      </c>
      <c r="C45" s="470" t="e">
        <f>IF(C$5&gt;0,(INDEX(A_Aufgaben,(C$5-Arbeitszeit!$A$6+1),(2*(ROW()-ROW(A_Aufgabendatum))-1))),"")</f>
        <v>#VALUE!</v>
      </c>
      <c r="D45" s="471" t="e">
        <f>IF(D$5&gt;0,(INDEX(A_Aufgaben,(D$5-Arbeitszeit!$A$6+1),(2*(ROW()-ROW(A_Aufgabendatum))-1))),"")</f>
        <v>#VALUE!</v>
      </c>
      <c r="E45" s="470" t="e">
        <f>IF(E$5&gt;0,(INDEX(A_Aufgaben,(E$5-Arbeitszeit!$A$6+1),(2*(ROW()-ROW(A_Aufgabendatum))-1))),"")</f>
        <v>#VALUE!</v>
      </c>
      <c r="F45" s="471" t="e">
        <f>IF(F$5&gt;0,(INDEX(A_Aufgaben,(F$5-Arbeitszeit!$A$6+1),(2*(ROW()-ROW(A_Aufgabendatum))-1))),"")</f>
        <v>#VALUE!</v>
      </c>
      <c r="G45" s="470" t="e">
        <f>IF(G$5&gt;0,(INDEX(A_Aufgaben,(G$5-Arbeitszeit!$A$6+1),(2*(ROW()-ROW(A_Aufgabendatum))-1))),"")</f>
        <v>#VALUE!</v>
      </c>
      <c r="H45" s="471" t="e">
        <f>IF(H$5&gt;0,(INDEX(A_Aufgaben,(H$5-Arbeitszeit!$A$6+1),(2*(ROW()-ROW(A_Aufgabendatum))-1))),"")</f>
        <v>#VALUE!</v>
      </c>
      <c r="I45" s="470" t="e">
        <f>IF(I$5&gt;0,(INDEX(A_Aufgaben,(I$5-Arbeitszeit!$A$6+1),(2*(ROW()-ROW(A_Aufgabendatum))-1))),"")</f>
        <v>#VALUE!</v>
      </c>
      <c r="J45" s="471" t="e">
        <f>IF(J$5&gt;0,(INDEX(A_Aufgaben,(J$5-Arbeitszeit!$A$6+1),(2*(ROW()-ROW(A_Aufgabendatum))-1))),"")</f>
        <v>#VALUE!</v>
      </c>
      <c r="K45" s="470" t="e">
        <f>IF(K$5&gt;0,(INDEX(A_Aufgaben,(K$5-Arbeitszeit!$A$6+1),(2*(ROW()-ROW(A_Aufgabendatum))-1))),"")</f>
        <v>#VALUE!</v>
      </c>
      <c r="L45" s="471" t="e">
        <f>IF(L$5&gt;0,(INDEX(A_Aufgaben,(L$5-Arbeitszeit!$A$6+1),(2*(ROW()-ROW(A_Aufgabendatum))-1))),"")</f>
        <v>#VALUE!</v>
      </c>
      <c r="M45" s="470" t="e">
        <f>IF(M$5&gt;0,(INDEX(A_Aufgaben,(M$5-Arbeitszeit!$A$6+1),(2*(ROW()-ROW(A_Aufgabendatum))-1))),"")</f>
        <v>#VALUE!</v>
      </c>
      <c r="N45" s="471" t="e">
        <f>IF(N$5&gt;0,(INDEX(A_Aufgaben,(N$5-Arbeitszeit!$A$6+1),(2*(ROW()-ROW(A_Aufgabendatum))-1))),"")</f>
        <v>#VALUE!</v>
      </c>
      <c r="O45" s="470" t="e">
        <f>IF(O$5&gt;0,(INDEX(A_Aufgaben,(O$5-Arbeitszeit!$A$6+1),(2*(ROW()-ROW(A_Aufgabendatum))-1))),"")</f>
        <v>#VALUE!</v>
      </c>
      <c r="P45" s="471" t="e">
        <f>IF(P$5&gt;0,(INDEX(A_Aufgaben,(P$5-Arbeitszeit!$A$6+1),(2*(ROW()-ROW(A_Aufgabendatum))-1))),"")</f>
        <v>#VALUE!</v>
      </c>
      <c r="Q45" s="470" t="e">
        <f>IF(Q$5&gt;0,(INDEX(A_Aufgaben,(Q$5-Arbeitszeit!$A$6+1),(2*(ROW()-ROW(A_Aufgabendatum))-1))),"")</f>
        <v>#VALUE!</v>
      </c>
      <c r="R45" s="471" t="e">
        <f>IF(R$5&gt;0,(INDEX(A_Aufgaben,(R$5-Arbeitszeit!$A$6+1),(2*(ROW()-ROW(A_Aufgabendatum))-1))),"")</f>
        <v>#VALUE!</v>
      </c>
      <c r="S45" s="470" t="e">
        <f>IF(S$5&gt;0,(INDEX(A_Aufgaben,(S$5-Arbeitszeit!$A$6+1),(2*(ROW()-ROW(A_Aufgabendatum))-1))),"")</f>
        <v>#VALUE!</v>
      </c>
      <c r="T45" s="471" t="e">
        <f>IF(T$5&gt;0,(INDEX(A_Aufgaben,(T$5-Arbeitszeit!$A$6+1),(2*(ROW()-ROW(A_Aufgabendatum))-1))),"")</f>
        <v>#VALUE!</v>
      </c>
      <c r="U45" s="470" t="e">
        <f>IF(U$5&gt;0,(INDEX(A_Aufgaben,(U$5-Arbeitszeit!$A$6+1),(2*(ROW()-ROW(A_Aufgabendatum))-1))),"")</f>
        <v>#VALUE!</v>
      </c>
      <c r="V45" s="471" t="e">
        <f>IF(V$5&gt;0,(INDEX(A_Aufgaben,(V$5-Arbeitszeit!$A$6+1),(2*(ROW()-ROW(A_Aufgabendatum))-1))),"")</f>
        <v>#VALUE!</v>
      </c>
      <c r="W45" s="470" t="e">
        <f>IF(W$5&gt;0,(INDEX(A_Aufgaben,(W$5-Arbeitszeit!$A$6+1),(2*(ROW()-ROW(A_Aufgabendatum))-1))),"")</f>
        <v>#VALUE!</v>
      </c>
      <c r="X45" s="471" t="e">
        <f>IF(X$5&gt;0,(INDEX(A_Aufgaben,(X$5-Arbeitszeit!$A$6+1),(2*(ROW()-ROW(A_Aufgabendatum))-1))),"")</f>
        <v>#VALUE!</v>
      </c>
      <c r="Y45" s="470" t="e">
        <f>IF(Y$5&gt;0,(INDEX(A_Aufgaben,(Y$5-Arbeitszeit!$A$6+1),(2*(ROW()-ROW(A_Aufgabendatum))-1))),"")</f>
        <v>#VALUE!</v>
      </c>
      <c r="Z45" s="471" t="e">
        <f>IF(Z$5&gt;0,(INDEX(A_Aufgaben,(Z$5-Arbeitszeit!$A$6+1),(2*(ROW()-ROW(A_Aufgabendatum))-1))),"")</f>
        <v>#VALUE!</v>
      </c>
      <c r="AA45" s="470" t="e">
        <f>IF(AA$5&gt;0,(INDEX(A_Aufgaben,(AA$5-Arbeitszeit!$A$6+1),(2*(ROW()-ROW(A_Aufgabendatum))-1))),"")</f>
        <v>#VALUE!</v>
      </c>
      <c r="AB45" s="471" t="e">
        <f>IF(AB$5&gt;0,(INDEX(A_Aufgaben,(AB$5-Arbeitszeit!$A$6+1),(2*(ROW()-ROW(A_Aufgabendatum))-1))),"")</f>
        <v>#VALUE!</v>
      </c>
      <c r="AC45" s="470" t="e">
        <f>IF(AC$5&gt;0,(INDEX(A_Aufgaben,(AC$5-Arbeitszeit!$A$6+1),(2*(ROW()-ROW(A_Aufgabendatum))-1))),"")</f>
        <v>#VALUE!</v>
      </c>
      <c r="AD45" s="471" t="e">
        <f>IF(AD$5&gt;0,(INDEX(A_Aufgaben,(AD$5-Arbeitszeit!$A$6+1),(2*(ROW()-ROW(A_Aufgabendatum))-1))),"")</f>
        <v>#VALUE!</v>
      </c>
      <c r="AE45" s="470" t="e">
        <f>IF(AE$5&gt;0,(INDEX(A_Aufgaben,(AE$5-Arbeitszeit!$A$6+1),(2*(ROW()-ROW(A_Aufgabendatum))-1))),"")</f>
        <v>#VALUE!</v>
      </c>
      <c r="AF45" s="471" t="e">
        <f>IF(AF$5&gt;0,(INDEX(A_Aufgaben,(AF$5-Arbeitszeit!$A$6+1),(2*(ROW()-ROW(A_Aufgabendatum))-1))),"")</f>
        <v>#VALUE!</v>
      </c>
      <c r="AG45" s="470" t="e">
        <f>IF(AG$5&gt;0,(INDEX(A_Aufgaben,(AG$5-Arbeitszeit!$A$6+1),(2*(ROW()-ROW(A_Aufgabendatum))-1))),"")</f>
        <v>#VALUE!</v>
      </c>
      <c r="AH45" s="479" t="e">
        <f t="shared" si="5"/>
        <v>#VALUE!</v>
      </c>
      <c r="AI45" s="3"/>
    </row>
    <row r="46" spans="2:35">
      <c r="B46" s="469" t="str">
        <f>Aufgaben!CI3</f>
        <v>Aufgabe 38</v>
      </c>
      <c r="C46" s="470" t="e">
        <f>IF(C$5&gt;0,(INDEX(A_Aufgaben,(C$5-Arbeitszeit!$A$6+1),(2*(ROW()-ROW(A_Aufgabendatum))-1))),"")</f>
        <v>#VALUE!</v>
      </c>
      <c r="D46" s="471" t="e">
        <f>IF(D$5&gt;0,(INDEX(A_Aufgaben,(D$5-Arbeitszeit!$A$6+1),(2*(ROW()-ROW(A_Aufgabendatum))-1))),"")</f>
        <v>#VALUE!</v>
      </c>
      <c r="E46" s="470" t="e">
        <f>IF(E$5&gt;0,(INDEX(A_Aufgaben,(E$5-Arbeitszeit!$A$6+1),(2*(ROW()-ROW(A_Aufgabendatum))-1))),"")</f>
        <v>#VALUE!</v>
      </c>
      <c r="F46" s="471" t="e">
        <f>IF(F$5&gt;0,(INDEX(A_Aufgaben,(F$5-Arbeitszeit!$A$6+1),(2*(ROW()-ROW(A_Aufgabendatum))-1))),"")</f>
        <v>#VALUE!</v>
      </c>
      <c r="G46" s="470" t="e">
        <f>IF(G$5&gt;0,(INDEX(A_Aufgaben,(G$5-Arbeitszeit!$A$6+1),(2*(ROW()-ROW(A_Aufgabendatum))-1))),"")</f>
        <v>#VALUE!</v>
      </c>
      <c r="H46" s="471" t="e">
        <f>IF(H$5&gt;0,(INDEX(A_Aufgaben,(H$5-Arbeitszeit!$A$6+1),(2*(ROW()-ROW(A_Aufgabendatum))-1))),"")</f>
        <v>#VALUE!</v>
      </c>
      <c r="I46" s="470" t="e">
        <f>IF(I$5&gt;0,(INDEX(A_Aufgaben,(I$5-Arbeitszeit!$A$6+1),(2*(ROW()-ROW(A_Aufgabendatum))-1))),"")</f>
        <v>#VALUE!</v>
      </c>
      <c r="J46" s="471" t="e">
        <f>IF(J$5&gt;0,(INDEX(A_Aufgaben,(J$5-Arbeitszeit!$A$6+1),(2*(ROW()-ROW(A_Aufgabendatum))-1))),"")</f>
        <v>#VALUE!</v>
      </c>
      <c r="K46" s="470" t="e">
        <f>IF(K$5&gt;0,(INDEX(A_Aufgaben,(K$5-Arbeitszeit!$A$6+1),(2*(ROW()-ROW(A_Aufgabendatum))-1))),"")</f>
        <v>#VALUE!</v>
      </c>
      <c r="L46" s="471" t="e">
        <f>IF(L$5&gt;0,(INDEX(A_Aufgaben,(L$5-Arbeitszeit!$A$6+1),(2*(ROW()-ROW(A_Aufgabendatum))-1))),"")</f>
        <v>#VALUE!</v>
      </c>
      <c r="M46" s="470" t="e">
        <f>IF(M$5&gt;0,(INDEX(A_Aufgaben,(M$5-Arbeitszeit!$A$6+1),(2*(ROW()-ROW(A_Aufgabendatum))-1))),"")</f>
        <v>#VALUE!</v>
      </c>
      <c r="N46" s="471" t="e">
        <f>IF(N$5&gt;0,(INDEX(A_Aufgaben,(N$5-Arbeitszeit!$A$6+1),(2*(ROW()-ROW(A_Aufgabendatum))-1))),"")</f>
        <v>#VALUE!</v>
      </c>
      <c r="O46" s="470" t="e">
        <f>IF(O$5&gt;0,(INDEX(A_Aufgaben,(O$5-Arbeitszeit!$A$6+1),(2*(ROW()-ROW(A_Aufgabendatum))-1))),"")</f>
        <v>#VALUE!</v>
      </c>
      <c r="P46" s="471" t="e">
        <f>IF(P$5&gt;0,(INDEX(A_Aufgaben,(P$5-Arbeitszeit!$A$6+1),(2*(ROW()-ROW(A_Aufgabendatum))-1))),"")</f>
        <v>#VALUE!</v>
      </c>
      <c r="Q46" s="470" t="e">
        <f>IF(Q$5&gt;0,(INDEX(A_Aufgaben,(Q$5-Arbeitszeit!$A$6+1),(2*(ROW()-ROW(A_Aufgabendatum))-1))),"")</f>
        <v>#VALUE!</v>
      </c>
      <c r="R46" s="471" t="e">
        <f>IF(R$5&gt;0,(INDEX(A_Aufgaben,(R$5-Arbeitszeit!$A$6+1),(2*(ROW()-ROW(A_Aufgabendatum))-1))),"")</f>
        <v>#VALUE!</v>
      </c>
      <c r="S46" s="470" t="e">
        <f>IF(S$5&gt;0,(INDEX(A_Aufgaben,(S$5-Arbeitszeit!$A$6+1),(2*(ROW()-ROW(A_Aufgabendatum))-1))),"")</f>
        <v>#VALUE!</v>
      </c>
      <c r="T46" s="471" t="e">
        <f>IF(T$5&gt;0,(INDEX(A_Aufgaben,(T$5-Arbeitszeit!$A$6+1),(2*(ROW()-ROW(A_Aufgabendatum))-1))),"")</f>
        <v>#VALUE!</v>
      </c>
      <c r="U46" s="470" t="e">
        <f>IF(U$5&gt;0,(INDEX(A_Aufgaben,(U$5-Arbeitszeit!$A$6+1),(2*(ROW()-ROW(A_Aufgabendatum))-1))),"")</f>
        <v>#VALUE!</v>
      </c>
      <c r="V46" s="471" t="e">
        <f>IF(V$5&gt;0,(INDEX(A_Aufgaben,(V$5-Arbeitszeit!$A$6+1),(2*(ROW()-ROW(A_Aufgabendatum))-1))),"")</f>
        <v>#VALUE!</v>
      </c>
      <c r="W46" s="470" t="e">
        <f>IF(W$5&gt;0,(INDEX(A_Aufgaben,(W$5-Arbeitszeit!$A$6+1),(2*(ROW()-ROW(A_Aufgabendatum))-1))),"")</f>
        <v>#VALUE!</v>
      </c>
      <c r="X46" s="471" t="e">
        <f>IF(X$5&gt;0,(INDEX(A_Aufgaben,(X$5-Arbeitszeit!$A$6+1),(2*(ROW()-ROW(A_Aufgabendatum))-1))),"")</f>
        <v>#VALUE!</v>
      </c>
      <c r="Y46" s="470" t="e">
        <f>IF(Y$5&gt;0,(INDEX(A_Aufgaben,(Y$5-Arbeitszeit!$A$6+1),(2*(ROW()-ROW(A_Aufgabendatum))-1))),"")</f>
        <v>#VALUE!</v>
      </c>
      <c r="Z46" s="471" t="e">
        <f>IF(Z$5&gt;0,(INDEX(A_Aufgaben,(Z$5-Arbeitszeit!$A$6+1),(2*(ROW()-ROW(A_Aufgabendatum))-1))),"")</f>
        <v>#VALUE!</v>
      </c>
      <c r="AA46" s="470" t="e">
        <f>IF(AA$5&gt;0,(INDEX(A_Aufgaben,(AA$5-Arbeitszeit!$A$6+1),(2*(ROW()-ROW(A_Aufgabendatum))-1))),"")</f>
        <v>#VALUE!</v>
      </c>
      <c r="AB46" s="471" t="e">
        <f>IF(AB$5&gt;0,(INDEX(A_Aufgaben,(AB$5-Arbeitszeit!$A$6+1),(2*(ROW()-ROW(A_Aufgabendatum))-1))),"")</f>
        <v>#VALUE!</v>
      </c>
      <c r="AC46" s="470" t="e">
        <f>IF(AC$5&gt;0,(INDEX(A_Aufgaben,(AC$5-Arbeitszeit!$A$6+1),(2*(ROW()-ROW(A_Aufgabendatum))-1))),"")</f>
        <v>#VALUE!</v>
      </c>
      <c r="AD46" s="471" t="e">
        <f>IF(AD$5&gt;0,(INDEX(A_Aufgaben,(AD$5-Arbeitszeit!$A$6+1),(2*(ROW()-ROW(A_Aufgabendatum))-1))),"")</f>
        <v>#VALUE!</v>
      </c>
      <c r="AE46" s="470" t="e">
        <f>IF(AE$5&gt;0,(INDEX(A_Aufgaben,(AE$5-Arbeitszeit!$A$6+1),(2*(ROW()-ROW(A_Aufgabendatum))-1))),"")</f>
        <v>#VALUE!</v>
      </c>
      <c r="AF46" s="471" t="e">
        <f>IF(AF$5&gt;0,(INDEX(A_Aufgaben,(AF$5-Arbeitszeit!$A$6+1),(2*(ROW()-ROW(A_Aufgabendatum))-1))),"")</f>
        <v>#VALUE!</v>
      </c>
      <c r="AG46" s="470" t="e">
        <f>IF(AG$5&gt;0,(INDEX(A_Aufgaben,(AG$5-Arbeitszeit!$A$6+1),(2*(ROW()-ROW(A_Aufgabendatum))-1))),"")</f>
        <v>#VALUE!</v>
      </c>
      <c r="AH46" s="479" t="e">
        <f t="shared" si="5"/>
        <v>#VALUE!</v>
      </c>
      <c r="AI46" s="3"/>
    </row>
    <row r="47" spans="2:35">
      <c r="B47" s="469" t="str">
        <f>Aufgaben!CK3</f>
        <v>Aufgabe 39</v>
      </c>
      <c r="C47" s="470" t="e">
        <f>IF(C$5&gt;0,(INDEX(A_Aufgaben,(C$5-Arbeitszeit!$A$6+1),(2*(ROW()-ROW(A_Aufgabendatum))-1))),"")</f>
        <v>#VALUE!</v>
      </c>
      <c r="D47" s="471" t="e">
        <f>IF(D$5&gt;0,(INDEX(A_Aufgaben,(D$5-Arbeitszeit!$A$6+1),(2*(ROW()-ROW(A_Aufgabendatum))-1))),"")</f>
        <v>#VALUE!</v>
      </c>
      <c r="E47" s="470" t="e">
        <f>IF(E$5&gt;0,(INDEX(A_Aufgaben,(E$5-Arbeitszeit!$A$6+1),(2*(ROW()-ROW(A_Aufgabendatum))-1))),"")</f>
        <v>#VALUE!</v>
      </c>
      <c r="F47" s="471" t="e">
        <f>IF(F$5&gt;0,(INDEX(A_Aufgaben,(F$5-Arbeitszeit!$A$6+1),(2*(ROW()-ROW(A_Aufgabendatum))-1))),"")</f>
        <v>#VALUE!</v>
      </c>
      <c r="G47" s="470" t="e">
        <f>IF(G$5&gt;0,(INDEX(A_Aufgaben,(G$5-Arbeitszeit!$A$6+1),(2*(ROW()-ROW(A_Aufgabendatum))-1))),"")</f>
        <v>#VALUE!</v>
      </c>
      <c r="H47" s="471" t="e">
        <f>IF(H$5&gt;0,(INDEX(A_Aufgaben,(H$5-Arbeitszeit!$A$6+1),(2*(ROW()-ROW(A_Aufgabendatum))-1))),"")</f>
        <v>#VALUE!</v>
      </c>
      <c r="I47" s="470" t="e">
        <f>IF(I$5&gt;0,(INDEX(A_Aufgaben,(I$5-Arbeitszeit!$A$6+1),(2*(ROW()-ROW(A_Aufgabendatum))-1))),"")</f>
        <v>#VALUE!</v>
      </c>
      <c r="J47" s="471" t="e">
        <f>IF(J$5&gt;0,(INDEX(A_Aufgaben,(J$5-Arbeitszeit!$A$6+1),(2*(ROW()-ROW(A_Aufgabendatum))-1))),"")</f>
        <v>#VALUE!</v>
      </c>
      <c r="K47" s="470" t="e">
        <f>IF(K$5&gt;0,(INDEX(A_Aufgaben,(K$5-Arbeitszeit!$A$6+1),(2*(ROW()-ROW(A_Aufgabendatum))-1))),"")</f>
        <v>#VALUE!</v>
      </c>
      <c r="L47" s="471" t="e">
        <f>IF(L$5&gt;0,(INDEX(A_Aufgaben,(L$5-Arbeitszeit!$A$6+1),(2*(ROW()-ROW(A_Aufgabendatum))-1))),"")</f>
        <v>#VALUE!</v>
      </c>
      <c r="M47" s="470" t="e">
        <f>IF(M$5&gt;0,(INDEX(A_Aufgaben,(M$5-Arbeitszeit!$A$6+1),(2*(ROW()-ROW(A_Aufgabendatum))-1))),"")</f>
        <v>#VALUE!</v>
      </c>
      <c r="N47" s="471" t="e">
        <f>IF(N$5&gt;0,(INDEX(A_Aufgaben,(N$5-Arbeitszeit!$A$6+1),(2*(ROW()-ROW(A_Aufgabendatum))-1))),"")</f>
        <v>#VALUE!</v>
      </c>
      <c r="O47" s="470" t="e">
        <f>IF(O$5&gt;0,(INDEX(A_Aufgaben,(O$5-Arbeitszeit!$A$6+1),(2*(ROW()-ROW(A_Aufgabendatum))-1))),"")</f>
        <v>#VALUE!</v>
      </c>
      <c r="P47" s="471" t="e">
        <f>IF(P$5&gt;0,(INDEX(A_Aufgaben,(P$5-Arbeitszeit!$A$6+1),(2*(ROW()-ROW(A_Aufgabendatum))-1))),"")</f>
        <v>#VALUE!</v>
      </c>
      <c r="Q47" s="470" t="e">
        <f>IF(Q$5&gt;0,(INDEX(A_Aufgaben,(Q$5-Arbeitszeit!$A$6+1),(2*(ROW()-ROW(A_Aufgabendatum))-1))),"")</f>
        <v>#VALUE!</v>
      </c>
      <c r="R47" s="471" t="e">
        <f>IF(R$5&gt;0,(INDEX(A_Aufgaben,(R$5-Arbeitszeit!$A$6+1),(2*(ROW()-ROW(A_Aufgabendatum))-1))),"")</f>
        <v>#VALUE!</v>
      </c>
      <c r="S47" s="470" t="e">
        <f>IF(S$5&gt;0,(INDEX(A_Aufgaben,(S$5-Arbeitszeit!$A$6+1),(2*(ROW()-ROW(A_Aufgabendatum))-1))),"")</f>
        <v>#VALUE!</v>
      </c>
      <c r="T47" s="471" t="e">
        <f>IF(T$5&gt;0,(INDEX(A_Aufgaben,(T$5-Arbeitszeit!$A$6+1),(2*(ROW()-ROW(A_Aufgabendatum))-1))),"")</f>
        <v>#VALUE!</v>
      </c>
      <c r="U47" s="470" t="e">
        <f>IF(U$5&gt;0,(INDEX(A_Aufgaben,(U$5-Arbeitszeit!$A$6+1),(2*(ROW()-ROW(A_Aufgabendatum))-1))),"")</f>
        <v>#VALUE!</v>
      </c>
      <c r="V47" s="471" t="e">
        <f>IF(V$5&gt;0,(INDEX(A_Aufgaben,(V$5-Arbeitszeit!$A$6+1),(2*(ROW()-ROW(A_Aufgabendatum))-1))),"")</f>
        <v>#VALUE!</v>
      </c>
      <c r="W47" s="470" t="e">
        <f>IF(W$5&gt;0,(INDEX(A_Aufgaben,(W$5-Arbeitszeit!$A$6+1),(2*(ROW()-ROW(A_Aufgabendatum))-1))),"")</f>
        <v>#VALUE!</v>
      </c>
      <c r="X47" s="471" t="e">
        <f>IF(X$5&gt;0,(INDEX(A_Aufgaben,(X$5-Arbeitszeit!$A$6+1),(2*(ROW()-ROW(A_Aufgabendatum))-1))),"")</f>
        <v>#VALUE!</v>
      </c>
      <c r="Y47" s="470" t="e">
        <f>IF(Y$5&gt;0,(INDEX(A_Aufgaben,(Y$5-Arbeitszeit!$A$6+1),(2*(ROW()-ROW(A_Aufgabendatum))-1))),"")</f>
        <v>#VALUE!</v>
      </c>
      <c r="Z47" s="471" t="e">
        <f>IF(Z$5&gt;0,(INDEX(A_Aufgaben,(Z$5-Arbeitszeit!$A$6+1),(2*(ROW()-ROW(A_Aufgabendatum))-1))),"")</f>
        <v>#VALUE!</v>
      </c>
      <c r="AA47" s="470" t="e">
        <f>IF(AA$5&gt;0,(INDEX(A_Aufgaben,(AA$5-Arbeitszeit!$A$6+1),(2*(ROW()-ROW(A_Aufgabendatum))-1))),"")</f>
        <v>#VALUE!</v>
      </c>
      <c r="AB47" s="471" t="e">
        <f>IF(AB$5&gt;0,(INDEX(A_Aufgaben,(AB$5-Arbeitszeit!$A$6+1),(2*(ROW()-ROW(A_Aufgabendatum))-1))),"")</f>
        <v>#VALUE!</v>
      </c>
      <c r="AC47" s="470" t="e">
        <f>IF(AC$5&gt;0,(INDEX(A_Aufgaben,(AC$5-Arbeitszeit!$A$6+1),(2*(ROW()-ROW(A_Aufgabendatum))-1))),"")</f>
        <v>#VALUE!</v>
      </c>
      <c r="AD47" s="471" t="e">
        <f>IF(AD$5&gt;0,(INDEX(A_Aufgaben,(AD$5-Arbeitszeit!$A$6+1),(2*(ROW()-ROW(A_Aufgabendatum))-1))),"")</f>
        <v>#VALUE!</v>
      </c>
      <c r="AE47" s="470" t="e">
        <f>IF(AE$5&gt;0,(INDEX(A_Aufgaben,(AE$5-Arbeitszeit!$A$6+1),(2*(ROW()-ROW(A_Aufgabendatum))-1))),"")</f>
        <v>#VALUE!</v>
      </c>
      <c r="AF47" s="471" t="e">
        <f>IF(AF$5&gt;0,(INDEX(A_Aufgaben,(AF$5-Arbeitszeit!$A$6+1),(2*(ROW()-ROW(A_Aufgabendatum))-1))),"")</f>
        <v>#VALUE!</v>
      </c>
      <c r="AG47" s="470" t="e">
        <f>IF(AG$5&gt;0,(INDEX(A_Aufgaben,(AG$5-Arbeitszeit!$A$6+1),(2*(ROW()-ROW(A_Aufgabendatum))-1))),"")</f>
        <v>#VALUE!</v>
      </c>
      <c r="AH47" s="479" t="e">
        <f t="shared" si="5"/>
        <v>#VALUE!</v>
      </c>
      <c r="AI47" s="3"/>
    </row>
    <row r="48" spans="2:35">
      <c r="B48" s="469" t="str">
        <f>Aufgaben!CM3</f>
        <v>Aufgabe 40</v>
      </c>
      <c r="C48" s="470" t="e">
        <f>IF(C$5&gt;0,(INDEX(A_Aufgaben,(C$5-Arbeitszeit!$A$6+1),(2*(ROW()-ROW(A_Aufgabendatum))-1))),"")</f>
        <v>#VALUE!</v>
      </c>
      <c r="D48" s="471" t="e">
        <f>IF(D$5&gt;0,(INDEX(A_Aufgaben,(D$5-Arbeitszeit!$A$6+1),(2*(ROW()-ROW(A_Aufgabendatum))-1))),"")</f>
        <v>#VALUE!</v>
      </c>
      <c r="E48" s="470" t="e">
        <f>IF(E$5&gt;0,(INDEX(A_Aufgaben,(E$5-Arbeitszeit!$A$6+1),(2*(ROW()-ROW(A_Aufgabendatum))-1))),"")</f>
        <v>#VALUE!</v>
      </c>
      <c r="F48" s="471" t="e">
        <f>IF(F$5&gt;0,(INDEX(A_Aufgaben,(F$5-Arbeitszeit!$A$6+1),(2*(ROW()-ROW(A_Aufgabendatum))-1))),"")</f>
        <v>#VALUE!</v>
      </c>
      <c r="G48" s="470" t="e">
        <f>IF(G$5&gt;0,(INDEX(A_Aufgaben,(G$5-Arbeitszeit!$A$6+1),(2*(ROW()-ROW(A_Aufgabendatum))-1))),"")</f>
        <v>#VALUE!</v>
      </c>
      <c r="H48" s="471" t="e">
        <f>IF(H$5&gt;0,(INDEX(A_Aufgaben,(H$5-Arbeitszeit!$A$6+1),(2*(ROW()-ROW(A_Aufgabendatum))-1))),"")</f>
        <v>#VALUE!</v>
      </c>
      <c r="I48" s="470" t="e">
        <f>IF(I$5&gt;0,(INDEX(A_Aufgaben,(I$5-Arbeitszeit!$A$6+1),(2*(ROW()-ROW(A_Aufgabendatum))-1))),"")</f>
        <v>#VALUE!</v>
      </c>
      <c r="J48" s="471" t="e">
        <f>IF(J$5&gt;0,(INDEX(A_Aufgaben,(J$5-Arbeitszeit!$A$6+1),(2*(ROW()-ROW(A_Aufgabendatum))-1))),"")</f>
        <v>#VALUE!</v>
      </c>
      <c r="K48" s="470" t="e">
        <f>IF(K$5&gt;0,(INDEX(A_Aufgaben,(K$5-Arbeitszeit!$A$6+1),(2*(ROW()-ROW(A_Aufgabendatum))-1))),"")</f>
        <v>#VALUE!</v>
      </c>
      <c r="L48" s="471" t="e">
        <f>IF(L$5&gt;0,(INDEX(A_Aufgaben,(L$5-Arbeitszeit!$A$6+1),(2*(ROW()-ROW(A_Aufgabendatum))-1))),"")</f>
        <v>#VALUE!</v>
      </c>
      <c r="M48" s="470" t="e">
        <f>IF(M$5&gt;0,(INDEX(A_Aufgaben,(M$5-Arbeitszeit!$A$6+1),(2*(ROW()-ROW(A_Aufgabendatum))-1))),"")</f>
        <v>#VALUE!</v>
      </c>
      <c r="N48" s="471" t="e">
        <f>IF(N$5&gt;0,(INDEX(A_Aufgaben,(N$5-Arbeitszeit!$A$6+1),(2*(ROW()-ROW(A_Aufgabendatum))-1))),"")</f>
        <v>#VALUE!</v>
      </c>
      <c r="O48" s="470" t="e">
        <f>IF(O$5&gt;0,(INDEX(A_Aufgaben,(O$5-Arbeitszeit!$A$6+1),(2*(ROW()-ROW(A_Aufgabendatum))-1))),"")</f>
        <v>#VALUE!</v>
      </c>
      <c r="P48" s="471" t="e">
        <f>IF(P$5&gt;0,(INDEX(A_Aufgaben,(P$5-Arbeitszeit!$A$6+1),(2*(ROW()-ROW(A_Aufgabendatum))-1))),"")</f>
        <v>#VALUE!</v>
      </c>
      <c r="Q48" s="470" t="e">
        <f>IF(Q$5&gt;0,(INDEX(A_Aufgaben,(Q$5-Arbeitszeit!$A$6+1),(2*(ROW()-ROW(A_Aufgabendatum))-1))),"")</f>
        <v>#VALUE!</v>
      </c>
      <c r="R48" s="471" t="e">
        <f>IF(R$5&gt;0,(INDEX(A_Aufgaben,(R$5-Arbeitszeit!$A$6+1),(2*(ROW()-ROW(A_Aufgabendatum))-1))),"")</f>
        <v>#VALUE!</v>
      </c>
      <c r="S48" s="470" t="e">
        <f>IF(S$5&gt;0,(INDEX(A_Aufgaben,(S$5-Arbeitszeit!$A$6+1),(2*(ROW()-ROW(A_Aufgabendatum))-1))),"")</f>
        <v>#VALUE!</v>
      </c>
      <c r="T48" s="471" t="e">
        <f>IF(T$5&gt;0,(INDEX(A_Aufgaben,(T$5-Arbeitszeit!$A$6+1),(2*(ROW()-ROW(A_Aufgabendatum))-1))),"")</f>
        <v>#VALUE!</v>
      </c>
      <c r="U48" s="470" t="e">
        <f>IF(U$5&gt;0,(INDEX(A_Aufgaben,(U$5-Arbeitszeit!$A$6+1),(2*(ROW()-ROW(A_Aufgabendatum))-1))),"")</f>
        <v>#VALUE!</v>
      </c>
      <c r="V48" s="471" t="e">
        <f>IF(V$5&gt;0,(INDEX(A_Aufgaben,(V$5-Arbeitszeit!$A$6+1),(2*(ROW()-ROW(A_Aufgabendatum))-1))),"")</f>
        <v>#VALUE!</v>
      </c>
      <c r="W48" s="470" t="e">
        <f>IF(W$5&gt;0,(INDEX(A_Aufgaben,(W$5-Arbeitszeit!$A$6+1),(2*(ROW()-ROW(A_Aufgabendatum))-1))),"")</f>
        <v>#VALUE!</v>
      </c>
      <c r="X48" s="471" t="e">
        <f>IF(X$5&gt;0,(INDEX(A_Aufgaben,(X$5-Arbeitszeit!$A$6+1),(2*(ROW()-ROW(A_Aufgabendatum))-1))),"")</f>
        <v>#VALUE!</v>
      </c>
      <c r="Y48" s="470" t="e">
        <f>IF(Y$5&gt;0,(INDEX(A_Aufgaben,(Y$5-Arbeitszeit!$A$6+1),(2*(ROW()-ROW(A_Aufgabendatum))-1))),"")</f>
        <v>#VALUE!</v>
      </c>
      <c r="Z48" s="471" t="e">
        <f>IF(Z$5&gt;0,(INDEX(A_Aufgaben,(Z$5-Arbeitszeit!$A$6+1),(2*(ROW()-ROW(A_Aufgabendatum))-1))),"")</f>
        <v>#VALUE!</v>
      </c>
      <c r="AA48" s="470" t="e">
        <f>IF(AA$5&gt;0,(INDEX(A_Aufgaben,(AA$5-Arbeitszeit!$A$6+1),(2*(ROW()-ROW(A_Aufgabendatum))-1))),"")</f>
        <v>#VALUE!</v>
      </c>
      <c r="AB48" s="471" t="e">
        <f>IF(AB$5&gt;0,(INDEX(A_Aufgaben,(AB$5-Arbeitszeit!$A$6+1),(2*(ROW()-ROW(A_Aufgabendatum))-1))),"")</f>
        <v>#VALUE!</v>
      </c>
      <c r="AC48" s="470" t="e">
        <f>IF(AC$5&gt;0,(INDEX(A_Aufgaben,(AC$5-Arbeitszeit!$A$6+1),(2*(ROW()-ROW(A_Aufgabendatum))-1))),"")</f>
        <v>#VALUE!</v>
      </c>
      <c r="AD48" s="471" t="e">
        <f>IF(AD$5&gt;0,(INDEX(A_Aufgaben,(AD$5-Arbeitszeit!$A$6+1),(2*(ROW()-ROW(A_Aufgabendatum))-1))),"")</f>
        <v>#VALUE!</v>
      </c>
      <c r="AE48" s="470" t="e">
        <f>IF(AE$5&gt;0,(INDEX(A_Aufgaben,(AE$5-Arbeitszeit!$A$6+1),(2*(ROW()-ROW(A_Aufgabendatum))-1))),"")</f>
        <v>#VALUE!</v>
      </c>
      <c r="AF48" s="471" t="e">
        <f>IF(AF$5&gt;0,(INDEX(A_Aufgaben,(AF$5-Arbeitszeit!$A$6+1),(2*(ROW()-ROW(A_Aufgabendatum))-1))),"")</f>
        <v>#VALUE!</v>
      </c>
      <c r="AG48" s="470" t="e">
        <f>IF(AG$5&gt;0,(INDEX(A_Aufgaben,(AG$5-Arbeitszeit!$A$6+1),(2*(ROW()-ROW(A_Aufgabendatum))-1))),"")</f>
        <v>#VALUE!</v>
      </c>
      <c r="AH48" s="479" t="e">
        <f t="shared" ref="AH48" si="6">SUM(C48:AG48)</f>
        <v>#VALUE!</v>
      </c>
      <c r="AI48" s="3"/>
    </row>
    <row r="49" spans="2:35">
      <c r="B49" s="469" t="str">
        <f>Aufgaben!CO3</f>
        <v>Aufgabe 41</v>
      </c>
      <c r="C49" s="470" t="e">
        <f>IF(C$5&gt;0,(INDEX(A_Aufgaben,(C$5-Arbeitszeit!$A$6+1),(2*(ROW()-ROW(A_Aufgabendatum))-1))),"")</f>
        <v>#VALUE!</v>
      </c>
      <c r="D49" s="471" t="e">
        <f>IF(D$5&gt;0,(INDEX(A_Aufgaben,(D$5-Arbeitszeit!$A$6+1),(2*(ROW()-ROW(A_Aufgabendatum))-1))),"")</f>
        <v>#VALUE!</v>
      </c>
      <c r="E49" s="470" t="e">
        <f>IF(E$5&gt;0,(INDEX(A_Aufgaben,(E$5-Arbeitszeit!$A$6+1),(2*(ROW()-ROW(A_Aufgabendatum))-1))),"")</f>
        <v>#VALUE!</v>
      </c>
      <c r="F49" s="471" t="e">
        <f>IF(F$5&gt;0,(INDEX(A_Aufgaben,(F$5-Arbeitszeit!$A$6+1),(2*(ROW()-ROW(A_Aufgabendatum))-1))),"")</f>
        <v>#VALUE!</v>
      </c>
      <c r="G49" s="470" t="e">
        <f>IF(G$5&gt;0,(INDEX(A_Aufgaben,(G$5-Arbeitszeit!$A$6+1),(2*(ROW()-ROW(A_Aufgabendatum))-1))),"")</f>
        <v>#VALUE!</v>
      </c>
      <c r="H49" s="471" t="e">
        <f>IF(H$5&gt;0,(INDEX(A_Aufgaben,(H$5-Arbeitszeit!$A$6+1),(2*(ROW()-ROW(A_Aufgabendatum))-1))),"")</f>
        <v>#VALUE!</v>
      </c>
      <c r="I49" s="470" t="e">
        <f>IF(I$5&gt;0,(INDEX(A_Aufgaben,(I$5-Arbeitszeit!$A$6+1),(2*(ROW()-ROW(A_Aufgabendatum))-1))),"")</f>
        <v>#VALUE!</v>
      </c>
      <c r="J49" s="471" t="e">
        <f>IF(J$5&gt;0,(INDEX(A_Aufgaben,(J$5-Arbeitszeit!$A$6+1),(2*(ROW()-ROW(A_Aufgabendatum))-1))),"")</f>
        <v>#VALUE!</v>
      </c>
      <c r="K49" s="470" t="e">
        <f>IF(K$5&gt;0,(INDEX(A_Aufgaben,(K$5-Arbeitszeit!$A$6+1),(2*(ROW()-ROW(A_Aufgabendatum))-1))),"")</f>
        <v>#VALUE!</v>
      </c>
      <c r="L49" s="471" t="e">
        <f>IF(L$5&gt;0,(INDEX(A_Aufgaben,(L$5-Arbeitszeit!$A$6+1),(2*(ROW()-ROW(A_Aufgabendatum))-1))),"")</f>
        <v>#VALUE!</v>
      </c>
      <c r="M49" s="470" t="e">
        <f>IF(M$5&gt;0,(INDEX(A_Aufgaben,(M$5-Arbeitszeit!$A$6+1),(2*(ROW()-ROW(A_Aufgabendatum))-1))),"")</f>
        <v>#VALUE!</v>
      </c>
      <c r="N49" s="471" t="e">
        <f>IF(N$5&gt;0,(INDEX(A_Aufgaben,(N$5-Arbeitszeit!$A$6+1),(2*(ROW()-ROW(A_Aufgabendatum))-1))),"")</f>
        <v>#VALUE!</v>
      </c>
      <c r="O49" s="470" t="e">
        <f>IF(O$5&gt;0,(INDEX(A_Aufgaben,(O$5-Arbeitszeit!$A$6+1),(2*(ROW()-ROW(A_Aufgabendatum))-1))),"")</f>
        <v>#VALUE!</v>
      </c>
      <c r="P49" s="471" t="e">
        <f>IF(P$5&gt;0,(INDEX(A_Aufgaben,(P$5-Arbeitszeit!$A$6+1),(2*(ROW()-ROW(A_Aufgabendatum))-1))),"")</f>
        <v>#VALUE!</v>
      </c>
      <c r="Q49" s="470" t="e">
        <f>IF(Q$5&gt;0,(INDEX(A_Aufgaben,(Q$5-Arbeitszeit!$A$6+1),(2*(ROW()-ROW(A_Aufgabendatum))-1))),"")</f>
        <v>#VALUE!</v>
      </c>
      <c r="R49" s="471" t="e">
        <f>IF(R$5&gt;0,(INDEX(A_Aufgaben,(R$5-Arbeitszeit!$A$6+1),(2*(ROW()-ROW(A_Aufgabendatum))-1))),"")</f>
        <v>#VALUE!</v>
      </c>
      <c r="S49" s="470" t="e">
        <f>IF(S$5&gt;0,(INDEX(A_Aufgaben,(S$5-Arbeitszeit!$A$6+1),(2*(ROW()-ROW(A_Aufgabendatum))-1))),"")</f>
        <v>#VALUE!</v>
      </c>
      <c r="T49" s="471" t="e">
        <f>IF(T$5&gt;0,(INDEX(A_Aufgaben,(T$5-Arbeitszeit!$A$6+1),(2*(ROW()-ROW(A_Aufgabendatum))-1))),"")</f>
        <v>#VALUE!</v>
      </c>
      <c r="U49" s="470" t="e">
        <f>IF(U$5&gt;0,(INDEX(A_Aufgaben,(U$5-Arbeitszeit!$A$6+1),(2*(ROW()-ROW(A_Aufgabendatum))-1))),"")</f>
        <v>#VALUE!</v>
      </c>
      <c r="V49" s="471" t="e">
        <f>IF(V$5&gt;0,(INDEX(A_Aufgaben,(V$5-Arbeitszeit!$A$6+1),(2*(ROW()-ROW(A_Aufgabendatum))-1))),"")</f>
        <v>#VALUE!</v>
      </c>
      <c r="W49" s="470" t="e">
        <f>IF(W$5&gt;0,(INDEX(A_Aufgaben,(W$5-Arbeitszeit!$A$6+1),(2*(ROW()-ROW(A_Aufgabendatum))-1))),"")</f>
        <v>#VALUE!</v>
      </c>
      <c r="X49" s="471" t="e">
        <f>IF(X$5&gt;0,(INDEX(A_Aufgaben,(X$5-Arbeitszeit!$A$6+1),(2*(ROW()-ROW(A_Aufgabendatum))-1))),"")</f>
        <v>#VALUE!</v>
      </c>
      <c r="Y49" s="470" t="e">
        <f>IF(Y$5&gt;0,(INDEX(A_Aufgaben,(Y$5-Arbeitszeit!$A$6+1),(2*(ROW()-ROW(A_Aufgabendatum))-1))),"")</f>
        <v>#VALUE!</v>
      </c>
      <c r="Z49" s="471" t="e">
        <f>IF(Z$5&gt;0,(INDEX(A_Aufgaben,(Z$5-Arbeitszeit!$A$6+1),(2*(ROW()-ROW(A_Aufgabendatum))-1))),"")</f>
        <v>#VALUE!</v>
      </c>
      <c r="AA49" s="470" t="e">
        <f>IF(AA$5&gt;0,(INDEX(A_Aufgaben,(AA$5-Arbeitszeit!$A$6+1),(2*(ROW()-ROW(A_Aufgabendatum))-1))),"")</f>
        <v>#VALUE!</v>
      </c>
      <c r="AB49" s="471" t="e">
        <f>IF(AB$5&gt;0,(INDEX(A_Aufgaben,(AB$5-Arbeitszeit!$A$6+1),(2*(ROW()-ROW(A_Aufgabendatum))-1))),"")</f>
        <v>#VALUE!</v>
      </c>
      <c r="AC49" s="470" t="e">
        <f>IF(AC$5&gt;0,(INDEX(A_Aufgaben,(AC$5-Arbeitszeit!$A$6+1),(2*(ROW()-ROW(A_Aufgabendatum))-1))),"")</f>
        <v>#VALUE!</v>
      </c>
      <c r="AD49" s="471" t="e">
        <f>IF(AD$5&gt;0,(INDEX(A_Aufgaben,(AD$5-Arbeitszeit!$A$6+1),(2*(ROW()-ROW(A_Aufgabendatum))-1))),"")</f>
        <v>#VALUE!</v>
      </c>
      <c r="AE49" s="470" t="e">
        <f>IF(AE$5&gt;0,(INDEX(A_Aufgaben,(AE$5-Arbeitszeit!$A$6+1),(2*(ROW()-ROW(A_Aufgabendatum))-1))),"")</f>
        <v>#VALUE!</v>
      </c>
      <c r="AF49" s="471" t="e">
        <f>IF(AF$5&gt;0,(INDEX(A_Aufgaben,(AF$5-Arbeitszeit!$A$6+1),(2*(ROW()-ROW(A_Aufgabendatum))-1))),"")</f>
        <v>#VALUE!</v>
      </c>
      <c r="AG49" s="470" t="e">
        <f>IF(AG$5&gt;0,(INDEX(A_Aufgaben,(AG$5-Arbeitszeit!$A$6+1),(2*(ROW()-ROW(A_Aufgabendatum))-1))),"")</f>
        <v>#VALUE!</v>
      </c>
      <c r="AH49" s="479" t="e">
        <f t="shared" si="5"/>
        <v>#VALUE!</v>
      </c>
      <c r="AI49" s="3"/>
    </row>
    <row r="50" spans="2:35">
      <c r="B50" s="469" t="str">
        <f>Aufgaben!CQ3</f>
        <v>Aufgabe 42</v>
      </c>
      <c r="C50" s="470" t="e">
        <f>IF(C$5&gt;0,(INDEX(A_Aufgaben,(C$5-Arbeitszeit!$A$6+1),(2*(ROW()-ROW(A_Aufgabendatum))-1))),"")</f>
        <v>#VALUE!</v>
      </c>
      <c r="D50" s="471" t="e">
        <f>IF(D$5&gt;0,(INDEX(A_Aufgaben,(D$5-Arbeitszeit!$A$6+1),(2*(ROW()-ROW(A_Aufgabendatum))-1))),"")</f>
        <v>#VALUE!</v>
      </c>
      <c r="E50" s="470" t="e">
        <f>IF(E$5&gt;0,(INDEX(A_Aufgaben,(E$5-Arbeitszeit!$A$6+1),(2*(ROW()-ROW(A_Aufgabendatum))-1))),"")</f>
        <v>#VALUE!</v>
      </c>
      <c r="F50" s="471" t="e">
        <f>IF(F$5&gt;0,(INDEX(A_Aufgaben,(F$5-Arbeitszeit!$A$6+1),(2*(ROW()-ROW(A_Aufgabendatum))-1))),"")</f>
        <v>#VALUE!</v>
      </c>
      <c r="G50" s="470" t="e">
        <f>IF(G$5&gt;0,(INDEX(A_Aufgaben,(G$5-Arbeitszeit!$A$6+1),(2*(ROW()-ROW(A_Aufgabendatum))-1))),"")</f>
        <v>#VALUE!</v>
      </c>
      <c r="H50" s="471" t="e">
        <f>IF(H$5&gt;0,(INDEX(A_Aufgaben,(H$5-Arbeitszeit!$A$6+1),(2*(ROW()-ROW(A_Aufgabendatum))-1))),"")</f>
        <v>#VALUE!</v>
      </c>
      <c r="I50" s="470" t="e">
        <f>IF(I$5&gt;0,(INDEX(A_Aufgaben,(I$5-Arbeitszeit!$A$6+1),(2*(ROW()-ROW(A_Aufgabendatum))-1))),"")</f>
        <v>#VALUE!</v>
      </c>
      <c r="J50" s="471" t="e">
        <f>IF(J$5&gt;0,(INDEX(A_Aufgaben,(J$5-Arbeitszeit!$A$6+1),(2*(ROW()-ROW(A_Aufgabendatum))-1))),"")</f>
        <v>#VALUE!</v>
      </c>
      <c r="K50" s="470" t="e">
        <f>IF(K$5&gt;0,(INDEX(A_Aufgaben,(K$5-Arbeitszeit!$A$6+1),(2*(ROW()-ROW(A_Aufgabendatum))-1))),"")</f>
        <v>#VALUE!</v>
      </c>
      <c r="L50" s="471" t="e">
        <f>IF(L$5&gt;0,(INDEX(A_Aufgaben,(L$5-Arbeitszeit!$A$6+1),(2*(ROW()-ROW(A_Aufgabendatum))-1))),"")</f>
        <v>#VALUE!</v>
      </c>
      <c r="M50" s="470" t="e">
        <f>IF(M$5&gt;0,(INDEX(A_Aufgaben,(M$5-Arbeitszeit!$A$6+1),(2*(ROW()-ROW(A_Aufgabendatum))-1))),"")</f>
        <v>#VALUE!</v>
      </c>
      <c r="N50" s="471" t="e">
        <f>IF(N$5&gt;0,(INDEX(A_Aufgaben,(N$5-Arbeitszeit!$A$6+1),(2*(ROW()-ROW(A_Aufgabendatum))-1))),"")</f>
        <v>#VALUE!</v>
      </c>
      <c r="O50" s="470" t="e">
        <f>IF(O$5&gt;0,(INDEX(A_Aufgaben,(O$5-Arbeitszeit!$A$6+1),(2*(ROW()-ROW(A_Aufgabendatum))-1))),"")</f>
        <v>#VALUE!</v>
      </c>
      <c r="P50" s="471" t="e">
        <f>IF(P$5&gt;0,(INDEX(A_Aufgaben,(P$5-Arbeitszeit!$A$6+1),(2*(ROW()-ROW(A_Aufgabendatum))-1))),"")</f>
        <v>#VALUE!</v>
      </c>
      <c r="Q50" s="470" t="e">
        <f>IF(Q$5&gt;0,(INDEX(A_Aufgaben,(Q$5-Arbeitszeit!$A$6+1),(2*(ROW()-ROW(A_Aufgabendatum))-1))),"")</f>
        <v>#VALUE!</v>
      </c>
      <c r="R50" s="471" t="e">
        <f>IF(R$5&gt;0,(INDEX(A_Aufgaben,(R$5-Arbeitszeit!$A$6+1),(2*(ROW()-ROW(A_Aufgabendatum))-1))),"")</f>
        <v>#VALUE!</v>
      </c>
      <c r="S50" s="470" t="e">
        <f>IF(S$5&gt;0,(INDEX(A_Aufgaben,(S$5-Arbeitszeit!$A$6+1),(2*(ROW()-ROW(A_Aufgabendatum))-1))),"")</f>
        <v>#VALUE!</v>
      </c>
      <c r="T50" s="471" t="e">
        <f>IF(T$5&gt;0,(INDEX(A_Aufgaben,(T$5-Arbeitszeit!$A$6+1),(2*(ROW()-ROW(A_Aufgabendatum))-1))),"")</f>
        <v>#VALUE!</v>
      </c>
      <c r="U50" s="470" t="e">
        <f>IF(U$5&gt;0,(INDEX(A_Aufgaben,(U$5-Arbeitszeit!$A$6+1),(2*(ROW()-ROW(A_Aufgabendatum))-1))),"")</f>
        <v>#VALUE!</v>
      </c>
      <c r="V50" s="471" t="e">
        <f>IF(V$5&gt;0,(INDEX(A_Aufgaben,(V$5-Arbeitszeit!$A$6+1),(2*(ROW()-ROW(A_Aufgabendatum))-1))),"")</f>
        <v>#VALUE!</v>
      </c>
      <c r="W50" s="470" t="e">
        <f>IF(W$5&gt;0,(INDEX(A_Aufgaben,(W$5-Arbeitszeit!$A$6+1),(2*(ROW()-ROW(A_Aufgabendatum))-1))),"")</f>
        <v>#VALUE!</v>
      </c>
      <c r="X50" s="471" t="e">
        <f>IF(X$5&gt;0,(INDEX(A_Aufgaben,(X$5-Arbeitszeit!$A$6+1),(2*(ROW()-ROW(A_Aufgabendatum))-1))),"")</f>
        <v>#VALUE!</v>
      </c>
      <c r="Y50" s="470" t="e">
        <f>IF(Y$5&gt;0,(INDEX(A_Aufgaben,(Y$5-Arbeitszeit!$A$6+1),(2*(ROW()-ROW(A_Aufgabendatum))-1))),"")</f>
        <v>#VALUE!</v>
      </c>
      <c r="Z50" s="471" t="e">
        <f>IF(Z$5&gt;0,(INDEX(A_Aufgaben,(Z$5-Arbeitszeit!$A$6+1),(2*(ROW()-ROW(A_Aufgabendatum))-1))),"")</f>
        <v>#VALUE!</v>
      </c>
      <c r="AA50" s="470" t="e">
        <f>IF(AA$5&gt;0,(INDEX(A_Aufgaben,(AA$5-Arbeitszeit!$A$6+1),(2*(ROW()-ROW(A_Aufgabendatum))-1))),"")</f>
        <v>#VALUE!</v>
      </c>
      <c r="AB50" s="471" t="e">
        <f>IF(AB$5&gt;0,(INDEX(A_Aufgaben,(AB$5-Arbeitszeit!$A$6+1),(2*(ROW()-ROW(A_Aufgabendatum))-1))),"")</f>
        <v>#VALUE!</v>
      </c>
      <c r="AC50" s="470" t="e">
        <f>IF(AC$5&gt;0,(INDEX(A_Aufgaben,(AC$5-Arbeitszeit!$A$6+1),(2*(ROW()-ROW(A_Aufgabendatum))-1))),"")</f>
        <v>#VALUE!</v>
      </c>
      <c r="AD50" s="471" t="e">
        <f>IF(AD$5&gt;0,(INDEX(A_Aufgaben,(AD$5-Arbeitszeit!$A$6+1),(2*(ROW()-ROW(A_Aufgabendatum))-1))),"")</f>
        <v>#VALUE!</v>
      </c>
      <c r="AE50" s="470" t="e">
        <f>IF(AE$5&gt;0,(INDEX(A_Aufgaben,(AE$5-Arbeitszeit!$A$6+1),(2*(ROW()-ROW(A_Aufgabendatum))-1))),"")</f>
        <v>#VALUE!</v>
      </c>
      <c r="AF50" s="471" t="e">
        <f>IF(AF$5&gt;0,(INDEX(A_Aufgaben,(AF$5-Arbeitszeit!$A$6+1),(2*(ROW()-ROW(A_Aufgabendatum))-1))),"")</f>
        <v>#VALUE!</v>
      </c>
      <c r="AG50" s="470" t="e">
        <f>IF(AG$5&gt;0,(INDEX(A_Aufgaben,(AG$5-Arbeitszeit!$A$6+1),(2*(ROW()-ROW(A_Aufgabendatum))-1))),"")</f>
        <v>#VALUE!</v>
      </c>
      <c r="AH50" s="479" t="e">
        <f t="shared" si="5"/>
        <v>#VALUE!</v>
      </c>
      <c r="AI50" s="3"/>
    </row>
    <row r="51" spans="2:35">
      <c r="B51" s="469" t="str">
        <f>Aufgaben!CS3</f>
        <v>Aufgabe 43</v>
      </c>
      <c r="C51" s="470" t="e">
        <f>IF(C$5&gt;0,(INDEX(A_Aufgaben,(C$5-Arbeitszeit!$A$6+1),(2*(ROW()-ROW(A_Aufgabendatum))-1))),"")</f>
        <v>#VALUE!</v>
      </c>
      <c r="D51" s="471" t="e">
        <f>IF(D$5&gt;0,(INDEX(A_Aufgaben,(D$5-Arbeitszeit!$A$6+1),(2*(ROW()-ROW(A_Aufgabendatum))-1))),"")</f>
        <v>#VALUE!</v>
      </c>
      <c r="E51" s="470" t="e">
        <f>IF(E$5&gt;0,(INDEX(A_Aufgaben,(E$5-Arbeitszeit!$A$6+1),(2*(ROW()-ROW(A_Aufgabendatum))-1))),"")</f>
        <v>#VALUE!</v>
      </c>
      <c r="F51" s="471" t="e">
        <f>IF(F$5&gt;0,(INDEX(A_Aufgaben,(F$5-Arbeitszeit!$A$6+1),(2*(ROW()-ROW(A_Aufgabendatum))-1))),"")</f>
        <v>#VALUE!</v>
      </c>
      <c r="G51" s="470" t="e">
        <f>IF(G$5&gt;0,(INDEX(A_Aufgaben,(G$5-Arbeitszeit!$A$6+1),(2*(ROW()-ROW(A_Aufgabendatum))-1))),"")</f>
        <v>#VALUE!</v>
      </c>
      <c r="H51" s="471" t="e">
        <f>IF(H$5&gt;0,(INDEX(A_Aufgaben,(H$5-Arbeitszeit!$A$6+1),(2*(ROW()-ROW(A_Aufgabendatum))-1))),"")</f>
        <v>#VALUE!</v>
      </c>
      <c r="I51" s="470" t="e">
        <f>IF(I$5&gt;0,(INDEX(A_Aufgaben,(I$5-Arbeitszeit!$A$6+1),(2*(ROW()-ROW(A_Aufgabendatum))-1))),"")</f>
        <v>#VALUE!</v>
      </c>
      <c r="J51" s="471" t="e">
        <f>IF(J$5&gt;0,(INDEX(A_Aufgaben,(J$5-Arbeitszeit!$A$6+1),(2*(ROW()-ROW(A_Aufgabendatum))-1))),"")</f>
        <v>#VALUE!</v>
      </c>
      <c r="K51" s="470" t="e">
        <f>IF(K$5&gt;0,(INDEX(A_Aufgaben,(K$5-Arbeitszeit!$A$6+1),(2*(ROW()-ROW(A_Aufgabendatum))-1))),"")</f>
        <v>#VALUE!</v>
      </c>
      <c r="L51" s="471" t="e">
        <f>IF(L$5&gt;0,(INDEX(A_Aufgaben,(L$5-Arbeitszeit!$A$6+1),(2*(ROW()-ROW(A_Aufgabendatum))-1))),"")</f>
        <v>#VALUE!</v>
      </c>
      <c r="M51" s="470" t="e">
        <f>IF(M$5&gt;0,(INDEX(A_Aufgaben,(M$5-Arbeitszeit!$A$6+1),(2*(ROW()-ROW(A_Aufgabendatum))-1))),"")</f>
        <v>#VALUE!</v>
      </c>
      <c r="N51" s="471" t="e">
        <f>IF(N$5&gt;0,(INDEX(A_Aufgaben,(N$5-Arbeitszeit!$A$6+1),(2*(ROW()-ROW(A_Aufgabendatum))-1))),"")</f>
        <v>#VALUE!</v>
      </c>
      <c r="O51" s="470" t="e">
        <f>IF(O$5&gt;0,(INDEX(A_Aufgaben,(O$5-Arbeitszeit!$A$6+1),(2*(ROW()-ROW(A_Aufgabendatum))-1))),"")</f>
        <v>#VALUE!</v>
      </c>
      <c r="P51" s="471" t="e">
        <f>IF(P$5&gt;0,(INDEX(A_Aufgaben,(P$5-Arbeitszeit!$A$6+1),(2*(ROW()-ROW(A_Aufgabendatum))-1))),"")</f>
        <v>#VALUE!</v>
      </c>
      <c r="Q51" s="470" t="e">
        <f>IF(Q$5&gt;0,(INDEX(A_Aufgaben,(Q$5-Arbeitszeit!$A$6+1),(2*(ROW()-ROW(A_Aufgabendatum))-1))),"")</f>
        <v>#VALUE!</v>
      </c>
      <c r="R51" s="471" t="e">
        <f>IF(R$5&gt;0,(INDEX(A_Aufgaben,(R$5-Arbeitszeit!$A$6+1),(2*(ROW()-ROW(A_Aufgabendatum))-1))),"")</f>
        <v>#VALUE!</v>
      </c>
      <c r="S51" s="470" t="e">
        <f>IF(S$5&gt;0,(INDEX(A_Aufgaben,(S$5-Arbeitszeit!$A$6+1),(2*(ROW()-ROW(A_Aufgabendatum))-1))),"")</f>
        <v>#VALUE!</v>
      </c>
      <c r="T51" s="471" t="e">
        <f>IF(T$5&gt;0,(INDEX(A_Aufgaben,(T$5-Arbeitszeit!$A$6+1),(2*(ROW()-ROW(A_Aufgabendatum))-1))),"")</f>
        <v>#VALUE!</v>
      </c>
      <c r="U51" s="470" t="e">
        <f>IF(U$5&gt;0,(INDEX(A_Aufgaben,(U$5-Arbeitszeit!$A$6+1),(2*(ROW()-ROW(A_Aufgabendatum))-1))),"")</f>
        <v>#VALUE!</v>
      </c>
      <c r="V51" s="471" t="e">
        <f>IF(V$5&gt;0,(INDEX(A_Aufgaben,(V$5-Arbeitszeit!$A$6+1),(2*(ROW()-ROW(A_Aufgabendatum))-1))),"")</f>
        <v>#VALUE!</v>
      </c>
      <c r="W51" s="470" t="e">
        <f>IF(W$5&gt;0,(INDEX(A_Aufgaben,(W$5-Arbeitszeit!$A$6+1),(2*(ROW()-ROW(A_Aufgabendatum))-1))),"")</f>
        <v>#VALUE!</v>
      </c>
      <c r="X51" s="471" t="e">
        <f>IF(X$5&gt;0,(INDEX(A_Aufgaben,(X$5-Arbeitszeit!$A$6+1),(2*(ROW()-ROW(A_Aufgabendatum))-1))),"")</f>
        <v>#VALUE!</v>
      </c>
      <c r="Y51" s="470" t="e">
        <f>IF(Y$5&gt;0,(INDEX(A_Aufgaben,(Y$5-Arbeitszeit!$A$6+1),(2*(ROW()-ROW(A_Aufgabendatum))-1))),"")</f>
        <v>#VALUE!</v>
      </c>
      <c r="Z51" s="471" t="e">
        <f>IF(Z$5&gt;0,(INDEX(A_Aufgaben,(Z$5-Arbeitszeit!$A$6+1),(2*(ROW()-ROW(A_Aufgabendatum))-1))),"")</f>
        <v>#VALUE!</v>
      </c>
      <c r="AA51" s="470" t="e">
        <f>IF(AA$5&gt;0,(INDEX(A_Aufgaben,(AA$5-Arbeitszeit!$A$6+1),(2*(ROW()-ROW(A_Aufgabendatum))-1))),"")</f>
        <v>#VALUE!</v>
      </c>
      <c r="AB51" s="471" t="e">
        <f>IF(AB$5&gt;0,(INDEX(A_Aufgaben,(AB$5-Arbeitszeit!$A$6+1),(2*(ROW()-ROW(A_Aufgabendatum))-1))),"")</f>
        <v>#VALUE!</v>
      </c>
      <c r="AC51" s="470" t="e">
        <f>IF(AC$5&gt;0,(INDEX(A_Aufgaben,(AC$5-Arbeitszeit!$A$6+1),(2*(ROW()-ROW(A_Aufgabendatum))-1))),"")</f>
        <v>#VALUE!</v>
      </c>
      <c r="AD51" s="471" t="e">
        <f>IF(AD$5&gt;0,(INDEX(A_Aufgaben,(AD$5-Arbeitszeit!$A$6+1),(2*(ROW()-ROW(A_Aufgabendatum))-1))),"")</f>
        <v>#VALUE!</v>
      </c>
      <c r="AE51" s="470" t="e">
        <f>IF(AE$5&gt;0,(INDEX(A_Aufgaben,(AE$5-Arbeitszeit!$A$6+1),(2*(ROW()-ROW(A_Aufgabendatum))-1))),"")</f>
        <v>#VALUE!</v>
      </c>
      <c r="AF51" s="471" t="e">
        <f>IF(AF$5&gt;0,(INDEX(A_Aufgaben,(AF$5-Arbeitszeit!$A$6+1),(2*(ROW()-ROW(A_Aufgabendatum))-1))),"")</f>
        <v>#VALUE!</v>
      </c>
      <c r="AG51" s="470" t="e">
        <f>IF(AG$5&gt;0,(INDEX(A_Aufgaben,(AG$5-Arbeitszeit!$A$6+1),(2*(ROW()-ROW(A_Aufgabendatum))-1))),"")</f>
        <v>#VALUE!</v>
      </c>
      <c r="AH51" s="479" t="e">
        <f t="shared" si="5"/>
        <v>#VALUE!</v>
      </c>
      <c r="AI51" s="3"/>
    </row>
    <row r="52" spans="2:35">
      <c r="B52" s="469" t="str">
        <f>Aufgaben!CU3</f>
        <v>Aufgabe 44</v>
      </c>
      <c r="C52" s="470" t="e">
        <f>IF(C$5&gt;0,(INDEX(A_Aufgaben,(C$5-Arbeitszeit!$A$6+1),(2*(ROW()-ROW(A_Aufgabendatum))-1))),"")</f>
        <v>#VALUE!</v>
      </c>
      <c r="D52" s="471" t="e">
        <f>IF(D$5&gt;0,(INDEX(A_Aufgaben,(D$5-Arbeitszeit!$A$6+1),(2*(ROW()-ROW(A_Aufgabendatum))-1))),"")</f>
        <v>#VALUE!</v>
      </c>
      <c r="E52" s="470" t="e">
        <f>IF(E$5&gt;0,(INDEX(A_Aufgaben,(E$5-Arbeitszeit!$A$6+1),(2*(ROW()-ROW(A_Aufgabendatum))-1))),"")</f>
        <v>#VALUE!</v>
      </c>
      <c r="F52" s="471" t="e">
        <f>IF(F$5&gt;0,(INDEX(A_Aufgaben,(F$5-Arbeitszeit!$A$6+1),(2*(ROW()-ROW(A_Aufgabendatum))-1))),"")</f>
        <v>#VALUE!</v>
      </c>
      <c r="G52" s="470" t="e">
        <f>IF(G$5&gt;0,(INDEX(A_Aufgaben,(G$5-Arbeitszeit!$A$6+1),(2*(ROW()-ROW(A_Aufgabendatum))-1))),"")</f>
        <v>#VALUE!</v>
      </c>
      <c r="H52" s="471" t="e">
        <f>IF(H$5&gt;0,(INDEX(A_Aufgaben,(H$5-Arbeitszeit!$A$6+1),(2*(ROW()-ROW(A_Aufgabendatum))-1))),"")</f>
        <v>#VALUE!</v>
      </c>
      <c r="I52" s="470" t="e">
        <f>IF(I$5&gt;0,(INDEX(A_Aufgaben,(I$5-Arbeitszeit!$A$6+1),(2*(ROW()-ROW(A_Aufgabendatum))-1))),"")</f>
        <v>#VALUE!</v>
      </c>
      <c r="J52" s="471" t="e">
        <f>IF(J$5&gt;0,(INDEX(A_Aufgaben,(J$5-Arbeitszeit!$A$6+1),(2*(ROW()-ROW(A_Aufgabendatum))-1))),"")</f>
        <v>#VALUE!</v>
      </c>
      <c r="K52" s="470" t="e">
        <f>IF(K$5&gt;0,(INDEX(A_Aufgaben,(K$5-Arbeitszeit!$A$6+1),(2*(ROW()-ROW(A_Aufgabendatum))-1))),"")</f>
        <v>#VALUE!</v>
      </c>
      <c r="L52" s="471" t="e">
        <f>IF(L$5&gt;0,(INDEX(A_Aufgaben,(L$5-Arbeitszeit!$A$6+1),(2*(ROW()-ROW(A_Aufgabendatum))-1))),"")</f>
        <v>#VALUE!</v>
      </c>
      <c r="M52" s="470" t="e">
        <f>IF(M$5&gt;0,(INDEX(A_Aufgaben,(M$5-Arbeitszeit!$A$6+1),(2*(ROW()-ROW(A_Aufgabendatum))-1))),"")</f>
        <v>#VALUE!</v>
      </c>
      <c r="N52" s="471" t="e">
        <f>IF(N$5&gt;0,(INDEX(A_Aufgaben,(N$5-Arbeitszeit!$A$6+1),(2*(ROW()-ROW(A_Aufgabendatum))-1))),"")</f>
        <v>#VALUE!</v>
      </c>
      <c r="O52" s="470" t="e">
        <f>IF(O$5&gt;0,(INDEX(A_Aufgaben,(O$5-Arbeitszeit!$A$6+1),(2*(ROW()-ROW(A_Aufgabendatum))-1))),"")</f>
        <v>#VALUE!</v>
      </c>
      <c r="P52" s="471" t="e">
        <f>IF(P$5&gt;0,(INDEX(A_Aufgaben,(P$5-Arbeitszeit!$A$6+1),(2*(ROW()-ROW(A_Aufgabendatum))-1))),"")</f>
        <v>#VALUE!</v>
      </c>
      <c r="Q52" s="470" t="e">
        <f>IF(Q$5&gt;0,(INDEX(A_Aufgaben,(Q$5-Arbeitszeit!$A$6+1),(2*(ROW()-ROW(A_Aufgabendatum))-1))),"")</f>
        <v>#VALUE!</v>
      </c>
      <c r="R52" s="471" t="e">
        <f>IF(R$5&gt;0,(INDEX(A_Aufgaben,(R$5-Arbeitszeit!$A$6+1),(2*(ROW()-ROW(A_Aufgabendatum))-1))),"")</f>
        <v>#VALUE!</v>
      </c>
      <c r="S52" s="470" t="e">
        <f>IF(S$5&gt;0,(INDEX(A_Aufgaben,(S$5-Arbeitszeit!$A$6+1),(2*(ROW()-ROW(A_Aufgabendatum))-1))),"")</f>
        <v>#VALUE!</v>
      </c>
      <c r="T52" s="471" t="e">
        <f>IF(T$5&gt;0,(INDEX(A_Aufgaben,(T$5-Arbeitszeit!$A$6+1),(2*(ROW()-ROW(A_Aufgabendatum))-1))),"")</f>
        <v>#VALUE!</v>
      </c>
      <c r="U52" s="470" t="e">
        <f>IF(U$5&gt;0,(INDEX(A_Aufgaben,(U$5-Arbeitszeit!$A$6+1),(2*(ROW()-ROW(A_Aufgabendatum))-1))),"")</f>
        <v>#VALUE!</v>
      </c>
      <c r="V52" s="471" t="e">
        <f>IF(V$5&gt;0,(INDEX(A_Aufgaben,(V$5-Arbeitszeit!$A$6+1),(2*(ROW()-ROW(A_Aufgabendatum))-1))),"")</f>
        <v>#VALUE!</v>
      </c>
      <c r="W52" s="470" t="e">
        <f>IF(W$5&gt;0,(INDEX(A_Aufgaben,(W$5-Arbeitszeit!$A$6+1),(2*(ROW()-ROW(A_Aufgabendatum))-1))),"")</f>
        <v>#VALUE!</v>
      </c>
      <c r="X52" s="471" t="e">
        <f>IF(X$5&gt;0,(INDEX(A_Aufgaben,(X$5-Arbeitszeit!$A$6+1),(2*(ROW()-ROW(A_Aufgabendatum))-1))),"")</f>
        <v>#VALUE!</v>
      </c>
      <c r="Y52" s="470" t="e">
        <f>IF(Y$5&gt;0,(INDEX(A_Aufgaben,(Y$5-Arbeitszeit!$A$6+1),(2*(ROW()-ROW(A_Aufgabendatum))-1))),"")</f>
        <v>#VALUE!</v>
      </c>
      <c r="Z52" s="471" t="e">
        <f>IF(Z$5&gt;0,(INDEX(A_Aufgaben,(Z$5-Arbeitszeit!$A$6+1),(2*(ROW()-ROW(A_Aufgabendatum))-1))),"")</f>
        <v>#VALUE!</v>
      </c>
      <c r="AA52" s="470" t="e">
        <f>IF(AA$5&gt;0,(INDEX(A_Aufgaben,(AA$5-Arbeitszeit!$A$6+1),(2*(ROW()-ROW(A_Aufgabendatum))-1))),"")</f>
        <v>#VALUE!</v>
      </c>
      <c r="AB52" s="471" t="e">
        <f>IF(AB$5&gt;0,(INDEX(A_Aufgaben,(AB$5-Arbeitszeit!$A$6+1),(2*(ROW()-ROW(A_Aufgabendatum))-1))),"")</f>
        <v>#VALUE!</v>
      </c>
      <c r="AC52" s="470" t="e">
        <f>IF(AC$5&gt;0,(INDEX(A_Aufgaben,(AC$5-Arbeitszeit!$A$6+1),(2*(ROW()-ROW(A_Aufgabendatum))-1))),"")</f>
        <v>#VALUE!</v>
      </c>
      <c r="AD52" s="471" t="e">
        <f>IF(AD$5&gt;0,(INDEX(A_Aufgaben,(AD$5-Arbeitszeit!$A$6+1),(2*(ROW()-ROW(A_Aufgabendatum))-1))),"")</f>
        <v>#VALUE!</v>
      </c>
      <c r="AE52" s="470" t="e">
        <f>IF(AE$5&gt;0,(INDEX(A_Aufgaben,(AE$5-Arbeitszeit!$A$6+1),(2*(ROW()-ROW(A_Aufgabendatum))-1))),"")</f>
        <v>#VALUE!</v>
      </c>
      <c r="AF52" s="471" t="e">
        <f>IF(AF$5&gt;0,(INDEX(A_Aufgaben,(AF$5-Arbeitszeit!$A$6+1),(2*(ROW()-ROW(A_Aufgabendatum))-1))),"")</f>
        <v>#VALUE!</v>
      </c>
      <c r="AG52" s="470" t="e">
        <f>IF(AG$5&gt;0,(INDEX(A_Aufgaben,(AG$5-Arbeitszeit!$A$6+1),(2*(ROW()-ROW(A_Aufgabendatum))-1))),"")</f>
        <v>#VALUE!</v>
      </c>
      <c r="AH52" s="479" t="e">
        <f t="shared" si="5"/>
        <v>#VALUE!</v>
      </c>
      <c r="AI52" s="3"/>
    </row>
    <row r="53" spans="2:35">
      <c r="B53" s="469" t="str">
        <f>Aufgaben!CW3</f>
        <v>Aufgabe 45</v>
      </c>
      <c r="C53" s="470" t="e">
        <f>IF(C$5&gt;0,(INDEX(A_Aufgaben,(C$5-Arbeitszeit!$A$6+1),(2*(ROW()-ROW(A_Aufgabendatum))-1))),"")</f>
        <v>#VALUE!</v>
      </c>
      <c r="D53" s="471" t="e">
        <f>IF(D$5&gt;0,(INDEX(A_Aufgaben,(D$5-Arbeitszeit!$A$6+1),(2*(ROW()-ROW(A_Aufgabendatum))-1))),"")</f>
        <v>#VALUE!</v>
      </c>
      <c r="E53" s="470" t="e">
        <f>IF(E$5&gt;0,(INDEX(A_Aufgaben,(E$5-Arbeitszeit!$A$6+1),(2*(ROW()-ROW(A_Aufgabendatum))-1))),"")</f>
        <v>#VALUE!</v>
      </c>
      <c r="F53" s="471" t="e">
        <f>IF(F$5&gt;0,(INDEX(A_Aufgaben,(F$5-Arbeitszeit!$A$6+1),(2*(ROW()-ROW(A_Aufgabendatum))-1))),"")</f>
        <v>#VALUE!</v>
      </c>
      <c r="G53" s="470" t="e">
        <f>IF(G$5&gt;0,(INDEX(A_Aufgaben,(G$5-Arbeitszeit!$A$6+1),(2*(ROW()-ROW(A_Aufgabendatum))-1))),"")</f>
        <v>#VALUE!</v>
      </c>
      <c r="H53" s="471" t="e">
        <f>IF(H$5&gt;0,(INDEX(A_Aufgaben,(H$5-Arbeitszeit!$A$6+1),(2*(ROW()-ROW(A_Aufgabendatum))-1))),"")</f>
        <v>#VALUE!</v>
      </c>
      <c r="I53" s="470" t="e">
        <f>IF(I$5&gt;0,(INDEX(A_Aufgaben,(I$5-Arbeitszeit!$A$6+1),(2*(ROW()-ROW(A_Aufgabendatum))-1))),"")</f>
        <v>#VALUE!</v>
      </c>
      <c r="J53" s="471" t="e">
        <f>IF(J$5&gt;0,(INDEX(A_Aufgaben,(J$5-Arbeitszeit!$A$6+1),(2*(ROW()-ROW(A_Aufgabendatum))-1))),"")</f>
        <v>#VALUE!</v>
      </c>
      <c r="K53" s="470" t="e">
        <f>IF(K$5&gt;0,(INDEX(A_Aufgaben,(K$5-Arbeitszeit!$A$6+1),(2*(ROW()-ROW(A_Aufgabendatum))-1))),"")</f>
        <v>#VALUE!</v>
      </c>
      <c r="L53" s="471" t="e">
        <f>IF(L$5&gt;0,(INDEX(A_Aufgaben,(L$5-Arbeitszeit!$A$6+1),(2*(ROW()-ROW(A_Aufgabendatum))-1))),"")</f>
        <v>#VALUE!</v>
      </c>
      <c r="M53" s="470" t="e">
        <f>IF(M$5&gt;0,(INDEX(A_Aufgaben,(M$5-Arbeitszeit!$A$6+1),(2*(ROW()-ROW(A_Aufgabendatum))-1))),"")</f>
        <v>#VALUE!</v>
      </c>
      <c r="N53" s="471" t="e">
        <f>IF(N$5&gt;0,(INDEX(A_Aufgaben,(N$5-Arbeitszeit!$A$6+1),(2*(ROW()-ROW(A_Aufgabendatum))-1))),"")</f>
        <v>#VALUE!</v>
      </c>
      <c r="O53" s="470" t="e">
        <f>IF(O$5&gt;0,(INDEX(A_Aufgaben,(O$5-Arbeitszeit!$A$6+1),(2*(ROW()-ROW(A_Aufgabendatum))-1))),"")</f>
        <v>#VALUE!</v>
      </c>
      <c r="P53" s="471" t="e">
        <f>IF(P$5&gt;0,(INDEX(A_Aufgaben,(P$5-Arbeitszeit!$A$6+1),(2*(ROW()-ROW(A_Aufgabendatum))-1))),"")</f>
        <v>#VALUE!</v>
      </c>
      <c r="Q53" s="470" t="e">
        <f>IF(Q$5&gt;0,(INDEX(A_Aufgaben,(Q$5-Arbeitszeit!$A$6+1),(2*(ROW()-ROW(A_Aufgabendatum))-1))),"")</f>
        <v>#VALUE!</v>
      </c>
      <c r="R53" s="471" t="e">
        <f>IF(R$5&gt;0,(INDEX(A_Aufgaben,(R$5-Arbeitszeit!$A$6+1),(2*(ROW()-ROW(A_Aufgabendatum))-1))),"")</f>
        <v>#VALUE!</v>
      </c>
      <c r="S53" s="470" t="e">
        <f>IF(S$5&gt;0,(INDEX(A_Aufgaben,(S$5-Arbeitszeit!$A$6+1),(2*(ROW()-ROW(A_Aufgabendatum))-1))),"")</f>
        <v>#VALUE!</v>
      </c>
      <c r="T53" s="471" t="e">
        <f>IF(T$5&gt;0,(INDEX(A_Aufgaben,(T$5-Arbeitszeit!$A$6+1),(2*(ROW()-ROW(A_Aufgabendatum))-1))),"")</f>
        <v>#VALUE!</v>
      </c>
      <c r="U53" s="470" t="e">
        <f>IF(U$5&gt;0,(INDEX(A_Aufgaben,(U$5-Arbeitszeit!$A$6+1),(2*(ROW()-ROW(A_Aufgabendatum))-1))),"")</f>
        <v>#VALUE!</v>
      </c>
      <c r="V53" s="471" t="e">
        <f>IF(V$5&gt;0,(INDEX(A_Aufgaben,(V$5-Arbeitszeit!$A$6+1),(2*(ROW()-ROW(A_Aufgabendatum))-1))),"")</f>
        <v>#VALUE!</v>
      </c>
      <c r="W53" s="470" t="e">
        <f>IF(W$5&gt;0,(INDEX(A_Aufgaben,(W$5-Arbeitszeit!$A$6+1),(2*(ROW()-ROW(A_Aufgabendatum))-1))),"")</f>
        <v>#VALUE!</v>
      </c>
      <c r="X53" s="471" t="e">
        <f>IF(X$5&gt;0,(INDEX(A_Aufgaben,(X$5-Arbeitszeit!$A$6+1),(2*(ROW()-ROW(A_Aufgabendatum))-1))),"")</f>
        <v>#VALUE!</v>
      </c>
      <c r="Y53" s="470" t="e">
        <f>IF(Y$5&gt;0,(INDEX(A_Aufgaben,(Y$5-Arbeitszeit!$A$6+1),(2*(ROW()-ROW(A_Aufgabendatum))-1))),"")</f>
        <v>#VALUE!</v>
      </c>
      <c r="Z53" s="471" t="e">
        <f>IF(Z$5&gt;0,(INDEX(A_Aufgaben,(Z$5-Arbeitszeit!$A$6+1),(2*(ROW()-ROW(A_Aufgabendatum))-1))),"")</f>
        <v>#VALUE!</v>
      </c>
      <c r="AA53" s="470" t="e">
        <f>IF(AA$5&gt;0,(INDEX(A_Aufgaben,(AA$5-Arbeitszeit!$A$6+1),(2*(ROW()-ROW(A_Aufgabendatum))-1))),"")</f>
        <v>#VALUE!</v>
      </c>
      <c r="AB53" s="471" t="e">
        <f>IF(AB$5&gt;0,(INDEX(A_Aufgaben,(AB$5-Arbeitszeit!$A$6+1),(2*(ROW()-ROW(A_Aufgabendatum))-1))),"")</f>
        <v>#VALUE!</v>
      </c>
      <c r="AC53" s="470" t="e">
        <f>IF(AC$5&gt;0,(INDEX(A_Aufgaben,(AC$5-Arbeitszeit!$A$6+1),(2*(ROW()-ROW(A_Aufgabendatum))-1))),"")</f>
        <v>#VALUE!</v>
      </c>
      <c r="AD53" s="471" t="e">
        <f>IF(AD$5&gt;0,(INDEX(A_Aufgaben,(AD$5-Arbeitszeit!$A$6+1),(2*(ROW()-ROW(A_Aufgabendatum))-1))),"")</f>
        <v>#VALUE!</v>
      </c>
      <c r="AE53" s="470" t="e">
        <f>IF(AE$5&gt;0,(INDEX(A_Aufgaben,(AE$5-Arbeitszeit!$A$6+1),(2*(ROW()-ROW(A_Aufgabendatum))-1))),"")</f>
        <v>#VALUE!</v>
      </c>
      <c r="AF53" s="471" t="e">
        <f>IF(AF$5&gt;0,(INDEX(A_Aufgaben,(AF$5-Arbeitszeit!$A$6+1),(2*(ROW()-ROW(A_Aufgabendatum))-1))),"")</f>
        <v>#VALUE!</v>
      </c>
      <c r="AG53" s="470" t="e">
        <f>IF(AG$5&gt;0,(INDEX(A_Aufgaben,(AG$5-Arbeitszeit!$A$6+1),(2*(ROW()-ROW(A_Aufgabendatum))-1))),"")</f>
        <v>#VALUE!</v>
      </c>
      <c r="AH53" s="479" t="e">
        <f t="shared" si="5"/>
        <v>#VALUE!</v>
      </c>
      <c r="AI53" s="3"/>
    </row>
    <row r="54" spans="2:35">
      <c r="B54" s="469" t="str">
        <f>Aufgaben!CY3</f>
        <v>Aufgabe 46</v>
      </c>
      <c r="C54" s="470" t="e">
        <f>IF(C$5&gt;0,(INDEX(A_Aufgaben,(C$5-Arbeitszeit!$A$6+1),(2*(ROW()-ROW(A_Aufgabendatum))-1))),"")</f>
        <v>#VALUE!</v>
      </c>
      <c r="D54" s="471" t="e">
        <f>IF(D$5&gt;0,(INDEX(A_Aufgaben,(D$5-Arbeitszeit!$A$6+1),(2*(ROW()-ROW(A_Aufgabendatum))-1))),"")</f>
        <v>#VALUE!</v>
      </c>
      <c r="E54" s="470" t="e">
        <f>IF(E$5&gt;0,(INDEX(A_Aufgaben,(E$5-Arbeitszeit!$A$6+1),(2*(ROW()-ROW(A_Aufgabendatum))-1))),"")</f>
        <v>#VALUE!</v>
      </c>
      <c r="F54" s="471" t="e">
        <f>IF(F$5&gt;0,(INDEX(A_Aufgaben,(F$5-Arbeitszeit!$A$6+1),(2*(ROW()-ROW(A_Aufgabendatum))-1))),"")</f>
        <v>#VALUE!</v>
      </c>
      <c r="G54" s="470" t="e">
        <f>IF(G$5&gt;0,(INDEX(A_Aufgaben,(G$5-Arbeitszeit!$A$6+1),(2*(ROW()-ROW(A_Aufgabendatum))-1))),"")</f>
        <v>#VALUE!</v>
      </c>
      <c r="H54" s="471" t="e">
        <f>IF(H$5&gt;0,(INDEX(A_Aufgaben,(H$5-Arbeitszeit!$A$6+1),(2*(ROW()-ROW(A_Aufgabendatum))-1))),"")</f>
        <v>#VALUE!</v>
      </c>
      <c r="I54" s="470" t="e">
        <f>IF(I$5&gt;0,(INDEX(A_Aufgaben,(I$5-Arbeitszeit!$A$6+1),(2*(ROW()-ROW(A_Aufgabendatum))-1))),"")</f>
        <v>#VALUE!</v>
      </c>
      <c r="J54" s="471" t="e">
        <f>IF(J$5&gt;0,(INDEX(A_Aufgaben,(J$5-Arbeitszeit!$A$6+1),(2*(ROW()-ROW(A_Aufgabendatum))-1))),"")</f>
        <v>#VALUE!</v>
      </c>
      <c r="K54" s="470" t="e">
        <f>IF(K$5&gt;0,(INDEX(A_Aufgaben,(K$5-Arbeitszeit!$A$6+1),(2*(ROW()-ROW(A_Aufgabendatum))-1))),"")</f>
        <v>#VALUE!</v>
      </c>
      <c r="L54" s="471" t="e">
        <f>IF(L$5&gt;0,(INDEX(A_Aufgaben,(L$5-Arbeitszeit!$A$6+1),(2*(ROW()-ROW(A_Aufgabendatum))-1))),"")</f>
        <v>#VALUE!</v>
      </c>
      <c r="M54" s="470" t="e">
        <f>IF(M$5&gt;0,(INDEX(A_Aufgaben,(M$5-Arbeitszeit!$A$6+1),(2*(ROW()-ROW(A_Aufgabendatum))-1))),"")</f>
        <v>#VALUE!</v>
      </c>
      <c r="N54" s="471" t="e">
        <f>IF(N$5&gt;0,(INDEX(A_Aufgaben,(N$5-Arbeitszeit!$A$6+1),(2*(ROW()-ROW(A_Aufgabendatum))-1))),"")</f>
        <v>#VALUE!</v>
      </c>
      <c r="O54" s="470" t="e">
        <f>IF(O$5&gt;0,(INDEX(A_Aufgaben,(O$5-Arbeitszeit!$A$6+1),(2*(ROW()-ROW(A_Aufgabendatum))-1))),"")</f>
        <v>#VALUE!</v>
      </c>
      <c r="P54" s="471" t="e">
        <f>IF(P$5&gt;0,(INDEX(A_Aufgaben,(P$5-Arbeitszeit!$A$6+1),(2*(ROW()-ROW(A_Aufgabendatum))-1))),"")</f>
        <v>#VALUE!</v>
      </c>
      <c r="Q54" s="470" t="e">
        <f>IF(Q$5&gt;0,(INDEX(A_Aufgaben,(Q$5-Arbeitszeit!$A$6+1),(2*(ROW()-ROW(A_Aufgabendatum))-1))),"")</f>
        <v>#VALUE!</v>
      </c>
      <c r="R54" s="471" t="e">
        <f>IF(R$5&gt;0,(INDEX(A_Aufgaben,(R$5-Arbeitszeit!$A$6+1),(2*(ROW()-ROW(A_Aufgabendatum))-1))),"")</f>
        <v>#VALUE!</v>
      </c>
      <c r="S54" s="470" t="e">
        <f>IF(S$5&gt;0,(INDEX(A_Aufgaben,(S$5-Arbeitszeit!$A$6+1),(2*(ROW()-ROW(A_Aufgabendatum))-1))),"")</f>
        <v>#VALUE!</v>
      </c>
      <c r="T54" s="471" t="e">
        <f>IF(T$5&gt;0,(INDEX(A_Aufgaben,(T$5-Arbeitszeit!$A$6+1),(2*(ROW()-ROW(A_Aufgabendatum))-1))),"")</f>
        <v>#VALUE!</v>
      </c>
      <c r="U54" s="470" t="e">
        <f>IF(U$5&gt;0,(INDEX(A_Aufgaben,(U$5-Arbeitszeit!$A$6+1),(2*(ROW()-ROW(A_Aufgabendatum))-1))),"")</f>
        <v>#VALUE!</v>
      </c>
      <c r="V54" s="471" t="e">
        <f>IF(V$5&gt;0,(INDEX(A_Aufgaben,(V$5-Arbeitszeit!$A$6+1),(2*(ROW()-ROW(A_Aufgabendatum))-1))),"")</f>
        <v>#VALUE!</v>
      </c>
      <c r="W54" s="470" t="e">
        <f>IF(W$5&gt;0,(INDEX(A_Aufgaben,(W$5-Arbeitszeit!$A$6+1),(2*(ROW()-ROW(A_Aufgabendatum))-1))),"")</f>
        <v>#VALUE!</v>
      </c>
      <c r="X54" s="471" t="e">
        <f>IF(X$5&gt;0,(INDEX(A_Aufgaben,(X$5-Arbeitszeit!$A$6+1),(2*(ROW()-ROW(A_Aufgabendatum))-1))),"")</f>
        <v>#VALUE!</v>
      </c>
      <c r="Y54" s="470" t="e">
        <f>IF(Y$5&gt;0,(INDEX(A_Aufgaben,(Y$5-Arbeitszeit!$A$6+1),(2*(ROW()-ROW(A_Aufgabendatum))-1))),"")</f>
        <v>#VALUE!</v>
      </c>
      <c r="Z54" s="471" t="e">
        <f>IF(Z$5&gt;0,(INDEX(A_Aufgaben,(Z$5-Arbeitszeit!$A$6+1),(2*(ROW()-ROW(A_Aufgabendatum))-1))),"")</f>
        <v>#VALUE!</v>
      </c>
      <c r="AA54" s="470" t="e">
        <f>IF(AA$5&gt;0,(INDEX(A_Aufgaben,(AA$5-Arbeitszeit!$A$6+1),(2*(ROW()-ROW(A_Aufgabendatum))-1))),"")</f>
        <v>#VALUE!</v>
      </c>
      <c r="AB54" s="471" t="e">
        <f>IF(AB$5&gt;0,(INDEX(A_Aufgaben,(AB$5-Arbeitszeit!$A$6+1),(2*(ROW()-ROW(A_Aufgabendatum))-1))),"")</f>
        <v>#VALUE!</v>
      </c>
      <c r="AC54" s="470" t="e">
        <f>IF(AC$5&gt;0,(INDEX(A_Aufgaben,(AC$5-Arbeitszeit!$A$6+1),(2*(ROW()-ROW(A_Aufgabendatum))-1))),"")</f>
        <v>#VALUE!</v>
      </c>
      <c r="AD54" s="471" t="e">
        <f>IF(AD$5&gt;0,(INDEX(A_Aufgaben,(AD$5-Arbeitszeit!$A$6+1),(2*(ROW()-ROW(A_Aufgabendatum))-1))),"")</f>
        <v>#VALUE!</v>
      </c>
      <c r="AE54" s="470" t="e">
        <f>IF(AE$5&gt;0,(INDEX(A_Aufgaben,(AE$5-Arbeitszeit!$A$6+1),(2*(ROW()-ROW(A_Aufgabendatum))-1))),"")</f>
        <v>#VALUE!</v>
      </c>
      <c r="AF54" s="471" t="e">
        <f>IF(AF$5&gt;0,(INDEX(A_Aufgaben,(AF$5-Arbeitszeit!$A$6+1),(2*(ROW()-ROW(A_Aufgabendatum))-1))),"")</f>
        <v>#VALUE!</v>
      </c>
      <c r="AG54" s="470" t="e">
        <f>IF(AG$5&gt;0,(INDEX(A_Aufgaben,(AG$5-Arbeitszeit!$A$6+1),(2*(ROW()-ROW(A_Aufgabendatum))-1))),"")</f>
        <v>#VALUE!</v>
      </c>
      <c r="AH54" s="479" t="e">
        <f t="shared" si="5"/>
        <v>#VALUE!</v>
      </c>
      <c r="AI54" s="3"/>
    </row>
    <row r="55" spans="2:35">
      <c r="B55" s="469" t="str">
        <f>Aufgaben!DA3</f>
        <v>Aufgabe 47</v>
      </c>
      <c r="C55" s="470" t="e">
        <f>IF(C$5&gt;0,(INDEX(A_Aufgaben,(C$5-Arbeitszeit!$A$6+1),(2*(ROW()-ROW(A_Aufgabendatum))-1))),"")</f>
        <v>#VALUE!</v>
      </c>
      <c r="D55" s="471" t="e">
        <f>IF(D$5&gt;0,(INDEX(A_Aufgaben,(D$5-Arbeitszeit!$A$6+1),(2*(ROW()-ROW(A_Aufgabendatum))-1))),"")</f>
        <v>#VALUE!</v>
      </c>
      <c r="E55" s="470" t="e">
        <f>IF(E$5&gt;0,(INDEX(A_Aufgaben,(E$5-Arbeitszeit!$A$6+1),(2*(ROW()-ROW(A_Aufgabendatum))-1))),"")</f>
        <v>#VALUE!</v>
      </c>
      <c r="F55" s="471" t="e">
        <f>IF(F$5&gt;0,(INDEX(A_Aufgaben,(F$5-Arbeitszeit!$A$6+1),(2*(ROW()-ROW(A_Aufgabendatum))-1))),"")</f>
        <v>#VALUE!</v>
      </c>
      <c r="G55" s="470" t="e">
        <f>IF(G$5&gt;0,(INDEX(A_Aufgaben,(G$5-Arbeitszeit!$A$6+1),(2*(ROW()-ROW(A_Aufgabendatum))-1))),"")</f>
        <v>#VALUE!</v>
      </c>
      <c r="H55" s="471" t="e">
        <f>IF(H$5&gt;0,(INDEX(A_Aufgaben,(H$5-Arbeitszeit!$A$6+1),(2*(ROW()-ROW(A_Aufgabendatum))-1))),"")</f>
        <v>#VALUE!</v>
      </c>
      <c r="I55" s="470" t="e">
        <f>IF(I$5&gt;0,(INDEX(A_Aufgaben,(I$5-Arbeitszeit!$A$6+1),(2*(ROW()-ROW(A_Aufgabendatum))-1))),"")</f>
        <v>#VALUE!</v>
      </c>
      <c r="J55" s="471" t="e">
        <f>IF(J$5&gt;0,(INDEX(A_Aufgaben,(J$5-Arbeitszeit!$A$6+1),(2*(ROW()-ROW(A_Aufgabendatum))-1))),"")</f>
        <v>#VALUE!</v>
      </c>
      <c r="K55" s="470" t="e">
        <f>IF(K$5&gt;0,(INDEX(A_Aufgaben,(K$5-Arbeitszeit!$A$6+1),(2*(ROW()-ROW(A_Aufgabendatum))-1))),"")</f>
        <v>#VALUE!</v>
      </c>
      <c r="L55" s="471" t="e">
        <f>IF(L$5&gt;0,(INDEX(A_Aufgaben,(L$5-Arbeitszeit!$A$6+1),(2*(ROW()-ROW(A_Aufgabendatum))-1))),"")</f>
        <v>#VALUE!</v>
      </c>
      <c r="M55" s="470" t="e">
        <f>IF(M$5&gt;0,(INDEX(A_Aufgaben,(M$5-Arbeitszeit!$A$6+1),(2*(ROW()-ROW(A_Aufgabendatum))-1))),"")</f>
        <v>#VALUE!</v>
      </c>
      <c r="N55" s="471" t="e">
        <f>IF(N$5&gt;0,(INDEX(A_Aufgaben,(N$5-Arbeitszeit!$A$6+1),(2*(ROW()-ROW(A_Aufgabendatum))-1))),"")</f>
        <v>#VALUE!</v>
      </c>
      <c r="O55" s="470" t="e">
        <f>IF(O$5&gt;0,(INDEX(A_Aufgaben,(O$5-Arbeitszeit!$A$6+1),(2*(ROW()-ROW(A_Aufgabendatum))-1))),"")</f>
        <v>#VALUE!</v>
      </c>
      <c r="P55" s="471" t="e">
        <f>IF(P$5&gt;0,(INDEX(A_Aufgaben,(P$5-Arbeitszeit!$A$6+1),(2*(ROW()-ROW(A_Aufgabendatum))-1))),"")</f>
        <v>#VALUE!</v>
      </c>
      <c r="Q55" s="470" t="e">
        <f>IF(Q$5&gt;0,(INDEX(A_Aufgaben,(Q$5-Arbeitszeit!$A$6+1),(2*(ROW()-ROW(A_Aufgabendatum))-1))),"")</f>
        <v>#VALUE!</v>
      </c>
      <c r="R55" s="471" t="e">
        <f>IF(R$5&gt;0,(INDEX(A_Aufgaben,(R$5-Arbeitszeit!$A$6+1),(2*(ROW()-ROW(A_Aufgabendatum))-1))),"")</f>
        <v>#VALUE!</v>
      </c>
      <c r="S55" s="470" t="e">
        <f>IF(S$5&gt;0,(INDEX(A_Aufgaben,(S$5-Arbeitszeit!$A$6+1),(2*(ROW()-ROW(A_Aufgabendatum))-1))),"")</f>
        <v>#VALUE!</v>
      </c>
      <c r="T55" s="471" t="e">
        <f>IF(T$5&gt;0,(INDEX(A_Aufgaben,(T$5-Arbeitszeit!$A$6+1),(2*(ROW()-ROW(A_Aufgabendatum))-1))),"")</f>
        <v>#VALUE!</v>
      </c>
      <c r="U55" s="470" t="e">
        <f>IF(U$5&gt;0,(INDEX(A_Aufgaben,(U$5-Arbeitszeit!$A$6+1),(2*(ROW()-ROW(A_Aufgabendatum))-1))),"")</f>
        <v>#VALUE!</v>
      </c>
      <c r="V55" s="471" t="e">
        <f>IF(V$5&gt;0,(INDEX(A_Aufgaben,(V$5-Arbeitszeit!$A$6+1),(2*(ROW()-ROW(A_Aufgabendatum))-1))),"")</f>
        <v>#VALUE!</v>
      </c>
      <c r="W55" s="470" t="e">
        <f>IF(W$5&gt;0,(INDEX(A_Aufgaben,(W$5-Arbeitszeit!$A$6+1),(2*(ROW()-ROW(A_Aufgabendatum))-1))),"")</f>
        <v>#VALUE!</v>
      </c>
      <c r="X55" s="471" t="e">
        <f>IF(X$5&gt;0,(INDEX(A_Aufgaben,(X$5-Arbeitszeit!$A$6+1),(2*(ROW()-ROW(A_Aufgabendatum))-1))),"")</f>
        <v>#VALUE!</v>
      </c>
      <c r="Y55" s="470" t="e">
        <f>IF(Y$5&gt;0,(INDEX(A_Aufgaben,(Y$5-Arbeitszeit!$A$6+1),(2*(ROW()-ROW(A_Aufgabendatum))-1))),"")</f>
        <v>#VALUE!</v>
      </c>
      <c r="Z55" s="471" t="e">
        <f>IF(Z$5&gt;0,(INDEX(A_Aufgaben,(Z$5-Arbeitszeit!$A$6+1),(2*(ROW()-ROW(A_Aufgabendatum))-1))),"")</f>
        <v>#VALUE!</v>
      </c>
      <c r="AA55" s="470" t="e">
        <f>IF(AA$5&gt;0,(INDEX(A_Aufgaben,(AA$5-Arbeitszeit!$A$6+1),(2*(ROW()-ROW(A_Aufgabendatum))-1))),"")</f>
        <v>#VALUE!</v>
      </c>
      <c r="AB55" s="471" t="e">
        <f>IF(AB$5&gt;0,(INDEX(A_Aufgaben,(AB$5-Arbeitszeit!$A$6+1),(2*(ROW()-ROW(A_Aufgabendatum))-1))),"")</f>
        <v>#VALUE!</v>
      </c>
      <c r="AC55" s="470" t="e">
        <f>IF(AC$5&gt;0,(INDEX(A_Aufgaben,(AC$5-Arbeitszeit!$A$6+1),(2*(ROW()-ROW(A_Aufgabendatum))-1))),"")</f>
        <v>#VALUE!</v>
      </c>
      <c r="AD55" s="471" t="e">
        <f>IF(AD$5&gt;0,(INDEX(A_Aufgaben,(AD$5-Arbeitszeit!$A$6+1),(2*(ROW()-ROW(A_Aufgabendatum))-1))),"")</f>
        <v>#VALUE!</v>
      </c>
      <c r="AE55" s="470" t="e">
        <f>IF(AE$5&gt;0,(INDEX(A_Aufgaben,(AE$5-Arbeitszeit!$A$6+1),(2*(ROW()-ROW(A_Aufgabendatum))-1))),"")</f>
        <v>#VALUE!</v>
      </c>
      <c r="AF55" s="471" t="e">
        <f>IF(AF$5&gt;0,(INDEX(A_Aufgaben,(AF$5-Arbeitszeit!$A$6+1),(2*(ROW()-ROW(A_Aufgabendatum))-1))),"")</f>
        <v>#VALUE!</v>
      </c>
      <c r="AG55" s="470" t="e">
        <f>IF(AG$5&gt;0,(INDEX(A_Aufgaben,(AG$5-Arbeitszeit!$A$6+1),(2*(ROW()-ROW(A_Aufgabendatum))-1))),"")</f>
        <v>#VALUE!</v>
      </c>
      <c r="AH55" s="479" t="e">
        <f t="shared" si="5"/>
        <v>#VALUE!</v>
      </c>
      <c r="AI55" s="3"/>
    </row>
    <row r="56" spans="2:35">
      <c r="B56" s="469" t="str">
        <f>Aufgaben!DC3</f>
        <v>Aufgabe 48</v>
      </c>
      <c r="C56" s="470" t="e">
        <f>IF(C$5&gt;0,(INDEX(A_Aufgaben,(C$5-Arbeitszeit!$A$6+1),(2*(ROW()-ROW(A_Aufgabendatum))-1))),"")</f>
        <v>#VALUE!</v>
      </c>
      <c r="D56" s="471" t="e">
        <f>IF(D$5&gt;0,(INDEX(A_Aufgaben,(D$5-Arbeitszeit!$A$6+1),(2*(ROW()-ROW(A_Aufgabendatum))-1))),"")</f>
        <v>#VALUE!</v>
      </c>
      <c r="E56" s="470" t="e">
        <f>IF(E$5&gt;0,(INDEX(A_Aufgaben,(E$5-Arbeitszeit!$A$6+1),(2*(ROW()-ROW(A_Aufgabendatum))-1))),"")</f>
        <v>#VALUE!</v>
      </c>
      <c r="F56" s="471" t="e">
        <f>IF(F$5&gt;0,(INDEX(A_Aufgaben,(F$5-Arbeitszeit!$A$6+1),(2*(ROW()-ROW(A_Aufgabendatum))-1))),"")</f>
        <v>#VALUE!</v>
      </c>
      <c r="G56" s="470" t="e">
        <f>IF(G$5&gt;0,(INDEX(A_Aufgaben,(G$5-Arbeitszeit!$A$6+1),(2*(ROW()-ROW(A_Aufgabendatum))-1))),"")</f>
        <v>#VALUE!</v>
      </c>
      <c r="H56" s="471" t="e">
        <f>IF(H$5&gt;0,(INDEX(A_Aufgaben,(H$5-Arbeitszeit!$A$6+1),(2*(ROW()-ROW(A_Aufgabendatum))-1))),"")</f>
        <v>#VALUE!</v>
      </c>
      <c r="I56" s="470" t="e">
        <f>IF(I$5&gt;0,(INDEX(A_Aufgaben,(I$5-Arbeitszeit!$A$6+1),(2*(ROW()-ROW(A_Aufgabendatum))-1))),"")</f>
        <v>#VALUE!</v>
      </c>
      <c r="J56" s="471" t="e">
        <f>IF(J$5&gt;0,(INDEX(A_Aufgaben,(J$5-Arbeitszeit!$A$6+1),(2*(ROW()-ROW(A_Aufgabendatum))-1))),"")</f>
        <v>#VALUE!</v>
      </c>
      <c r="K56" s="470" t="e">
        <f>IF(K$5&gt;0,(INDEX(A_Aufgaben,(K$5-Arbeitszeit!$A$6+1),(2*(ROW()-ROW(A_Aufgabendatum))-1))),"")</f>
        <v>#VALUE!</v>
      </c>
      <c r="L56" s="471" t="e">
        <f>IF(L$5&gt;0,(INDEX(A_Aufgaben,(L$5-Arbeitszeit!$A$6+1),(2*(ROW()-ROW(A_Aufgabendatum))-1))),"")</f>
        <v>#VALUE!</v>
      </c>
      <c r="M56" s="470" t="e">
        <f>IF(M$5&gt;0,(INDEX(A_Aufgaben,(M$5-Arbeitszeit!$A$6+1),(2*(ROW()-ROW(A_Aufgabendatum))-1))),"")</f>
        <v>#VALUE!</v>
      </c>
      <c r="N56" s="471" t="e">
        <f>IF(N$5&gt;0,(INDEX(A_Aufgaben,(N$5-Arbeitszeit!$A$6+1),(2*(ROW()-ROW(A_Aufgabendatum))-1))),"")</f>
        <v>#VALUE!</v>
      </c>
      <c r="O56" s="470" t="e">
        <f>IF(O$5&gt;0,(INDEX(A_Aufgaben,(O$5-Arbeitszeit!$A$6+1),(2*(ROW()-ROW(A_Aufgabendatum))-1))),"")</f>
        <v>#VALUE!</v>
      </c>
      <c r="P56" s="471" t="e">
        <f>IF(P$5&gt;0,(INDEX(A_Aufgaben,(P$5-Arbeitszeit!$A$6+1),(2*(ROW()-ROW(A_Aufgabendatum))-1))),"")</f>
        <v>#VALUE!</v>
      </c>
      <c r="Q56" s="470" t="e">
        <f>IF(Q$5&gt;0,(INDEX(A_Aufgaben,(Q$5-Arbeitszeit!$A$6+1),(2*(ROW()-ROW(A_Aufgabendatum))-1))),"")</f>
        <v>#VALUE!</v>
      </c>
      <c r="R56" s="471" t="e">
        <f>IF(R$5&gt;0,(INDEX(A_Aufgaben,(R$5-Arbeitszeit!$A$6+1),(2*(ROW()-ROW(A_Aufgabendatum))-1))),"")</f>
        <v>#VALUE!</v>
      </c>
      <c r="S56" s="470" t="e">
        <f>IF(S$5&gt;0,(INDEX(A_Aufgaben,(S$5-Arbeitszeit!$A$6+1),(2*(ROW()-ROW(A_Aufgabendatum))-1))),"")</f>
        <v>#VALUE!</v>
      </c>
      <c r="T56" s="471" t="e">
        <f>IF(T$5&gt;0,(INDEX(A_Aufgaben,(T$5-Arbeitszeit!$A$6+1),(2*(ROW()-ROW(A_Aufgabendatum))-1))),"")</f>
        <v>#VALUE!</v>
      </c>
      <c r="U56" s="470" t="e">
        <f>IF(U$5&gt;0,(INDEX(A_Aufgaben,(U$5-Arbeitszeit!$A$6+1),(2*(ROW()-ROW(A_Aufgabendatum))-1))),"")</f>
        <v>#VALUE!</v>
      </c>
      <c r="V56" s="471" t="e">
        <f>IF(V$5&gt;0,(INDEX(A_Aufgaben,(V$5-Arbeitszeit!$A$6+1),(2*(ROW()-ROW(A_Aufgabendatum))-1))),"")</f>
        <v>#VALUE!</v>
      </c>
      <c r="W56" s="470" t="e">
        <f>IF(W$5&gt;0,(INDEX(A_Aufgaben,(W$5-Arbeitszeit!$A$6+1),(2*(ROW()-ROW(A_Aufgabendatum))-1))),"")</f>
        <v>#VALUE!</v>
      </c>
      <c r="X56" s="471" t="e">
        <f>IF(X$5&gt;0,(INDEX(A_Aufgaben,(X$5-Arbeitszeit!$A$6+1),(2*(ROW()-ROW(A_Aufgabendatum))-1))),"")</f>
        <v>#VALUE!</v>
      </c>
      <c r="Y56" s="470" t="e">
        <f>IF(Y$5&gt;0,(INDEX(A_Aufgaben,(Y$5-Arbeitszeit!$A$6+1),(2*(ROW()-ROW(A_Aufgabendatum))-1))),"")</f>
        <v>#VALUE!</v>
      </c>
      <c r="Z56" s="471" t="e">
        <f>IF(Z$5&gt;0,(INDEX(A_Aufgaben,(Z$5-Arbeitszeit!$A$6+1),(2*(ROW()-ROW(A_Aufgabendatum))-1))),"")</f>
        <v>#VALUE!</v>
      </c>
      <c r="AA56" s="470" t="e">
        <f>IF(AA$5&gt;0,(INDEX(A_Aufgaben,(AA$5-Arbeitszeit!$A$6+1),(2*(ROW()-ROW(A_Aufgabendatum))-1))),"")</f>
        <v>#VALUE!</v>
      </c>
      <c r="AB56" s="471" t="e">
        <f>IF(AB$5&gt;0,(INDEX(A_Aufgaben,(AB$5-Arbeitszeit!$A$6+1),(2*(ROW()-ROW(A_Aufgabendatum))-1))),"")</f>
        <v>#VALUE!</v>
      </c>
      <c r="AC56" s="470" t="e">
        <f>IF(AC$5&gt;0,(INDEX(A_Aufgaben,(AC$5-Arbeitszeit!$A$6+1),(2*(ROW()-ROW(A_Aufgabendatum))-1))),"")</f>
        <v>#VALUE!</v>
      </c>
      <c r="AD56" s="471" t="e">
        <f>IF(AD$5&gt;0,(INDEX(A_Aufgaben,(AD$5-Arbeitszeit!$A$6+1),(2*(ROW()-ROW(A_Aufgabendatum))-1))),"")</f>
        <v>#VALUE!</v>
      </c>
      <c r="AE56" s="470" t="e">
        <f>IF(AE$5&gt;0,(INDEX(A_Aufgaben,(AE$5-Arbeitszeit!$A$6+1),(2*(ROW()-ROW(A_Aufgabendatum))-1))),"")</f>
        <v>#VALUE!</v>
      </c>
      <c r="AF56" s="471" t="e">
        <f>IF(AF$5&gt;0,(INDEX(A_Aufgaben,(AF$5-Arbeitszeit!$A$6+1),(2*(ROW()-ROW(A_Aufgabendatum))-1))),"")</f>
        <v>#VALUE!</v>
      </c>
      <c r="AG56" s="470" t="e">
        <f>IF(AG$5&gt;0,(INDEX(A_Aufgaben,(AG$5-Arbeitszeit!$A$6+1),(2*(ROW()-ROW(A_Aufgabendatum))-1))),"")</f>
        <v>#VALUE!</v>
      </c>
      <c r="AH56" s="479" t="e">
        <f t="shared" si="5"/>
        <v>#VALUE!</v>
      </c>
      <c r="AI56" s="3"/>
    </row>
    <row r="57" spans="2:35">
      <c r="B57" s="469" t="str">
        <f>Aufgaben!DE3</f>
        <v>Aufgabe 49</v>
      </c>
      <c r="C57" s="470" t="e">
        <f>IF(C$5&gt;0,(INDEX(A_Aufgaben,(C$5-Arbeitszeit!$A$6+1),(2*(ROW()-ROW(A_Aufgabendatum))-1))),"")</f>
        <v>#VALUE!</v>
      </c>
      <c r="D57" s="471" t="e">
        <f>IF(D$5&gt;0,(INDEX(A_Aufgaben,(D$5-Arbeitszeit!$A$6+1),(2*(ROW()-ROW(A_Aufgabendatum))-1))),"")</f>
        <v>#VALUE!</v>
      </c>
      <c r="E57" s="470" t="e">
        <f>IF(E$5&gt;0,(INDEX(A_Aufgaben,(E$5-Arbeitszeit!$A$6+1),(2*(ROW()-ROW(A_Aufgabendatum))-1))),"")</f>
        <v>#VALUE!</v>
      </c>
      <c r="F57" s="471" t="e">
        <f>IF(F$5&gt;0,(INDEX(A_Aufgaben,(F$5-Arbeitszeit!$A$6+1),(2*(ROW()-ROW(A_Aufgabendatum))-1))),"")</f>
        <v>#VALUE!</v>
      </c>
      <c r="G57" s="470" t="e">
        <f>IF(G$5&gt;0,(INDEX(A_Aufgaben,(G$5-Arbeitszeit!$A$6+1),(2*(ROW()-ROW(A_Aufgabendatum))-1))),"")</f>
        <v>#VALUE!</v>
      </c>
      <c r="H57" s="471" t="e">
        <f>IF(H$5&gt;0,(INDEX(A_Aufgaben,(H$5-Arbeitszeit!$A$6+1),(2*(ROW()-ROW(A_Aufgabendatum))-1))),"")</f>
        <v>#VALUE!</v>
      </c>
      <c r="I57" s="470" t="e">
        <f>IF(I$5&gt;0,(INDEX(A_Aufgaben,(I$5-Arbeitszeit!$A$6+1),(2*(ROW()-ROW(A_Aufgabendatum))-1))),"")</f>
        <v>#VALUE!</v>
      </c>
      <c r="J57" s="471" t="e">
        <f>IF(J$5&gt;0,(INDEX(A_Aufgaben,(J$5-Arbeitszeit!$A$6+1),(2*(ROW()-ROW(A_Aufgabendatum))-1))),"")</f>
        <v>#VALUE!</v>
      </c>
      <c r="K57" s="470" t="e">
        <f>IF(K$5&gt;0,(INDEX(A_Aufgaben,(K$5-Arbeitszeit!$A$6+1),(2*(ROW()-ROW(A_Aufgabendatum))-1))),"")</f>
        <v>#VALUE!</v>
      </c>
      <c r="L57" s="471" t="e">
        <f>IF(L$5&gt;0,(INDEX(A_Aufgaben,(L$5-Arbeitszeit!$A$6+1),(2*(ROW()-ROW(A_Aufgabendatum))-1))),"")</f>
        <v>#VALUE!</v>
      </c>
      <c r="M57" s="470" t="e">
        <f>IF(M$5&gt;0,(INDEX(A_Aufgaben,(M$5-Arbeitszeit!$A$6+1),(2*(ROW()-ROW(A_Aufgabendatum))-1))),"")</f>
        <v>#VALUE!</v>
      </c>
      <c r="N57" s="471" t="e">
        <f>IF(N$5&gt;0,(INDEX(A_Aufgaben,(N$5-Arbeitszeit!$A$6+1),(2*(ROW()-ROW(A_Aufgabendatum))-1))),"")</f>
        <v>#VALUE!</v>
      </c>
      <c r="O57" s="470" t="e">
        <f>IF(O$5&gt;0,(INDEX(A_Aufgaben,(O$5-Arbeitszeit!$A$6+1),(2*(ROW()-ROW(A_Aufgabendatum))-1))),"")</f>
        <v>#VALUE!</v>
      </c>
      <c r="P57" s="471" t="e">
        <f>IF(P$5&gt;0,(INDEX(A_Aufgaben,(P$5-Arbeitszeit!$A$6+1),(2*(ROW()-ROW(A_Aufgabendatum))-1))),"")</f>
        <v>#VALUE!</v>
      </c>
      <c r="Q57" s="470" t="e">
        <f>IF(Q$5&gt;0,(INDEX(A_Aufgaben,(Q$5-Arbeitszeit!$A$6+1),(2*(ROW()-ROW(A_Aufgabendatum))-1))),"")</f>
        <v>#VALUE!</v>
      </c>
      <c r="R57" s="471" t="e">
        <f>IF(R$5&gt;0,(INDEX(A_Aufgaben,(R$5-Arbeitszeit!$A$6+1),(2*(ROW()-ROW(A_Aufgabendatum))-1))),"")</f>
        <v>#VALUE!</v>
      </c>
      <c r="S57" s="470" t="e">
        <f>IF(S$5&gt;0,(INDEX(A_Aufgaben,(S$5-Arbeitszeit!$A$6+1),(2*(ROW()-ROW(A_Aufgabendatum))-1))),"")</f>
        <v>#VALUE!</v>
      </c>
      <c r="T57" s="471" t="e">
        <f>IF(T$5&gt;0,(INDEX(A_Aufgaben,(T$5-Arbeitszeit!$A$6+1),(2*(ROW()-ROW(A_Aufgabendatum))-1))),"")</f>
        <v>#VALUE!</v>
      </c>
      <c r="U57" s="470" t="e">
        <f>IF(U$5&gt;0,(INDEX(A_Aufgaben,(U$5-Arbeitszeit!$A$6+1),(2*(ROW()-ROW(A_Aufgabendatum))-1))),"")</f>
        <v>#VALUE!</v>
      </c>
      <c r="V57" s="471" t="e">
        <f>IF(V$5&gt;0,(INDEX(A_Aufgaben,(V$5-Arbeitszeit!$A$6+1),(2*(ROW()-ROW(A_Aufgabendatum))-1))),"")</f>
        <v>#VALUE!</v>
      </c>
      <c r="W57" s="470" t="e">
        <f>IF(W$5&gt;0,(INDEX(A_Aufgaben,(W$5-Arbeitszeit!$A$6+1),(2*(ROW()-ROW(A_Aufgabendatum))-1))),"")</f>
        <v>#VALUE!</v>
      </c>
      <c r="X57" s="471" t="e">
        <f>IF(X$5&gt;0,(INDEX(A_Aufgaben,(X$5-Arbeitszeit!$A$6+1),(2*(ROW()-ROW(A_Aufgabendatum))-1))),"")</f>
        <v>#VALUE!</v>
      </c>
      <c r="Y57" s="470" t="e">
        <f>IF(Y$5&gt;0,(INDEX(A_Aufgaben,(Y$5-Arbeitszeit!$A$6+1),(2*(ROW()-ROW(A_Aufgabendatum))-1))),"")</f>
        <v>#VALUE!</v>
      </c>
      <c r="Z57" s="471" t="e">
        <f>IF(Z$5&gt;0,(INDEX(A_Aufgaben,(Z$5-Arbeitszeit!$A$6+1),(2*(ROW()-ROW(A_Aufgabendatum))-1))),"")</f>
        <v>#VALUE!</v>
      </c>
      <c r="AA57" s="470" t="e">
        <f>IF(AA$5&gt;0,(INDEX(A_Aufgaben,(AA$5-Arbeitszeit!$A$6+1),(2*(ROW()-ROW(A_Aufgabendatum))-1))),"")</f>
        <v>#VALUE!</v>
      </c>
      <c r="AB57" s="471" t="e">
        <f>IF(AB$5&gt;0,(INDEX(A_Aufgaben,(AB$5-Arbeitszeit!$A$6+1),(2*(ROW()-ROW(A_Aufgabendatum))-1))),"")</f>
        <v>#VALUE!</v>
      </c>
      <c r="AC57" s="470" t="e">
        <f>IF(AC$5&gt;0,(INDEX(A_Aufgaben,(AC$5-Arbeitszeit!$A$6+1),(2*(ROW()-ROW(A_Aufgabendatum))-1))),"")</f>
        <v>#VALUE!</v>
      </c>
      <c r="AD57" s="471" t="e">
        <f>IF(AD$5&gt;0,(INDEX(A_Aufgaben,(AD$5-Arbeitszeit!$A$6+1),(2*(ROW()-ROW(A_Aufgabendatum))-1))),"")</f>
        <v>#VALUE!</v>
      </c>
      <c r="AE57" s="470" t="e">
        <f>IF(AE$5&gt;0,(INDEX(A_Aufgaben,(AE$5-Arbeitszeit!$A$6+1),(2*(ROW()-ROW(A_Aufgabendatum))-1))),"")</f>
        <v>#VALUE!</v>
      </c>
      <c r="AF57" s="471" t="e">
        <f>IF(AF$5&gt;0,(INDEX(A_Aufgaben,(AF$5-Arbeitszeit!$A$6+1),(2*(ROW()-ROW(A_Aufgabendatum))-1))),"")</f>
        <v>#VALUE!</v>
      </c>
      <c r="AG57" s="470" t="e">
        <f>IF(AG$5&gt;0,(INDEX(A_Aufgaben,(AG$5-Arbeitszeit!$A$6+1),(2*(ROW()-ROW(A_Aufgabendatum))-1))),"")</f>
        <v>#VALUE!</v>
      </c>
      <c r="AH57" s="479" t="e">
        <f t="shared" ref="AH57" si="7">SUM(C57:AG57)</f>
        <v>#VALUE!</v>
      </c>
      <c r="AI57" s="3"/>
    </row>
    <row r="58" spans="2:35">
      <c r="B58" s="469" t="str">
        <f>Aufgaben!DG3</f>
        <v>Aufgabe 50</v>
      </c>
      <c r="C58" s="470" t="e">
        <f>IF(C$5&gt;0,(INDEX(A_Aufgaben,(C$5-Arbeitszeit!$A$6+1),(2*(ROW()-ROW(A_Aufgabendatum))-1))),"")</f>
        <v>#VALUE!</v>
      </c>
      <c r="D58" s="471" t="e">
        <f>IF(D$5&gt;0,(INDEX(A_Aufgaben,(D$5-Arbeitszeit!$A$6+1),(2*(ROW()-ROW(A_Aufgabendatum))-1))),"")</f>
        <v>#VALUE!</v>
      </c>
      <c r="E58" s="470" t="e">
        <f>IF(E$5&gt;0,(INDEX(A_Aufgaben,(E$5-Arbeitszeit!$A$6+1),(2*(ROW()-ROW(A_Aufgabendatum))-1))),"")</f>
        <v>#VALUE!</v>
      </c>
      <c r="F58" s="471" t="e">
        <f>IF(F$5&gt;0,(INDEX(A_Aufgaben,(F$5-Arbeitszeit!$A$6+1),(2*(ROW()-ROW(A_Aufgabendatum))-1))),"")</f>
        <v>#VALUE!</v>
      </c>
      <c r="G58" s="470" t="e">
        <f>IF(G$5&gt;0,(INDEX(A_Aufgaben,(G$5-Arbeitszeit!$A$6+1),(2*(ROW()-ROW(A_Aufgabendatum))-1))),"")</f>
        <v>#VALUE!</v>
      </c>
      <c r="H58" s="471" t="e">
        <f>IF(H$5&gt;0,(INDEX(A_Aufgaben,(H$5-Arbeitszeit!$A$6+1),(2*(ROW()-ROW(A_Aufgabendatum))-1))),"")</f>
        <v>#VALUE!</v>
      </c>
      <c r="I58" s="470" t="e">
        <f>IF(I$5&gt;0,(INDEX(A_Aufgaben,(I$5-Arbeitszeit!$A$6+1),(2*(ROW()-ROW(A_Aufgabendatum))-1))),"")</f>
        <v>#VALUE!</v>
      </c>
      <c r="J58" s="471" t="e">
        <f>IF(J$5&gt;0,(INDEX(A_Aufgaben,(J$5-Arbeitszeit!$A$6+1),(2*(ROW()-ROW(A_Aufgabendatum))-1))),"")</f>
        <v>#VALUE!</v>
      </c>
      <c r="K58" s="470" t="e">
        <f>IF(K$5&gt;0,(INDEX(A_Aufgaben,(K$5-Arbeitszeit!$A$6+1),(2*(ROW()-ROW(A_Aufgabendatum))-1))),"")</f>
        <v>#VALUE!</v>
      </c>
      <c r="L58" s="471" t="e">
        <f>IF(L$5&gt;0,(INDEX(A_Aufgaben,(L$5-Arbeitszeit!$A$6+1),(2*(ROW()-ROW(A_Aufgabendatum))-1))),"")</f>
        <v>#VALUE!</v>
      </c>
      <c r="M58" s="470" t="e">
        <f>IF(M$5&gt;0,(INDEX(A_Aufgaben,(M$5-Arbeitszeit!$A$6+1),(2*(ROW()-ROW(A_Aufgabendatum))-1))),"")</f>
        <v>#VALUE!</v>
      </c>
      <c r="N58" s="471" t="e">
        <f>IF(N$5&gt;0,(INDEX(A_Aufgaben,(N$5-Arbeitszeit!$A$6+1),(2*(ROW()-ROW(A_Aufgabendatum))-1))),"")</f>
        <v>#VALUE!</v>
      </c>
      <c r="O58" s="470" t="e">
        <f>IF(O$5&gt;0,(INDEX(A_Aufgaben,(O$5-Arbeitszeit!$A$6+1),(2*(ROW()-ROW(A_Aufgabendatum))-1))),"")</f>
        <v>#VALUE!</v>
      </c>
      <c r="P58" s="471" t="e">
        <f>IF(P$5&gt;0,(INDEX(A_Aufgaben,(P$5-Arbeitszeit!$A$6+1),(2*(ROW()-ROW(A_Aufgabendatum))-1))),"")</f>
        <v>#VALUE!</v>
      </c>
      <c r="Q58" s="470" t="e">
        <f>IF(Q$5&gt;0,(INDEX(A_Aufgaben,(Q$5-Arbeitszeit!$A$6+1),(2*(ROW()-ROW(A_Aufgabendatum))-1))),"")</f>
        <v>#VALUE!</v>
      </c>
      <c r="R58" s="471" t="e">
        <f>IF(R$5&gt;0,(INDEX(A_Aufgaben,(R$5-Arbeitszeit!$A$6+1),(2*(ROW()-ROW(A_Aufgabendatum))-1))),"")</f>
        <v>#VALUE!</v>
      </c>
      <c r="S58" s="470" t="e">
        <f>IF(S$5&gt;0,(INDEX(A_Aufgaben,(S$5-Arbeitszeit!$A$6+1),(2*(ROW()-ROW(A_Aufgabendatum))-1))),"")</f>
        <v>#VALUE!</v>
      </c>
      <c r="T58" s="471" t="e">
        <f>IF(T$5&gt;0,(INDEX(A_Aufgaben,(T$5-Arbeitszeit!$A$6+1),(2*(ROW()-ROW(A_Aufgabendatum))-1))),"")</f>
        <v>#VALUE!</v>
      </c>
      <c r="U58" s="470" t="e">
        <f>IF(U$5&gt;0,(INDEX(A_Aufgaben,(U$5-Arbeitszeit!$A$6+1),(2*(ROW()-ROW(A_Aufgabendatum))-1))),"")</f>
        <v>#VALUE!</v>
      </c>
      <c r="V58" s="471" t="e">
        <f>IF(V$5&gt;0,(INDEX(A_Aufgaben,(V$5-Arbeitszeit!$A$6+1),(2*(ROW()-ROW(A_Aufgabendatum))-1))),"")</f>
        <v>#VALUE!</v>
      </c>
      <c r="W58" s="470" t="e">
        <f>IF(W$5&gt;0,(INDEX(A_Aufgaben,(W$5-Arbeitszeit!$A$6+1),(2*(ROW()-ROW(A_Aufgabendatum))-1))),"")</f>
        <v>#VALUE!</v>
      </c>
      <c r="X58" s="471" t="e">
        <f>IF(X$5&gt;0,(INDEX(A_Aufgaben,(X$5-Arbeitszeit!$A$6+1),(2*(ROW()-ROW(A_Aufgabendatum))-1))),"")</f>
        <v>#VALUE!</v>
      </c>
      <c r="Y58" s="470" t="e">
        <f>IF(Y$5&gt;0,(INDEX(A_Aufgaben,(Y$5-Arbeitszeit!$A$6+1),(2*(ROW()-ROW(A_Aufgabendatum))-1))),"")</f>
        <v>#VALUE!</v>
      </c>
      <c r="Z58" s="471" t="e">
        <f>IF(Z$5&gt;0,(INDEX(A_Aufgaben,(Z$5-Arbeitszeit!$A$6+1),(2*(ROW()-ROW(A_Aufgabendatum))-1))),"")</f>
        <v>#VALUE!</v>
      </c>
      <c r="AA58" s="470" t="e">
        <f>IF(AA$5&gt;0,(INDEX(A_Aufgaben,(AA$5-Arbeitszeit!$A$6+1),(2*(ROW()-ROW(A_Aufgabendatum))-1))),"")</f>
        <v>#VALUE!</v>
      </c>
      <c r="AB58" s="471" t="e">
        <f>IF(AB$5&gt;0,(INDEX(A_Aufgaben,(AB$5-Arbeitszeit!$A$6+1),(2*(ROW()-ROW(A_Aufgabendatum))-1))),"")</f>
        <v>#VALUE!</v>
      </c>
      <c r="AC58" s="470" t="e">
        <f>IF(AC$5&gt;0,(INDEX(A_Aufgaben,(AC$5-Arbeitszeit!$A$6+1),(2*(ROW()-ROW(A_Aufgabendatum))-1))),"")</f>
        <v>#VALUE!</v>
      </c>
      <c r="AD58" s="471" t="e">
        <f>IF(AD$5&gt;0,(INDEX(A_Aufgaben,(AD$5-Arbeitszeit!$A$6+1),(2*(ROW()-ROW(A_Aufgabendatum))-1))),"")</f>
        <v>#VALUE!</v>
      </c>
      <c r="AE58" s="470" t="e">
        <f>IF(AE$5&gt;0,(INDEX(A_Aufgaben,(AE$5-Arbeitszeit!$A$6+1),(2*(ROW()-ROW(A_Aufgabendatum))-1))),"")</f>
        <v>#VALUE!</v>
      </c>
      <c r="AF58" s="471" t="e">
        <f>IF(AF$5&gt;0,(INDEX(A_Aufgaben,(AF$5-Arbeitszeit!$A$6+1),(2*(ROW()-ROW(A_Aufgabendatum))-1))),"")</f>
        <v>#VALUE!</v>
      </c>
      <c r="AG58" s="470" t="e">
        <f>IF(AG$5&gt;0,(INDEX(A_Aufgaben,(AG$5-Arbeitszeit!$A$6+1),(2*(ROW()-ROW(A_Aufgabendatum))-1))),"")</f>
        <v>#VALUE!</v>
      </c>
      <c r="AH58" s="479" t="e">
        <f t="shared" si="5"/>
        <v>#VALUE!</v>
      </c>
      <c r="AI58" s="3"/>
    </row>
    <row r="59" spans="2:35" ht="5.0999999999999996" customHeight="1">
      <c r="D59" s="480"/>
      <c r="F59" s="480"/>
      <c r="H59" s="480"/>
      <c r="J59" s="480"/>
      <c r="L59" s="480"/>
      <c r="N59" s="480"/>
      <c r="P59" s="480"/>
      <c r="R59" s="480"/>
      <c r="T59" s="480"/>
      <c r="V59" s="480"/>
      <c r="X59" s="480"/>
      <c r="Z59" s="480"/>
      <c r="AB59" s="480"/>
      <c r="AD59" s="480"/>
      <c r="AF59" s="480"/>
      <c r="AH59" s="481"/>
    </row>
    <row r="60" spans="2:35">
      <c r="B60" s="489" t="s">
        <v>70</v>
      </c>
      <c r="C60" s="473" t="e">
        <f t="shared" ref="C60:AH60" si="8">SUM(C6:C59)</f>
        <v>#VALUE!</v>
      </c>
      <c r="D60" s="474" t="e">
        <f t="shared" si="8"/>
        <v>#VALUE!</v>
      </c>
      <c r="E60" s="473" t="e">
        <f t="shared" si="8"/>
        <v>#VALUE!</v>
      </c>
      <c r="F60" s="474" t="e">
        <f t="shared" si="8"/>
        <v>#VALUE!</v>
      </c>
      <c r="G60" s="473" t="e">
        <f t="shared" si="8"/>
        <v>#VALUE!</v>
      </c>
      <c r="H60" s="474" t="e">
        <f t="shared" si="8"/>
        <v>#VALUE!</v>
      </c>
      <c r="I60" s="473" t="e">
        <f t="shared" si="8"/>
        <v>#VALUE!</v>
      </c>
      <c r="J60" s="474" t="e">
        <f t="shared" si="8"/>
        <v>#VALUE!</v>
      </c>
      <c r="K60" s="473" t="e">
        <f t="shared" si="8"/>
        <v>#VALUE!</v>
      </c>
      <c r="L60" s="474" t="e">
        <f t="shared" si="8"/>
        <v>#VALUE!</v>
      </c>
      <c r="M60" s="473" t="e">
        <f t="shared" si="8"/>
        <v>#VALUE!</v>
      </c>
      <c r="N60" s="474" t="e">
        <f t="shared" si="8"/>
        <v>#VALUE!</v>
      </c>
      <c r="O60" s="473" t="e">
        <f t="shared" si="8"/>
        <v>#VALUE!</v>
      </c>
      <c r="P60" s="474" t="e">
        <f t="shared" si="8"/>
        <v>#VALUE!</v>
      </c>
      <c r="Q60" s="473" t="e">
        <f t="shared" si="8"/>
        <v>#VALUE!</v>
      </c>
      <c r="R60" s="474" t="e">
        <f t="shared" si="8"/>
        <v>#VALUE!</v>
      </c>
      <c r="S60" s="473" t="e">
        <f t="shared" si="8"/>
        <v>#VALUE!</v>
      </c>
      <c r="T60" s="474" t="e">
        <f t="shared" si="8"/>
        <v>#VALUE!</v>
      </c>
      <c r="U60" s="473" t="e">
        <f t="shared" si="8"/>
        <v>#VALUE!</v>
      </c>
      <c r="V60" s="474" t="e">
        <f t="shared" si="8"/>
        <v>#VALUE!</v>
      </c>
      <c r="W60" s="473" t="e">
        <f t="shared" si="8"/>
        <v>#VALUE!</v>
      </c>
      <c r="X60" s="474" t="e">
        <f t="shared" si="8"/>
        <v>#VALUE!</v>
      </c>
      <c r="Y60" s="473" t="e">
        <f t="shared" si="8"/>
        <v>#VALUE!</v>
      </c>
      <c r="Z60" s="474" t="e">
        <f t="shared" si="8"/>
        <v>#VALUE!</v>
      </c>
      <c r="AA60" s="473" t="e">
        <f t="shared" si="8"/>
        <v>#VALUE!</v>
      </c>
      <c r="AB60" s="474" t="e">
        <f t="shared" si="8"/>
        <v>#VALUE!</v>
      </c>
      <c r="AC60" s="473" t="e">
        <f t="shared" si="8"/>
        <v>#VALUE!</v>
      </c>
      <c r="AD60" s="474" t="e">
        <f t="shared" si="8"/>
        <v>#VALUE!</v>
      </c>
      <c r="AE60" s="473" t="e">
        <f t="shared" si="8"/>
        <v>#VALUE!</v>
      </c>
      <c r="AF60" s="474" t="e">
        <f t="shared" si="8"/>
        <v>#VALUE!</v>
      </c>
      <c r="AG60" s="473" t="e">
        <f t="shared" si="8"/>
        <v>#VALUE!</v>
      </c>
      <c r="AH60" s="490" t="e">
        <f t="shared" si="8"/>
        <v>#VALUE!</v>
      </c>
      <c r="AI60" s="515"/>
    </row>
    <row r="61" spans="2:35">
      <c r="C61" s="491" t="e">
        <f>IF(C60&gt;0,1,"")</f>
        <v>#VALUE!</v>
      </c>
      <c r="D61" s="491" t="e">
        <f t="shared" ref="D61:AG61" si="9">IF(D60&gt;0,1,"")</f>
        <v>#VALUE!</v>
      </c>
      <c r="E61" s="491" t="e">
        <f t="shared" si="9"/>
        <v>#VALUE!</v>
      </c>
      <c r="F61" s="491" t="e">
        <f t="shared" si="9"/>
        <v>#VALUE!</v>
      </c>
      <c r="G61" s="491" t="e">
        <f t="shared" si="9"/>
        <v>#VALUE!</v>
      </c>
      <c r="H61" s="491" t="e">
        <f t="shared" si="9"/>
        <v>#VALUE!</v>
      </c>
      <c r="I61" s="491" t="e">
        <f t="shared" si="9"/>
        <v>#VALUE!</v>
      </c>
      <c r="J61" s="491" t="e">
        <f t="shared" si="9"/>
        <v>#VALUE!</v>
      </c>
      <c r="K61" s="491" t="e">
        <f t="shared" si="9"/>
        <v>#VALUE!</v>
      </c>
      <c r="L61" s="491" t="e">
        <f t="shared" si="9"/>
        <v>#VALUE!</v>
      </c>
      <c r="M61" s="491" t="e">
        <f t="shared" si="9"/>
        <v>#VALUE!</v>
      </c>
      <c r="N61" s="491" t="e">
        <f t="shared" si="9"/>
        <v>#VALUE!</v>
      </c>
      <c r="O61" s="491" t="e">
        <f t="shared" si="9"/>
        <v>#VALUE!</v>
      </c>
      <c r="P61" s="491" t="e">
        <f t="shared" si="9"/>
        <v>#VALUE!</v>
      </c>
      <c r="Q61" s="491" t="e">
        <f t="shared" si="9"/>
        <v>#VALUE!</v>
      </c>
      <c r="R61" s="491" t="e">
        <f t="shared" si="9"/>
        <v>#VALUE!</v>
      </c>
      <c r="S61" s="491" t="e">
        <f t="shared" si="9"/>
        <v>#VALUE!</v>
      </c>
      <c r="T61" s="491" t="e">
        <f t="shared" si="9"/>
        <v>#VALUE!</v>
      </c>
      <c r="U61" s="491" t="e">
        <f t="shared" si="9"/>
        <v>#VALUE!</v>
      </c>
      <c r="V61" s="491" t="e">
        <f t="shared" si="9"/>
        <v>#VALUE!</v>
      </c>
      <c r="W61" s="491" t="e">
        <f t="shared" si="9"/>
        <v>#VALUE!</v>
      </c>
      <c r="X61" s="491" t="e">
        <f t="shared" si="9"/>
        <v>#VALUE!</v>
      </c>
      <c r="Y61" s="491" t="e">
        <f t="shared" si="9"/>
        <v>#VALUE!</v>
      </c>
      <c r="Z61" s="491" t="e">
        <f t="shared" si="9"/>
        <v>#VALUE!</v>
      </c>
      <c r="AA61" s="491" t="e">
        <f t="shared" si="9"/>
        <v>#VALUE!</v>
      </c>
      <c r="AB61" s="491" t="e">
        <f t="shared" si="9"/>
        <v>#VALUE!</v>
      </c>
      <c r="AC61" s="491" t="e">
        <f t="shared" si="9"/>
        <v>#VALUE!</v>
      </c>
      <c r="AD61" s="491" t="e">
        <f t="shared" si="9"/>
        <v>#VALUE!</v>
      </c>
      <c r="AE61" s="491" t="e">
        <f t="shared" si="9"/>
        <v>#VALUE!</v>
      </c>
      <c r="AF61" s="491" t="e">
        <f t="shared" si="9"/>
        <v>#VALUE!</v>
      </c>
      <c r="AG61" s="491" t="e">
        <f t="shared" si="9"/>
        <v>#VALUE!</v>
      </c>
      <c r="AH61" s="482" t="e">
        <f>SUM(C61:AG61)</f>
        <v>#VALUE!</v>
      </c>
      <c r="AI61" s="482"/>
    </row>
    <row r="62" spans="2:35">
      <c r="B62" s="492" t="s">
        <v>179</v>
      </c>
      <c r="C62" s="269"/>
    </row>
    <row r="63" spans="2:35" ht="5.0999999999999996" customHeight="1">
      <c r="C63" s="491">
        <f>C3</f>
        <v>44499</v>
      </c>
      <c r="D63" s="269"/>
    </row>
    <row r="64" spans="2:35" hidden="1">
      <c r="B64" s="476"/>
      <c r="C64" s="477"/>
    </row>
    <row r="65" spans="1:36" hidden="1" outlineLevel="1">
      <c r="B65" s="487"/>
      <c r="C65" s="487">
        <f>IF(A_Monatsende&lt;=A_Aufgabenende,A_Monatsende,0)</f>
        <v>0</v>
      </c>
      <c r="D65" s="487">
        <f t="shared" ref="D65:AG65" si="10">IF(AND(C65&gt;0,C65+1&lt;=A_Aufgabenende),C65+1,0)</f>
        <v>0</v>
      </c>
      <c r="E65" s="487">
        <f t="shared" si="10"/>
        <v>0</v>
      </c>
      <c r="F65" s="487">
        <f t="shared" si="10"/>
        <v>0</v>
      </c>
      <c r="G65" s="487">
        <f t="shared" si="10"/>
        <v>0</v>
      </c>
      <c r="H65" s="487">
        <f t="shared" si="10"/>
        <v>0</v>
      </c>
      <c r="I65" s="487">
        <f t="shared" si="10"/>
        <v>0</v>
      </c>
      <c r="J65" s="487">
        <f t="shared" si="10"/>
        <v>0</v>
      </c>
      <c r="K65" s="487">
        <f t="shared" si="10"/>
        <v>0</v>
      </c>
      <c r="L65" s="487">
        <f t="shared" si="10"/>
        <v>0</v>
      </c>
      <c r="M65" s="487">
        <f t="shared" si="10"/>
        <v>0</v>
      </c>
      <c r="N65" s="487">
        <f t="shared" si="10"/>
        <v>0</v>
      </c>
      <c r="O65" s="487">
        <f t="shared" si="10"/>
        <v>0</v>
      </c>
      <c r="P65" s="487">
        <f t="shared" si="10"/>
        <v>0</v>
      </c>
      <c r="Q65" s="487">
        <f t="shared" si="10"/>
        <v>0</v>
      </c>
      <c r="R65" s="487">
        <f t="shared" si="10"/>
        <v>0</v>
      </c>
      <c r="S65" s="487">
        <f t="shared" si="10"/>
        <v>0</v>
      </c>
      <c r="T65" s="487">
        <f t="shared" si="10"/>
        <v>0</v>
      </c>
      <c r="U65" s="487">
        <f t="shared" si="10"/>
        <v>0</v>
      </c>
      <c r="V65" s="487">
        <f t="shared" si="10"/>
        <v>0</v>
      </c>
      <c r="W65" s="487">
        <f t="shared" si="10"/>
        <v>0</v>
      </c>
      <c r="X65" s="487">
        <f t="shared" si="10"/>
        <v>0</v>
      </c>
      <c r="Y65" s="487">
        <f t="shared" si="10"/>
        <v>0</v>
      </c>
      <c r="Z65" s="487">
        <f t="shared" si="10"/>
        <v>0</v>
      </c>
      <c r="AA65" s="487">
        <f t="shared" si="10"/>
        <v>0</v>
      </c>
      <c r="AB65" s="487">
        <f t="shared" si="10"/>
        <v>0</v>
      </c>
      <c r="AC65" s="487">
        <f t="shared" si="10"/>
        <v>0</v>
      </c>
      <c r="AD65" s="487">
        <f t="shared" si="10"/>
        <v>0</v>
      </c>
      <c r="AE65" s="487">
        <f t="shared" si="10"/>
        <v>0</v>
      </c>
      <c r="AF65" s="487">
        <f t="shared" si="10"/>
        <v>0</v>
      </c>
      <c r="AG65" s="487">
        <f t="shared" si="10"/>
        <v>0</v>
      </c>
      <c r="AH65" s="488" t="s">
        <v>71</v>
      </c>
      <c r="AJ65" s="493" t="s">
        <v>62</v>
      </c>
    </row>
    <row r="66" spans="1:36" hidden="1" outlineLevel="1">
      <c r="A66">
        <f t="shared" ref="A66:B85" si="11">A6</f>
        <v>0</v>
      </c>
      <c r="B66" s="469" t="str">
        <f t="shared" si="11"/>
        <v>Urlaub</v>
      </c>
      <c r="C66" s="472" t="str">
        <f>IF(C$65&gt;0,(INDEX(A_Aufgaben,(C$65-Arbeitszeit!$A$6+1),(2*(ROW()-ROW(A_Endedatum))-1))),"")</f>
        <v/>
      </c>
      <c r="D66" s="471" t="str">
        <f>IF(D$65&gt;0,(INDEX(A_Aufgaben,(D$65-Arbeitszeit!$A$6+1),(2*(ROW()-ROW(A_Endedatum))-1))),"")</f>
        <v/>
      </c>
      <c r="E66" s="470" t="str">
        <f>IF(E$65&gt;0,(INDEX(A_Aufgaben,(E$65-Arbeitszeit!$A$6+1),(2*(ROW()-ROW(A_Endedatum))-1))),"")</f>
        <v/>
      </c>
      <c r="F66" s="471" t="str">
        <f>IF(F$65&gt;0,(INDEX(A_Aufgaben,(F$65-Arbeitszeit!$A$6+1),(2*(ROW()-ROW(A_Endedatum))-1))),"")</f>
        <v/>
      </c>
      <c r="G66" s="470" t="str">
        <f>IF(G$65&gt;0,(INDEX(A_Aufgaben,(G$65-Arbeitszeit!$A$6+1),(2*(ROW()-ROW(A_Endedatum))-1))),"")</f>
        <v/>
      </c>
      <c r="H66" s="471" t="str">
        <f>IF(H$65&gt;0,(INDEX(A_Aufgaben,(H$65-Arbeitszeit!$A$6+1),(2*(ROW()-ROW(A_Endedatum))-1))),"")</f>
        <v/>
      </c>
      <c r="I66" s="470" t="str">
        <f>IF(I$65&gt;0,(INDEX(A_Aufgaben,(I$65-Arbeitszeit!$A$6+1),(2*(ROW()-ROW(A_Endedatum))-1))),"")</f>
        <v/>
      </c>
      <c r="J66" s="471" t="str">
        <f>IF(J$65&gt;0,(INDEX(A_Aufgaben,(J$65-Arbeitszeit!$A$6+1),(2*(ROW()-ROW(A_Endedatum))-1))),"")</f>
        <v/>
      </c>
      <c r="K66" s="470" t="str">
        <f>IF(K$65&gt;0,(INDEX(A_Aufgaben,(K$65-Arbeitszeit!$A$6+1),(2*(ROW()-ROW(A_Endedatum))-1))),"")</f>
        <v/>
      </c>
      <c r="L66" s="471" t="str">
        <f>IF(L$65&gt;0,(INDEX(A_Aufgaben,(L$65-Arbeitszeit!$A$6+1),(2*(ROW()-ROW(A_Endedatum))-1))),"")</f>
        <v/>
      </c>
      <c r="M66" s="470" t="str">
        <f>IF(M$65&gt;0,(INDEX(A_Aufgaben,(M$65-Arbeitszeit!$A$6+1),(2*(ROW()-ROW(A_Endedatum))-1))),"")</f>
        <v/>
      </c>
      <c r="N66" s="471" t="str">
        <f>IF(N$65&gt;0,(INDEX(A_Aufgaben,(N$65-Arbeitszeit!$A$6+1),(2*(ROW()-ROW(A_Endedatum))-1))),"")</f>
        <v/>
      </c>
      <c r="O66" s="470" t="str">
        <f>IF(O$65&gt;0,(INDEX(A_Aufgaben,(O$65-Arbeitszeit!$A$6+1),(2*(ROW()-ROW(A_Endedatum))-1))),"")</f>
        <v/>
      </c>
      <c r="P66" s="471" t="str">
        <f>IF(P$65&gt;0,(INDEX(A_Aufgaben,(P$65-Arbeitszeit!$A$6+1),(2*(ROW()-ROW(A_Endedatum))-1))),"")</f>
        <v/>
      </c>
      <c r="Q66" s="470" t="str">
        <f>IF(Q$65&gt;0,(INDEX(A_Aufgaben,(Q$65-Arbeitszeit!$A$6+1),(2*(ROW()-ROW(A_Endedatum))-1))),"")</f>
        <v/>
      </c>
      <c r="R66" s="471" t="str">
        <f>IF(R$65&gt;0,(INDEX(A_Aufgaben,(R$65-Arbeitszeit!$A$6+1),(2*(ROW()-ROW(A_Endedatum))-1))),"")</f>
        <v/>
      </c>
      <c r="S66" s="470" t="str">
        <f>IF(S$65&gt;0,(INDEX(A_Aufgaben,(S$65-Arbeitszeit!$A$6+1),(2*(ROW()-ROW(A_Endedatum))-1))),"")</f>
        <v/>
      </c>
      <c r="T66" s="471" t="str">
        <f>IF(T$65&gt;0,(INDEX(A_Aufgaben,(T$65-Arbeitszeit!$A$6+1),(2*(ROW()-ROW(A_Endedatum))-1))),"")</f>
        <v/>
      </c>
      <c r="U66" s="470" t="str">
        <f>IF(U$65&gt;0,(INDEX(A_Aufgaben,(U$65-Arbeitszeit!$A$6+1),(2*(ROW()-ROW(A_Endedatum))-1))),"")</f>
        <v/>
      </c>
      <c r="V66" s="471" t="str">
        <f>IF(V$65&gt;0,(INDEX(A_Aufgaben,(V$65-Arbeitszeit!$A$6+1),(2*(ROW()-ROW(A_Endedatum))-1))),"")</f>
        <v/>
      </c>
      <c r="W66" s="470" t="str">
        <f>IF(W$65&gt;0,(INDEX(A_Aufgaben,(W$65-Arbeitszeit!$A$6+1),(2*(ROW()-ROW(A_Endedatum))-1))),"")</f>
        <v/>
      </c>
      <c r="X66" s="471" t="str">
        <f>IF(X$65&gt;0,(INDEX(A_Aufgaben,(X$65-Arbeitszeit!$A$6+1),(2*(ROW()-ROW(A_Endedatum))-1))),"")</f>
        <v/>
      </c>
      <c r="Y66" s="470" t="str">
        <f>IF(Y$65&gt;0,(INDEX(A_Aufgaben,(Y$65-Arbeitszeit!$A$6+1),(2*(ROW()-ROW(A_Endedatum))-1))),"")</f>
        <v/>
      </c>
      <c r="Z66" s="471" t="str">
        <f>IF(Z$65&gt;0,(INDEX(A_Aufgaben,(Z$65-Arbeitszeit!$A$6+1),(2*(ROW()-ROW(A_Endedatum))-1))),"")</f>
        <v/>
      </c>
      <c r="AA66" s="470" t="str">
        <f>IF(AA$65&gt;0,(INDEX(A_Aufgaben,(AA$65-Arbeitszeit!$A$6+1),(2*(ROW()-ROW(A_Endedatum))-1))),"")</f>
        <v/>
      </c>
      <c r="AB66" s="471" t="str">
        <f>IF(AB$65&gt;0,(INDEX(A_Aufgaben,(AB$65-Arbeitszeit!$A$6+1),(2*(ROW()-ROW(A_Endedatum))-1))),"")</f>
        <v/>
      </c>
      <c r="AC66" s="470" t="str">
        <f>IF(AC$65&gt;0,(INDEX(A_Aufgaben,(AC$65-Arbeitszeit!$A$6+1),(2*(ROW()-ROW(A_Endedatum))-1))),"")</f>
        <v/>
      </c>
      <c r="AD66" s="471" t="str">
        <f>IF(AD$65&gt;0,(INDEX(A_Aufgaben,(AD$65-Arbeitszeit!$A$6+1),(2*(ROW()-ROW(A_Endedatum))-1))),"")</f>
        <v/>
      </c>
      <c r="AE66" s="470" t="str">
        <f>IF(AE$65&gt;0,(INDEX(A_Aufgaben,(AE$65-Arbeitszeit!$A$6+1),(2*(ROW()-ROW(A_Endedatum))-1))),"")</f>
        <v/>
      </c>
      <c r="AF66" s="471" t="str">
        <f>IF(AF$65&gt;0,(INDEX(A_Aufgaben,(AF$65-Arbeitszeit!$A$6+1),(2*(ROW()-ROW(A_Endedatum))-1))),"")</f>
        <v/>
      </c>
      <c r="AG66" s="470" t="str">
        <f>IF(AG$65&gt;0,(INDEX(A_Aufgaben,(AG$65-Arbeitszeit!$A$6+1),(2*(ROW()-ROW(A_Endedatum))-1))),"")</f>
        <v/>
      </c>
      <c r="AH66" s="479">
        <f t="shared" ref="AH66:AH86" si="12">SUM(C66:AG66)</f>
        <v>0</v>
      </c>
      <c r="AI66" s="3">
        <f t="shared" ref="AI66:AI86" si="13">COUNTIF(C66:AG66,"&gt;0")</f>
        <v>0</v>
      </c>
      <c r="AJ66" s="494" t="e">
        <f t="shared" ref="AJ66:AJ112" si="14">AH6+AH66</f>
        <v>#VALUE!</v>
      </c>
    </row>
    <row r="67" spans="1:36" hidden="1" outlineLevel="1">
      <c r="A67">
        <f t="shared" si="11"/>
        <v>0</v>
      </c>
      <c r="B67" s="469" t="str">
        <f t="shared" si="11"/>
        <v>Krank</v>
      </c>
      <c r="C67" s="470" t="str">
        <f>IF(C$65&gt;0,(INDEX(A_Aufgaben,(C$65-Arbeitszeit!$A$6+1),(2*(ROW()-ROW(A_Endedatum))-1))),"")</f>
        <v/>
      </c>
      <c r="D67" s="471" t="str">
        <f>IF(D$65&gt;0,(INDEX(A_Aufgaben,(D$65-Arbeitszeit!$A$6+1),(2*(ROW()-ROW(A_Endedatum))-1))),"")</f>
        <v/>
      </c>
      <c r="E67" s="470" t="str">
        <f>IF(E$65&gt;0,(INDEX(A_Aufgaben,(E$65-Arbeitszeit!$A$6+1),(2*(ROW()-ROW(A_Endedatum))-1))),"")</f>
        <v/>
      </c>
      <c r="F67" s="471" t="str">
        <f>IF(F$65&gt;0,(INDEX(A_Aufgaben,(F$65-Arbeitszeit!$A$6+1),(2*(ROW()-ROW(A_Endedatum))-1))),"")</f>
        <v/>
      </c>
      <c r="G67" s="470" t="str">
        <f>IF(G$65&gt;0,(INDEX(A_Aufgaben,(G$65-Arbeitszeit!$A$6+1),(2*(ROW()-ROW(A_Endedatum))-1))),"")</f>
        <v/>
      </c>
      <c r="H67" s="471" t="str">
        <f>IF(H$65&gt;0,(INDEX(A_Aufgaben,(H$65-Arbeitszeit!$A$6+1),(2*(ROW()-ROW(A_Endedatum))-1))),"")</f>
        <v/>
      </c>
      <c r="I67" s="470" t="str">
        <f>IF(I$65&gt;0,(INDEX(A_Aufgaben,(I$65-Arbeitszeit!$A$6+1),(2*(ROW()-ROW(A_Endedatum))-1))),"")</f>
        <v/>
      </c>
      <c r="J67" s="471" t="str">
        <f>IF(J$65&gt;0,(INDEX(A_Aufgaben,(J$65-Arbeitszeit!$A$6+1),(2*(ROW()-ROW(A_Endedatum))-1))),"")</f>
        <v/>
      </c>
      <c r="K67" s="470" t="str">
        <f>IF(K$65&gt;0,(INDEX(A_Aufgaben,(K$65-Arbeitszeit!$A$6+1),(2*(ROW()-ROW(A_Endedatum))-1))),"")</f>
        <v/>
      </c>
      <c r="L67" s="471" t="str">
        <f>IF(L$65&gt;0,(INDEX(A_Aufgaben,(L$65-Arbeitszeit!$A$6+1),(2*(ROW()-ROW(A_Endedatum))-1))),"")</f>
        <v/>
      </c>
      <c r="M67" s="470" t="str">
        <f>IF(M$65&gt;0,(INDEX(A_Aufgaben,(M$65-Arbeitszeit!$A$6+1),(2*(ROW()-ROW(A_Endedatum))-1))),"")</f>
        <v/>
      </c>
      <c r="N67" s="471" t="str">
        <f>IF(N$65&gt;0,(INDEX(A_Aufgaben,(N$65-Arbeitszeit!$A$6+1),(2*(ROW()-ROW(A_Endedatum))-1))),"")</f>
        <v/>
      </c>
      <c r="O67" s="470" t="str">
        <f>IF(O$65&gt;0,(INDEX(A_Aufgaben,(O$65-Arbeitszeit!$A$6+1),(2*(ROW()-ROW(A_Endedatum))-1))),"")</f>
        <v/>
      </c>
      <c r="P67" s="471" t="str">
        <f>IF(P$65&gt;0,(INDEX(A_Aufgaben,(P$65-Arbeitszeit!$A$6+1),(2*(ROW()-ROW(A_Endedatum))-1))),"")</f>
        <v/>
      </c>
      <c r="Q67" s="470" t="str">
        <f>IF(Q$65&gt;0,(INDEX(A_Aufgaben,(Q$65-Arbeitszeit!$A$6+1),(2*(ROW()-ROW(A_Endedatum))-1))),"")</f>
        <v/>
      </c>
      <c r="R67" s="471" t="str">
        <f>IF(R$65&gt;0,(INDEX(A_Aufgaben,(R$65-Arbeitszeit!$A$6+1),(2*(ROW()-ROW(A_Endedatum))-1))),"")</f>
        <v/>
      </c>
      <c r="S67" s="470" t="str">
        <f>IF(S$65&gt;0,(INDEX(A_Aufgaben,(S$65-Arbeitszeit!$A$6+1),(2*(ROW()-ROW(A_Endedatum))-1))),"")</f>
        <v/>
      </c>
      <c r="T67" s="471" t="str">
        <f>IF(T$65&gt;0,(INDEX(A_Aufgaben,(T$65-Arbeitszeit!$A$6+1),(2*(ROW()-ROW(A_Endedatum))-1))),"")</f>
        <v/>
      </c>
      <c r="U67" s="470" t="str">
        <f>IF(U$65&gt;0,(INDEX(A_Aufgaben,(U$65-Arbeitszeit!$A$6+1),(2*(ROW()-ROW(A_Endedatum))-1))),"")</f>
        <v/>
      </c>
      <c r="V67" s="471" t="str">
        <f>IF(V$65&gt;0,(INDEX(A_Aufgaben,(V$65-Arbeitszeit!$A$6+1),(2*(ROW()-ROW(A_Endedatum))-1))),"")</f>
        <v/>
      </c>
      <c r="W67" s="470" t="str">
        <f>IF(W$65&gt;0,(INDEX(A_Aufgaben,(W$65-Arbeitszeit!$A$6+1),(2*(ROW()-ROW(A_Endedatum))-1))),"")</f>
        <v/>
      </c>
      <c r="X67" s="471" t="str">
        <f>IF(X$65&gt;0,(INDEX(A_Aufgaben,(X$65-Arbeitszeit!$A$6+1),(2*(ROW()-ROW(A_Endedatum))-1))),"")</f>
        <v/>
      </c>
      <c r="Y67" s="470" t="str">
        <f>IF(Y$65&gt;0,(INDEX(A_Aufgaben,(Y$65-Arbeitszeit!$A$6+1),(2*(ROW()-ROW(A_Endedatum))-1))),"")</f>
        <v/>
      </c>
      <c r="Z67" s="471" t="str">
        <f>IF(Z$65&gt;0,(INDEX(A_Aufgaben,(Z$65-Arbeitszeit!$A$6+1),(2*(ROW()-ROW(A_Endedatum))-1))),"")</f>
        <v/>
      </c>
      <c r="AA67" s="470" t="str">
        <f>IF(AA$65&gt;0,(INDEX(A_Aufgaben,(AA$65-Arbeitszeit!$A$6+1),(2*(ROW()-ROW(A_Endedatum))-1))),"")</f>
        <v/>
      </c>
      <c r="AB67" s="471" t="str">
        <f>IF(AB$65&gt;0,(INDEX(A_Aufgaben,(AB$65-Arbeitszeit!$A$6+1),(2*(ROW()-ROW(A_Endedatum))-1))),"")</f>
        <v/>
      </c>
      <c r="AC67" s="470" t="str">
        <f>IF(AC$65&gt;0,(INDEX(A_Aufgaben,(AC$65-Arbeitszeit!$A$6+1),(2*(ROW()-ROW(A_Endedatum))-1))),"")</f>
        <v/>
      </c>
      <c r="AD67" s="471" t="str">
        <f>IF(AD$65&gt;0,(INDEX(A_Aufgaben,(AD$65-Arbeitszeit!$A$6+1),(2*(ROW()-ROW(A_Endedatum))-1))),"")</f>
        <v/>
      </c>
      <c r="AE67" s="470" t="str">
        <f>IF(AE$65&gt;0,(INDEX(A_Aufgaben,(AE$65-Arbeitszeit!$A$6+1),(2*(ROW()-ROW(A_Endedatum))-1))),"")</f>
        <v/>
      </c>
      <c r="AF67" s="471" t="str">
        <f>IF(AF$65&gt;0,(INDEX(A_Aufgaben,(AF$65-Arbeitszeit!$A$6+1),(2*(ROW()-ROW(A_Endedatum))-1))),"")</f>
        <v/>
      </c>
      <c r="AG67" s="470" t="str">
        <f>IF(AG$65&gt;0,(INDEX(A_Aufgaben,(AG$65-Arbeitszeit!$A$6+1),(2*(ROW()-ROW(A_Endedatum))-1))),"")</f>
        <v/>
      </c>
      <c r="AH67" s="479">
        <f t="shared" si="12"/>
        <v>0</v>
      </c>
      <c r="AI67" s="3">
        <f t="shared" si="13"/>
        <v>0</v>
      </c>
      <c r="AJ67" s="494" t="e">
        <f t="shared" si="14"/>
        <v>#VALUE!</v>
      </c>
    </row>
    <row r="68" spans="1:36" hidden="1" outlineLevel="1">
      <c r="A68">
        <f t="shared" si="11"/>
        <v>0</v>
      </c>
      <c r="B68" s="469" t="str">
        <f t="shared" si="11"/>
        <v>Allgemein</v>
      </c>
      <c r="C68" s="470" t="str">
        <f>IF(C$65&gt;0,(INDEX(A_Aufgaben,(C$65-Arbeitszeit!$A$6+1),(2*(ROW()-ROW(A_Endedatum))-1))),"")</f>
        <v/>
      </c>
      <c r="D68" s="471" t="str">
        <f>IF(D$65&gt;0,(INDEX(A_Aufgaben,(D$65-Arbeitszeit!$A$6+1),(2*(ROW()-ROW(A_Endedatum))-1))),"")</f>
        <v/>
      </c>
      <c r="E68" s="470" t="str">
        <f>IF(E$65&gt;0,(INDEX(A_Aufgaben,(E$65-Arbeitszeit!$A$6+1),(2*(ROW()-ROW(A_Endedatum))-1))),"")</f>
        <v/>
      </c>
      <c r="F68" s="471" t="str">
        <f>IF(F$65&gt;0,(INDEX(A_Aufgaben,(F$65-Arbeitszeit!$A$6+1),(2*(ROW()-ROW(A_Endedatum))-1))),"")</f>
        <v/>
      </c>
      <c r="G68" s="470" t="str">
        <f>IF(G$65&gt;0,(INDEX(A_Aufgaben,(G$65-Arbeitszeit!$A$6+1),(2*(ROW()-ROW(A_Endedatum))-1))),"")</f>
        <v/>
      </c>
      <c r="H68" s="471" t="str">
        <f>IF(H$65&gt;0,(INDEX(A_Aufgaben,(H$65-Arbeitszeit!$A$6+1),(2*(ROW()-ROW(A_Endedatum))-1))),"")</f>
        <v/>
      </c>
      <c r="I68" s="470" t="str">
        <f>IF(I$65&gt;0,(INDEX(A_Aufgaben,(I$65-Arbeitszeit!$A$6+1),(2*(ROW()-ROW(A_Endedatum))-1))),"")</f>
        <v/>
      </c>
      <c r="J68" s="471" t="str">
        <f>IF(J$65&gt;0,(INDEX(A_Aufgaben,(J$65-Arbeitszeit!$A$6+1),(2*(ROW()-ROW(A_Endedatum))-1))),"")</f>
        <v/>
      </c>
      <c r="K68" s="470" t="str">
        <f>IF(K$65&gt;0,(INDEX(A_Aufgaben,(K$65-Arbeitszeit!$A$6+1),(2*(ROW()-ROW(A_Endedatum))-1))),"")</f>
        <v/>
      </c>
      <c r="L68" s="471" t="str">
        <f>IF(L$65&gt;0,(INDEX(A_Aufgaben,(L$65-Arbeitszeit!$A$6+1),(2*(ROW()-ROW(A_Endedatum))-1))),"")</f>
        <v/>
      </c>
      <c r="M68" s="470" t="str">
        <f>IF(M$65&gt;0,(INDEX(A_Aufgaben,(M$65-Arbeitszeit!$A$6+1),(2*(ROW()-ROW(A_Endedatum))-1))),"")</f>
        <v/>
      </c>
      <c r="N68" s="471" t="str">
        <f>IF(N$65&gt;0,(INDEX(A_Aufgaben,(N$65-Arbeitszeit!$A$6+1),(2*(ROW()-ROW(A_Endedatum))-1))),"")</f>
        <v/>
      </c>
      <c r="O68" s="470" t="str">
        <f>IF(O$65&gt;0,(INDEX(A_Aufgaben,(O$65-Arbeitszeit!$A$6+1),(2*(ROW()-ROW(A_Endedatum))-1))),"")</f>
        <v/>
      </c>
      <c r="P68" s="471" t="str">
        <f>IF(P$65&gt;0,(INDEX(A_Aufgaben,(P$65-Arbeitszeit!$A$6+1),(2*(ROW()-ROW(A_Endedatum))-1))),"")</f>
        <v/>
      </c>
      <c r="Q68" s="470" t="str">
        <f>IF(Q$65&gt;0,(INDEX(A_Aufgaben,(Q$65-Arbeitszeit!$A$6+1),(2*(ROW()-ROW(A_Endedatum))-1))),"")</f>
        <v/>
      </c>
      <c r="R68" s="471" t="str">
        <f>IF(R$65&gt;0,(INDEX(A_Aufgaben,(R$65-Arbeitszeit!$A$6+1),(2*(ROW()-ROW(A_Endedatum))-1))),"")</f>
        <v/>
      </c>
      <c r="S68" s="470" t="str">
        <f>IF(S$65&gt;0,(INDEX(A_Aufgaben,(S$65-Arbeitszeit!$A$6+1),(2*(ROW()-ROW(A_Endedatum))-1))),"")</f>
        <v/>
      </c>
      <c r="T68" s="471" t="str">
        <f>IF(T$65&gt;0,(INDEX(A_Aufgaben,(T$65-Arbeitszeit!$A$6+1),(2*(ROW()-ROW(A_Endedatum))-1))),"")</f>
        <v/>
      </c>
      <c r="U68" s="470" t="str">
        <f>IF(U$65&gt;0,(INDEX(A_Aufgaben,(U$65-Arbeitszeit!$A$6+1),(2*(ROW()-ROW(A_Endedatum))-1))),"")</f>
        <v/>
      </c>
      <c r="V68" s="471" t="str">
        <f>IF(V$65&gt;0,(INDEX(A_Aufgaben,(V$65-Arbeitszeit!$A$6+1),(2*(ROW()-ROW(A_Endedatum))-1))),"")</f>
        <v/>
      </c>
      <c r="W68" s="470" t="str">
        <f>IF(W$65&gt;0,(INDEX(A_Aufgaben,(W$65-Arbeitszeit!$A$6+1),(2*(ROW()-ROW(A_Endedatum))-1))),"")</f>
        <v/>
      </c>
      <c r="X68" s="471" t="str">
        <f>IF(X$65&gt;0,(INDEX(A_Aufgaben,(X$65-Arbeitszeit!$A$6+1),(2*(ROW()-ROW(A_Endedatum))-1))),"")</f>
        <v/>
      </c>
      <c r="Y68" s="470" t="str">
        <f>IF(Y$65&gt;0,(INDEX(A_Aufgaben,(Y$65-Arbeitszeit!$A$6+1),(2*(ROW()-ROW(A_Endedatum))-1))),"")</f>
        <v/>
      </c>
      <c r="Z68" s="471" t="str">
        <f>IF(Z$65&gt;0,(INDEX(A_Aufgaben,(Z$65-Arbeitszeit!$A$6+1),(2*(ROW()-ROW(A_Endedatum))-1))),"")</f>
        <v/>
      </c>
      <c r="AA68" s="470" t="str">
        <f>IF(AA$65&gt;0,(INDEX(A_Aufgaben,(AA$65-Arbeitszeit!$A$6+1),(2*(ROW()-ROW(A_Endedatum))-1))),"")</f>
        <v/>
      </c>
      <c r="AB68" s="471" t="str">
        <f>IF(AB$65&gt;0,(INDEX(A_Aufgaben,(AB$65-Arbeitszeit!$A$6+1),(2*(ROW()-ROW(A_Endedatum))-1))),"")</f>
        <v/>
      </c>
      <c r="AC68" s="470" t="str">
        <f>IF(AC$65&gt;0,(INDEX(A_Aufgaben,(AC$65-Arbeitszeit!$A$6+1),(2*(ROW()-ROW(A_Endedatum))-1))),"")</f>
        <v/>
      </c>
      <c r="AD68" s="471" t="str">
        <f>IF(AD$65&gt;0,(INDEX(A_Aufgaben,(AD$65-Arbeitszeit!$A$6+1),(2*(ROW()-ROW(A_Endedatum))-1))),"")</f>
        <v/>
      </c>
      <c r="AE68" s="470" t="str">
        <f>IF(AE$65&gt;0,(INDEX(A_Aufgaben,(AE$65-Arbeitszeit!$A$6+1),(2*(ROW()-ROW(A_Endedatum))-1))),"")</f>
        <v/>
      </c>
      <c r="AF68" s="471" t="str">
        <f>IF(AF$65&gt;0,(INDEX(A_Aufgaben,(AF$65-Arbeitszeit!$A$6+1),(2*(ROW()-ROW(A_Endedatum))-1))),"")</f>
        <v/>
      </c>
      <c r="AG68" s="470" t="str">
        <f>IF(AG$65&gt;0,(INDEX(A_Aufgaben,(AG$65-Arbeitszeit!$A$6+1),(2*(ROW()-ROW(A_Endedatum))-1))),"")</f>
        <v/>
      </c>
      <c r="AH68" s="479">
        <f t="shared" si="12"/>
        <v>0</v>
      </c>
      <c r="AI68" s="3">
        <f t="shared" si="13"/>
        <v>0</v>
      </c>
      <c r="AJ68" s="494" t="e">
        <f t="shared" si="14"/>
        <v>#VALUE!</v>
      </c>
    </row>
    <row r="69" spans="1:36" hidden="1" outlineLevel="1">
      <c r="A69">
        <f t="shared" si="11"/>
        <v>0</v>
      </c>
      <c r="B69" s="469" t="str">
        <f t="shared" si="11"/>
        <v>Aufgabe 01</v>
      </c>
      <c r="C69" s="470" t="str">
        <f>IF(C$65&gt;0,(INDEX(A_Aufgaben,(C$65-Arbeitszeit!$A$6+1),(2*(ROW()-ROW(A_Endedatum))-1))),"")</f>
        <v/>
      </c>
      <c r="D69" s="471" t="str">
        <f>IF(D$65&gt;0,(INDEX(A_Aufgaben,(D$65-Arbeitszeit!$A$6+1),(2*(ROW()-ROW(A_Endedatum))-1))),"")</f>
        <v/>
      </c>
      <c r="E69" s="470" t="str">
        <f>IF(E$65&gt;0,(INDEX(A_Aufgaben,(E$65-Arbeitszeit!$A$6+1),(2*(ROW()-ROW(A_Endedatum))-1))),"")</f>
        <v/>
      </c>
      <c r="F69" s="471" t="str">
        <f>IF(F$65&gt;0,(INDEX(A_Aufgaben,(F$65-Arbeitszeit!$A$6+1),(2*(ROW()-ROW(A_Endedatum))-1))),"")</f>
        <v/>
      </c>
      <c r="G69" s="470" t="str">
        <f>IF(G$65&gt;0,(INDEX(A_Aufgaben,(G$65-Arbeitszeit!$A$6+1),(2*(ROW()-ROW(A_Endedatum))-1))),"")</f>
        <v/>
      </c>
      <c r="H69" s="471" t="str">
        <f>IF(H$65&gt;0,(INDEX(A_Aufgaben,(H$65-Arbeitszeit!$A$6+1),(2*(ROW()-ROW(A_Endedatum))-1))),"")</f>
        <v/>
      </c>
      <c r="I69" s="470" t="str">
        <f>IF(I$65&gt;0,(INDEX(A_Aufgaben,(I$65-Arbeitszeit!$A$6+1),(2*(ROW()-ROW(A_Endedatum))-1))),"")</f>
        <v/>
      </c>
      <c r="J69" s="471" t="str">
        <f>IF(J$65&gt;0,(INDEX(A_Aufgaben,(J$65-Arbeitszeit!$A$6+1),(2*(ROW()-ROW(A_Endedatum))-1))),"")</f>
        <v/>
      </c>
      <c r="K69" s="470" t="str">
        <f>IF(K$65&gt;0,(INDEX(A_Aufgaben,(K$65-Arbeitszeit!$A$6+1),(2*(ROW()-ROW(A_Endedatum))-1))),"")</f>
        <v/>
      </c>
      <c r="L69" s="471" t="str">
        <f>IF(L$65&gt;0,(INDEX(A_Aufgaben,(L$65-Arbeitszeit!$A$6+1),(2*(ROW()-ROW(A_Endedatum))-1))),"")</f>
        <v/>
      </c>
      <c r="M69" s="470" t="str">
        <f>IF(M$65&gt;0,(INDEX(A_Aufgaben,(M$65-Arbeitszeit!$A$6+1),(2*(ROW()-ROW(A_Endedatum))-1))),"")</f>
        <v/>
      </c>
      <c r="N69" s="471" t="str">
        <f>IF(N$65&gt;0,(INDEX(A_Aufgaben,(N$65-Arbeitszeit!$A$6+1),(2*(ROW()-ROW(A_Endedatum))-1))),"")</f>
        <v/>
      </c>
      <c r="O69" s="470" t="str">
        <f>IF(O$65&gt;0,(INDEX(A_Aufgaben,(O$65-Arbeitszeit!$A$6+1),(2*(ROW()-ROW(A_Endedatum))-1))),"")</f>
        <v/>
      </c>
      <c r="P69" s="471" t="str">
        <f>IF(P$65&gt;0,(INDEX(A_Aufgaben,(P$65-Arbeitszeit!$A$6+1),(2*(ROW()-ROW(A_Endedatum))-1))),"")</f>
        <v/>
      </c>
      <c r="Q69" s="470" t="str">
        <f>IF(Q$65&gt;0,(INDEX(A_Aufgaben,(Q$65-Arbeitszeit!$A$6+1),(2*(ROW()-ROW(A_Endedatum))-1))),"")</f>
        <v/>
      </c>
      <c r="R69" s="471" t="str">
        <f>IF(R$65&gt;0,(INDEX(A_Aufgaben,(R$65-Arbeitszeit!$A$6+1),(2*(ROW()-ROW(A_Endedatum))-1))),"")</f>
        <v/>
      </c>
      <c r="S69" s="470" t="str">
        <f>IF(S$65&gt;0,(INDEX(A_Aufgaben,(S$65-Arbeitszeit!$A$6+1),(2*(ROW()-ROW(A_Endedatum))-1))),"")</f>
        <v/>
      </c>
      <c r="T69" s="471" t="str">
        <f>IF(T$65&gt;0,(INDEX(A_Aufgaben,(T$65-Arbeitszeit!$A$6+1),(2*(ROW()-ROW(A_Endedatum))-1))),"")</f>
        <v/>
      </c>
      <c r="U69" s="470" t="str">
        <f>IF(U$65&gt;0,(INDEX(A_Aufgaben,(U$65-Arbeitszeit!$A$6+1),(2*(ROW()-ROW(A_Endedatum))-1))),"")</f>
        <v/>
      </c>
      <c r="V69" s="471" t="str">
        <f>IF(V$65&gt;0,(INDEX(A_Aufgaben,(V$65-Arbeitszeit!$A$6+1),(2*(ROW()-ROW(A_Endedatum))-1))),"")</f>
        <v/>
      </c>
      <c r="W69" s="470" t="str">
        <f>IF(W$65&gt;0,(INDEX(A_Aufgaben,(W$65-Arbeitszeit!$A$6+1),(2*(ROW()-ROW(A_Endedatum))-1))),"")</f>
        <v/>
      </c>
      <c r="X69" s="471" t="str">
        <f>IF(X$65&gt;0,(INDEX(A_Aufgaben,(X$65-Arbeitszeit!$A$6+1),(2*(ROW()-ROW(A_Endedatum))-1))),"")</f>
        <v/>
      </c>
      <c r="Y69" s="470" t="str">
        <f>IF(Y$65&gt;0,(INDEX(A_Aufgaben,(Y$65-Arbeitszeit!$A$6+1),(2*(ROW()-ROW(A_Endedatum))-1))),"")</f>
        <v/>
      </c>
      <c r="Z69" s="471" t="str">
        <f>IF(Z$65&gt;0,(INDEX(A_Aufgaben,(Z$65-Arbeitszeit!$A$6+1),(2*(ROW()-ROW(A_Endedatum))-1))),"")</f>
        <v/>
      </c>
      <c r="AA69" s="470" t="str">
        <f>IF(AA$65&gt;0,(INDEX(A_Aufgaben,(AA$65-Arbeitszeit!$A$6+1),(2*(ROW()-ROW(A_Endedatum))-1))),"")</f>
        <v/>
      </c>
      <c r="AB69" s="471" t="str">
        <f>IF(AB$65&gt;0,(INDEX(A_Aufgaben,(AB$65-Arbeitszeit!$A$6+1),(2*(ROW()-ROW(A_Endedatum))-1))),"")</f>
        <v/>
      </c>
      <c r="AC69" s="470" t="str">
        <f>IF(AC$65&gt;0,(INDEX(A_Aufgaben,(AC$65-Arbeitszeit!$A$6+1),(2*(ROW()-ROW(A_Endedatum))-1))),"")</f>
        <v/>
      </c>
      <c r="AD69" s="471" t="str">
        <f>IF(AD$65&gt;0,(INDEX(A_Aufgaben,(AD$65-Arbeitszeit!$A$6+1),(2*(ROW()-ROW(A_Endedatum))-1))),"")</f>
        <v/>
      </c>
      <c r="AE69" s="470" t="str">
        <f>IF(AE$65&gt;0,(INDEX(A_Aufgaben,(AE$65-Arbeitszeit!$A$6+1),(2*(ROW()-ROW(A_Endedatum))-1))),"")</f>
        <v/>
      </c>
      <c r="AF69" s="471" t="str">
        <f>IF(AF$65&gt;0,(INDEX(A_Aufgaben,(AF$65-Arbeitszeit!$A$6+1),(2*(ROW()-ROW(A_Endedatum))-1))),"")</f>
        <v/>
      </c>
      <c r="AG69" s="470" t="str">
        <f>IF(AG$65&gt;0,(INDEX(A_Aufgaben,(AG$65-Arbeitszeit!$A$6+1),(2*(ROW()-ROW(A_Endedatum))-1))),"")</f>
        <v/>
      </c>
      <c r="AH69" s="479">
        <f t="shared" si="12"/>
        <v>0</v>
      </c>
      <c r="AI69" s="3">
        <f t="shared" si="13"/>
        <v>0</v>
      </c>
      <c r="AJ69" s="494" t="e">
        <f t="shared" si="14"/>
        <v>#VALUE!</v>
      </c>
    </row>
    <row r="70" spans="1:36" hidden="1" outlineLevel="1">
      <c r="A70">
        <f t="shared" si="11"/>
        <v>0</v>
      </c>
      <c r="B70" s="469" t="str">
        <f t="shared" si="11"/>
        <v>Aufgabe 02</v>
      </c>
      <c r="C70" s="470" t="str">
        <f>IF(C$65&gt;0,(INDEX(A_Aufgaben,(C$65-Arbeitszeit!$A$6+1),(2*(ROW()-ROW(A_Endedatum))-1))),"")</f>
        <v/>
      </c>
      <c r="D70" s="471" t="str">
        <f>IF(D$65&gt;0,(INDEX(A_Aufgaben,(D$65-Arbeitszeit!$A$6+1),(2*(ROW()-ROW(A_Endedatum))-1))),"")</f>
        <v/>
      </c>
      <c r="E70" s="470" t="str">
        <f>IF(E$65&gt;0,(INDEX(A_Aufgaben,(E$65-Arbeitszeit!$A$6+1),(2*(ROW()-ROW(A_Endedatum))-1))),"")</f>
        <v/>
      </c>
      <c r="F70" s="471" t="str">
        <f>IF(F$65&gt;0,(INDEX(A_Aufgaben,(F$65-Arbeitszeit!$A$6+1),(2*(ROW()-ROW(A_Endedatum))-1))),"")</f>
        <v/>
      </c>
      <c r="G70" s="470" t="str">
        <f>IF(G$65&gt;0,(INDEX(A_Aufgaben,(G$65-Arbeitszeit!$A$6+1),(2*(ROW()-ROW(A_Endedatum))-1))),"")</f>
        <v/>
      </c>
      <c r="H70" s="471" t="str">
        <f>IF(H$65&gt;0,(INDEX(A_Aufgaben,(H$65-Arbeitszeit!$A$6+1),(2*(ROW()-ROW(A_Endedatum))-1))),"")</f>
        <v/>
      </c>
      <c r="I70" s="470" t="str">
        <f>IF(I$65&gt;0,(INDEX(A_Aufgaben,(I$65-Arbeitszeit!$A$6+1),(2*(ROW()-ROW(A_Endedatum))-1))),"")</f>
        <v/>
      </c>
      <c r="J70" s="471" t="str">
        <f>IF(J$65&gt;0,(INDEX(A_Aufgaben,(J$65-Arbeitszeit!$A$6+1),(2*(ROW()-ROW(A_Endedatum))-1))),"")</f>
        <v/>
      </c>
      <c r="K70" s="470" t="str">
        <f>IF(K$65&gt;0,(INDEX(A_Aufgaben,(K$65-Arbeitszeit!$A$6+1),(2*(ROW()-ROW(A_Endedatum))-1))),"")</f>
        <v/>
      </c>
      <c r="L70" s="471" t="str">
        <f>IF(L$65&gt;0,(INDEX(A_Aufgaben,(L$65-Arbeitszeit!$A$6+1),(2*(ROW()-ROW(A_Endedatum))-1))),"")</f>
        <v/>
      </c>
      <c r="M70" s="470" t="str">
        <f>IF(M$65&gt;0,(INDEX(A_Aufgaben,(M$65-Arbeitszeit!$A$6+1),(2*(ROW()-ROW(A_Endedatum))-1))),"")</f>
        <v/>
      </c>
      <c r="N70" s="471" t="str">
        <f>IF(N$65&gt;0,(INDEX(A_Aufgaben,(N$65-Arbeitszeit!$A$6+1),(2*(ROW()-ROW(A_Endedatum))-1))),"")</f>
        <v/>
      </c>
      <c r="O70" s="470" t="str">
        <f>IF(O$65&gt;0,(INDEX(A_Aufgaben,(O$65-Arbeitszeit!$A$6+1),(2*(ROW()-ROW(A_Endedatum))-1))),"")</f>
        <v/>
      </c>
      <c r="P70" s="471" t="str">
        <f>IF(P$65&gt;0,(INDEX(A_Aufgaben,(P$65-Arbeitszeit!$A$6+1),(2*(ROW()-ROW(A_Endedatum))-1))),"")</f>
        <v/>
      </c>
      <c r="Q70" s="470" t="str">
        <f>IF(Q$65&gt;0,(INDEX(A_Aufgaben,(Q$65-Arbeitszeit!$A$6+1),(2*(ROW()-ROW(A_Endedatum))-1))),"")</f>
        <v/>
      </c>
      <c r="R70" s="471" t="str">
        <f>IF(R$65&gt;0,(INDEX(A_Aufgaben,(R$65-Arbeitszeit!$A$6+1),(2*(ROW()-ROW(A_Endedatum))-1))),"")</f>
        <v/>
      </c>
      <c r="S70" s="470" t="str">
        <f>IF(S$65&gt;0,(INDEX(A_Aufgaben,(S$65-Arbeitszeit!$A$6+1),(2*(ROW()-ROW(A_Endedatum))-1))),"")</f>
        <v/>
      </c>
      <c r="T70" s="471" t="str">
        <f>IF(T$65&gt;0,(INDEX(A_Aufgaben,(T$65-Arbeitszeit!$A$6+1),(2*(ROW()-ROW(A_Endedatum))-1))),"")</f>
        <v/>
      </c>
      <c r="U70" s="470" t="str">
        <f>IF(U$65&gt;0,(INDEX(A_Aufgaben,(U$65-Arbeitszeit!$A$6+1),(2*(ROW()-ROW(A_Endedatum))-1))),"")</f>
        <v/>
      </c>
      <c r="V70" s="471" t="str">
        <f>IF(V$65&gt;0,(INDEX(A_Aufgaben,(V$65-Arbeitszeit!$A$6+1),(2*(ROW()-ROW(A_Endedatum))-1))),"")</f>
        <v/>
      </c>
      <c r="W70" s="470" t="str">
        <f>IF(W$65&gt;0,(INDEX(A_Aufgaben,(W$65-Arbeitszeit!$A$6+1),(2*(ROW()-ROW(A_Endedatum))-1))),"")</f>
        <v/>
      </c>
      <c r="X70" s="471" t="str">
        <f>IF(X$65&gt;0,(INDEX(A_Aufgaben,(X$65-Arbeitszeit!$A$6+1),(2*(ROW()-ROW(A_Endedatum))-1))),"")</f>
        <v/>
      </c>
      <c r="Y70" s="470" t="str">
        <f>IF(Y$65&gt;0,(INDEX(A_Aufgaben,(Y$65-Arbeitszeit!$A$6+1),(2*(ROW()-ROW(A_Endedatum))-1))),"")</f>
        <v/>
      </c>
      <c r="Z70" s="471" t="str">
        <f>IF(Z$65&gt;0,(INDEX(A_Aufgaben,(Z$65-Arbeitszeit!$A$6+1),(2*(ROW()-ROW(A_Endedatum))-1))),"")</f>
        <v/>
      </c>
      <c r="AA70" s="470" t="str">
        <f>IF(AA$65&gt;0,(INDEX(A_Aufgaben,(AA$65-Arbeitszeit!$A$6+1),(2*(ROW()-ROW(A_Endedatum))-1))),"")</f>
        <v/>
      </c>
      <c r="AB70" s="471" t="str">
        <f>IF(AB$65&gt;0,(INDEX(A_Aufgaben,(AB$65-Arbeitszeit!$A$6+1),(2*(ROW()-ROW(A_Endedatum))-1))),"")</f>
        <v/>
      </c>
      <c r="AC70" s="470" t="str">
        <f>IF(AC$65&gt;0,(INDEX(A_Aufgaben,(AC$65-Arbeitszeit!$A$6+1),(2*(ROW()-ROW(A_Endedatum))-1))),"")</f>
        <v/>
      </c>
      <c r="AD70" s="471" t="str">
        <f>IF(AD$65&gt;0,(INDEX(A_Aufgaben,(AD$65-Arbeitszeit!$A$6+1),(2*(ROW()-ROW(A_Endedatum))-1))),"")</f>
        <v/>
      </c>
      <c r="AE70" s="470" t="str">
        <f>IF(AE$65&gt;0,(INDEX(A_Aufgaben,(AE$65-Arbeitszeit!$A$6+1),(2*(ROW()-ROW(A_Endedatum))-1))),"")</f>
        <v/>
      </c>
      <c r="AF70" s="471" t="str">
        <f>IF(AF$65&gt;0,(INDEX(A_Aufgaben,(AF$65-Arbeitszeit!$A$6+1),(2*(ROW()-ROW(A_Endedatum))-1))),"")</f>
        <v/>
      </c>
      <c r="AG70" s="470" t="str">
        <f>IF(AG$65&gt;0,(INDEX(A_Aufgaben,(AG$65-Arbeitszeit!$A$6+1),(2*(ROW()-ROW(A_Endedatum))-1))),"")</f>
        <v/>
      </c>
      <c r="AH70" s="479">
        <f t="shared" si="12"/>
        <v>0</v>
      </c>
      <c r="AI70" s="3">
        <f t="shared" si="13"/>
        <v>0</v>
      </c>
      <c r="AJ70" s="494" t="e">
        <f t="shared" si="14"/>
        <v>#VALUE!</v>
      </c>
    </row>
    <row r="71" spans="1:36" hidden="1" outlineLevel="1">
      <c r="A71">
        <f t="shared" si="11"/>
        <v>0</v>
      </c>
      <c r="B71" s="469" t="str">
        <f t="shared" si="11"/>
        <v>Aufgabe 03</v>
      </c>
      <c r="C71" s="470" t="str">
        <f>IF(C$65&gt;0,(INDEX(A_Aufgaben,(C$65-Arbeitszeit!$A$6+1),(2*(ROW()-ROW(A_Endedatum))-1))),"")</f>
        <v/>
      </c>
      <c r="D71" s="471" t="str">
        <f>IF(D$65&gt;0,(INDEX(A_Aufgaben,(D$65-Arbeitszeit!$A$6+1),(2*(ROW()-ROW(A_Endedatum))-1))),"")</f>
        <v/>
      </c>
      <c r="E71" s="470" t="str">
        <f>IF(E$65&gt;0,(INDEX(A_Aufgaben,(E$65-Arbeitszeit!$A$6+1),(2*(ROW()-ROW(A_Endedatum))-1))),"")</f>
        <v/>
      </c>
      <c r="F71" s="471" t="str">
        <f>IF(F$65&gt;0,(INDEX(A_Aufgaben,(F$65-Arbeitszeit!$A$6+1),(2*(ROW()-ROW(A_Endedatum))-1))),"")</f>
        <v/>
      </c>
      <c r="G71" s="470" t="str">
        <f>IF(G$65&gt;0,(INDEX(A_Aufgaben,(G$65-Arbeitszeit!$A$6+1),(2*(ROW()-ROW(A_Endedatum))-1))),"")</f>
        <v/>
      </c>
      <c r="H71" s="471" t="str">
        <f>IF(H$65&gt;0,(INDEX(A_Aufgaben,(H$65-Arbeitszeit!$A$6+1),(2*(ROW()-ROW(A_Endedatum))-1))),"")</f>
        <v/>
      </c>
      <c r="I71" s="470" t="str">
        <f>IF(I$65&gt;0,(INDEX(A_Aufgaben,(I$65-Arbeitszeit!$A$6+1),(2*(ROW()-ROW(A_Endedatum))-1))),"")</f>
        <v/>
      </c>
      <c r="J71" s="471" t="str">
        <f>IF(J$65&gt;0,(INDEX(A_Aufgaben,(J$65-Arbeitszeit!$A$6+1),(2*(ROW()-ROW(A_Endedatum))-1))),"")</f>
        <v/>
      </c>
      <c r="K71" s="470" t="str">
        <f>IF(K$65&gt;0,(INDEX(A_Aufgaben,(K$65-Arbeitszeit!$A$6+1),(2*(ROW()-ROW(A_Endedatum))-1))),"")</f>
        <v/>
      </c>
      <c r="L71" s="471" t="str">
        <f>IF(L$65&gt;0,(INDEX(A_Aufgaben,(L$65-Arbeitszeit!$A$6+1),(2*(ROW()-ROW(A_Endedatum))-1))),"")</f>
        <v/>
      </c>
      <c r="M71" s="470" t="str">
        <f>IF(M$65&gt;0,(INDEX(A_Aufgaben,(M$65-Arbeitszeit!$A$6+1),(2*(ROW()-ROW(A_Endedatum))-1))),"")</f>
        <v/>
      </c>
      <c r="N71" s="471" t="str">
        <f>IF(N$65&gt;0,(INDEX(A_Aufgaben,(N$65-Arbeitszeit!$A$6+1),(2*(ROW()-ROW(A_Endedatum))-1))),"")</f>
        <v/>
      </c>
      <c r="O71" s="470" t="str">
        <f>IF(O$65&gt;0,(INDEX(A_Aufgaben,(O$65-Arbeitszeit!$A$6+1),(2*(ROW()-ROW(A_Endedatum))-1))),"")</f>
        <v/>
      </c>
      <c r="P71" s="471" t="str">
        <f>IF(P$65&gt;0,(INDEX(A_Aufgaben,(P$65-Arbeitszeit!$A$6+1),(2*(ROW()-ROW(A_Endedatum))-1))),"")</f>
        <v/>
      </c>
      <c r="Q71" s="470" t="str">
        <f>IF(Q$65&gt;0,(INDEX(A_Aufgaben,(Q$65-Arbeitszeit!$A$6+1),(2*(ROW()-ROW(A_Endedatum))-1))),"")</f>
        <v/>
      </c>
      <c r="R71" s="471" t="str">
        <f>IF(R$65&gt;0,(INDEX(A_Aufgaben,(R$65-Arbeitszeit!$A$6+1),(2*(ROW()-ROW(A_Endedatum))-1))),"")</f>
        <v/>
      </c>
      <c r="S71" s="470" t="str">
        <f>IF(S$65&gt;0,(INDEX(A_Aufgaben,(S$65-Arbeitszeit!$A$6+1),(2*(ROW()-ROW(A_Endedatum))-1))),"")</f>
        <v/>
      </c>
      <c r="T71" s="471" t="str">
        <f>IF(T$65&gt;0,(INDEX(A_Aufgaben,(T$65-Arbeitszeit!$A$6+1),(2*(ROW()-ROW(A_Endedatum))-1))),"")</f>
        <v/>
      </c>
      <c r="U71" s="470" t="str">
        <f>IF(U$65&gt;0,(INDEX(A_Aufgaben,(U$65-Arbeitszeit!$A$6+1),(2*(ROW()-ROW(A_Endedatum))-1))),"")</f>
        <v/>
      </c>
      <c r="V71" s="471" t="str">
        <f>IF(V$65&gt;0,(INDEX(A_Aufgaben,(V$65-Arbeitszeit!$A$6+1),(2*(ROW()-ROW(A_Endedatum))-1))),"")</f>
        <v/>
      </c>
      <c r="W71" s="470" t="str">
        <f>IF(W$65&gt;0,(INDEX(A_Aufgaben,(W$65-Arbeitszeit!$A$6+1),(2*(ROW()-ROW(A_Endedatum))-1))),"")</f>
        <v/>
      </c>
      <c r="X71" s="471" t="str">
        <f>IF(X$65&gt;0,(INDEX(A_Aufgaben,(X$65-Arbeitszeit!$A$6+1),(2*(ROW()-ROW(A_Endedatum))-1))),"")</f>
        <v/>
      </c>
      <c r="Y71" s="470" t="str">
        <f>IF(Y$65&gt;0,(INDEX(A_Aufgaben,(Y$65-Arbeitszeit!$A$6+1),(2*(ROW()-ROW(A_Endedatum))-1))),"")</f>
        <v/>
      </c>
      <c r="Z71" s="471" t="str">
        <f>IF(Z$65&gt;0,(INDEX(A_Aufgaben,(Z$65-Arbeitszeit!$A$6+1),(2*(ROW()-ROW(A_Endedatum))-1))),"")</f>
        <v/>
      </c>
      <c r="AA71" s="470" t="str">
        <f>IF(AA$65&gt;0,(INDEX(A_Aufgaben,(AA$65-Arbeitszeit!$A$6+1),(2*(ROW()-ROW(A_Endedatum))-1))),"")</f>
        <v/>
      </c>
      <c r="AB71" s="471" t="str">
        <f>IF(AB$65&gt;0,(INDEX(A_Aufgaben,(AB$65-Arbeitszeit!$A$6+1),(2*(ROW()-ROW(A_Endedatum))-1))),"")</f>
        <v/>
      </c>
      <c r="AC71" s="470" t="str">
        <f>IF(AC$65&gt;0,(INDEX(A_Aufgaben,(AC$65-Arbeitszeit!$A$6+1),(2*(ROW()-ROW(A_Endedatum))-1))),"")</f>
        <v/>
      </c>
      <c r="AD71" s="471" t="str">
        <f>IF(AD$65&gt;0,(INDEX(A_Aufgaben,(AD$65-Arbeitszeit!$A$6+1),(2*(ROW()-ROW(A_Endedatum))-1))),"")</f>
        <v/>
      </c>
      <c r="AE71" s="470" t="str">
        <f>IF(AE$65&gt;0,(INDEX(A_Aufgaben,(AE$65-Arbeitszeit!$A$6+1),(2*(ROW()-ROW(A_Endedatum))-1))),"")</f>
        <v/>
      </c>
      <c r="AF71" s="471" t="str">
        <f>IF(AF$65&gt;0,(INDEX(A_Aufgaben,(AF$65-Arbeitszeit!$A$6+1),(2*(ROW()-ROW(A_Endedatum))-1))),"")</f>
        <v/>
      </c>
      <c r="AG71" s="470" t="str">
        <f>IF(AG$65&gt;0,(INDEX(A_Aufgaben,(AG$65-Arbeitszeit!$A$6+1),(2*(ROW()-ROW(A_Endedatum))-1))),"")</f>
        <v/>
      </c>
      <c r="AH71" s="479">
        <f t="shared" si="12"/>
        <v>0</v>
      </c>
      <c r="AI71" s="3">
        <f t="shared" si="13"/>
        <v>0</v>
      </c>
      <c r="AJ71" s="494" t="e">
        <f t="shared" si="14"/>
        <v>#VALUE!</v>
      </c>
    </row>
    <row r="72" spans="1:36" hidden="1" outlineLevel="1">
      <c r="A72">
        <f t="shared" si="11"/>
        <v>0</v>
      </c>
      <c r="B72" s="469" t="str">
        <f t="shared" si="11"/>
        <v>Aufgabe 04</v>
      </c>
      <c r="C72" s="470" t="str">
        <f>IF(C$65&gt;0,(INDEX(A_Aufgaben,(C$65-Arbeitszeit!$A$6+1),(2*(ROW()-ROW(A_Endedatum))-1))),"")</f>
        <v/>
      </c>
      <c r="D72" s="471" t="str">
        <f>IF(D$65&gt;0,(INDEX(A_Aufgaben,(D$65-Arbeitszeit!$A$6+1),(2*(ROW()-ROW(A_Endedatum))-1))),"")</f>
        <v/>
      </c>
      <c r="E72" s="470" t="str">
        <f>IF(E$65&gt;0,(INDEX(A_Aufgaben,(E$65-Arbeitszeit!$A$6+1),(2*(ROW()-ROW(A_Endedatum))-1))),"")</f>
        <v/>
      </c>
      <c r="F72" s="471" t="str">
        <f>IF(F$65&gt;0,(INDEX(A_Aufgaben,(F$65-Arbeitszeit!$A$6+1),(2*(ROW()-ROW(A_Endedatum))-1))),"")</f>
        <v/>
      </c>
      <c r="G72" s="470" t="str">
        <f>IF(G$65&gt;0,(INDEX(A_Aufgaben,(G$65-Arbeitszeit!$A$6+1),(2*(ROW()-ROW(A_Endedatum))-1))),"")</f>
        <v/>
      </c>
      <c r="H72" s="471" t="str">
        <f>IF(H$65&gt;0,(INDEX(A_Aufgaben,(H$65-Arbeitszeit!$A$6+1),(2*(ROW()-ROW(A_Endedatum))-1))),"")</f>
        <v/>
      </c>
      <c r="I72" s="470" t="str">
        <f>IF(I$65&gt;0,(INDEX(A_Aufgaben,(I$65-Arbeitszeit!$A$6+1),(2*(ROW()-ROW(A_Endedatum))-1))),"")</f>
        <v/>
      </c>
      <c r="J72" s="471" t="str">
        <f>IF(J$65&gt;0,(INDEX(A_Aufgaben,(J$65-Arbeitszeit!$A$6+1),(2*(ROW()-ROW(A_Endedatum))-1))),"")</f>
        <v/>
      </c>
      <c r="K72" s="470" t="str">
        <f>IF(K$65&gt;0,(INDEX(A_Aufgaben,(K$65-Arbeitszeit!$A$6+1),(2*(ROW()-ROW(A_Endedatum))-1))),"")</f>
        <v/>
      </c>
      <c r="L72" s="471" t="str">
        <f>IF(L$65&gt;0,(INDEX(A_Aufgaben,(L$65-Arbeitszeit!$A$6+1),(2*(ROW()-ROW(A_Endedatum))-1))),"")</f>
        <v/>
      </c>
      <c r="M72" s="470" t="str">
        <f>IF(M$65&gt;0,(INDEX(A_Aufgaben,(M$65-Arbeitszeit!$A$6+1),(2*(ROW()-ROW(A_Endedatum))-1))),"")</f>
        <v/>
      </c>
      <c r="N72" s="471" t="str">
        <f>IF(N$65&gt;0,(INDEX(A_Aufgaben,(N$65-Arbeitszeit!$A$6+1),(2*(ROW()-ROW(A_Endedatum))-1))),"")</f>
        <v/>
      </c>
      <c r="O72" s="470" t="str">
        <f>IF(O$65&gt;0,(INDEX(A_Aufgaben,(O$65-Arbeitszeit!$A$6+1),(2*(ROW()-ROW(A_Endedatum))-1))),"")</f>
        <v/>
      </c>
      <c r="P72" s="471" t="str">
        <f>IF(P$65&gt;0,(INDEX(A_Aufgaben,(P$65-Arbeitszeit!$A$6+1),(2*(ROW()-ROW(A_Endedatum))-1))),"")</f>
        <v/>
      </c>
      <c r="Q72" s="470" t="str">
        <f>IF(Q$65&gt;0,(INDEX(A_Aufgaben,(Q$65-Arbeitszeit!$A$6+1),(2*(ROW()-ROW(A_Endedatum))-1))),"")</f>
        <v/>
      </c>
      <c r="R72" s="471" t="str">
        <f>IF(R$65&gt;0,(INDEX(A_Aufgaben,(R$65-Arbeitszeit!$A$6+1),(2*(ROW()-ROW(A_Endedatum))-1))),"")</f>
        <v/>
      </c>
      <c r="S72" s="470" t="str">
        <f>IF(S$65&gt;0,(INDEX(A_Aufgaben,(S$65-Arbeitszeit!$A$6+1),(2*(ROW()-ROW(A_Endedatum))-1))),"")</f>
        <v/>
      </c>
      <c r="T72" s="471" t="str">
        <f>IF(T$65&gt;0,(INDEX(A_Aufgaben,(T$65-Arbeitszeit!$A$6+1),(2*(ROW()-ROW(A_Endedatum))-1))),"")</f>
        <v/>
      </c>
      <c r="U72" s="470" t="str">
        <f>IF(U$65&gt;0,(INDEX(A_Aufgaben,(U$65-Arbeitszeit!$A$6+1),(2*(ROW()-ROW(A_Endedatum))-1))),"")</f>
        <v/>
      </c>
      <c r="V72" s="471" t="str">
        <f>IF(V$65&gt;0,(INDEX(A_Aufgaben,(V$65-Arbeitszeit!$A$6+1),(2*(ROW()-ROW(A_Endedatum))-1))),"")</f>
        <v/>
      </c>
      <c r="W72" s="470" t="str">
        <f>IF(W$65&gt;0,(INDEX(A_Aufgaben,(W$65-Arbeitszeit!$A$6+1),(2*(ROW()-ROW(A_Endedatum))-1))),"")</f>
        <v/>
      </c>
      <c r="X72" s="471" t="str">
        <f>IF(X$65&gt;0,(INDEX(A_Aufgaben,(X$65-Arbeitszeit!$A$6+1),(2*(ROW()-ROW(A_Endedatum))-1))),"")</f>
        <v/>
      </c>
      <c r="Y72" s="470" t="str">
        <f>IF(Y$65&gt;0,(INDEX(A_Aufgaben,(Y$65-Arbeitszeit!$A$6+1),(2*(ROW()-ROW(A_Endedatum))-1))),"")</f>
        <v/>
      </c>
      <c r="Z72" s="471" t="str">
        <f>IF(Z$65&gt;0,(INDEX(A_Aufgaben,(Z$65-Arbeitszeit!$A$6+1),(2*(ROW()-ROW(A_Endedatum))-1))),"")</f>
        <v/>
      </c>
      <c r="AA72" s="470" t="str">
        <f>IF(AA$65&gt;0,(INDEX(A_Aufgaben,(AA$65-Arbeitszeit!$A$6+1),(2*(ROW()-ROW(A_Endedatum))-1))),"")</f>
        <v/>
      </c>
      <c r="AB72" s="471" t="str">
        <f>IF(AB$65&gt;0,(INDEX(A_Aufgaben,(AB$65-Arbeitszeit!$A$6+1),(2*(ROW()-ROW(A_Endedatum))-1))),"")</f>
        <v/>
      </c>
      <c r="AC72" s="470" t="str">
        <f>IF(AC$65&gt;0,(INDEX(A_Aufgaben,(AC$65-Arbeitszeit!$A$6+1),(2*(ROW()-ROW(A_Endedatum))-1))),"")</f>
        <v/>
      </c>
      <c r="AD72" s="471" t="str">
        <f>IF(AD$65&gt;0,(INDEX(A_Aufgaben,(AD$65-Arbeitszeit!$A$6+1),(2*(ROW()-ROW(A_Endedatum))-1))),"")</f>
        <v/>
      </c>
      <c r="AE72" s="470" t="str">
        <f>IF(AE$65&gt;0,(INDEX(A_Aufgaben,(AE$65-Arbeitszeit!$A$6+1),(2*(ROW()-ROW(A_Endedatum))-1))),"")</f>
        <v/>
      </c>
      <c r="AF72" s="471" t="str">
        <f>IF(AF$65&gt;0,(INDEX(A_Aufgaben,(AF$65-Arbeitszeit!$A$6+1),(2*(ROW()-ROW(A_Endedatum))-1))),"")</f>
        <v/>
      </c>
      <c r="AG72" s="470" t="str">
        <f>IF(AG$65&gt;0,(INDEX(A_Aufgaben,(AG$65-Arbeitszeit!$A$6+1),(2*(ROW()-ROW(A_Endedatum))-1))),"")</f>
        <v/>
      </c>
      <c r="AH72" s="479">
        <f t="shared" si="12"/>
        <v>0</v>
      </c>
      <c r="AI72" s="3">
        <f t="shared" si="13"/>
        <v>0</v>
      </c>
      <c r="AJ72" s="494" t="e">
        <f t="shared" si="14"/>
        <v>#VALUE!</v>
      </c>
    </row>
    <row r="73" spans="1:36" hidden="1" outlineLevel="1">
      <c r="A73">
        <f t="shared" si="11"/>
        <v>0</v>
      </c>
      <c r="B73" s="469" t="str">
        <f t="shared" si="11"/>
        <v>Aufgabe 05</v>
      </c>
      <c r="C73" s="470" t="str">
        <f>IF(C$65&gt;0,(INDEX(A_Aufgaben,(C$65-Arbeitszeit!$A$6+1),(2*(ROW()-ROW(A_Endedatum))-1))),"")</f>
        <v/>
      </c>
      <c r="D73" s="471" t="str">
        <f>IF(D$65&gt;0,(INDEX(A_Aufgaben,(D$65-Arbeitszeit!$A$6+1),(2*(ROW()-ROW(A_Endedatum))-1))),"")</f>
        <v/>
      </c>
      <c r="E73" s="470" t="str">
        <f>IF(E$65&gt;0,(INDEX(A_Aufgaben,(E$65-Arbeitszeit!$A$6+1),(2*(ROW()-ROW(A_Endedatum))-1))),"")</f>
        <v/>
      </c>
      <c r="F73" s="471" t="str">
        <f>IF(F$65&gt;0,(INDEX(A_Aufgaben,(F$65-Arbeitszeit!$A$6+1),(2*(ROW()-ROW(A_Endedatum))-1))),"")</f>
        <v/>
      </c>
      <c r="G73" s="470" t="str">
        <f>IF(G$65&gt;0,(INDEX(A_Aufgaben,(G$65-Arbeitszeit!$A$6+1),(2*(ROW()-ROW(A_Endedatum))-1))),"")</f>
        <v/>
      </c>
      <c r="H73" s="471" t="str">
        <f>IF(H$65&gt;0,(INDEX(A_Aufgaben,(H$65-Arbeitszeit!$A$6+1),(2*(ROW()-ROW(A_Endedatum))-1))),"")</f>
        <v/>
      </c>
      <c r="I73" s="470" t="str">
        <f>IF(I$65&gt;0,(INDEX(A_Aufgaben,(I$65-Arbeitszeit!$A$6+1),(2*(ROW()-ROW(A_Endedatum))-1))),"")</f>
        <v/>
      </c>
      <c r="J73" s="471" t="str">
        <f>IF(J$65&gt;0,(INDEX(A_Aufgaben,(J$65-Arbeitszeit!$A$6+1),(2*(ROW()-ROW(A_Endedatum))-1))),"")</f>
        <v/>
      </c>
      <c r="K73" s="470" t="str">
        <f>IF(K$65&gt;0,(INDEX(A_Aufgaben,(K$65-Arbeitszeit!$A$6+1),(2*(ROW()-ROW(A_Endedatum))-1))),"")</f>
        <v/>
      </c>
      <c r="L73" s="471" t="str">
        <f>IF(L$65&gt;0,(INDEX(A_Aufgaben,(L$65-Arbeitszeit!$A$6+1),(2*(ROW()-ROW(A_Endedatum))-1))),"")</f>
        <v/>
      </c>
      <c r="M73" s="470" t="str">
        <f>IF(M$65&gt;0,(INDEX(A_Aufgaben,(M$65-Arbeitszeit!$A$6+1),(2*(ROW()-ROW(A_Endedatum))-1))),"")</f>
        <v/>
      </c>
      <c r="N73" s="471" t="str">
        <f>IF(N$65&gt;0,(INDEX(A_Aufgaben,(N$65-Arbeitszeit!$A$6+1),(2*(ROW()-ROW(A_Endedatum))-1))),"")</f>
        <v/>
      </c>
      <c r="O73" s="470" t="str">
        <f>IF(O$65&gt;0,(INDEX(A_Aufgaben,(O$65-Arbeitszeit!$A$6+1),(2*(ROW()-ROW(A_Endedatum))-1))),"")</f>
        <v/>
      </c>
      <c r="P73" s="471" t="str">
        <f>IF(P$65&gt;0,(INDEX(A_Aufgaben,(P$65-Arbeitszeit!$A$6+1),(2*(ROW()-ROW(A_Endedatum))-1))),"")</f>
        <v/>
      </c>
      <c r="Q73" s="470" t="str">
        <f>IF(Q$65&gt;0,(INDEX(A_Aufgaben,(Q$65-Arbeitszeit!$A$6+1),(2*(ROW()-ROW(A_Endedatum))-1))),"")</f>
        <v/>
      </c>
      <c r="R73" s="471" t="str">
        <f>IF(R$65&gt;0,(INDEX(A_Aufgaben,(R$65-Arbeitszeit!$A$6+1),(2*(ROW()-ROW(A_Endedatum))-1))),"")</f>
        <v/>
      </c>
      <c r="S73" s="470" t="str">
        <f>IF(S$65&gt;0,(INDEX(A_Aufgaben,(S$65-Arbeitszeit!$A$6+1),(2*(ROW()-ROW(A_Endedatum))-1))),"")</f>
        <v/>
      </c>
      <c r="T73" s="471" t="str">
        <f>IF(T$65&gt;0,(INDEX(A_Aufgaben,(T$65-Arbeitszeit!$A$6+1),(2*(ROW()-ROW(A_Endedatum))-1))),"")</f>
        <v/>
      </c>
      <c r="U73" s="470" t="str">
        <f>IF(U$65&gt;0,(INDEX(A_Aufgaben,(U$65-Arbeitszeit!$A$6+1),(2*(ROW()-ROW(A_Endedatum))-1))),"")</f>
        <v/>
      </c>
      <c r="V73" s="471" t="str">
        <f>IF(V$65&gt;0,(INDEX(A_Aufgaben,(V$65-Arbeitszeit!$A$6+1),(2*(ROW()-ROW(A_Endedatum))-1))),"")</f>
        <v/>
      </c>
      <c r="W73" s="470" t="str">
        <f>IF(W$65&gt;0,(INDEX(A_Aufgaben,(W$65-Arbeitszeit!$A$6+1),(2*(ROW()-ROW(A_Endedatum))-1))),"")</f>
        <v/>
      </c>
      <c r="X73" s="471" t="str">
        <f>IF(X$65&gt;0,(INDEX(A_Aufgaben,(X$65-Arbeitszeit!$A$6+1),(2*(ROW()-ROW(A_Endedatum))-1))),"")</f>
        <v/>
      </c>
      <c r="Y73" s="470" t="str">
        <f>IF(Y$65&gt;0,(INDEX(A_Aufgaben,(Y$65-Arbeitszeit!$A$6+1),(2*(ROW()-ROW(A_Endedatum))-1))),"")</f>
        <v/>
      </c>
      <c r="Z73" s="471" t="str">
        <f>IF(Z$65&gt;0,(INDEX(A_Aufgaben,(Z$65-Arbeitszeit!$A$6+1),(2*(ROW()-ROW(A_Endedatum))-1))),"")</f>
        <v/>
      </c>
      <c r="AA73" s="470" t="str">
        <f>IF(AA$65&gt;0,(INDEX(A_Aufgaben,(AA$65-Arbeitszeit!$A$6+1),(2*(ROW()-ROW(A_Endedatum))-1))),"")</f>
        <v/>
      </c>
      <c r="AB73" s="471" t="str">
        <f>IF(AB$65&gt;0,(INDEX(A_Aufgaben,(AB$65-Arbeitszeit!$A$6+1),(2*(ROW()-ROW(A_Endedatum))-1))),"")</f>
        <v/>
      </c>
      <c r="AC73" s="470" t="str">
        <f>IF(AC$65&gt;0,(INDEX(A_Aufgaben,(AC$65-Arbeitszeit!$A$6+1),(2*(ROW()-ROW(A_Endedatum))-1))),"")</f>
        <v/>
      </c>
      <c r="AD73" s="471" t="str">
        <f>IF(AD$65&gt;0,(INDEX(A_Aufgaben,(AD$65-Arbeitszeit!$A$6+1),(2*(ROW()-ROW(A_Endedatum))-1))),"")</f>
        <v/>
      </c>
      <c r="AE73" s="470" t="str">
        <f>IF(AE$65&gt;0,(INDEX(A_Aufgaben,(AE$65-Arbeitszeit!$A$6+1),(2*(ROW()-ROW(A_Endedatum))-1))),"")</f>
        <v/>
      </c>
      <c r="AF73" s="471" t="str">
        <f>IF(AF$65&gt;0,(INDEX(A_Aufgaben,(AF$65-Arbeitszeit!$A$6+1),(2*(ROW()-ROW(A_Endedatum))-1))),"")</f>
        <v/>
      </c>
      <c r="AG73" s="470" t="str">
        <f>IF(AG$65&gt;0,(INDEX(A_Aufgaben,(AG$65-Arbeitszeit!$A$6+1),(2*(ROW()-ROW(A_Endedatum))-1))),"")</f>
        <v/>
      </c>
      <c r="AH73" s="479">
        <f t="shared" si="12"/>
        <v>0</v>
      </c>
      <c r="AI73" s="3">
        <f t="shared" si="13"/>
        <v>0</v>
      </c>
      <c r="AJ73" s="494" t="e">
        <f t="shared" si="14"/>
        <v>#VALUE!</v>
      </c>
    </row>
    <row r="74" spans="1:36" hidden="1" outlineLevel="1">
      <c r="A74">
        <f t="shared" si="11"/>
        <v>0</v>
      </c>
      <c r="B74" s="469" t="str">
        <f t="shared" si="11"/>
        <v>Aufgabe 06</v>
      </c>
      <c r="C74" s="470" t="str">
        <f>IF(C$65&gt;0,(INDEX(A_Aufgaben,(C$65-Arbeitszeit!$A$6+1),(2*(ROW()-ROW(A_Endedatum))-1))),"")</f>
        <v/>
      </c>
      <c r="D74" s="471" t="str">
        <f>IF(D$65&gt;0,(INDEX(A_Aufgaben,(D$65-Arbeitszeit!$A$6+1),(2*(ROW()-ROW(A_Endedatum))-1))),"")</f>
        <v/>
      </c>
      <c r="E74" s="470" t="str">
        <f>IF(E$65&gt;0,(INDEX(A_Aufgaben,(E$65-Arbeitszeit!$A$6+1),(2*(ROW()-ROW(A_Endedatum))-1))),"")</f>
        <v/>
      </c>
      <c r="F74" s="471" t="str">
        <f>IF(F$65&gt;0,(INDEX(A_Aufgaben,(F$65-Arbeitszeit!$A$6+1),(2*(ROW()-ROW(A_Endedatum))-1))),"")</f>
        <v/>
      </c>
      <c r="G74" s="470" t="str">
        <f>IF(G$65&gt;0,(INDEX(A_Aufgaben,(G$65-Arbeitszeit!$A$6+1),(2*(ROW()-ROW(A_Endedatum))-1))),"")</f>
        <v/>
      </c>
      <c r="H74" s="471" t="str">
        <f>IF(H$65&gt;0,(INDEX(A_Aufgaben,(H$65-Arbeitszeit!$A$6+1),(2*(ROW()-ROW(A_Endedatum))-1))),"")</f>
        <v/>
      </c>
      <c r="I74" s="470" t="str">
        <f>IF(I$65&gt;0,(INDEX(A_Aufgaben,(I$65-Arbeitszeit!$A$6+1),(2*(ROW()-ROW(A_Endedatum))-1))),"")</f>
        <v/>
      </c>
      <c r="J74" s="471" t="str">
        <f>IF(J$65&gt;0,(INDEX(A_Aufgaben,(J$65-Arbeitszeit!$A$6+1),(2*(ROW()-ROW(A_Endedatum))-1))),"")</f>
        <v/>
      </c>
      <c r="K74" s="470" t="str">
        <f>IF(K$65&gt;0,(INDEX(A_Aufgaben,(K$65-Arbeitszeit!$A$6+1),(2*(ROW()-ROW(A_Endedatum))-1))),"")</f>
        <v/>
      </c>
      <c r="L74" s="471" t="str">
        <f>IF(L$65&gt;0,(INDEX(A_Aufgaben,(L$65-Arbeitszeit!$A$6+1),(2*(ROW()-ROW(A_Endedatum))-1))),"")</f>
        <v/>
      </c>
      <c r="M74" s="470" t="str">
        <f>IF(M$65&gt;0,(INDEX(A_Aufgaben,(M$65-Arbeitszeit!$A$6+1),(2*(ROW()-ROW(A_Endedatum))-1))),"")</f>
        <v/>
      </c>
      <c r="N74" s="471" t="str">
        <f>IF(N$65&gt;0,(INDEX(A_Aufgaben,(N$65-Arbeitszeit!$A$6+1),(2*(ROW()-ROW(A_Endedatum))-1))),"")</f>
        <v/>
      </c>
      <c r="O74" s="470" t="str">
        <f>IF(O$65&gt;0,(INDEX(A_Aufgaben,(O$65-Arbeitszeit!$A$6+1),(2*(ROW()-ROW(A_Endedatum))-1))),"")</f>
        <v/>
      </c>
      <c r="P74" s="471" t="str">
        <f>IF(P$65&gt;0,(INDEX(A_Aufgaben,(P$65-Arbeitszeit!$A$6+1),(2*(ROW()-ROW(A_Endedatum))-1))),"")</f>
        <v/>
      </c>
      <c r="Q74" s="470" t="str">
        <f>IF(Q$65&gt;0,(INDEX(A_Aufgaben,(Q$65-Arbeitszeit!$A$6+1),(2*(ROW()-ROW(A_Endedatum))-1))),"")</f>
        <v/>
      </c>
      <c r="R74" s="471" t="str">
        <f>IF(R$65&gt;0,(INDEX(A_Aufgaben,(R$65-Arbeitszeit!$A$6+1),(2*(ROW()-ROW(A_Endedatum))-1))),"")</f>
        <v/>
      </c>
      <c r="S74" s="470" t="str">
        <f>IF(S$65&gt;0,(INDEX(A_Aufgaben,(S$65-Arbeitszeit!$A$6+1),(2*(ROW()-ROW(A_Endedatum))-1))),"")</f>
        <v/>
      </c>
      <c r="T74" s="471" t="str">
        <f>IF(T$65&gt;0,(INDEX(A_Aufgaben,(T$65-Arbeitszeit!$A$6+1),(2*(ROW()-ROW(A_Endedatum))-1))),"")</f>
        <v/>
      </c>
      <c r="U74" s="470" t="str">
        <f>IF(U$65&gt;0,(INDEX(A_Aufgaben,(U$65-Arbeitszeit!$A$6+1),(2*(ROW()-ROW(A_Endedatum))-1))),"")</f>
        <v/>
      </c>
      <c r="V74" s="471" t="str">
        <f>IF(V$65&gt;0,(INDEX(A_Aufgaben,(V$65-Arbeitszeit!$A$6+1),(2*(ROW()-ROW(A_Endedatum))-1))),"")</f>
        <v/>
      </c>
      <c r="W74" s="470" t="str">
        <f>IF(W$65&gt;0,(INDEX(A_Aufgaben,(W$65-Arbeitszeit!$A$6+1),(2*(ROW()-ROW(A_Endedatum))-1))),"")</f>
        <v/>
      </c>
      <c r="X74" s="471" t="str">
        <f>IF(X$65&gt;0,(INDEX(A_Aufgaben,(X$65-Arbeitszeit!$A$6+1),(2*(ROW()-ROW(A_Endedatum))-1))),"")</f>
        <v/>
      </c>
      <c r="Y74" s="470" t="str">
        <f>IF(Y$65&gt;0,(INDEX(A_Aufgaben,(Y$65-Arbeitszeit!$A$6+1),(2*(ROW()-ROW(A_Endedatum))-1))),"")</f>
        <v/>
      </c>
      <c r="Z74" s="471" t="str">
        <f>IF(Z$65&gt;0,(INDEX(A_Aufgaben,(Z$65-Arbeitszeit!$A$6+1),(2*(ROW()-ROW(A_Endedatum))-1))),"")</f>
        <v/>
      </c>
      <c r="AA74" s="470" t="str">
        <f>IF(AA$65&gt;0,(INDEX(A_Aufgaben,(AA$65-Arbeitszeit!$A$6+1),(2*(ROW()-ROW(A_Endedatum))-1))),"")</f>
        <v/>
      </c>
      <c r="AB74" s="471" t="str">
        <f>IF(AB$65&gt;0,(INDEX(A_Aufgaben,(AB$65-Arbeitszeit!$A$6+1),(2*(ROW()-ROW(A_Endedatum))-1))),"")</f>
        <v/>
      </c>
      <c r="AC74" s="470" t="str">
        <f>IF(AC$65&gt;0,(INDEX(A_Aufgaben,(AC$65-Arbeitszeit!$A$6+1),(2*(ROW()-ROW(A_Endedatum))-1))),"")</f>
        <v/>
      </c>
      <c r="AD74" s="471" t="str">
        <f>IF(AD$65&gt;0,(INDEX(A_Aufgaben,(AD$65-Arbeitszeit!$A$6+1),(2*(ROW()-ROW(A_Endedatum))-1))),"")</f>
        <v/>
      </c>
      <c r="AE74" s="470" t="str">
        <f>IF(AE$65&gt;0,(INDEX(A_Aufgaben,(AE$65-Arbeitszeit!$A$6+1),(2*(ROW()-ROW(A_Endedatum))-1))),"")</f>
        <v/>
      </c>
      <c r="AF74" s="471" t="str">
        <f>IF(AF$65&gt;0,(INDEX(A_Aufgaben,(AF$65-Arbeitszeit!$A$6+1),(2*(ROW()-ROW(A_Endedatum))-1))),"")</f>
        <v/>
      </c>
      <c r="AG74" s="470" t="str">
        <f>IF(AG$65&gt;0,(INDEX(A_Aufgaben,(AG$65-Arbeitszeit!$A$6+1),(2*(ROW()-ROW(A_Endedatum))-1))),"")</f>
        <v/>
      </c>
      <c r="AH74" s="479">
        <f t="shared" si="12"/>
        <v>0</v>
      </c>
      <c r="AI74" s="3">
        <f t="shared" si="13"/>
        <v>0</v>
      </c>
      <c r="AJ74" s="494" t="e">
        <f t="shared" si="14"/>
        <v>#VALUE!</v>
      </c>
    </row>
    <row r="75" spans="1:36" hidden="1" outlineLevel="1">
      <c r="A75">
        <f t="shared" si="11"/>
        <v>0</v>
      </c>
      <c r="B75" s="469" t="str">
        <f t="shared" si="11"/>
        <v>Aufgabe 07</v>
      </c>
      <c r="C75" s="470" t="str">
        <f>IF(C$65&gt;0,(INDEX(A_Aufgaben,(C$65-Arbeitszeit!$A$6+1),(2*(ROW()-ROW(A_Endedatum))-1))),"")</f>
        <v/>
      </c>
      <c r="D75" s="471" t="str">
        <f>IF(D$65&gt;0,(INDEX(A_Aufgaben,(D$65-Arbeitszeit!$A$6+1),(2*(ROW()-ROW(A_Endedatum))-1))),"")</f>
        <v/>
      </c>
      <c r="E75" s="470" t="str">
        <f>IF(E$65&gt;0,(INDEX(A_Aufgaben,(E$65-Arbeitszeit!$A$6+1),(2*(ROW()-ROW(A_Endedatum))-1))),"")</f>
        <v/>
      </c>
      <c r="F75" s="471" t="str">
        <f>IF(F$65&gt;0,(INDEX(A_Aufgaben,(F$65-Arbeitszeit!$A$6+1),(2*(ROW()-ROW(A_Endedatum))-1))),"")</f>
        <v/>
      </c>
      <c r="G75" s="470" t="str">
        <f>IF(G$65&gt;0,(INDEX(A_Aufgaben,(G$65-Arbeitszeit!$A$6+1),(2*(ROW()-ROW(A_Endedatum))-1))),"")</f>
        <v/>
      </c>
      <c r="H75" s="471" t="str">
        <f>IF(H$65&gt;0,(INDEX(A_Aufgaben,(H$65-Arbeitszeit!$A$6+1),(2*(ROW()-ROW(A_Endedatum))-1))),"")</f>
        <v/>
      </c>
      <c r="I75" s="470" t="str">
        <f>IF(I$65&gt;0,(INDEX(A_Aufgaben,(I$65-Arbeitszeit!$A$6+1),(2*(ROW()-ROW(A_Endedatum))-1))),"")</f>
        <v/>
      </c>
      <c r="J75" s="471" t="str">
        <f>IF(J$65&gt;0,(INDEX(A_Aufgaben,(J$65-Arbeitszeit!$A$6+1),(2*(ROW()-ROW(A_Endedatum))-1))),"")</f>
        <v/>
      </c>
      <c r="K75" s="470" t="str">
        <f>IF(K$65&gt;0,(INDEX(A_Aufgaben,(K$65-Arbeitszeit!$A$6+1),(2*(ROW()-ROW(A_Endedatum))-1))),"")</f>
        <v/>
      </c>
      <c r="L75" s="471" t="str">
        <f>IF(L$65&gt;0,(INDEX(A_Aufgaben,(L$65-Arbeitszeit!$A$6+1),(2*(ROW()-ROW(A_Endedatum))-1))),"")</f>
        <v/>
      </c>
      <c r="M75" s="470" t="str">
        <f>IF(M$65&gt;0,(INDEX(A_Aufgaben,(M$65-Arbeitszeit!$A$6+1),(2*(ROW()-ROW(A_Endedatum))-1))),"")</f>
        <v/>
      </c>
      <c r="N75" s="471" t="str">
        <f>IF(N$65&gt;0,(INDEX(A_Aufgaben,(N$65-Arbeitszeit!$A$6+1),(2*(ROW()-ROW(A_Endedatum))-1))),"")</f>
        <v/>
      </c>
      <c r="O75" s="470" t="str">
        <f>IF(O$65&gt;0,(INDEX(A_Aufgaben,(O$65-Arbeitszeit!$A$6+1),(2*(ROW()-ROW(A_Endedatum))-1))),"")</f>
        <v/>
      </c>
      <c r="P75" s="471" t="str">
        <f>IF(P$65&gt;0,(INDEX(A_Aufgaben,(P$65-Arbeitszeit!$A$6+1),(2*(ROW()-ROW(A_Endedatum))-1))),"")</f>
        <v/>
      </c>
      <c r="Q75" s="470" t="str">
        <f>IF(Q$65&gt;0,(INDEX(A_Aufgaben,(Q$65-Arbeitszeit!$A$6+1),(2*(ROW()-ROW(A_Endedatum))-1))),"")</f>
        <v/>
      </c>
      <c r="R75" s="471" t="str">
        <f>IF(R$65&gt;0,(INDEX(A_Aufgaben,(R$65-Arbeitszeit!$A$6+1),(2*(ROW()-ROW(A_Endedatum))-1))),"")</f>
        <v/>
      </c>
      <c r="S75" s="470" t="str">
        <f>IF(S$65&gt;0,(INDEX(A_Aufgaben,(S$65-Arbeitszeit!$A$6+1),(2*(ROW()-ROW(A_Endedatum))-1))),"")</f>
        <v/>
      </c>
      <c r="T75" s="471" t="str">
        <f>IF(T$65&gt;0,(INDEX(A_Aufgaben,(T$65-Arbeitszeit!$A$6+1),(2*(ROW()-ROW(A_Endedatum))-1))),"")</f>
        <v/>
      </c>
      <c r="U75" s="470" t="str">
        <f>IF(U$65&gt;0,(INDEX(A_Aufgaben,(U$65-Arbeitszeit!$A$6+1),(2*(ROW()-ROW(A_Endedatum))-1))),"")</f>
        <v/>
      </c>
      <c r="V75" s="471" t="str">
        <f>IF(V$65&gt;0,(INDEX(A_Aufgaben,(V$65-Arbeitszeit!$A$6+1),(2*(ROW()-ROW(A_Endedatum))-1))),"")</f>
        <v/>
      </c>
      <c r="W75" s="470" t="str">
        <f>IF(W$65&gt;0,(INDEX(A_Aufgaben,(W$65-Arbeitszeit!$A$6+1),(2*(ROW()-ROW(A_Endedatum))-1))),"")</f>
        <v/>
      </c>
      <c r="X75" s="471" t="str">
        <f>IF(X$65&gt;0,(INDEX(A_Aufgaben,(X$65-Arbeitszeit!$A$6+1),(2*(ROW()-ROW(A_Endedatum))-1))),"")</f>
        <v/>
      </c>
      <c r="Y75" s="470" t="str">
        <f>IF(Y$65&gt;0,(INDEX(A_Aufgaben,(Y$65-Arbeitszeit!$A$6+1),(2*(ROW()-ROW(A_Endedatum))-1))),"")</f>
        <v/>
      </c>
      <c r="Z75" s="471" t="str">
        <f>IF(Z$65&gt;0,(INDEX(A_Aufgaben,(Z$65-Arbeitszeit!$A$6+1),(2*(ROW()-ROW(A_Endedatum))-1))),"")</f>
        <v/>
      </c>
      <c r="AA75" s="470" t="str">
        <f>IF(AA$65&gt;0,(INDEX(A_Aufgaben,(AA$65-Arbeitszeit!$A$6+1),(2*(ROW()-ROW(A_Endedatum))-1))),"")</f>
        <v/>
      </c>
      <c r="AB75" s="471" t="str">
        <f>IF(AB$65&gt;0,(INDEX(A_Aufgaben,(AB$65-Arbeitszeit!$A$6+1),(2*(ROW()-ROW(A_Endedatum))-1))),"")</f>
        <v/>
      </c>
      <c r="AC75" s="470" t="str">
        <f>IF(AC$65&gt;0,(INDEX(A_Aufgaben,(AC$65-Arbeitszeit!$A$6+1),(2*(ROW()-ROW(A_Endedatum))-1))),"")</f>
        <v/>
      </c>
      <c r="AD75" s="471" t="str">
        <f>IF(AD$65&gt;0,(INDEX(A_Aufgaben,(AD$65-Arbeitszeit!$A$6+1),(2*(ROW()-ROW(A_Endedatum))-1))),"")</f>
        <v/>
      </c>
      <c r="AE75" s="470" t="str">
        <f>IF(AE$65&gt;0,(INDEX(A_Aufgaben,(AE$65-Arbeitszeit!$A$6+1),(2*(ROW()-ROW(A_Endedatum))-1))),"")</f>
        <v/>
      </c>
      <c r="AF75" s="471" t="str">
        <f>IF(AF$65&gt;0,(INDEX(A_Aufgaben,(AF$65-Arbeitszeit!$A$6+1),(2*(ROW()-ROW(A_Endedatum))-1))),"")</f>
        <v/>
      </c>
      <c r="AG75" s="470" t="str">
        <f>IF(AG$65&gt;0,(INDEX(A_Aufgaben,(AG$65-Arbeitszeit!$A$6+1),(2*(ROW()-ROW(A_Endedatum))-1))),"")</f>
        <v/>
      </c>
      <c r="AH75" s="479">
        <f t="shared" si="12"/>
        <v>0</v>
      </c>
      <c r="AI75" s="3">
        <f t="shared" si="13"/>
        <v>0</v>
      </c>
      <c r="AJ75" s="494" t="e">
        <f t="shared" si="14"/>
        <v>#VALUE!</v>
      </c>
    </row>
    <row r="76" spans="1:36" hidden="1" outlineLevel="1">
      <c r="A76">
        <f t="shared" si="11"/>
        <v>0</v>
      </c>
      <c r="B76" s="469" t="str">
        <f t="shared" si="11"/>
        <v>Aufgabe 08</v>
      </c>
      <c r="C76" s="470" t="str">
        <f>IF(C$65&gt;0,(INDEX(A_Aufgaben,(C$65-Arbeitszeit!$A$6+1),(2*(ROW()-ROW(A_Endedatum))-1))),"")</f>
        <v/>
      </c>
      <c r="D76" s="471" t="str">
        <f>IF(D$65&gt;0,(INDEX(A_Aufgaben,(D$65-Arbeitszeit!$A$6+1),(2*(ROW()-ROW(A_Endedatum))-1))),"")</f>
        <v/>
      </c>
      <c r="E76" s="470" t="str">
        <f>IF(E$65&gt;0,(INDEX(A_Aufgaben,(E$65-Arbeitszeit!$A$6+1),(2*(ROW()-ROW(A_Endedatum))-1))),"")</f>
        <v/>
      </c>
      <c r="F76" s="471" t="str">
        <f>IF(F$65&gt;0,(INDEX(A_Aufgaben,(F$65-Arbeitszeit!$A$6+1),(2*(ROW()-ROW(A_Endedatum))-1))),"")</f>
        <v/>
      </c>
      <c r="G76" s="470" t="str">
        <f>IF(G$65&gt;0,(INDEX(A_Aufgaben,(G$65-Arbeitszeit!$A$6+1),(2*(ROW()-ROW(A_Endedatum))-1))),"")</f>
        <v/>
      </c>
      <c r="H76" s="471" t="str">
        <f>IF(H$65&gt;0,(INDEX(A_Aufgaben,(H$65-Arbeitszeit!$A$6+1),(2*(ROW()-ROW(A_Endedatum))-1))),"")</f>
        <v/>
      </c>
      <c r="I76" s="470" t="str">
        <f>IF(I$65&gt;0,(INDEX(A_Aufgaben,(I$65-Arbeitszeit!$A$6+1),(2*(ROW()-ROW(A_Endedatum))-1))),"")</f>
        <v/>
      </c>
      <c r="J76" s="471" t="str">
        <f>IF(J$65&gt;0,(INDEX(A_Aufgaben,(J$65-Arbeitszeit!$A$6+1),(2*(ROW()-ROW(A_Endedatum))-1))),"")</f>
        <v/>
      </c>
      <c r="K76" s="470" t="str">
        <f>IF(K$65&gt;0,(INDEX(A_Aufgaben,(K$65-Arbeitszeit!$A$6+1),(2*(ROW()-ROW(A_Endedatum))-1))),"")</f>
        <v/>
      </c>
      <c r="L76" s="471" t="str">
        <f>IF(L$65&gt;0,(INDEX(A_Aufgaben,(L$65-Arbeitszeit!$A$6+1),(2*(ROW()-ROW(A_Endedatum))-1))),"")</f>
        <v/>
      </c>
      <c r="M76" s="470" t="str">
        <f>IF(M$65&gt;0,(INDEX(A_Aufgaben,(M$65-Arbeitszeit!$A$6+1),(2*(ROW()-ROW(A_Endedatum))-1))),"")</f>
        <v/>
      </c>
      <c r="N76" s="471" t="str">
        <f>IF(N$65&gt;0,(INDEX(A_Aufgaben,(N$65-Arbeitszeit!$A$6+1),(2*(ROW()-ROW(A_Endedatum))-1))),"")</f>
        <v/>
      </c>
      <c r="O76" s="470" t="str">
        <f>IF(O$65&gt;0,(INDEX(A_Aufgaben,(O$65-Arbeitszeit!$A$6+1),(2*(ROW()-ROW(A_Endedatum))-1))),"")</f>
        <v/>
      </c>
      <c r="P76" s="471" t="str">
        <f>IF(P$65&gt;0,(INDEX(A_Aufgaben,(P$65-Arbeitszeit!$A$6+1),(2*(ROW()-ROW(A_Endedatum))-1))),"")</f>
        <v/>
      </c>
      <c r="Q76" s="470" t="str">
        <f>IF(Q$65&gt;0,(INDEX(A_Aufgaben,(Q$65-Arbeitszeit!$A$6+1),(2*(ROW()-ROW(A_Endedatum))-1))),"")</f>
        <v/>
      </c>
      <c r="R76" s="471" t="str">
        <f>IF(R$65&gt;0,(INDEX(A_Aufgaben,(R$65-Arbeitszeit!$A$6+1),(2*(ROW()-ROW(A_Endedatum))-1))),"")</f>
        <v/>
      </c>
      <c r="S76" s="470" t="str">
        <f>IF(S$65&gt;0,(INDEX(A_Aufgaben,(S$65-Arbeitszeit!$A$6+1),(2*(ROW()-ROW(A_Endedatum))-1))),"")</f>
        <v/>
      </c>
      <c r="T76" s="471" t="str">
        <f>IF(T$65&gt;0,(INDEX(A_Aufgaben,(T$65-Arbeitszeit!$A$6+1),(2*(ROW()-ROW(A_Endedatum))-1))),"")</f>
        <v/>
      </c>
      <c r="U76" s="470" t="str">
        <f>IF(U$65&gt;0,(INDEX(A_Aufgaben,(U$65-Arbeitszeit!$A$6+1),(2*(ROW()-ROW(A_Endedatum))-1))),"")</f>
        <v/>
      </c>
      <c r="V76" s="471" t="str">
        <f>IF(V$65&gt;0,(INDEX(A_Aufgaben,(V$65-Arbeitszeit!$A$6+1),(2*(ROW()-ROW(A_Endedatum))-1))),"")</f>
        <v/>
      </c>
      <c r="W76" s="470" t="str">
        <f>IF(W$65&gt;0,(INDEX(A_Aufgaben,(W$65-Arbeitszeit!$A$6+1),(2*(ROW()-ROW(A_Endedatum))-1))),"")</f>
        <v/>
      </c>
      <c r="X76" s="471" t="str">
        <f>IF(X$65&gt;0,(INDEX(A_Aufgaben,(X$65-Arbeitszeit!$A$6+1),(2*(ROW()-ROW(A_Endedatum))-1))),"")</f>
        <v/>
      </c>
      <c r="Y76" s="470" t="str">
        <f>IF(Y$65&gt;0,(INDEX(A_Aufgaben,(Y$65-Arbeitszeit!$A$6+1),(2*(ROW()-ROW(A_Endedatum))-1))),"")</f>
        <v/>
      </c>
      <c r="Z76" s="471" t="str">
        <f>IF(Z$65&gt;0,(INDEX(A_Aufgaben,(Z$65-Arbeitszeit!$A$6+1),(2*(ROW()-ROW(A_Endedatum))-1))),"")</f>
        <v/>
      </c>
      <c r="AA76" s="470" t="str">
        <f>IF(AA$65&gt;0,(INDEX(A_Aufgaben,(AA$65-Arbeitszeit!$A$6+1),(2*(ROW()-ROW(A_Endedatum))-1))),"")</f>
        <v/>
      </c>
      <c r="AB76" s="471" t="str">
        <f>IF(AB$65&gt;0,(INDEX(A_Aufgaben,(AB$65-Arbeitszeit!$A$6+1),(2*(ROW()-ROW(A_Endedatum))-1))),"")</f>
        <v/>
      </c>
      <c r="AC76" s="470" t="str">
        <f>IF(AC$65&gt;0,(INDEX(A_Aufgaben,(AC$65-Arbeitszeit!$A$6+1),(2*(ROW()-ROW(A_Endedatum))-1))),"")</f>
        <v/>
      </c>
      <c r="AD76" s="471" t="str">
        <f>IF(AD$65&gt;0,(INDEX(A_Aufgaben,(AD$65-Arbeitszeit!$A$6+1),(2*(ROW()-ROW(A_Endedatum))-1))),"")</f>
        <v/>
      </c>
      <c r="AE76" s="470" t="str">
        <f>IF(AE$65&gt;0,(INDEX(A_Aufgaben,(AE$65-Arbeitszeit!$A$6+1),(2*(ROW()-ROW(A_Endedatum))-1))),"")</f>
        <v/>
      </c>
      <c r="AF76" s="471" t="str">
        <f>IF(AF$65&gt;0,(INDEX(A_Aufgaben,(AF$65-Arbeitszeit!$A$6+1),(2*(ROW()-ROW(A_Endedatum))-1))),"")</f>
        <v/>
      </c>
      <c r="AG76" s="470" t="str">
        <f>IF(AG$65&gt;0,(INDEX(A_Aufgaben,(AG$65-Arbeitszeit!$A$6+1),(2*(ROW()-ROW(A_Endedatum))-1))),"")</f>
        <v/>
      </c>
      <c r="AH76" s="479">
        <f t="shared" si="12"/>
        <v>0</v>
      </c>
      <c r="AI76" s="3">
        <f t="shared" si="13"/>
        <v>0</v>
      </c>
      <c r="AJ76" s="494" t="e">
        <f t="shared" si="14"/>
        <v>#VALUE!</v>
      </c>
    </row>
    <row r="77" spans="1:36" hidden="1" outlineLevel="1">
      <c r="A77">
        <f t="shared" si="11"/>
        <v>0</v>
      </c>
      <c r="B77" s="469" t="str">
        <f t="shared" si="11"/>
        <v>Aufgabe 09</v>
      </c>
      <c r="C77" s="470" t="str">
        <f>IF(C$65&gt;0,(INDEX(A_Aufgaben,(C$65-Arbeitszeit!$A$6+1),(2*(ROW()-ROW(A_Endedatum))-1))),"")</f>
        <v/>
      </c>
      <c r="D77" s="471" t="str">
        <f>IF(D$65&gt;0,(INDEX(A_Aufgaben,(D$65-Arbeitszeit!$A$6+1),(2*(ROW()-ROW(A_Endedatum))-1))),"")</f>
        <v/>
      </c>
      <c r="E77" s="470" t="str">
        <f>IF(E$65&gt;0,(INDEX(A_Aufgaben,(E$65-Arbeitszeit!$A$6+1),(2*(ROW()-ROW(A_Endedatum))-1))),"")</f>
        <v/>
      </c>
      <c r="F77" s="471" t="str">
        <f>IF(F$65&gt;0,(INDEX(A_Aufgaben,(F$65-Arbeitszeit!$A$6+1),(2*(ROW()-ROW(A_Endedatum))-1))),"")</f>
        <v/>
      </c>
      <c r="G77" s="470" t="str">
        <f>IF(G$65&gt;0,(INDEX(A_Aufgaben,(G$65-Arbeitszeit!$A$6+1),(2*(ROW()-ROW(A_Endedatum))-1))),"")</f>
        <v/>
      </c>
      <c r="H77" s="471" t="str">
        <f>IF(H$65&gt;0,(INDEX(A_Aufgaben,(H$65-Arbeitszeit!$A$6+1),(2*(ROW()-ROW(A_Endedatum))-1))),"")</f>
        <v/>
      </c>
      <c r="I77" s="470" t="str">
        <f>IF(I$65&gt;0,(INDEX(A_Aufgaben,(I$65-Arbeitszeit!$A$6+1),(2*(ROW()-ROW(A_Endedatum))-1))),"")</f>
        <v/>
      </c>
      <c r="J77" s="471" t="str">
        <f>IF(J$65&gt;0,(INDEX(A_Aufgaben,(J$65-Arbeitszeit!$A$6+1),(2*(ROW()-ROW(A_Endedatum))-1))),"")</f>
        <v/>
      </c>
      <c r="K77" s="470" t="str">
        <f>IF(K$65&gt;0,(INDEX(A_Aufgaben,(K$65-Arbeitszeit!$A$6+1),(2*(ROW()-ROW(A_Endedatum))-1))),"")</f>
        <v/>
      </c>
      <c r="L77" s="471" t="str">
        <f>IF(L$65&gt;0,(INDEX(A_Aufgaben,(L$65-Arbeitszeit!$A$6+1),(2*(ROW()-ROW(A_Endedatum))-1))),"")</f>
        <v/>
      </c>
      <c r="M77" s="470" t="str">
        <f>IF(M$65&gt;0,(INDEX(A_Aufgaben,(M$65-Arbeitszeit!$A$6+1),(2*(ROW()-ROW(A_Endedatum))-1))),"")</f>
        <v/>
      </c>
      <c r="N77" s="471" t="str">
        <f>IF(N$65&gt;0,(INDEX(A_Aufgaben,(N$65-Arbeitszeit!$A$6+1),(2*(ROW()-ROW(A_Endedatum))-1))),"")</f>
        <v/>
      </c>
      <c r="O77" s="470" t="str">
        <f>IF(O$65&gt;0,(INDEX(A_Aufgaben,(O$65-Arbeitszeit!$A$6+1),(2*(ROW()-ROW(A_Endedatum))-1))),"")</f>
        <v/>
      </c>
      <c r="P77" s="471" t="str">
        <f>IF(P$65&gt;0,(INDEX(A_Aufgaben,(P$65-Arbeitszeit!$A$6+1),(2*(ROW()-ROW(A_Endedatum))-1))),"")</f>
        <v/>
      </c>
      <c r="Q77" s="470" t="str">
        <f>IF(Q$65&gt;0,(INDEX(A_Aufgaben,(Q$65-Arbeitszeit!$A$6+1),(2*(ROW()-ROW(A_Endedatum))-1))),"")</f>
        <v/>
      </c>
      <c r="R77" s="471" t="str">
        <f>IF(R$65&gt;0,(INDEX(A_Aufgaben,(R$65-Arbeitszeit!$A$6+1),(2*(ROW()-ROW(A_Endedatum))-1))),"")</f>
        <v/>
      </c>
      <c r="S77" s="470" t="str">
        <f>IF(S$65&gt;0,(INDEX(A_Aufgaben,(S$65-Arbeitszeit!$A$6+1),(2*(ROW()-ROW(A_Endedatum))-1))),"")</f>
        <v/>
      </c>
      <c r="T77" s="471" t="str">
        <f>IF(T$65&gt;0,(INDEX(A_Aufgaben,(T$65-Arbeitszeit!$A$6+1),(2*(ROW()-ROW(A_Endedatum))-1))),"")</f>
        <v/>
      </c>
      <c r="U77" s="470" t="str">
        <f>IF(U$65&gt;0,(INDEX(A_Aufgaben,(U$65-Arbeitszeit!$A$6+1),(2*(ROW()-ROW(A_Endedatum))-1))),"")</f>
        <v/>
      </c>
      <c r="V77" s="471" t="str">
        <f>IF(V$65&gt;0,(INDEX(A_Aufgaben,(V$65-Arbeitszeit!$A$6+1),(2*(ROW()-ROW(A_Endedatum))-1))),"")</f>
        <v/>
      </c>
      <c r="W77" s="470" t="str">
        <f>IF(W$65&gt;0,(INDEX(A_Aufgaben,(W$65-Arbeitszeit!$A$6+1),(2*(ROW()-ROW(A_Endedatum))-1))),"")</f>
        <v/>
      </c>
      <c r="X77" s="471" t="str">
        <f>IF(X$65&gt;0,(INDEX(A_Aufgaben,(X$65-Arbeitszeit!$A$6+1),(2*(ROW()-ROW(A_Endedatum))-1))),"")</f>
        <v/>
      </c>
      <c r="Y77" s="470" t="str">
        <f>IF(Y$65&gt;0,(INDEX(A_Aufgaben,(Y$65-Arbeitszeit!$A$6+1),(2*(ROW()-ROW(A_Endedatum))-1))),"")</f>
        <v/>
      </c>
      <c r="Z77" s="471" t="str">
        <f>IF(Z$65&gt;0,(INDEX(A_Aufgaben,(Z$65-Arbeitszeit!$A$6+1),(2*(ROW()-ROW(A_Endedatum))-1))),"")</f>
        <v/>
      </c>
      <c r="AA77" s="470" t="str">
        <f>IF(AA$65&gt;0,(INDEX(A_Aufgaben,(AA$65-Arbeitszeit!$A$6+1),(2*(ROW()-ROW(A_Endedatum))-1))),"")</f>
        <v/>
      </c>
      <c r="AB77" s="471" t="str">
        <f>IF(AB$65&gt;0,(INDEX(A_Aufgaben,(AB$65-Arbeitszeit!$A$6+1),(2*(ROW()-ROW(A_Endedatum))-1))),"")</f>
        <v/>
      </c>
      <c r="AC77" s="470" t="str">
        <f>IF(AC$65&gt;0,(INDEX(A_Aufgaben,(AC$65-Arbeitszeit!$A$6+1),(2*(ROW()-ROW(A_Endedatum))-1))),"")</f>
        <v/>
      </c>
      <c r="AD77" s="471" t="str">
        <f>IF(AD$65&gt;0,(INDEX(A_Aufgaben,(AD$65-Arbeitszeit!$A$6+1),(2*(ROW()-ROW(A_Endedatum))-1))),"")</f>
        <v/>
      </c>
      <c r="AE77" s="470" t="str">
        <f>IF(AE$65&gt;0,(INDEX(A_Aufgaben,(AE$65-Arbeitszeit!$A$6+1),(2*(ROW()-ROW(A_Endedatum))-1))),"")</f>
        <v/>
      </c>
      <c r="AF77" s="471" t="str">
        <f>IF(AF$65&gt;0,(INDEX(A_Aufgaben,(AF$65-Arbeitszeit!$A$6+1),(2*(ROW()-ROW(A_Endedatum))-1))),"")</f>
        <v/>
      </c>
      <c r="AG77" s="470" t="str">
        <f>IF(AG$65&gt;0,(INDEX(A_Aufgaben,(AG$65-Arbeitszeit!$A$6+1),(2*(ROW()-ROW(A_Endedatum))-1))),"")</f>
        <v/>
      </c>
      <c r="AH77" s="479">
        <f t="shared" si="12"/>
        <v>0</v>
      </c>
      <c r="AI77" s="3">
        <f t="shared" si="13"/>
        <v>0</v>
      </c>
      <c r="AJ77" s="494" t="e">
        <f t="shared" si="14"/>
        <v>#VALUE!</v>
      </c>
    </row>
    <row r="78" spans="1:36" hidden="1" outlineLevel="1">
      <c r="A78">
        <f t="shared" si="11"/>
        <v>0</v>
      </c>
      <c r="B78" s="469" t="str">
        <f t="shared" si="11"/>
        <v>Aufgabe 10</v>
      </c>
      <c r="C78" s="470" t="str">
        <f>IF(C$65&gt;0,(INDEX(A_Aufgaben,(C$65-Arbeitszeit!$A$6+1),(2*(ROW()-ROW(A_Endedatum))-1))),"")</f>
        <v/>
      </c>
      <c r="D78" s="471" t="str">
        <f>IF(D$65&gt;0,(INDEX(A_Aufgaben,(D$65-Arbeitszeit!$A$6+1),(2*(ROW()-ROW(A_Endedatum))-1))),"")</f>
        <v/>
      </c>
      <c r="E78" s="470" t="str">
        <f>IF(E$65&gt;0,(INDEX(A_Aufgaben,(E$65-Arbeitszeit!$A$6+1),(2*(ROW()-ROW(A_Endedatum))-1))),"")</f>
        <v/>
      </c>
      <c r="F78" s="471" t="str">
        <f>IF(F$65&gt;0,(INDEX(A_Aufgaben,(F$65-Arbeitszeit!$A$6+1),(2*(ROW()-ROW(A_Endedatum))-1))),"")</f>
        <v/>
      </c>
      <c r="G78" s="470" t="str">
        <f>IF(G$65&gt;0,(INDEX(A_Aufgaben,(G$65-Arbeitszeit!$A$6+1),(2*(ROW()-ROW(A_Endedatum))-1))),"")</f>
        <v/>
      </c>
      <c r="H78" s="471" t="str">
        <f>IF(H$65&gt;0,(INDEX(A_Aufgaben,(H$65-Arbeitszeit!$A$6+1),(2*(ROW()-ROW(A_Endedatum))-1))),"")</f>
        <v/>
      </c>
      <c r="I78" s="470" t="str">
        <f>IF(I$65&gt;0,(INDEX(A_Aufgaben,(I$65-Arbeitszeit!$A$6+1),(2*(ROW()-ROW(A_Endedatum))-1))),"")</f>
        <v/>
      </c>
      <c r="J78" s="471" t="str">
        <f>IF(J$65&gt;0,(INDEX(A_Aufgaben,(J$65-Arbeitszeit!$A$6+1),(2*(ROW()-ROW(A_Endedatum))-1))),"")</f>
        <v/>
      </c>
      <c r="K78" s="470" t="str">
        <f>IF(K$65&gt;0,(INDEX(A_Aufgaben,(K$65-Arbeitszeit!$A$6+1),(2*(ROW()-ROW(A_Endedatum))-1))),"")</f>
        <v/>
      </c>
      <c r="L78" s="471" t="str">
        <f>IF(L$65&gt;0,(INDEX(A_Aufgaben,(L$65-Arbeitszeit!$A$6+1),(2*(ROW()-ROW(A_Endedatum))-1))),"")</f>
        <v/>
      </c>
      <c r="M78" s="470" t="str">
        <f>IF(M$65&gt;0,(INDEX(A_Aufgaben,(M$65-Arbeitszeit!$A$6+1),(2*(ROW()-ROW(A_Endedatum))-1))),"")</f>
        <v/>
      </c>
      <c r="N78" s="471" t="str">
        <f>IF(N$65&gt;0,(INDEX(A_Aufgaben,(N$65-Arbeitszeit!$A$6+1),(2*(ROW()-ROW(A_Endedatum))-1))),"")</f>
        <v/>
      </c>
      <c r="O78" s="470" t="str">
        <f>IF(O$65&gt;0,(INDEX(A_Aufgaben,(O$65-Arbeitszeit!$A$6+1),(2*(ROW()-ROW(A_Endedatum))-1))),"")</f>
        <v/>
      </c>
      <c r="P78" s="471" t="str">
        <f>IF(P$65&gt;0,(INDEX(A_Aufgaben,(P$65-Arbeitszeit!$A$6+1),(2*(ROW()-ROW(A_Endedatum))-1))),"")</f>
        <v/>
      </c>
      <c r="Q78" s="470" t="str">
        <f>IF(Q$65&gt;0,(INDEX(A_Aufgaben,(Q$65-Arbeitszeit!$A$6+1),(2*(ROW()-ROW(A_Endedatum))-1))),"")</f>
        <v/>
      </c>
      <c r="R78" s="471" t="str">
        <f>IF(R$65&gt;0,(INDEX(A_Aufgaben,(R$65-Arbeitszeit!$A$6+1),(2*(ROW()-ROW(A_Endedatum))-1))),"")</f>
        <v/>
      </c>
      <c r="S78" s="470" t="str">
        <f>IF(S$65&gt;0,(INDEX(A_Aufgaben,(S$65-Arbeitszeit!$A$6+1),(2*(ROW()-ROW(A_Endedatum))-1))),"")</f>
        <v/>
      </c>
      <c r="T78" s="471" t="str">
        <f>IF(T$65&gt;0,(INDEX(A_Aufgaben,(T$65-Arbeitszeit!$A$6+1),(2*(ROW()-ROW(A_Endedatum))-1))),"")</f>
        <v/>
      </c>
      <c r="U78" s="470" t="str">
        <f>IF(U$65&gt;0,(INDEX(A_Aufgaben,(U$65-Arbeitszeit!$A$6+1),(2*(ROW()-ROW(A_Endedatum))-1))),"")</f>
        <v/>
      </c>
      <c r="V78" s="471" t="str">
        <f>IF(V$65&gt;0,(INDEX(A_Aufgaben,(V$65-Arbeitszeit!$A$6+1),(2*(ROW()-ROW(A_Endedatum))-1))),"")</f>
        <v/>
      </c>
      <c r="W78" s="470" t="str">
        <f>IF(W$65&gt;0,(INDEX(A_Aufgaben,(W$65-Arbeitszeit!$A$6+1),(2*(ROW()-ROW(A_Endedatum))-1))),"")</f>
        <v/>
      </c>
      <c r="X78" s="471" t="str">
        <f>IF(X$65&gt;0,(INDEX(A_Aufgaben,(X$65-Arbeitszeit!$A$6+1),(2*(ROW()-ROW(A_Endedatum))-1))),"")</f>
        <v/>
      </c>
      <c r="Y78" s="470" t="str">
        <f>IF(Y$65&gt;0,(INDEX(A_Aufgaben,(Y$65-Arbeitszeit!$A$6+1),(2*(ROW()-ROW(A_Endedatum))-1))),"")</f>
        <v/>
      </c>
      <c r="Z78" s="471" t="str">
        <f>IF(Z$65&gt;0,(INDEX(A_Aufgaben,(Z$65-Arbeitszeit!$A$6+1),(2*(ROW()-ROW(A_Endedatum))-1))),"")</f>
        <v/>
      </c>
      <c r="AA78" s="470" t="str">
        <f>IF(AA$65&gt;0,(INDEX(A_Aufgaben,(AA$65-Arbeitszeit!$A$6+1),(2*(ROW()-ROW(A_Endedatum))-1))),"")</f>
        <v/>
      </c>
      <c r="AB78" s="471" t="str">
        <f>IF(AB$65&gt;0,(INDEX(A_Aufgaben,(AB$65-Arbeitszeit!$A$6+1),(2*(ROW()-ROW(A_Endedatum))-1))),"")</f>
        <v/>
      </c>
      <c r="AC78" s="470" t="str">
        <f>IF(AC$65&gt;0,(INDEX(A_Aufgaben,(AC$65-Arbeitszeit!$A$6+1),(2*(ROW()-ROW(A_Endedatum))-1))),"")</f>
        <v/>
      </c>
      <c r="AD78" s="471" t="str">
        <f>IF(AD$65&gt;0,(INDEX(A_Aufgaben,(AD$65-Arbeitszeit!$A$6+1),(2*(ROW()-ROW(A_Endedatum))-1))),"")</f>
        <v/>
      </c>
      <c r="AE78" s="470" t="str">
        <f>IF(AE$65&gt;0,(INDEX(A_Aufgaben,(AE$65-Arbeitszeit!$A$6+1),(2*(ROW()-ROW(A_Endedatum))-1))),"")</f>
        <v/>
      </c>
      <c r="AF78" s="471" t="str">
        <f>IF(AF$65&gt;0,(INDEX(A_Aufgaben,(AF$65-Arbeitszeit!$A$6+1),(2*(ROW()-ROW(A_Endedatum))-1))),"")</f>
        <v/>
      </c>
      <c r="AG78" s="470" t="str">
        <f>IF(AG$65&gt;0,(INDEX(A_Aufgaben,(AG$65-Arbeitszeit!$A$6+1),(2*(ROW()-ROW(A_Endedatum))-1))),"")</f>
        <v/>
      </c>
      <c r="AH78" s="479">
        <f t="shared" si="12"/>
        <v>0</v>
      </c>
      <c r="AI78" s="3">
        <f t="shared" si="13"/>
        <v>0</v>
      </c>
      <c r="AJ78" s="494" t="e">
        <f t="shared" si="14"/>
        <v>#VALUE!</v>
      </c>
    </row>
    <row r="79" spans="1:36" hidden="1" outlineLevel="1">
      <c r="A79">
        <f t="shared" si="11"/>
        <v>0</v>
      </c>
      <c r="B79" s="469" t="str">
        <f t="shared" si="11"/>
        <v>Aufgabe 11</v>
      </c>
      <c r="C79" s="470" t="str">
        <f>IF(C$65&gt;0,(INDEX(A_Aufgaben,(C$65-Arbeitszeit!$A$6+1),(2*(ROW()-ROW(A_Endedatum))-1))),"")</f>
        <v/>
      </c>
      <c r="D79" s="471" t="str">
        <f>IF(D$65&gt;0,(INDEX(A_Aufgaben,(D$65-Arbeitszeit!$A$6+1),(2*(ROW()-ROW(A_Endedatum))-1))),"")</f>
        <v/>
      </c>
      <c r="E79" s="470" t="str">
        <f>IF(E$65&gt;0,(INDEX(A_Aufgaben,(E$65-Arbeitszeit!$A$6+1),(2*(ROW()-ROW(A_Endedatum))-1))),"")</f>
        <v/>
      </c>
      <c r="F79" s="471" t="str">
        <f>IF(F$65&gt;0,(INDEX(A_Aufgaben,(F$65-Arbeitszeit!$A$6+1),(2*(ROW()-ROW(A_Endedatum))-1))),"")</f>
        <v/>
      </c>
      <c r="G79" s="470" t="str">
        <f>IF(G$65&gt;0,(INDEX(A_Aufgaben,(G$65-Arbeitszeit!$A$6+1),(2*(ROW()-ROW(A_Endedatum))-1))),"")</f>
        <v/>
      </c>
      <c r="H79" s="471" t="str">
        <f>IF(H$65&gt;0,(INDEX(A_Aufgaben,(H$65-Arbeitszeit!$A$6+1),(2*(ROW()-ROW(A_Endedatum))-1))),"")</f>
        <v/>
      </c>
      <c r="I79" s="470" t="str">
        <f>IF(I$65&gt;0,(INDEX(A_Aufgaben,(I$65-Arbeitszeit!$A$6+1),(2*(ROW()-ROW(A_Endedatum))-1))),"")</f>
        <v/>
      </c>
      <c r="J79" s="471" t="str">
        <f>IF(J$65&gt;0,(INDEX(A_Aufgaben,(J$65-Arbeitszeit!$A$6+1),(2*(ROW()-ROW(A_Endedatum))-1))),"")</f>
        <v/>
      </c>
      <c r="K79" s="470" t="str">
        <f>IF(K$65&gt;0,(INDEX(A_Aufgaben,(K$65-Arbeitszeit!$A$6+1),(2*(ROW()-ROW(A_Endedatum))-1))),"")</f>
        <v/>
      </c>
      <c r="L79" s="471" t="str">
        <f>IF(L$65&gt;0,(INDEX(A_Aufgaben,(L$65-Arbeitszeit!$A$6+1),(2*(ROW()-ROW(A_Endedatum))-1))),"")</f>
        <v/>
      </c>
      <c r="M79" s="470" t="str">
        <f>IF(M$65&gt;0,(INDEX(A_Aufgaben,(M$65-Arbeitszeit!$A$6+1),(2*(ROW()-ROW(A_Endedatum))-1))),"")</f>
        <v/>
      </c>
      <c r="N79" s="471" t="str">
        <f>IF(N$65&gt;0,(INDEX(A_Aufgaben,(N$65-Arbeitszeit!$A$6+1),(2*(ROW()-ROW(A_Endedatum))-1))),"")</f>
        <v/>
      </c>
      <c r="O79" s="470" t="str">
        <f>IF(O$65&gt;0,(INDEX(A_Aufgaben,(O$65-Arbeitszeit!$A$6+1),(2*(ROW()-ROW(A_Endedatum))-1))),"")</f>
        <v/>
      </c>
      <c r="P79" s="471" t="str">
        <f>IF(P$65&gt;0,(INDEX(A_Aufgaben,(P$65-Arbeitszeit!$A$6+1),(2*(ROW()-ROW(A_Endedatum))-1))),"")</f>
        <v/>
      </c>
      <c r="Q79" s="470" t="str">
        <f>IF(Q$65&gt;0,(INDEX(A_Aufgaben,(Q$65-Arbeitszeit!$A$6+1),(2*(ROW()-ROW(A_Endedatum))-1))),"")</f>
        <v/>
      </c>
      <c r="R79" s="471" t="str">
        <f>IF(R$65&gt;0,(INDEX(A_Aufgaben,(R$65-Arbeitszeit!$A$6+1),(2*(ROW()-ROW(A_Endedatum))-1))),"")</f>
        <v/>
      </c>
      <c r="S79" s="470" t="str">
        <f>IF(S$65&gt;0,(INDEX(A_Aufgaben,(S$65-Arbeitszeit!$A$6+1),(2*(ROW()-ROW(A_Endedatum))-1))),"")</f>
        <v/>
      </c>
      <c r="T79" s="471" t="str">
        <f>IF(T$65&gt;0,(INDEX(A_Aufgaben,(T$65-Arbeitszeit!$A$6+1),(2*(ROW()-ROW(A_Endedatum))-1))),"")</f>
        <v/>
      </c>
      <c r="U79" s="470" t="str">
        <f>IF(U$65&gt;0,(INDEX(A_Aufgaben,(U$65-Arbeitszeit!$A$6+1),(2*(ROW()-ROW(A_Endedatum))-1))),"")</f>
        <v/>
      </c>
      <c r="V79" s="471" t="str">
        <f>IF(V$65&gt;0,(INDEX(A_Aufgaben,(V$65-Arbeitszeit!$A$6+1),(2*(ROW()-ROW(A_Endedatum))-1))),"")</f>
        <v/>
      </c>
      <c r="W79" s="470" t="str">
        <f>IF(W$65&gt;0,(INDEX(A_Aufgaben,(W$65-Arbeitszeit!$A$6+1),(2*(ROW()-ROW(A_Endedatum))-1))),"")</f>
        <v/>
      </c>
      <c r="X79" s="471" t="str">
        <f>IF(X$65&gt;0,(INDEX(A_Aufgaben,(X$65-Arbeitszeit!$A$6+1),(2*(ROW()-ROW(A_Endedatum))-1))),"")</f>
        <v/>
      </c>
      <c r="Y79" s="470" t="str">
        <f>IF(Y$65&gt;0,(INDEX(A_Aufgaben,(Y$65-Arbeitszeit!$A$6+1),(2*(ROW()-ROW(A_Endedatum))-1))),"")</f>
        <v/>
      </c>
      <c r="Z79" s="471" t="str">
        <f>IF(Z$65&gt;0,(INDEX(A_Aufgaben,(Z$65-Arbeitszeit!$A$6+1),(2*(ROW()-ROW(A_Endedatum))-1))),"")</f>
        <v/>
      </c>
      <c r="AA79" s="470" t="str">
        <f>IF(AA$65&gt;0,(INDEX(A_Aufgaben,(AA$65-Arbeitszeit!$A$6+1),(2*(ROW()-ROW(A_Endedatum))-1))),"")</f>
        <v/>
      </c>
      <c r="AB79" s="471" t="str">
        <f>IF(AB$65&gt;0,(INDEX(A_Aufgaben,(AB$65-Arbeitszeit!$A$6+1),(2*(ROW()-ROW(A_Endedatum))-1))),"")</f>
        <v/>
      </c>
      <c r="AC79" s="470" t="str">
        <f>IF(AC$65&gt;0,(INDEX(A_Aufgaben,(AC$65-Arbeitszeit!$A$6+1),(2*(ROW()-ROW(A_Endedatum))-1))),"")</f>
        <v/>
      </c>
      <c r="AD79" s="471" t="str">
        <f>IF(AD$65&gt;0,(INDEX(A_Aufgaben,(AD$65-Arbeitszeit!$A$6+1),(2*(ROW()-ROW(A_Endedatum))-1))),"")</f>
        <v/>
      </c>
      <c r="AE79" s="470" t="str">
        <f>IF(AE$65&gt;0,(INDEX(A_Aufgaben,(AE$65-Arbeitszeit!$A$6+1),(2*(ROW()-ROW(A_Endedatum))-1))),"")</f>
        <v/>
      </c>
      <c r="AF79" s="471" t="str">
        <f>IF(AF$65&gt;0,(INDEX(A_Aufgaben,(AF$65-Arbeitszeit!$A$6+1),(2*(ROW()-ROW(A_Endedatum))-1))),"")</f>
        <v/>
      </c>
      <c r="AG79" s="470" t="str">
        <f>IF(AG$65&gt;0,(INDEX(A_Aufgaben,(AG$65-Arbeitszeit!$A$6+1),(2*(ROW()-ROW(A_Endedatum))-1))),"")</f>
        <v/>
      </c>
      <c r="AH79" s="479">
        <f t="shared" si="12"/>
        <v>0</v>
      </c>
      <c r="AI79" s="3">
        <f t="shared" si="13"/>
        <v>0</v>
      </c>
      <c r="AJ79" s="494" t="e">
        <f t="shared" si="14"/>
        <v>#VALUE!</v>
      </c>
    </row>
    <row r="80" spans="1:36" hidden="1" outlineLevel="1">
      <c r="A80">
        <f t="shared" si="11"/>
        <v>0</v>
      </c>
      <c r="B80" s="469" t="str">
        <f t="shared" si="11"/>
        <v>Aufgabe 12</v>
      </c>
      <c r="C80" s="470" t="str">
        <f>IF(C$65&gt;0,(INDEX(A_Aufgaben,(C$65-Arbeitszeit!$A$6+1),(2*(ROW()-ROW(A_Endedatum))-1))),"")</f>
        <v/>
      </c>
      <c r="D80" s="471" t="str">
        <f>IF(D$65&gt;0,(INDEX(A_Aufgaben,(D$65-Arbeitszeit!$A$6+1),(2*(ROW()-ROW(A_Endedatum))-1))),"")</f>
        <v/>
      </c>
      <c r="E80" s="470" t="str">
        <f>IF(E$65&gt;0,(INDEX(A_Aufgaben,(E$65-Arbeitszeit!$A$6+1),(2*(ROW()-ROW(A_Endedatum))-1))),"")</f>
        <v/>
      </c>
      <c r="F80" s="471" t="str">
        <f>IF(F$65&gt;0,(INDEX(A_Aufgaben,(F$65-Arbeitszeit!$A$6+1),(2*(ROW()-ROW(A_Endedatum))-1))),"")</f>
        <v/>
      </c>
      <c r="G80" s="470" t="str">
        <f>IF(G$65&gt;0,(INDEX(A_Aufgaben,(G$65-Arbeitszeit!$A$6+1),(2*(ROW()-ROW(A_Endedatum))-1))),"")</f>
        <v/>
      </c>
      <c r="H80" s="471" t="str">
        <f>IF(H$65&gt;0,(INDEX(A_Aufgaben,(H$65-Arbeitszeit!$A$6+1),(2*(ROW()-ROW(A_Endedatum))-1))),"")</f>
        <v/>
      </c>
      <c r="I80" s="470" t="str">
        <f>IF(I$65&gt;0,(INDEX(A_Aufgaben,(I$65-Arbeitszeit!$A$6+1),(2*(ROW()-ROW(A_Endedatum))-1))),"")</f>
        <v/>
      </c>
      <c r="J80" s="471" t="str">
        <f>IF(J$65&gt;0,(INDEX(A_Aufgaben,(J$65-Arbeitszeit!$A$6+1),(2*(ROW()-ROW(A_Endedatum))-1))),"")</f>
        <v/>
      </c>
      <c r="K80" s="470" t="str">
        <f>IF(K$65&gt;0,(INDEX(A_Aufgaben,(K$65-Arbeitszeit!$A$6+1),(2*(ROW()-ROW(A_Endedatum))-1))),"")</f>
        <v/>
      </c>
      <c r="L80" s="471" t="str">
        <f>IF(L$65&gt;0,(INDEX(A_Aufgaben,(L$65-Arbeitszeit!$A$6+1),(2*(ROW()-ROW(A_Endedatum))-1))),"")</f>
        <v/>
      </c>
      <c r="M80" s="470" t="str">
        <f>IF(M$65&gt;0,(INDEX(A_Aufgaben,(M$65-Arbeitszeit!$A$6+1),(2*(ROW()-ROW(A_Endedatum))-1))),"")</f>
        <v/>
      </c>
      <c r="N80" s="471" t="str">
        <f>IF(N$65&gt;0,(INDEX(A_Aufgaben,(N$65-Arbeitszeit!$A$6+1),(2*(ROW()-ROW(A_Endedatum))-1))),"")</f>
        <v/>
      </c>
      <c r="O80" s="470" t="str">
        <f>IF(O$65&gt;0,(INDEX(A_Aufgaben,(O$65-Arbeitszeit!$A$6+1),(2*(ROW()-ROW(A_Endedatum))-1))),"")</f>
        <v/>
      </c>
      <c r="P80" s="471" t="str">
        <f>IF(P$65&gt;0,(INDEX(A_Aufgaben,(P$65-Arbeitszeit!$A$6+1),(2*(ROW()-ROW(A_Endedatum))-1))),"")</f>
        <v/>
      </c>
      <c r="Q80" s="470" t="str">
        <f>IF(Q$65&gt;0,(INDEX(A_Aufgaben,(Q$65-Arbeitszeit!$A$6+1),(2*(ROW()-ROW(A_Endedatum))-1))),"")</f>
        <v/>
      </c>
      <c r="R80" s="471" t="str">
        <f>IF(R$65&gt;0,(INDEX(A_Aufgaben,(R$65-Arbeitszeit!$A$6+1),(2*(ROW()-ROW(A_Endedatum))-1))),"")</f>
        <v/>
      </c>
      <c r="S80" s="470" t="str">
        <f>IF(S$65&gt;0,(INDEX(A_Aufgaben,(S$65-Arbeitszeit!$A$6+1),(2*(ROW()-ROW(A_Endedatum))-1))),"")</f>
        <v/>
      </c>
      <c r="T80" s="471" t="str">
        <f>IF(T$65&gt;0,(INDEX(A_Aufgaben,(T$65-Arbeitszeit!$A$6+1),(2*(ROW()-ROW(A_Endedatum))-1))),"")</f>
        <v/>
      </c>
      <c r="U80" s="470" t="str">
        <f>IF(U$65&gt;0,(INDEX(A_Aufgaben,(U$65-Arbeitszeit!$A$6+1),(2*(ROW()-ROW(A_Endedatum))-1))),"")</f>
        <v/>
      </c>
      <c r="V80" s="471" t="str">
        <f>IF(V$65&gt;0,(INDEX(A_Aufgaben,(V$65-Arbeitszeit!$A$6+1),(2*(ROW()-ROW(A_Endedatum))-1))),"")</f>
        <v/>
      </c>
      <c r="W80" s="470" t="str">
        <f>IF(W$65&gt;0,(INDEX(A_Aufgaben,(W$65-Arbeitszeit!$A$6+1),(2*(ROW()-ROW(A_Endedatum))-1))),"")</f>
        <v/>
      </c>
      <c r="X80" s="471" t="str">
        <f>IF(X$65&gt;0,(INDEX(A_Aufgaben,(X$65-Arbeitszeit!$A$6+1),(2*(ROW()-ROW(A_Endedatum))-1))),"")</f>
        <v/>
      </c>
      <c r="Y80" s="470" t="str">
        <f>IF(Y$65&gt;0,(INDEX(A_Aufgaben,(Y$65-Arbeitszeit!$A$6+1),(2*(ROW()-ROW(A_Endedatum))-1))),"")</f>
        <v/>
      </c>
      <c r="Z80" s="471" t="str">
        <f>IF(Z$65&gt;0,(INDEX(A_Aufgaben,(Z$65-Arbeitszeit!$A$6+1),(2*(ROW()-ROW(A_Endedatum))-1))),"")</f>
        <v/>
      </c>
      <c r="AA80" s="470" t="str">
        <f>IF(AA$65&gt;0,(INDEX(A_Aufgaben,(AA$65-Arbeitszeit!$A$6+1),(2*(ROW()-ROW(A_Endedatum))-1))),"")</f>
        <v/>
      </c>
      <c r="AB80" s="471" t="str">
        <f>IF(AB$65&gt;0,(INDEX(A_Aufgaben,(AB$65-Arbeitszeit!$A$6+1),(2*(ROW()-ROW(A_Endedatum))-1))),"")</f>
        <v/>
      </c>
      <c r="AC80" s="470" t="str">
        <f>IF(AC$65&gt;0,(INDEX(A_Aufgaben,(AC$65-Arbeitszeit!$A$6+1),(2*(ROW()-ROW(A_Endedatum))-1))),"")</f>
        <v/>
      </c>
      <c r="AD80" s="471" t="str">
        <f>IF(AD$65&gt;0,(INDEX(A_Aufgaben,(AD$65-Arbeitszeit!$A$6+1),(2*(ROW()-ROW(A_Endedatum))-1))),"")</f>
        <v/>
      </c>
      <c r="AE80" s="470" t="str">
        <f>IF(AE$65&gt;0,(INDEX(A_Aufgaben,(AE$65-Arbeitszeit!$A$6+1),(2*(ROW()-ROW(A_Endedatum))-1))),"")</f>
        <v/>
      </c>
      <c r="AF80" s="471" t="str">
        <f>IF(AF$65&gt;0,(INDEX(A_Aufgaben,(AF$65-Arbeitszeit!$A$6+1),(2*(ROW()-ROW(A_Endedatum))-1))),"")</f>
        <v/>
      </c>
      <c r="AG80" s="470" t="str">
        <f>IF(AG$65&gt;0,(INDEX(A_Aufgaben,(AG$65-Arbeitszeit!$A$6+1),(2*(ROW()-ROW(A_Endedatum))-1))),"")</f>
        <v/>
      </c>
      <c r="AH80" s="479">
        <f t="shared" si="12"/>
        <v>0</v>
      </c>
      <c r="AI80" s="3">
        <f t="shared" si="13"/>
        <v>0</v>
      </c>
      <c r="AJ80" s="494" t="e">
        <f t="shared" si="14"/>
        <v>#VALUE!</v>
      </c>
    </row>
    <row r="81" spans="1:36" hidden="1" outlineLevel="1">
      <c r="A81">
        <f t="shared" si="11"/>
        <v>0</v>
      </c>
      <c r="B81" s="469" t="str">
        <f t="shared" si="11"/>
        <v>Aufgabe 13</v>
      </c>
      <c r="C81" s="470" t="str">
        <f>IF(C$65&gt;0,(INDEX(A_Aufgaben,(C$65-Arbeitszeit!$A$6+1),(2*(ROW()-ROW(A_Endedatum))-1))),"")</f>
        <v/>
      </c>
      <c r="D81" s="471" t="str">
        <f>IF(D$65&gt;0,(INDEX(A_Aufgaben,(D$65-Arbeitszeit!$A$6+1),(2*(ROW()-ROW(A_Endedatum))-1))),"")</f>
        <v/>
      </c>
      <c r="E81" s="470" t="str">
        <f>IF(E$65&gt;0,(INDEX(A_Aufgaben,(E$65-Arbeitszeit!$A$6+1),(2*(ROW()-ROW(A_Endedatum))-1))),"")</f>
        <v/>
      </c>
      <c r="F81" s="471" t="str">
        <f>IF(F$65&gt;0,(INDEX(A_Aufgaben,(F$65-Arbeitszeit!$A$6+1),(2*(ROW()-ROW(A_Endedatum))-1))),"")</f>
        <v/>
      </c>
      <c r="G81" s="470" t="str">
        <f>IF(G$65&gt;0,(INDEX(A_Aufgaben,(G$65-Arbeitszeit!$A$6+1),(2*(ROW()-ROW(A_Endedatum))-1))),"")</f>
        <v/>
      </c>
      <c r="H81" s="471" t="str">
        <f>IF(H$65&gt;0,(INDEX(A_Aufgaben,(H$65-Arbeitszeit!$A$6+1),(2*(ROW()-ROW(A_Endedatum))-1))),"")</f>
        <v/>
      </c>
      <c r="I81" s="470" t="str">
        <f>IF(I$65&gt;0,(INDEX(A_Aufgaben,(I$65-Arbeitszeit!$A$6+1),(2*(ROW()-ROW(A_Endedatum))-1))),"")</f>
        <v/>
      </c>
      <c r="J81" s="471" t="str">
        <f>IF(J$65&gt;0,(INDEX(A_Aufgaben,(J$65-Arbeitszeit!$A$6+1),(2*(ROW()-ROW(A_Endedatum))-1))),"")</f>
        <v/>
      </c>
      <c r="K81" s="470" t="str">
        <f>IF(K$65&gt;0,(INDEX(A_Aufgaben,(K$65-Arbeitszeit!$A$6+1),(2*(ROW()-ROW(A_Endedatum))-1))),"")</f>
        <v/>
      </c>
      <c r="L81" s="471" t="str">
        <f>IF(L$65&gt;0,(INDEX(A_Aufgaben,(L$65-Arbeitszeit!$A$6+1),(2*(ROW()-ROW(A_Endedatum))-1))),"")</f>
        <v/>
      </c>
      <c r="M81" s="470" t="str">
        <f>IF(M$65&gt;0,(INDEX(A_Aufgaben,(M$65-Arbeitszeit!$A$6+1),(2*(ROW()-ROW(A_Endedatum))-1))),"")</f>
        <v/>
      </c>
      <c r="N81" s="471" t="str">
        <f>IF(N$65&gt;0,(INDEX(A_Aufgaben,(N$65-Arbeitszeit!$A$6+1),(2*(ROW()-ROW(A_Endedatum))-1))),"")</f>
        <v/>
      </c>
      <c r="O81" s="470" t="str">
        <f>IF(O$65&gt;0,(INDEX(A_Aufgaben,(O$65-Arbeitszeit!$A$6+1),(2*(ROW()-ROW(A_Endedatum))-1))),"")</f>
        <v/>
      </c>
      <c r="P81" s="471" t="str">
        <f>IF(P$65&gt;0,(INDEX(A_Aufgaben,(P$65-Arbeitszeit!$A$6+1),(2*(ROW()-ROW(A_Endedatum))-1))),"")</f>
        <v/>
      </c>
      <c r="Q81" s="470" t="str">
        <f>IF(Q$65&gt;0,(INDEX(A_Aufgaben,(Q$65-Arbeitszeit!$A$6+1),(2*(ROW()-ROW(A_Endedatum))-1))),"")</f>
        <v/>
      </c>
      <c r="R81" s="471" t="str">
        <f>IF(R$65&gt;0,(INDEX(A_Aufgaben,(R$65-Arbeitszeit!$A$6+1),(2*(ROW()-ROW(A_Endedatum))-1))),"")</f>
        <v/>
      </c>
      <c r="S81" s="470" t="str">
        <f>IF(S$65&gt;0,(INDEX(A_Aufgaben,(S$65-Arbeitszeit!$A$6+1),(2*(ROW()-ROW(A_Endedatum))-1))),"")</f>
        <v/>
      </c>
      <c r="T81" s="471" t="str">
        <f>IF(T$65&gt;0,(INDEX(A_Aufgaben,(T$65-Arbeitszeit!$A$6+1),(2*(ROW()-ROW(A_Endedatum))-1))),"")</f>
        <v/>
      </c>
      <c r="U81" s="470" t="str">
        <f>IF(U$65&gt;0,(INDEX(A_Aufgaben,(U$65-Arbeitszeit!$A$6+1),(2*(ROW()-ROW(A_Endedatum))-1))),"")</f>
        <v/>
      </c>
      <c r="V81" s="471" t="str">
        <f>IF(V$65&gt;0,(INDEX(A_Aufgaben,(V$65-Arbeitszeit!$A$6+1),(2*(ROW()-ROW(A_Endedatum))-1))),"")</f>
        <v/>
      </c>
      <c r="W81" s="470" t="str">
        <f>IF(W$65&gt;0,(INDEX(A_Aufgaben,(W$65-Arbeitszeit!$A$6+1),(2*(ROW()-ROW(A_Endedatum))-1))),"")</f>
        <v/>
      </c>
      <c r="X81" s="471" t="str">
        <f>IF(X$65&gt;0,(INDEX(A_Aufgaben,(X$65-Arbeitszeit!$A$6+1),(2*(ROW()-ROW(A_Endedatum))-1))),"")</f>
        <v/>
      </c>
      <c r="Y81" s="470" t="str">
        <f>IF(Y$65&gt;0,(INDEX(A_Aufgaben,(Y$65-Arbeitszeit!$A$6+1),(2*(ROW()-ROW(A_Endedatum))-1))),"")</f>
        <v/>
      </c>
      <c r="Z81" s="471" t="str">
        <f>IF(Z$65&gt;0,(INDEX(A_Aufgaben,(Z$65-Arbeitszeit!$A$6+1),(2*(ROW()-ROW(A_Endedatum))-1))),"")</f>
        <v/>
      </c>
      <c r="AA81" s="470" t="str">
        <f>IF(AA$65&gt;0,(INDEX(A_Aufgaben,(AA$65-Arbeitszeit!$A$6+1),(2*(ROW()-ROW(A_Endedatum))-1))),"")</f>
        <v/>
      </c>
      <c r="AB81" s="471" t="str">
        <f>IF(AB$65&gt;0,(INDEX(A_Aufgaben,(AB$65-Arbeitszeit!$A$6+1),(2*(ROW()-ROW(A_Endedatum))-1))),"")</f>
        <v/>
      </c>
      <c r="AC81" s="470" t="str">
        <f>IF(AC$65&gt;0,(INDEX(A_Aufgaben,(AC$65-Arbeitszeit!$A$6+1),(2*(ROW()-ROW(A_Endedatum))-1))),"")</f>
        <v/>
      </c>
      <c r="AD81" s="471" t="str">
        <f>IF(AD$65&gt;0,(INDEX(A_Aufgaben,(AD$65-Arbeitszeit!$A$6+1),(2*(ROW()-ROW(A_Endedatum))-1))),"")</f>
        <v/>
      </c>
      <c r="AE81" s="470" t="str">
        <f>IF(AE$65&gt;0,(INDEX(A_Aufgaben,(AE$65-Arbeitszeit!$A$6+1),(2*(ROW()-ROW(A_Endedatum))-1))),"")</f>
        <v/>
      </c>
      <c r="AF81" s="471" t="str">
        <f>IF(AF$65&gt;0,(INDEX(A_Aufgaben,(AF$65-Arbeitszeit!$A$6+1),(2*(ROW()-ROW(A_Endedatum))-1))),"")</f>
        <v/>
      </c>
      <c r="AG81" s="470" t="str">
        <f>IF(AG$65&gt;0,(INDEX(A_Aufgaben,(AG$65-Arbeitszeit!$A$6+1),(2*(ROW()-ROW(A_Endedatum))-1))),"")</f>
        <v/>
      </c>
      <c r="AH81" s="479">
        <f t="shared" si="12"/>
        <v>0</v>
      </c>
      <c r="AI81" s="3">
        <f t="shared" si="13"/>
        <v>0</v>
      </c>
      <c r="AJ81" s="494" t="e">
        <f t="shared" si="14"/>
        <v>#VALUE!</v>
      </c>
    </row>
    <row r="82" spans="1:36" hidden="1" outlineLevel="1">
      <c r="A82">
        <f t="shared" si="11"/>
        <v>0</v>
      </c>
      <c r="B82" s="469" t="str">
        <f t="shared" si="11"/>
        <v>Aufgabe 14</v>
      </c>
      <c r="C82" s="470" t="str">
        <f>IF(C$65&gt;0,(INDEX(A_Aufgaben,(C$65-Arbeitszeit!$A$6+1),(2*(ROW()-ROW(A_Endedatum))-1))),"")</f>
        <v/>
      </c>
      <c r="D82" s="471" t="str">
        <f>IF(D$65&gt;0,(INDEX(A_Aufgaben,(D$65-Arbeitszeit!$A$6+1),(2*(ROW()-ROW(A_Endedatum))-1))),"")</f>
        <v/>
      </c>
      <c r="E82" s="470" t="str">
        <f>IF(E$65&gt;0,(INDEX(A_Aufgaben,(E$65-Arbeitszeit!$A$6+1),(2*(ROW()-ROW(A_Endedatum))-1))),"")</f>
        <v/>
      </c>
      <c r="F82" s="471" t="str">
        <f>IF(F$65&gt;0,(INDEX(A_Aufgaben,(F$65-Arbeitszeit!$A$6+1),(2*(ROW()-ROW(A_Endedatum))-1))),"")</f>
        <v/>
      </c>
      <c r="G82" s="470" t="str">
        <f>IF(G$65&gt;0,(INDEX(A_Aufgaben,(G$65-Arbeitszeit!$A$6+1),(2*(ROW()-ROW(A_Endedatum))-1))),"")</f>
        <v/>
      </c>
      <c r="H82" s="471" t="str">
        <f>IF(H$65&gt;0,(INDEX(A_Aufgaben,(H$65-Arbeitszeit!$A$6+1),(2*(ROW()-ROW(A_Endedatum))-1))),"")</f>
        <v/>
      </c>
      <c r="I82" s="470" t="str">
        <f>IF(I$65&gt;0,(INDEX(A_Aufgaben,(I$65-Arbeitszeit!$A$6+1),(2*(ROW()-ROW(A_Endedatum))-1))),"")</f>
        <v/>
      </c>
      <c r="J82" s="471" t="str">
        <f>IF(J$65&gt;0,(INDEX(A_Aufgaben,(J$65-Arbeitszeit!$A$6+1),(2*(ROW()-ROW(A_Endedatum))-1))),"")</f>
        <v/>
      </c>
      <c r="K82" s="470" t="str">
        <f>IF(K$65&gt;0,(INDEX(A_Aufgaben,(K$65-Arbeitszeit!$A$6+1),(2*(ROW()-ROW(A_Endedatum))-1))),"")</f>
        <v/>
      </c>
      <c r="L82" s="471" t="str">
        <f>IF(L$65&gt;0,(INDEX(A_Aufgaben,(L$65-Arbeitszeit!$A$6+1),(2*(ROW()-ROW(A_Endedatum))-1))),"")</f>
        <v/>
      </c>
      <c r="M82" s="470" t="str">
        <f>IF(M$65&gt;0,(INDEX(A_Aufgaben,(M$65-Arbeitszeit!$A$6+1),(2*(ROW()-ROW(A_Endedatum))-1))),"")</f>
        <v/>
      </c>
      <c r="N82" s="471" t="str">
        <f>IF(N$65&gt;0,(INDEX(A_Aufgaben,(N$65-Arbeitszeit!$A$6+1),(2*(ROW()-ROW(A_Endedatum))-1))),"")</f>
        <v/>
      </c>
      <c r="O82" s="470" t="str">
        <f>IF(O$65&gt;0,(INDEX(A_Aufgaben,(O$65-Arbeitszeit!$A$6+1),(2*(ROW()-ROW(A_Endedatum))-1))),"")</f>
        <v/>
      </c>
      <c r="P82" s="471" t="str">
        <f>IF(P$65&gt;0,(INDEX(A_Aufgaben,(P$65-Arbeitszeit!$A$6+1),(2*(ROW()-ROW(A_Endedatum))-1))),"")</f>
        <v/>
      </c>
      <c r="Q82" s="470" t="str">
        <f>IF(Q$65&gt;0,(INDEX(A_Aufgaben,(Q$65-Arbeitszeit!$A$6+1),(2*(ROW()-ROW(A_Endedatum))-1))),"")</f>
        <v/>
      </c>
      <c r="R82" s="471" t="str">
        <f>IF(R$65&gt;0,(INDEX(A_Aufgaben,(R$65-Arbeitszeit!$A$6+1),(2*(ROW()-ROW(A_Endedatum))-1))),"")</f>
        <v/>
      </c>
      <c r="S82" s="470" t="str">
        <f>IF(S$65&gt;0,(INDEX(A_Aufgaben,(S$65-Arbeitszeit!$A$6+1),(2*(ROW()-ROW(A_Endedatum))-1))),"")</f>
        <v/>
      </c>
      <c r="T82" s="471" t="str">
        <f>IF(T$65&gt;0,(INDEX(A_Aufgaben,(T$65-Arbeitszeit!$A$6+1),(2*(ROW()-ROW(A_Endedatum))-1))),"")</f>
        <v/>
      </c>
      <c r="U82" s="470" t="str">
        <f>IF(U$65&gt;0,(INDEX(A_Aufgaben,(U$65-Arbeitszeit!$A$6+1),(2*(ROW()-ROW(A_Endedatum))-1))),"")</f>
        <v/>
      </c>
      <c r="V82" s="471" t="str">
        <f>IF(V$65&gt;0,(INDEX(A_Aufgaben,(V$65-Arbeitszeit!$A$6+1),(2*(ROW()-ROW(A_Endedatum))-1))),"")</f>
        <v/>
      </c>
      <c r="W82" s="470" t="str">
        <f>IF(W$65&gt;0,(INDEX(A_Aufgaben,(W$65-Arbeitszeit!$A$6+1),(2*(ROW()-ROW(A_Endedatum))-1))),"")</f>
        <v/>
      </c>
      <c r="X82" s="471" t="str">
        <f>IF(X$65&gt;0,(INDEX(A_Aufgaben,(X$65-Arbeitszeit!$A$6+1),(2*(ROW()-ROW(A_Endedatum))-1))),"")</f>
        <v/>
      </c>
      <c r="Y82" s="470" t="str">
        <f>IF(Y$65&gt;0,(INDEX(A_Aufgaben,(Y$65-Arbeitszeit!$A$6+1),(2*(ROW()-ROW(A_Endedatum))-1))),"")</f>
        <v/>
      </c>
      <c r="Z82" s="471" t="str">
        <f>IF(Z$65&gt;0,(INDEX(A_Aufgaben,(Z$65-Arbeitszeit!$A$6+1),(2*(ROW()-ROW(A_Endedatum))-1))),"")</f>
        <v/>
      </c>
      <c r="AA82" s="470" t="str">
        <f>IF(AA$65&gt;0,(INDEX(A_Aufgaben,(AA$65-Arbeitszeit!$A$6+1),(2*(ROW()-ROW(A_Endedatum))-1))),"")</f>
        <v/>
      </c>
      <c r="AB82" s="471" t="str">
        <f>IF(AB$65&gt;0,(INDEX(A_Aufgaben,(AB$65-Arbeitszeit!$A$6+1),(2*(ROW()-ROW(A_Endedatum))-1))),"")</f>
        <v/>
      </c>
      <c r="AC82" s="470" t="str">
        <f>IF(AC$65&gt;0,(INDEX(A_Aufgaben,(AC$65-Arbeitszeit!$A$6+1),(2*(ROW()-ROW(A_Endedatum))-1))),"")</f>
        <v/>
      </c>
      <c r="AD82" s="471" t="str">
        <f>IF(AD$65&gt;0,(INDEX(A_Aufgaben,(AD$65-Arbeitszeit!$A$6+1),(2*(ROW()-ROW(A_Endedatum))-1))),"")</f>
        <v/>
      </c>
      <c r="AE82" s="470" t="str">
        <f>IF(AE$65&gt;0,(INDEX(A_Aufgaben,(AE$65-Arbeitszeit!$A$6+1),(2*(ROW()-ROW(A_Endedatum))-1))),"")</f>
        <v/>
      </c>
      <c r="AF82" s="471" t="str">
        <f>IF(AF$65&gt;0,(INDEX(A_Aufgaben,(AF$65-Arbeitszeit!$A$6+1),(2*(ROW()-ROW(A_Endedatum))-1))),"")</f>
        <v/>
      </c>
      <c r="AG82" s="470" t="str">
        <f>IF(AG$65&gt;0,(INDEX(A_Aufgaben,(AG$65-Arbeitszeit!$A$6+1),(2*(ROW()-ROW(A_Endedatum))-1))),"")</f>
        <v/>
      </c>
      <c r="AH82" s="479">
        <f t="shared" si="12"/>
        <v>0</v>
      </c>
      <c r="AI82" s="3">
        <f t="shared" si="13"/>
        <v>0</v>
      </c>
      <c r="AJ82" s="494" t="e">
        <f t="shared" si="14"/>
        <v>#VALUE!</v>
      </c>
    </row>
    <row r="83" spans="1:36" hidden="1" outlineLevel="1">
      <c r="A83">
        <f t="shared" si="11"/>
        <v>0</v>
      </c>
      <c r="B83" s="469" t="str">
        <f t="shared" si="11"/>
        <v>Aufgabe 15</v>
      </c>
      <c r="C83" s="470" t="str">
        <f>IF(C$65&gt;0,(INDEX(A_Aufgaben,(C$65-Arbeitszeit!$A$6+1),(2*(ROW()-ROW(A_Endedatum))-1))),"")</f>
        <v/>
      </c>
      <c r="D83" s="471" t="str">
        <f>IF(D$65&gt;0,(INDEX(A_Aufgaben,(D$65-Arbeitszeit!$A$6+1),(2*(ROW()-ROW(A_Endedatum))-1))),"")</f>
        <v/>
      </c>
      <c r="E83" s="470" t="str">
        <f>IF(E$65&gt;0,(INDEX(A_Aufgaben,(E$65-Arbeitszeit!$A$6+1),(2*(ROW()-ROW(A_Endedatum))-1))),"")</f>
        <v/>
      </c>
      <c r="F83" s="471" t="str">
        <f>IF(F$65&gt;0,(INDEX(A_Aufgaben,(F$65-Arbeitszeit!$A$6+1),(2*(ROW()-ROW(A_Endedatum))-1))),"")</f>
        <v/>
      </c>
      <c r="G83" s="470" t="str">
        <f>IF(G$65&gt;0,(INDEX(A_Aufgaben,(G$65-Arbeitszeit!$A$6+1),(2*(ROW()-ROW(A_Endedatum))-1))),"")</f>
        <v/>
      </c>
      <c r="H83" s="471" t="str">
        <f>IF(H$65&gt;0,(INDEX(A_Aufgaben,(H$65-Arbeitszeit!$A$6+1),(2*(ROW()-ROW(A_Endedatum))-1))),"")</f>
        <v/>
      </c>
      <c r="I83" s="470" t="str">
        <f>IF(I$65&gt;0,(INDEX(A_Aufgaben,(I$65-Arbeitszeit!$A$6+1),(2*(ROW()-ROW(A_Endedatum))-1))),"")</f>
        <v/>
      </c>
      <c r="J83" s="471" t="str">
        <f>IF(J$65&gt;0,(INDEX(A_Aufgaben,(J$65-Arbeitszeit!$A$6+1),(2*(ROW()-ROW(A_Endedatum))-1))),"")</f>
        <v/>
      </c>
      <c r="K83" s="470" t="str">
        <f>IF(K$65&gt;0,(INDEX(A_Aufgaben,(K$65-Arbeitszeit!$A$6+1),(2*(ROW()-ROW(A_Endedatum))-1))),"")</f>
        <v/>
      </c>
      <c r="L83" s="471" t="str">
        <f>IF(L$65&gt;0,(INDEX(A_Aufgaben,(L$65-Arbeitszeit!$A$6+1),(2*(ROW()-ROW(A_Endedatum))-1))),"")</f>
        <v/>
      </c>
      <c r="M83" s="470" t="str">
        <f>IF(M$65&gt;0,(INDEX(A_Aufgaben,(M$65-Arbeitszeit!$A$6+1),(2*(ROW()-ROW(A_Endedatum))-1))),"")</f>
        <v/>
      </c>
      <c r="N83" s="471" t="str">
        <f>IF(N$65&gt;0,(INDEX(A_Aufgaben,(N$65-Arbeitszeit!$A$6+1),(2*(ROW()-ROW(A_Endedatum))-1))),"")</f>
        <v/>
      </c>
      <c r="O83" s="470" t="str">
        <f>IF(O$65&gt;0,(INDEX(A_Aufgaben,(O$65-Arbeitszeit!$A$6+1),(2*(ROW()-ROW(A_Endedatum))-1))),"")</f>
        <v/>
      </c>
      <c r="P83" s="471" t="str">
        <f>IF(P$65&gt;0,(INDEX(A_Aufgaben,(P$65-Arbeitszeit!$A$6+1),(2*(ROW()-ROW(A_Endedatum))-1))),"")</f>
        <v/>
      </c>
      <c r="Q83" s="470" t="str">
        <f>IF(Q$65&gt;0,(INDEX(A_Aufgaben,(Q$65-Arbeitszeit!$A$6+1),(2*(ROW()-ROW(A_Endedatum))-1))),"")</f>
        <v/>
      </c>
      <c r="R83" s="471" t="str">
        <f>IF(R$65&gt;0,(INDEX(A_Aufgaben,(R$65-Arbeitszeit!$A$6+1),(2*(ROW()-ROW(A_Endedatum))-1))),"")</f>
        <v/>
      </c>
      <c r="S83" s="470" t="str">
        <f>IF(S$65&gt;0,(INDEX(A_Aufgaben,(S$65-Arbeitszeit!$A$6+1),(2*(ROW()-ROW(A_Endedatum))-1))),"")</f>
        <v/>
      </c>
      <c r="T83" s="471" t="str">
        <f>IF(T$65&gt;0,(INDEX(A_Aufgaben,(T$65-Arbeitszeit!$A$6+1),(2*(ROW()-ROW(A_Endedatum))-1))),"")</f>
        <v/>
      </c>
      <c r="U83" s="470" t="str">
        <f>IF(U$65&gt;0,(INDEX(A_Aufgaben,(U$65-Arbeitszeit!$A$6+1),(2*(ROW()-ROW(A_Endedatum))-1))),"")</f>
        <v/>
      </c>
      <c r="V83" s="471" t="str">
        <f>IF(V$65&gt;0,(INDEX(A_Aufgaben,(V$65-Arbeitszeit!$A$6+1),(2*(ROW()-ROW(A_Endedatum))-1))),"")</f>
        <v/>
      </c>
      <c r="W83" s="470" t="str">
        <f>IF(W$65&gt;0,(INDEX(A_Aufgaben,(W$65-Arbeitszeit!$A$6+1),(2*(ROW()-ROW(A_Endedatum))-1))),"")</f>
        <v/>
      </c>
      <c r="X83" s="471" t="str">
        <f>IF(X$65&gt;0,(INDEX(A_Aufgaben,(X$65-Arbeitszeit!$A$6+1),(2*(ROW()-ROW(A_Endedatum))-1))),"")</f>
        <v/>
      </c>
      <c r="Y83" s="470" t="str">
        <f>IF(Y$65&gt;0,(INDEX(A_Aufgaben,(Y$65-Arbeitszeit!$A$6+1),(2*(ROW()-ROW(A_Endedatum))-1))),"")</f>
        <v/>
      </c>
      <c r="Z83" s="471" t="str">
        <f>IF(Z$65&gt;0,(INDEX(A_Aufgaben,(Z$65-Arbeitszeit!$A$6+1),(2*(ROW()-ROW(A_Endedatum))-1))),"")</f>
        <v/>
      </c>
      <c r="AA83" s="470" t="str">
        <f>IF(AA$65&gt;0,(INDEX(A_Aufgaben,(AA$65-Arbeitszeit!$A$6+1),(2*(ROW()-ROW(A_Endedatum))-1))),"")</f>
        <v/>
      </c>
      <c r="AB83" s="471" t="str">
        <f>IF(AB$65&gt;0,(INDEX(A_Aufgaben,(AB$65-Arbeitszeit!$A$6+1),(2*(ROW()-ROW(A_Endedatum))-1))),"")</f>
        <v/>
      </c>
      <c r="AC83" s="470" t="str">
        <f>IF(AC$65&gt;0,(INDEX(A_Aufgaben,(AC$65-Arbeitszeit!$A$6+1),(2*(ROW()-ROW(A_Endedatum))-1))),"")</f>
        <v/>
      </c>
      <c r="AD83" s="471" t="str">
        <f>IF(AD$65&gt;0,(INDEX(A_Aufgaben,(AD$65-Arbeitszeit!$A$6+1),(2*(ROW()-ROW(A_Endedatum))-1))),"")</f>
        <v/>
      </c>
      <c r="AE83" s="470" t="str">
        <f>IF(AE$65&gt;0,(INDEX(A_Aufgaben,(AE$65-Arbeitszeit!$A$6+1),(2*(ROW()-ROW(A_Endedatum))-1))),"")</f>
        <v/>
      </c>
      <c r="AF83" s="471" t="str">
        <f>IF(AF$65&gt;0,(INDEX(A_Aufgaben,(AF$65-Arbeitszeit!$A$6+1),(2*(ROW()-ROW(A_Endedatum))-1))),"")</f>
        <v/>
      </c>
      <c r="AG83" s="470" t="str">
        <f>IF(AG$65&gt;0,(INDEX(A_Aufgaben,(AG$65-Arbeitszeit!$A$6+1),(2*(ROW()-ROW(A_Endedatum))-1))),"")</f>
        <v/>
      </c>
      <c r="AH83" s="479">
        <f t="shared" si="12"/>
        <v>0</v>
      </c>
      <c r="AI83" s="3">
        <f t="shared" si="13"/>
        <v>0</v>
      </c>
      <c r="AJ83" s="494" t="e">
        <f t="shared" si="14"/>
        <v>#VALUE!</v>
      </c>
    </row>
    <row r="84" spans="1:36" hidden="1" outlineLevel="1">
      <c r="A84">
        <f t="shared" si="11"/>
        <v>0</v>
      </c>
      <c r="B84" s="469" t="str">
        <f t="shared" si="11"/>
        <v>Aufgabe 16</v>
      </c>
      <c r="C84" s="470" t="str">
        <f>IF(C$65&gt;0,(INDEX(A_Aufgaben,(C$65-Arbeitszeit!$A$6+1),(2*(ROW()-ROW(A_Endedatum))-1))),"")</f>
        <v/>
      </c>
      <c r="D84" s="471" t="str">
        <f>IF(D$65&gt;0,(INDEX(A_Aufgaben,(D$65-Arbeitszeit!$A$6+1),(2*(ROW()-ROW(A_Endedatum))-1))),"")</f>
        <v/>
      </c>
      <c r="E84" s="470" t="str">
        <f>IF(E$65&gt;0,(INDEX(A_Aufgaben,(E$65-Arbeitszeit!$A$6+1),(2*(ROW()-ROW(A_Endedatum))-1))),"")</f>
        <v/>
      </c>
      <c r="F84" s="471" t="str">
        <f>IF(F$65&gt;0,(INDEX(A_Aufgaben,(F$65-Arbeitszeit!$A$6+1),(2*(ROW()-ROW(A_Endedatum))-1))),"")</f>
        <v/>
      </c>
      <c r="G84" s="470" t="str">
        <f>IF(G$65&gt;0,(INDEX(A_Aufgaben,(G$65-Arbeitszeit!$A$6+1),(2*(ROW()-ROW(A_Endedatum))-1))),"")</f>
        <v/>
      </c>
      <c r="H84" s="471" t="str">
        <f>IF(H$65&gt;0,(INDEX(A_Aufgaben,(H$65-Arbeitszeit!$A$6+1),(2*(ROW()-ROW(A_Endedatum))-1))),"")</f>
        <v/>
      </c>
      <c r="I84" s="470" t="str">
        <f>IF(I$65&gt;0,(INDEX(A_Aufgaben,(I$65-Arbeitszeit!$A$6+1),(2*(ROW()-ROW(A_Endedatum))-1))),"")</f>
        <v/>
      </c>
      <c r="J84" s="471" t="str">
        <f>IF(J$65&gt;0,(INDEX(A_Aufgaben,(J$65-Arbeitszeit!$A$6+1),(2*(ROW()-ROW(A_Endedatum))-1))),"")</f>
        <v/>
      </c>
      <c r="K84" s="470" t="str">
        <f>IF(K$65&gt;0,(INDEX(A_Aufgaben,(K$65-Arbeitszeit!$A$6+1),(2*(ROW()-ROW(A_Endedatum))-1))),"")</f>
        <v/>
      </c>
      <c r="L84" s="471" t="str">
        <f>IF(L$65&gt;0,(INDEX(A_Aufgaben,(L$65-Arbeitszeit!$A$6+1),(2*(ROW()-ROW(A_Endedatum))-1))),"")</f>
        <v/>
      </c>
      <c r="M84" s="470" t="str">
        <f>IF(M$65&gt;0,(INDEX(A_Aufgaben,(M$65-Arbeitszeit!$A$6+1),(2*(ROW()-ROW(A_Endedatum))-1))),"")</f>
        <v/>
      </c>
      <c r="N84" s="471" t="str">
        <f>IF(N$65&gt;0,(INDEX(A_Aufgaben,(N$65-Arbeitszeit!$A$6+1),(2*(ROW()-ROW(A_Endedatum))-1))),"")</f>
        <v/>
      </c>
      <c r="O84" s="470" t="str">
        <f>IF(O$65&gt;0,(INDEX(A_Aufgaben,(O$65-Arbeitszeit!$A$6+1),(2*(ROW()-ROW(A_Endedatum))-1))),"")</f>
        <v/>
      </c>
      <c r="P84" s="471" t="str">
        <f>IF(P$65&gt;0,(INDEX(A_Aufgaben,(P$65-Arbeitszeit!$A$6+1),(2*(ROW()-ROW(A_Endedatum))-1))),"")</f>
        <v/>
      </c>
      <c r="Q84" s="470" t="str">
        <f>IF(Q$65&gt;0,(INDEX(A_Aufgaben,(Q$65-Arbeitszeit!$A$6+1),(2*(ROW()-ROW(A_Endedatum))-1))),"")</f>
        <v/>
      </c>
      <c r="R84" s="471" t="str">
        <f>IF(R$65&gt;0,(INDEX(A_Aufgaben,(R$65-Arbeitszeit!$A$6+1),(2*(ROW()-ROW(A_Endedatum))-1))),"")</f>
        <v/>
      </c>
      <c r="S84" s="470" t="str">
        <f>IF(S$65&gt;0,(INDEX(A_Aufgaben,(S$65-Arbeitszeit!$A$6+1),(2*(ROW()-ROW(A_Endedatum))-1))),"")</f>
        <v/>
      </c>
      <c r="T84" s="471" t="str">
        <f>IF(T$65&gt;0,(INDEX(A_Aufgaben,(T$65-Arbeitszeit!$A$6+1),(2*(ROW()-ROW(A_Endedatum))-1))),"")</f>
        <v/>
      </c>
      <c r="U84" s="470" t="str">
        <f>IF(U$65&gt;0,(INDEX(A_Aufgaben,(U$65-Arbeitszeit!$A$6+1),(2*(ROW()-ROW(A_Endedatum))-1))),"")</f>
        <v/>
      </c>
      <c r="V84" s="471" t="str">
        <f>IF(V$65&gt;0,(INDEX(A_Aufgaben,(V$65-Arbeitszeit!$A$6+1),(2*(ROW()-ROW(A_Endedatum))-1))),"")</f>
        <v/>
      </c>
      <c r="W84" s="470" t="str">
        <f>IF(W$65&gt;0,(INDEX(A_Aufgaben,(W$65-Arbeitszeit!$A$6+1),(2*(ROW()-ROW(A_Endedatum))-1))),"")</f>
        <v/>
      </c>
      <c r="X84" s="471" t="str">
        <f>IF(X$65&gt;0,(INDEX(A_Aufgaben,(X$65-Arbeitszeit!$A$6+1),(2*(ROW()-ROW(A_Endedatum))-1))),"")</f>
        <v/>
      </c>
      <c r="Y84" s="470" t="str">
        <f>IF(Y$65&gt;0,(INDEX(A_Aufgaben,(Y$65-Arbeitszeit!$A$6+1),(2*(ROW()-ROW(A_Endedatum))-1))),"")</f>
        <v/>
      </c>
      <c r="Z84" s="471" t="str">
        <f>IF(Z$65&gt;0,(INDEX(A_Aufgaben,(Z$65-Arbeitszeit!$A$6+1),(2*(ROW()-ROW(A_Endedatum))-1))),"")</f>
        <v/>
      </c>
      <c r="AA84" s="470" t="str">
        <f>IF(AA$65&gt;0,(INDEX(A_Aufgaben,(AA$65-Arbeitszeit!$A$6+1),(2*(ROW()-ROW(A_Endedatum))-1))),"")</f>
        <v/>
      </c>
      <c r="AB84" s="471" t="str">
        <f>IF(AB$65&gt;0,(INDEX(A_Aufgaben,(AB$65-Arbeitszeit!$A$6+1),(2*(ROW()-ROW(A_Endedatum))-1))),"")</f>
        <v/>
      </c>
      <c r="AC84" s="470" t="str">
        <f>IF(AC$65&gt;0,(INDEX(A_Aufgaben,(AC$65-Arbeitszeit!$A$6+1),(2*(ROW()-ROW(A_Endedatum))-1))),"")</f>
        <v/>
      </c>
      <c r="AD84" s="471" t="str">
        <f>IF(AD$65&gt;0,(INDEX(A_Aufgaben,(AD$65-Arbeitszeit!$A$6+1),(2*(ROW()-ROW(A_Endedatum))-1))),"")</f>
        <v/>
      </c>
      <c r="AE84" s="470" t="str">
        <f>IF(AE$65&gt;0,(INDEX(A_Aufgaben,(AE$65-Arbeitszeit!$A$6+1),(2*(ROW()-ROW(A_Endedatum))-1))),"")</f>
        <v/>
      </c>
      <c r="AF84" s="471" t="str">
        <f>IF(AF$65&gt;0,(INDEX(A_Aufgaben,(AF$65-Arbeitszeit!$A$6+1),(2*(ROW()-ROW(A_Endedatum))-1))),"")</f>
        <v/>
      </c>
      <c r="AG84" s="470" t="str">
        <f>IF(AG$65&gt;0,(INDEX(A_Aufgaben,(AG$65-Arbeitszeit!$A$6+1),(2*(ROW()-ROW(A_Endedatum))-1))),"")</f>
        <v/>
      </c>
      <c r="AH84" s="479">
        <f t="shared" si="12"/>
        <v>0</v>
      </c>
      <c r="AI84" s="3">
        <f t="shared" si="13"/>
        <v>0</v>
      </c>
      <c r="AJ84" s="494" t="e">
        <f t="shared" si="14"/>
        <v>#VALUE!</v>
      </c>
    </row>
    <row r="85" spans="1:36" hidden="1" outlineLevel="1">
      <c r="A85">
        <f t="shared" si="11"/>
        <v>0</v>
      </c>
      <c r="B85" s="469" t="str">
        <f t="shared" si="11"/>
        <v>Aufgabe 17</v>
      </c>
      <c r="C85" s="470" t="str">
        <f>IF(C$65&gt;0,(INDEX(A_Aufgaben,(C$65-Arbeitszeit!$A$6+1),(2*(ROW()-ROW(A_Endedatum))-1))),"")</f>
        <v/>
      </c>
      <c r="D85" s="471" t="str">
        <f>IF(D$65&gt;0,(INDEX(A_Aufgaben,(D$65-Arbeitszeit!$A$6+1),(2*(ROW()-ROW(A_Endedatum))-1))),"")</f>
        <v/>
      </c>
      <c r="E85" s="470" t="str">
        <f>IF(E$65&gt;0,(INDEX(A_Aufgaben,(E$65-Arbeitszeit!$A$6+1),(2*(ROW()-ROW(A_Endedatum))-1))),"")</f>
        <v/>
      </c>
      <c r="F85" s="471" t="str">
        <f>IF(F$65&gt;0,(INDEX(A_Aufgaben,(F$65-Arbeitszeit!$A$6+1),(2*(ROW()-ROW(A_Endedatum))-1))),"")</f>
        <v/>
      </c>
      <c r="G85" s="470" t="str">
        <f>IF(G$65&gt;0,(INDEX(A_Aufgaben,(G$65-Arbeitszeit!$A$6+1),(2*(ROW()-ROW(A_Endedatum))-1))),"")</f>
        <v/>
      </c>
      <c r="H85" s="471" t="str">
        <f>IF(H$65&gt;0,(INDEX(A_Aufgaben,(H$65-Arbeitszeit!$A$6+1),(2*(ROW()-ROW(A_Endedatum))-1))),"")</f>
        <v/>
      </c>
      <c r="I85" s="470" t="str">
        <f>IF(I$65&gt;0,(INDEX(A_Aufgaben,(I$65-Arbeitszeit!$A$6+1),(2*(ROW()-ROW(A_Endedatum))-1))),"")</f>
        <v/>
      </c>
      <c r="J85" s="471" t="str">
        <f>IF(J$65&gt;0,(INDEX(A_Aufgaben,(J$65-Arbeitszeit!$A$6+1),(2*(ROW()-ROW(A_Endedatum))-1))),"")</f>
        <v/>
      </c>
      <c r="K85" s="470" t="str">
        <f>IF(K$65&gt;0,(INDEX(A_Aufgaben,(K$65-Arbeitszeit!$A$6+1),(2*(ROW()-ROW(A_Endedatum))-1))),"")</f>
        <v/>
      </c>
      <c r="L85" s="471" t="str">
        <f>IF(L$65&gt;0,(INDEX(A_Aufgaben,(L$65-Arbeitszeit!$A$6+1),(2*(ROW()-ROW(A_Endedatum))-1))),"")</f>
        <v/>
      </c>
      <c r="M85" s="470" t="str">
        <f>IF(M$65&gt;0,(INDEX(A_Aufgaben,(M$65-Arbeitszeit!$A$6+1),(2*(ROW()-ROW(A_Endedatum))-1))),"")</f>
        <v/>
      </c>
      <c r="N85" s="471" t="str">
        <f>IF(N$65&gt;0,(INDEX(A_Aufgaben,(N$65-Arbeitszeit!$A$6+1),(2*(ROW()-ROW(A_Endedatum))-1))),"")</f>
        <v/>
      </c>
      <c r="O85" s="470" t="str">
        <f>IF(O$65&gt;0,(INDEX(A_Aufgaben,(O$65-Arbeitszeit!$A$6+1),(2*(ROW()-ROW(A_Endedatum))-1))),"")</f>
        <v/>
      </c>
      <c r="P85" s="471" t="str">
        <f>IF(P$65&gt;0,(INDEX(A_Aufgaben,(P$65-Arbeitszeit!$A$6+1),(2*(ROW()-ROW(A_Endedatum))-1))),"")</f>
        <v/>
      </c>
      <c r="Q85" s="470" t="str">
        <f>IF(Q$65&gt;0,(INDEX(A_Aufgaben,(Q$65-Arbeitszeit!$A$6+1),(2*(ROW()-ROW(A_Endedatum))-1))),"")</f>
        <v/>
      </c>
      <c r="R85" s="471" t="str">
        <f>IF(R$65&gt;0,(INDEX(A_Aufgaben,(R$65-Arbeitszeit!$A$6+1),(2*(ROW()-ROW(A_Endedatum))-1))),"")</f>
        <v/>
      </c>
      <c r="S85" s="470" t="str">
        <f>IF(S$65&gt;0,(INDEX(A_Aufgaben,(S$65-Arbeitszeit!$A$6+1),(2*(ROW()-ROW(A_Endedatum))-1))),"")</f>
        <v/>
      </c>
      <c r="T85" s="471" t="str">
        <f>IF(T$65&gt;0,(INDEX(A_Aufgaben,(T$65-Arbeitszeit!$A$6+1),(2*(ROW()-ROW(A_Endedatum))-1))),"")</f>
        <v/>
      </c>
      <c r="U85" s="470" t="str">
        <f>IF(U$65&gt;0,(INDEX(A_Aufgaben,(U$65-Arbeitszeit!$A$6+1),(2*(ROW()-ROW(A_Endedatum))-1))),"")</f>
        <v/>
      </c>
      <c r="V85" s="471" t="str">
        <f>IF(V$65&gt;0,(INDEX(A_Aufgaben,(V$65-Arbeitszeit!$A$6+1),(2*(ROW()-ROW(A_Endedatum))-1))),"")</f>
        <v/>
      </c>
      <c r="W85" s="470" t="str">
        <f>IF(W$65&gt;0,(INDEX(A_Aufgaben,(W$65-Arbeitszeit!$A$6+1),(2*(ROW()-ROW(A_Endedatum))-1))),"")</f>
        <v/>
      </c>
      <c r="X85" s="471" t="str">
        <f>IF(X$65&gt;0,(INDEX(A_Aufgaben,(X$65-Arbeitszeit!$A$6+1),(2*(ROW()-ROW(A_Endedatum))-1))),"")</f>
        <v/>
      </c>
      <c r="Y85" s="470" t="str">
        <f>IF(Y$65&gt;0,(INDEX(A_Aufgaben,(Y$65-Arbeitszeit!$A$6+1),(2*(ROW()-ROW(A_Endedatum))-1))),"")</f>
        <v/>
      </c>
      <c r="Z85" s="471" t="str">
        <f>IF(Z$65&gt;0,(INDEX(A_Aufgaben,(Z$65-Arbeitszeit!$A$6+1),(2*(ROW()-ROW(A_Endedatum))-1))),"")</f>
        <v/>
      </c>
      <c r="AA85" s="470" t="str">
        <f>IF(AA$65&gt;0,(INDEX(A_Aufgaben,(AA$65-Arbeitszeit!$A$6+1),(2*(ROW()-ROW(A_Endedatum))-1))),"")</f>
        <v/>
      </c>
      <c r="AB85" s="471" t="str">
        <f>IF(AB$65&gt;0,(INDEX(A_Aufgaben,(AB$65-Arbeitszeit!$A$6+1),(2*(ROW()-ROW(A_Endedatum))-1))),"")</f>
        <v/>
      </c>
      <c r="AC85" s="470" t="str">
        <f>IF(AC$65&gt;0,(INDEX(A_Aufgaben,(AC$65-Arbeitszeit!$A$6+1),(2*(ROW()-ROW(A_Endedatum))-1))),"")</f>
        <v/>
      </c>
      <c r="AD85" s="471" t="str">
        <f>IF(AD$65&gt;0,(INDEX(A_Aufgaben,(AD$65-Arbeitszeit!$A$6+1),(2*(ROW()-ROW(A_Endedatum))-1))),"")</f>
        <v/>
      </c>
      <c r="AE85" s="470" t="str">
        <f>IF(AE$65&gt;0,(INDEX(A_Aufgaben,(AE$65-Arbeitszeit!$A$6+1),(2*(ROW()-ROW(A_Endedatum))-1))),"")</f>
        <v/>
      </c>
      <c r="AF85" s="471" t="str">
        <f>IF(AF$65&gt;0,(INDEX(A_Aufgaben,(AF$65-Arbeitszeit!$A$6+1),(2*(ROW()-ROW(A_Endedatum))-1))),"")</f>
        <v/>
      </c>
      <c r="AG85" s="470" t="str">
        <f>IF(AG$65&gt;0,(INDEX(A_Aufgaben,(AG$65-Arbeitszeit!$A$6+1),(2*(ROW()-ROW(A_Endedatum))-1))),"")</f>
        <v/>
      </c>
      <c r="AH85" s="479">
        <f t="shared" si="12"/>
        <v>0</v>
      </c>
      <c r="AI85" s="3">
        <f t="shared" si="13"/>
        <v>0</v>
      </c>
      <c r="AJ85" s="494" t="e">
        <f t="shared" si="14"/>
        <v>#VALUE!</v>
      </c>
    </row>
    <row r="86" spans="1:36" hidden="1" outlineLevel="1">
      <c r="A86">
        <f t="shared" ref="A86:B105" si="15">A26</f>
        <v>0</v>
      </c>
      <c r="B86" s="469" t="str">
        <f t="shared" si="15"/>
        <v>Aufgabe 18</v>
      </c>
      <c r="C86" s="470" t="str">
        <f>IF(C$65&gt;0,(INDEX(A_Aufgaben,(C$65-Arbeitszeit!$A$6+1),(2*(ROW()-ROW(A_Endedatum))-1))),"")</f>
        <v/>
      </c>
      <c r="D86" s="471" t="str">
        <f>IF(D$65&gt;0,(INDEX(A_Aufgaben,(D$65-Arbeitszeit!$A$6+1),(2*(ROW()-ROW(A_Endedatum))-1))),"")</f>
        <v/>
      </c>
      <c r="E86" s="470" t="str">
        <f>IF(E$65&gt;0,(INDEX(A_Aufgaben,(E$65-Arbeitszeit!$A$6+1),(2*(ROW()-ROW(A_Endedatum))-1))),"")</f>
        <v/>
      </c>
      <c r="F86" s="471" t="str">
        <f>IF(F$65&gt;0,(INDEX(A_Aufgaben,(F$65-Arbeitszeit!$A$6+1),(2*(ROW()-ROW(A_Endedatum))-1))),"")</f>
        <v/>
      </c>
      <c r="G86" s="470" t="str">
        <f>IF(G$65&gt;0,(INDEX(A_Aufgaben,(G$65-Arbeitszeit!$A$6+1),(2*(ROW()-ROW(A_Endedatum))-1))),"")</f>
        <v/>
      </c>
      <c r="H86" s="471" t="str">
        <f>IF(H$65&gt;0,(INDEX(A_Aufgaben,(H$65-Arbeitszeit!$A$6+1),(2*(ROW()-ROW(A_Endedatum))-1))),"")</f>
        <v/>
      </c>
      <c r="I86" s="470" t="str">
        <f>IF(I$65&gt;0,(INDEX(A_Aufgaben,(I$65-Arbeitszeit!$A$6+1),(2*(ROW()-ROW(A_Endedatum))-1))),"")</f>
        <v/>
      </c>
      <c r="J86" s="471" t="str">
        <f>IF(J$65&gt;0,(INDEX(A_Aufgaben,(J$65-Arbeitszeit!$A$6+1),(2*(ROW()-ROW(A_Endedatum))-1))),"")</f>
        <v/>
      </c>
      <c r="K86" s="470" t="str">
        <f>IF(K$65&gt;0,(INDEX(A_Aufgaben,(K$65-Arbeitszeit!$A$6+1),(2*(ROW()-ROW(A_Endedatum))-1))),"")</f>
        <v/>
      </c>
      <c r="L86" s="471" t="str">
        <f>IF(L$65&gt;0,(INDEX(A_Aufgaben,(L$65-Arbeitszeit!$A$6+1),(2*(ROW()-ROW(A_Endedatum))-1))),"")</f>
        <v/>
      </c>
      <c r="M86" s="470" t="str">
        <f>IF(M$65&gt;0,(INDEX(A_Aufgaben,(M$65-Arbeitszeit!$A$6+1),(2*(ROW()-ROW(A_Endedatum))-1))),"")</f>
        <v/>
      </c>
      <c r="N86" s="471" t="str">
        <f>IF(N$65&gt;0,(INDEX(A_Aufgaben,(N$65-Arbeitszeit!$A$6+1),(2*(ROW()-ROW(A_Endedatum))-1))),"")</f>
        <v/>
      </c>
      <c r="O86" s="470" t="str">
        <f>IF(O$65&gt;0,(INDEX(A_Aufgaben,(O$65-Arbeitszeit!$A$6+1),(2*(ROW()-ROW(A_Endedatum))-1))),"")</f>
        <v/>
      </c>
      <c r="P86" s="471" t="str">
        <f>IF(P$65&gt;0,(INDEX(A_Aufgaben,(P$65-Arbeitszeit!$A$6+1),(2*(ROW()-ROW(A_Endedatum))-1))),"")</f>
        <v/>
      </c>
      <c r="Q86" s="470" t="str">
        <f>IF(Q$65&gt;0,(INDEX(A_Aufgaben,(Q$65-Arbeitszeit!$A$6+1),(2*(ROW()-ROW(A_Endedatum))-1))),"")</f>
        <v/>
      </c>
      <c r="R86" s="471" t="str">
        <f>IF(R$65&gt;0,(INDEX(A_Aufgaben,(R$65-Arbeitszeit!$A$6+1),(2*(ROW()-ROW(A_Endedatum))-1))),"")</f>
        <v/>
      </c>
      <c r="S86" s="470" t="str">
        <f>IF(S$65&gt;0,(INDEX(A_Aufgaben,(S$65-Arbeitszeit!$A$6+1),(2*(ROW()-ROW(A_Endedatum))-1))),"")</f>
        <v/>
      </c>
      <c r="T86" s="471" t="str">
        <f>IF(T$65&gt;0,(INDEX(A_Aufgaben,(T$65-Arbeitszeit!$A$6+1),(2*(ROW()-ROW(A_Endedatum))-1))),"")</f>
        <v/>
      </c>
      <c r="U86" s="470" t="str">
        <f>IF(U$65&gt;0,(INDEX(A_Aufgaben,(U$65-Arbeitszeit!$A$6+1),(2*(ROW()-ROW(A_Endedatum))-1))),"")</f>
        <v/>
      </c>
      <c r="V86" s="471" t="str">
        <f>IF(V$65&gt;0,(INDEX(A_Aufgaben,(V$65-Arbeitszeit!$A$6+1),(2*(ROW()-ROW(A_Endedatum))-1))),"")</f>
        <v/>
      </c>
      <c r="W86" s="470" t="str">
        <f>IF(W$65&gt;0,(INDEX(A_Aufgaben,(W$65-Arbeitszeit!$A$6+1),(2*(ROW()-ROW(A_Endedatum))-1))),"")</f>
        <v/>
      </c>
      <c r="X86" s="471" t="str">
        <f>IF(X$65&gt;0,(INDEX(A_Aufgaben,(X$65-Arbeitszeit!$A$6+1),(2*(ROW()-ROW(A_Endedatum))-1))),"")</f>
        <v/>
      </c>
      <c r="Y86" s="470" t="str">
        <f>IF(Y$65&gt;0,(INDEX(A_Aufgaben,(Y$65-Arbeitszeit!$A$6+1),(2*(ROW()-ROW(A_Endedatum))-1))),"")</f>
        <v/>
      </c>
      <c r="Z86" s="471" t="str">
        <f>IF(Z$65&gt;0,(INDEX(A_Aufgaben,(Z$65-Arbeitszeit!$A$6+1),(2*(ROW()-ROW(A_Endedatum))-1))),"")</f>
        <v/>
      </c>
      <c r="AA86" s="470" t="str">
        <f>IF(AA$65&gt;0,(INDEX(A_Aufgaben,(AA$65-Arbeitszeit!$A$6+1),(2*(ROW()-ROW(A_Endedatum))-1))),"")</f>
        <v/>
      </c>
      <c r="AB86" s="471" t="str">
        <f>IF(AB$65&gt;0,(INDEX(A_Aufgaben,(AB$65-Arbeitszeit!$A$6+1),(2*(ROW()-ROW(A_Endedatum))-1))),"")</f>
        <v/>
      </c>
      <c r="AC86" s="470" t="str">
        <f>IF(AC$65&gt;0,(INDEX(A_Aufgaben,(AC$65-Arbeitszeit!$A$6+1),(2*(ROW()-ROW(A_Endedatum))-1))),"")</f>
        <v/>
      </c>
      <c r="AD86" s="471" t="str">
        <f>IF(AD$65&gt;0,(INDEX(A_Aufgaben,(AD$65-Arbeitszeit!$A$6+1),(2*(ROW()-ROW(A_Endedatum))-1))),"")</f>
        <v/>
      </c>
      <c r="AE86" s="470" t="str">
        <f>IF(AE$65&gt;0,(INDEX(A_Aufgaben,(AE$65-Arbeitszeit!$A$6+1),(2*(ROW()-ROW(A_Endedatum))-1))),"")</f>
        <v/>
      </c>
      <c r="AF86" s="471" t="str">
        <f>IF(AF$65&gt;0,(INDEX(A_Aufgaben,(AF$65-Arbeitszeit!$A$6+1),(2*(ROW()-ROW(A_Endedatum))-1))),"")</f>
        <v/>
      </c>
      <c r="AG86" s="470" t="str">
        <f>IF(AG$65&gt;0,(INDEX(A_Aufgaben,(AG$65-Arbeitszeit!$A$6+1),(2*(ROW()-ROW(A_Endedatum))-1))),"")</f>
        <v/>
      </c>
      <c r="AH86" s="479">
        <f t="shared" si="12"/>
        <v>0</v>
      </c>
      <c r="AI86" s="3">
        <f t="shared" si="13"/>
        <v>0</v>
      </c>
      <c r="AJ86" s="494" t="e">
        <f t="shared" si="14"/>
        <v>#VALUE!</v>
      </c>
    </row>
    <row r="87" spans="1:36" hidden="1" outlineLevel="1">
      <c r="A87">
        <f t="shared" si="15"/>
        <v>0</v>
      </c>
      <c r="B87" s="469" t="str">
        <f t="shared" si="15"/>
        <v>Aufgabe 19</v>
      </c>
      <c r="C87" s="470" t="str">
        <f>IF(C$65&gt;0,(INDEX(A_Aufgaben,(C$65-Arbeitszeit!$A$6+1),(2*(ROW()-ROW(A_Endedatum))-1))),"")</f>
        <v/>
      </c>
      <c r="D87" s="471" t="str">
        <f>IF(D$65&gt;0,(INDEX(A_Aufgaben,(D$65-Arbeitszeit!$A$6+1),(2*(ROW()-ROW(A_Endedatum))-1))),"")</f>
        <v/>
      </c>
      <c r="E87" s="470" t="str">
        <f>IF(E$65&gt;0,(INDEX(A_Aufgaben,(E$65-Arbeitszeit!$A$6+1),(2*(ROW()-ROW(A_Endedatum))-1))),"")</f>
        <v/>
      </c>
      <c r="F87" s="471" t="str">
        <f>IF(F$65&gt;0,(INDEX(A_Aufgaben,(F$65-Arbeitszeit!$A$6+1),(2*(ROW()-ROW(A_Endedatum))-1))),"")</f>
        <v/>
      </c>
      <c r="G87" s="470" t="str">
        <f>IF(G$65&gt;0,(INDEX(A_Aufgaben,(G$65-Arbeitszeit!$A$6+1),(2*(ROW()-ROW(A_Endedatum))-1))),"")</f>
        <v/>
      </c>
      <c r="H87" s="471" t="str">
        <f>IF(H$65&gt;0,(INDEX(A_Aufgaben,(H$65-Arbeitszeit!$A$6+1),(2*(ROW()-ROW(A_Endedatum))-1))),"")</f>
        <v/>
      </c>
      <c r="I87" s="470" t="str">
        <f>IF(I$65&gt;0,(INDEX(A_Aufgaben,(I$65-Arbeitszeit!$A$6+1),(2*(ROW()-ROW(A_Endedatum))-1))),"")</f>
        <v/>
      </c>
      <c r="J87" s="471" t="str">
        <f>IF(J$65&gt;0,(INDEX(A_Aufgaben,(J$65-Arbeitszeit!$A$6+1),(2*(ROW()-ROW(A_Endedatum))-1))),"")</f>
        <v/>
      </c>
      <c r="K87" s="470" t="str">
        <f>IF(K$65&gt;0,(INDEX(A_Aufgaben,(K$65-Arbeitszeit!$A$6+1),(2*(ROW()-ROW(A_Endedatum))-1))),"")</f>
        <v/>
      </c>
      <c r="L87" s="471" t="str">
        <f>IF(L$65&gt;0,(INDEX(A_Aufgaben,(L$65-Arbeitszeit!$A$6+1),(2*(ROW()-ROW(A_Endedatum))-1))),"")</f>
        <v/>
      </c>
      <c r="M87" s="470" t="str">
        <f>IF(M$65&gt;0,(INDEX(A_Aufgaben,(M$65-Arbeitszeit!$A$6+1),(2*(ROW()-ROW(A_Endedatum))-1))),"")</f>
        <v/>
      </c>
      <c r="N87" s="471" t="str">
        <f>IF(N$65&gt;0,(INDEX(A_Aufgaben,(N$65-Arbeitszeit!$A$6+1),(2*(ROW()-ROW(A_Endedatum))-1))),"")</f>
        <v/>
      </c>
      <c r="O87" s="470" t="str">
        <f>IF(O$65&gt;0,(INDEX(A_Aufgaben,(O$65-Arbeitszeit!$A$6+1),(2*(ROW()-ROW(A_Endedatum))-1))),"")</f>
        <v/>
      </c>
      <c r="P87" s="471" t="str">
        <f>IF(P$65&gt;0,(INDEX(A_Aufgaben,(P$65-Arbeitszeit!$A$6+1),(2*(ROW()-ROW(A_Endedatum))-1))),"")</f>
        <v/>
      </c>
      <c r="Q87" s="470" t="str">
        <f>IF(Q$65&gt;0,(INDEX(A_Aufgaben,(Q$65-Arbeitszeit!$A$6+1),(2*(ROW()-ROW(A_Endedatum))-1))),"")</f>
        <v/>
      </c>
      <c r="R87" s="471" t="str">
        <f>IF(R$65&gt;0,(INDEX(A_Aufgaben,(R$65-Arbeitszeit!$A$6+1),(2*(ROW()-ROW(A_Endedatum))-1))),"")</f>
        <v/>
      </c>
      <c r="S87" s="470" t="str">
        <f>IF(S$65&gt;0,(INDEX(A_Aufgaben,(S$65-Arbeitszeit!$A$6+1),(2*(ROW()-ROW(A_Endedatum))-1))),"")</f>
        <v/>
      </c>
      <c r="T87" s="471" t="str">
        <f>IF(T$65&gt;0,(INDEX(A_Aufgaben,(T$65-Arbeitszeit!$A$6+1),(2*(ROW()-ROW(A_Endedatum))-1))),"")</f>
        <v/>
      </c>
      <c r="U87" s="470" t="str">
        <f>IF(U$65&gt;0,(INDEX(A_Aufgaben,(U$65-Arbeitszeit!$A$6+1),(2*(ROW()-ROW(A_Endedatum))-1))),"")</f>
        <v/>
      </c>
      <c r="V87" s="471" t="str">
        <f>IF(V$65&gt;0,(INDEX(A_Aufgaben,(V$65-Arbeitszeit!$A$6+1),(2*(ROW()-ROW(A_Endedatum))-1))),"")</f>
        <v/>
      </c>
      <c r="W87" s="470" t="str">
        <f>IF(W$65&gt;0,(INDEX(A_Aufgaben,(W$65-Arbeitszeit!$A$6+1),(2*(ROW()-ROW(A_Endedatum))-1))),"")</f>
        <v/>
      </c>
      <c r="X87" s="471" t="str">
        <f>IF(X$65&gt;0,(INDEX(A_Aufgaben,(X$65-Arbeitszeit!$A$6+1),(2*(ROW()-ROW(A_Endedatum))-1))),"")</f>
        <v/>
      </c>
      <c r="Y87" s="470" t="str">
        <f>IF(Y$65&gt;0,(INDEX(A_Aufgaben,(Y$65-Arbeitszeit!$A$6+1),(2*(ROW()-ROW(A_Endedatum))-1))),"")</f>
        <v/>
      </c>
      <c r="Z87" s="471" t="str">
        <f>IF(Z$65&gt;0,(INDEX(A_Aufgaben,(Z$65-Arbeitszeit!$A$6+1),(2*(ROW()-ROW(A_Endedatum))-1))),"")</f>
        <v/>
      </c>
      <c r="AA87" s="470" t="str">
        <f>IF(AA$65&gt;0,(INDEX(A_Aufgaben,(AA$65-Arbeitszeit!$A$6+1),(2*(ROW()-ROW(A_Endedatum))-1))),"")</f>
        <v/>
      </c>
      <c r="AB87" s="471" t="str">
        <f>IF(AB$65&gt;0,(INDEX(A_Aufgaben,(AB$65-Arbeitszeit!$A$6+1),(2*(ROW()-ROW(A_Endedatum))-1))),"")</f>
        <v/>
      </c>
      <c r="AC87" s="470" t="str">
        <f>IF(AC$65&gt;0,(INDEX(A_Aufgaben,(AC$65-Arbeitszeit!$A$6+1),(2*(ROW()-ROW(A_Endedatum))-1))),"")</f>
        <v/>
      </c>
      <c r="AD87" s="471" t="str">
        <f>IF(AD$65&gt;0,(INDEX(A_Aufgaben,(AD$65-Arbeitszeit!$A$6+1),(2*(ROW()-ROW(A_Endedatum))-1))),"")</f>
        <v/>
      </c>
      <c r="AE87" s="470" t="str">
        <f>IF(AE$65&gt;0,(INDEX(A_Aufgaben,(AE$65-Arbeitszeit!$A$6+1),(2*(ROW()-ROW(A_Endedatum))-1))),"")</f>
        <v/>
      </c>
      <c r="AF87" s="471" t="str">
        <f>IF(AF$65&gt;0,(INDEX(A_Aufgaben,(AF$65-Arbeitszeit!$A$6+1),(2*(ROW()-ROW(A_Endedatum))-1))),"")</f>
        <v/>
      </c>
      <c r="AG87" s="470" t="str">
        <f>IF(AG$65&gt;0,(INDEX(A_Aufgaben,(AG$65-Arbeitszeit!$A$6+1),(2*(ROW()-ROW(A_Endedatum))-1))),"")</f>
        <v/>
      </c>
      <c r="AH87" s="479">
        <f t="shared" ref="AH87:AH118" si="16">SUM(C87:AG87)</f>
        <v>0</v>
      </c>
      <c r="AI87" s="3">
        <f t="shared" ref="AI87:AI120" si="17">COUNTIF(C87:AG87,"&gt;0")</f>
        <v>0</v>
      </c>
      <c r="AJ87" s="494" t="e">
        <f t="shared" si="14"/>
        <v>#VALUE!</v>
      </c>
    </row>
    <row r="88" spans="1:36" hidden="1" outlineLevel="1">
      <c r="A88">
        <f t="shared" si="15"/>
        <v>0</v>
      </c>
      <c r="B88" s="469" t="str">
        <f t="shared" si="15"/>
        <v>Aufgabe 20</v>
      </c>
      <c r="C88" s="470" t="str">
        <f>IF(C$65&gt;0,(INDEX(A_Aufgaben,(C$65-Arbeitszeit!$A$6+1),(2*(ROW()-ROW(A_Endedatum))-1))),"")</f>
        <v/>
      </c>
      <c r="D88" s="471" t="str">
        <f>IF(D$65&gt;0,(INDEX(A_Aufgaben,(D$65-Arbeitszeit!$A$6+1),(2*(ROW()-ROW(A_Endedatum))-1))),"")</f>
        <v/>
      </c>
      <c r="E88" s="470" t="str">
        <f>IF(E$65&gt;0,(INDEX(A_Aufgaben,(E$65-Arbeitszeit!$A$6+1),(2*(ROW()-ROW(A_Endedatum))-1))),"")</f>
        <v/>
      </c>
      <c r="F88" s="471" t="str">
        <f>IF(F$65&gt;0,(INDEX(A_Aufgaben,(F$65-Arbeitszeit!$A$6+1),(2*(ROW()-ROW(A_Endedatum))-1))),"")</f>
        <v/>
      </c>
      <c r="G88" s="470" t="str">
        <f>IF(G$65&gt;0,(INDEX(A_Aufgaben,(G$65-Arbeitszeit!$A$6+1),(2*(ROW()-ROW(A_Endedatum))-1))),"")</f>
        <v/>
      </c>
      <c r="H88" s="471" t="str">
        <f>IF(H$65&gt;0,(INDEX(A_Aufgaben,(H$65-Arbeitszeit!$A$6+1),(2*(ROW()-ROW(A_Endedatum))-1))),"")</f>
        <v/>
      </c>
      <c r="I88" s="470" t="str">
        <f>IF(I$65&gt;0,(INDEX(A_Aufgaben,(I$65-Arbeitszeit!$A$6+1),(2*(ROW()-ROW(A_Endedatum))-1))),"")</f>
        <v/>
      </c>
      <c r="J88" s="471" t="str">
        <f>IF(J$65&gt;0,(INDEX(A_Aufgaben,(J$65-Arbeitszeit!$A$6+1),(2*(ROW()-ROW(A_Endedatum))-1))),"")</f>
        <v/>
      </c>
      <c r="K88" s="470" t="str">
        <f>IF(K$65&gt;0,(INDEX(A_Aufgaben,(K$65-Arbeitszeit!$A$6+1),(2*(ROW()-ROW(A_Endedatum))-1))),"")</f>
        <v/>
      </c>
      <c r="L88" s="471" t="str">
        <f>IF(L$65&gt;0,(INDEX(A_Aufgaben,(L$65-Arbeitszeit!$A$6+1),(2*(ROW()-ROW(A_Endedatum))-1))),"")</f>
        <v/>
      </c>
      <c r="M88" s="470" t="str">
        <f>IF(M$65&gt;0,(INDEX(A_Aufgaben,(M$65-Arbeitszeit!$A$6+1),(2*(ROW()-ROW(A_Endedatum))-1))),"")</f>
        <v/>
      </c>
      <c r="N88" s="471" t="str">
        <f>IF(N$65&gt;0,(INDEX(A_Aufgaben,(N$65-Arbeitszeit!$A$6+1),(2*(ROW()-ROW(A_Endedatum))-1))),"")</f>
        <v/>
      </c>
      <c r="O88" s="470" t="str">
        <f>IF(O$65&gt;0,(INDEX(A_Aufgaben,(O$65-Arbeitszeit!$A$6+1),(2*(ROW()-ROW(A_Endedatum))-1))),"")</f>
        <v/>
      </c>
      <c r="P88" s="471" t="str">
        <f>IF(P$65&gt;0,(INDEX(A_Aufgaben,(P$65-Arbeitszeit!$A$6+1),(2*(ROW()-ROW(A_Endedatum))-1))),"")</f>
        <v/>
      </c>
      <c r="Q88" s="470" t="str">
        <f>IF(Q$65&gt;0,(INDEX(A_Aufgaben,(Q$65-Arbeitszeit!$A$6+1),(2*(ROW()-ROW(A_Endedatum))-1))),"")</f>
        <v/>
      </c>
      <c r="R88" s="471" t="str">
        <f>IF(R$65&gt;0,(INDEX(A_Aufgaben,(R$65-Arbeitszeit!$A$6+1),(2*(ROW()-ROW(A_Endedatum))-1))),"")</f>
        <v/>
      </c>
      <c r="S88" s="470" t="str">
        <f>IF(S$65&gt;0,(INDEX(A_Aufgaben,(S$65-Arbeitszeit!$A$6+1),(2*(ROW()-ROW(A_Endedatum))-1))),"")</f>
        <v/>
      </c>
      <c r="T88" s="471" t="str">
        <f>IF(T$65&gt;0,(INDEX(A_Aufgaben,(T$65-Arbeitszeit!$A$6+1),(2*(ROW()-ROW(A_Endedatum))-1))),"")</f>
        <v/>
      </c>
      <c r="U88" s="470" t="str">
        <f>IF(U$65&gt;0,(INDEX(A_Aufgaben,(U$65-Arbeitszeit!$A$6+1),(2*(ROW()-ROW(A_Endedatum))-1))),"")</f>
        <v/>
      </c>
      <c r="V88" s="471" t="str">
        <f>IF(V$65&gt;0,(INDEX(A_Aufgaben,(V$65-Arbeitszeit!$A$6+1),(2*(ROW()-ROW(A_Endedatum))-1))),"")</f>
        <v/>
      </c>
      <c r="W88" s="470" t="str">
        <f>IF(W$65&gt;0,(INDEX(A_Aufgaben,(W$65-Arbeitszeit!$A$6+1),(2*(ROW()-ROW(A_Endedatum))-1))),"")</f>
        <v/>
      </c>
      <c r="X88" s="471" t="str">
        <f>IF(X$65&gt;0,(INDEX(A_Aufgaben,(X$65-Arbeitszeit!$A$6+1),(2*(ROW()-ROW(A_Endedatum))-1))),"")</f>
        <v/>
      </c>
      <c r="Y88" s="470" t="str">
        <f>IF(Y$65&gt;0,(INDEX(A_Aufgaben,(Y$65-Arbeitszeit!$A$6+1),(2*(ROW()-ROW(A_Endedatum))-1))),"")</f>
        <v/>
      </c>
      <c r="Z88" s="471" t="str">
        <f>IF(Z$65&gt;0,(INDEX(A_Aufgaben,(Z$65-Arbeitszeit!$A$6+1),(2*(ROW()-ROW(A_Endedatum))-1))),"")</f>
        <v/>
      </c>
      <c r="AA88" s="470" t="str">
        <f>IF(AA$65&gt;0,(INDEX(A_Aufgaben,(AA$65-Arbeitszeit!$A$6+1),(2*(ROW()-ROW(A_Endedatum))-1))),"")</f>
        <v/>
      </c>
      <c r="AB88" s="471" t="str">
        <f>IF(AB$65&gt;0,(INDEX(A_Aufgaben,(AB$65-Arbeitszeit!$A$6+1),(2*(ROW()-ROW(A_Endedatum))-1))),"")</f>
        <v/>
      </c>
      <c r="AC88" s="470" t="str">
        <f>IF(AC$65&gt;0,(INDEX(A_Aufgaben,(AC$65-Arbeitszeit!$A$6+1),(2*(ROW()-ROW(A_Endedatum))-1))),"")</f>
        <v/>
      </c>
      <c r="AD88" s="471" t="str">
        <f>IF(AD$65&gt;0,(INDEX(A_Aufgaben,(AD$65-Arbeitszeit!$A$6+1),(2*(ROW()-ROW(A_Endedatum))-1))),"")</f>
        <v/>
      </c>
      <c r="AE88" s="470" t="str">
        <f>IF(AE$65&gt;0,(INDEX(A_Aufgaben,(AE$65-Arbeitszeit!$A$6+1),(2*(ROW()-ROW(A_Endedatum))-1))),"")</f>
        <v/>
      </c>
      <c r="AF88" s="471" t="str">
        <f>IF(AF$65&gt;0,(INDEX(A_Aufgaben,(AF$65-Arbeitszeit!$A$6+1),(2*(ROW()-ROW(A_Endedatum))-1))),"")</f>
        <v/>
      </c>
      <c r="AG88" s="470" t="str">
        <f>IF(AG$65&gt;0,(INDEX(A_Aufgaben,(AG$65-Arbeitszeit!$A$6+1),(2*(ROW()-ROW(A_Endedatum))-1))),"")</f>
        <v/>
      </c>
      <c r="AH88" s="479">
        <f t="shared" si="16"/>
        <v>0</v>
      </c>
      <c r="AI88" s="3">
        <f t="shared" si="17"/>
        <v>0</v>
      </c>
      <c r="AJ88" s="494" t="e">
        <f t="shared" si="14"/>
        <v>#VALUE!</v>
      </c>
    </row>
    <row r="89" spans="1:36" hidden="1" outlineLevel="1">
      <c r="A89">
        <f t="shared" si="15"/>
        <v>0</v>
      </c>
      <c r="B89" s="469" t="str">
        <f t="shared" si="15"/>
        <v>Aufgabe 21</v>
      </c>
      <c r="C89" s="470" t="str">
        <f>IF(C$65&gt;0,(INDEX(A_Aufgaben,(C$65-Arbeitszeit!$A$6+1),(2*(ROW()-ROW(A_Endedatum))-1))),"")</f>
        <v/>
      </c>
      <c r="D89" s="471" t="str">
        <f>IF(D$65&gt;0,(INDEX(A_Aufgaben,(D$65-Arbeitszeit!$A$6+1),(2*(ROW()-ROW(A_Endedatum))-1))),"")</f>
        <v/>
      </c>
      <c r="E89" s="470" t="str">
        <f>IF(E$65&gt;0,(INDEX(A_Aufgaben,(E$65-Arbeitszeit!$A$6+1),(2*(ROW()-ROW(A_Endedatum))-1))),"")</f>
        <v/>
      </c>
      <c r="F89" s="471" t="str">
        <f>IF(F$65&gt;0,(INDEX(A_Aufgaben,(F$65-Arbeitszeit!$A$6+1),(2*(ROW()-ROW(A_Endedatum))-1))),"")</f>
        <v/>
      </c>
      <c r="G89" s="470" t="str">
        <f>IF(G$65&gt;0,(INDEX(A_Aufgaben,(G$65-Arbeitszeit!$A$6+1),(2*(ROW()-ROW(A_Endedatum))-1))),"")</f>
        <v/>
      </c>
      <c r="H89" s="471" t="str">
        <f>IF(H$65&gt;0,(INDEX(A_Aufgaben,(H$65-Arbeitszeit!$A$6+1),(2*(ROW()-ROW(A_Endedatum))-1))),"")</f>
        <v/>
      </c>
      <c r="I89" s="470" t="str">
        <f>IF(I$65&gt;0,(INDEX(A_Aufgaben,(I$65-Arbeitszeit!$A$6+1),(2*(ROW()-ROW(A_Endedatum))-1))),"")</f>
        <v/>
      </c>
      <c r="J89" s="471" t="str">
        <f>IF(J$65&gt;0,(INDEX(A_Aufgaben,(J$65-Arbeitszeit!$A$6+1),(2*(ROW()-ROW(A_Endedatum))-1))),"")</f>
        <v/>
      </c>
      <c r="K89" s="470" t="str">
        <f>IF(K$65&gt;0,(INDEX(A_Aufgaben,(K$65-Arbeitszeit!$A$6+1),(2*(ROW()-ROW(A_Endedatum))-1))),"")</f>
        <v/>
      </c>
      <c r="L89" s="471" t="str">
        <f>IF(L$65&gt;0,(INDEX(A_Aufgaben,(L$65-Arbeitszeit!$A$6+1),(2*(ROW()-ROW(A_Endedatum))-1))),"")</f>
        <v/>
      </c>
      <c r="M89" s="470" t="str">
        <f>IF(M$65&gt;0,(INDEX(A_Aufgaben,(M$65-Arbeitszeit!$A$6+1),(2*(ROW()-ROW(A_Endedatum))-1))),"")</f>
        <v/>
      </c>
      <c r="N89" s="471" t="str">
        <f>IF(N$65&gt;0,(INDEX(A_Aufgaben,(N$65-Arbeitszeit!$A$6+1),(2*(ROW()-ROW(A_Endedatum))-1))),"")</f>
        <v/>
      </c>
      <c r="O89" s="470" t="str">
        <f>IF(O$65&gt;0,(INDEX(A_Aufgaben,(O$65-Arbeitszeit!$A$6+1),(2*(ROW()-ROW(A_Endedatum))-1))),"")</f>
        <v/>
      </c>
      <c r="P89" s="471" t="str">
        <f>IF(P$65&gt;0,(INDEX(A_Aufgaben,(P$65-Arbeitszeit!$A$6+1),(2*(ROW()-ROW(A_Endedatum))-1))),"")</f>
        <v/>
      </c>
      <c r="Q89" s="470" t="str">
        <f>IF(Q$65&gt;0,(INDEX(A_Aufgaben,(Q$65-Arbeitszeit!$A$6+1),(2*(ROW()-ROW(A_Endedatum))-1))),"")</f>
        <v/>
      </c>
      <c r="R89" s="471" t="str">
        <f>IF(R$65&gt;0,(INDEX(A_Aufgaben,(R$65-Arbeitszeit!$A$6+1),(2*(ROW()-ROW(A_Endedatum))-1))),"")</f>
        <v/>
      </c>
      <c r="S89" s="470" t="str">
        <f>IF(S$65&gt;0,(INDEX(A_Aufgaben,(S$65-Arbeitszeit!$A$6+1),(2*(ROW()-ROW(A_Endedatum))-1))),"")</f>
        <v/>
      </c>
      <c r="T89" s="471" t="str">
        <f>IF(T$65&gt;0,(INDEX(A_Aufgaben,(T$65-Arbeitszeit!$A$6+1),(2*(ROW()-ROW(A_Endedatum))-1))),"")</f>
        <v/>
      </c>
      <c r="U89" s="470" t="str">
        <f>IF(U$65&gt;0,(INDEX(A_Aufgaben,(U$65-Arbeitszeit!$A$6+1),(2*(ROW()-ROW(A_Endedatum))-1))),"")</f>
        <v/>
      </c>
      <c r="V89" s="471" t="str">
        <f>IF(V$65&gt;0,(INDEX(A_Aufgaben,(V$65-Arbeitszeit!$A$6+1),(2*(ROW()-ROW(A_Endedatum))-1))),"")</f>
        <v/>
      </c>
      <c r="W89" s="470" t="str">
        <f>IF(W$65&gt;0,(INDEX(A_Aufgaben,(W$65-Arbeitszeit!$A$6+1),(2*(ROW()-ROW(A_Endedatum))-1))),"")</f>
        <v/>
      </c>
      <c r="X89" s="471" t="str">
        <f>IF(X$65&gt;0,(INDEX(A_Aufgaben,(X$65-Arbeitszeit!$A$6+1),(2*(ROW()-ROW(A_Endedatum))-1))),"")</f>
        <v/>
      </c>
      <c r="Y89" s="470" t="str">
        <f>IF(Y$65&gt;0,(INDEX(A_Aufgaben,(Y$65-Arbeitszeit!$A$6+1),(2*(ROW()-ROW(A_Endedatum))-1))),"")</f>
        <v/>
      </c>
      <c r="Z89" s="471" t="str">
        <f>IF(Z$65&gt;0,(INDEX(A_Aufgaben,(Z$65-Arbeitszeit!$A$6+1),(2*(ROW()-ROW(A_Endedatum))-1))),"")</f>
        <v/>
      </c>
      <c r="AA89" s="470" t="str">
        <f>IF(AA$65&gt;0,(INDEX(A_Aufgaben,(AA$65-Arbeitszeit!$A$6+1),(2*(ROW()-ROW(A_Endedatum))-1))),"")</f>
        <v/>
      </c>
      <c r="AB89" s="471" t="str">
        <f>IF(AB$65&gt;0,(INDEX(A_Aufgaben,(AB$65-Arbeitszeit!$A$6+1),(2*(ROW()-ROW(A_Endedatum))-1))),"")</f>
        <v/>
      </c>
      <c r="AC89" s="470" t="str">
        <f>IF(AC$65&gt;0,(INDEX(A_Aufgaben,(AC$65-Arbeitszeit!$A$6+1),(2*(ROW()-ROW(A_Endedatum))-1))),"")</f>
        <v/>
      </c>
      <c r="AD89" s="471" t="str">
        <f>IF(AD$65&gt;0,(INDEX(A_Aufgaben,(AD$65-Arbeitszeit!$A$6+1),(2*(ROW()-ROW(A_Endedatum))-1))),"")</f>
        <v/>
      </c>
      <c r="AE89" s="470" t="str">
        <f>IF(AE$65&gt;0,(INDEX(A_Aufgaben,(AE$65-Arbeitszeit!$A$6+1),(2*(ROW()-ROW(A_Endedatum))-1))),"")</f>
        <v/>
      </c>
      <c r="AF89" s="471" t="str">
        <f>IF(AF$65&gt;0,(INDEX(A_Aufgaben,(AF$65-Arbeitszeit!$A$6+1),(2*(ROW()-ROW(A_Endedatum))-1))),"")</f>
        <v/>
      </c>
      <c r="AG89" s="470" t="str">
        <f>IF(AG$65&gt;0,(INDEX(A_Aufgaben,(AG$65-Arbeitszeit!$A$6+1),(2*(ROW()-ROW(A_Endedatum))-1))),"")</f>
        <v/>
      </c>
      <c r="AH89" s="479">
        <f t="shared" si="16"/>
        <v>0</v>
      </c>
      <c r="AI89" s="3">
        <f t="shared" si="17"/>
        <v>0</v>
      </c>
      <c r="AJ89" s="494" t="e">
        <f t="shared" si="14"/>
        <v>#VALUE!</v>
      </c>
    </row>
    <row r="90" spans="1:36" hidden="1" outlineLevel="1">
      <c r="A90">
        <f t="shared" si="15"/>
        <v>0</v>
      </c>
      <c r="B90" s="469" t="str">
        <f t="shared" si="15"/>
        <v>Aufgabe 22</v>
      </c>
      <c r="C90" s="470" t="str">
        <f>IF(C$65&gt;0,(INDEX(A_Aufgaben,(C$65-Arbeitszeit!$A$6+1),(2*(ROW()-ROW(A_Endedatum))-1))),"")</f>
        <v/>
      </c>
      <c r="D90" s="471" t="str">
        <f>IF(D$65&gt;0,(INDEX(A_Aufgaben,(D$65-Arbeitszeit!$A$6+1),(2*(ROW()-ROW(A_Endedatum))-1))),"")</f>
        <v/>
      </c>
      <c r="E90" s="470" t="str">
        <f>IF(E$65&gt;0,(INDEX(A_Aufgaben,(E$65-Arbeitszeit!$A$6+1),(2*(ROW()-ROW(A_Endedatum))-1))),"")</f>
        <v/>
      </c>
      <c r="F90" s="471" t="str">
        <f>IF(F$65&gt;0,(INDEX(A_Aufgaben,(F$65-Arbeitszeit!$A$6+1),(2*(ROW()-ROW(A_Endedatum))-1))),"")</f>
        <v/>
      </c>
      <c r="G90" s="470" t="str">
        <f>IF(G$65&gt;0,(INDEX(A_Aufgaben,(G$65-Arbeitszeit!$A$6+1),(2*(ROW()-ROW(A_Endedatum))-1))),"")</f>
        <v/>
      </c>
      <c r="H90" s="471" t="str">
        <f>IF(H$65&gt;0,(INDEX(A_Aufgaben,(H$65-Arbeitszeit!$A$6+1),(2*(ROW()-ROW(A_Endedatum))-1))),"")</f>
        <v/>
      </c>
      <c r="I90" s="470" t="str">
        <f>IF(I$65&gt;0,(INDEX(A_Aufgaben,(I$65-Arbeitszeit!$A$6+1),(2*(ROW()-ROW(A_Endedatum))-1))),"")</f>
        <v/>
      </c>
      <c r="J90" s="471" t="str">
        <f>IF(J$65&gt;0,(INDEX(A_Aufgaben,(J$65-Arbeitszeit!$A$6+1),(2*(ROW()-ROW(A_Endedatum))-1))),"")</f>
        <v/>
      </c>
      <c r="K90" s="470" t="str">
        <f>IF(K$65&gt;0,(INDEX(A_Aufgaben,(K$65-Arbeitszeit!$A$6+1),(2*(ROW()-ROW(A_Endedatum))-1))),"")</f>
        <v/>
      </c>
      <c r="L90" s="471" t="str">
        <f>IF(L$65&gt;0,(INDEX(A_Aufgaben,(L$65-Arbeitszeit!$A$6+1),(2*(ROW()-ROW(A_Endedatum))-1))),"")</f>
        <v/>
      </c>
      <c r="M90" s="470" t="str">
        <f>IF(M$65&gt;0,(INDEX(A_Aufgaben,(M$65-Arbeitszeit!$A$6+1),(2*(ROW()-ROW(A_Endedatum))-1))),"")</f>
        <v/>
      </c>
      <c r="N90" s="471" t="str">
        <f>IF(N$65&gt;0,(INDEX(A_Aufgaben,(N$65-Arbeitszeit!$A$6+1),(2*(ROW()-ROW(A_Endedatum))-1))),"")</f>
        <v/>
      </c>
      <c r="O90" s="470" t="str">
        <f>IF(O$65&gt;0,(INDEX(A_Aufgaben,(O$65-Arbeitszeit!$A$6+1),(2*(ROW()-ROW(A_Endedatum))-1))),"")</f>
        <v/>
      </c>
      <c r="P90" s="471" t="str">
        <f>IF(P$65&gt;0,(INDEX(A_Aufgaben,(P$65-Arbeitszeit!$A$6+1),(2*(ROW()-ROW(A_Endedatum))-1))),"")</f>
        <v/>
      </c>
      <c r="Q90" s="470" t="str">
        <f>IF(Q$65&gt;0,(INDEX(A_Aufgaben,(Q$65-Arbeitszeit!$A$6+1),(2*(ROW()-ROW(A_Endedatum))-1))),"")</f>
        <v/>
      </c>
      <c r="R90" s="471" t="str">
        <f>IF(R$65&gt;0,(INDEX(A_Aufgaben,(R$65-Arbeitszeit!$A$6+1),(2*(ROW()-ROW(A_Endedatum))-1))),"")</f>
        <v/>
      </c>
      <c r="S90" s="470" t="str">
        <f>IF(S$65&gt;0,(INDEX(A_Aufgaben,(S$65-Arbeitszeit!$A$6+1),(2*(ROW()-ROW(A_Endedatum))-1))),"")</f>
        <v/>
      </c>
      <c r="T90" s="471" t="str">
        <f>IF(T$65&gt;0,(INDEX(A_Aufgaben,(T$65-Arbeitszeit!$A$6+1),(2*(ROW()-ROW(A_Endedatum))-1))),"")</f>
        <v/>
      </c>
      <c r="U90" s="470" t="str">
        <f>IF(U$65&gt;0,(INDEX(A_Aufgaben,(U$65-Arbeitszeit!$A$6+1),(2*(ROW()-ROW(A_Endedatum))-1))),"")</f>
        <v/>
      </c>
      <c r="V90" s="471" t="str">
        <f>IF(V$65&gt;0,(INDEX(A_Aufgaben,(V$65-Arbeitszeit!$A$6+1),(2*(ROW()-ROW(A_Endedatum))-1))),"")</f>
        <v/>
      </c>
      <c r="W90" s="470" t="str">
        <f>IF(W$65&gt;0,(INDEX(A_Aufgaben,(W$65-Arbeitszeit!$A$6+1),(2*(ROW()-ROW(A_Endedatum))-1))),"")</f>
        <v/>
      </c>
      <c r="X90" s="471" t="str">
        <f>IF(X$65&gt;0,(INDEX(A_Aufgaben,(X$65-Arbeitszeit!$A$6+1),(2*(ROW()-ROW(A_Endedatum))-1))),"")</f>
        <v/>
      </c>
      <c r="Y90" s="470" t="str">
        <f>IF(Y$65&gt;0,(INDEX(A_Aufgaben,(Y$65-Arbeitszeit!$A$6+1),(2*(ROW()-ROW(A_Endedatum))-1))),"")</f>
        <v/>
      </c>
      <c r="Z90" s="471" t="str">
        <f>IF(Z$65&gt;0,(INDEX(A_Aufgaben,(Z$65-Arbeitszeit!$A$6+1),(2*(ROW()-ROW(A_Endedatum))-1))),"")</f>
        <v/>
      </c>
      <c r="AA90" s="470" t="str">
        <f>IF(AA$65&gt;0,(INDEX(A_Aufgaben,(AA$65-Arbeitszeit!$A$6+1),(2*(ROW()-ROW(A_Endedatum))-1))),"")</f>
        <v/>
      </c>
      <c r="AB90" s="471" t="str">
        <f>IF(AB$65&gt;0,(INDEX(A_Aufgaben,(AB$65-Arbeitszeit!$A$6+1),(2*(ROW()-ROW(A_Endedatum))-1))),"")</f>
        <v/>
      </c>
      <c r="AC90" s="470" t="str">
        <f>IF(AC$65&gt;0,(INDEX(A_Aufgaben,(AC$65-Arbeitszeit!$A$6+1),(2*(ROW()-ROW(A_Endedatum))-1))),"")</f>
        <v/>
      </c>
      <c r="AD90" s="471" t="str">
        <f>IF(AD$65&gt;0,(INDEX(A_Aufgaben,(AD$65-Arbeitszeit!$A$6+1),(2*(ROW()-ROW(A_Endedatum))-1))),"")</f>
        <v/>
      </c>
      <c r="AE90" s="470" t="str">
        <f>IF(AE$65&gt;0,(INDEX(A_Aufgaben,(AE$65-Arbeitszeit!$A$6+1),(2*(ROW()-ROW(A_Endedatum))-1))),"")</f>
        <v/>
      </c>
      <c r="AF90" s="471" t="str">
        <f>IF(AF$65&gt;0,(INDEX(A_Aufgaben,(AF$65-Arbeitszeit!$A$6+1),(2*(ROW()-ROW(A_Endedatum))-1))),"")</f>
        <v/>
      </c>
      <c r="AG90" s="470" t="str">
        <f>IF(AG$65&gt;0,(INDEX(A_Aufgaben,(AG$65-Arbeitszeit!$A$6+1),(2*(ROW()-ROW(A_Endedatum))-1))),"")</f>
        <v/>
      </c>
      <c r="AH90" s="479">
        <f t="shared" si="16"/>
        <v>0</v>
      </c>
      <c r="AI90" s="3">
        <f t="shared" si="17"/>
        <v>0</v>
      </c>
      <c r="AJ90" s="494" t="e">
        <f t="shared" si="14"/>
        <v>#VALUE!</v>
      </c>
    </row>
    <row r="91" spans="1:36" hidden="1" outlineLevel="1">
      <c r="A91">
        <f t="shared" si="15"/>
        <v>0</v>
      </c>
      <c r="B91" s="469" t="str">
        <f t="shared" si="15"/>
        <v>Aufgabe 23</v>
      </c>
      <c r="C91" s="470" t="str">
        <f>IF(C$65&gt;0,(INDEX(A_Aufgaben,(C$65-Arbeitszeit!$A$6+1),(2*(ROW()-ROW(A_Endedatum))-1))),"")</f>
        <v/>
      </c>
      <c r="D91" s="471" t="str">
        <f>IF(D$65&gt;0,(INDEX(A_Aufgaben,(D$65-Arbeitszeit!$A$6+1),(2*(ROW()-ROW(A_Endedatum))-1))),"")</f>
        <v/>
      </c>
      <c r="E91" s="470" t="str">
        <f>IF(E$65&gt;0,(INDEX(A_Aufgaben,(E$65-Arbeitszeit!$A$6+1),(2*(ROW()-ROW(A_Endedatum))-1))),"")</f>
        <v/>
      </c>
      <c r="F91" s="471" t="str">
        <f>IF(F$65&gt;0,(INDEX(A_Aufgaben,(F$65-Arbeitszeit!$A$6+1),(2*(ROW()-ROW(A_Endedatum))-1))),"")</f>
        <v/>
      </c>
      <c r="G91" s="470" t="str">
        <f>IF(G$65&gt;0,(INDEX(A_Aufgaben,(G$65-Arbeitszeit!$A$6+1),(2*(ROW()-ROW(A_Endedatum))-1))),"")</f>
        <v/>
      </c>
      <c r="H91" s="471" t="str">
        <f>IF(H$65&gt;0,(INDEX(A_Aufgaben,(H$65-Arbeitszeit!$A$6+1),(2*(ROW()-ROW(A_Endedatum))-1))),"")</f>
        <v/>
      </c>
      <c r="I91" s="470" t="str">
        <f>IF(I$65&gt;0,(INDEX(A_Aufgaben,(I$65-Arbeitszeit!$A$6+1),(2*(ROW()-ROW(A_Endedatum))-1))),"")</f>
        <v/>
      </c>
      <c r="J91" s="471" t="str">
        <f>IF(J$65&gt;0,(INDEX(A_Aufgaben,(J$65-Arbeitszeit!$A$6+1),(2*(ROW()-ROW(A_Endedatum))-1))),"")</f>
        <v/>
      </c>
      <c r="K91" s="470" t="str">
        <f>IF(K$65&gt;0,(INDEX(A_Aufgaben,(K$65-Arbeitszeit!$A$6+1),(2*(ROW()-ROW(A_Endedatum))-1))),"")</f>
        <v/>
      </c>
      <c r="L91" s="471" t="str">
        <f>IF(L$65&gt;0,(INDEX(A_Aufgaben,(L$65-Arbeitszeit!$A$6+1),(2*(ROW()-ROW(A_Endedatum))-1))),"")</f>
        <v/>
      </c>
      <c r="M91" s="470" t="str">
        <f>IF(M$65&gt;0,(INDEX(A_Aufgaben,(M$65-Arbeitszeit!$A$6+1),(2*(ROW()-ROW(A_Endedatum))-1))),"")</f>
        <v/>
      </c>
      <c r="N91" s="471" t="str">
        <f>IF(N$65&gt;0,(INDEX(A_Aufgaben,(N$65-Arbeitszeit!$A$6+1),(2*(ROW()-ROW(A_Endedatum))-1))),"")</f>
        <v/>
      </c>
      <c r="O91" s="470" t="str">
        <f>IF(O$65&gt;0,(INDEX(A_Aufgaben,(O$65-Arbeitszeit!$A$6+1),(2*(ROW()-ROW(A_Endedatum))-1))),"")</f>
        <v/>
      </c>
      <c r="P91" s="471" t="str">
        <f>IF(P$65&gt;0,(INDEX(A_Aufgaben,(P$65-Arbeitszeit!$A$6+1),(2*(ROW()-ROW(A_Endedatum))-1))),"")</f>
        <v/>
      </c>
      <c r="Q91" s="470" t="str">
        <f>IF(Q$65&gt;0,(INDEX(A_Aufgaben,(Q$65-Arbeitszeit!$A$6+1),(2*(ROW()-ROW(A_Endedatum))-1))),"")</f>
        <v/>
      </c>
      <c r="R91" s="471" t="str">
        <f>IF(R$65&gt;0,(INDEX(A_Aufgaben,(R$65-Arbeitszeit!$A$6+1),(2*(ROW()-ROW(A_Endedatum))-1))),"")</f>
        <v/>
      </c>
      <c r="S91" s="470" t="str">
        <f>IF(S$65&gt;0,(INDEX(A_Aufgaben,(S$65-Arbeitszeit!$A$6+1),(2*(ROW()-ROW(A_Endedatum))-1))),"")</f>
        <v/>
      </c>
      <c r="T91" s="471" t="str">
        <f>IF(T$65&gt;0,(INDEX(A_Aufgaben,(T$65-Arbeitszeit!$A$6+1),(2*(ROW()-ROW(A_Endedatum))-1))),"")</f>
        <v/>
      </c>
      <c r="U91" s="470" t="str">
        <f>IF(U$65&gt;0,(INDEX(A_Aufgaben,(U$65-Arbeitszeit!$A$6+1),(2*(ROW()-ROW(A_Endedatum))-1))),"")</f>
        <v/>
      </c>
      <c r="V91" s="471" t="str">
        <f>IF(V$65&gt;0,(INDEX(A_Aufgaben,(V$65-Arbeitszeit!$A$6+1),(2*(ROW()-ROW(A_Endedatum))-1))),"")</f>
        <v/>
      </c>
      <c r="W91" s="470" t="str">
        <f>IF(W$65&gt;0,(INDEX(A_Aufgaben,(W$65-Arbeitszeit!$A$6+1),(2*(ROW()-ROW(A_Endedatum))-1))),"")</f>
        <v/>
      </c>
      <c r="X91" s="471" t="str">
        <f>IF(X$65&gt;0,(INDEX(A_Aufgaben,(X$65-Arbeitszeit!$A$6+1),(2*(ROW()-ROW(A_Endedatum))-1))),"")</f>
        <v/>
      </c>
      <c r="Y91" s="470" t="str">
        <f>IF(Y$65&gt;0,(INDEX(A_Aufgaben,(Y$65-Arbeitszeit!$A$6+1),(2*(ROW()-ROW(A_Endedatum))-1))),"")</f>
        <v/>
      </c>
      <c r="Z91" s="471" t="str">
        <f>IF(Z$65&gt;0,(INDEX(A_Aufgaben,(Z$65-Arbeitszeit!$A$6+1),(2*(ROW()-ROW(A_Endedatum))-1))),"")</f>
        <v/>
      </c>
      <c r="AA91" s="470" t="str">
        <f>IF(AA$65&gt;0,(INDEX(A_Aufgaben,(AA$65-Arbeitszeit!$A$6+1),(2*(ROW()-ROW(A_Endedatum))-1))),"")</f>
        <v/>
      </c>
      <c r="AB91" s="471" t="str">
        <f>IF(AB$65&gt;0,(INDEX(A_Aufgaben,(AB$65-Arbeitszeit!$A$6+1),(2*(ROW()-ROW(A_Endedatum))-1))),"")</f>
        <v/>
      </c>
      <c r="AC91" s="470" t="str">
        <f>IF(AC$65&gt;0,(INDEX(A_Aufgaben,(AC$65-Arbeitszeit!$A$6+1),(2*(ROW()-ROW(A_Endedatum))-1))),"")</f>
        <v/>
      </c>
      <c r="AD91" s="471" t="str">
        <f>IF(AD$65&gt;0,(INDEX(A_Aufgaben,(AD$65-Arbeitszeit!$A$6+1),(2*(ROW()-ROW(A_Endedatum))-1))),"")</f>
        <v/>
      </c>
      <c r="AE91" s="470" t="str">
        <f>IF(AE$65&gt;0,(INDEX(A_Aufgaben,(AE$65-Arbeitszeit!$A$6+1),(2*(ROW()-ROW(A_Endedatum))-1))),"")</f>
        <v/>
      </c>
      <c r="AF91" s="471" t="str">
        <f>IF(AF$65&gt;0,(INDEX(A_Aufgaben,(AF$65-Arbeitszeit!$A$6+1),(2*(ROW()-ROW(A_Endedatum))-1))),"")</f>
        <v/>
      </c>
      <c r="AG91" s="470" t="str">
        <f>IF(AG$65&gt;0,(INDEX(A_Aufgaben,(AG$65-Arbeitszeit!$A$6+1),(2*(ROW()-ROW(A_Endedatum))-1))),"")</f>
        <v/>
      </c>
      <c r="AH91" s="479">
        <f t="shared" si="16"/>
        <v>0</v>
      </c>
      <c r="AI91" s="3">
        <f t="shared" si="17"/>
        <v>0</v>
      </c>
      <c r="AJ91" s="494" t="e">
        <f t="shared" si="14"/>
        <v>#VALUE!</v>
      </c>
    </row>
    <row r="92" spans="1:36" hidden="1" outlineLevel="1">
      <c r="A92">
        <f t="shared" si="15"/>
        <v>0</v>
      </c>
      <c r="B92" s="469" t="str">
        <f t="shared" si="15"/>
        <v>Aufgabe 24</v>
      </c>
      <c r="C92" s="470" t="str">
        <f>IF(C$65&gt;0,(INDEX(A_Aufgaben,(C$65-Arbeitszeit!$A$6+1),(2*(ROW()-ROW(A_Endedatum))-1))),"")</f>
        <v/>
      </c>
      <c r="D92" s="471" t="str">
        <f>IF(D$65&gt;0,(INDEX(A_Aufgaben,(D$65-Arbeitszeit!$A$6+1),(2*(ROW()-ROW(A_Endedatum))-1))),"")</f>
        <v/>
      </c>
      <c r="E92" s="470" t="str">
        <f>IF(E$65&gt;0,(INDEX(A_Aufgaben,(E$65-Arbeitszeit!$A$6+1),(2*(ROW()-ROW(A_Endedatum))-1))),"")</f>
        <v/>
      </c>
      <c r="F92" s="471" t="str">
        <f>IF(F$65&gt;0,(INDEX(A_Aufgaben,(F$65-Arbeitszeit!$A$6+1),(2*(ROW()-ROW(A_Endedatum))-1))),"")</f>
        <v/>
      </c>
      <c r="G92" s="470" t="str">
        <f>IF(G$65&gt;0,(INDEX(A_Aufgaben,(G$65-Arbeitszeit!$A$6+1),(2*(ROW()-ROW(A_Endedatum))-1))),"")</f>
        <v/>
      </c>
      <c r="H92" s="471" t="str">
        <f>IF(H$65&gt;0,(INDEX(A_Aufgaben,(H$65-Arbeitszeit!$A$6+1),(2*(ROW()-ROW(A_Endedatum))-1))),"")</f>
        <v/>
      </c>
      <c r="I92" s="470" t="str">
        <f>IF(I$65&gt;0,(INDEX(A_Aufgaben,(I$65-Arbeitszeit!$A$6+1),(2*(ROW()-ROW(A_Endedatum))-1))),"")</f>
        <v/>
      </c>
      <c r="J92" s="471" t="str">
        <f>IF(J$65&gt;0,(INDEX(A_Aufgaben,(J$65-Arbeitszeit!$A$6+1),(2*(ROW()-ROW(A_Endedatum))-1))),"")</f>
        <v/>
      </c>
      <c r="K92" s="470" t="str">
        <f>IF(K$65&gt;0,(INDEX(A_Aufgaben,(K$65-Arbeitszeit!$A$6+1),(2*(ROW()-ROW(A_Endedatum))-1))),"")</f>
        <v/>
      </c>
      <c r="L92" s="471" t="str">
        <f>IF(L$65&gt;0,(INDEX(A_Aufgaben,(L$65-Arbeitszeit!$A$6+1),(2*(ROW()-ROW(A_Endedatum))-1))),"")</f>
        <v/>
      </c>
      <c r="M92" s="470" t="str">
        <f>IF(M$65&gt;0,(INDEX(A_Aufgaben,(M$65-Arbeitszeit!$A$6+1),(2*(ROW()-ROW(A_Endedatum))-1))),"")</f>
        <v/>
      </c>
      <c r="N92" s="471" t="str">
        <f>IF(N$65&gt;0,(INDEX(A_Aufgaben,(N$65-Arbeitszeit!$A$6+1),(2*(ROW()-ROW(A_Endedatum))-1))),"")</f>
        <v/>
      </c>
      <c r="O92" s="470" t="str">
        <f>IF(O$65&gt;0,(INDEX(A_Aufgaben,(O$65-Arbeitszeit!$A$6+1),(2*(ROW()-ROW(A_Endedatum))-1))),"")</f>
        <v/>
      </c>
      <c r="P92" s="471" t="str">
        <f>IF(P$65&gt;0,(INDEX(A_Aufgaben,(P$65-Arbeitszeit!$A$6+1),(2*(ROW()-ROW(A_Endedatum))-1))),"")</f>
        <v/>
      </c>
      <c r="Q92" s="470" t="str">
        <f>IF(Q$65&gt;0,(INDEX(A_Aufgaben,(Q$65-Arbeitszeit!$A$6+1),(2*(ROW()-ROW(A_Endedatum))-1))),"")</f>
        <v/>
      </c>
      <c r="R92" s="471" t="str">
        <f>IF(R$65&gt;0,(INDEX(A_Aufgaben,(R$65-Arbeitszeit!$A$6+1),(2*(ROW()-ROW(A_Endedatum))-1))),"")</f>
        <v/>
      </c>
      <c r="S92" s="470" t="str">
        <f>IF(S$65&gt;0,(INDEX(A_Aufgaben,(S$65-Arbeitszeit!$A$6+1),(2*(ROW()-ROW(A_Endedatum))-1))),"")</f>
        <v/>
      </c>
      <c r="T92" s="471" t="str">
        <f>IF(T$65&gt;0,(INDEX(A_Aufgaben,(T$65-Arbeitszeit!$A$6+1),(2*(ROW()-ROW(A_Endedatum))-1))),"")</f>
        <v/>
      </c>
      <c r="U92" s="470" t="str">
        <f>IF(U$65&gt;0,(INDEX(A_Aufgaben,(U$65-Arbeitszeit!$A$6+1),(2*(ROW()-ROW(A_Endedatum))-1))),"")</f>
        <v/>
      </c>
      <c r="V92" s="471" t="str">
        <f>IF(V$65&gt;0,(INDEX(A_Aufgaben,(V$65-Arbeitszeit!$A$6+1),(2*(ROW()-ROW(A_Endedatum))-1))),"")</f>
        <v/>
      </c>
      <c r="W92" s="470" t="str">
        <f>IF(W$65&gt;0,(INDEX(A_Aufgaben,(W$65-Arbeitszeit!$A$6+1),(2*(ROW()-ROW(A_Endedatum))-1))),"")</f>
        <v/>
      </c>
      <c r="X92" s="471" t="str">
        <f>IF(X$65&gt;0,(INDEX(A_Aufgaben,(X$65-Arbeitszeit!$A$6+1),(2*(ROW()-ROW(A_Endedatum))-1))),"")</f>
        <v/>
      </c>
      <c r="Y92" s="470" t="str">
        <f>IF(Y$65&gt;0,(INDEX(A_Aufgaben,(Y$65-Arbeitszeit!$A$6+1),(2*(ROW()-ROW(A_Endedatum))-1))),"")</f>
        <v/>
      </c>
      <c r="Z92" s="471" t="str">
        <f>IF(Z$65&gt;0,(INDEX(A_Aufgaben,(Z$65-Arbeitszeit!$A$6+1),(2*(ROW()-ROW(A_Endedatum))-1))),"")</f>
        <v/>
      </c>
      <c r="AA92" s="470" t="str">
        <f>IF(AA$65&gt;0,(INDEX(A_Aufgaben,(AA$65-Arbeitszeit!$A$6+1),(2*(ROW()-ROW(A_Endedatum))-1))),"")</f>
        <v/>
      </c>
      <c r="AB92" s="471" t="str">
        <f>IF(AB$65&gt;0,(INDEX(A_Aufgaben,(AB$65-Arbeitszeit!$A$6+1),(2*(ROW()-ROW(A_Endedatum))-1))),"")</f>
        <v/>
      </c>
      <c r="AC92" s="470" t="str">
        <f>IF(AC$65&gt;0,(INDEX(A_Aufgaben,(AC$65-Arbeitszeit!$A$6+1),(2*(ROW()-ROW(A_Endedatum))-1))),"")</f>
        <v/>
      </c>
      <c r="AD92" s="471" t="str">
        <f>IF(AD$65&gt;0,(INDEX(A_Aufgaben,(AD$65-Arbeitszeit!$A$6+1),(2*(ROW()-ROW(A_Endedatum))-1))),"")</f>
        <v/>
      </c>
      <c r="AE92" s="470" t="str">
        <f>IF(AE$65&gt;0,(INDEX(A_Aufgaben,(AE$65-Arbeitszeit!$A$6+1),(2*(ROW()-ROW(A_Endedatum))-1))),"")</f>
        <v/>
      </c>
      <c r="AF92" s="471" t="str">
        <f>IF(AF$65&gt;0,(INDEX(A_Aufgaben,(AF$65-Arbeitszeit!$A$6+1),(2*(ROW()-ROW(A_Endedatum))-1))),"")</f>
        <v/>
      </c>
      <c r="AG92" s="470" t="str">
        <f>IF(AG$65&gt;0,(INDEX(A_Aufgaben,(AG$65-Arbeitszeit!$A$6+1),(2*(ROW()-ROW(A_Endedatum))-1))),"")</f>
        <v/>
      </c>
      <c r="AH92" s="479">
        <f t="shared" si="16"/>
        <v>0</v>
      </c>
      <c r="AI92" s="3">
        <f t="shared" si="17"/>
        <v>0</v>
      </c>
      <c r="AJ92" s="494" t="e">
        <f t="shared" si="14"/>
        <v>#VALUE!</v>
      </c>
    </row>
    <row r="93" spans="1:36" hidden="1" outlineLevel="1">
      <c r="A93">
        <f t="shared" si="15"/>
        <v>0</v>
      </c>
      <c r="B93" s="469" t="str">
        <f t="shared" si="15"/>
        <v>Aufgabe 25</v>
      </c>
      <c r="C93" s="470" t="str">
        <f>IF(C$65&gt;0,(INDEX(A_Aufgaben,(C$65-Arbeitszeit!$A$6+1),(2*(ROW()-ROW(A_Endedatum))-1))),"")</f>
        <v/>
      </c>
      <c r="D93" s="471" t="str">
        <f>IF(D$65&gt;0,(INDEX(A_Aufgaben,(D$65-Arbeitszeit!$A$6+1),(2*(ROW()-ROW(A_Endedatum))-1))),"")</f>
        <v/>
      </c>
      <c r="E93" s="470" t="str">
        <f>IF(E$65&gt;0,(INDEX(A_Aufgaben,(E$65-Arbeitszeit!$A$6+1),(2*(ROW()-ROW(A_Endedatum))-1))),"")</f>
        <v/>
      </c>
      <c r="F93" s="471" t="str">
        <f>IF(F$65&gt;0,(INDEX(A_Aufgaben,(F$65-Arbeitszeit!$A$6+1),(2*(ROW()-ROW(A_Endedatum))-1))),"")</f>
        <v/>
      </c>
      <c r="G93" s="470" t="str">
        <f>IF(G$65&gt;0,(INDEX(A_Aufgaben,(G$65-Arbeitszeit!$A$6+1),(2*(ROW()-ROW(A_Endedatum))-1))),"")</f>
        <v/>
      </c>
      <c r="H93" s="471" t="str">
        <f>IF(H$65&gt;0,(INDEX(A_Aufgaben,(H$65-Arbeitszeit!$A$6+1),(2*(ROW()-ROW(A_Endedatum))-1))),"")</f>
        <v/>
      </c>
      <c r="I93" s="470" t="str">
        <f>IF(I$65&gt;0,(INDEX(A_Aufgaben,(I$65-Arbeitszeit!$A$6+1),(2*(ROW()-ROW(A_Endedatum))-1))),"")</f>
        <v/>
      </c>
      <c r="J93" s="471" t="str">
        <f>IF(J$65&gt;0,(INDEX(A_Aufgaben,(J$65-Arbeitszeit!$A$6+1),(2*(ROW()-ROW(A_Endedatum))-1))),"")</f>
        <v/>
      </c>
      <c r="K93" s="470" t="str">
        <f>IF(K$65&gt;0,(INDEX(A_Aufgaben,(K$65-Arbeitszeit!$A$6+1),(2*(ROW()-ROW(A_Endedatum))-1))),"")</f>
        <v/>
      </c>
      <c r="L93" s="471" t="str">
        <f>IF(L$65&gt;0,(INDEX(A_Aufgaben,(L$65-Arbeitszeit!$A$6+1),(2*(ROW()-ROW(A_Endedatum))-1))),"")</f>
        <v/>
      </c>
      <c r="M93" s="470" t="str">
        <f>IF(M$65&gt;0,(INDEX(A_Aufgaben,(M$65-Arbeitszeit!$A$6+1),(2*(ROW()-ROW(A_Endedatum))-1))),"")</f>
        <v/>
      </c>
      <c r="N93" s="471" t="str">
        <f>IF(N$65&gt;0,(INDEX(A_Aufgaben,(N$65-Arbeitszeit!$A$6+1),(2*(ROW()-ROW(A_Endedatum))-1))),"")</f>
        <v/>
      </c>
      <c r="O93" s="470" t="str">
        <f>IF(O$65&gt;0,(INDEX(A_Aufgaben,(O$65-Arbeitszeit!$A$6+1),(2*(ROW()-ROW(A_Endedatum))-1))),"")</f>
        <v/>
      </c>
      <c r="P93" s="471" t="str">
        <f>IF(P$65&gt;0,(INDEX(A_Aufgaben,(P$65-Arbeitszeit!$A$6+1),(2*(ROW()-ROW(A_Endedatum))-1))),"")</f>
        <v/>
      </c>
      <c r="Q93" s="470" t="str">
        <f>IF(Q$65&gt;0,(INDEX(A_Aufgaben,(Q$65-Arbeitszeit!$A$6+1),(2*(ROW()-ROW(A_Endedatum))-1))),"")</f>
        <v/>
      </c>
      <c r="R93" s="471" t="str">
        <f>IF(R$65&gt;0,(INDEX(A_Aufgaben,(R$65-Arbeitszeit!$A$6+1),(2*(ROW()-ROW(A_Endedatum))-1))),"")</f>
        <v/>
      </c>
      <c r="S93" s="470" t="str">
        <f>IF(S$65&gt;0,(INDEX(A_Aufgaben,(S$65-Arbeitszeit!$A$6+1),(2*(ROW()-ROW(A_Endedatum))-1))),"")</f>
        <v/>
      </c>
      <c r="T93" s="471" t="str">
        <f>IF(T$65&gt;0,(INDEX(A_Aufgaben,(T$65-Arbeitszeit!$A$6+1),(2*(ROW()-ROW(A_Endedatum))-1))),"")</f>
        <v/>
      </c>
      <c r="U93" s="470" t="str">
        <f>IF(U$65&gt;0,(INDEX(A_Aufgaben,(U$65-Arbeitszeit!$A$6+1),(2*(ROW()-ROW(A_Endedatum))-1))),"")</f>
        <v/>
      </c>
      <c r="V93" s="471" t="str">
        <f>IF(V$65&gt;0,(INDEX(A_Aufgaben,(V$65-Arbeitszeit!$A$6+1),(2*(ROW()-ROW(A_Endedatum))-1))),"")</f>
        <v/>
      </c>
      <c r="W93" s="470" t="str">
        <f>IF(W$65&gt;0,(INDEX(A_Aufgaben,(W$65-Arbeitszeit!$A$6+1),(2*(ROW()-ROW(A_Endedatum))-1))),"")</f>
        <v/>
      </c>
      <c r="X93" s="471" t="str">
        <f>IF(X$65&gt;0,(INDEX(A_Aufgaben,(X$65-Arbeitszeit!$A$6+1),(2*(ROW()-ROW(A_Endedatum))-1))),"")</f>
        <v/>
      </c>
      <c r="Y93" s="470" t="str">
        <f>IF(Y$65&gt;0,(INDEX(A_Aufgaben,(Y$65-Arbeitszeit!$A$6+1),(2*(ROW()-ROW(A_Endedatum))-1))),"")</f>
        <v/>
      </c>
      <c r="Z93" s="471" t="str">
        <f>IF(Z$65&gt;0,(INDEX(A_Aufgaben,(Z$65-Arbeitszeit!$A$6+1),(2*(ROW()-ROW(A_Endedatum))-1))),"")</f>
        <v/>
      </c>
      <c r="AA93" s="470" t="str">
        <f>IF(AA$65&gt;0,(INDEX(A_Aufgaben,(AA$65-Arbeitszeit!$A$6+1),(2*(ROW()-ROW(A_Endedatum))-1))),"")</f>
        <v/>
      </c>
      <c r="AB93" s="471" t="str">
        <f>IF(AB$65&gt;0,(INDEX(A_Aufgaben,(AB$65-Arbeitszeit!$A$6+1),(2*(ROW()-ROW(A_Endedatum))-1))),"")</f>
        <v/>
      </c>
      <c r="AC93" s="470" t="str">
        <f>IF(AC$65&gt;0,(INDEX(A_Aufgaben,(AC$65-Arbeitszeit!$A$6+1),(2*(ROW()-ROW(A_Endedatum))-1))),"")</f>
        <v/>
      </c>
      <c r="AD93" s="471" t="str">
        <f>IF(AD$65&gt;0,(INDEX(A_Aufgaben,(AD$65-Arbeitszeit!$A$6+1),(2*(ROW()-ROW(A_Endedatum))-1))),"")</f>
        <v/>
      </c>
      <c r="AE93" s="470" t="str">
        <f>IF(AE$65&gt;0,(INDEX(A_Aufgaben,(AE$65-Arbeitszeit!$A$6+1),(2*(ROW()-ROW(A_Endedatum))-1))),"")</f>
        <v/>
      </c>
      <c r="AF93" s="471" t="str">
        <f>IF(AF$65&gt;0,(INDEX(A_Aufgaben,(AF$65-Arbeitszeit!$A$6+1),(2*(ROW()-ROW(A_Endedatum))-1))),"")</f>
        <v/>
      </c>
      <c r="AG93" s="470" t="str">
        <f>IF(AG$65&gt;0,(INDEX(A_Aufgaben,(AG$65-Arbeitszeit!$A$6+1),(2*(ROW()-ROW(A_Endedatum))-1))),"")</f>
        <v/>
      </c>
      <c r="AH93" s="479">
        <f t="shared" si="16"/>
        <v>0</v>
      </c>
      <c r="AI93" s="3">
        <f t="shared" si="17"/>
        <v>0</v>
      </c>
      <c r="AJ93" s="494" t="e">
        <f t="shared" si="14"/>
        <v>#VALUE!</v>
      </c>
    </row>
    <row r="94" spans="1:36" hidden="1" outlineLevel="1">
      <c r="A94">
        <f t="shared" si="15"/>
        <v>0</v>
      </c>
      <c r="B94" s="469" t="str">
        <f t="shared" si="15"/>
        <v>Aufgabe 26</v>
      </c>
      <c r="C94" s="470" t="str">
        <f>IF(C$65&gt;0,(INDEX(A_Aufgaben,(C$65-Arbeitszeit!$A$6+1),(2*(ROW()-ROW(A_Endedatum))-1))),"")</f>
        <v/>
      </c>
      <c r="D94" s="471" t="str">
        <f>IF(D$65&gt;0,(INDEX(A_Aufgaben,(D$65-Arbeitszeit!$A$6+1),(2*(ROW()-ROW(A_Endedatum))-1))),"")</f>
        <v/>
      </c>
      <c r="E94" s="470" t="str">
        <f>IF(E$65&gt;0,(INDEX(A_Aufgaben,(E$65-Arbeitszeit!$A$6+1),(2*(ROW()-ROW(A_Endedatum))-1))),"")</f>
        <v/>
      </c>
      <c r="F94" s="471" t="str">
        <f>IF(F$65&gt;0,(INDEX(A_Aufgaben,(F$65-Arbeitszeit!$A$6+1),(2*(ROW()-ROW(A_Endedatum))-1))),"")</f>
        <v/>
      </c>
      <c r="G94" s="470" t="str">
        <f>IF(G$65&gt;0,(INDEX(A_Aufgaben,(G$65-Arbeitszeit!$A$6+1),(2*(ROW()-ROW(A_Endedatum))-1))),"")</f>
        <v/>
      </c>
      <c r="H94" s="471" t="str">
        <f>IF(H$65&gt;0,(INDEX(A_Aufgaben,(H$65-Arbeitszeit!$A$6+1),(2*(ROW()-ROW(A_Endedatum))-1))),"")</f>
        <v/>
      </c>
      <c r="I94" s="470" t="str">
        <f>IF(I$65&gt;0,(INDEX(A_Aufgaben,(I$65-Arbeitszeit!$A$6+1),(2*(ROW()-ROW(A_Endedatum))-1))),"")</f>
        <v/>
      </c>
      <c r="J94" s="471" t="str">
        <f>IF(J$65&gt;0,(INDEX(A_Aufgaben,(J$65-Arbeitszeit!$A$6+1),(2*(ROW()-ROW(A_Endedatum))-1))),"")</f>
        <v/>
      </c>
      <c r="K94" s="470" t="str">
        <f>IF(K$65&gt;0,(INDEX(A_Aufgaben,(K$65-Arbeitszeit!$A$6+1),(2*(ROW()-ROW(A_Endedatum))-1))),"")</f>
        <v/>
      </c>
      <c r="L94" s="471" t="str">
        <f>IF(L$65&gt;0,(INDEX(A_Aufgaben,(L$65-Arbeitszeit!$A$6+1),(2*(ROW()-ROW(A_Endedatum))-1))),"")</f>
        <v/>
      </c>
      <c r="M94" s="470" t="str">
        <f>IF(M$65&gt;0,(INDEX(A_Aufgaben,(M$65-Arbeitszeit!$A$6+1),(2*(ROW()-ROW(A_Endedatum))-1))),"")</f>
        <v/>
      </c>
      <c r="N94" s="471" t="str">
        <f>IF(N$65&gt;0,(INDEX(A_Aufgaben,(N$65-Arbeitszeit!$A$6+1),(2*(ROW()-ROW(A_Endedatum))-1))),"")</f>
        <v/>
      </c>
      <c r="O94" s="470" t="str">
        <f>IF(O$65&gt;0,(INDEX(A_Aufgaben,(O$65-Arbeitszeit!$A$6+1),(2*(ROW()-ROW(A_Endedatum))-1))),"")</f>
        <v/>
      </c>
      <c r="P94" s="471" t="str">
        <f>IF(P$65&gt;0,(INDEX(A_Aufgaben,(P$65-Arbeitszeit!$A$6+1),(2*(ROW()-ROW(A_Endedatum))-1))),"")</f>
        <v/>
      </c>
      <c r="Q94" s="470" t="str">
        <f>IF(Q$65&gt;0,(INDEX(A_Aufgaben,(Q$65-Arbeitszeit!$A$6+1),(2*(ROW()-ROW(A_Endedatum))-1))),"")</f>
        <v/>
      </c>
      <c r="R94" s="471" t="str">
        <f>IF(R$65&gt;0,(INDEX(A_Aufgaben,(R$65-Arbeitszeit!$A$6+1),(2*(ROW()-ROW(A_Endedatum))-1))),"")</f>
        <v/>
      </c>
      <c r="S94" s="470" t="str">
        <f>IF(S$65&gt;0,(INDEX(A_Aufgaben,(S$65-Arbeitszeit!$A$6+1),(2*(ROW()-ROW(A_Endedatum))-1))),"")</f>
        <v/>
      </c>
      <c r="T94" s="471" t="str">
        <f>IF(T$65&gt;0,(INDEX(A_Aufgaben,(T$65-Arbeitszeit!$A$6+1),(2*(ROW()-ROW(A_Endedatum))-1))),"")</f>
        <v/>
      </c>
      <c r="U94" s="470" t="str">
        <f>IF(U$65&gt;0,(INDEX(A_Aufgaben,(U$65-Arbeitszeit!$A$6+1),(2*(ROW()-ROW(A_Endedatum))-1))),"")</f>
        <v/>
      </c>
      <c r="V94" s="471" t="str">
        <f>IF(V$65&gt;0,(INDEX(A_Aufgaben,(V$65-Arbeitszeit!$A$6+1),(2*(ROW()-ROW(A_Endedatum))-1))),"")</f>
        <v/>
      </c>
      <c r="W94" s="470" t="str">
        <f>IF(W$65&gt;0,(INDEX(A_Aufgaben,(W$65-Arbeitszeit!$A$6+1),(2*(ROW()-ROW(A_Endedatum))-1))),"")</f>
        <v/>
      </c>
      <c r="X94" s="471" t="str">
        <f>IF(X$65&gt;0,(INDEX(A_Aufgaben,(X$65-Arbeitszeit!$A$6+1),(2*(ROW()-ROW(A_Endedatum))-1))),"")</f>
        <v/>
      </c>
      <c r="Y94" s="470" t="str">
        <f>IF(Y$65&gt;0,(INDEX(A_Aufgaben,(Y$65-Arbeitszeit!$A$6+1),(2*(ROW()-ROW(A_Endedatum))-1))),"")</f>
        <v/>
      </c>
      <c r="Z94" s="471" t="str">
        <f>IF(Z$65&gt;0,(INDEX(A_Aufgaben,(Z$65-Arbeitszeit!$A$6+1),(2*(ROW()-ROW(A_Endedatum))-1))),"")</f>
        <v/>
      </c>
      <c r="AA94" s="470" t="str">
        <f>IF(AA$65&gt;0,(INDEX(A_Aufgaben,(AA$65-Arbeitszeit!$A$6+1),(2*(ROW()-ROW(A_Endedatum))-1))),"")</f>
        <v/>
      </c>
      <c r="AB94" s="471" t="str">
        <f>IF(AB$65&gt;0,(INDEX(A_Aufgaben,(AB$65-Arbeitszeit!$A$6+1),(2*(ROW()-ROW(A_Endedatum))-1))),"")</f>
        <v/>
      </c>
      <c r="AC94" s="470" t="str">
        <f>IF(AC$65&gt;0,(INDEX(A_Aufgaben,(AC$65-Arbeitszeit!$A$6+1),(2*(ROW()-ROW(A_Endedatum))-1))),"")</f>
        <v/>
      </c>
      <c r="AD94" s="471" t="str">
        <f>IF(AD$65&gt;0,(INDEX(A_Aufgaben,(AD$65-Arbeitszeit!$A$6+1),(2*(ROW()-ROW(A_Endedatum))-1))),"")</f>
        <v/>
      </c>
      <c r="AE94" s="470" t="str">
        <f>IF(AE$65&gt;0,(INDEX(A_Aufgaben,(AE$65-Arbeitszeit!$A$6+1),(2*(ROW()-ROW(A_Endedatum))-1))),"")</f>
        <v/>
      </c>
      <c r="AF94" s="471" t="str">
        <f>IF(AF$65&gt;0,(INDEX(A_Aufgaben,(AF$65-Arbeitszeit!$A$6+1),(2*(ROW()-ROW(A_Endedatum))-1))),"")</f>
        <v/>
      </c>
      <c r="AG94" s="470" t="str">
        <f>IF(AG$65&gt;0,(INDEX(A_Aufgaben,(AG$65-Arbeitszeit!$A$6+1),(2*(ROW()-ROW(A_Endedatum))-1))),"")</f>
        <v/>
      </c>
      <c r="AH94" s="479">
        <f t="shared" si="16"/>
        <v>0</v>
      </c>
      <c r="AI94" s="3">
        <f t="shared" si="17"/>
        <v>0</v>
      </c>
      <c r="AJ94" s="494" t="e">
        <f t="shared" si="14"/>
        <v>#VALUE!</v>
      </c>
    </row>
    <row r="95" spans="1:36" hidden="1" outlineLevel="1">
      <c r="A95">
        <f t="shared" si="15"/>
        <v>0</v>
      </c>
      <c r="B95" s="469" t="str">
        <f t="shared" si="15"/>
        <v>Aufgabe 27</v>
      </c>
      <c r="C95" s="470" t="str">
        <f>IF(C$65&gt;0,(INDEX(A_Aufgaben,(C$65-Arbeitszeit!$A$6+1),(2*(ROW()-ROW(A_Endedatum))-1))),"")</f>
        <v/>
      </c>
      <c r="D95" s="471" t="str">
        <f>IF(D$65&gt;0,(INDEX(A_Aufgaben,(D$65-Arbeitszeit!$A$6+1),(2*(ROW()-ROW(A_Endedatum))-1))),"")</f>
        <v/>
      </c>
      <c r="E95" s="470" t="str">
        <f>IF(E$65&gt;0,(INDEX(A_Aufgaben,(E$65-Arbeitszeit!$A$6+1),(2*(ROW()-ROW(A_Endedatum))-1))),"")</f>
        <v/>
      </c>
      <c r="F95" s="471" t="str">
        <f>IF(F$65&gt;0,(INDEX(A_Aufgaben,(F$65-Arbeitszeit!$A$6+1),(2*(ROW()-ROW(A_Endedatum))-1))),"")</f>
        <v/>
      </c>
      <c r="G95" s="470" t="str">
        <f>IF(G$65&gt;0,(INDEX(A_Aufgaben,(G$65-Arbeitszeit!$A$6+1),(2*(ROW()-ROW(A_Endedatum))-1))),"")</f>
        <v/>
      </c>
      <c r="H95" s="471" t="str">
        <f>IF(H$65&gt;0,(INDEX(A_Aufgaben,(H$65-Arbeitszeit!$A$6+1),(2*(ROW()-ROW(A_Endedatum))-1))),"")</f>
        <v/>
      </c>
      <c r="I95" s="470" t="str">
        <f>IF(I$65&gt;0,(INDEX(A_Aufgaben,(I$65-Arbeitszeit!$A$6+1),(2*(ROW()-ROW(A_Endedatum))-1))),"")</f>
        <v/>
      </c>
      <c r="J95" s="471" t="str">
        <f>IF(J$65&gt;0,(INDEX(A_Aufgaben,(J$65-Arbeitszeit!$A$6+1),(2*(ROW()-ROW(A_Endedatum))-1))),"")</f>
        <v/>
      </c>
      <c r="K95" s="470" t="str">
        <f>IF(K$65&gt;0,(INDEX(A_Aufgaben,(K$65-Arbeitszeit!$A$6+1),(2*(ROW()-ROW(A_Endedatum))-1))),"")</f>
        <v/>
      </c>
      <c r="L95" s="471" t="str">
        <f>IF(L$65&gt;0,(INDEX(A_Aufgaben,(L$65-Arbeitszeit!$A$6+1),(2*(ROW()-ROW(A_Endedatum))-1))),"")</f>
        <v/>
      </c>
      <c r="M95" s="470" t="str">
        <f>IF(M$65&gt;0,(INDEX(A_Aufgaben,(M$65-Arbeitszeit!$A$6+1),(2*(ROW()-ROW(A_Endedatum))-1))),"")</f>
        <v/>
      </c>
      <c r="N95" s="471" t="str">
        <f>IF(N$65&gt;0,(INDEX(A_Aufgaben,(N$65-Arbeitszeit!$A$6+1),(2*(ROW()-ROW(A_Endedatum))-1))),"")</f>
        <v/>
      </c>
      <c r="O95" s="470" t="str">
        <f>IF(O$65&gt;0,(INDEX(A_Aufgaben,(O$65-Arbeitszeit!$A$6+1),(2*(ROW()-ROW(A_Endedatum))-1))),"")</f>
        <v/>
      </c>
      <c r="P95" s="471" t="str">
        <f>IF(P$65&gt;0,(INDEX(A_Aufgaben,(P$65-Arbeitszeit!$A$6+1),(2*(ROW()-ROW(A_Endedatum))-1))),"")</f>
        <v/>
      </c>
      <c r="Q95" s="470" t="str">
        <f>IF(Q$65&gt;0,(INDEX(A_Aufgaben,(Q$65-Arbeitszeit!$A$6+1),(2*(ROW()-ROW(A_Endedatum))-1))),"")</f>
        <v/>
      </c>
      <c r="R95" s="471" t="str">
        <f>IF(R$65&gt;0,(INDEX(A_Aufgaben,(R$65-Arbeitszeit!$A$6+1),(2*(ROW()-ROW(A_Endedatum))-1))),"")</f>
        <v/>
      </c>
      <c r="S95" s="470" t="str">
        <f>IF(S$65&gt;0,(INDEX(A_Aufgaben,(S$65-Arbeitszeit!$A$6+1),(2*(ROW()-ROW(A_Endedatum))-1))),"")</f>
        <v/>
      </c>
      <c r="T95" s="471" t="str">
        <f>IF(T$65&gt;0,(INDEX(A_Aufgaben,(T$65-Arbeitszeit!$A$6+1),(2*(ROW()-ROW(A_Endedatum))-1))),"")</f>
        <v/>
      </c>
      <c r="U95" s="470" t="str">
        <f>IF(U$65&gt;0,(INDEX(A_Aufgaben,(U$65-Arbeitszeit!$A$6+1),(2*(ROW()-ROW(A_Endedatum))-1))),"")</f>
        <v/>
      </c>
      <c r="V95" s="471" t="str">
        <f>IF(V$65&gt;0,(INDEX(A_Aufgaben,(V$65-Arbeitszeit!$A$6+1),(2*(ROW()-ROW(A_Endedatum))-1))),"")</f>
        <v/>
      </c>
      <c r="W95" s="470" t="str">
        <f>IF(W$65&gt;0,(INDEX(A_Aufgaben,(W$65-Arbeitszeit!$A$6+1),(2*(ROW()-ROW(A_Endedatum))-1))),"")</f>
        <v/>
      </c>
      <c r="X95" s="471" t="str">
        <f>IF(X$65&gt;0,(INDEX(A_Aufgaben,(X$65-Arbeitszeit!$A$6+1),(2*(ROW()-ROW(A_Endedatum))-1))),"")</f>
        <v/>
      </c>
      <c r="Y95" s="470" t="str">
        <f>IF(Y$65&gt;0,(INDEX(A_Aufgaben,(Y$65-Arbeitszeit!$A$6+1),(2*(ROW()-ROW(A_Endedatum))-1))),"")</f>
        <v/>
      </c>
      <c r="Z95" s="471" t="str">
        <f>IF(Z$65&gt;0,(INDEX(A_Aufgaben,(Z$65-Arbeitszeit!$A$6+1),(2*(ROW()-ROW(A_Endedatum))-1))),"")</f>
        <v/>
      </c>
      <c r="AA95" s="470" t="str">
        <f>IF(AA$65&gt;0,(INDEX(A_Aufgaben,(AA$65-Arbeitszeit!$A$6+1),(2*(ROW()-ROW(A_Endedatum))-1))),"")</f>
        <v/>
      </c>
      <c r="AB95" s="471" t="str">
        <f>IF(AB$65&gt;0,(INDEX(A_Aufgaben,(AB$65-Arbeitszeit!$A$6+1),(2*(ROW()-ROW(A_Endedatum))-1))),"")</f>
        <v/>
      </c>
      <c r="AC95" s="470" t="str">
        <f>IF(AC$65&gt;0,(INDEX(A_Aufgaben,(AC$65-Arbeitszeit!$A$6+1),(2*(ROW()-ROW(A_Endedatum))-1))),"")</f>
        <v/>
      </c>
      <c r="AD95" s="471" t="str">
        <f>IF(AD$65&gt;0,(INDEX(A_Aufgaben,(AD$65-Arbeitszeit!$A$6+1),(2*(ROW()-ROW(A_Endedatum))-1))),"")</f>
        <v/>
      </c>
      <c r="AE95" s="470" t="str">
        <f>IF(AE$65&gt;0,(INDEX(A_Aufgaben,(AE$65-Arbeitszeit!$A$6+1),(2*(ROW()-ROW(A_Endedatum))-1))),"")</f>
        <v/>
      </c>
      <c r="AF95" s="471" t="str">
        <f>IF(AF$65&gt;0,(INDEX(A_Aufgaben,(AF$65-Arbeitszeit!$A$6+1),(2*(ROW()-ROW(A_Endedatum))-1))),"")</f>
        <v/>
      </c>
      <c r="AG95" s="470" t="str">
        <f>IF(AG$65&gt;0,(INDEX(A_Aufgaben,(AG$65-Arbeitszeit!$A$6+1),(2*(ROW()-ROW(A_Endedatum))-1))),"")</f>
        <v/>
      </c>
      <c r="AH95" s="479">
        <f t="shared" si="16"/>
        <v>0</v>
      </c>
      <c r="AI95" s="3">
        <f t="shared" si="17"/>
        <v>0</v>
      </c>
      <c r="AJ95" s="494" t="e">
        <f t="shared" si="14"/>
        <v>#VALUE!</v>
      </c>
    </row>
    <row r="96" spans="1:36" hidden="1" outlineLevel="1">
      <c r="A96">
        <f t="shared" si="15"/>
        <v>0</v>
      </c>
      <c r="B96" s="469" t="str">
        <f t="shared" si="15"/>
        <v>Aufgabe 28</v>
      </c>
      <c r="C96" s="470" t="str">
        <f>IF(C$65&gt;0,(INDEX(A_Aufgaben,(C$65-Arbeitszeit!$A$6+1),(2*(ROW()-ROW(A_Endedatum))-1))),"")</f>
        <v/>
      </c>
      <c r="D96" s="471" t="str">
        <f>IF(D$65&gt;0,(INDEX(A_Aufgaben,(D$65-Arbeitszeit!$A$6+1),(2*(ROW()-ROW(A_Endedatum))-1))),"")</f>
        <v/>
      </c>
      <c r="E96" s="470" t="str">
        <f>IF(E$65&gt;0,(INDEX(A_Aufgaben,(E$65-Arbeitszeit!$A$6+1),(2*(ROW()-ROW(A_Endedatum))-1))),"")</f>
        <v/>
      </c>
      <c r="F96" s="471" t="str">
        <f>IF(F$65&gt;0,(INDEX(A_Aufgaben,(F$65-Arbeitszeit!$A$6+1),(2*(ROW()-ROW(A_Endedatum))-1))),"")</f>
        <v/>
      </c>
      <c r="G96" s="470" t="str">
        <f>IF(G$65&gt;0,(INDEX(A_Aufgaben,(G$65-Arbeitszeit!$A$6+1),(2*(ROW()-ROW(A_Endedatum))-1))),"")</f>
        <v/>
      </c>
      <c r="H96" s="471" t="str">
        <f>IF(H$65&gt;0,(INDEX(A_Aufgaben,(H$65-Arbeitszeit!$A$6+1),(2*(ROW()-ROW(A_Endedatum))-1))),"")</f>
        <v/>
      </c>
      <c r="I96" s="470" t="str">
        <f>IF(I$65&gt;0,(INDEX(A_Aufgaben,(I$65-Arbeitszeit!$A$6+1),(2*(ROW()-ROW(A_Endedatum))-1))),"")</f>
        <v/>
      </c>
      <c r="J96" s="471" t="str">
        <f>IF(J$65&gt;0,(INDEX(A_Aufgaben,(J$65-Arbeitszeit!$A$6+1),(2*(ROW()-ROW(A_Endedatum))-1))),"")</f>
        <v/>
      </c>
      <c r="K96" s="470" t="str">
        <f>IF(K$65&gt;0,(INDEX(A_Aufgaben,(K$65-Arbeitszeit!$A$6+1),(2*(ROW()-ROW(A_Endedatum))-1))),"")</f>
        <v/>
      </c>
      <c r="L96" s="471" t="str">
        <f>IF(L$65&gt;0,(INDEX(A_Aufgaben,(L$65-Arbeitszeit!$A$6+1),(2*(ROW()-ROW(A_Endedatum))-1))),"")</f>
        <v/>
      </c>
      <c r="M96" s="470" t="str">
        <f>IF(M$65&gt;0,(INDEX(A_Aufgaben,(M$65-Arbeitszeit!$A$6+1),(2*(ROW()-ROW(A_Endedatum))-1))),"")</f>
        <v/>
      </c>
      <c r="N96" s="471" t="str">
        <f>IF(N$65&gt;0,(INDEX(A_Aufgaben,(N$65-Arbeitszeit!$A$6+1),(2*(ROW()-ROW(A_Endedatum))-1))),"")</f>
        <v/>
      </c>
      <c r="O96" s="470" t="str">
        <f>IF(O$65&gt;0,(INDEX(A_Aufgaben,(O$65-Arbeitszeit!$A$6+1),(2*(ROW()-ROW(A_Endedatum))-1))),"")</f>
        <v/>
      </c>
      <c r="P96" s="471" t="str">
        <f>IF(P$65&gt;0,(INDEX(A_Aufgaben,(P$65-Arbeitszeit!$A$6+1),(2*(ROW()-ROW(A_Endedatum))-1))),"")</f>
        <v/>
      </c>
      <c r="Q96" s="470" t="str">
        <f>IF(Q$65&gt;0,(INDEX(A_Aufgaben,(Q$65-Arbeitszeit!$A$6+1),(2*(ROW()-ROW(A_Endedatum))-1))),"")</f>
        <v/>
      </c>
      <c r="R96" s="471" t="str">
        <f>IF(R$65&gt;0,(INDEX(A_Aufgaben,(R$65-Arbeitszeit!$A$6+1),(2*(ROW()-ROW(A_Endedatum))-1))),"")</f>
        <v/>
      </c>
      <c r="S96" s="470" t="str">
        <f>IF(S$65&gt;0,(INDEX(A_Aufgaben,(S$65-Arbeitszeit!$A$6+1),(2*(ROW()-ROW(A_Endedatum))-1))),"")</f>
        <v/>
      </c>
      <c r="T96" s="471" t="str">
        <f>IF(T$65&gt;0,(INDEX(A_Aufgaben,(T$65-Arbeitszeit!$A$6+1),(2*(ROW()-ROW(A_Endedatum))-1))),"")</f>
        <v/>
      </c>
      <c r="U96" s="470" t="str">
        <f>IF(U$65&gt;0,(INDEX(A_Aufgaben,(U$65-Arbeitszeit!$A$6+1),(2*(ROW()-ROW(A_Endedatum))-1))),"")</f>
        <v/>
      </c>
      <c r="V96" s="471" t="str">
        <f>IF(V$65&gt;0,(INDEX(A_Aufgaben,(V$65-Arbeitszeit!$A$6+1),(2*(ROW()-ROW(A_Endedatum))-1))),"")</f>
        <v/>
      </c>
      <c r="W96" s="470" t="str">
        <f>IF(W$65&gt;0,(INDEX(A_Aufgaben,(W$65-Arbeitszeit!$A$6+1),(2*(ROW()-ROW(A_Endedatum))-1))),"")</f>
        <v/>
      </c>
      <c r="X96" s="471" t="str">
        <f>IF(X$65&gt;0,(INDEX(A_Aufgaben,(X$65-Arbeitszeit!$A$6+1),(2*(ROW()-ROW(A_Endedatum))-1))),"")</f>
        <v/>
      </c>
      <c r="Y96" s="470" t="str">
        <f>IF(Y$65&gt;0,(INDEX(A_Aufgaben,(Y$65-Arbeitszeit!$A$6+1),(2*(ROW()-ROW(A_Endedatum))-1))),"")</f>
        <v/>
      </c>
      <c r="Z96" s="471" t="str">
        <f>IF(Z$65&gt;0,(INDEX(A_Aufgaben,(Z$65-Arbeitszeit!$A$6+1),(2*(ROW()-ROW(A_Endedatum))-1))),"")</f>
        <v/>
      </c>
      <c r="AA96" s="470" t="str">
        <f>IF(AA$65&gt;0,(INDEX(A_Aufgaben,(AA$65-Arbeitszeit!$A$6+1),(2*(ROW()-ROW(A_Endedatum))-1))),"")</f>
        <v/>
      </c>
      <c r="AB96" s="471" t="str">
        <f>IF(AB$65&gt;0,(INDEX(A_Aufgaben,(AB$65-Arbeitszeit!$A$6+1),(2*(ROW()-ROW(A_Endedatum))-1))),"")</f>
        <v/>
      </c>
      <c r="AC96" s="470" t="str">
        <f>IF(AC$65&gt;0,(INDEX(A_Aufgaben,(AC$65-Arbeitszeit!$A$6+1),(2*(ROW()-ROW(A_Endedatum))-1))),"")</f>
        <v/>
      </c>
      <c r="AD96" s="471" t="str">
        <f>IF(AD$65&gt;0,(INDEX(A_Aufgaben,(AD$65-Arbeitszeit!$A$6+1),(2*(ROW()-ROW(A_Endedatum))-1))),"")</f>
        <v/>
      </c>
      <c r="AE96" s="470" t="str">
        <f>IF(AE$65&gt;0,(INDEX(A_Aufgaben,(AE$65-Arbeitszeit!$A$6+1),(2*(ROW()-ROW(A_Endedatum))-1))),"")</f>
        <v/>
      </c>
      <c r="AF96" s="471" t="str">
        <f>IF(AF$65&gt;0,(INDEX(A_Aufgaben,(AF$65-Arbeitszeit!$A$6+1),(2*(ROW()-ROW(A_Endedatum))-1))),"")</f>
        <v/>
      </c>
      <c r="AG96" s="470" t="str">
        <f>IF(AG$65&gt;0,(INDEX(A_Aufgaben,(AG$65-Arbeitszeit!$A$6+1),(2*(ROW()-ROW(A_Endedatum))-1))),"")</f>
        <v/>
      </c>
      <c r="AH96" s="479">
        <f t="shared" si="16"/>
        <v>0</v>
      </c>
      <c r="AI96" s="3">
        <f t="shared" si="17"/>
        <v>0</v>
      </c>
      <c r="AJ96" s="494" t="e">
        <f t="shared" si="14"/>
        <v>#VALUE!</v>
      </c>
    </row>
    <row r="97" spans="1:36" hidden="1" outlineLevel="1">
      <c r="A97">
        <f t="shared" si="15"/>
        <v>0</v>
      </c>
      <c r="B97" s="469" t="str">
        <f t="shared" si="15"/>
        <v>Aufgabe 29</v>
      </c>
      <c r="C97" s="470" t="str">
        <f>IF(C$65&gt;0,(INDEX(A_Aufgaben,(C$65-Arbeitszeit!$A$6+1),(2*(ROW()-ROW(A_Endedatum))-1))),"")</f>
        <v/>
      </c>
      <c r="D97" s="471" t="str">
        <f>IF(D$65&gt;0,(INDEX(A_Aufgaben,(D$65-Arbeitszeit!$A$6+1),(2*(ROW()-ROW(A_Endedatum))-1))),"")</f>
        <v/>
      </c>
      <c r="E97" s="470" t="str">
        <f>IF(E$65&gt;0,(INDEX(A_Aufgaben,(E$65-Arbeitszeit!$A$6+1),(2*(ROW()-ROW(A_Endedatum))-1))),"")</f>
        <v/>
      </c>
      <c r="F97" s="471" t="str">
        <f>IF(F$65&gt;0,(INDEX(A_Aufgaben,(F$65-Arbeitszeit!$A$6+1),(2*(ROW()-ROW(A_Endedatum))-1))),"")</f>
        <v/>
      </c>
      <c r="G97" s="470" t="str">
        <f>IF(G$65&gt;0,(INDEX(A_Aufgaben,(G$65-Arbeitszeit!$A$6+1),(2*(ROW()-ROW(A_Endedatum))-1))),"")</f>
        <v/>
      </c>
      <c r="H97" s="471" t="str">
        <f>IF(H$65&gt;0,(INDEX(A_Aufgaben,(H$65-Arbeitszeit!$A$6+1),(2*(ROW()-ROW(A_Endedatum))-1))),"")</f>
        <v/>
      </c>
      <c r="I97" s="470" t="str">
        <f>IF(I$65&gt;0,(INDEX(A_Aufgaben,(I$65-Arbeitszeit!$A$6+1),(2*(ROW()-ROW(A_Endedatum))-1))),"")</f>
        <v/>
      </c>
      <c r="J97" s="471" t="str">
        <f>IF(J$65&gt;0,(INDEX(A_Aufgaben,(J$65-Arbeitszeit!$A$6+1),(2*(ROW()-ROW(A_Endedatum))-1))),"")</f>
        <v/>
      </c>
      <c r="K97" s="470" t="str">
        <f>IF(K$65&gt;0,(INDEX(A_Aufgaben,(K$65-Arbeitszeit!$A$6+1),(2*(ROW()-ROW(A_Endedatum))-1))),"")</f>
        <v/>
      </c>
      <c r="L97" s="471" t="str">
        <f>IF(L$65&gt;0,(INDEX(A_Aufgaben,(L$65-Arbeitszeit!$A$6+1),(2*(ROW()-ROW(A_Endedatum))-1))),"")</f>
        <v/>
      </c>
      <c r="M97" s="470" t="str">
        <f>IF(M$65&gt;0,(INDEX(A_Aufgaben,(M$65-Arbeitszeit!$A$6+1),(2*(ROW()-ROW(A_Endedatum))-1))),"")</f>
        <v/>
      </c>
      <c r="N97" s="471" t="str">
        <f>IF(N$65&gt;0,(INDEX(A_Aufgaben,(N$65-Arbeitszeit!$A$6+1),(2*(ROW()-ROW(A_Endedatum))-1))),"")</f>
        <v/>
      </c>
      <c r="O97" s="470" t="str">
        <f>IF(O$65&gt;0,(INDEX(A_Aufgaben,(O$65-Arbeitszeit!$A$6+1),(2*(ROW()-ROW(A_Endedatum))-1))),"")</f>
        <v/>
      </c>
      <c r="P97" s="471" t="str">
        <f>IF(P$65&gt;0,(INDEX(A_Aufgaben,(P$65-Arbeitszeit!$A$6+1),(2*(ROW()-ROW(A_Endedatum))-1))),"")</f>
        <v/>
      </c>
      <c r="Q97" s="470" t="str">
        <f>IF(Q$65&gt;0,(INDEX(A_Aufgaben,(Q$65-Arbeitszeit!$A$6+1),(2*(ROW()-ROW(A_Endedatum))-1))),"")</f>
        <v/>
      </c>
      <c r="R97" s="471" t="str">
        <f>IF(R$65&gt;0,(INDEX(A_Aufgaben,(R$65-Arbeitszeit!$A$6+1),(2*(ROW()-ROW(A_Endedatum))-1))),"")</f>
        <v/>
      </c>
      <c r="S97" s="470" t="str">
        <f>IF(S$65&gt;0,(INDEX(A_Aufgaben,(S$65-Arbeitszeit!$A$6+1),(2*(ROW()-ROW(A_Endedatum))-1))),"")</f>
        <v/>
      </c>
      <c r="T97" s="471" t="str">
        <f>IF(T$65&gt;0,(INDEX(A_Aufgaben,(T$65-Arbeitszeit!$A$6+1),(2*(ROW()-ROW(A_Endedatum))-1))),"")</f>
        <v/>
      </c>
      <c r="U97" s="470" t="str">
        <f>IF(U$65&gt;0,(INDEX(A_Aufgaben,(U$65-Arbeitszeit!$A$6+1),(2*(ROW()-ROW(A_Endedatum))-1))),"")</f>
        <v/>
      </c>
      <c r="V97" s="471" t="str">
        <f>IF(V$65&gt;0,(INDEX(A_Aufgaben,(V$65-Arbeitszeit!$A$6+1),(2*(ROW()-ROW(A_Endedatum))-1))),"")</f>
        <v/>
      </c>
      <c r="W97" s="470" t="str">
        <f>IF(W$65&gt;0,(INDEX(A_Aufgaben,(W$65-Arbeitszeit!$A$6+1),(2*(ROW()-ROW(A_Endedatum))-1))),"")</f>
        <v/>
      </c>
      <c r="X97" s="471" t="str">
        <f>IF(X$65&gt;0,(INDEX(A_Aufgaben,(X$65-Arbeitszeit!$A$6+1),(2*(ROW()-ROW(A_Endedatum))-1))),"")</f>
        <v/>
      </c>
      <c r="Y97" s="470" t="str">
        <f>IF(Y$65&gt;0,(INDEX(A_Aufgaben,(Y$65-Arbeitszeit!$A$6+1),(2*(ROW()-ROW(A_Endedatum))-1))),"")</f>
        <v/>
      </c>
      <c r="Z97" s="471" t="str">
        <f>IF(Z$65&gt;0,(INDEX(A_Aufgaben,(Z$65-Arbeitszeit!$A$6+1),(2*(ROW()-ROW(A_Endedatum))-1))),"")</f>
        <v/>
      </c>
      <c r="AA97" s="470" t="str">
        <f>IF(AA$65&gt;0,(INDEX(A_Aufgaben,(AA$65-Arbeitszeit!$A$6+1),(2*(ROW()-ROW(A_Endedatum))-1))),"")</f>
        <v/>
      </c>
      <c r="AB97" s="471" t="str">
        <f>IF(AB$65&gt;0,(INDEX(A_Aufgaben,(AB$65-Arbeitszeit!$A$6+1),(2*(ROW()-ROW(A_Endedatum))-1))),"")</f>
        <v/>
      </c>
      <c r="AC97" s="470" t="str">
        <f>IF(AC$65&gt;0,(INDEX(A_Aufgaben,(AC$65-Arbeitszeit!$A$6+1),(2*(ROW()-ROW(A_Endedatum))-1))),"")</f>
        <v/>
      </c>
      <c r="AD97" s="471" t="str">
        <f>IF(AD$65&gt;0,(INDEX(A_Aufgaben,(AD$65-Arbeitszeit!$A$6+1),(2*(ROW()-ROW(A_Endedatum))-1))),"")</f>
        <v/>
      </c>
      <c r="AE97" s="470" t="str">
        <f>IF(AE$65&gt;0,(INDEX(A_Aufgaben,(AE$65-Arbeitszeit!$A$6+1),(2*(ROW()-ROW(A_Endedatum))-1))),"")</f>
        <v/>
      </c>
      <c r="AF97" s="471" t="str">
        <f>IF(AF$65&gt;0,(INDEX(A_Aufgaben,(AF$65-Arbeitszeit!$A$6+1),(2*(ROW()-ROW(A_Endedatum))-1))),"")</f>
        <v/>
      </c>
      <c r="AG97" s="470" t="str">
        <f>IF(AG$65&gt;0,(INDEX(A_Aufgaben,(AG$65-Arbeitszeit!$A$6+1),(2*(ROW()-ROW(A_Endedatum))-1))),"")</f>
        <v/>
      </c>
      <c r="AH97" s="479">
        <f t="shared" si="16"/>
        <v>0</v>
      </c>
      <c r="AI97" s="3">
        <f t="shared" si="17"/>
        <v>0</v>
      </c>
      <c r="AJ97" s="494" t="e">
        <f t="shared" si="14"/>
        <v>#VALUE!</v>
      </c>
    </row>
    <row r="98" spans="1:36" hidden="1" outlineLevel="1">
      <c r="A98">
        <f t="shared" si="15"/>
        <v>0</v>
      </c>
      <c r="B98" s="469" t="str">
        <f t="shared" si="15"/>
        <v>Aufgabe 30</v>
      </c>
      <c r="C98" s="470" t="str">
        <f>IF(C$65&gt;0,(INDEX(A_Aufgaben,(C$65-Arbeitszeit!$A$6+1),(2*(ROW()-ROW(A_Endedatum))-1))),"")</f>
        <v/>
      </c>
      <c r="D98" s="471" t="str">
        <f>IF(D$65&gt;0,(INDEX(A_Aufgaben,(D$65-Arbeitszeit!$A$6+1),(2*(ROW()-ROW(A_Endedatum))-1))),"")</f>
        <v/>
      </c>
      <c r="E98" s="470" t="str">
        <f>IF(E$65&gt;0,(INDEX(A_Aufgaben,(E$65-Arbeitszeit!$A$6+1),(2*(ROW()-ROW(A_Endedatum))-1))),"")</f>
        <v/>
      </c>
      <c r="F98" s="471" t="str">
        <f>IF(F$65&gt;0,(INDEX(A_Aufgaben,(F$65-Arbeitszeit!$A$6+1),(2*(ROW()-ROW(A_Endedatum))-1))),"")</f>
        <v/>
      </c>
      <c r="G98" s="470" t="str">
        <f>IF(G$65&gt;0,(INDEX(A_Aufgaben,(G$65-Arbeitszeit!$A$6+1),(2*(ROW()-ROW(A_Endedatum))-1))),"")</f>
        <v/>
      </c>
      <c r="H98" s="471" t="str">
        <f>IF(H$65&gt;0,(INDEX(A_Aufgaben,(H$65-Arbeitszeit!$A$6+1),(2*(ROW()-ROW(A_Endedatum))-1))),"")</f>
        <v/>
      </c>
      <c r="I98" s="470" t="str">
        <f>IF(I$65&gt;0,(INDEX(A_Aufgaben,(I$65-Arbeitszeit!$A$6+1),(2*(ROW()-ROW(A_Endedatum))-1))),"")</f>
        <v/>
      </c>
      <c r="J98" s="471" t="str">
        <f>IF(J$65&gt;0,(INDEX(A_Aufgaben,(J$65-Arbeitszeit!$A$6+1),(2*(ROW()-ROW(A_Endedatum))-1))),"")</f>
        <v/>
      </c>
      <c r="K98" s="470" t="str">
        <f>IF(K$65&gt;0,(INDEX(A_Aufgaben,(K$65-Arbeitszeit!$A$6+1),(2*(ROW()-ROW(A_Endedatum))-1))),"")</f>
        <v/>
      </c>
      <c r="L98" s="471" t="str">
        <f>IF(L$65&gt;0,(INDEX(A_Aufgaben,(L$65-Arbeitszeit!$A$6+1),(2*(ROW()-ROW(A_Endedatum))-1))),"")</f>
        <v/>
      </c>
      <c r="M98" s="470" t="str">
        <f>IF(M$65&gt;0,(INDEX(A_Aufgaben,(M$65-Arbeitszeit!$A$6+1),(2*(ROW()-ROW(A_Endedatum))-1))),"")</f>
        <v/>
      </c>
      <c r="N98" s="471" t="str">
        <f>IF(N$65&gt;0,(INDEX(A_Aufgaben,(N$65-Arbeitszeit!$A$6+1),(2*(ROW()-ROW(A_Endedatum))-1))),"")</f>
        <v/>
      </c>
      <c r="O98" s="470" t="str">
        <f>IF(O$65&gt;0,(INDEX(A_Aufgaben,(O$65-Arbeitszeit!$A$6+1),(2*(ROW()-ROW(A_Endedatum))-1))),"")</f>
        <v/>
      </c>
      <c r="P98" s="471" t="str">
        <f>IF(P$65&gt;0,(INDEX(A_Aufgaben,(P$65-Arbeitszeit!$A$6+1),(2*(ROW()-ROW(A_Endedatum))-1))),"")</f>
        <v/>
      </c>
      <c r="Q98" s="470" t="str">
        <f>IF(Q$65&gt;0,(INDEX(A_Aufgaben,(Q$65-Arbeitszeit!$A$6+1),(2*(ROW()-ROW(A_Endedatum))-1))),"")</f>
        <v/>
      </c>
      <c r="R98" s="471" t="str">
        <f>IF(R$65&gt;0,(INDEX(A_Aufgaben,(R$65-Arbeitszeit!$A$6+1),(2*(ROW()-ROW(A_Endedatum))-1))),"")</f>
        <v/>
      </c>
      <c r="S98" s="470" t="str">
        <f>IF(S$65&gt;0,(INDEX(A_Aufgaben,(S$65-Arbeitszeit!$A$6+1),(2*(ROW()-ROW(A_Endedatum))-1))),"")</f>
        <v/>
      </c>
      <c r="T98" s="471" t="str">
        <f>IF(T$65&gt;0,(INDEX(A_Aufgaben,(T$65-Arbeitszeit!$A$6+1),(2*(ROW()-ROW(A_Endedatum))-1))),"")</f>
        <v/>
      </c>
      <c r="U98" s="470" t="str">
        <f>IF(U$65&gt;0,(INDEX(A_Aufgaben,(U$65-Arbeitszeit!$A$6+1),(2*(ROW()-ROW(A_Endedatum))-1))),"")</f>
        <v/>
      </c>
      <c r="V98" s="471" t="str">
        <f>IF(V$65&gt;0,(INDEX(A_Aufgaben,(V$65-Arbeitszeit!$A$6+1),(2*(ROW()-ROW(A_Endedatum))-1))),"")</f>
        <v/>
      </c>
      <c r="W98" s="470" t="str">
        <f>IF(W$65&gt;0,(INDEX(A_Aufgaben,(W$65-Arbeitszeit!$A$6+1),(2*(ROW()-ROW(A_Endedatum))-1))),"")</f>
        <v/>
      </c>
      <c r="X98" s="471" t="str">
        <f>IF(X$65&gt;0,(INDEX(A_Aufgaben,(X$65-Arbeitszeit!$A$6+1),(2*(ROW()-ROW(A_Endedatum))-1))),"")</f>
        <v/>
      </c>
      <c r="Y98" s="470" t="str">
        <f>IF(Y$65&gt;0,(INDEX(A_Aufgaben,(Y$65-Arbeitszeit!$A$6+1),(2*(ROW()-ROW(A_Endedatum))-1))),"")</f>
        <v/>
      </c>
      <c r="Z98" s="471" t="str">
        <f>IF(Z$65&gt;0,(INDEX(A_Aufgaben,(Z$65-Arbeitszeit!$A$6+1),(2*(ROW()-ROW(A_Endedatum))-1))),"")</f>
        <v/>
      </c>
      <c r="AA98" s="470" t="str">
        <f>IF(AA$65&gt;0,(INDEX(A_Aufgaben,(AA$65-Arbeitszeit!$A$6+1),(2*(ROW()-ROW(A_Endedatum))-1))),"")</f>
        <v/>
      </c>
      <c r="AB98" s="471" t="str">
        <f>IF(AB$65&gt;0,(INDEX(A_Aufgaben,(AB$65-Arbeitszeit!$A$6+1),(2*(ROW()-ROW(A_Endedatum))-1))),"")</f>
        <v/>
      </c>
      <c r="AC98" s="470" t="str">
        <f>IF(AC$65&gt;0,(INDEX(A_Aufgaben,(AC$65-Arbeitszeit!$A$6+1),(2*(ROW()-ROW(A_Endedatum))-1))),"")</f>
        <v/>
      </c>
      <c r="AD98" s="471" t="str">
        <f>IF(AD$65&gt;0,(INDEX(A_Aufgaben,(AD$65-Arbeitszeit!$A$6+1),(2*(ROW()-ROW(A_Endedatum))-1))),"")</f>
        <v/>
      </c>
      <c r="AE98" s="470" t="str">
        <f>IF(AE$65&gt;0,(INDEX(A_Aufgaben,(AE$65-Arbeitszeit!$A$6+1),(2*(ROW()-ROW(A_Endedatum))-1))),"")</f>
        <v/>
      </c>
      <c r="AF98" s="471" t="str">
        <f>IF(AF$65&gt;0,(INDEX(A_Aufgaben,(AF$65-Arbeitszeit!$A$6+1),(2*(ROW()-ROW(A_Endedatum))-1))),"")</f>
        <v/>
      </c>
      <c r="AG98" s="470" t="str">
        <f>IF(AG$65&gt;0,(INDEX(A_Aufgaben,(AG$65-Arbeitszeit!$A$6+1),(2*(ROW()-ROW(A_Endedatum))-1))),"")</f>
        <v/>
      </c>
      <c r="AH98" s="479">
        <f t="shared" si="16"/>
        <v>0</v>
      </c>
      <c r="AI98" s="3">
        <f t="shared" si="17"/>
        <v>0</v>
      </c>
      <c r="AJ98" s="494" t="e">
        <f t="shared" si="14"/>
        <v>#VALUE!</v>
      </c>
    </row>
    <row r="99" spans="1:36" hidden="1" outlineLevel="1">
      <c r="A99">
        <f t="shared" si="15"/>
        <v>0</v>
      </c>
      <c r="B99" s="469" t="str">
        <f t="shared" si="15"/>
        <v>Aufgabe 31</v>
      </c>
      <c r="C99" s="470" t="str">
        <f>IF(C$65&gt;0,(INDEX(A_Aufgaben,(C$65-Arbeitszeit!$A$6+1),(2*(ROW()-ROW(A_Endedatum))-1))),"")</f>
        <v/>
      </c>
      <c r="D99" s="471" t="str">
        <f>IF(D$65&gt;0,(INDEX(A_Aufgaben,(D$65-Arbeitszeit!$A$6+1),(2*(ROW()-ROW(A_Endedatum))-1))),"")</f>
        <v/>
      </c>
      <c r="E99" s="470" t="str">
        <f>IF(E$65&gt;0,(INDEX(A_Aufgaben,(E$65-Arbeitszeit!$A$6+1),(2*(ROW()-ROW(A_Endedatum))-1))),"")</f>
        <v/>
      </c>
      <c r="F99" s="471" t="str">
        <f>IF(F$65&gt;0,(INDEX(A_Aufgaben,(F$65-Arbeitszeit!$A$6+1),(2*(ROW()-ROW(A_Endedatum))-1))),"")</f>
        <v/>
      </c>
      <c r="G99" s="470" t="str">
        <f>IF(G$65&gt;0,(INDEX(A_Aufgaben,(G$65-Arbeitszeit!$A$6+1),(2*(ROW()-ROW(A_Endedatum))-1))),"")</f>
        <v/>
      </c>
      <c r="H99" s="471" t="str">
        <f>IF(H$65&gt;0,(INDEX(A_Aufgaben,(H$65-Arbeitszeit!$A$6+1),(2*(ROW()-ROW(A_Endedatum))-1))),"")</f>
        <v/>
      </c>
      <c r="I99" s="470" t="str">
        <f>IF(I$65&gt;0,(INDEX(A_Aufgaben,(I$65-Arbeitszeit!$A$6+1),(2*(ROW()-ROW(A_Endedatum))-1))),"")</f>
        <v/>
      </c>
      <c r="J99" s="471" t="str">
        <f>IF(J$65&gt;0,(INDEX(A_Aufgaben,(J$65-Arbeitszeit!$A$6+1),(2*(ROW()-ROW(A_Endedatum))-1))),"")</f>
        <v/>
      </c>
      <c r="K99" s="470" t="str">
        <f>IF(K$65&gt;0,(INDEX(A_Aufgaben,(K$65-Arbeitszeit!$A$6+1),(2*(ROW()-ROW(A_Endedatum))-1))),"")</f>
        <v/>
      </c>
      <c r="L99" s="471" t="str">
        <f>IF(L$65&gt;0,(INDEX(A_Aufgaben,(L$65-Arbeitszeit!$A$6+1),(2*(ROW()-ROW(A_Endedatum))-1))),"")</f>
        <v/>
      </c>
      <c r="M99" s="470" t="str">
        <f>IF(M$65&gt;0,(INDEX(A_Aufgaben,(M$65-Arbeitszeit!$A$6+1),(2*(ROW()-ROW(A_Endedatum))-1))),"")</f>
        <v/>
      </c>
      <c r="N99" s="471" t="str">
        <f>IF(N$65&gt;0,(INDEX(A_Aufgaben,(N$65-Arbeitszeit!$A$6+1),(2*(ROW()-ROW(A_Endedatum))-1))),"")</f>
        <v/>
      </c>
      <c r="O99" s="470" t="str">
        <f>IF(O$65&gt;0,(INDEX(A_Aufgaben,(O$65-Arbeitszeit!$A$6+1),(2*(ROW()-ROW(A_Endedatum))-1))),"")</f>
        <v/>
      </c>
      <c r="P99" s="471" t="str">
        <f>IF(P$65&gt;0,(INDEX(A_Aufgaben,(P$65-Arbeitszeit!$A$6+1),(2*(ROW()-ROW(A_Endedatum))-1))),"")</f>
        <v/>
      </c>
      <c r="Q99" s="470" t="str">
        <f>IF(Q$65&gt;0,(INDEX(A_Aufgaben,(Q$65-Arbeitszeit!$A$6+1),(2*(ROW()-ROW(A_Endedatum))-1))),"")</f>
        <v/>
      </c>
      <c r="R99" s="471" t="str">
        <f>IF(R$65&gt;0,(INDEX(A_Aufgaben,(R$65-Arbeitszeit!$A$6+1),(2*(ROW()-ROW(A_Endedatum))-1))),"")</f>
        <v/>
      </c>
      <c r="S99" s="470" t="str">
        <f>IF(S$65&gt;0,(INDEX(A_Aufgaben,(S$65-Arbeitszeit!$A$6+1),(2*(ROW()-ROW(A_Endedatum))-1))),"")</f>
        <v/>
      </c>
      <c r="T99" s="471" t="str">
        <f>IF(T$65&gt;0,(INDEX(A_Aufgaben,(T$65-Arbeitszeit!$A$6+1),(2*(ROW()-ROW(A_Endedatum))-1))),"")</f>
        <v/>
      </c>
      <c r="U99" s="470" t="str">
        <f>IF(U$65&gt;0,(INDEX(A_Aufgaben,(U$65-Arbeitszeit!$A$6+1),(2*(ROW()-ROW(A_Endedatum))-1))),"")</f>
        <v/>
      </c>
      <c r="V99" s="471" t="str">
        <f>IF(V$65&gt;0,(INDEX(A_Aufgaben,(V$65-Arbeitszeit!$A$6+1),(2*(ROW()-ROW(A_Endedatum))-1))),"")</f>
        <v/>
      </c>
      <c r="W99" s="470" t="str">
        <f>IF(W$65&gt;0,(INDEX(A_Aufgaben,(W$65-Arbeitszeit!$A$6+1),(2*(ROW()-ROW(A_Endedatum))-1))),"")</f>
        <v/>
      </c>
      <c r="X99" s="471" t="str">
        <f>IF(X$65&gt;0,(INDEX(A_Aufgaben,(X$65-Arbeitszeit!$A$6+1),(2*(ROW()-ROW(A_Endedatum))-1))),"")</f>
        <v/>
      </c>
      <c r="Y99" s="470" t="str">
        <f>IF(Y$65&gt;0,(INDEX(A_Aufgaben,(Y$65-Arbeitszeit!$A$6+1),(2*(ROW()-ROW(A_Endedatum))-1))),"")</f>
        <v/>
      </c>
      <c r="Z99" s="471" t="str">
        <f>IF(Z$65&gt;0,(INDEX(A_Aufgaben,(Z$65-Arbeitszeit!$A$6+1),(2*(ROW()-ROW(A_Endedatum))-1))),"")</f>
        <v/>
      </c>
      <c r="AA99" s="470" t="str">
        <f>IF(AA$65&gt;0,(INDEX(A_Aufgaben,(AA$65-Arbeitszeit!$A$6+1),(2*(ROW()-ROW(A_Endedatum))-1))),"")</f>
        <v/>
      </c>
      <c r="AB99" s="471" t="str">
        <f>IF(AB$65&gt;0,(INDEX(A_Aufgaben,(AB$65-Arbeitszeit!$A$6+1),(2*(ROW()-ROW(A_Endedatum))-1))),"")</f>
        <v/>
      </c>
      <c r="AC99" s="470" t="str">
        <f>IF(AC$65&gt;0,(INDEX(A_Aufgaben,(AC$65-Arbeitszeit!$A$6+1),(2*(ROW()-ROW(A_Endedatum))-1))),"")</f>
        <v/>
      </c>
      <c r="AD99" s="471" t="str">
        <f>IF(AD$65&gt;0,(INDEX(A_Aufgaben,(AD$65-Arbeitszeit!$A$6+1),(2*(ROW()-ROW(A_Endedatum))-1))),"")</f>
        <v/>
      </c>
      <c r="AE99" s="470" t="str">
        <f>IF(AE$65&gt;0,(INDEX(A_Aufgaben,(AE$65-Arbeitszeit!$A$6+1),(2*(ROW()-ROW(A_Endedatum))-1))),"")</f>
        <v/>
      </c>
      <c r="AF99" s="471" t="str">
        <f>IF(AF$65&gt;0,(INDEX(A_Aufgaben,(AF$65-Arbeitszeit!$A$6+1),(2*(ROW()-ROW(A_Endedatum))-1))),"")</f>
        <v/>
      </c>
      <c r="AG99" s="470" t="str">
        <f>IF(AG$65&gt;0,(INDEX(A_Aufgaben,(AG$65-Arbeitszeit!$A$6+1),(2*(ROW()-ROW(A_Endedatum))-1))),"")</f>
        <v/>
      </c>
      <c r="AH99" s="479">
        <f t="shared" si="16"/>
        <v>0</v>
      </c>
      <c r="AI99" s="3">
        <f t="shared" si="17"/>
        <v>0</v>
      </c>
      <c r="AJ99" s="494" t="e">
        <f t="shared" si="14"/>
        <v>#VALUE!</v>
      </c>
    </row>
    <row r="100" spans="1:36" hidden="1" outlineLevel="1">
      <c r="A100">
        <f t="shared" si="15"/>
        <v>0</v>
      </c>
      <c r="B100" s="469" t="str">
        <f t="shared" si="15"/>
        <v>Aufgabe 32</v>
      </c>
      <c r="C100" s="470" t="str">
        <f>IF(C$65&gt;0,(INDEX(A_Aufgaben,(C$65-Arbeitszeit!$A$6+1),(2*(ROW()-ROW(A_Endedatum))-1))),"")</f>
        <v/>
      </c>
      <c r="D100" s="471" t="str">
        <f>IF(D$65&gt;0,(INDEX(A_Aufgaben,(D$65-Arbeitszeit!$A$6+1),(2*(ROW()-ROW(A_Endedatum))-1))),"")</f>
        <v/>
      </c>
      <c r="E100" s="470" t="str">
        <f>IF(E$65&gt;0,(INDEX(A_Aufgaben,(E$65-Arbeitszeit!$A$6+1),(2*(ROW()-ROW(A_Endedatum))-1))),"")</f>
        <v/>
      </c>
      <c r="F100" s="471" t="str">
        <f>IF(F$65&gt;0,(INDEX(A_Aufgaben,(F$65-Arbeitszeit!$A$6+1),(2*(ROW()-ROW(A_Endedatum))-1))),"")</f>
        <v/>
      </c>
      <c r="G100" s="470" t="str">
        <f>IF(G$65&gt;0,(INDEX(A_Aufgaben,(G$65-Arbeitszeit!$A$6+1),(2*(ROW()-ROW(A_Endedatum))-1))),"")</f>
        <v/>
      </c>
      <c r="H100" s="471" t="str">
        <f>IF(H$65&gt;0,(INDEX(A_Aufgaben,(H$65-Arbeitszeit!$A$6+1),(2*(ROW()-ROW(A_Endedatum))-1))),"")</f>
        <v/>
      </c>
      <c r="I100" s="470" t="str">
        <f>IF(I$65&gt;0,(INDEX(A_Aufgaben,(I$65-Arbeitszeit!$A$6+1),(2*(ROW()-ROW(A_Endedatum))-1))),"")</f>
        <v/>
      </c>
      <c r="J100" s="471" t="str">
        <f>IF(J$65&gt;0,(INDEX(A_Aufgaben,(J$65-Arbeitszeit!$A$6+1),(2*(ROW()-ROW(A_Endedatum))-1))),"")</f>
        <v/>
      </c>
      <c r="K100" s="470" t="str">
        <f>IF(K$65&gt;0,(INDEX(A_Aufgaben,(K$65-Arbeitszeit!$A$6+1),(2*(ROW()-ROW(A_Endedatum))-1))),"")</f>
        <v/>
      </c>
      <c r="L100" s="471" t="str">
        <f>IF(L$65&gt;0,(INDEX(A_Aufgaben,(L$65-Arbeitszeit!$A$6+1),(2*(ROW()-ROW(A_Endedatum))-1))),"")</f>
        <v/>
      </c>
      <c r="M100" s="470" t="str">
        <f>IF(M$65&gt;0,(INDEX(A_Aufgaben,(M$65-Arbeitszeit!$A$6+1),(2*(ROW()-ROW(A_Endedatum))-1))),"")</f>
        <v/>
      </c>
      <c r="N100" s="471" t="str">
        <f>IF(N$65&gt;0,(INDEX(A_Aufgaben,(N$65-Arbeitszeit!$A$6+1),(2*(ROW()-ROW(A_Endedatum))-1))),"")</f>
        <v/>
      </c>
      <c r="O100" s="470" t="str">
        <f>IF(O$65&gt;0,(INDEX(A_Aufgaben,(O$65-Arbeitszeit!$A$6+1),(2*(ROW()-ROW(A_Endedatum))-1))),"")</f>
        <v/>
      </c>
      <c r="P100" s="471" t="str">
        <f>IF(P$65&gt;0,(INDEX(A_Aufgaben,(P$65-Arbeitszeit!$A$6+1),(2*(ROW()-ROW(A_Endedatum))-1))),"")</f>
        <v/>
      </c>
      <c r="Q100" s="470" t="str">
        <f>IF(Q$65&gt;0,(INDEX(A_Aufgaben,(Q$65-Arbeitszeit!$A$6+1),(2*(ROW()-ROW(A_Endedatum))-1))),"")</f>
        <v/>
      </c>
      <c r="R100" s="471" t="str">
        <f>IF(R$65&gt;0,(INDEX(A_Aufgaben,(R$65-Arbeitszeit!$A$6+1),(2*(ROW()-ROW(A_Endedatum))-1))),"")</f>
        <v/>
      </c>
      <c r="S100" s="470" t="str">
        <f>IF(S$65&gt;0,(INDEX(A_Aufgaben,(S$65-Arbeitszeit!$A$6+1),(2*(ROW()-ROW(A_Endedatum))-1))),"")</f>
        <v/>
      </c>
      <c r="T100" s="471" t="str">
        <f>IF(T$65&gt;0,(INDEX(A_Aufgaben,(T$65-Arbeitszeit!$A$6+1),(2*(ROW()-ROW(A_Endedatum))-1))),"")</f>
        <v/>
      </c>
      <c r="U100" s="470" t="str">
        <f>IF(U$65&gt;0,(INDEX(A_Aufgaben,(U$65-Arbeitszeit!$A$6+1),(2*(ROW()-ROW(A_Endedatum))-1))),"")</f>
        <v/>
      </c>
      <c r="V100" s="471" t="str">
        <f>IF(V$65&gt;0,(INDEX(A_Aufgaben,(V$65-Arbeitszeit!$A$6+1),(2*(ROW()-ROW(A_Endedatum))-1))),"")</f>
        <v/>
      </c>
      <c r="W100" s="470" t="str">
        <f>IF(W$65&gt;0,(INDEX(A_Aufgaben,(W$65-Arbeitszeit!$A$6+1),(2*(ROW()-ROW(A_Endedatum))-1))),"")</f>
        <v/>
      </c>
      <c r="X100" s="471" t="str">
        <f>IF(X$65&gt;0,(INDEX(A_Aufgaben,(X$65-Arbeitszeit!$A$6+1),(2*(ROW()-ROW(A_Endedatum))-1))),"")</f>
        <v/>
      </c>
      <c r="Y100" s="470" t="str">
        <f>IF(Y$65&gt;0,(INDEX(A_Aufgaben,(Y$65-Arbeitszeit!$A$6+1),(2*(ROW()-ROW(A_Endedatum))-1))),"")</f>
        <v/>
      </c>
      <c r="Z100" s="471" t="str">
        <f>IF(Z$65&gt;0,(INDEX(A_Aufgaben,(Z$65-Arbeitszeit!$A$6+1),(2*(ROW()-ROW(A_Endedatum))-1))),"")</f>
        <v/>
      </c>
      <c r="AA100" s="470" t="str">
        <f>IF(AA$65&gt;0,(INDEX(A_Aufgaben,(AA$65-Arbeitszeit!$A$6+1),(2*(ROW()-ROW(A_Endedatum))-1))),"")</f>
        <v/>
      </c>
      <c r="AB100" s="471" t="str">
        <f>IF(AB$65&gt;0,(INDEX(A_Aufgaben,(AB$65-Arbeitszeit!$A$6+1),(2*(ROW()-ROW(A_Endedatum))-1))),"")</f>
        <v/>
      </c>
      <c r="AC100" s="470" t="str">
        <f>IF(AC$65&gt;0,(INDEX(A_Aufgaben,(AC$65-Arbeitszeit!$A$6+1),(2*(ROW()-ROW(A_Endedatum))-1))),"")</f>
        <v/>
      </c>
      <c r="AD100" s="471" t="str">
        <f>IF(AD$65&gt;0,(INDEX(A_Aufgaben,(AD$65-Arbeitszeit!$A$6+1),(2*(ROW()-ROW(A_Endedatum))-1))),"")</f>
        <v/>
      </c>
      <c r="AE100" s="470" t="str">
        <f>IF(AE$65&gt;0,(INDEX(A_Aufgaben,(AE$65-Arbeitszeit!$A$6+1),(2*(ROW()-ROW(A_Endedatum))-1))),"")</f>
        <v/>
      </c>
      <c r="AF100" s="471" t="str">
        <f>IF(AF$65&gt;0,(INDEX(A_Aufgaben,(AF$65-Arbeitszeit!$A$6+1),(2*(ROW()-ROW(A_Endedatum))-1))),"")</f>
        <v/>
      </c>
      <c r="AG100" s="470" t="str">
        <f>IF(AG$65&gt;0,(INDEX(A_Aufgaben,(AG$65-Arbeitszeit!$A$6+1),(2*(ROW()-ROW(A_Endedatum))-1))),"")</f>
        <v/>
      </c>
      <c r="AH100" s="479">
        <f t="shared" si="16"/>
        <v>0</v>
      </c>
      <c r="AI100" s="3">
        <f t="shared" si="17"/>
        <v>0</v>
      </c>
      <c r="AJ100" s="494" t="e">
        <f t="shared" si="14"/>
        <v>#VALUE!</v>
      </c>
    </row>
    <row r="101" spans="1:36" hidden="1" outlineLevel="1">
      <c r="A101">
        <f t="shared" si="15"/>
        <v>0</v>
      </c>
      <c r="B101" s="469" t="str">
        <f t="shared" si="15"/>
        <v>Aufgabe 33</v>
      </c>
      <c r="C101" s="470" t="str">
        <f>IF(C$65&gt;0,(INDEX(A_Aufgaben,(C$65-Arbeitszeit!$A$6+1),(2*(ROW()-ROW(A_Endedatum))-1))),"")</f>
        <v/>
      </c>
      <c r="D101" s="471" t="str">
        <f>IF(D$65&gt;0,(INDEX(A_Aufgaben,(D$65-Arbeitszeit!$A$6+1),(2*(ROW()-ROW(A_Endedatum))-1))),"")</f>
        <v/>
      </c>
      <c r="E101" s="470" t="str">
        <f>IF(E$65&gt;0,(INDEX(A_Aufgaben,(E$65-Arbeitszeit!$A$6+1),(2*(ROW()-ROW(A_Endedatum))-1))),"")</f>
        <v/>
      </c>
      <c r="F101" s="471" t="str">
        <f>IF(F$65&gt;0,(INDEX(A_Aufgaben,(F$65-Arbeitszeit!$A$6+1),(2*(ROW()-ROW(A_Endedatum))-1))),"")</f>
        <v/>
      </c>
      <c r="G101" s="470" t="str">
        <f>IF(G$65&gt;0,(INDEX(A_Aufgaben,(G$65-Arbeitszeit!$A$6+1),(2*(ROW()-ROW(A_Endedatum))-1))),"")</f>
        <v/>
      </c>
      <c r="H101" s="471" t="str">
        <f>IF(H$65&gt;0,(INDEX(A_Aufgaben,(H$65-Arbeitszeit!$A$6+1),(2*(ROW()-ROW(A_Endedatum))-1))),"")</f>
        <v/>
      </c>
      <c r="I101" s="470" t="str">
        <f>IF(I$65&gt;0,(INDEX(A_Aufgaben,(I$65-Arbeitszeit!$A$6+1),(2*(ROW()-ROW(A_Endedatum))-1))),"")</f>
        <v/>
      </c>
      <c r="J101" s="471" t="str">
        <f>IF(J$65&gt;0,(INDEX(A_Aufgaben,(J$65-Arbeitszeit!$A$6+1),(2*(ROW()-ROW(A_Endedatum))-1))),"")</f>
        <v/>
      </c>
      <c r="K101" s="470" t="str">
        <f>IF(K$65&gt;0,(INDEX(A_Aufgaben,(K$65-Arbeitszeit!$A$6+1),(2*(ROW()-ROW(A_Endedatum))-1))),"")</f>
        <v/>
      </c>
      <c r="L101" s="471" t="str">
        <f>IF(L$65&gt;0,(INDEX(A_Aufgaben,(L$65-Arbeitszeit!$A$6+1),(2*(ROW()-ROW(A_Endedatum))-1))),"")</f>
        <v/>
      </c>
      <c r="M101" s="470" t="str">
        <f>IF(M$65&gt;0,(INDEX(A_Aufgaben,(M$65-Arbeitszeit!$A$6+1),(2*(ROW()-ROW(A_Endedatum))-1))),"")</f>
        <v/>
      </c>
      <c r="N101" s="471" t="str">
        <f>IF(N$65&gt;0,(INDEX(A_Aufgaben,(N$65-Arbeitszeit!$A$6+1),(2*(ROW()-ROW(A_Endedatum))-1))),"")</f>
        <v/>
      </c>
      <c r="O101" s="470" t="str">
        <f>IF(O$65&gt;0,(INDEX(A_Aufgaben,(O$65-Arbeitszeit!$A$6+1),(2*(ROW()-ROW(A_Endedatum))-1))),"")</f>
        <v/>
      </c>
      <c r="P101" s="471" t="str">
        <f>IF(P$65&gt;0,(INDEX(A_Aufgaben,(P$65-Arbeitszeit!$A$6+1),(2*(ROW()-ROW(A_Endedatum))-1))),"")</f>
        <v/>
      </c>
      <c r="Q101" s="470" t="str">
        <f>IF(Q$65&gt;0,(INDEX(A_Aufgaben,(Q$65-Arbeitszeit!$A$6+1),(2*(ROW()-ROW(A_Endedatum))-1))),"")</f>
        <v/>
      </c>
      <c r="R101" s="471" t="str">
        <f>IF(R$65&gt;0,(INDEX(A_Aufgaben,(R$65-Arbeitszeit!$A$6+1),(2*(ROW()-ROW(A_Endedatum))-1))),"")</f>
        <v/>
      </c>
      <c r="S101" s="470" t="str">
        <f>IF(S$65&gt;0,(INDEX(A_Aufgaben,(S$65-Arbeitszeit!$A$6+1),(2*(ROW()-ROW(A_Endedatum))-1))),"")</f>
        <v/>
      </c>
      <c r="T101" s="471" t="str">
        <f>IF(T$65&gt;0,(INDEX(A_Aufgaben,(T$65-Arbeitszeit!$A$6+1),(2*(ROW()-ROW(A_Endedatum))-1))),"")</f>
        <v/>
      </c>
      <c r="U101" s="470" t="str">
        <f>IF(U$65&gt;0,(INDEX(A_Aufgaben,(U$65-Arbeitszeit!$A$6+1),(2*(ROW()-ROW(A_Endedatum))-1))),"")</f>
        <v/>
      </c>
      <c r="V101" s="471" t="str">
        <f>IF(V$65&gt;0,(INDEX(A_Aufgaben,(V$65-Arbeitszeit!$A$6+1),(2*(ROW()-ROW(A_Endedatum))-1))),"")</f>
        <v/>
      </c>
      <c r="W101" s="470" t="str">
        <f>IF(W$65&gt;0,(INDEX(A_Aufgaben,(W$65-Arbeitszeit!$A$6+1),(2*(ROW()-ROW(A_Endedatum))-1))),"")</f>
        <v/>
      </c>
      <c r="X101" s="471" t="str">
        <f>IF(X$65&gt;0,(INDEX(A_Aufgaben,(X$65-Arbeitszeit!$A$6+1),(2*(ROW()-ROW(A_Endedatum))-1))),"")</f>
        <v/>
      </c>
      <c r="Y101" s="470" t="str">
        <f>IF(Y$65&gt;0,(INDEX(A_Aufgaben,(Y$65-Arbeitszeit!$A$6+1),(2*(ROW()-ROW(A_Endedatum))-1))),"")</f>
        <v/>
      </c>
      <c r="Z101" s="471" t="str">
        <f>IF(Z$65&gt;0,(INDEX(A_Aufgaben,(Z$65-Arbeitszeit!$A$6+1),(2*(ROW()-ROW(A_Endedatum))-1))),"")</f>
        <v/>
      </c>
      <c r="AA101" s="470" t="str">
        <f>IF(AA$65&gt;0,(INDEX(A_Aufgaben,(AA$65-Arbeitszeit!$A$6+1),(2*(ROW()-ROW(A_Endedatum))-1))),"")</f>
        <v/>
      </c>
      <c r="AB101" s="471" t="str">
        <f>IF(AB$65&gt;0,(INDEX(A_Aufgaben,(AB$65-Arbeitszeit!$A$6+1),(2*(ROW()-ROW(A_Endedatum))-1))),"")</f>
        <v/>
      </c>
      <c r="AC101" s="470" t="str">
        <f>IF(AC$65&gt;0,(INDEX(A_Aufgaben,(AC$65-Arbeitszeit!$A$6+1),(2*(ROW()-ROW(A_Endedatum))-1))),"")</f>
        <v/>
      </c>
      <c r="AD101" s="471" t="str">
        <f>IF(AD$65&gt;0,(INDEX(A_Aufgaben,(AD$65-Arbeitszeit!$A$6+1),(2*(ROW()-ROW(A_Endedatum))-1))),"")</f>
        <v/>
      </c>
      <c r="AE101" s="470" t="str">
        <f>IF(AE$65&gt;0,(INDEX(A_Aufgaben,(AE$65-Arbeitszeit!$A$6+1),(2*(ROW()-ROW(A_Endedatum))-1))),"")</f>
        <v/>
      </c>
      <c r="AF101" s="471" t="str">
        <f>IF(AF$65&gt;0,(INDEX(A_Aufgaben,(AF$65-Arbeitszeit!$A$6+1),(2*(ROW()-ROW(A_Endedatum))-1))),"")</f>
        <v/>
      </c>
      <c r="AG101" s="470" t="str">
        <f>IF(AG$65&gt;0,(INDEX(A_Aufgaben,(AG$65-Arbeitszeit!$A$6+1),(2*(ROW()-ROW(A_Endedatum))-1))),"")</f>
        <v/>
      </c>
      <c r="AH101" s="479">
        <f t="shared" si="16"/>
        <v>0</v>
      </c>
      <c r="AI101" s="3">
        <f t="shared" si="17"/>
        <v>0</v>
      </c>
      <c r="AJ101" s="494" t="e">
        <f t="shared" si="14"/>
        <v>#VALUE!</v>
      </c>
    </row>
    <row r="102" spans="1:36" hidden="1" outlineLevel="1">
      <c r="A102">
        <f t="shared" si="15"/>
        <v>0</v>
      </c>
      <c r="B102" s="469" t="str">
        <f t="shared" si="15"/>
        <v>Aufgabe 34</v>
      </c>
      <c r="C102" s="470" t="str">
        <f>IF(C$65&gt;0,(INDEX(A_Aufgaben,(C$65-Arbeitszeit!$A$6+1),(2*(ROW()-ROW(A_Endedatum))-1))),"")</f>
        <v/>
      </c>
      <c r="D102" s="471" t="str">
        <f>IF(D$65&gt;0,(INDEX(A_Aufgaben,(D$65-Arbeitszeit!$A$6+1),(2*(ROW()-ROW(A_Endedatum))-1))),"")</f>
        <v/>
      </c>
      <c r="E102" s="470" t="str">
        <f>IF(E$65&gt;0,(INDEX(A_Aufgaben,(E$65-Arbeitszeit!$A$6+1),(2*(ROW()-ROW(A_Endedatum))-1))),"")</f>
        <v/>
      </c>
      <c r="F102" s="471" t="str">
        <f>IF(F$65&gt;0,(INDEX(A_Aufgaben,(F$65-Arbeitszeit!$A$6+1),(2*(ROW()-ROW(A_Endedatum))-1))),"")</f>
        <v/>
      </c>
      <c r="G102" s="470" t="str">
        <f>IF(G$65&gt;0,(INDEX(A_Aufgaben,(G$65-Arbeitszeit!$A$6+1),(2*(ROW()-ROW(A_Endedatum))-1))),"")</f>
        <v/>
      </c>
      <c r="H102" s="471" t="str">
        <f>IF(H$65&gt;0,(INDEX(A_Aufgaben,(H$65-Arbeitszeit!$A$6+1),(2*(ROW()-ROW(A_Endedatum))-1))),"")</f>
        <v/>
      </c>
      <c r="I102" s="470" t="str">
        <f>IF(I$65&gt;0,(INDEX(A_Aufgaben,(I$65-Arbeitszeit!$A$6+1),(2*(ROW()-ROW(A_Endedatum))-1))),"")</f>
        <v/>
      </c>
      <c r="J102" s="471" t="str">
        <f>IF(J$65&gt;0,(INDEX(A_Aufgaben,(J$65-Arbeitszeit!$A$6+1),(2*(ROW()-ROW(A_Endedatum))-1))),"")</f>
        <v/>
      </c>
      <c r="K102" s="470" t="str">
        <f>IF(K$65&gt;0,(INDEX(A_Aufgaben,(K$65-Arbeitszeit!$A$6+1),(2*(ROW()-ROW(A_Endedatum))-1))),"")</f>
        <v/>
      </c>
      <c r="L102" s="471" t="str">
        <f>IF(L$65&gt;0,(INDEX(A_Aufgaben,(L$65-Arbeitszeit!$A$6+1),(2*(ROW()-ROW(A_Endedatum))-1))),"")</f>
        <v/>
      </c>
      <c r="M102" s="470" t="str">
        <f>IF(M$65&gt;0,(INDEX(A_Aufgaben,(M$65-Arbeitszeit!$A$6+1),(2*(ROW()-ROW(A_Endedatum))-1))),"")</f>
        <v/>
      </c>
      <c r="N102" s="471" t="str">
        <f>IF(N$65&gt;0,(INDEX(A_Aufgaben,(N$65-Arbeitszeit!$A$6+1),(2*(ROW()-ROW(A_Endedatum))-1))),"")</f>
        <v/>
      </c>
      <c r="O102" s="470" t="str">
        <f>IF(O$65&gt;0,(INDEX(A_Aufgaben,(O$65-Arbeitszeit!$A$6+1),(2*(ROW()-ROW(A_Endedatum))-1))),"")</f>
        <v/>
      </c>
      <c r="P102" s="471" t="str">
        <f>IF(P$65&gt;0,(INDEX(A_Aufgaben,(P$65-Arbeitszeit!$A$6+1),(2*(ROW()-ROW(A_Endedatum))-1))),"")</f>
        <v/>
      </c>
      <c r="Q102" s="470" t="str">
        <f>IF(Q$65&gt;0,(INDEX(A_Aufgaben,(Q$65-Arbeitszeit!$A$6+1),(2*(ROW()-ROW(A_Endedatum))-1))),"")</f>
        <v/>
      </c>
      <c r="R102" s="471" t="str">
        <f>IF(R$65&gt;0,(INDEX(A_Aufgaben,(R$65-Arbeitszeit!$A$6+1),(2*(ROW()-ROW(A_Endedatum))-1))),"")</f>
        <v/>
      </c>
      <c r="S102" s="470" t="str">
        <f>IF(S$65&gt;0,(INDEX(A_Aufgaben,(S$65-Arbeitszeit!$A$6+1),(2*(ROW()-ROW(A_Endedatum))-1))),"")</f>
        <v/>
      </c>
      <c r="T102" s="471" t="str">
        <f>IF(T$65&gt;0,(INDEX(A_Aufgaben,(T$65-Arbeitszeit!$A$6+1),(2*(ROW()-ROW(A_Endedatum))-1))),"")</f>
        <v/>
      </c>
      <c r="U102" s="470" t="str">
        <f>IF(U$65&gt;0,(INDEX(A_Aufgaben,(U$65-Arbeitszeit!$A$6+1),(2*(ROW()-ROW(A_Endedatum))-1))),"")</f>
        <v/>
      </c>
      <c r="V102" s="471" t="str">
        <f>IF(V$65&gt;0,(INDEX(A_Aufgaben,(V$65-Arbeitszeit!$A$6+1),(2*(ROW()-ROW(A_Endedatum))-1))),"")</f>
        <v/>
      </c>
      <c r="W102" s="470" t="str">
        <f>IF(W$65&gt;0,(INDEX(A_Aufgaben,(W$65-Arbeitszeit!$A$6+1),(2*(ROW()-ROW(A_Endedatum))-1))),"")</f>
        <v/>
      </c>
      <c r="X102" s="471" t="str">
        <f>IF(X$65&gt;0,(INDEX(A_Aufgaben,(X$65-Arbeitszeit!$A$6+1),(2*(ROW()-ROW(A_Endedatum))-1))),"")</f>
        <v/>
      </c>
      <c r="Y102" s="470" t="str">
        <f>IF(Y$65&gt;0,(INDEX(A_Aufgaben,(Y$65-Arbeitszeit!$A$6+1),(2*(ROW()-ROW(A_Endedatum))-1))),"")</f>
        <v/>
      </c>
      <c r="Z102" s="471" t="str">
        <f>IF(Z$65&gt;0,(INDEX(A_Aufgaben,(Z$65-Arbeitszeit!$A$6+1),(2*(ROW()-ROW(A_Endedatum))-1))),"")</f>
        <v/>
      </c>
      <c r="AA102" s="470" t="str">
        <f>IF(AA$65&gt;0,(INDEX(A_Aufgaben,(AA$65-Arbeitszeit!$A$6+1),(2*(ROW()-ROW(A_Endedatum))-1))),"")</f>
        <v/>
      </c>
      <c r="AB102" s="471" t="str">
        <f>IF(AB$65&gt;0,(INDEX(A_Aufgaben,(AB$65-Arbeitszeit!$A$6+1),(2*(ROW()-ROW(A_Endedatum))-1))),"")</f>
        <v/>
      </c>
      <c r="AC102" s="470" t="str">
        <f>IF(AC$65&gt;0,(INDEX(A_Aufgaben,(AC$65-Arbeitszeit!$A$6+1),(2*(ROW()-ROW(A_Endedatum))-1))),"")</f>
        <v/>
      </c>
      <c r="AD102" s="471" t="str">
        <f>IF(AD$65&gt;0,(INDEX(A_Aufgaben,(AD$65-Arbeitszeit!$A$6+1),(2*(ROW()-ROW(A_Endedatum))-1))),"")</f>
        <v/>
      </c>
      <c r="AE102" s="470" t="str">
        <f>IF(AE$65&gt;0,(INDEX(A_Aufgaben,(AE$65-Arbeitszeit!$A$6+1),(2*(ROW()-ROW(A_Endedatum))-1))),"")</f>
        <v/>
      </c>
      <c r="AF102" s="471" t="str">
        <f>IF(AF$65&gt;0,(INDEX(A_Aufgaben,(AF$65-Arbeitszeit!$A$6+1),(2*(ROW()-ROW(A_Endedatum))-1))),"")</f>
        <v/>
      </c>
      <c r="AG102" s="470" t="str">
        <f>IF(AG$65&gt;0,(INDEX(A_Aufgaben,(AG$65-Arbeitszeit!$A$6+1),(2*(ROW()-ROW(A_Endedatum))-1))),"")</f>
        <v/>
      </c>
      <c r="AH102" s="479">
        <f t="shared" si="16"/>
        <v>0</v>
      </c>
      <c r="AI102" s="3">
        <f t="shared" si="17"/>
        <v>0</v>
      </c>
      <c r="AJ102" s="494" t="e">
        <f t="shared" si="14"/>
        <v>#VALUE!</v>
      </c>
    </row>
    <row r="103" spans="1:36" hidden="1" outlineLevel="1">
      <c r="A103">
        <f t="shared" si="15"/>
        <v>0</v>
      </c>
      <c r="B103" s="469" t="str">
        <f t="shared" si="15"/>
        <v>Aufgabe 35</v>
      </c>
      <c r="C103" s="470" t="str">
        <f>IF(C$65&gt;0,(INDEX(A_Aufgaben,(C$65-Arbeitszeit!$A$6+1),(2*(ROW()-ROW(A_Endedatum))-1))),"")</f>
        <v/>
      </c>
      <c r="D103" s="471" t="str">
        <f>IF(D$65&gt;0,(INDEX(A_Aufgaben,(D$65-Arbeitszeit!$A$6+1),(2*(ROW()-ROW(A_Endedatum))-1))),"")</f>
        <v/>
      </c>
      <c r="E103" s="470" t="str">
        <f>IF(E$65&gt;0,(INDEX(A_Aufgaben,(E$65-Arbeitszeit!$A$6+1),(2*(ROW()-ROW(A_Endedatum))-1))),"")</f>
        <v/>
      </c>
      <c r="F103" s="471" t="str">
        <f>IF(F$65&gt;0,(INDEX(A_Aufgaben,(F$65-Arbeitszeit!$A$6+1),(2*(ROW()-ROW(A_Endedatum))-1))),"")</f>
        <v/>
      </c>
      <c r="G103" s="470" t="str">
        <f>IF(G$65&gt;0,(INDEX(A_Aufgaben,(G$65-Arbeitszeit!$A$6+1),(2*(ROW()-ROW(A_Endedatum))-1))),"")</f>
        <v/>
      </c>
      <c r="H103" s="471" t="str">
        <f>IF(H$65&gt;0,(INDEX(A_Aufgaben,(H$65-Arbeitszeit!$A$6+1),(2*(ROW()-ROW(A_Endedatum))-1))),"")</f>
        <v/>
      </c>
      <c r="I103" s="470" t="str">
        <f>IF(I$65&gt;0,(INDEX(A_Aufgaben,(I$65-Arbeitszeit!$A$6+1),(2*(ROW()-ROW(A_Endedatum))-1))),"")</f>
        <v/>
      </c>
      <c r="J103" s="471" t="str">
        <f>IF(J$65&gt;0,(INDEX(A_Aufgaben,(J$65-Arbeitszeit!$A$6+1),(2*(ROW()-ROW(A_Endedatum))-1))),"")</f>
        <v/>
      </c>
      <c r="K103" s="470" t="str">
        <f>IF(K$65&gt;0,(INDEX(A_Aufgaben,(K$65-Arbeitszeit!$A$6+1),(2*(ROW()-ROW(A_Endedatum))-1))),"")</f>
        <v/>
      </c>
      <c r="L103" s="471" t="str">
        <f>IF(L$65&gt;0,(INDEX(A_Aufgaben,(L$65-Arbeitszeit!$A$6+1),(2*(ROW()-ROW(A_Endedatum))-1))),"")</f>
        <v/>
      </c>
      <c r="M103" s="470" t="str">
        <f>IF(M$65&gt;0,(INDEX(A_Aufgaben,(M$65-Arbeitszeit!$A$6+1),(2*(ROW()-ROW(A_Endedatum))-1))),"")</f>
        <v/>
      </c>
      <c r="N103" s="471" t="str">
        <f>IF(N$65&gt;0,(INDEX(A_Aufgaben,(N$65-Arbeitszeit!$A$6+1),(2*(ROW()-ROW(A_Endedatum))-1))),"")</f>
        <v/>
      </c>
      <c r="O103" s="470" t="str">
        <f>IF(O$65&gt;0,(INDEX(A_Aufgaben,(O$65-Arbeitszeit!$A$6+1),(2*(ROW()-ROW(A_Endedatum))-1))),"")</f>
        <v/>
      </c>
      <c r="P103" s="471" t="str">
        <f>IF(P$65&gt;0,(INDEX(A_Aufgaben,(P$65-Arbeitszeit!$A$6+1),(2*(ROW()-ROW(A_Endedatum))-1))),"")</f>
        <v/>
      </c>
      <c r="Q103" s="470" t="str">
        <f>IF(Q$65&gt;0,(INDEX(A_Aufgaben,(Q$65-Arbeitszeit!$A$6+1),(2*(ROW()-ROW(A_Endedatum))-1))),"")</f>
        <v/>
      </c>
      <c r="R103" s="471" t="str">
        <f>IF(R$65&gt;0,(INDEX(A_Aufgaben,(R$65-Arbeitszeit!$A$6+1),(2*(ROW()-ROW(A_Endedatum))-1))),"")</f>
        <v/>
      </c>
      <c r="S103" s="470" t="str">
        <f>IF(S$65&gt;0,(INDEX(A_Aufgaben,(S$65-Arbeitszeit!$A$6+1),(2*(ROW()-ROW(A_Endedatum))-1))),"")</f>
        <v/>
      </c>
      <c r="T103" s="471" t="str">
        <f>IF(T$65&gt;0,(INDEX(A_Aufgaben,(T$65-Arbeitszeit!$A$6+1),(2*(ROW()-ROW(A_Endedatum))-1))),"")</f>
        <v/>
      </c>
      <c r="U103" s="470" t="str">
        <f>IF(U$65&gt;0,(INDEX(A_Aufgaben,(U$65-Arbeitszeit!$A$6+1),(2*(ROW()-ROW(A_Endedatum))-1))),"")</f>
        <v/>
      </c>
      <c r="V103" s="471" t="str">
        <f>IF(V$65&gt;0,(INDEX(A_Aufgaben,(V$65-Arbeitszeit!$A$6+1),(2*(ROW()-ROW(A_Endedatum))-1))),"")</f>
        <v/>
      </c>
      <c r="W103" s="470" t="str">
        <f>IF(W$65&gt;0,(INDEX(A_Aufgaben,(W$65-Arbeitszeit!$A$6+1),(2*(ROW()-ROW(A_Endedatum))-1))),"")</f>
        <v/>
      </c>
      <c r="X103" s="471" t="str">
        <f>IF(X$65&gt;0,(INDEX(A_Aufgaben,(X$65-Arbeitszeit!$A$6+1),(2*(ROW()-ROW(A_Endedatum))-1))),"")</f>
        <v/>
      </c>
      <c r="Y103" s="470" t="str">
        <f>IF(Y$65&gt;0,(INDEX(A_Aufgaben,(Y$65-Arbeitszeit!$A$6+1),(2*(ROW()-ROW(A_Endedatum))-1))),"")</f>
        <v/>
      </c>
      <c r="Z103" s="471" t="str">
        <f>IF(Z$65&gt;0,(INDEX(A_Aufgaben,(Z$65-Arbeitszeit!$A$6+1),(2*(ROW()-ROW(A_Endedatum))-1))),"")</f>
        <v/>
      </c>
      <c r="AA103" s="470" t="str">
        <f>IF(AA$65&gt;0,(INDEX(A_Aufgaben,(AA$65-Arbeitszeit!$A$6+1),(2*(ROW()-ROW(A_Endedatum))-1))),"")</f>
        <v/>
      </c>
      <c r="AB103" s="471" t="str">
        <f>IF(AB$65&gt;0,(INDEX(A_Aufgaben,(AB$65-Arbeitszeit!$A$6+1),(2*(ROW()-ROW(A_Endedatum))-1))),"")</f>
        <v/>
      </c>
      <c r="AC103" s="470" t="str">
        <f>IF(AC$65&gt;0,(INDEX(A_Aufgaben,(AC$65-Arbeitszeit!$A$6+1),(2*(ROW()-ROW(A_Endedatum))-1))),"")</f>
        <v/>
      </c>
      <c r="AD103" s="471" t="str">
        <f>IF(AD$65&gt;0,(INDEX(A_Aufgaben,(AD$65-Arbeitszeit!$A$6+1),(2*(ROW()-ROW(A_Endedatum))-1))),"")</f>
        <v/>
      </c>
      <c r="AE103" s="470" t="str">
        <f>IF(AE$65&gt;0,(INDEX(A_Aufgaben,(AE$65-Arbeitszeit!$A$6+1),(2*(ROW()-ROW(A_Endedatum))-1))),"")</f>
        <v/>
      </c>
      <c r="AF103" s="471" t="str">
        <f>IF(AF$65&gt;0,(INDEX(A_Aufgaben,(AF$65-Arbeitszeit!$A$6+1),(2*(ROW()-ROW(A_Endedatum))-1))),"")</f>
        <v/>
      </c>
      <c r="AG103" s="470" t="str">
        <f>IF(AG$65&gt;0,(INDEX(A_Aufgaben,(AG$65-Arbeitszeit!$A$6+1),(2*(ROW()-ROW(A_Endedatum))-1))),"")</f>
        <v/>
      </c>
      <c r="AH103" s="479">
        <f t="shared" si="16"/>
        <v>0</v>
      </c>
      <c r="AI103" s="3">
        <f t="shared" si="17"/>
        <v>0</v>
      </c>
      <c r="AJ103" s="494" t="e">
        <f t="shared" si="14"/>
        <v>#VALUE!</v>
      </c>
    </row>
    <row r="104" spans="1:36" hidden="1" outlineLevel="1">
      <c r="A104">
        <f t="shared" si="15"/>
        <v>0</v>
      </c>
      <c r="B104" s="469" t="str">
        <f t="shared" si="15"/>
        <v>Aufgabe 36</v>
      </c>
      <c r="C104" s="470" t="str">
        <f>IF(C$65&gt;0,(INDEX(A_Aufgaben,(C$65-Arbeitszeit!$A$6+1),(2*(ROW()-ROW(A_Endedatum))-1))),"")</f>
        <v/>
      </c>
      <c r="D104" s="471" t="str">
        <f>IF(D$65&gt;0,(INDEX(A_Aufgaben,(D$65-Arbeitszeit!$A$6+1),(2*(ROW()-ROW(A_Endedatum))-1))),"")</f>
        <v/>
      </c>
      <c r="E104" s="470" t="str">
        <f>IF(E$65&gt;0,(INDEX(A_Aufgaben,(E$65-Arbeitszeit!$A$6+1),(2*(ROW()-ROW(A_Endedatum))-1))),"")</f>
        <v/>
      </c>
      <c r="F104" s="471" t="str">
        <f>IF(F$65&gt;0,(INDEX(A_Aufgaben,(F$65-Arbeitszeit!$A$6+1),(2*(ROW()-ROW(A_Endedatum))-1))),"")</f>
        <v/>
      </c>
      <c r="G104" s="470" t="str">
        <f>IF(G$65&gt;0,(INDEX(A_Aufgaben,(G$65-Arbeitszeit!$A$6+1),(2*(ROW()-ROW(A_Endedatum))-1))),"")</f>
        <v/>
      </c>
      <c r="H104" s="471" t="str">
        <f>IF(H$65&gt;0,(INDEX(A_Aufgaben,(H$65-Arbeitszeit!$A$6+1),(2*(ROW()-ROW(A_Endedatum))-1))),"")</f>
        <v/>
      </c>
      <c r="I104" s="470" t="str">
        <f>IF(I$65&gt;0,(INDEX(A_Aufgaben,(I$65-Arbeitszeit!$A$6+1),(2*(ROW()-ROW(A_Endedatum))-1))),"")</f>
        <v/>
      </c>
      <c r="J104" s="471" t="str">
        <f>IF(J$65&gt;0,(INDEX(A_Aufgaben,(J$65-Arbeitszeit!$A$6+1),(2*(ROW()-ROW(A_Endedatum))-1))),"")</f>
        <v/>
      </c>
      <c r="K104" s="470" t="str">
        <f>IF(K$65&gt;0,(INDEX(A_Aufgaben,(K$65-Arbeitszeit!$A$6+1),(2*(ROW()-ROW(A_Endedatum))-1))),"")</f>
        <v/>
      </c>
      <c r="L104" s="471" t="str">
        <f>IF(L$65&gt;0,(INDEX(A_Aufgaben,(L$65-Arbeitszeit!$A$6+1),(2*(ROW()-ROW(A_Endedatum))-1))),"")</f>
        <v/>
      </c>
      <c r="M104" s="470" t="str">
        <f>IF(M$65&gt;0,(INDEX(A_Aufgaben,(M$65-Arbeitszeit!$A$6+1),(2*(ROW()-ROW(A_Endedatum))-1))),"")</f>
        <v/>
      </c>
      <c r="N104" s="471" t="str">
        <f>IF(N$65&gt;0,(INDEX(A_Aufgaben,(N$65-Arbeitszeit!$A$6+1),(2*(ROW()-ROW(A_Endedatum))-1))),"")</f>
        <v/>
      </c>
      <c r="O104" s="470" t="str">
        <f>IF(O$65&gt;0,(INDEX(A_Aufgaben,(O$65-Arbeitszeit!$A$6+1),(2*(ROW()-ROW(A_Endedatum))-1))),"")</f>
        <v/>
      </c>
      <c r="P104" s="471" t="str">
        <f>IF(P$65&gt;0,(INDEX(A_Aufgaben,(P$65-Arbeitszeit!$A$6+1),(2*(ROW()-ROW(A_Endedatum))-1))),"")</f>
        <v/>
      </c>
      <c r="Q104" s="470" t="str">
        <f>IF(Q$65&gt;0,(INDEX(A_Aufgaben,(Q$65-Arbeitszeit!$A$6+1),(2*(ROW()-ROW(A_Endedatum))-1))),"")</f>
        <v/>
      </c>
      <c r="R104" s="471" t="str">
        <f>IF(R$65&gt;0,(INDEX(A_Aufgaben,(R$65-Arbeitszeit!$A$6+1),(2*(ROW()-ROW(A_Endedatum))-1))),"")</f>
        <v/>
      </c>
      <c r="S104" s="470" t="str">
        <f>IF(S$65&gt;0,(INDEX(A_Aufgaben,(S$65-Arbeitszeit!$A$6+1),(2*(ROW()-ROW(A_Endedatum))-1))),"")</f>
        <v/>
      </c>
      <c r="T104" s="471" t="str">
        <f>IF(T$65&gt;0,(INDEX(A_Aufgaben,(T$65-Arbeitszeit!$A$6+1),(2*(ROW()-ROW(A_Endedatum))-1))),"")</f>
        <v/>
      </c>
      <c r="U104" s="470" t="str">
        <f>IF(U$65&gt;0,(INDEX(A_Aufgaben,(U$65-Arbeitszeit!$A$6+1),(2*(ROW()-ROW(A_Endedatum))-1))),"")</f>
        <v/>
      </c>
      <c r="V104" s="471" t="str">
        <f>IF(V$65&gt;0,(INDEX(A_Aufgaben,(V$65-Arbeitszeit!$A$6+1),(2*(ROW()-ROW(A_Endedatum))-1))),"")</f>
        <v/>
      </c>
      <c r="W104" s="470" t="str">
        <f>IF(W$65&gt;0,(INDEX(A_Aufgaben,(W$65-Arbeitszeit!$A$6+1),(2*(ROW()-ROW(A_Endedatum))-1))),"")</f>
        <v/>
      </c>
      <c r="X104" s="471" t="str">
        <f>IF(X$65&gt;0,(INDEX(A_Aufgaben,(X$65-Arbeitszeit!$A$6+1),(2*(ROW()-ROW(A_Endedatum))-1))),"")</f>
        <v/>
      </c>
      <c r="Y104" s="470" t="str">
        <f>IF(Y$65&gt;0,(INDEX(A_Aufgaben,(Y$65-Arbeitszeit!$A$6+1),(2*(ROW()-ROW(A_Endedatum))-1))),"")</f>
        <v/>
      </c>
      <c r="Z104" s="471" t="str">
        <f>IF(Z$65&gt;0,(INDEX(A_Aufgaben,(Z$65-Arbeitszeit!$A$6+1),(2*(ROW()-ROW(A_Endedatum))-1))),"")</f>
        <v/>
      </c>
      <c r="AA104" s="470" t="str">
        <f>IF(AA$65&gt;0,(INDEX(A_Aufgaben,(AA$65-Arbeitszeit!$A$6+1),(2*(ROW()-ROW(A_Endedatum))-1))),"")</f>
        <v/>
      </c>
      <c r="AB104" s="471" t="str">
        <f>IF(AB$65&gt;0,(INDEX(A_Aufgaben,(AB$65-Arbeitszeit!$A$6+1),(2*(ROW()-ROW(A_Endedatum))-1))),"")</f>
        <v/>
      </c>
      <c r="AC104" s="470" t="str">
        <f>IF(AC$65&gt;0,(INDEX(A_Aufgaben,(AC$65-Arbeitszeit!$A$6+1),(2*(ROW()-ROW(A_Endedatum))-1))),"")</f>
        <v/>
      </c>
      <c r="AD104" s="471" t="str">
        <f>IF(AD$65&gt;0,(INDEX(A_Aufgaben,(AD$65-Arbeitszeit!$A$6+1),(2*(ROW()-ROW(A_Endedatum))-1))),"")</f>
        <v/>
      </c>
      <c r="AE104" s="470" t="str">
        <f>IF(AE$65&gt;0,(INDEX(A_Aufgaben,(AE$65-Arbeitszeit!$A$6+1),(2*(ROW()-ROW(A_Endedatum))-1))),"")</f>
        <v/>
      </c>
      <c r="AF104" s="471" t="str">
        <f>IF(AF$65&gt;0,(INDEX(A_Aufgaben,(AF$65-Arbeitszeit!$A$6+1),(2*(ROW()-ROW(A_Endedatum))-1))),"")</f>
        <v/>
      </c>
      <c r="AG104" s="470" t="str">
        <f>IF(AG$65&gt;0,(INDEX(A_Aufgaben,(AG$65-Arbeitszeit!$A$6+1),(2*(ROW()-ROW(A_Endedatum))-1))),"")</f>
        <v/>
      </c>
      <c r="AH104" s="479">
        <f t="shared" si="16"/>
        <v>0</v>
      </c>
      <c r="AI104" s="3">
        <f t="shared" si="17"/>
        <v>0</v>
      </c>
      <c r="AJ104" s="494" t="e">
        <f t="shared" si="14"/>
        <v>#VALUE!</v>
      </c>
    </row>
    <row r="105" spans="1:36" hidden="1" outlineLevel="1">
      <c r="A105">
        <f t="shared" si="15"/>
        <v>0</v>
      </c>
      <c r="B105" s="469" t="str">
        <f t="shared" si="15"/>
        <v>Aufgabe 37</v>
      </c>
      <c r="C105" s="470" t="str">
        <f>IF(C$65&gt;0,(INDEX(A_Aufgaben,(C$65-Arbeitszeit!$A$6+1),(2*(ROW()-ROW(A_Endedatum))-1))),"")</f>
        <v/>
      </c>
      <c r="D105" s="471" t="str">
        <f>IF(D$65&gt;0,(INDEX(A_Aufgaben,(D$65-Arbeitszeit!$A$6+1),(2*(ROW()-ROW(A_Endedatum))-1))),"")</f>
        <v/>
      </c>
      <c r="E105" s="470" t="str">
        <f>IF(E$65&gt;0,(INDEX(A_Aufgaben,(E$65-Arbeitszeit!$A$6+1),(2*(ROW()-ROW(A_Endedatum))-1))),"")</f>
        <v/>
      </c>
      <c r="F105" s="471" t="str">
        <f>IF(F$65&gt;0,(INDEX(A_Aufgaben,(F$65-Arbeitszeit!$A$6+1),(2*(ROW()-ROW(A_Endedatum))-1))),"")</f>
        <v/>
      </c>
      <c r="G105" s="470" t="str">
        <f>IF(G$65&gt;0,(INDEX(A_Aufgaben,(G$65-Arbeitszeit!$A$6+1),(2*(ROW()-ROW(A_Endedatum))-1))),"")</f>
        <v/>
      </c>
      <c r="H105" s="471" t="str">
        <f>IF(H$65&gt;0,(INDEX(A_Aufgaben,(H$65-Arbeitszeit!$A$6+1),(2*(ROW()-ROW(A_Endedatum))-1))),"")</f>
        <v/>
      </c>
      <c r="I105" s="470" t="str">
        <f>IF(I$65&gt;0,(INDEX(A_Aufgaben,(I$65-Arbeitszeit!$A$6+1),(2*(ROW()-ROW(A_Endedatum))-1))),"")</f>
        <v/>
      </c>
      <c r="J105" s="471" t="str">
        <f>IF(J$65&gt;0,(INDEX(A_Aufgaben,(J$65-Arbeitszeit!$A$6+1),(2*(ROW()-ROW(A_Endedatum))-1))),"")</f>
        <v/>
      </c>
      <c r="K105" s="470" t="str">
        <f>IF(K$65&gt;0,(INDEX(A_Aufgaben,(K$65-Arbeitszeit!$A$6+1),(2*(ROW()-ROW(A_Endedatum))-1))),"")</f>
        <v/>
      </c>
      <c r="L105" s="471" t="str">
        <f>IF(L$65&gt;0,(INDEX(A_Aufgaben,(L$65-Arbeitszeit!$A$6+1),(2*(ROW()-ROW(A_Endedatum))-1))),"")</f>
        <v/>
      </c>
      <c r="M105" s="470" t="str">
        <f>IF(M$65&gt;0,(INDEX(A_Aufgaben,(M$65-Arbeitszeit!$A$6+1),(2*(ROW()-ROW(A_Endedatum))-1))),"")</f>
        <v/>
      </c>
      <c r="N105" s="471" t="str">
        <f>IF(N$65&gt;0,(INDEX(A_Aufgaben,(N$65-Arbeitszeit!$A$6+1),(2*(ROW()-ROW(A_Endedatum))-1))),"")</f>
        <v/>
      </c>
      <c r="O105" s="470" t="str">
        <f>IF(O$65&gt;0,(INDEX(A_Aufgaben,(O$65-Arbeitszeit!$A$6+1),(2*(ROW()-ROW(A_Endedatum))-1))),"")</f>
        <v/>
      </c>
      <c r="P105" s="471" t="str">
        <f>IF(P$65&gt;0,(INDEX(A_Aufgaben,(P$65-Arbeitszeit!$A$6+1),(2*(ROW()-ROW(A_Endedatum))-1))),"")</f>
        <v/>
      </c>
      <c r="Q105" s="470" t="str">
        <f>IF(Q$65&gt;0,(INDEX(A_Aufgaben,(Q$65-Arbeitszeit!$A$6+1),(2*(ROW()-ROW(A_Endedatum))-1))),"")</f>
        <v/>
      </c>
      <c r="R105" s="471" t="str">
        <f>IF(R$65&gt;0,(INDEX(A_Aufgaben,(R$65-Arbeitszeit!$A$6+1),(2*(ROW()-ROW(A_Endedatum))-1))),"")</f>
        <v/>
      </c>
      <c r="S105" s="470" t="str">
        <f>IF(S$65&gt;0,(INDEX(A_Aufgaben,(S$65-Arbeitszeit!$A$6+1),(2*(ROW()-ROW(A_Endedatum))-1))),"")</f>
        <v/>
      </c>
      <c r="T105" s="471" t="str">
        <f>IF(T$65&gt;0,(INDEX(A_Aufgaben,(T$65-Arbeitszeit!$A$6+1),(2*(ROW()-ROW(A_Endedatum))-1))),"")</f>
        <v/>
      </c>
      <c r="U105" s="470" t="str">
        <f>IF(U$65&gt;0,(INDEX(A_Aufgaben,(U$65-Arbeitszeit!$A$6+1),(2*(ROW()-ROW(A_Endedatum))-1))),"")</f>
        <v/>
      </c>
      <c r="V105" s="471" t="str">
        <f>IF(V$65&gt;0,(INDEX(A_Aufgaben,(V$65-Arbeitszeit!$A$6+1),(2*(ROW()-ROW(A_Endedatum))-1))),"")</f>
        <v/>
      </c>
      <c r="W105" s="470" t="str">
        <f>IF(W$65&gt;0,(INDEX(A_Aufgaben,(W$65-Arbeitszeit!$A$6+1),(2*(ROW()-ROW(A_Endedatum))-1))),"")</f>
        <v/>
      </c>
      <c r="X105" s="471" t="str">
        <f>IF(X$65&gt;0,(INDEX(A_Aufgaben,(X$65-Arbeitszeit!$A$6+1),(2*(ROW()-ROW(A_Endedatum))-1))),"")</f>
        <v/>
      </c>
      <c r="Y105" s="470" t="str">
        <f>IF(Y$65&gt;0,(INDEX(A_Aufgaben,(Y$65-Arbeitszeit!$A$6+1),(2*(ROW()-ROW(A_Endedatum))-1))),"")</f>
        <v/>
      </c>
      <c r="Z105" s="471" t="str">
        <f>IF(Z$65&gt;0,(INDEX(A_Aufgaben,(Z$65-Arbeitszeit!$A$6+1),(2*(ROW()-ROW(A_Endedatum))-1))),"")</f>
        <v/>
      </c>
      <c r="AA105" s="470" t="str">
        <f>IF(AA$65&gt;0,(INDEX(A_Aufgaben,(AA$65-Arbeitszeit!$A$6+1),(2*(ROW()-ROW(A_Endedatum))-1))),"")</f>
        <v/>
      </c>
      <c r="AB105" s="471" t="str">
        <f>IF(AB$65&gt;0,(INDEX(A_Aufgaben,(AB$65-Arbeitszeit!$A$6+1),(2*(ROW()-ROW(A_Endedatum))-1))),"")</f>
        <v/>
      </c>
      <c r="AC105" s="470" t="str">
        <f>IF(AC$65&gt;0,(INDEX(A_Aufgaben,(AC$65-Arbeitszeit!$A$6+1),(2*(ROW()-ROW(A_Endedatum))-1))),"")</f>
        <v/>
      </c>
      <c r="AD105" s="471" t="str">
        <f>IF(AD$65&gt;0,(INDEX(A_Aufgaben,(AD$65-Arbeitszeit!$A$6+1),(2*(ROW()-ROW(A_Endedatum))-1))),"")</f>
        <v/>
      </c>
      <c r="AE105" s="470" t="str">
        <f>IF(AE$65&gt;0,(INDEX(A_Aufgaben,(AE$65-Arbeitszeit!$A$6+1),(2*(ROW()-ROW(A_Endedatum))-1))),"")</f>
        <v/>
      </c>
      <c r="AF105" s="471" t="str">
        <f>IF(AF$65&gt;0,(INDEX(A_Aufgaben,(AF$65-Arbeitszeit!$A$6+1),(2*(ROW()-ROW(A_Endedatum))-1))),"")</f>
        <v/>
      </c>
      <c r="AG105" s="470" t="str">
        <f>IF(AG$65&gt;0,(INDEX(A_Aufgaben,(AG$65-Arbeitszeit!$A$6+1),(2*(ROW()-ROW(A_Endedatum))-1))),"")</f>
        <v/>
      </c>
      <c r="AH105" s="479">
        <f t="shared" si="16"/>
        <v>0</v>
      </c>
      <c r="AI105" s="3">
        <f t="shared" si="17"/>
        <v>0</v>
      </c>
      <c r="AJ105" s="494" t="e">
        <f t="shared" si="14"/>
        <v>#VALUE!</v>
      </c>
    </row>
    <row r="106" spans="1:36" hidden="1" outlineLevel="1">
      <c r="A106">
        <f t="shared" ref="A106:B112" si="18">A46</f>
        <v>0</v>
      </c>
      <c r="B106" s="469" t="str">
        <f t="shared" si="18"/>
        <v>Aufgabe 38</v>
      </c>
      <c r="C106" s="470" t="str">
        <f>IF(C$65&gt;0,(INDEX(A_Aufgaben,(C$65-Arbeitszeit!$A$6+1),(2*(ROW()-ROW(A_Endedatum))-1))),"")</f>
        <v/>
      </c>
      <c r="D106" s="471" t="str">
        <f>IF(D$65&gt;0,(INDEX(A_Aufgaben,(D$65-Arbeitszeit!$A$6+1),(2*(ROW()-ROW(A_Endedatum))-1))),"")</f>
        <v/>
      </c>
      <c r="E106" s="470" t="str">
        <f>IF(E$65&gt;0,(INDEX(A_Aufgaben,(E$65-Arbeitszeit!$A$6+1),(2*(ROW()-ROW(A_Endedatum))-1))),"")</f>
        <v/>
      </c>
      <c r="F106" s="471" t="str">
        <f>IF(F$65&gt;0,(INDEX(A_Aufgaben,(F$65-Arbeitszeit!$A$6+1),(2*(ROW()-ROW(A_Endedatum))-1))),"")</f>
        <v/>
      </c>
      <c r="G106" s="470" t="str">
        <f>IF(G$65&gt;0,(INDEX(A_Aufgaben,(G$65-Arbeitszeit!$A$6+1),(2*(ROW()-ROW(A_Endedatum))-1))),"")</f>
        <v/>
      </c>
      <c r="H106" s="471" t="str">
        <f>IF(H$65&gt;0,(INDEX(A_Aufgaben,(H$65-Arbeitszeit!$A$6+1),(2*(ROW()-ROW(A_Endedatum))-1))),"")</f>
        <v/>
      </c>
      <c r="I106" s="470" t="str">
        <f>IF(I$65&gt;0,(INDEX(A_Aufgaben,(I$65-Arbeitszeit!$A$6+1),(2*(ROW()-ROW(A_Endedatum))-1))),"")</f>
        <v/>
      </c>
      <c r="J106" s="471" t="str">
        <f>IF(J$65&gt;0,(INDEX(A_Aufgaben,(J$65-Arbeitszeit!$A$6+1),(2*(ROW()-ROW(A_Endedatum))-1))),"")</f>
        <v/>
      </c>
      <c r="K106" s="470" t="str">
        <f>IF(K$65&gt;0,(INDEX(A_Aufgaben,(K$65-Arbeitszeit!$A$6+1),(2*(ROW()-ROW(A_Endedatum))-1))),"")</f>
        <v/>
      </c>
      <c r="L106" s="471" t="str">
        <f>IF(L$65&gt;0,(INDEX(A_Aufgaben,(L$65-Arbeitszeit!$A$6+1),(2*(ROW()-ROW(A_Endedatum))-1))),"")</f>
        <v/>
      </c>
      <c r="M106" s="470" t="str">
        <f>IF(M$65&gt;0,(INDEX(A_Aufgaben,(M$65-Arbeitszeit!$A$6+1),(2*(ROW()-ROW(A_Endedatum))-1))),"")</f>
        <v/>
      </c>
      <c r="N106" s="471" t="str">
        <f>IF(N$65&gt;0,(INDEX(A_Aufgaben,(N$65-Arbeitszeit!$A$6+1),(2*(ROW()-ROW(A_Endedatum))-1))),"")</f>
        <v/>
      </c>
      <c r="O106" s="470" t="str">
        <f>IF(O$65&gt;0,(INDEX(A_Aufgaben,(O$65-Arbeitszeit!$A$6+1),(2*(ROW()-ROW(A_Endedatum))-1))),"")</f>
        <v/>
      </c>
      <c r="P106" s="471" t="str">
        <f>IF(P$65&gt;0,(INDEX(A_Aufgaben,(P$65-Arbeitszeit!$A$6+1),(2*(ROW()-ROW(A_Endedatum))-1))),"")</f>
        <v/>
      </c>
      <c r="Q106" s="470" t="str">
        <f>IF(Q$65&gt;0,(INDEX(A_Aufgaben,(Q$65-Arbeitszeit!$A$6+1),(2*(ROW()-ROW(A_Endedatum))-1))),"")</f>
        <v/>
      </c>
      <c r="R106" s="471" t="str">
        <f>IF(R$65&gt;0,(INDEX(A_Aufgaben,(R$65-Arbeitszeit!$A$6+1),(2*(ROW()-ROW(A_Endedatum))-1))),"")</f>
        <v/>
      </c>
      <c r="S106" s="470" t="str">
        <f>IF(S$65&gt;0,(INDEX(A_Aufgaben,(S$65-Arbeitszeit!$A$6+1),(2*(ROW()-ROW(A_Endedatum))-1))),"")</f>
        <v/>
      </c>
      <c r="T106" s="471" t="str">
        <f>IF(T$65&gt;0,(INDEX(A_Aufgaben,(T$65-Arbeitszeit!$A$6+1),(2*(ROW()-ROW(A_Endedatum))-1))),"")</f>
        <v/>
      </c>
      <c r="U106" s="470" t="str">
        <f>IF(U$65&gt;0,(INDEX(A_Aufgaben,(U$65-Arbeitszeit!$A$6+1),(2*(ROW()-ROW(A_Endedatum))-1))),"")</f>
        <v/>
      </c>
      <c r="V106" s="471" t="str">
        <f>IF(V$65&gt;0,(INDEX(A_Aufgaben,(V$65-Arbeitszeit!$A$6+1),(2*(ROW()-ROW(A_Endedatum))-1))),"")</f>
        <v/>
      </c>
      <c r="W106" s="470" t="str">
        <f>IF(W$65&gt;0,(INDEX(A_Aufgaben,(W$65-Arbeitszeit!$A$6+1),(2*(ROW()-ROW(A_Endedatum))-1))),"")</f>
        <v/>
      </c>
      <c r="X106" s="471" t="str">
        <f>IF(X$65&gt;0,(INDEX(A_Aufgaben,(X$65-Arbeitszeit!$A$6+1),(2*(ROW()-ROW(A_Endedatum))-1))),"")</f>
        <v/>
      </c>
      <c r="Y106" s="470" t="str">
        <f>IF(Y$65&gt;0,(INDEX(A_Aufgaben,(Y$65-Arbeitszeit!$A$6+1),(2*(ROW()-ROW(A_Endedatum))-1))),"")</f>
        <v/>
      </c>
      <c r="Z106" s="471" t="str">
        <f>IF(Z$65&gt;0,(INDEX(A_Aufgaben,(Z$65-Arbeitszeit!$A$6+1),(2*(ROW()-ROW(A_Endedatum))-1))),"")</f>
        <v/>
      </c>
      <c r="AA106" s="470" t="str">
        <f>IF(AA$65&gt;0,(INDEX(A_Aufgaben,(AA$65-Arbeitszeit!$A$6+1),(2*(ROW()-ROW(A_Endedatum))-1))),"")</f>
        <v/>
      </c>
      <c r="AB106" s="471" t="str">
        <f>IF(AB$65&gt;0,(INDEX(A_Aufgaben,(AB$65-Arbeitszeit!$A$6+1),(2*(ROW()-ROW(A_Endedatum))-1))),"")</f>
        <v/>
      </c>
      <c r="AC106" s="470" t="str">
        <f>IF(AC$65&gt;0,(INDEX(A_Aufgaben,(AC$65-Arbeitszeit!$A$6+1),(2*(ROW()-ROW(A_Endedatum))-1))),"")</f>
        <v/>
      </c>
      <c r="AD106" s="471" t="str">
        <f>IF(AD$65&gt;0,(INDEX(A_Aufgaben,(AD$65-Arbeitszeit!$A$6+1),(2*(ROW()-ROW(A_Endedatum))-1))),"")</f>
        <v/>
      </c>
      <c r="AE106" s="470" t="str">
        <f>IF(AE$65&gt;0,(INDEX(A_Aufgaben,(AE$65-Arbeitszeit!$A$6+1),(2*(ROW()-ROW(A_Endedatum))-1))),"")</f>
        <v/>
      </c>
      <c r="AF106" s="471" t="str">
        <f>IF(AF$65&gt;0,(INDEX(A_Aufgaben,(AF$65-Arbeitszeit!$A$6+1),(2*(ROW()-ROW(A_Endedatum))-1))),"")</f>
        <v/>
      </c>
      <c r="AG106" s="470" t="str">
        <f>IF(AG$65&gt;0,(INDEX(A_Aufgaben,(AG$65-Arbeitszeit!$A$6+1),(2*(ROW()-ROW(A_Endedatum))-1))),"")</f>
        <v/>
      </c>
      <c r="AH106" s="479">
        <f t="shared" si="16"/>
        <v>0</v>
      </c>
      <c r="AI106" s="3">
        <f t="shared" si="17"/>
        <v>0</v>
      </c>
      <c r="AJ106" s="494" t="e">
        <f t="shared" si="14"/>
        <v>#VALUE!</v>
      </c>
    </row>
    <row r="107" spans="1:36" hidden="1" outlineLevel="1">
      <c r="A107">
        <f t="shared" si="18"/>
        <v>0</v>
      </c>
      <c r="B107" s="469" t="str">
        <f t="shared" si="18"/>
        <v>Aufgabe 39</v>
      </c>
      <c r="C107" s="470" t="str">
        <f>IF(C$65&gt;0,(INDEX(A_Aufgaben,(C$65-Arbeitszeit!$A$6+1),(2*(ROW()-ROW(A_Endedatum))-1))),"")</f>
        <v/>
      </c>
      <c r="D107" s="471" t="str">
        <f>IF(D$65&gt;0,(INDEX(A_Aufgaben,(D$65-Arbeitszeit!$A$6+1),(2*(ROW()-ROW(A_Endedatum))-1))),"")</f>
        <v/>
      </c>
      <c r="E107" s="470" t="str">
        <f>IF(E$65&gt;0,(INDEX(A_Aufgaben,(E$65-Arbeitszeit!$A$6+1),(2*(ROW()-ROW(A_Endedatum))-1))),"")</f>
        <v/>
      </c>
      <c r="F107" s="471" t="str">
        <f>IF(F$65&gt;0,(INDEX(A_Aufgaben,(F$65-Arbeitszeit!$A$6+1),(2*(ROW()-ROW(A_Endedatum))-1))),"")</f>
        <v/>
      </c>
      <c r="G107" s="470" t="str">
        <f>IF(G$65&gt;0,(INDEX(A_Aufgaben,(G$65-Arbeitszeit!$A$6+1),(2*(ROW()-ROW(A_Endedatum))-1))),"")</f>
        <v/>
      </c>
      <c r="H107" s="471" t="str">
        <f>IF(H$65&gt;0,(INDEX(A_Aufgaben,(H$65-Arbeitszeit!$A$6+1),(2*(ROW()-ROW(A_Endedatum))-1))),"")</f>
        <v/>
      </c>
      <c r="I107" s="470" t="str">
        <f>IF(I$65&gt;0,(INDEX(A_Aufgaben,(I$65-Arbeitszeit!$A$6+1),(2*(ROW()-ROW(A_Endedatum))-1))),"")</f>
        <v/>
      </c>
      <c r="J107" s="471" t="str">
        <f>IF(J$65&gt;0,(INDEX(A_Aufgaben,(J$65-Arbeitszeit!$A$6+1),(2*(ROW()-ROW(A_Endedatum))-1))),"")</f>
        <v/>
      </c>
      <c r="K107" s="470" t="str">
        <f>IF(K$65&gt;0,(INDEX(A_Aufgaben,(K$65-Arbeitszeit!$A$6+1),(2*(ROW()-ROW(A_Endedatum))-1))),"")</f>
        <v/>
      </c>
      <c r="L107" s="471" t="str">
        <f>IF(L$65&gt;0,(INDEX(A_Aufgaben,(L$65-Arbeitszeit!$A$6+1),(2*(ROW()-ROW(A_Endedatum))-1))),"")</f>
        <v/>
      </c>
      <c r="M107" s="470" t="str">
        <f>IF(M$65&gt;0,(INDEX(A_Aufgaben,(M$65-Arbeitszeit!$A$6+1),(2*(ROW()-ROW(A_Endedatum))-1))),"")</f>
        <v/>
      </c>
      <c r="N107" s="471" t="str">
        <f>IF(N$65&gt;0,(INDEX(A_Aufgaben,(N$65-Arbeitszeit!$A$6+1),(2*(ROW()-ROW(A_Endedatum))-1))),"")</f>
        <v/>
      </c>
      <c r="O107" s="470" t="str">
        <f>IF(O$65&gt;0,(INDEX(A_Aufgaben,(O$65-Arbeitszeit!$A$6+1),(2*(ROW()-ROW(A_Endedatum))-1))),"")</f>
        <v/>
      </c>
      <c r="P107" s="471" t="str">
        <f>IF(P$65&gt;0,(INDEX(A_Aufgaben,(P$65-Arbeitszeit!$A$6+1),(2*(ROW()-ROW(A_Endedatum))-1))),"")</f>
        <v/>
      </c>
      <c r="Q107" s="470" t="str">
        <f>IF(Q$65&gt;0,(INDEX(A_Aufgaben,(Q$65-Arbeitszeit!$A$6+1),(2*(ROW()-ROW(A_Endedatum))-1))),"")</f>
        <v/>
      </c>
      <c r="R107" s="471" t="str">
        <f>IF(R$65&gt;0,(INDEX(A_Aufgaben,(R$65-Arbeitszeit!$A$6+1),(2*(ROW()-ROW(A_Endedatum))-1))),"")</f>
        <v/>
      </c>
      <c r="S107" s="470" t="str">
        <f>IF(S$65&gt;0,(INDEX(A_Aufgaben,(S$65-Arbeitszeit!$A$6+1),(2*(ROW()-ROW(A_Endedatum))-1))),"")</f>
        <v/>
      </c>
      <c r="T107" s="471" t="str">
        <f>IF(T$65&gt;0,(INDEX(A_Aufgaben,(T$65-Arbeitszeit!$A$6+1),(2*(ROW()-ROW(A_Endedatum))-1))),"")</f>
        <v/>
      </c>
      <c r="U107" s="470" t="str">
        <f>IF(U$65&gt;0,(INDEX(A_Aufgaben,(U$65-Arbeitszeit!$A$6+1),(2*(ROW()-ROW(A_Endedatum))-1))),"")</f>
        <v/>
      </c>
      <c r="V107" s="471" t="str">
        <f>IF(V$65&gt;0,(INDEX(A_Aufgaben,(V$65-Arbeitszeit!$A$6+1),(2*(ROW()-ROW(A_Endedatum))-1))),"")</f>
        <v/>
      </c>
      <c r="W107" s="470" t="str">
        <f>IF(W$65&gt;0,(INDEX(A_Aufgaben,(W$65-Arbeitszeit!$A$6+1),(2*(ROW()-ROW(A_Endedatum))-1))),"")</f>
        <v/>
      </c>
      <c r="X107" s="471" t="str">
        <f>IF(X$65&gt;0,(INDEX(A_Aufgaben,(X$65-Arbeitszeit!$A$6+1),(2*(ROW()-ROW(A_Endedatum))-1))),"")</f>
        <v/>
      </c>
      <c r="Y107" s="470" t="str">
        <f>IF(Y$65&gt;0,(INDEX(A_Aufgaben,(Y$65-Arbeitszeit!$A$6+1),(2*(ROW()-ROW(A_Endedatum))-1))),"")</f>
        <v/>
      </c>
      <c r="Z107" s="471" t="str">
        <f>IF(Z$65&gt;0,(INDEX(A_Aufgaben,(Z$65-Arbeitszeit!$A$6+1),(2*(ROW()-ROW(A_Endedatum))-1))),"")</f>
        <v/>
      </c>
      <c r="AA107" s="470" t="str">
        <f>IF(AA$65&gt;0,(INDEX(A_Aufgaben,(AA$65-Arbeitszeit!$A$6+1),(2*(ROW()-ROW(A_Endedatum))-1))),"")</f>
        <v/>
      </c>
      <c r="AB107" s="471" t="str">
        <f>IF(AB$65&gt;0,(INDEX(A_Aufgaben,(AB$65-Arbeitszeit!$A$6+1),(2*(ROW()-ROW(A_Endedatum))-1))),"")</f>
        <v/>
      </c>
      <c r="AC107" s="470" t="str">
        <f>IF(AC$65&gt;0,(INDEX(A_Aufgaben,(AC$65-Arbeitszeit!$A$6+1),(2*(ROW()-ROW(A_Endedatum))-1))),"")</f>
        <v/>
      </c>
      <c r="AD107" s="471" t="str">
        <f>IF(AD$65&gt;0,(INDEX(A_Aufgaben,(AD$65-Arbeitszeit!$A$6+1),(2*(ROW()-ROW(A_Endedatum))-1))),"")</f>
        <v/>
      </c>
      <c r="AE107" s="470" t="str">
        <f>IF(AE$65&gt;0,(INDEX(A_Aufgaben,(AE$65-Arbeitszeit!$A$6+1),(2*(ROW()-ROW(A_Endedatum))-1))),"")</f>
        <v/>
      </c>
      <c r="AF107" s="471" t="str">
        <f>IF(AF$65&gt;0,(INDEX(A_Aufgaben,(AF$65-Arbeitszeit!$A$6+1),(2*(ROW()-ROW(A_Endedatum))-1))),"")</f>
        <v/>
      </c>
      <c r="AG107" s="470" t="str">
        <f>IF(AG$65&gt;0,(INDEX(A_Aufgaben,(AG$65-Arbeitszeit!$A$6+1),(2*(ROW()-ROW(A_Endedatum))-1))),"")</f>
        <v/>
      </c>
      <c r="AH107" s="479">
        <f t="shared" si="16"/>
        <v>0</v>
      </c>
      <c r="AI107" s="3">
        <f t="shared" si="17"/>
        <v>0</v>
      </c>
      <c r="AJ107" s="494" t="e">
        <f t="shared" si="14"/>
        <v>#VALUE!</v>
      </c>
    </row>
    <row r="108" spans="1:36" hidden="1" outlineLevel="1">
      <c r="A108">
        <f t="shared" si="18"/>
        <v>0</v>
      </c>
      <c r="B108" s="469" t="str">
        <f t="shared" si="18"/>
        <v>Aufgabe 40</v>
      </c>
      <c r="C108" s="470" t="str">
        <f>IF(C$65&gt;0,(INDEX(A_Aufgaben,(C$65-Arbeitszeit!$A$6+1),(2*(ROW()-ROW(A_Endedatum))-1))),"")</f>
        <v/>
      </c>
      <c r="D108" s="471" t="str">
        <f>IF(D$65&gt;0,(INDEX(A_Aufgaben,(D$65-Arbeitszeit!$A$6+1),(2*(ROW()-ROW(A_Endedatum))-1))),"")</f>
        <v/>
      </c>
      <c r="E108" s="470" t="str">
        <f>IF(E$65&gt;0,(INDEX(A_Aufgaben,(E$65-Arbeitszeit!$A$6+1),(2*(ROW()-ROW(A_Endedatum))-1))),"")</f>
        <v/>
      </c>
      <c r="F108" s="471" t="str">
        <f>IF(F$65&gt;0,(INDEX(A_Aufgaben,(F$65-Arbeitszeit!$A$6+1),(2*(ROW()-ROW(A_Endedatum))-1))),"")</f>
        <v/>
      </c>
      <c r="G108" s="470" t="str">
        <f>IF(G$65&gt;0,(INDEX(A_Aufgaben,(G$65-Arbeitszeit!$A$6+1),(2*(ROW()-ROW(A_Endedatum))-1))),"")</f>
        <v/>
      </c>
      <c r="H108" s="471" t="str">
        <f>IF(H$65&gt;0,(INDEX(A_Aufgaben,(H$65-Arbeitszeit!$A$6+1),(2*(ROW()-ROW(A_Endedatum))-1))),"")</f>
        <v/>
      </c>
      <c r="I108" s="470" t="str">
        <f>IF(I$65&gt;0,(INDEX(A_Aufgaben,(I$65-Arbeitszeit!$A$6+1),(2*(ROW()-ROW(A_Endedatum))-1))),"")</f>
        <v/>
      </c>
      <c r="J108" s="471" t="str">
        <f>IF(J$65&gt;0,(INDEX(A_Aufgaben,(J$65-Arbeitszeit!$A$6+1),(2*(ROW()-ROW(A_Endedatum))-1))),"")</f>
        <v/>
      </c>
      <c r="K108" s="470" t="str">
        <f>IF(K$65&gt;0,(INDEX(A_Aufgaben,(K$65-Arbeitszeit!$A$6+1),(2*(ROW()-ROW(A_Endedatum))-1))),"")</f>
        <v/>
      </c>
      <c r="L108" s="471" t="str">
        <f>IF(L$65&gt;0,(INDEX(A_Aufgaben,(L$65-Arbeitszeit!$A$6+1),(2*(ROW()-ROW(A_Endedatum))-1))),"")</f>
        <v/>
      </c>
      <c r="M108" s="470" t="str">
        <f>IF(M$65&gt;0,(INDEX(A_Aufgaben,(M$65-Arbeitszeit!$A$6+1),(2*(ROW()-ROW(A_Endedatum))-1))),"")</f>
        <v/>
      </c>
      <c r="N108" s="471" t="str">
        <f>IF(N$65&gt;0,(INDEX(A_Aufgaben,(N$65-Arbeitszeit!$A$6+1),(2*(ROW()-ROW(A_Endedatum))-1))),"")</f>
        <v/>
      </c>
      <c r="O108" s="470" t="str">
        <f>IF(O$65&gt;0,(INDEX(A_Aufgaben,(O$65-Arbeitszeit!$A$6+1),(2*(ROW()-ROW(A_Endedatum))-1))),"")</f>
        <v/>
      </c>
      <c r="P108" s="471" t="str">
        <f>IF(P$65&gt;0,(INDEX(A_Aufgaben,(P$65-Arbeitszeit!$A$6+1),(2*(ROW()-ROW(A_Endedatum))-1))),"")</f>
        <v/>
      </c>
      <c r="Q108" s="470" t="str">
        <f>IF(Q$65&gt;0,(INDEX(A_Aufgaben,(Q$65-Arbeitszeit!$A$6+1),(2*(ROW()-ROW(A_Endedatum))-1))),"")</f>
        <v/>
      </c>
      <c r="R108" s="471" t="str">
        <f>IF(R$65&gt;0,(INDEX(A_Aufgaben,(R$65-Arbeitszeit!$A$6+1),(2*(ROW()-ROW(A_Endedatum))-1))),"")</f>
        <v/>
      </c>
      <c r="S108" s="470" t="str">
        <f>IF(S$65&gt;0,(INDEX(A_Aufgaben,(S$65-Arbeitszeit!$A$6+1),(2*(ROW()-ROW(A_Endedatum))-1))),"")</f>
        <v/>
      </c>
      <c r="T108" s="471" t="str">
        <f>IF(T$65&gt;0,(INDEX(A_Aufgaben,(T$65-Arbeitszeit!$A$6+1),(2*(ROW()-ROW(A_Endedatum))-1))),"")</f>
        <v/>
      </c>
      <c r="U108" s="470" t="str">
        <f>IF(U$65&gt;0,(INDEX(A_Aufgaben,(U$65-Arbeitszeit!$A$6+1),(2*(ROW()-ROW(A_Endedatum))-1))),"")</f>
        <v/>
      </c>
      <c r="V108" s="471" t="str">
        <f>IF(V$65&gt;0,(INDEX(A_Aufgaben,(V$65-Arbeitszeit!$A$6+1),(2*(ROW()-ROW(A_Endedatum))-1))),"")</f>
        <v/>
      </c>
      <c r="W108" s="470" t="str">
        <f>IF(W$65&gt;0,(INDEX(A_Aufgaben,(W$65-Arbeitszeit!$A$6+1),(2*(ROW()-ROW(A_Endedatum))-1))),"")</f>
        <v/>
      </c>
      <c r="X108" s="471" t="str">
        <f>IF(X$65&gt;0,(INDEX(A_Aufgaben,(X$65-Arbeitszeit!$A$6+1),(2*(ROW()-ROW(A_Endedatum))-1))),"")</f>
        <v/>
      </c>
      <c r="Y108" s="470" t="str">
        <f>IF(Y$65&gt;0,(INDEX(A_Aufgaben,(Y$65-Arbeitszeit!$A$6+1),(2*(ROW()-ROW(A_Endedatum))-1))),"")</f>
        <v/>
      </c>
      <c r="Z108" s="471" t="str">
        <f>IF(Z$65&gt;0,(INDEX(A_Aufgaben,(Z$65-Arbeitszeit!$A$6+1),(2*(ROW()-ROW(A_Endedatum))-1))),"")</f>
        <v/>
      </c>
      <c r="AA108" s="470" t="str">
        <f>IF(AA$65&gt;0,(INDEX(A_Aufgaben,(AA$65-Arbeitszeit!$A$6+1),(2*(ROW()-ROW(A_Endedatum))-1))),"")</f>
        <v/>
      </c>
      <c r="AB108" s="471" t="str">
        <f>IF(AB$65&gt;0,(INDEX(A_Aufgaben,(AB$65-Arbeitszeit!$A$6+1),(2*(ROW()-ROW(A_Endedatum))-1))),"")</f>
        <v/>
      </c>
      <c r="AC108" s="470" t="str">
        <f>IF(AC$65&gt;0,(INDEX(A_Aufgaben,(AC$65-Arbeitszeit!$A$6+1),(2*(ROW()-ROW(A_Endedatum))-1))),"")</f>
        <v/>
      </c>
      <c r="AD108" s="471" t="str">
        <f>IF(AD$65&gt;0,(INDEX(A_Aufgaben,(AD$65-Arbeitszeit!$A$6+1),(2*(ROW()-ROW(A_Endedatum))-1))),"")</f>
        <v/>
      </c>
      <c r="AE108" s="470" t="str">
        <f>IF(AE$65&gt;0,(INDEX(A_Aufgaben,(AE$65-Arbeitszeit!$A$6+1),(2*(ROW()-ROW(A_Endedatum))-1))),"")</f>
        <v/>
      </c>
      <c r="AF108" s="471" t="str">
        <f>IF(AF$65&gt;0,(INDEX(A_Aufgaben,(AF$65-Arbeitszeit!$A$6+1),(2*(ROW()-ROW(A_Endedatum))-1))),"")</f>
        <v/>
      </c>
      <c r="AG108" s="470" t="str">
        <f>IF(AG$65&gt;0,(INDEX(A_Aufgaben,(AG$65-Arbeitszeit!$A$6+1),(2*(ROW()-ROW(A_Endedatum))-1))),"")</f>
        <v/>
      </c>
      <c r="AH108" s="479">
        <f t="shared" si="16"/>
        <v>0</v>
      </c>
      <c r="AI108" s="3">
        <f t="shared" si="17"/>
        <v>0</v>
      </c>
      <c r="AJ108" s="494" t="e">
        <f t="shared" si="14"/>
        <v>#VALUE!</v>
      </c>
    </row>
    <row r="109" spans="1:36" hidden="1" outlineLevel="1">
      <c r="A109">
        <f t="shared" si="18"/>
        <v>0</v>
      </c>
      <c r="B109" s="469" t="str">
        <f t="shared" si="18"/>
        <v>Aufgabe 41</v>
      </c>
      <c r="C109" s="470" t="str">
        <f>IF(C$65&gt;0,(INDEX(A_Aufgaben,(C$65-Arbeitszeit!$A$6+1),(2*(ROW()-ROW(A_Endedatum))-1))),"")</f>
        <v/>
      </c>
      <c r="D109" s="471" t="str">
        <f>IF(D$65&gt;0,(INDEX(A_Aufgaben,(D$65-Arbeitszeit!$A$6+1),(2*(ROW()-ROW(A_Endedatum))-1))),"")</f>
        <v/>
      </c>
      <c r="E109" s="470" t="str">
        <f>IF(E$65&gt;0,(INDEX(A_Aufgaben,(E$65-Arbeitszeit!$A$6+1),(2*(ROW()-ROW(A_Endedatum))-1))),"")</f>
        <v/>
      </c>
      <c r="F109" s="471" t="str">
        <f>IF(F$65&gt;0,(INDEX(A_Aufgaben,(F$65-Arbeitszeit!$A$6+1),(2*(ROW()-ROW(A_Endedatum))-1))),"")</f>
        <v/>
      </c>
      <c r="G109" s="470" t="str">
        <f>IF(G$65&gt;0,(INDEX(A_Aufgaben,(G$65-Arbeitszeit!$A$6+1),(2*(ROW()-ROW(A_Endedatum))-1))),"")</f>
        <v/>
      </c>
      <c r="H109" s="471" t="str">
        <f>IF(H$65&gt;0,(INDEX(A_Aufgaben,(H$65-Arbeitszeit!$A$6+1),(2*(ROW()-ROW(A_Endedatum))-1))),"")</f>
        <v/>
      </c>
      <c r="I109" s="470" t="str">
        <f>IF(I$65&gt;0,(INDEX(A_Aufgaben,(I$65-Arbeitszeit!$A$6+1),(2*(ROW()-ROW(A_Endedatum))-1))),"")</f>
        <v/>
      </c>
      <c r="J109" s="471" t="str">
        <f>IF(J$65&gt;0,(INDEX(A_Aufgaben,(J$65-Arbeitszeit!$A$6+1),(2*(ROW()-ROW(A_Endedatum))-1))),"")</f>
        <v/>
      </c>
      <c r="K109" s="470" t="str">
        <f>IF(K$65&gt;0,(INDEX(A_Aufgaben,(K$65-Arbeitszeit!$A$6+1),(2*(ROW()-ROW(A_Endedatum))-1))),"")</f>
        <v/>
      </c>
      <c r="L109" s="471" t="str">
        <f>IF(L$65&gt;0,(INDEX(A_Aufgaben,(L$65-Arbeitszeit!$A$6+1),(2*(ROW()-ROW(A_Endedatum))-1))),"")</f>
        <v/>
      </c>
      <c r="M109" s="470" t="str">
        <f>IF(M$65&gt;0,(INDEX(A_Aufgaben,(M$65-Arbeitszeit!$A$6+1),(2*(ROW()-ROW(A_Endedatum))-1))),"")</f>
        <v/>
      </c>
      <c r="N109" s="471" t="str">
        <f>IF(N$65&gt;0,(INDEX(A_Aufgaben,(N$65-Arbeitszeit!$A$6+1),(2*(ROW()-ROW(A_Endedatum))-1))),"")</f>
        <v/>
      </c>
      <c r="O109" s="470" t="str">
        <f>IF(O$65&gt;0,(INDEX(A_Aufgaben,(O$65-Arbeitszeit!$A$6+1),(2*(ROW()-ROW(A_Endedatum))-1))),"")</f>
        <v/>
      </c>
      <c r="P109" s="471" t="str">
        <f>IF(P$65&gt;0,(INDEX(A_Aufgaben,(P$65-Arbeitszeit!$A$6+1),(2*(ROW()-ROW(A_Endedatum))-1))),"")</f>
        <v/>
      </c>
      <c r="Q109" s="470" t="str">
        <f>IF(Q$65&gt;0,(INDEX(A_Aufgaben,(Q$65-Arbeitszeit!$A$6+1),(2*(ROW()-ROW(A_Endedatum))-1))),"")</f>
        <v/>
      </c>
      <c r="R109" s="471" t="str">
        <f>IF(R$65&gt;0,(INDEX(A_Aufgaben,(R$65-Arbeitszeit!$A$6+1),(2*(ROW()-ROW(A_Endedatum))-1))),"")</f>
        <v/>
      </c>
      <c r="S109" s="470" t="str">
        <f>IF(S$65&gt;0,(INDEX(A_Aufgaben,(S$65-Arbeitszeit!$A$6+1),(2*(ROW()-ROW(A_Endedatum))-1))),"")</f>
        <v/>
      </c>
      <c r="T109" s="471" t="str">
        <f>IF(T$65&gt;0,(INDEX(A_Aufgaben,(T$65-Arbeitszeit!$A$6+1),(2*(ROW()-ROW(A_Endedatum))-1))),"")</f>
        <v/>
      </c>
      <c r="U109" s="470" t="str">
        <f>IF(U$65&gt;0,(INDEX(A_Aufgaben,(U$65-Arbeitszeit!$A$6+1),(2*(ROW()-ROW(A_Endedatum))-1))),"")</f>
        <v/>
      </c>
      <c r="V109" s="471" t="str">
        <f>IF(V$65&gt;0,(INDEX(A_Aufgaben,(V$65-Arbeitszeit!$A$6+1),(2*(ROW()-ROW(A_Endedatum))-1))),"")</f>
        <v/>
      </c>
      <c r="W109" s="470" t="str">
        <f>IF(W$65&gt;0,(INDEX(A_Aufgaben,(W$65-Arbeitszeit!$A$6+1),(2*(ROW()-ROW(A_Endedatum))-1))),"")</f>
        <v/>
      </c>
      <c r="X109" s="471" t="str">
        <f>IF(X$65&gt;0,(INDEX(A_Aufgaben,(X$65-Arbeitszeit!$A$6+1),(2*(ROW()-ROW(A_Endedatum))-1))),"")</f>
        <v/>
      </c>
      <c r="Y109" s="470" t="str">
        <f>IF(Y$65&gt;0,(INDEX(A_Aufgaben,(Y$65-Arbeitszeit!$A$6+1),(2*(ROW()-ROW(A_Endedatum))-1))),"")</f>
        <v/>
      </c>
      <c r="Z109" s="471" t="str">
        <f>IF(Z$65&gt;0,(INDEX(A_Aufgaben,(Z$65-Arbeitszeit!$A$6+1),(2*(ROW()-ROW(A_Endedatum))-1))),"")</f>
        <v/>
      </c>
      <c r="AA109" s="470" t="str">
        <f>IF(AA$65&gt;0,(INDEX(A_Aufgaben,(AA$65-Arbeitszeit!$A$6+1),(2*(ROW()-ROW(A_Endedatum))-1))),"")</f>
        <v/>
      </c>
      <c r="AB109" s="471" t="str">
        <f>IF(AB$65&gt;0,(INDEX(A_Aufgaben,(AB$65-Arbeitszeit!$A$6+1),(2*(ROW()-ROW(A_Endedatum))-1))),"")</f>
        <v/>
      </c>
      <c r="AC109" s="470" t="str">
        <f>IF(AC$65&gt;0,(INDEX(A_Aufgaben,(AC$65-Arbeitszeit!$A$6+1),(2*(ROW()-ROW(A_Endedatum))-1))),"")</f>
        <v/>
      </c>
      <c r="AD109" s="471" t="str">
        <f>IF(AD$65&gt;0,(INDEX(A_Aufgaben,(AD$65-Arbeitszeit!$A$6+1),(2*(ROW()-ROW(A_Endedatum))-1))),"")</f>
        <v/>
      </c>
      <c r="AE109" s="470" t="str">
        <f>IF(AE$65&gt;0,(INDEX(A_Aufgaben,(AE$65-Arbeitszeit!$A$6+1),(2*(ROW()-ROW(A_Endedatum))-1))),"")</f>
        <v/>
      </c>
      <c r="AF109" s="471" t="str">
        <f>IF(AF$65&gt;0,(INDEX(A_Aufgaben,(AF$65-Arbeitszeit!$A$6+1),(2*(ROW()-ROW(A_Endedatum))-1))),"")</f>
        <v/>
      </c>
      <c r="AG109" s="470" t="str">
        <f>IF(AG$65&gt;0,(INDEX(A_Aufgaben,(AG$65-Arbeitszeit!$A$6+1),(2*(ROW()-ROW(A_Endedatum))-1))),"")</f>
        <v/>
      </c>
      <c r="AH109" s="479">
        <f t="shared" si="16"/>
        <v>0</v>
      </c>
      <c r="AI109" s="3">
        <f t="shared" si="17"/>
        <v>0</v>
      </c>
      <c r="AJ109" s="494" t="e">
        <f t="shared" si="14"/>
        <v>#VALUE!</v>
      </c>
    </row>
    <row r="110" spans="1:36" hidden="1" outlineLevel="1">
      <c r="A110">
        <f t="shared" si="18"/>
        <v>0</v>
      </c>
      <c r="B110" s="469" t="str">
        <f t="shared" si="18"/>
        <v>Aufgabe 42</v>
      </c>
      <c r="C110" s="470" t="str">
        <f>IF(C$65&gt;0,(INDEX(A_Aufgaben,(C$65-Arbeitszeit!$A$6+1),(2*(ROW()-ROW(A_Endedatum))-1))),"")</f>
        <v/>
      </c>
      <c r="D110" s="471" t="str">
        <f>IF(D$65&gt;0,(INDEX(A_Aufgaben,(D$65-Arbeitszeit!$A$6+1),(2*(ROW()-ROW(A_Endedatum))-1))),"")</f>
        <v/>
      </c>
      <c r="E110" s="470" t="str">
        <f>IF(E$65&gt;0,(INDEX(A_Aufgaben,(E$65-Arbeitszeit!$A$6+1),(2*(ROW()-ROW(A_Endedatum))-1))),"")</f>
        <v/>
      </c>
      <c r="F110" s="471" t="str">
        <f>IF(F$65&gt;0,(INDEX(A_Aufgaben,(F$65-Arbeitszeit!$A$6+1),(2*(ROW()-ROW(A_Endedatum))-1))),"")</f>
        <v/>
      </c>
      <c r="G110" s="470" t="str">
        <f>IF(G$65&gt;0,(INDEX(A_Aufgaben,(G$65-Arbeitszeit!$A$6+1),(2*(ROW()-ROW(A_Endedatum))-1))),"")</f>
        <v/>
      </c>
      <c r="H110" s="471" t="str">
        <f>IF(H$65&gt;0,(INDEX(A_Aufgaben,(H$65-Arbeitszeit!$A$6+1),(2*(ROW()-ROW(A_Endedatum))-1))),"")</f>
        <v/>
      </c>
      <c r="I110" s="470" t="str">
        <f>IF(I$65&gt;0,(INDEX(A_Aufgaben,(I$65-Arbeitszeit!$A$6+1),(2*(ROW()-ROW(A_Endedatum))-1))),"")</f>
        <v/>
      </c>
      <c r="J110" s="471" t="str">
        <f>IF(J$65&gt;0,(INDEX(A_Aufgaben,(J$65-Arbeitszeit!$A$6+1),(2*(ROW()-ROW(A_Endedatum))-1))),"")</f>
        <v/>
      </c>
      <c r="K110" s="470" t="str">
        <f>IF(K$65&gt;0,(INDEX(A_Aufgaben,(K$65-Arbeitszeit!$A$6+1),(2*(ROW()-ROW(A_Endedatum))-1))),"")</f>
        <v/>
      </c>
      <c r="L110" s="471" t="str">
        <f>IF(L$65&gt;0,(INDEX(A_Aufgaben,(L$65-Arbeitszeit!$A$6+1),(2*(ROW()-ROW(A_Endedatum))-1))),"")</f>
        <v/>
      </c>
      <c r="M110" s="470" t="str">
        <f>IF(M$65&gt;0,(INDEX(A_Aufgaben,(M$65-Arbeitszeit!$A$6+1),(2*(ROW()-ROW(A_Endedatum))-1))),"")</f>
        <v/>
      </c>
      <c r="N110" s="471" t="str">
        <f>IF(N$65&gt;0,(INDEX(A_Aufgaben,(N$65-Arbeitszeit!$A$6+1),(2*(ROW()-ROW(A_Endedatum))-1))),"")</f>
        <v/>
      </c>
      <c r="O110" s="470" t="str">
        <f>IF(O$65&gt;0,(INDEX(A_Aufgaben,(O$65-Arbeitszeit!$A$6+1),(2*(ROW()-ROW(A_Endedatum))-1))),"")</f>
        <v/>
      </c>
      <c r="P110" s="471" t="str">
        <f>IF(P$65&gt;0,(INDEX(A_Aufgaben,(P$65-Arbeitszeit!$A$6+1),(2*(ROW()-ROW(A_Endedatum))-1))),"")</f>
        <v/>
      </c>
      <c r="Q110" s="470" t="str">
        <f>IF(Q$65&gt;0,(INDEX(A_Aufgaben,(Q$65-Arbeitszeit!$A$6+1),(2*(ROW()-ROW(A_Endedatum))-1))),"")</f>
        <v/>
      </c>
      <c r="R110" s="471" t="str">
        <f>IF(R$65&gt;0,(INDEX(A_Aufgaben,(R$65-Arbeitszeit!$A$6+1),(2*(ROW()-ROW(A_Endedatum))-1))),"")</f>
        <v/>
      </c>
      <c r="S110" s="470" t="str">
        <f>IF(S$65&gt;0,(INDEX(A_Aufgaben,(S$65-Arbeitszeit!$A$6+1),(2*(ROW()-ROW(A_Endedatum))-1))),"")</f>
        <v/>
      </c>
      <c r="T110" s="471" t="str">
        <f>IF(T$65&gt;0,(INDEX(A_Aufgaben,(T$65-Arbeitszeit!$A$6+1),(2*(ROW()-ROW(A_Endedatum))-1))),"")</f>
        <v/>
      </c>
      <c r="U110" s="470" t="str">
        <f>IF(U$65&gt;0,(INDEX(A_Aufgaben,(U$65-Arbeitszeit!$A$6+1),(2*(ROW()-ROW(A_Endedatum))-1))),"")</f>
        <v/>
      </c>
      <c r="V110" s="471" t="str">
        <f>IF(V$65&gt;0,(INDEX(A_Aufgaben,(V$65-Arbeitszeit!$A$6+1),(2*(ROW()-ROW(A_Endedatum))-1))),"")</f>
        <v/>
      </c>
      <c r="W110" s="470" t="str">
        <f>IF(W$65&gt;0,(INDEX(A_Aufgaben,(W$65-Arbeitszeit!$A$6+1),(2*(ROW()-ROW(A_Endedatum))-1))),"")</f>
        <v/>
      </c>
      <c r="X110" s="471" t="str">
        <f>IF(X$65&gt;0,(INDEX(A_Aufgaben,(X$65-Arbeitszeit!$A$6+1),(2*(ROW()-ROW(A_Endedatum))-1))),"")</f>
        <v/>
      </c>
      <c r="Y110" s="470" t="str">
        <f>IF(Y$65&gt;0,(INDEX(A_Aufgaben,(Y$65-Arbeitszeit!$A$6+1),(2*(ROW()-ROW(A_Endedatum))-1))),"")</f>
        <v/>
      </c>
      <c r="Z110" s="471" t="str">
        <f>IF(Z$65&gt;0,(INDEX(A_Aufgaben,(Z$65-Arbeitszeit!$A$6+1),(2*(ROW()-ROW(A_Endedatum))-1))),"")</f>
        <v/>
      </c>
      <c r="AA110" s="470" t="str">
        <f>IF(AA$65&gt;0,(INDEX(A_Aufgaben,(AA$65-Arbeitszeit!$A$6+1),(2*(ROW()-ROW(A_Endedatum))-1))),"")</f>
        <v/>
      </c>
      <c r="AB110" s="471" t="str">
        <f>IF(AB$65&gt;0,(INDEX(A_Aufgaben,(AB$65-Arbeitszeit!$A$6+1),(2*(ROW()-ROW(A_Endedatum))-1))),"")</f>
        <v/>
      </c>
      <c r="AC110" s="470" t="str">
        <f>IF(AC$65&gt;0,(INDEX(A_Aufgaben,(AC$65-Arbeitszeit!$A$6+1),(2*(ROW()-ROW(A_Endedatum))-1))),"")</f>
        <v/>
      </c>
      <c r="AD110" s="471" t="str">
        <f>IF(AD$65&gt;0,(INDEX(A_Aufgaben,(AD$65-Arbeitszeit!$A$6+1),(2*(ROW()-ROW(A_Endedatum))-1))),"")</f>
        <v/>
      </c>
      <c r="AE110" s="470" t="str">
        <f>IF(AE$65&gt;0,(INDEX(A_Aufgaben,(AE$65-Arbeitszeit!$A$6+1),(2*(ROW()-ROW(A_Endedatum))-1))),"")</f>
        <v/>
      </c>
      <c r="AF110" s="471" t="str">
        <f>IF(AF$65&gt;0,(INDEX(A_Aufgaben,(AF$65-Arbeitszeit!$A$6+1),(2*(ROW()-ROW(A_Endedatum))-1))),"")</f>
        <v/>
      </c>
      <c r="AG110" s="470" t="str">
        <f>IF(AG$65&gt;0,(INDEX(A_Aufgaben,(AG$65-Arbeitszeit!$A$6+1),(2*(ROW()-ROW(A_Endedatum))-1))),"")</f>
        <v/>
      </c>
      <c r="AH110" s="479">
        <f t="shared" si="16"/>
        <v>0</v>
      </c>
      <c r="AI110" s="3">
        <f t="shared" si="17"/>
        <v>0</v>
      </c>
      <c r="AJ110" s="494" t="e">
        <f t="shared" si="14"/>
        <v>#VALUE!</v>
      </c>
    </row>
    <row r="111" spans="1:36" hidden="1" outlineLevel="1">
      <c r="A111">
        <f t="shared" si="18"/>
        <v>0</v>
      </c>
      <c r="B111" s="469" t="str">
        <f t="shared" si="18"/>
        <v>Aufgabe 43</v>
      </c>
      <c r="C111" s="470" t="str">
        <f>IF(C$65&gt;0,(INDEX(A_Aufgaben,(C$65-Arbeitszeit!$A$6+1),(2*(ROW()-ROW(A_Endedatum))-1))),"")</f>
        <v/>
      </c>
      <c r="D111" s="471" t="str">
        <f>IF(D$65&gt;0,(INDEX(A_Aufgaben,(D$65-Arbeitszeit!$A$6+1),(2*(ROW()-ROW(A_Endedatum))-1))),"")</f>
        <v/>
      </c>
      <c r="E111" s="470" t="str">
        <f>IF(E$65&gt;0,(INDEX(A_Aufgaben,(E$65-Arbeitszeit!$A$6+1),(2*(ROW()-ROW(A_Endedatum))-1))),"")</f>
        <v/>
      </c>
      <c r="F111" s="471" t="str">
        <f>IF(F$65&gt;0,(INDEX(A_Aufgaben,(F$65-Arbeitszeit!$A$6+1),(2*(ROW()-ROW(A_Endedatum))-1))),"")</f>
        <v/>
      </c>
      <c r="G111" s="470" t="str">
        <f>IF(G$65&gt;0,(INDEX(A_Aufgaben,(G$65-Arbeitszeit!$A$6+1),(2*(ROW()-ROW(A_Endedatum))-1))),"")</f>
        <v/>
      </c>
      <c r="H111" s="471" t="str">
        <f>IF(H$65&gt;0,(INDEX(A_Aufgaben,(H$65-Arbeitszeit!$A$6+1),(2*(ROW()-ROW(A_Endedatum))-1))),"")</f>
        <v/>
      </c>
      <c r="I111" s="470" t="str">
        <f>IF(I$65&gt;0,(INDEX(A_Aufgaben,(I$65-Arbeitszeit!$A$6+1),(2*(ROW()-ROW(A_Endedatum))-1))),"")</f>
        <v/>
      </c>
      <c r="J111" s="471" t="str">
        <f>IF(J$65&gt;0,(INDEX(A_Aufgaben,(J$65-Arbeitszeit!$A$6+1),(2*(ROW()-ROW(A_Endedatum))-1))),"")</f>
        <v/>
      </c>
      <c r="K111" s="470" t="str">
        <f>IF(K$65&gt;0,(INDEX(A_Aufgaben,(K$65-Arbeitszeit!$A$6+1),(2*(ROW()-ROW(A_Endedatum))-1))),"")</f>
        <v/>
      </c>
      <c r="L111" s="471" t="str">
        <f>IF(L$65&gt;0,(INDEX(A_Aufgaben,(L$65-Arbeitszeit!$A$6+1),(2*(ROW()-ROW(A_Endedatum))-1))),"")</f>
        <v/>
      </c>
      <c r="M111" s="470" t="str">
        <f>IF(M$65&gt;0,(INDEX(A_Aufgaben,(M$65-Arbeitszeit!$A$6+1),(2*(ROW()-ROW(A_Endedatum))-1))),"")</f>
        <v/>
      </c>
      <c r="N111" s="471" t="str">
        <f>IF(N$65&gt;0,(INDEX(A_Aufgaben,(N$65-Arbeitszeit!$A$6+1),(2*(ROW()-ROW(A_Endedatum))-1))),"")</f>
        <v/>
      </c>
      <c r="O111" s="470" t="str">
        <f>IF(O$65&gt;0,(INDEX(A_Aufgaben,(O$65-Arbeitszeit!$A$6+1),(2*(ROW()-ROW(A_Endedatum))-1))),"")</f>
        <v/>
      </c>
      <c r="P111" s="471" t="str">
        <f>IF(P$65&gt;0,(INDEX(A_Aufgaben,(P$65-Arbeitszeit!$A$6+1),(2*(ROW()-ROW(A_Endedatum))-1))),"")</f>
        <v/>
      </c>
      <c r="Q111" s="470" t="str">
        <f>IF(Q$65&gt;0,(INDEX(A_Aufgaben,(Q$65-Arbeitszeit!$A$6+1),(2*(ROW()-ROW(A_Endedatum))-1))),"")</f>
        <v/>
      </c>
      <c r="R111" s="471" t="str">
        <f>IF(R$65&gt;0,(INDEX(A_Aufgaben,(R$65-Arbeitszeit!$A$6+1),(2*(ROW()-ROW(A_Endedatum))-1))),"")</f>
        <v/>
      </c>
      <c r="S111" s="470" t="str">
        <f>IF(S$65&gt;0,(INDEX(A_Aufgaben,(S$65-Arbeitszeit!$A$6+1),(2*(ROW()-ROW(A_Endedatum))-1))),"")</f>
        <v/>
      </c>
      <c r="T111" s="471" t="str">
        <f>IF(T$65&gt;0,(INDEX(A_Aufgaben,(T$65-Arbeitszeit!$A$6+1),(2*(ROW()-ROW(A_Endedatum))-1))),"")</f>
        <v/>
      </c>
      <c r="U111" s="470" t="str">
        <f>IF(U$65&gt;0,(INDEX(A_Aufgaben,(U$65-Arbeitszeit!$A$6+1),(2*(ROW()-ROW(A_Endedatum))-1))),"")</f>
        <v/>
      </c>
      <c r="V111" s="471" t="str">
        <f>IF(V$65&gt;0,(INDEX(A_Aufgaben,(V$65-Arbeitszeit!$A$6+1),(2*(ROW()-ROW(A_Endedatum))-1))),"")</f>
        <v/>
      </c>
      <c r="W111" s="470" t="str">
        <f>IF(W$65&gt;0,(INDEX(A_Aufgaben,(W$65-Arbeitszeit!$A$6+1),(2*(ROW()-ROW(A_Endedatum))-1))),"")</f>
        <v/>
      </c>
      <c r="X111" s="471" t="str">
        <f>IF(X$65&gt;0,(INDEX(A_Aufgaben,(X$65-Arbeitszeit!$A$6+1),(2*(ROW()-ROW(A_Endedatum))-1))),"")</f>
        <v/>
      </c>
      <c r="Y111" s="470" t="str">
        <f>IF(Y$65&gt;0,(INDEX(A_Aufgaben,(Y$65-Arbeitszeit!$A$6+1),(2*(ROW()-ROW(A_Endedatum))-1))),"")</f>
        <v/>
      </c>
      <c r="Z111" s="471" t="str">
        <f>IF(Z$65&gt;0,(INDEX(A_Aufgaben,(Z$65-Arbeitszeit!$A$6+1),(2*(ROW()-ROW(A_Endedatum))-1))),"")</f>
        <v/>
      </c>
      <c r="AA111" s="470" t="str">
        <f>IF(AA$65&gt;0,(INDEX(A_Aufgaben,(AA$65-Arbeitszeit!$A$6+1),(2*(ROW()-ROW(A_Endedatum))-1))),"")</f>
        <v/>
      </c>
      <c r="AB111" s="471" t="str">
        <f>IF(AB$65&gt;0,(INDEX(A_Aufgaben,(AB$65-Arbeitszeit!$A$6+1),(2*(ROW()-ROW(A_Endedatum))-1))),"")</f>
        <v/>
      </c>
      <c r="AC111" s="470" t="str">
        <f>IF(AC$65&gt;0,(INDEX(A_Aufgaben,(AC$65-Arbeitszeit!$A$6+1),(2*(ROW()-ROW(A_Endedatum))-1))),"")</f>
        <v/>
      </c>
      <c r="AD111" s="471" t="str">
        <f>IF(AD$65&gt;0,(INDEX(A_Aufgaben,(AD$65-Arbeitszeit!$A$6+1),(2*(ROW()-ROW(A_Endedatum))-1))),"")</f>
        <v/>
      </c>
      <c r="AE111" s="470" t="str">
        <f>IF(AE$65&gt;0,(INDEX(A_Aufgaben,(AE$65-Arbeitszeit!$A$6+1),(2*(ROW()-ROW(A_Endedatum))-1))),"")</f>
        <v/>
      </c>
      <c r="AF111" s="471" t="str">
        <f>IF(AF$65&gt;0,(INDEX(A_Aufgaben,(AF$65-Arbeitszeit!$A$6+1),(2*(ROW()-ROW(A_Endedatum))-1))),"")</f>
        <v/>
      </c>
      <c r="AG111" s="470" t="str">
        <f>IF(AG$65&gt;0,(INDEX(A_Aufgaben,(AG$65-Arbeitszeit!$A$6+1),(2*(ROW()-ROW(A_Endedatum))-1))),"")</f>
        <v/>
      </c>
      <c r="AH111" s="479">
        <f t="shared" si="16"/>
        <v>0</v>
      </c>
      <c r="AI111" s="3">
        <f t="shared" si="17"/>
        <v>0</v>
      </c>
      <c r="AJ111" s="494" t="e">
        <f t="shared" si="14"/>
        <v>#VALUE!</v>
      </c>
    </row>
    <row r="112" spans="1:36" hidden="1" outlineLevel="1">
      <c r="A112">
        <f t="shared" si="18"/>
        <v>0</v>
      </c>
      <c r="B112" s="469" t="str">
        <f t="shared" si="18"/>
        <v>Aufgabe 44</v>
      </c>
      <c r="C112" s="470" t="str">
        <f>IF(C$65&gt;0,(INDEX(A_Aufgaben,(C$65-Arbeitszeit!$A$6+1),(2*(ROW()-ROW(A_Endedatum))-1))),"")</f>
        <v/>
      </c>
      <c r="D112" s="471" t="str">
        <f>IF(D$65&gt;0,(INDEX(A_Aufgaben,(D$65-Arbeitszeit!$A$6+1),(2*(ROW()-ROW(A_Endedatum))-1))),"")</f>
        <v/>
      </c>
      <c r="E112" s="470" t="str">
        <f>IF(E$65&gt;0,(INDEX(A_Aufgaben,(E$65-Arbeitszeit!$A$6+1),(2*(ROW()-ROW(A_Endedatum))-1))),"")</f>
        <v/>
      </c>
      <c r="F112" s="471" t="str">
        <f>IF(F$65&gt;0,(INDEX(A_Aufgaben,(F$65-Arbeitszeit!$A$6+1),(2*(ROW()-ROW(A_Endedatum))-1))),"")</f>
        <v/>
      </c>
      <c r="G112" s="470" t="str">
        <f>IF(G$65&gt;0,(INDEX(A_Aufgaben,(G$65-Arbeitszeit!$A$6+1),(2*(ROW()-ROW(A_Endedatum))-1))),"")</f>
        <v/>
      </c>
      <c r="H112" s="471" t="str">
        <f>IF(H$65&gt;0,(INDEX(A_Aufgaben,(H$65-Arbeitszeit!$A$6+1),(2*(ROW()-ROW(A_Endedatum))-1))),"")</f>
        <v/>
      </c>
      <c r="I112" s="470" t="str">
        <f>IF(I$65&gt;0,(INDEX(A_Aufgaben,(I$65-Arbeitszeit!$A$6+1),(2*(ROW()-ROW(A_Endedatum))-1))),"")</f>
        <v/>
      </c>
      <c r="J112" s="471" t="str">
        <f>IF(J$65&gt;0,(INDEX(A_Aufgaben,(J$65-Arbeitszeit!$A$6+1),(2*(ROW()-ROW(A_Endedatum))-1))),"")</f>
        <v/>
      </c>
      <c r="K112" s="470" t="str">
        <f>IF(K$65&gt;0,(INDEX(A_Aufgaben,(K$65-Arbeitszeit!$A$6+1),(2*(ROW()-ROW(A_Endedatum))-1))),"")</f>
        <v/>
      </c>
      <c r="L112" s="471" t="str">
        <f>IF(L$65&gt;0,(INDEX(A_Aufgaben,(L$65-Arbeitszeit!$A$6+1),(2*(ROW()-ROW(A_Endedatum))-1))),"")</f>
        <v/>
      </c>
      <c r="M112" s="470" t="str">
        <f>IF(M$65&gt;0,(INDEX(A_Aufgaben,(M$65-Arbeitszeit!$A$6+1),(2*(ROW()-ROW(A_Endedatum))-1))),"")</f>
        <v/>
      </c>
      <c r="N112" s="471" t="str">
        <f>IF(N$65&gt;0,(INDEX(A_Aufgaben,(N$65-Arbeitszeit!$A$6+1),(2*(ROW()-ROW(A_Endedatum))-1))),"")</f>
        <v/>
      </c>
      <c r="O112" s="470" t="str">
        <f>IF(O$65&gt;0,(INDEX(A_Aufgaben,(O$65-Arbeitszeit!$A$6+1),(2*(ROW()-ROW(A_Endedatum))-1))),"")</f>
        <v/>
      </c>
      <c r="P112" s="471" t="str">
        <f>IF(P$65&gt;0,(INDEX(A_Aufgaben,(P$65-Arbeitszeit!$A$6+1),(2*(ROW()-ROW(A_Endedatum))-1))),"")</f>
        <v/>
      </c>
      <c r="Q112" s="470" t="str">
        <f>IF(Q$65&gt;0,(INDEX(A_Aufgaben,(Q$65-Arbeitszeit!$A$6+1),(2*(ROW()-ROW(A_Endedatum))-1))),"")</f>
        <v/>
      </c>
      <c r="R112" s="471" t="str">
        <f>IF(R$65&gt;0,(INDEX(A_Aufgaben,(R$65-Arbeitszeit!$A$6+1),(2*(ROW()-ROW(A_Endedatum))-1))),"")</f>
        <v/>
      </c>
      <c r="S112" s="470" t="str">
        <f>IF(S$65&gt;0,(INDEX(A_Aufgaben,(S$65-Arbeitszeit!$A$6+1),(2*(ROW()-ROW(A_Endedatum))-1))),"")</f>
        <v/>
      </c>
      <c r="T112" s="471" t="str">
        <f>IF(T$65&gt;0,(INDEX(A_Aufgaben,(T$65-Arbeitszeit!$A$6+1),(2*(ROW()-ROW(A_Endedatum))-1))),"")</f>
        <v/>
      </c>
      <c r="U112" s="470" t="str">
        <f>IF(U$65&gt;0,(INDEX(A_Aufgaben,(U$65-Arbeitszeit!$A$6+1),(2*(ROW()-ROW(A_Endedatum))-1))),"")</f>
        <v/>
      </c>
      <c r="V112" s="471" t="str">
        <f>IF(V$65&gt;0,(INDEX(A_Aufgaben,(V$65-Arbeitszeit!$A$6+1),(2*(ROW()-ROW(A_Endedatum))-1))),"")</f>
        <v/>
      </c>
      <c r="W112" s="470" t="str">
        <f>IF(W$65&gt;0,(INDEX(A_Aufgaben,(W$65-Arbeitszeit!$A$6+1),(2*(ROW()-ROW(A_Endedatum))-1))),"")</f>
        <v/>
      </c>
      <c r="X112" s="471" t="str">
        <f>IF(X$65&gt;0,(INDEX(A_Aufgaben,(X$65-Arbeitszeit!$A$6+1),(2*(ROW()-ROW(A_Endedatum))-1))),"")</f>
        <v/>
      </c>
      <c r="Y112" s="470" t="str">
        <f>IF(Y$65&gt;0,(INDEX(A_Aufgaben,(Y$65-Arbeitszeit!$A$6+1),(2*(ROW()-ROW(A_Endedatum))-1))),"")</f>
        <v/>
      </c>
      <c r="Z112" s="471" t="str">
        <f>IF(Z$65&gt;0,(INDEX(A_Aufgaben,(Z$65-Arbeitszeit!$A$6+1),(2*(ROW()-ROW(A_Endedatum))-1))),"")</f>
        <v/>
      </c>
      <c r="AA112" s="470" t="str">
        <f>IF(AA$65&gt;0,(INDEX(A_Aufgaben,(AA$65-Arbeitszeit!$A$6+1),(2*(ROW()-ROW(A_Endedatum))-1))),"")</f>
        <v/>
      </c>
      <c r="AB112" s="471" t="str">
        <f>IF(AB$65&gt;0,(INDEX(A_Aufgaben,(AB$65-Arbeitszeit!$A$6+1),(2*(ROW()-ROW(A_Endedatum))-1))),"")</f>
        <v/>
      </c>
      <c r="AC112" s="470" t="str">
        <f>IF(AC$65&gt;0,(INDEX(A_Aufgaben,(AC$65-Arbeitszeit!$A$6+1),(2*(ROW()-ROW(A_Endedatum))-1))),"")</f>
        <v/>
      </c>
      <c r="AD112" s="471" t="str">
        <f>IF(AD$65&gt;0,(INDEX(A_Aufgaben,(AD$65-Arbeitszeit!$A$6+1),(2*(ROW()-ROW(A_Endedatum))-1))),"")</f>
        <v/>
      </c>
      <c r="AE112" s="470" t="str">
        <f>IF(AE$65&gt;0,(INDEX(A_Aufgaben,(AE$65-Arbeitszeit!$A$6+1),(2*(ROW()-ROW(A_Endedatum))-1))),"")</f>
        <v/>
      </c>
      <c r="AF112" s="471" t="str">
        <f>IF(AF$65&gt;0,(INDEX(A_Aufgaben,(AF$65-Arbeitszeit!$A$6+1),(2*(ROW()-ROW(A_Endedatum))-1))),"")</f>
        <v/>
      </c>
      <c r="AG112" s="470" t="str">
        <f>IF(AG$65&gt;0,(INDEX(A_Aufgaben,(AG$65-Arbeitszeit!$A$6+1),(2*(ROW()-ROW(A_Endedatum))-1))),"")</f>
        <v/>
      </c>
      <c r="AH112" s="479">
        <f t="shared" si="16"/>
        <v>0</v>
      </c>
      <c r="AI112" s="3">
        <f t="shared" si="17"/>
        <v>0</v>
      </c>
      <c r="AJ112" s="494" t="e">
        <f t="shared" si="14"/>
        <v>#VALUE!</v>
      </c>
    </row>
    <row r="113" spans="1:36" hidden="1" outlineLevel="1">
      <c r="A113">
        <f t="shared" ref="A113:B113" si="19">A53</f>
        <v>0</v>
      </c>
      <c r="B113" s="469" t="str">
        <f t="shared" si="19"/>
        <v>Aufgabe 45</v>
      </c>
      <c r="C113" s="470" t="str">
        <f>IF(C$65&gt;0,(INDEX(A_Aufgaben,(C$65-Arbeitszeit!$A$6+1),(2*(ROW()-ROW(A_Endedatum))-1))),"")</f>
        <v/>
      </c>
      <c r="D113" s="471" t="str">
        <f>IF(D$65&gt;0,(INDEX(A_Aufgaben,(D$65-Arbeitszeit!$A$6+1),(2*(ROW()-ROW(A_Endedatum))-1))),"")</f>
        <v/>
      </c>
      <c r="E113" s="470" t="str">
        <f>IF(E$65&gt;0,(INDEX(A_Aufgaben,(E$65-Arbeitszeit!$A$6+1),(2*(ROW()-ROW(A_Endedatum))-1))),"")</f>
        <v/>
      </c>
      <c r="F113" s="471" t="str">
        <f>IF(F$65&gt;0,(INDEX(A_Aufgaben,(F$65-Arbeitszeit!$A$6+1),(2*(ROW()-ROW(A_Endedatum))-1))),"")</f>
        <v/>
      </c>
      <c r="G113" s="470" t="str">
        <f>IF(G$65&gt;0,(INDEX(A_Aufgaben,(G$65-Arbeitszeit!$A$6+1),(2*(ROW()-ROW(A_Endedatum))-1))),"")</f>
        <v/>
      </c>
      <c r="H113" s="471" t="str">
        <f>IF(H$65&gt;0,(INDEX(A_Aufgaben,(H$65-Arbeitszeit!$A$6+1),(2*(ROW()-ROW(A_Endedatum))-1))),"")</f>
        <v/>
      </c>
      <c r="I113" s="470" t="str">
        <f>IF(I$65&gt;0,(INDEX(A_Aufgaben,(I$65-Arbeitszeit!$A$6+1),(2*(ROW()-ROW(A_Endedatum))-1))),"")</f>
        <v/>
      </c>
      <c r="J113" s="471" t="str">
        <f>IF(J$65&gt;0,(INDEX(A_Aufgaben,(J$65-Arbeitszeit!$A$6+1),(2*(ROW()-ROW(A_Endedatum))-1))),"")</f>
        <v/>
      </c>
      <c r="K113" s="470" t="str">
        <f>IF(K$65&gt;0,(INDEX(A_Aufgaben,(K$65-Arbeitszeit!$A$6+1),(2*(ROW()-ROW(A_Endedatum))-1))),"")</f>
        <v/>
      </c>
      <c r="L113" s="471" t="str">
        <f>IF(L$65&gt;0,(INDEX(A_Aufgaben,(L$65-Arbeitszeit!$A$6+1),(2*(ROW()-ROW(A_Endedatum))-1))),"")</f>
        <v/>
      </c>
      <c r="M113" s="470" t="str">
        <f>IF(M$65&gt;0,(INDEX(A_Aufgaben,(M$65-Arbeitszeit!$A$6+1),(2*(ROW()-ROW(A_Endedatum))-1))),"")</f>
        <v/>
      </c>
      <c r="N113" s="471" t="str">
        <f>IF(N$65&gt;0,(INDEX(A_Aufgaben,(N$65-Arbeitszeit!$A$6+1),(2*(ROW()-ROW(A_Endedatum))-1))),"")</f>
        <v/>
      </c>
      <c r="O113" s="470" t="str">
        <f>IF(O$65&gt;0,(INDEX(A_Aufgaben,(O$65-Arbeitszeit!$A$6+1),(2*(ROW()-ROW(A_Endedatum))-1))),"")</f>
        <v/>
      </c>
      <c r="P113" s="471" t="str">
        <f>IF(P$65&gt;0,(INDEX(A_Aufgaben,(P$65-Arbeitszeit!$A$6+1),(2*(ROW()-ROW(A_Endedatum))-1))),"")</f>
        <v/>
      </c>
      <c r="Q113" s="470" t="str">
        <f>IF(Q$65&gt;0,(INDEX(A_Aufgaben,(Q$65-Arbeitszeit!$A$6+1),(2*(ROW()-ROW(A_Endedatum))-1))),"")</f>
        <v/>
      </c>
      <c r="R113" s="471" t="str">
        <f>IF(R$65&gt;0,(INDEX(A_Aufgaben,(R$65-Arbeitszeit!$A$6+1),(2*(ROW()-ROW(A_Endedatum))-1))),"")</f>
        <v/>
      </c>
      <c r="S113" s="470" t="str">
        <f>IF(S$65&gt;0,(INDEX(A_Aufgaben,(S$65-Arbeitszeit!$A$6+1),(2*(ROW()-ROW(A_Endedatum))-1))),"")</f>
        <v/>
      </c>
      <c r="T113" s="471" t="str">
        <f>IF(T$65&gt;0,(INDEX(A_Aufgaben,(T$65-Arbeitszeit!$A$6+1),(2*(ROW()-ROW(A_Endedatum))-1))),"")</f>
        <v/>
      </c>
      <c r="U113" s="470" t="str">
        <f>IF(U$65&gt;0,(INDEX(A_Aufgaben,(U$65-Arbeitszeit!$A$6+1),(2*(ROW()-ROW(A_Endedatum))-1))),"")</f>
        <v/>
      </c>
      <c r="V113" s="471" t="str">
        <f>IF(V$65&gt;0,(INDEX(A_Aufgaben,(V$65-Arbeitszeit!$A$6+1),(2*(ROW()-ROW(A_Endedatum))-1))),"")</f>
        <v/>
      </c>
      <c r="W113" s="470" t="str">
        <f>IF(W$65&gt;0,(INDEX(A_Aufgaben,(W$65-Arbeitszeit!$A$6+1),(2*(ROW()-ROW(A_Endedatum))-1))),"")</f>
        <v/>
      </c>
      <c r="X113" s="471" t="str">
        <f>IF(X$65&gt;0,(INDEX(A_Aufgaben,(X$65-Arbeitszeit!$A$6+1),(2*(ROW()-ROW(A_Endedatum))-1))),"")</f>
        <v/>
      </c>
      <c r="Y113" s="470" t="str">
        <f>IF(Y$65&gt;0,(INDEX(A_Aufgaben,(Y$65-Arbeitszeit!$A$6+1),(2*(ROW()-ROW(A_Endedatum))-1))),"")</f>
        <v/>
      </c>
      <c r="Z113" s="471" t="str">
        <f>IF(Z$65&gt;0,(INDEX(A_Aufgaben,(Z$65-Arbeitszeit!$A$6+1),(2*(ROW()-ROW(A_Endedatum))-1))),"")</f>
        <v/>
      </c>
      <c r="AA113" s="470" t="str">
        <f>IF(AA$65&gt;0,(INDEX(A_Aufgaben,(AA$65-Arbeitszeit!$A$6+1),(2*(ROW()-ROW(A_Endedatum))-1))),"")</f>
        <v/>
      </c>
      <c r="AB113" s="471" t="str">
        <f>IF(AB$65&gt;0,(INDEX(A_Aufgaben,(AB$65-Arbeitszeit!$A$6+1),(2*(ROW()-ROW(A_Endedatum))-1))),"")</f>
        <v/>
      </c>
      <c r="AC113" s="470" t="str">
        <f>IF(AC$65&gt;0,(INDEX(A_Aufgaben,(AC$65-Arbeitszeit!$A$6+1),(2*(ROW()-ROW(A_Endedatum))-1))),"")</f>
        <v/>
      </c>
      <c r="AD113" s="471" t="str">
        <f>IF(AD$65&gt;0,(INDEX(A_Aufgaben,(AD$65-Arbeitszeit!$A$6+1),(2*(ROW()-ROW(A_Endedatum))-1))),"")</f>
        <v/>
      </c>
      <c r="AE113" s="470" t="str">
        <f>IF(AE$65&gt;0,(INDEX(A_Aufgaben,(AE$65-Arbeitszeit!$A$6+1),(2*(ROW()-ROW(A_Endedatum))-1))),"")</f>
        <v/>
      </c>
      <c r="AF113" s="471" t="str">
        <f>IF(AF$65&gt;0,(INDEX(A_Aufgaben,(AF$65-Arbeitszeit!$A$6+1),(2*(ROW()-ROW(A_Endedatum))-1))),"")</f>
        <v/>
      </c>
      <c r="AG113" s="470" t="str">
        <f>IF(AG$65&gt;0,(INDEX(A_Aufgaben,(AG$65-Arbeitszeit!$A$6+1),(2*(ROW()-ROW(A_Endedatum))-1))),"")</f>
        <v/>
      </c>
      <c r="AH113" s="479">
        <f t="shared" si="16"/>
        <v>0</v>
      </c>
      <c r="AI113" s="3">
        <f t="shared" si="17"/>
        <v>0</v>
      </c>
      <c r="AJ113" s="494" t="e">
        <f t="shared" ref="AJ113:AJ120" si="20">AH53+AH113</f>
        <v>#VALUE!</v>
      </c>
    </row>
    <row r="114" spans="1:36" hidden="1" outlineLevel="1">
      <c r="A114">
        <f t="shared" ref="A114:B114" si="21">A54</f>
        <v>0</v>
      </c>
      <c r="B114" s="469" t="str">
        <f t="shared" si="21"/>
        <v>Aufgabe 46</v>
      </c>
      <c r="C114" s="470" t="str">
        <f>IF(C$65&gt;0,(INDEX(A_Aufgaben,(C$65-Arbeitszeit!$A$6+1),(2*(ROW()-ROW(A_Endedatum))-1))),"")</f>
        <v/>
      </c>
      <c r="D114" s="471" t="str">
        <f>IF(D$65&gt;0,(INDEX(A_Aufgaben,(D$65-Arbeitszeit!$A$6+1),(2*(ROW()-ROW(A_Endedatum))-1))),"")</f>
        <v/>
      </c>
      <c r="E114" s="470" t="str">
        <f>IF(E$65&gt;0,(INDEX(A_Aufgaben,(E$65-Arbeitszeit!$A$6+1),(2*(ROW()-ROW(A_Endedatum))-1))),"")</f>
        <v/>
      </c>
      <c r="F114" s="471" t="str">
        <f>IF(F$65&gt;0,(INDEX(A_Aufgaben,(F$65-Arbeitszeit!$A$6+1),(2*(ROW()-ROW(A_Endedatum))-1))),"")</f>
        <v/>
      </c>
      <c r="G114" s="470" t="str">
        <f>IF(G$65&gt;0,(INDEX(A_Aufgaben,(G$65-Arbeitszeit!$A$6+1),(2*(ROW()-ROW(A_Endedatum))-1))),"")</f>
        <v/>
      </c>
      <c r="H114" s="471" t="str">
        <f>IF(H$65&gt;0,(INDEX(A_Aufgaben,(H$65-Arbeitszeit!$A$6+1),(2*(ROW()-ROW(A_Endedatum))-1))),"")</f>
        <v/>
      </c>
      <c r="I114" s="470" t="str">
        <f>IF(I$65&gt;0,(INDEX(A_Aufgaben,(I$65-Arbeitszeit!$A$6+1),(2*(ROW()-ROW(A_Endedatum))-1))),"")</f>
        <v/>
      </c>
      <c r="J114" s="471" t="str">
        <f>IF(J$65&gt;0,(INDEX(A_Aufgaben,(J$65-Arbeitszeit!$A$6+1),(2*(ROW()-ROW(A_Endedatum))-1))),"")</f>
        <v/>
      </c>
      <c r="K114" s="470" t="str">
        <f>IF(K$65&gt;0,(INDEX(A_Aufgaben,(K$65-Arbeitszeit!$A$6+1),(2*(ROW()-ROW(A_Endedatum))-1))),"")</f>
        <v/>
      </c>
      <c r="L114" s="471" t="str">
        <f>IF(L$65&gt;0,(INDEX(A_Aufgaben,(L$65-Arbeitszeit!$A$6+1),(2*(ROW()-ROW(A_Endedatum))-1))),"")</f>
        <v/>
      </c>
      <c r="M114" s="470" t="str">
        <f>IF(M$65&gt;0,(INDEX(A_Aufgaben,(M$65-Arbeitszeit!$A$6+1),(2*(ROW()-ROW(A_Endedatum))-1))),"")</f>
        <v/>
      </c>
      <c r="N114" s="471" t="str">
        <f>IF(N$65&gt;0,(INDEX(A_Aufgaben,(N$65-Arbeitszeit!$A$6+1),(2*(ROW()-ROW(A_Endedatum))-1))),"")</f>
        <v/>
      </c>
      <c r="O114" s="470" t="str">
        <f>IF(O$65&gt;0,(INDEX(A_Aufgaben,(O$65-Arbeitszeit!$A$6+1),(2*(ROW()-ROW(A_Endedatum))-1))),"")</f>
        <v/>
      </c>
      <c r="P114" s="471" t="str">
        <f>IF(P$65&gt;0,(INDEX(A_Aufgaben,(P$65-Arbeitszeit!$A$6+1),(2*(ROW()-ROW(A_Endedatum))-1))),"")</f>
        <v/>
      </c>
      <c r="Q114" s="470" t="str">
        <f>IF(Q$65&gt;0,(INDEX(A_Aufgaben,(Q$65-Arbeitszeit!$A$6+1),(2*(ROW()-ROW(A_Endedatum))-1))),"")</f>
        <v/>
      </c>
      <c r="R114" s="471" t="str">
        <f>IF(R$65&gt;0,(INDEX(A_Aufgaben,(R$65-Arbeitszeit!$A$6+1),(2*(ROW()-ROW(A_Endedatum))-1))),"")</f>
        <v/>
      </c>
      <c r="S114" s="470" t="str">
        <f>IF(S$65&gt;0,(INDEX(A_Aufgaben,(S$65-Arbeitszeit!$A$6+1),(2*(ROW()-ROW(A_Endedatum))-1))),"")</f>
        <v/>
      </c>
      <c r="T114" s="471" t="str">
        <f>IF(T$65&gt;0,(INDEX(A_Aufgaben,(T$65-Arbeitszeit!$A$6+1),(2*(ROW()-ROW(A_Endedatum))-1))),"")</f>
        <v/>
      </c>
      <c r="U114" s="470" t="str">
        <f>IF(U$65&gt;0,(INDEX(A_Aufgaben,(U$65-Arbeitszeit!$A$6+1),(2*(ROW()-ROW(A_Endedatum))-1))),"")</f>
        <v/>
      </c>
      <c r="V114" s="471" t="str">
        <f>IF(V$65&gt;0,(INDEX(A_Aufgaben,(V$65-Arbeitszeit!$A$6+1),(2*(ROW()-ROW(A_Endedatum))-1))),"")</f>
        <v/>
      </c>
      <c r="W114" s="470" t="str">
        <f>IF(W$65&gt;0,(INDEX(A_Aufgaben,(W$65-Arbeitszeit!$A$6+1),(2*(ROW()-ROW(A_Endedatum))-1))),"")</f>
        <v/>
      </c>
      <c r="X114" s="471" t="str">
        <f>IF(X$65&gt;0,(INDEX(A_Aufgaben,(X$65-Arbeitszeit!$A$6+1),(2*(ROW()-ROW(A_Endedatum))-1))),"")</f>
        <v/>
      </c>
      <c r="Y114" s="470" t="str">
        <f>IF(Y$65&gt;0,(INDEX(A_Aufgaben,(Y$65-Arbeitszeit!$A$6+1),(2*(ROW()-ROW(A_Endedatum))-1))),"")</f>
        <v/>
      </c>
      <c r="Z114" s="471" t="str">
        <f>IF(Z$65&gt;0,(INDEX(A_Aufgaben,(Z$65-Arbeitszeit!$A$6+1),(2*(ROW()-ROW(A_Endedatum))-1))),"")</f>
        <v/>
      </c>
      <c r="AA114" s="470" t="str">
        <f>IF(AA$65&gt;0,(INDEX(A_Aufgaben,(AA$65-Arbeitszeit!$A$6+1),(2*(ROW()-ROW(A_Endedatum))-1))),"")</f>
        <v/>
      </c>
      <c r="AB114" s="471" t="str">
        <f>IF(AB$65&gt;0,(INDEX(A_Aufgaben,(AB$65-Arbeitszeit!$A$6+1),(2*(ROW()-ROW(A_Endedatum))-1))),"")</f>
        <v/>
      </c>
      <c r="AC114" s="470" t="str">
        <f>IF(AC$65&gt;0,(INDEX(A_Aufgaben,(AC$65-Arbeitszeit!$A$6+1),(2*(ROW()-ROW(A_Endedatum))-1))),"")</f>
        <v/>
      </c>
      <c r="AD114" s="471" t="str">
        <f>IF(AD$65&gt;0,(INDEX(A_Aufgaben,(AD$65-Arbeitszeit!$A$6+1),(2*(ROW()-ROW(A_Endedatum))-1))),"")</f>
        <v/>
      </c>
      <c r="AE114" s="470" t="str">
        <f>IF(AE$65&gt;0,(INDEX(A_Aufgaben,(AE$65-Arbeitszeit!$A$6+1),(2*(ROW()-ROW(A_Endedatum))-1))),"")</f>
        <v/>
      </c>
      <c r="AF114" s="471" t="str">
        <f>IF(AF$65&gt;0,(INDEX(A_Aufgaben,(AF$65-Arbeitszeit!$A$6+1),(2*(ROW()-ROW(A_Endedatum))-1))),"")</f>
        <v/>
      </c>
      <c r="AG114" s="470" t="str">
        <f>IF(AG$65&gt;0,(INDEX(A_Aufgaben,(AG$65-Arbeitszeit!$A$6+1),(2*(ROW()-ROW(A_Endedatum))-1))),"")</f>
        <v/>
      </c>
      <c r="AH114" s="479">
        <f t="shared" si="16"/>
        <v>0</v>
      </c>
      <c r="AI114" s="3">
        <f t="shared" si="17"/>
        <v>0</v>
      </c>
      <c r="AJ114" s="494" t="e">
        <f t="shared" si="20"/>
        <v>#VALUE!</v>
      </c>
    </row>
    <row r="115" spans="1:36" hidden="1" outlineLevel="1">
      <c r="A115">
        <f t="shared" ref="A115:B115" si="22">A55</f>
        <v>0</v>
      </c>
      <c r="B115" s="469" t="str">
        <f t="shared" si="22"/>
        <v>Aufgabe 47</v>
      </c>
      <c r="C115" s="470" t="str">
        <f>IF(C$65&gt;0,(INDEX(A_Aufgaben,(C$65-Arbeitszeit!$A$6+1),(2*(ROW()-ROW(A_Endedatum))-1))),"")</f>
        <v/>
      </c>
      <c r="D115" s="471" t="str">
        <f>IF(D$65&gt;0,(INDEX(A_Aufgaben,(D$65-Arbeitszeit!$A$6+1),(2*(ROW()-ROW(A_Endedatum))-1))),"")</f>
        <v/>
      </c>
      <c r="E115" s="470" t="str">
        <f>IF(E$65&gt;0,(INDEX(A_Aufgaben,(E$65-Arbeitszeit!$A$6+1),(2*(ROW()-ROW(A_Endedatum))-1))),"")</f>
        <v/>
      </c>
      <c r="F115" s="471" t="str">
        <f>IF(F$65&gt;0,(INDEX(A_Aufgaben,(F$65-Arbeitszeit!$A$6+1),(2*(ROW()-ROW(A_Endedatum))-1))),"")</f>
        <v/>
      </c>
      <c r="G115" s="470" t="str">
        <f>IF(G$65&gt;0,(INDEX(A_Aufgaben,(G$65-Arbeitszeit!$A$6+1),(2*(ROW()-ROW(A_Endedatum))-1))),"")</f>
        <v/>
      </c>
      <c r="H115" s="471" t="str">
        <f>IF(H$65&gt;0,(INDEX(A_Aufgaben,(H$65-Arbeitszeit!$A$6+1),(2*(ROW()-ROW(A_Endedatum))-1))),"")</f>
        <v/>
      </c>
      <c r="I115" s="470" t="str">
        <f>IF(I$65&gt;0,(INDEX(A_Aufgaben,(I$65-Arbeitszeit!$A$6+1),(2*(ROW()-ROW(A_Endedatum))-1))),"")</f>
        <v/>
      </c>
      <c r="J115" s="471" t="str">
        <f>IF(J$65&gt;0,(INDEX(A_Aufgaben,(J$65-Arbeitszeit!$A$6+1),(2*(ROW()-ROW(A_Endedatum))-1))),"")</f>
        <v/>
      </c>
      <c r="K115" s="470" t="str">
        <f>IF(K$65&gt;0,(INDEX(A_Aufgaben,(K$65-Arbeitszeit!$A$6+1),(2*(ROW()-ROW(A_Endedatum))-1))),"")</f>
        <v/>
      </c>
      <c r="L115" s="471" t="str">
        <f>IF(L$65&gt;0,(INDEX(A_Aufgaben,(L$65-Arbeitszeit!$A$6+1),(2*(ROW()-ROW(A_Endedatum))-1))),"")</f>
        <v/>
      </c>
      <c r="M115" s="470" t="str">
        <f>IF(M$65&gt;0,(INDEX(A_Aufgaben,(M$65-Arbeitszeit!$A$6+1),(2*(ROW()-ROW(A_Endedatum))-1))),"")</f>
        <v/>
      </c>
      <c r="N115" s="471" t="str">
        <f>IF(N$65&gt;0,(INDEX(A_Aufgaben,(N$65-Arbeitszeit!$A$6+1),(2*(ROW()-ROW(A_Endedatum))-1))),"")</f>
        <v/>
      </c>
      <c r="O115" s="470" t="str">
        <f>IF(O$65&gt;0,(INDEX(A_Aufgaben,(O$65-Arbeitszeit!$A$6+1),(2*(ROW()-ROW(A_Endedatum))-1))),"")</f>
        <v/>
      </c>
      <c r="P115" s="471" t="str">
        <f>IF(P$65&gt;0,(INDEX(A_Aufgaben,(P$65-Arbeitszeit!$A$6+1),(2*(ROW()-ROW(A_Endedatum))-1))),"")</f>
        <v/>
      </c>
      <c r="Q115" s="470" t="str">
        <f>IF(Q$65&gt;0,(INDEX(A_Aufgaben,(Q$65-Arbeitszeit!$A$6+1),(2*(ROW()-ROW(A_Endedatum))-1))),"")</f>
        <v/>
      </c>
      <c r="R115" s="471" t="str">
        <f>IF(R$65&gt;0,(INDEX(A_Aufgaben,(R$65-Arbeitszeit!$A$6+1),(2*(ROW()-ROW(A_Endedatum))-1))),"")</f>
        <v/>
      </c>
      <c r="S115" s="470" t="str">
        <f>IF(S$65&gt;0,(INDEX(A_Aufgaben,(S$65-Arbeitszeit!$A$6+1),(2*(ROW()-ROW(A_Endedatum))-1))),"")</f>
        <v/>
      </c>
      <c r="T115" s="471" t="str">
        <f>IF(T$65&gt;0,(INDEX(A_Aufgaben,(T$65-Arbeitszeit!$A$6+1),(2*(ROW()-ROW(A_Endedatum))-1))),"")</f>
        <v/>
      </c>
      <c r="U115" s="470" t="str">
        <f>IF(U$65&gt;0,(INDEX(A_Aufgaben,(U$65-Arbeitszeit!$A$6+1),(2*(ROW()-ROW(A_Endedatum))-1))),"")</f>
        <v/>
      </c>
      <c r="V115" s="471" t="str">
        <f>IF(V$65&gt;0,(INDEX(A_Aufgaben,(V$65-Arbeitszeit!$A$6+1),(2*(ROW()-ROW(A_Endedatum))-1))),"")</f>
        <v/>
      </c>
      <c r="W115" s="470" t="str">
        <f>IF(W$65&gt;0,(INDEX(A_Aufgaben,(W$65-Arbeitszeit!$A$6+1),(2*(ROW()-ROW(A_Endedatum))-1))),"")</f>
        <v/>
      </c>
      <c r="X115" s="471" t="str">
        <f>IF(X$65&gt;0,(INDEX(A_Aufgaben,(X$65-Arbeitszeit!$A$6+1),(2*(ROW()-ROW(A_Endedatum))-1))),"")</f>
        <v/>
      </c>
      <c r="Y115" s="470" t="str">
        <f>IF(Y$65&gt;0,(INDEX(A_Aufgaben,(Y$65-Arbeitszeit!$A$6+1),(2*(ROW()-ROW(A_Endedatum))-1))),"")</f>
        <v/>
      </c>
      <c r="Z115" s="471" t="str">
        <f>IF(Z$65&gt;0,(INDEX(A_Aufgaben,(Z$65-Arbeitszeit!$A$6+1),(2*(ROW()-ROW(A_Endedatum))-1))),"")</f>
        <v/>
      </c>
      <c r="AA115" s="470" t="str">
        <f>IF(AA$65&gt;0,(INDEX(A_Aufgaben,(AA$65-Arbeitszeit!$A$6+1),(2*(ROW()-ROW(A_Endedatum))-1))),"")</f>
        <v/>
      </c>
      <c r="AB115" s="471" t="str">
        <f>IF(AB$65&gt;0,(INDEX(A_Aufgaben,(AB$65-Arbeitszeit!$A$6+1),(2*(ROW()-ROW(A_Endedatum))-1))),"")</f>
        <v/>
      </c>
      <c r="AC115" s="470" t="str">
        <f>IF(AC$65&gt;0,(INDEX(A_Aufgaben,(AC$65-Arbeitszeit!$A$6+1),(2*(ROW()-ROW(A_Endedatum))-1))),"")</f>
        <v/>
      </c>
      <c r="AD115" s="471" t="str">
        <f>IF(AD$65&gt;0,(INDEX(A_Aufgaben,(AD$65-Arbeitszeit!$A$6+1),(2*(ROW()-ROW(A_Endedatum))-1))),"")</f>
        <v/>
      </c>
      <c r="AE115" s="470" t="str">
        <f>IF(AE$65&gt;0,(INDEX(A_Aufgaben,(AE$65-Arbeitszeit!$A$6+1),(2*(ROW()-ROW(A_Endedatum))-1))),"")</f>
        <v/>
      </c>
      <c r="AF115" s="471" t="str">
        <f>IF(AF$65&gt;0,(INDEX(A_Aufgaben,(AF$65-Arbeitszeit!$A$6+1),(2*(ROW()-ROW(A_Endedatum))-1))),"")</f>
        <v/>
      </c>
      <c r="AG115" s="470" t="str">
        <f>IF(AG$65&gt;0,(INDEX(A_Aufgaben,(AG$65-Arbeitszeit!$A$6+1),(2*(ROW()-ROW(A_Endedatum))-1))),"")</f>
        <v/>
      </c>
      <c r="AH115" s="479">
        <f t="shared" si="16"/>
        <v>0</v>
      </c>
      <c r="AI115" s="3">
        <f t="shared" si="17"/>
        <v>0</v>
      </c>
      <c r="AJ115" s="494" t="e">
        <f t="shared" si="20"/>
        <v>#VALUE!</v>
      </c>
    </row>
    <row r="116" spans="1:36" hidden="1" outlineLevel="1">
      <c r="A116">
        <f t="shared" ref="A116:B116" si="23">A56</f>
        <v>0</v>
      </c>
      <c r="B116" s="469" t="str">
        <f t="shared" si="23"/>
        <v>Aufgabe 48</v>
      </c>
      <c r="C116" s="470" t="str">
        <f>IF(C$65&gt;0,(INDEX(A_Aufgaben,(C$65-Arbeitszeit!$A$6+1),(2*(ROW()-ROW(A_Endedatum))-1))),"")</f>
        <v/>
      </c>
      <c r="D116" s="471" t="str">
        <f>IF(D$65&gt;0,(INDEX(A_Aufgaben,(D$65-Arbeitszeit!$A$6+1),(2*(ROW()-ROW(A_Endedatum))-1))),"")</f>
        <v/>
      </c>
      <c r="E116" s="470" t="str">
        <f>IF(E$65&gt;0,(INDEX(A_Aufgaben,(E$65-Arbeitszeit!$A$6+1),(2*(ROW()-ROW(A_Endedatum))-1))),"")</f>
        <v/>
      </c>
      <c r="F116" s="471" t="str">
        <f>IF(F$65&gt;0,(INDEX(A_Aufgaben,(F$65-Arbeitszeit!$A$6+1),(2*(ROW()-ROW(A_Endedatum))-1))),"")</f>
        <v/>
      </c>
      <c r="G116" s="470" t="str">
        <f>IF(G$65&gt;0,(INDEX(A_Aufgaben,(G$65-Arbeitszeit!$A$6+1),(2*(ROW()-ROW(A_Endedatum))-1))),"")</f>
        <v/>
      </c>
      <c r="H116" s="471" t="str">
        <f>IF(H$65&gt;0,(INDEX(A_Aufgaben,(H$65-Arbeitszeit!$A$6+1),(2*(ROW()-ROW(A_Endedatum))-1))),"")</f>
        <v/>
      </c>
      <c r="I116" s="470" t="str">
        <f>IF(I$65&gt;0,(INDEX(A_Aufgaben,(I$65-Arbeitszeit!$A$6+1),(2*(ROW()-ROW(A_Endedatum))-1))),"")</f>
        <v/>
      </c>
      <c r="J116" s="471" t="str">
        <f>IF(J$65&gt;0,(INDEX(A_Aufgaben,(J$65-Arbeitszeit!$A$6+1),(2*(ROW()-ROW(A_Endedatum))-1))),"")</f>
        <v/>
      </c>
      <c r="K116" s="470" t="str">
        <f>IF(K$65&gt;0,(INDEX(A_Aufgaben,(K$65-Arbeitszeit!$A$6+1),(2*(ROW()-ROW(A_Endedatum))-1))),"")</f>
        <v/>
      </c>
      <c r="L116" s="471" t="str">
        <f>IF(L$65&gt;0,(INDEX(A_Aufgaben,(L$65-Arbeitszeit!$A$6+1),(2*(ROW()-ROW(A_Endedatum))-1))),"")</f>
        <v/>
      </c>
      <c r="M116" s="470" t="str">
        <f>IF(M$65&gt;0,(INDEX(A_Aufgaben,(M$65-Arbeitszeit!$A$6+1),(2*(ROW()-ROW(A_Endedatum))-1))),"")</f>
        <v/>
      </c>
      <c r="N116" s="471" t="str">
        <f>IF(N$65&gt;0,(INDEX(A_Aufgaben,(N$65-Arbeitszeit!$A$6+1),(2*(ROW()-ROW(A_Endedatum))-1))),"")</f>
        <v/>
      </c>
      <c r="O116" s="470" t="str">
        <f>IF(O$65&gt;0,(INDEX(A_Aufgaben,(O$65-Arbeitszeit!$A$6+1),(2*(ROW()-ROW(A_Endedatum))-1))),"")</f>
        <v/>
      </c>
      <c r="P116" s="471" t="str">
        <f>IF(P$65&gt;0,(INDEX(A_Aufgaben,(P$65-Arbeitszeit!$A$6+1),(2*(ROW()-ROW(A_Endedatum))-1))),"")</f>
        <v/>
      </c>
      <c r="Q116" s="470" t="str">
        <f>IF(Q$65&gt;0,(INDEX(A_Aufgaben,(Q$65-Arbeitszeit!$A$6+1),(2*(ROW()-ROW(A_Endedatum))-1))),"")</f>
        <v/>
      </c>
      <c r="R116" s="471" t="str">
        <f>IF(R$65&gt;0,(INDEX(A_Aufgaben,(R$65-Arbeitszeit!$A$6+1),(2*(ROW()-ROW(A_Endedatum))-1))),"")</f>
        <v/>
      </c>
      <c r="S116" s="470" t="str">
        <f>IF(S$65&gt;0,(INDEX(A_Aufgaben,(S$65-Arbeitszeit!$A$6+1),(2*(ROW()-ROW(A_Endedatum))-1))),"")</f>
        <v/>
      </c>
      <c r="T116" s="471" t="str">
        <f>IF(T$65&gt;0,(INDEX(A_Aufgaben,(T$65-Arbeitszeit!$A$6+1),(2*(ROW()-ROW(A_Endedatum))-1))),"")</f>
        <v/>
      </c>
      <c r="U116" s="470" t="str">
        <f>IF(U$65&gt;0,(INDEX(A_Aufgaben,(U$65-Arbeitszeit!$A$6+1),(2*(ROW()-ROW(A_Endedatum))-1))),"")</f>
        <v/>
      </c>
      <c r="V116" s="471" t="str">
        <f>IF(V$65&gt;0,(INDEX(A_Aufgaben,(V$65-Arbeitszeit!$A$6+1),(2*(ROW()-ROW(A_Endedatum))-1))),"")</f>
        <v/>
      </c>
      <c r="W116" s="470" t="str">
        <f>IF(W$65&gt;0,(INDEX(A_Aufgaben,(W$65-Arbeitszeit!$A$6+1),(2*(ROW()-ROW(A_Endedatum))-1))),"")</f>
        <v/>
      </c>
      <c r="X116" s="471" t="str">
        <f>IF(X$65&gt;0,(INDEX(A_Aufgaben,(X$65-Arbeitszeit!$A$6+1),(2*(ROW()-ROW(A_Endedatum))-1))),"")</f>
        <v/>
      </c>
      <c r="Y116" s="470" t="str">
        <f>IF(Y$65&gt;0,(INDEX(A_Aufgaben,(Y$65-Arbeitszeit!$A$6+1),(2*(ROW()-ROW(A_Endedatum))-1))),"")</f>
        <v/>
      </c>
      <c r="Z116" s="471" t="str">
        <f>IF(Z$65&gt;0,(INDEX(A_Aufgaben,(Z$65-Arbeitszeit!$A$6+1),(2*(ROW()-ROW(A_Endedatum))-1))),"")</f>
        <v/>
      </c>
      <c r="AA116" s="470" t="str">
        <f>IF(AA$65&gt;0,(INDEX(A_Aufgaben,(AA$65-Arbeitszeit!$A$6+1),(2*(ROW()-ROW(A_Endedatum))-1))),"")</f>
        <v/>
      </c>
      <c r="AB116" s="471" t="str">
        <f>IF(AB$65&gt;0,(INDEX(A_Aufgaben,(AB$65-Arbeitszeit!$A$6+1),(2*(ROW()-ROW(A_Endedatum))-1))),"")</f>
        <v/>
      </c>
      <c r="AC116" s="470" t="str">
        <f>IF(AC$65&gt;0,(INDEX(A_Aufgaben,(AC$65-Arbeitszeit!$A$6+1),(2*(ROW()-ROW(A_Endedatum))-1))),"")</f>
        <v/>
      </c>
      <c r="AD116" s="471" t="str">
        <f>IF(AD$65&gt;0,(INDEX(A_Aufgaben,(AD$65-Arbeitszeit!$A$6+1),(2*(ROW()-ROW(A_Endedatum))-1))),"")</f>
        <v/>
      </c>
      <c r="AE116" s="470" t="str">
        <f>IF(AE$65&gt;0,(INDEX(A_Aufgaben,(AE$65-Arbeitszeit!$A$6+1),(2*(ROW()-ROW(A_Endedatum))-1))),"")</f>
        <v/>
      </c>
      <c r="AF116" s="471" t="str">
        <f>IF(AF$65&gt;0,(INDEX(A_Aufgaben,(AF$65-Arbeitszeit!$A$6+1),(2*(ROW()-ROW(A_Endedatum))-1))),"")</f>
        <v/>
      </c>
      <c r="AG116" s="470" t="str">
        <f>IF(AG$65&gt;0,(INDEX(A_Aufgaben,(AG$65-Arbeitszeit!$A$6+1),(2*(ROW()-ROW(A_Endedatum))-1))),"")</f>
        <v/>
      </c>
      <c r="AH116" s="479">
        <f t="shared" si="16"/>
        <v>0</v>
      </c>
      <c r="AI116" s="3">
        <f t="shared" si="17"/>
        <v>0</v>
      </c>
      <c r="AJ116" s="494" t="e">
        <f t="shared" si="20"/>
        <v>#VALUE!</v>
      </c>
    </row>
    <row r="117" spans="1:36" hidden="1" outlineLevel="1">
      <c r="A117">
        <f t="shared" ref="A117:B117" si="24">A57</f>
        <v>0</v>
      </c>
      <c r="B117" s="469" t="str">
        <f t="shared" si="24"/>
        <v>Aufgabe 49</v>
      </c>
      <c r="C117" s="470" t="str">
        <f>IF(C$65&gt;0,(INDEX(A_Aufgaben,(C$65-Arbeitszeit!$A$6+1),(2*(ROW()-ROW(A_Endedatum))-1))),"")</f>
        <v/>
      </c>
      <c r="D117" s="471" t="str">
        <f>IF(D$65&gt;0,(INDEX(A_Aufgaben,(D$65-Arbeitszeit!$A$6+1),(2*(ROW()-ROW(A_Endedatum))-1))),"")</f>
        <v/>
      </c>
      <c r="E117" s="470" t="str">
        <f>IF(E$65&gt;0,(INDEX(A_Aufgaben,(E$65-Arbeitszeit!$A$6+1),(2*(ROW()-ROW(A_Endedatum))-1))),"")</f>
        <v/>
      </c>
      <c r="F117" s="471" t="str">
        <f>IF(F$65&gt;0,(INDEX(A_Aufgaben,(F$65-Arbeitszeit!$A$6+1),(2*(ROW()-ROW(A_Endedatum))-1))),"")</f>
        <v/>
      </c>
      <c r="G117" s="470" t="str">
        <f>IF(G$65&gt;0,(INDEX(A_Aufgaben,(G$65-Arbeitszeit!$A$6+1),(2*(ROW()-ROW(A_Endedatum))-1))),"")</f>
        <v/>
      </c>
      <c r="H117" s="471" t="str">
        <f>IF(H$65&gt;0,(INDEX(A_Aufgaben,(H$65-Arbeitszeit!$A$6+1),(2*(ROW()-ROW(A_Endedatum))-1))),"")</f>
        <v/>
      </c>
      <c r="I117" s="470" t="str">
        <f>IF(I$65&gt;0,(INDEX(A_Aufgaben,(I$65-Arbeitszeit!$A$6+1),(2*(ROW()-ROW(A_Endedatum))-1))),"")</f>
        <v/>
      </c>
      <c r="J117" s="471" t="str">
        <f>IF(J$65&gt;0,(INDEX(A_Aufgaben,(J$65-Arbeitszeit!$A$6+1),(2*(ROW()-ROW(A_Endedatum))-1))),"")</f>
        <v/>
      </c>
      <c r="K117" s="470" t="str">
        <f>IF(K$65&gt;0,(INDEX(A_Aufgaben,(K$65-Arbeitszeit!$A$6+1),(2*(ROW()-ROW(A_Endedatum))-1))),"")</f>
        <v/>
      </c>
      <c r="L117" s="471" t="str">
        <f>IF(L$65&gt;0,(INDEX(A_Aufgaben,(L$65-Arbeitszeit!$A$6+1),(2*(ROW()-ROW(A_Endedatum))-1))),"")</f>
        <v/>
      </c>
      <c r="M117" s="470" t="str">
        <f>IF(M$65&gt;0,(INDEX(A_Aufgaben,(M$65-Arbeitszeit!$A$6+1),(2*(ROW()-ROW(A_Endedatum))-1))),"")</f>
        <v/>
      </c>
      <c r="N117" s="471" t="str">
        <f>IF(N$65&gt;0,(INDEX(A_Aufgaben,(N$65-Arbeitszeit!$A$6+1),(2*(ROW()-ROW(A_Endedatum))-1))),"")</f>
        <v/>
      </c>
      <c r="O117" s="470" t="str">
        <f>IF(O$65&gt;0,(INDEX(A_Aufgaben,(O$65-Arbeitszeit!$A$6+1),(2*(ROW()-ROW(A_Endedatum))-1))),"")</f>
        <v/>
      </c>
      <c r="P117" s="471" t="str">
        <f>IF(P$65&gt;0,(INDEX(A_Aufgaben,(P$65-Arbeitszeit!$A$6+1),(2*(ROW()-ROW(A_Endedatum))-1))),"")</f>
        <v/>
      </c>
      <c r="Q117" s="470" t="str">
        <f>IF(Q$65&gt;0,(INDEX(A_Aufgaben,(Q$65-Arbeitszeit!$A$6+1),(2*(ROW()-ROW(A_Endedatum))-1))),"")</f>
        <v/>
      </c>
      <c r="R117" s="471" t="str">
        <f>IF(R$65&gt;0,(INDEX(A_Aufgaben,(R$65-Arbeitszeit!$A$6+1),(2*(ROW()-ROW(A_Endedatum))-1))),"")</f>
        <v/>
      </c>
      <c r="S117" s="470" t="str">
        <f>IF(S$65&gt;0,(INDEX(A_Aufgaben,(S$65-Arbeitszeit!$A$6+1),(2*(ROW()-ROW(A_Endedatum))-1))),"")</f>
        <v/>
      </c>
      <c r="T117" s="471" t="str">
        <f>IF(T$65&gt;0,(INDEX(A_Aufgaben,(T$65-Arbeitszeit!$A$6+1),(2*(ROW()-ROW(A_Endedatum))-1))),"")</f>
        <v/>
      </c>
      <c r="U117" s="470" t="str">
        <f>IF(U$65&gt;0,(INDEX(A_Aufgaben,(U$65-Arbeitszeit!$A$6+1),(2*(ROW()-ROW(A_Endedatum))-1))),"")</f>
        <v/>
      </c>
      <c r="V117" s="471" t="str">
        <f>IF(V$65&gt;0,(INDEX(A_Aufgaben,(V$65-Arbeitszeit!$A$6+1),(2*(ROW()-ROW(A_Endedatum))-1))),"")</f>
        <v/>
      </c>
      <c r="W117" s="470" t="str">
        <f>IF(W$65&gt;0,(INDEX(A_Aufgaben,(W$65-Arbeitszeit!$A$6+1),(2*(ROW()-ROW(A_Endedatum))-1))),"")</f>
        <v/>
      </c>
      <c r="X117" s="471" t="str">
        <f>IF(X$65&gt;0,(INDEX(A_Aufgaben,(X$65-Arbeitszeit!$A$6+1),(2*(ROW()-ROW(A_Endedatum))-1))),"")</f>
        <v/>
      </c>
      <c r="Y117" s="470" t="str">
        <f>IF(Y$65&gt;0,(INDEX(A_Aufgaben,(Y$65-Arbeitszeit!$A$6+1),(2*(ROW()-ROW(A_Endedatum))-1))),"")</f>
        <v/>
      </c>
      <c r="Z117" s="471" t="str">
        <f>IF(Z$65&gt;0,(INDEX(A_Aufgaben,(Z$65-Arbeitszeit!$A$6+1),(2*(ROW()-ROW(A_Endedatum))-1))),"")</f>
        <v/>
      </c>
      <c r="AA117" s="470" t="str">
        <f>IF(AA$65&gt;0,(INDEX(A_Aufgaben,(AA$65-Arbeitszeit!$A$6+1),(2*(ROW()-ROW(A_Endedatum))-1))),"")</f>
        <v/>
      </c>
      <c r="AB117" s="471" t="str">
        <f>IF(AB$65&gt;0,(INDEX(A_Aufgaben,(AB$65-Arbeitszeit!$A$6+1),(2*(ROW()-ROW(A_Endedatum))-1))),"")</f>
        <v/>
      </c>
      <c r="AC117" s="470" t="str">
        <f>IF(AC$65&gt;0,(INDEX(A_Aufgaben,(AC$65-Arbeitszeit!$A$6+1),(2*(ROW()-ROW(A_Endedatum))-1))),"")</f>
        <v/>
      </c>
      <c r="AD117" s="471" t="str">
        <f>IF(AD$65&gt;0,(INDEX(A_Aufgaben,(AD$65-Arbeitszeit!$A$6+1),(2*(ROW()-ROW(A_Endedatum))-1))),"")</f>
        <v/>
      </c>
      <c r="AE117" s="470" t="str">
        <f>IF(AE$65&gt;0,(INDEX(A_Aufgaben,(AE$65-Arbeitszeit!$A$6+1),(2*(ROW()-ROW(A_Endedatum))-1))),"")</f>
        <v/>
      </c>
      <c r="AF117" s="471" t="str">
        <f>IF(AF$65&gt;0,(INDEX(A_Aufgaben,(AF$65-Arbeitszeit!$A$6+1),(2*(ROW()-ROW(A_Endedatum))-1))),"")</f>
        <v/>
      </c>
      <c r="AG117" s="470" t="str">
        <f>IF(AG$65&gt;0,(INDEX(A_Aufgaben,(AG$65-Arbeitszeit!$A$6+1),(2*(ROW()-ROW(A_Endedatum))-1))),"")</f>
        <v/>
      </c>
      <c r="AH117" s="479">
        <f t="shared" si="16"/>
        <v>0</v>
      </c>
      <c r="AI117" s="3">
        <f t="shared" si="17"/>
        <v>0</v>
      </c>
      <c r="AJ117" s="494" t="e">
        <f t="shared" si="20"/>
        <v>#VALUE!</v>
      </c>
    </row>
    <row r="118" spans="1:36" hidden="1" outlineLevel="1">
      <c r="A118">
        <f t="shared" ref="A118:B118" si="25">A58</f>
        <v>0</v>
      </c>
      <c r="B118" s="469" t="str">
        <f t="shared" si="25"/>
        <v>Aufgabe 50</v>
      </c>
      <c r="C118" s="470" t="str">
        <f>IF(C$65&gt;0,(INDEX(A_Aufgaben,(C$65-Arbeitszeit!$A$6+1),(2*(ROW()-ROW(A_Endedatum))-1))),"")</f>
        <v/>
      </c>
      <c r="D118" s="471" t="str">
        <f>IF(D$65&gt;0,(INDEX(A_Aufgaben,(D$65-Arbeitszeit!$A$6+1),(2*(ROW()-ROW(A_Endedatum))-1))),"")</f>
        <v/>
      </c>
      <c r="E118" s="470" t="str">
        <f>IF(E$65&gt;0,(INDEX(A_Aufgaben,(E$65-Arbeitszeit!$A$6+1),(2*(ROW()-ROW(A_Endedatum))-1))),"")</f>
        <v/>
      </c>
      <c r="F118" s="471" t="str">
        <f>IF(F$65&gt;0,(INDEX(A_Aufgaben,(F$65-Arbeitszeit!$A$6+1),(2*(ROW()-ROW(A_Endedatum))-1))),"")</f>
        <v/>
      </c>
      <c r="G118" s="470" t="str">
        <f>IF(G$65&gt;0,(INDEX(A_Aufgaben,(G$65-Arbeitszeit!$A$6+1),(2*(ROW()-ROW(A_Endedatum))-1))),"")</f>
        <v/>
      </c>
      <c r="H118" s="471" t="str">
        <f>IF(H$65&gt;0,(INDEX(A_Aufgaben,(H$65-Arbeitszeit!$A$6+1),(2*(ROW()-ROW(A_Endedatum))-1))),"")</f>
        <v/>
      </c>
      <c r="I118" s="470" t="str">
        <f>IF(I$65&gt;0,(INDEX(A_Aufgaben,(I$65-Arbeitszeit!$A$6+1),(2*(ROW()-ROW(A_Endedatum))-1))),"")</f>
        <v/>
      </c>
      <c r="J118" s="471" t="str">
        <f>IF(J$65&gt;0,(INDEX(A_Aufgaben,(J$65-Arbeitszeit!$A$6+1),(2*(ROW()-ROW(A_Endedatum))-1))),"")</f>
        <v/>
      </c>
      <c r="K118" s="470" t="str">
        <f>IF(K$65&gt;0,(INDEX(A_Aufgaben,(K$65-Arbeitszeit!$A$6+1),(2*(ROW()-ROW(A_Endedatum))-1))),"")</f>
        <v/>
      </c>
      <c r="L118" s="471" t="str">
        <f>IF(L$65&gt;0,(INDEX(A_Aufgaben,(L$65-Arbeitszeit!$A$6+1),(2*(ROW()-ROW(A_Endedatum))-1))),"")</f>
        <v/>
      </c>
      <c r="M118" s="470" t="str">
        <f>IF(M$65&gt;0,(INDEX(A_Aufgaben,(M$65-Arbeitszeit!$A$6+1),(2*(ROW()-ROW(A_Endedatum))-1))),"")</f>
        <v/>
      </c>
      <c r="N118" s="471" t="str">
        <f>IF(N$65&gt;0,(INDEX(A_Aufgaben,(N$65-Arbeitszeit!$A$6+1),(2*(ROW()-ROW(A_Endedatum))-1))),"")</f>
        <v/>
      </c>
      <c r="O118" s="470" t="str">
        <f>IF(O$65&gt;0,(INDEX(A_Aufgaben,(O$65-Arbeitszeit!$A$6+1),(2*(ROW()-ROW(A_Endedatum))-1))),"")</f>
        <v/>
      </c>
      <c r="P118" s="471" t="str">
        <f>IF(P$65&gt;0,(INDEX(A_Aufgaben,(P$65-Arbeitszeit!$A$6+1),(2*(ROW()-ROW(A_Endedatum))-1))),"")</f>
        <v/>
      </c>
      <c r="Q118" s="470" t="str">
        <f>IF(Q$65&gt;0,(INDEX(A_Aufgaben,(Q$65-Arbeitszeit!$A$6+1),(2*(ROW()-ROW(A_Endedatum))-1))),"")</f>
        <v/>
      </c>
      <c r="R118" s="471" t="str">
        <f>IF(R$65&gt;0,(INDEX(A_Aufgaben,(R$65-Arbeitszeit!$A$6+1),(2*(ROW()-ROW(A_Endedatum))-1))),"")</f>
        <v/>
      </c>
      <c r="S118" s="470" t="str">
        <f>IF(S$65&gt;0,(INDEX(A_Aufgaben,(S$65-Arbeitszeit!$A$6+1),(2*(ROW()-ROW(A_Endedatum))-1))),"")</f>
        <v/>
      </c>
      <c r="T118" s="471" t="str">
        <f>IF(T$65&gt;0,(INDEX(A_Aufgaben,(T$65-Arbeitszeit!$A$6+1),(2*(ROW()-ROW(A_Endedatum))-1))),"")</f>
        <v/>
      </c>
      <c r="U118" s="470" t="str">
        <f>IF(U$65&gt;0,(INDEX(A_Aufgaben,(U$65-Arbeitszeit!$A$6+1),(2*(ROW()-ROW(A_Endedatum))-1))),"")</f>
        <v/>
      </c>
      <c r="V118" s="471" t="str">
        <f>IF(V$65&gt;0,(INDEX(A_Aufgaben,(V$65-Arbeitszeit!$A$6+1),(2*(ROW()-ROW(A_Endedatum))-1))),"")</f>
        <v/>
      </c>
      <c r="W118" s="470" t="str">
        <f>IF(W$65&gt;0,(INDEX(A_Aufgaben,(W$65-Arbeitszeit!$A$6+1),(2*(ROW()-ROW(A_Endedatum))-1))),"")</f>
        <v/>
      </c>
      <c r="X118" s="471" t="str">
        <f>IF(X$65&gt;0,(INDEX(A_Aufgaben,(X$65-Arbeitszeit!$A$6+1),(2*(ROW()-ROW(A_Endedatum))-1))),"")</f>
        <v/>
      </c>
      <c r="Y118" s="470" t="str">
        <f>IF(Y$65&gt;0,(INDEX(A_Aufgaben,(Y$65-Arbeitszeit!$A$6+1),(2*(ROW()-ROW(A_Endedatum))-1))),"")</f>
        <v/>
      </c>
      <c r="Z118" s="471" t="str">
        <f>IF(Z$65&gt;0,(INDEX(A_Aufgaben,(Z$65-Arbeitszeit!$A$6+1),(2*(ROW()-ROW(A_Endedatum))-1))),"")</f>
        <v/>
      </c>
      <c r="AA118" s="470" t="str">
        <f>IF(AA$65&gt;0,(INDEX(A_Aufgaben,(AA$65-Arbeitszeit!$A$6+1),(2*(ROW()-ROW(A_Endedatum))-1))),"")</f>
        <v/>
      </c>
      <c r="AB118" s="471" t="str">
        <f>IF(AB$65&gt;0,(INDEX(A_Aufgaben,(AB$65-Arbeitszeit!$A$6+1),(2*(ROW()-ROW(A_Endedatum))-1))),"")</f>
        <v/>
      </c>
      <c r="AC118" s="470" t="str">
        <f>IF(AC$65&gt;0,(INDEX(A_Aufgaben,(AC$65-Arbeitszeit!$A$6+1),(2*(ROW()-ROW(A_Endedatum))-1))),"")</f>
        <v/>
      </c>
      <c r="AD118" s="471" t="str">
        <f>IF(AD$65&gt;0,(INDEX(A_Aufgaben,(AD$65-Arbeitszeit!$A$6+1),(2*(ROW()-ROW(A_Endedatum))-1))),"")</f>
        <v/>
      </c>
      <c r="AE118" s="470" t="str">
        <f>IF(AE$65&gt;0,(INDEX(A_Aufgaben,(AE$65-Arbeitszeit!$A$6+1),(2*(ROW()-ROW(A_Endedatum))-1))),"")</f>
        <v/>
      </c>
      <c r="AF118" s="471" t="str">
        <f>IF(AF$65&gt;0,(INDEX(A_Aufgaben,(AF$65-Arbeitszeit!$A$6+1),(2*(ROW()-ROW(A_Endedatum))-1))),"")</f>
        <v/>
      </c>
      <c r="AG118" s="470" t="str">
        <f>IF(AG$65&gt;0,(INDEX(A_Aufgaben,(AG$65-Arbeitszeit!$A$6+1),(2*(ROW()-ROW(A_Endedatum))-1))),"")</f>
        <v/>
      </c>
      <c r="AH118" s="479">
        <f t="shared" si="16"/>
        <v>0</v>
      </c>
      <c r="AI118" s="3">
        <f t="shared" si="17"/>
        <v>0</v>
      </c>
      <c r="AJ118" s="494" t="e">
        <f t="shared" si="20"/>
        <v>#VALUE!</v>
      </c>
    </row>
    <row r="119" spans="1:36" ht="5.0999999999999996" hidden="1" customHeight="1" outlineLevel="1">
      <c r="D119" s="480"/>
      <c r="F119" s="480"/>
      <c r="H119" s="480"/>
      <c r="J119" s="480"/>
      <c r="L119" s="480"/>
      <c r="N119" s="480"/>
      <c r="P119" s="480"/>
      <c r="R119" s="480"/>
      <c r="T119" s="480"/>
      <c r="V119" s="480"/>
      <c r="X119" s="480"/>
      <c r="Z119" s="480"/>
      <c r="AB119" s="480"/>
      <c r="AD119" s="480"/>
      <c r="AF119" s="480"/>
      <c r="AH119" s="481"/>
    </row>
    <row r="120" spans="1:36" collapsed="1">
      <c r="A120">
        <f t="shared" ref="A120:B120" si="26">A60</f>
        <v>0</v>
      </c>
      <c r="B120" s="489" t="str">
        <f t="shared" si="26"/>
        <v xml:space="preserve">Gesamt: </v>
      </c>
      <c r="C120" s="473">
        <f t="shared" ref="C120:AH120" si="27">SUM(C66:C119)</f>
        <v>0</v>
      </c>
      <c r="D120" s="474">
        <f t="shared" si="27"/>
        <v>0</v>
      </c>
      <c r="E120" s="473">
        <f t="shared" si="27"/>
        <v>0</v>
      </c>
      <c r="F120" s="474">
        <f t="shared" si="27"/>
        <v>0</v>
      </c>
      <c r="G120" s="473">
        <f t="shared" si="27"/>
        <v>0</v>
      </c>
      <c r="H120" s="474">
        <f t="shared" si="27"/>
        <v>0</v>
      </c>
      <c r="I120" s="473">
        <f t="shared" si="27"/>
        <v>0</v>
      </c>
      <c r="J120" s="474">
        <f t="shared" si="27"/>
        <v>0</v>
      </c>
      <c r="K120" s="473">
        <f t="shared" si="27"/>
        <v>0</v>
      </c>
      <c r="L120" s="474">
        <f t="shared" si="27"/>
        <v>0</v>
      </c>
      <c r="M120" s="473">
        <f t="shared" si="27"/>
        <v>0</v>
      </c>
      <c r="N120" s="474">
        <f t="shared" si="27"/>
        <v>0</v>
      </c>
      <c r="O120" s="473">
        <f t="shared" si="27"/>
        <v>0</v>
      </c>
      <c r="P120" s="474">
        <f t="shared" si="27"/>
        <v>0</v>
      </c>
      <c r="Q120" s="473">
        <f t="shared" si="27"/>
        <v>0</v>
      </c>
      <c r="R120" s="474">
        <f t="shared" si="27"/>
        <v>0</v>
      </c>
      <c r="S120" s="473">
        <f t="shared" si="27"/>
        <v>0</v>
      </c>
      <c r="T120" s="474">
        <f t="shared" si="27"/>
        <v>0</v>
      </c>
      <c r="U120" s="473">
        <f t="shared" si="27"/>
        <v>0</v>
      </c>
      <c r="V120" s="474">
        <f t="shared" si="27"/>
        <v>0</v>
      </c>
      <c r="W120" s="473">
        <f t="shared" si="27"/>
        <v>0</v>
      </c>
      <c r="X120" s="474">
        <f t="shared" si="27"/>
        <v>0</v>
      </c>
      <c r="Y120" s="473">
        <f t="shared" si="27"/>
        <v>0</v>
      </c>
      <c r="Z120" s="474">
        <f t="shared" si="27"/>
        <v>0</v>
      </c>
      <c r="AA120" s="473">
        <f t="shared" si="27"/>
        <v>0</v>
      </c>
      <c r="AB120" s="474">
        <f t="shared" si="27"/>
        <v>0</v>
      </c>
      <c r="AC120" s="473">
        <f t="shared" si="27"/>
        <v>0</v>
      </c>
      <c r="AD120" s="474">
        <f t="shared" si="27"/>
        <v>0</v>
      </c>
      <c r="AE120" s="473">
        <f t="shared" si="27"/>
        <v>0</v>
      </c>
      <c r="AF120" s="474">
        <f t="shared" si="27"/>
        <v>0</v>
      </c>
      <c r="AG120" s="473">
        <f t="shared" si="27"/>
        <v>0</v>
      </c>
      <c r="AH120" s="490">
        <f t="shared" si="27"/>
        <v>0</v>
      </c>
      <c r="AI120" s="3">
        <f t="shared" si="17"/>
        <v>0</v>
      </c>
      <c r="AJ120" s="494" t="e">
        <f t="shared" si="20"/>
        <v>#VALUE!</v>
      </c>
    </row>
  </sheetData>
  <phoneticPr fontId="48" type="noConversion"/>
  <conditionalFormatting sqref="C65:AG65">
    <cfRule type="expression" dxfId="36" priority="1" stopIfTrue="1">
      <formula>WEEKDAY(C65,2)&gt;5</formula>
    </cfRule>
  </conditionalFormatting>
  <conditionalFormatting sqref="C5:AG5">
    <cfRule type="expression" dxfId="35"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DJ375"/>
  <sheetViews>
    <sheetView showZeros="0" zoomScaleNormal="100" workbookViewId="0">
      <pane xSplit="6" ySplit="3" topLeftCell="G4" activePane="bottomRight" state="frozenSplit"/>
      <selection pane="topRight" activeCell="E1" sqref="E1"/>
      <selection pane="bottomLeft" activeCell="A4" sqref="A4"/>
      <selection pane="bottomRight" activeCell="M5" sqref="M5"/>
    </sheetView>
  </sheetViews>
  <sheetFormatPr baseColWidth="10" defaultColWidth="11.5703125" defaultRowHeight="12.75"/>
  <cols>
    <col min="1" max="1" width="10.42578125" style="10" customWidth="1"/>
    <col min="2" max="2" width="3.5703125" style="10" customWidth="1"/>
    <col min="3" max="3" width="3.7109375" style="10" customWidth="1"/>
    <col min="4" max="4" width="4.85546875" style="10" customWidth="1"/>
    <col min="5" max="5" width="6.5703125" customWidth="1"/>
    <col min="6" max="6" width="6.7109375" style="10" customWidth="1"/>
    <col min="7" max="7" width="11.7109375" customWidth="1"/>
    <col min="8" max="8" width="30.7109375" hidden="1" customWidth="1"/>
    <col min="9" max="9" width="11.7109375" customWidth="1"/>
    <col min="10" max="10" width="30.7109375" hidden="1" customWidth="1"/>
    <col min="11" max="11" width="11.85546875" style="23" customWidth="1"/>
    <col min="12" max="12" width="100.7109375" style="310" hidden="1" customWidth="1"/>
    <col min="13" max="13" width="11.7109375" style="58" customWidth="1"/>
    <col min="14" max="14" width="100.7109375" style="23" hidden="1" customWidth="1"/>
    <col min="15" max="15" width="11.7109375" style="23" customWidth="1"/>
    <col min="16" max="16" width="100.7109375" style="23" hidden="1" customWidth="1"/>
    <col min="17" max="17" width="11.7109375" style="23" customWidth="1"/>
    <col min="18" max="18" width="100.7109375" style="23" hidden="1" customWidth="1"/>
    <col min="19" max="19" width="11.7109375" style="23" customWidth="1"/>
    <col min="20" max="20" width="100.7109375" style="23" hidden="1" customWidth="1"/>
    <col min="21" max="21" width="11.7109375" style="23" customWidth="1"/>
    <col min="22" max="22" width="100.7109375" style="23" hidden="1" customWidth="1"/>
    <col min="23" max="23" width="11.7109375" style="23" customWidth="1"/>
    <col min="24" max="24" width="100.7109375" style="23" hidden="1" customWidth="1"/>
    <col min="25" max="25" width="11.7109375" style="23" customWidth="1"/>
    <col min="26" max="26" width="100.7109375" style="23" hidden="1" customWidth="1"/>
    <col min="27" max="27" width="11.7109375" style="23" customWidth="1"/>
    <col min="28" max="28" width="100.7109375" style="23" hidden="1" customWidth="1"/>
    <col min="29" max="29" width="11.7109375" style="59" customWidth="1"/>
    <col min="30" max="30" width="100.7109375" style="23" hidden="1" customWidth="1"/>
    <col min="31" max="31" width="11.7109375" style="23" customWidth="1"/>
    <col min="32" max="32" width="100.7109375" style="67" hidden="1" customWidth="1"/>
    <col min="33" max="33" width="11.7109375" style="23" customWidth="1"/>
    <col min="34" max="34" width="100.7109375" style="67" hidden="1" customWidth="1"/>
    <col min="35" max="35" width="11.7109375" style="23" customWidth="1"/>
    <col min="36" max="36" width="100.7109375" style="67" hidden="1" customWidth="1"/>
    <col min="37" max="37" width="11.7109375" style="23" customWidth="1"/>
    <col min="38" max="38" width="100.7109375" style="67" hidden="1" customWidth="1"/>
    <col min="39" max="39" width="11.7109375" style="453" customWidth="1"/>
    <col min="40" max="40" width="100.7109375" style="67" hidden="1" customWidth="1"/>
    <col min="41" max="41" width="11.7109375" style="23" customWidth="1"/>
    <col min="42" max="42" width="100.7109375" style="67" hidden="1" customWidth="1"/>
    <col min="43" max="43" width="11.7109375" style="453" customWidth="1"/>
    <col min="44" max="44" width="100.7109375" style="67" hidden="1" customWidth="1"/>
    <col min="45" max="45" width="11.7109375" style="67" customWidth="1"/>
    <col min="46" max="46" width="100.7109375" style="67" hidden="1" customWidth="1"/>
    <col min="47" max="47" width="11.7109375" style="453" customWidth="1"/>
    <col min="48" max="48" width="100.7109375" style="67" hidden="1" customWidth="1"/>
    <col min="49" max="49" width="11.7109375" style="67" customWidth="1"/>
    <col min="50" max="50" width="100.7109375" style="67" hidden="1" customWidth="1"/>
    <col min="51" max="51" width="11.7109375" style="67" customWidth="1"/>
    <col min="52" max="52" width="11.7109375" style="67" hidden="1" customWidth="1"/>
    <col min="53" max="53" width="11.7109375" style="67" customWidth="1"/>
    <col min="54" max="54" width="11.7109375" style="67" hidden="1" customWidth="1"/>
    <col min="55" max="55" width="11.7109375" style="67" customWidth="1"/>
    <col min="56" max="56" width="11.7109375" style="67" hidden="1" customWidth="1"/>
    <col min="57" max="57" width="11.7109375" style="67" customWidth="1"/>
    <col min="58" max="58" width="11.7109375" style="67" hidden="1" customWidth="1"/>
    <col min="59" max="59" width="11.7109375" style="67" customWidth="1"/>
    <col min="60" max="60" width="11.7109375" style="67" hidden="1" customWidth="1"/>
    <col min="61" max="61" width="11.7109375" style="67" customWidth="1"/>
    <col min="62" max="62" width="11.7109375" style="67" hidden="1" customWidth="1"/>
    <col min="63" max="63" width="11.7109375" style="67" customWidth="1"/>
    <col min="64" max="64" width="11.7109375" style="67" hidden="1" customWidth="1"/>
    <col min="65" max="65" width="11.7109375" style="67" customWidth="1"/>
    <col min="66" max="66" width="11.7109375" style="67" hidden="1" customWidth="1"/>
    <col min="67" max="67" width="11.7109375" style="67" customWidth="1"/>
    <col min="68" max="68" width="11.7109375" style="67" hidden="1" customWidth="1"/>
    <col min="69" max="69" width="11.7109375" style="67" customWidth="1"/>
    <col min="70" max="70" width="11.7109375" style="67" hidden="1" customWidth="1"/>
    <col min="71" max="71" width="11.7109375" style="67" customWidth="1"/>
    <col min="72" max="72" width="11.7109375" style="67" hidden="1" customWidth="1"/>
    <col min="73" max="73" width="11.7109375" style="67" customWidth="1"/>
    <col min="74" max="74" width="11.7109375" style="67" hidden="1" customWidth="1"/>
    <col min="75" max="75" width="11.7109375" style="67" customWidth="1"/>
    <col min="76" max="76" width="11.7109375" style="67" hidden="1" customWidth="1"/>
    <col min="77" max="77" width="11.7109375" style="67" customWidth="1"/>
    <col min="78" max="78" width="11.7109375" style="67" hidden="1" customWidth="1"/>
    <col min="79" max="79" width="11.7109375" style="67" customWidth="1"/>
    <col min="80" max="80" width="11.7109375" style="67" hidden="1" customWidth="1"/>
    <col min="81" max="81" width="11.7109375" style="67" customWidth="1"/>
    <col min="82" max="82" width="11.7109375" style="67" hidden="1" customWidth="1"/>
    <col min="83" max="83" width="11.7109375" style="67" customWidth="1"/>
    <col min="84" max="84" width="11.7109375" style="67" hidden="1" customWidth="1"/>
    <col min="85" max="85" width="11.7109375" style="67" customWidth="1"/>
    <col min="86" max="86" width="11.7109375" style="67" hidden="1" customWidth="1"/>
    <col min="87" max="87" width="11.7109375" style="67" customWidth="1"/>
    <col min="88" max="88" width="11.7109375" style="67" hidden="1" customWidth="1"/>
    <col min="89" max="89" width="11.7109375" style="67" customWidth="1"/>
    <col min="90" max="90" width="11.7109375" style="67" hidden="1" customWidth="1"/>
    <col min="91" max="91" width="11.7109375" style="67" customWidth="1"/>
    <col min="92" max="92" width="11.7109375" style="67" hidden="1" customWidth="1"/>
    <col min="93" max="93" width="11.7109375" style="67" customWidth="1"/>
    <col min="94" max="94" width="11.7109375" style="67" hidden="1" customWidth="1"/>
    <col min="95" max="95" width="11.7109375" style="67" customWidth="1"/>
    <col min="96" max="96" width="11.7109375" style="67" hidden="1" customWidth="1"/>
    <col min="97" max="97" width="11.7109375" style="67" customWidth="1"/>
    <col min="98" max="98" width="11.7109375" style="67" hidden="1" customWidth="1"/>
    <col min="99" max="99" width="11.7109375" style="67" customWidth="1"/>
    <col min="100" max="100" width="11.7109375" style="67" hidden="1" customWidth="1"/>
    <col min="101" max="101" width="11.7109375" style="67" customWidth="1"/>
    <col min="102" max="102" width="11.7109375" style="67" hidden="1" customWidth="1"/>
    <col min="103" max="103" width="11.7109375" style="67" customWidth="1"/>
    <col min="104" max="104" width="11.7109375" style="67" hidden="1" customWidth="1"/>
    <col min="105" max="105" width="11.7109375" style="67" customWidth="1"/>
    <col min="106" max="106" width="11.7109375" style="67" hidden="1" customWidth="1"/>
    <col min="107" max="107" width="11.7109375" style="67" customWidth="1"/>
    <col min="108" max="108" width="11.7109375" style="67" hidden="1" customWidth="1"/>
    <col min="109" max="109" width="11.7109375" style="67" customWidth="1"/>
    <col min="110" max="110" width="11.7109375" style="67" hidden="1" customWidth="1"/>
    <col min="111" max="111" width="11.7109375" style="67" customWidth="1"/>
    <col min="112" max="112" width="11.7109375" style="67" hidden="1" customWidth="1"/>
    <col min="113" max="113" width="26.28515625" customWidth="1"/>
    <col min="114" max="114" width="11.5703125" hidden="1" customWidth="1"/>
  </cols>
  <sheetData>
    <row r="1" spans="1:114" s="110" customFormat="1" ht="43.5" customHeight="1">
      <c r="A1" s="611">
        <f>Arbeitszeit!xJahr</f>
        <v>44834</v>
      </c>
      <c r="B1" s="611"/>
      <c r="C1" s="339" t="s">
        <v>127</v>
      </c>
      <c r="D1" s="611">
        <f>Arbeitszeit!xJahrEnd</f>
        <v>45198</v>
      </c>
      <c r="E1" s="611"/>
      <c r="F1" s="323"/>
      <c r="G1" s="364">
        <v>1</v>
      </c>
      <c r="H1" s="364">
        <f>G1</f>
        <v>1</v>
      </c>
      <c r="I1" s="364">
        <v>2</v>
      </c>
      <c r="J1" s="364">
        <f>I1</f>
        <v>2</v>
      </c>
      <c r="K1" s="364">
        <v>3</v>
      </c>
      <c r="L1" s="364">
        <f>K1</f>
        <v>3</v>
      </c>
      <c r="M1" s="364">
        <v>4</v>
      </c>
      <c r="N1" s="364">
        <f>M1</f>
        <v>4</v>
      </c>
      <c r="O1" s="364">
        <v>5</v>
      </c>
      <c r="P1" s="364">
        <f>O1</f>
        <v>5</v>
      </c>
      <c r="Q1" s="364">
        <v>6</v>
      </c>
      <c r="R1" s="364">
        <f>Q1</f>
        <v>6</v>
      </c>
      <c r="S1" s="364">
        <v>7</v>
      </c>
      <c r="T1" s="364">
        <f>S1</f>
        <v>7</v>
      </c>
      <c r="U1" s="364">
        <v>8</v>
      </c>
      <c r="V1" s="364">
        <f>U1</f>
        <v>8</v>
      </c>
      <c r="W1" s="364">
        <v>9</v>
      </c>
      <c r="X1" s="364">
        <f>W1</f>
        <v>9</v>
      </c>
      <c r="Y1" s="364">
        <v>10</v>
      </c>
      <c r="Z1" s="364">
        <f>Y1</f>
        <v>10</v>
      </c>
      <c r="AA1" s="364">
        <v>11</v>
      </c>
      <c r="AB1" s="364">
        <f>AA1</f>
        <v>11</v>
      </c>
      <c r="AC1" s="364">
        <v>12</v>
      </c>
      <c r="AD1" s="364">
        <f>AC1</f>
        <v>12</v>
      </c>
      <c r="AE1" s="364">
        <v>13</v>
      </c>
      <c r="AF1" s="364">
        <f>AE1</f>
        <v>13</v>
      </c>
      <c r="AG1" s="364">
        <v>14</v>
      </c>
      <c r="AH1" s="364">
        <f>AG1</f>
        <v>14</v>
      </c>
      <c r="AI1" s="364">
        <v>15</v>
      </c>
      <c r="AJ1" s="364">
        <f>AI1</f>
        <v>15</v>
      </c>
      <c r="AK1" s="364">
        <v>16</v>
      </c>
      <c r="AL1" s="364">
        <f>AK1</f>
        <v>16</v>
      </c>
      <c r="AM1" s="452">
        <v>17</v>
      </c>
      <c r="AN1" s="364">
        <f>AM1</f>
        <v>17</v>
      </c>
      <c r="AO1" s="364">
        <v>18</v>
      </c>
      <c r="AP1" s="364">
        <f>AO1</f>
        <v>18</v>
      </c>
      <c r="AQ1" s="364">
        <v>19</v>
      </c>
      <c r="AR1" s="364">
        <f>AQ1</f>
        <v>19</v>
      </c>
      <c r="AS1" s="364">
        <v>20</v>
      </c>
      <c r="AT1" s="364">
        <f>AS1</f>
        <v>20</v>
      </c>
      <c r="AU1" s="364">
        <v>21</v>
      </c>
      <c r="AV1" s="340">
        <f>AU1</f>
        <v>21</v>
      </c>
      <c r="AW1" s="364">
        <v>22</v>
      </c>
      <c r="AX1" s="340">
        <f>AW1</f>
        <v>22</v>
      </c>
      <c r="AY1" s="364">
        <f>AW1+1</f>
        <v>23</v>
      </c>
      <c r="AZ1" s="340">
        <f>AY1</f>
        <v>23</v>
      </c>
      <c r="BA1" s="364">
        <f>AY1+1</f>
        <v>24</v>
      </c>
      <c r="BB1" s="340">
        <f>BA1</f>
        <v>24</v>
      </c>
      <c r="BC1" s="364">
        <f>BA1+1</f>
        <v>25</v>
      </c>
      <c r="BD1" s="340">
        <f>BC1</f>
        <v>25</v>
      </c>
      <c r="BE1" s="364">
        <f>BC1+1</f>
        <v>26</v>
      </c>
      <c r="BF1" s="340">
        <f>BE1</f>
        <v>26</v>
      </c>
      <c r="BG1" s="364">
        <f>BE1+1</f>
        <v>27</v>
      </c>
      <c r="BH1" s="340">
        <f>BG1</f>
        <v>27</v>
      </c>
      <c r="BI1" s="364">
        <f>BG1+1</f>
        <v>28</v>
      </c>
      <c r="BJ1" s="340">
        <f>BI1</f>
        <v>28</v>
      </c>
      <c r="BK1" s="364">
        <f>BI1+1</f>
        <v>29</v>
      </c>
      <c r="BL1" s="340">
        <f>BK1</f>
        <v>29</v>
      </c>
      <c r="BM1" s="364">
        <f>BK1+1</f>
        <v>30</v>
      </c>
      <c r="BN1" s="340">
        <f>BM1</f>
        <v>30</v>
      </c>
      <c r="BO1" s="364">
        <f>BM1+1</f>
        <v>31</v>
      </c>
      <c r="BP1" s="340">
        <f>BO1</f>
        <v>31</v>
      </c>
      <c r="BQ1" s="364">
        <f>BO1+1</f>
        <v>32</v>
      </c>
      <c r="BR1" s="340">
        <f>BQ1</f>
        <v>32</v>
      </c>
      <c r="BS1" s="364">
        <f>BQ1+1</f>
        <v>33</v>
      </c>
      <c r="BT1" s="340">
        <f>BS1</f>
        <v>33</v>
      </c>
      <c r="BU1" s="364">
        <f>BS1+1</f>
        <v>34</v>
      </c>
      <c r="BV1" s="340">
        <f>BU1</f>
        <v>34</v>
      </c>
      <c r="BW1" s="364">
        <f>BU1+1</f>
        <v>35</v>
      </c>
      <c r="BX1" s="340">
        <f>BW1</f>
        <v>35</v>
      </c>
      <c r="BY1" s="364">
        <f>BW1+1</f>
        <v>36</v>
      </c>
      <c r="BZ1" s="340">
        <f>BY1</f>
        <v>36</v>
      </c>
      <c r="CA1" s="364">
        <f>BY1+1</f>
        <v>37</v>
      </c>
      <c r="CB1" s="340">
        <f>CA1</f>
        <v>37</v>
      </c>
      <c r="CC1" s="364">
        <f>CA1+1</f>
        <v>38</v>
      </c>
      <c r="CD1" s="340">
        <f>CC1</f>
        <v>38</v>
      </c>
      <c r="CE1" s="364">
        <f>CC1+1</f>
        <v>39</v>
      </c>
      <c r="CF1" s="340">
        <f>CE1</f>
        <v>39</v>
      </c>
      <c r="CG1" s="364">
        <f>CE1+1</f>
        <v>40</v>
      </c>
      <c r="CH1" s="340">
        <f>CG1</f>
        <v>40</v>
      </c>
      <c r="CI1" s="364">
        <f>CG1+1</f>
        <v>41</v>
      </c>
      <c r="CJ1" s="340">
        <f>CI1</f>
        <v>41</v>
      </c>
      <c r="CK1" s="364">
        <f>CI1+1</f>
        <v>42</v>
      </c>
      <c r="CL1" s="340">
        <f>CK1</f>
        <v>42</v>
      </c>
      <c r="CM1" s="364">
        <f>CK1+1</f>
        <v>43</v>
      </c>
      <c r="CN1" s="340">
        <f>CM1</f>
        <v>43</v>
      </c>
      <c r="CO1" s="364">
        <f>CM1+1</f>
        <v>44</v>
      </c>
      <c r="CP1" s="340">
        <f>CO1</f>
        <v>44</v>
      </c>
      <c r="CQ1" s="364">
        <f>CO1+1</f>
        <v>45</v>
      </c>
      <c r="CR1" s="340">
        <f>CQ1</f>
        <v>45</v>
      </c>
      <c r="CS1" s="364">
        <f>CQ1+1</f>
        <v>46</v>
      </c>
      <c r="CT1" s="340">
        <f>CS1</f>
        <v>46</v>
      </c>
      <c r="CU1" s="364">
        <f>CS1+1</f>
        <v>47</v>
      </c>
      <c r="CV1" s="340">
        <f>CU1</f>
        <v>47</v>
      </c>
      <c r="CW1" s="364">
        <f>CU1+1</f>
        <v>48</v>
      </c>
      <c r="CX1" s="340">
        <f>CW1</f>
        <v>48</v>
      </c>
      <c r="CY1" s="364">
        <f>CW1+1</f>
        <v>49</v>
      </c>
      <c r="CZ1" s="340">
        <f>CY1</f>
        <v>49</v>
      </c>
      <c r="DA1" s="364">
        <f>CY1+1</f>
        <v>50</v>
      </c>
      <c r="DB1" s="340">
        <f>DA1</f>
        <v>50</v>
      </c>
      <c r="DC1" s="364">
        <f>DA1+1</f>
        <v>51</v>
      </c>
      <c r="DD1" s="340">
        <f>DC1</f>
        <v>51</v>
      </c>
      <c r="DE1" s="364">
        <f>DC1+1</f>
        <v>52</v>
      </c>
      <c r="DF1" s="340">
        <f>DE1</f>
        <v>52</v>
      </c>
      <c r="DG1" s="364">
        <f>DE1+1</f>
        <v>53</v>
      </c>
      <c r="DH1" s="340">
        <f>DG1</f>
        <v>53</v>
      </c>
      <c r="DI1" s="362" t="s">
        <v>10</v>
      </c>
    </row>
    <row r="2" spans="1:114" s="66" customFormat="1" ht="17.25" customHeight="1" thickBot="1">
      <c r="A2" s="612" t="s">
        <v>43</v>
      </c>
      <c r="B2" s="612"/>
      <c r="C2" s="612"/>
      <c r="D2" s="612"/>
      <c r="E2" s="612"/>
      <c r="F2" s="613"/>
      <c r="G2" s="460">
        <f>SUM(G4:G372)</f>
        <v>0</v>
      </c>
      <c r="H2" s="460"/>
      <c r="I2" s="460">
        <f>SUM(I4:I372)</f>
        <v>0</v>
      </c>
      <c r="J2" s="460"/>
      <c r="K2" s="460">
        <f>SUM(K4:K372)</f>
        <v>0</v>
      </c>
      <c r="L2" s="341"/>
      <c r="M2" s="460">
        <f>SUM(M4:M372)</f>
        <v>0</v>
      </c>
      <c r="N2" s="461"/>
      <c r="O2" s="460">
        <f>SUM(O4:O372)</f>
        <v>0</v>
      </c>
      <c r="P2" s="461"/>
      <c r="Q2" s="460">
        <f>SUM(Q4:Q372)</f>
        <v>0</v>
      </c>
      <c r="R2" s="461"/>
      <c r="S2" s="460">
        <f>SUM(S4:S372)</f>
        <v>0</v>
      </c>
      <c r="T2" s="461"/>
      <c r="U2" s="460">
        <f>SUM(U4:U372)</f>
        <v>0</v>
      </c>
      <c r="V2" s="461"/>
      <c r="W2" s="460">
        <f>SUM(W4:W372)</f>
        <v>0</v>
      </c>
      <c r="X2" s="461"/>
      <c r="Y2" s="460">
        <f>SUM(Y4:Y372)</f>
        <v>0</v>
      </c>
      <c r="Z2" s="461"/>
      <c r="AA2" s="460">
        <f>SUM(AA4:AA372)</f>
        <v>0</v>
      </c>
      <c r="AB2" s="461"/>
      <c r="AC2" s="460">
        <f>SUM(AC4:AC372)</f>
        <v>0</v>
      </c>
      <c r="AD2" s="461"/>
      <c r="AE2" s="460">
        <f>SUM(AE4:AE372)</f>
        <v>0</v>
      </c>
      <c r="AF2" s="341"/>
      <c r="AG2" s="460">
        <f>SUM(AG4:AG372)</f>
        <v>0</v>
      </c>
      <c r="AH2" s="341"/>
      <c r="AI2" s="460">
        <f>SUM(AI4:AI372)</f>
        <v>0</v>
      </c>
      <c r="AJ2" s="341"/>
      <c r="AK2" s="460">
        <f>SUM(AK4:AK372)</f>
        <v>0</v>
      </c>
      <c r="AL2" s="341"/>
      <c r="AM2" s="460">
        <f>SUM(AM4:AM372)</f>
        <v>0</v>
      </c>
      <c r="AN2" s="341"/>
      <c r="AO2" s="460">
        <f>SUM(AO4:AO372)</f>
        <v>0</v>
      </c>
      <c r="AP2" s="341"/>
      <c r="AQ2" s="460">
        <f>SUM(AQ4:AQ372)</f>
        <v>0</v>
      </c>
      <c r="AR2" s="341"/>
      <c r="AS2" s="460">
        <f>SUM(AS4:AS372)</f>
        <v>0</v>
      </c>
      <c r="AT2" s="341"/>
      <c r="AU2" s="460">
        <f>SUM(AU4:AU372)</f>
        <v>0</v>
      </c>
      <c r="AV2" s="341"/>
      <c r="AW2" s="460">
        <f>SUM(AW4:AW372)</f>
        <v>0</v>
      </c>
      <c r="AX2" s="341"/>
      <c r="AY2" s="460">
        <f>SUM(AY4:AY372)</f>
        <v>0</v>
      </c>
      <c r="AZ2" s="341"/>
      <c r="BA2" s="460">
        <f>SUM(BA4:BA372)</f>
        <v>0</v>
      </c>
      <c r="BB2" s="341"/>
      <c r="BC2" s="460">
        <f>SUM(BC4:BC372)</f>
        <v>0</v>
      </c>
      <c r="BD2" s="341"/>
      <c r="BE2" s="460">
        <f>SUM(BE4:BE372)</f>
        <v>0</v>
      </c>
      <c r="BF2" s="341"/>
      <c r="BG2" s="460">
        <f>SUM(BG4:BG372)</f>
        <v>0</v>
      </c>
      <c r="BH2" s="341"/>
      <c r="BI2" s="460">
        <f>SUM(BI4:BI372)</f>
        <v>0</v>
      </c>
      <c r="BJ2" s="341"/>
      <c r="BK2" s="460">
        <f>SUM(BK4:BK372)</f>
        <v>0</v>
      </c>
      <c r="BL2" s="341"/>
      <c r="BM2" s="460">
        <f>SUM(BM4:BM372)</f>
        <v>0</v>
      </c>
      <c r="BN2" s="341"/>
      <c r="BO2" s="460">
        <f>SUM(BO4:BO372)</f>
        <v>0</v>
      </c>
      <c r="BP2" s="341"/>
      <c r="BQ2" s="460">
        <f>SUM(BQ4:BQ372)</f>
        <v>0</v>
      </c>
      <c r="BR2" s="341"/>
      <c r="BS2" s="460">
        <f>SUM(BS4:BS372)</f>
        <v>0</v>
      </c>
      <c r="BT2" s="341"/>
      <c r="BU2" s="460">
        <f>SUM(BU4:BU372)</f>
        <v>0</v>
      </c>
      <c r="BV2" s="341"/>
      <c r="BW2" s="460">
        <f>SUM(BW4:BW372)</f>
        <v>0</v>
      </c>
      <c r="BX2" s="341"/>
      <c r="BY2" s="460">
        <f>SUM(BY4:BY372)</f>
        <v>0</v>
      </c>
      <c r="BZ2" s="341"/>
      <c r="CA2" s="460">
        <f>SUM(CA4:CA372)</f>
        <v>0</v>
      </c>
      <c r="CB2" s="341"/>
      <c r="CC2" s="460">
        <f>SUM(CC4:CC372)</f>
        <v>0</v>
      </c>
      <c r="CD2" s="341"/>
      <c r="CE2" s="460">
        <f>SUM(CE4:CE372)</f>
        <v>0</v>
      </c>
      <c r="CF2" s="341"/>
      <c r="CG2" s="460">
        <f>SUM(CG4:CG372)</f>
        <v>0</v>
      </c>
      <c r="CH2" s="341"/>
      <c r="CI2" s="460">
        <f>SUM(CI4:CI372)</f>
        <v>0</v>
      </c>
      <c r="CJ2" s="341"/>
      <c r="CK2" s="460">
        <f>SUM(CK4:CK372)</f>
        <v>0</v>
      </c>
      <c r="CL2" s="341"/>
      <c r="CM2" s="460">
        <f>SUM(CM4:CM372)</f>
        <v>0</v>
      </c>
      <c r="CN2" s="341"/>
      <c r="CO2" s="460">
        <f>SUM(CO4:CO372)</f>
        <v>0</v>
      </c>
      <c r="CP2" s="341"/>
      <c r="CQ2" s="460">
        <f>SUM(CQ4:CQ372)</f>
        <v>0</v>
      </c>
      <c r="CR2" s="341"/>
      <c r="CS2" s="460">
        <f>SUM(CS4:CS372)</f>
        <v>0</v>
      </c>
      <c r="CT2" s="341"/>
      <c r="CU2" s="460">
        <f>SUM(CU4:CU372)</f>
        <v>0</v>
      </c>
      <c r="CV2" s="341"/>
      <c r="CW2" s="460">
        <f>SUM(CW4:CW372)</f>
        <v>0</v>
      </c>
      <c r="CX2" s="341"/>
      <c r="CY2" s="460">
        <f>SUM(CY4:CY372)</f>
        <v>0</v>
      </c>
      <c r="CZ2" s="341"/>
      <c r="DA2" s="460">
        <f>SUM(DA4:DA372)</f>
        <v>0</v>
      </c>
      <c r="DB2" s="341"/>
      <c r="DC2" s="460">
        <f>SUM(DC4:DC372)</f>
        <v>0</v>
      </c>
      <c r="DD2" s="341"/>
      <c r="DE2" s="460">
        <f>SUM(DE4:DE372)</f>
        <v>0</v>
      </c>
      <c r="DF2" s="341"/>
      <c r="DG2" s="460">
        <f>SUM(DG4:DG372)</f>
        <v>0</v>
      </c>
      <c r="DH2" s="341"/>
      <c r="DI2" s="342"/>
    </row>
    <row r="3" spans="1:114" s="298" customFormat="1" ht="26.25" customHeight="1" thickTop="1">
      <c r="A3" s="297" t="s">
        <v>141</v>
      </c>
      <c r="B3" s="299" t="s">
        <v>33</v>
      </c>
      <c r="C3" s="299" t="s">
        <v>14</v>
      </c>
      <c r="D3" s="300" t="s">
        <v>15</v>
      </c>
      <c r="E3" s="303" t="s">
        <v>113</v>
      </c>
      <c r="F3" s="304" t="s">
        <v>114</v>
      </c>
      <c r="G3" s="305" t="str">
        <f>INDEX(g_NameAufgaben,G$1)</f>
        <v>Urlaub</v>
      </c>
      <c r="H3" s="308" t="str">
        <f>G3 &amp; " - " &amp;$DI$1</f>
        <v>Urlaub - Bemerkung</v>
      </c>
      <c r="I3" s="305" t="str">
        <f>INDEX(g_NameAufgaben,I$1)</f>
        <v>Krank</v>
      </c>
      <c r="J3" s="308" t="str">
        <f>I3 &amp; " - " &amp;$DI$1</f>
        <v>Krank - Bemerkung</v>
      </c>
      <c r="K3" s="307" t="str">
        <f>INDEX(g_NameAufgaben,K$1)</f>
        <v>Allgemein</v>
      </c>
      <c r="L3" s="311" t="str">
        <f>K3 &amp; "-" &amp;$DI$1</f>
        <v>Allgemein-Bemerkung</v>
      </c>
      <c r="M3" s="306" t="str">
        <f>INDEX(g_NameAufgaben,M$1)</f>
        <v>Aufgabe 01</v>
      </c>
      <c r="N3" s="312" t="str">
        <f>M3 &amp; " - " &amp;$DI$1</f>
        <v>Aufgabe 01 - Bemerkung</v>
      </c>
      <c r="O3" s="306" t="str">
        <f>INDEX(g_NameAufgaben,O$1)</f>
        <v>Aufgabe 02</v>
      </c>
      <c r="P3" s="312" t="str">
        <f>O3 &amp; " - " &amp;$DI$1</f>
        <v>Aufgabe 02 - Bemerkung</v>
      </c>
      <c r="Q3" s="306" t="str">
        <f>INDEX(g_NameAufgaben,Q$1)</f>
        <v>Aufgabe 03</v>
      </c>
      <c r="R3" s="312" t="str">
        <f>Q3 &amp; " - " &amp;$DI$1</f>
        <v>Aufgabe 03 - Bemerkung</v>
      </c>
      <c r="S3" s="306" t="str">
        <f>INDEX(g_NameAufgaben,S$1)</f>
        <v>Aufgabe 04</v>
      </c>
      <c r="T3" s="312" t="str">
        <f>S3 &amp; " - " &amp;$DI$1</f>
        <v>Aufgabe 04 - Bemerkung</v>
      </c>
      <c r="U3" s="306" t="str">
        <f>INDEX(g_NameAufgaben,U$1)</f>
        <v>Aufgabe 05</v>
      </c>
      <c r="V3" s="312" t="str">
        <f>U3 &amp; " - " &amp;$DI$1</f>
        <v>Aufgabe 05 - Bemerkung</v>
      </c>
      <c r="W3" s="306" t="str">
        <f>INDEX(g_NameAufgaben,W$1)</f>
        <v>Aufgabe 06</v>
      </c>
      <c r="X3" s="312" t="str">
        <f>W3 &amp; " - " &amp;$DI$1</f>
        <v>Aufgabe 06 - Bemerkung</v>
      </c>
      <c r="Y3" s="306" t="str">
        <f>INDEX(g_NameAufgaben,Y$1)</f>
        <v>Aufgabe 07</v>
      </c>
      <c r="Z3" s="312" t="str">
        <f>Y3 &amp; " - " &amp;$DI$1</f>
        <v>Aufgabe 07 - Bemerkung</v>
      </c>
      <c r="AA3" s="306" t="str">
        <f>INDEX(g_NameAufgaben,AA$1)</f>
        <v>Aufgabe 08</v>
      </c>
      <c r="AB3" s="312" t="str">
        <f>AA3 &amp; " - " &amp;$DI$1</f>
        <v>Aufgabe 08 - Bemerkung</v>
      </c>
      <c r="AC3" s="306" t="str">
        <f>INDEX(g_NameAufgaben,AC$1)</f>
        <v>Aufgabe 09</v>
      </c>
      <c r="AD3" s="312" t="str">
        <f>AC3 &amp; " - " &amp;$DI$1</f>
        <v>Aufgabe 09 - Bemerkung</v>
      </c>
      <c r="AE3" s="306" t="str">
        <f>INDEX(g_NameAufgaben,AE$1)</f>
        <v>Aufgabe 10</v>
      </c>
      <c r="AF3" s="312" t="str">
        <f>AE3 &amp; " - " &amp;$DI$1</f>
        <v>Aufgabe 10 - Bemerkung</v>
      </c>
      <c r="AG3" s="306" t="str">
        <f>INDEX(g_NameAufgaben,AG$1)</f>
        <v>Aufgabe 11</v>
      </c>
      <c r="AH3" s="312" t="str">
        <f>AG3 &amp; " - " &amp;$DI$1</f>
        <v>Aufgabe 11 - Bemerkung</v>
      </c>
      <c r="AI3" s="306" t="str">
        <f>INDEX(g_NameAufgaben,AI$1)</f>
        <v>Aufgabe 12</v>
      </c>
      <c r="AJ3" s="312" t="str">
        <f>AI3 &amp; " - " &amp;$DI$1</f>
        <v>Aufgabe 12 - Bemerkung</v>
      </c>
      <c r="AK3" s="306" t="str">
        <f>INDEX(g_NameAufgaben,AK$1)</f>
        <v>Aufgabe 13</v>
      </c>
      <c r="AL3" s="312" t="str">
        <f>AK3 &amp; " - " &amp;$DI$1</f>
        <v>Aufgabe 13 - Bemerkung</v>
      </c>
      <c r="AM3" s="306" t="str">
        <f>INDEX(g_NameAufgaben,AM$1)</f>
        <v>Aufgabe 14</v>
      </c>
      <c r="AN3" s="312" t="str">
        <f>AM3 &amp; " - " &amp;$DI$1</f>
        <v>Aufgabe 14 - Bemerkung</v>
      </c>
      <c r="AO3" s="306" t="str">
        <f>INDEX(g_NameAufgaben,AO$1)</f>
        <v>Aufgabe 15</v>
      </c>
      <c r="AP3" s="312" t="str">
        <f>AO3 &amp; " - " &amp;$DI$1</f>
        <v>Aufgabe 15 - Bemerkung</v>
      </c>
      <c r="AQ3" s="306" t="str">
        <f>INDEX(g_NameAufgaben,AQ$1)</f>
        <v>Aufgabe 16</v>
      </c>
      <c r="AR3" s="312" t="str">
        <f>AQ3 &amp; " - " &amp;$DI$1</f>
        <v>Aufgabe 16 - Bemerkung</v>
      </c>
      <c r="AS3" s="306" t="str">
        <f>INDEX(g_NameAufgaben,AS$1)</f>
        <v>Aufgabe 17</v>
      </c>
      <c r="AT3" s="312" t="str">
        <f>AS3 &amp; " - " &amp;$DI$1</f>
        <v>Aufgabe 17 - Bemerkung</v>
      </c>
      <c r="AU3" s="306" t="str">
        <f>INDEX(g_NameAufgaben,AU$1)</f>
        <v>Aufgabe 18</v>
      </c>
      <c r="AV3" s="312" t="str">
        <f>AU3 &amp; " - " &amp;$DI$1</f>
        <v>Aufgabe 18 - Bemerkung</v>
      </c>
      <c r="AW3" s="306" t="str">
        <f>INDEX(g_NameAufgaben,AW$1)</f>
        <v>Aufgabe 19</v>
      </c>
      <c r="AX3" s="312" t="str">
        <f>AW3 &amp; " - " &amp;$DI$1</f>
        <v>Aufgabe 19 - Bemerkung</v>
      </c>
      <c r="AY3" s="306" t="str">
        <f>INDEX(g_NameAufgaben,AY$1)</f>
        <v>Aufgabe 20</v>
      </c>
      <c r="AZ3" s="312" t="str">
        <f>AY3 &amp; " - " &amp;$DI$1</f>
        <v>Aufgabe 20 - Bemerkung</v>
      </c>
      <c r="BA3" s="306" t="str">
        <f>INDEX(g_NameAufgaben,BA$1)</f>
        <v>Aufgabe 21</v>
      </c>
      <c r="BB3" s="312" t="str">
        <f>BA3 &amp; " - " &amp;$DI$1</f>
        <v>Aufgabe 21 - Bemerkung</v>
      </c>
      <c r="BC3" s="306" t="str">
        <f>INDEX(g_NameAufgaben,BC$1)</f>
        <v>Aufgabe 22</v>
      </c>
      <c r="BD3" s="312" t="str">
        <f>BC3 &amp; " - " &amp;$DI$1</f>
        <v>Aufgabe 22 - Bemerkung</v>
      </c>
      <c r="BE3" s="306" t="str">
        <f>INDEX(g_NameAufgaben,BE$1)</f>
        <v>Aufgabe 23</v>
      </c>
      <c r="BF3" s="312" t="str">
        <f>BE3 &amp; " - " &amp;$DI$1</f>
        <v>Aufgabe 23 - Bemerkung</v>
      </c>
      <c r="BG3" s="306" t="str">
        <f>INDEX(g_NameAufgaben,BG$1)</f>
        <v>Aufgabe 24</v>
      </c>
      <c r="BH3" s="312" t="str">
        <f>BG3 &amp; " - " &amp;$DI$1</f>
        <v>Aufgabe 24 - Bemerkung</v>
      </c>
      <c r="BI3" s="306" t="str">
        <f>INDEX(g_NameAufgaben,BI$1)</f>
        <v>Aufgabe 25</v>
      </c>
      <c r="BJ3" s="312" t="str">
        <f>BI3 &amp; " - " &amp;$DI$1</f>
        <v>Aufgabe 25 - Bemerkung</v>
      </c>
      <c r="BK3" s="306" t="str">
        <f>INDEX(g_NameAufgaben,BK$1)</f>
        <v>Aufgabe 26</v>
      </c>
      <c r="BL3" s="312" t="str">
        <f>BK3 &amp; " - " &amp;$DI$1</f>
        <v>Aufgabe 26 - Bemerkung</v>
      </c>
      <c r="BM3" s="306" t="str">
        <f>INDEX(g_NameAufgaben,BM$1)</f>
        <v>Aufgabe 27</v>
      </c>
      <c r="BN3" s="312" t="str">
        <f>BM3 &amp; " - " &amp;$DI$1</f>
        <v>Aufgabe 27 - Bemerkung</v>
      </c>
      <c r="BO3" s="306" t="str">
        <f>INDEX(g_NameAufgaben,BO$1)</f>
        <v>Aufgabe 28</v>
      </c>
      <c r="BP3" s="312" t="str">
        <f>BO3 &amp; " - " &amp;$DI$1</f>
        <v>Aufgabe 28 - Bemerkung</v>
      </c>
      <c r="BQ3" s="306" t="str">
        <f>INDEX(g_NameAufgaben,BQ$1)</f>
        <v>Aufgabe 29</v>
      </c>
      <c r="BR3" s="312" t="str">
        <f>BQ3 &amp; " - " &amp;$DI$1</f>
        <v>Aufgabe 29 - Bemerkung</v>
      </c>
      <c r="BS3" s="306" t="str">
        <f>INDEX(g_NameAufgaben,BS$1)</f>
        <v>Aufgabe 30</v>
      </c>
      <c r="BT3" s="312" t="str">
        <f>BS3 &amp; " - " &amp;$DI$1</f>
        <v>Aufgabe 30 - Bemerkung</v>
      </c>
      <c r="BU3" s="306" t="str">
        <f>INDEX(g_NameAufgaben,BU$1)</f>
        <v>Aufgabe 31</v>
      </c>
      <c r="BV3" s="312" t="str">
        <f>BU3 &amp; " - " &amp;$DI$1</f>
        <v>Aufgabe 31 - Bemerkung</v>
      </c>
      <c r="BW3" s="306" t="str">
        <f>INDEX(g_NameAufgaben,BW$1)</f>
        <v>Aufgabe 32</v>
      </c>
      <c r="BX3" s="312" t="str">
        <f>BW3 &amp; " - " &amp;$DI$1</f>
        <v>Aufgabe 32 - Bemerkung</v>
      </c>
      <c r="BY3" s="306" t="str">
        <f>INDEX(g_NameAufgaben,BY$1)</f>
        <v>Aufgabe 33</v>
      </c>
      <c r="BZ3" s="312" t="str">
        <f>BY3 &amp; " - " &amp;$DI$1</f>
        <v>Aufgabe 33 - Bemerkung</v>
      </c>
      <c r="CA3" s="306" t="str">
        <f>INDEX(g_NameAufgaben,CA$1)</f>
        <v>Aufgabe 34</v>
      </c>
      <c r="CB3" s="312" t="str">
        <f>CA3 &amp; " - " &amp;$DI$1</f>
        <v>Aufgabe 34 - Bemerkung</v>
      </c>
      <c r="CC3" s="306" t="str">
        <f>INDEX(g_NameAufgaben,CC$1)</f>
        <v>Aufgabe 35</v>
      </c>
      <c r="CD3" s="312" t="str">
        <f>CC3 &amp; " - " &amp;$DI$1</f>
        <v>Aufgabe 35 - Bemerkung</v>
      </c>
      <c r="CE3" s="306" t="str">
        <f>INDEX(g_NameAufgaben,CE$1)</f>
        <v>Aufgabe 36</v>
      </c>
      <c r="CF3" s="312" t="str">
        <f>CE3 &amp; " - " &amp;$DI$1</f>
        <v>Aufgabe 36 - Bemerkung</v>
      </c>
      <c r="CG3" s="306" t="str">
        <f>INDEX(g_NameAufgaben,CG$1)</f>
        <v>Aufgabe 37</v>
      </c>
      <c r="CH3" s="312" t="str">
        <f>CG3 &amp; " - " &amp;$DI$1</f>
        <v>Aufgabe 37 - Bemerkung</v>
      </c>
      <c r="CI3" s="306" t="str">
        <f>INDEX(g_NameAufgaben,CI$1)</f>
        <v>Aufgabe 38</v>
      </c>
      <c r="CJ3" s="312" t="str">
        <f>CI3 &amp; " - " &amp;$DI$1</f>
        <v>Aufgabe 38 - Bemerkung</v>
      </c>
      <c r="CK3" s="306" t="str">
        <f>INDEX(g_NameAufgaben,CK$1)</f>
        <v>Aufgabe 39</v>
      </c>
      <c r="CL3" s="312" t="str">
        <f>CK3 &amp; " - " &amp;$DI$1</f>
        <v>Aufgabe 39 - Bemerkung</v>
      </c>
      <c r="CM3" s="306" t="str">
        <f>INDEX(g_NameAufgaben,CM$1)</f>
        <v>Aufgabe 40</v>
      </c>
      <c r="CN3" s="312" t="str">
        <f>CM3 &amp; " - " &amp;$DI$1</f>
        <v>Aufgabe 40 - Bemerkung</v>
      </c>
      <c r="CO3" s="306" t="str">
        <f>INDEX(g_NameAufgaben,CO$1)</f>
        <v>Aufgabe 41</v>
      </c>
      <c r="CP3" s="312" t="str">
        <f>CO3 &amp; " - " &amp;$DI$1</f>
        <v>Aufgabe 41 - Bemerkung</v>
      </c>
      <c r="CQ3" s="306" t="str">
        <f>INDEX(g_NameAufgaben,CQ$1)</f>
        <v>Aufgabe 42</v>
      </c>
      <c r="CR3" s="312" t="str">
        <f>CQ3 &amp; " - " &amp;$DI$1</f>
        <v>Aufgabe 42 - Bemerkung</v>
      </c>
      <c r="CS3" s="306" t="str">
        <f>INDEX(g_NameAufgaben,CS$1)</f>
        <v>Aufgabe 43</v>
      </c>
      <c r="CT3" s="312" t="str">
        <f>CS3 &amp; " - " &amp;$DI$1</f>
        <v>Aufgabe 43 - Bemerkung</v>
      </c>
      <c r="CU3" s="306" t="str">
        <f>INDEX(g_NameAufgaben,CU$1)</f>
        <v>Aufgabe 44</v>
      </c>
      <c r="CV3" s="312" t="str">
        <f>CU3 &amp; " - " &amp;$DI$1</f>
        <v>Aufgabe 44 - Bemerkung</v>
      </c>
      <c r="CW3" s="306" t="str">
        <f>INDEX(g_NameAufgaben,CW$1)</f>
        <v>Aufgabe 45</v>
      </c>
      <c r="CX3" s="312" t="str">
        <f>CW3 &amp; " - " &amp;$DI$1</f>
        <v>Aufgabe 45 - Bemerkung</v>
      </c>
      <c r="CY3" s="306" t="str">
        <f>INDEX(g_NameAufgaben,CY$1)</f>
        <v>Aufgabe 46</v>
      </c>
      <c r="CZ3" s="312" t="str">
        <f>CY3 &amp; " - " &amp;$DI$1</f>
        <v>Aufgabe 46 - Bemerkung</v>
      </c>
      <c r="DA3" s="306" t="str">
        <f>INDEX(g_NameAufgaben,DA$1)</f>
        <v>Aufgabe 47</v>
      </c>
      <c r="DB3" s="312" t="str">
        <f>DA3 &amp; " - " &amp;$DI$1</f>
        <v>Aufgabe 47 - Bemerkung</v>
      </c>
      <c r="DC3" s="306" t="str">
        <f>INDEX(g_NameAufgaben,DC$1)</f>
        <v>Aufgabe 48</v>
      </c>
      <c r="DD3" s="312" t="str">
        <f>DC3 &amp; " - " &amp;$DI$1</f>
        <v>Aufgabe 48 - Bemerkung</v>
      </c>
      <c r="DE3" s="306" t="str">
        <f>INDEX(g_NameAufgaben,DE$1)</f>
        <v>Aufgabe 49</v>
      </c>
      <c r="DF3" s="312" t="str">
        <f>DE3 &amp; " - " &amp;$DI$1</f>
        <v>Aufgabe 49 - Bemerkung</v>
      </c>
      <c r="DG3" s="306" t="str">
        <f>INDEX(g_NameAufgaben,DG$1)</f>
        <v>Aufgabe 50</v>
      </c>
      <c r="DH3" s="306" t="str">
        <f>DG3 &amp; " - " &amp;$DI$1</f>
        <v>Aufgabe 50 - Bemerkung</v>
      </c>
      <c r="DI3" s="363" t="s">
        <v>47</v>
      </c>
    </row>
    <row r="4" spans="1:114">
      <c r="A4" s="301" t="s">
        <v>112</v>
      </c>
      <c r="B4" s="301"/>
      <c r="C4" s="302"/>
      <c r="D4" s="302"/>
      <c r="E4" s="509">
        <f>Einstellungen!H10</f>
        <v>0</v>
      </c>
      <c r="F4" s="574">
        <f>ROUND(E4-SUM(K4:DG4),2)</f>
        <v>0</v>
      </c>
      <c r="G4" s="113">
        <f>IF(Arbeitszeit!F5=Urlaub,B_WorkTime*24,)</f>
        <v>0</v>
      </c>
      <c r="H4" s="111"/>
      <c r="I4" s="113">
        <f>IF(Arbeitszeit!F5=Krank,B_WorkTime*24,)</f>
        <v>0</v>
      </c>
      <c r="J4" s="111"/>
      <c r="K4" s="114"/>
      <c r="L4" s="115"/>
      <c r="M4" s="498"/>
      <c r="N4" s="499"/>
      <c r="O4" s="498"/>
      <c r="P4" s="499"/>
      <c r="Q4" s="498"/>
      <c r="R4" s="499"/>
      <c r="S4" s="498"/>
      <c r="T4" s="499"/>
      <c r="U4" s="498"/>
      <c r="V4" s="499"/>
      <c r="W4" s="498"/>
      <c r="X4" s="499"/>
      <c r="Y4" s="498"/>
      <c r="Z4" s="499"/>
      <c r="AA4" s="498"/>
      <c r="AB4" s="499"/>
      <c r="AC4" s="498"/>
      <c r="AD4" s="499"/>
      <c r="AE4" s="498"/>
      <c r="AF4" s="500"/>
      <c r="AG4" s="498"/>
      <c r="AH4" s="500"/>
      <c r="AI4" s="498"/>
      <c r="AJ4" s="500"/>
      <c r="AK4" s="498"/>
      <c r="AL4" s="500"/>
      <c r="AM4" s="501"/>
      <c r="AN4" s="500"/>
      <c r="AO4" s="498"/>
      <c r="AP4" s="500"/>
      <c r="AQ4" s="501"/>
      <c r="AR4" s="500"/>
      <c r="AS4" s="500"/>
      <c r="AT4" s="500"/>
      <c r="AU4" s="501"/>
      <c r="AV4" s="500"/>
      <c r="AW4" s="500"/>
      <c r="AX4" s="500"/>
      <c r="AY4" s="576"/>
      <c r="AZ4" s="576"/>
      <c r="BA4" s="576"/>
      <c r="BB4" s="576"/>
      <c r="BC4" s="576"/>
      <c r="BD4" s="576"/>
      <c r="BE4" s="576"/>
      <c r="BF4" s="576"/>
      <c r="BG4" s="576"/>
      <c r="BH4" s="576"/>
      <c r="BI4" s="576"/>
      <c r="BJ4" s="576"/>
      <c r="BK4" s="576"/>
      <c r="BL4" s="576"/>
      <c r="BM4" s="576"/>
      <c r="BN4" s="576"/>
      <c r="BO4" s="576"/>
      <c r="BP4" s="576"/>
      <c r="BQ4" s="576"/>
      <c r="BR4" s="576"/>
      <c r="BS4" s="576"/>
      <c r="BT4" s="576"/>
      <c r="BU4" s="576"/>
      <c r="BV4" s="576"/>
      <c r="BW4" s="576"/>
      <c r="BX4" s="576"/>
      <c r="BY4" s="576"/>
      <c r="BZ4" s="576"/>
      <c r="CA4" s="576"/>
      <c r="CB4" s="576"/>
      <c r="CC4" s="576"/>
      <c r="CD4" s="576"/>
      <c r="CE4" s="576"/>
      <c r="CF4" s="576"/>
      <c r="CG4" s="576"/>
      <c r="CH4" s="576"/>
      <c r="CI4" s="576"/>
      <c r="CJ4" s="576"/>
      <c r="CK4" s="576"/>
      <c r="CL4" s="576"/>
      <c r="CM4" s="576"/>
      <c r="CN4" s="576"/>
      <c r="CO4" s="576"/>
      <c r="CP4" s="576"/>
      <c r="CQ4" s="576"/>
      <c r="CR4" s="576"/>
      <c r="CS4" s="576"/>
      <c r="CT4" s="576"/>
      <c r="CU4" s="576"/>
      <c r="CV4" s="576"/>
      <c r="CW4" s="576"/>
      <c r="CX4" s="576"/>
      <c r="CY4" s="576"/>
      <c r="CZ4" s="576"/>
      <c r="DA4" s="576"/>
      <c r="DB4" s="576"/>
      <c r="DC4" s="576"/>
      <c r="DD4" s="576"/>
      <c r="DE4" s="576"/>
      <c r="DF4" s="576"/>
      <c r="DG4" s="576"/>
      <c r="DH4" s="116"/>
      <c r="DI4" s="112"/>
    </row>
    <row r="5" spans="1:114">
      <c r="A5" s="462">
        <f>Arbeitszeit!A6</f>
        <v>44834</v>
      </c>
      <c r="B5" s="463">
        <f>IF(A5="","",A5)</f>
        <v>44834</v>
      </c>
      <c r="C5" s="146">
        <f>IF(A5="","",NumberOfWeek(A5))</f>
        <v>40</v>
      </c>
      <c r="D5" s="145">
        <f>IF(A5="","",DATE(YEAR(A5),MONTH(A5),1))</f>
        <v>44834</v>
      </c>
      <c r="E5" s="510">
        <f>Arbeitszeit!V6*24</f>
        <v>0</v>
      </c>
      <c r="F5" s="574">
        <f t="shared" ref="F5:F68" si="0">ROUND(E5-SUM(K5:DG5),2)</f>
        <v>0</v>
      </c>
      <c r="G5" s="113">
        <f>IF(Arbeitszeit!F6=Urlaub,B_WorkTime*24,)</f>
        <v>0</v>
      </c>
      <c r="H5" s="111"/>
      <c r="I5" s="113">
        <f>IF(Arbeitszeit!F6=Krank,B_WorkTime*24,)</f>
        <v>0</v>
      </c>
      <c r="J5" s="111"/>
      <c r="K5" s="114"/>
      <c r="L5" s="115"/>
      <c r="M5" s="498"/>
      <c r="N5" s="499"/>
      <c r="O5" s="498"/>
      <c r="P5" s="499"/>
      <c r="Q5" s="498"/>
      <c r="R5" s="499"/>
      <c r="S5" s="498"/>
      <c r="T5" s="499"/>
      <c r="U5" s="498"/>
      <c r="V5" s="499"/>
      <c r="W5" s="498"/>
      <c r="X5" s="499"/>
      <c r="Y5" s="498"/>
      <c r="Z5" s="499"/>
      <c r="AA5" s="498"/>
      <c r="AB5" s="499"/>
      <c r="AC5" s="498"/>
      <c r="AD5" s="499"/>
      <c r="AE5" s="498"/>
      <c r="AF5" s="500"/>
      <c r="AG5" s="498"/>
      <c r="AH5" s="500"/>
      <c r="AI5" s="498"/>
      <c r="AJ5" s="500"/>
      <c r="AK5" s="498"/>
      <c r="AL5" s="500"/>
      <c r="AM5" s="501"/>
      <c r="AN5" s="500"/>
      <c r="AO5" s="498"/>
      <c r="AP5" s="500"/>
      <c r="AQ5" s="501"/>
      <c r="AR5" s="500"/>
      <c r="AS5" s="500"/>
      <c r="AT5" s="500"/>
      <c r="AU5" s="501"/>
      <c r="AV5" s="500"/>
      <c r="AW5" s="500"/>
      <c r="AX5" s="500"/>
      <c r="AY5" s="576"/>
      <c r="AZ5" s="576"/>
      <c r="BA5" s="576"/>
      <c r="BB5" s="576"/>
      <c r="BC5" s="576"/>
      <c r="BD5" s="576"/>
      <c r="BE5" s="576"/>
      <c r="BF5" s="576"/>
      <c r="BG5" s="576"/>
      <c r="BH5" s="576"/>
      <c r="BI5" s="576"/>
      <c r="BJ5" s="576"/>
      <c r="BK5" s="576"/>
      <c r="BL5" s="576"/>
      <c r="BM5" s="576"/>
      <c r="BN5" s="576"/>
      <c r="BO5" s="576"/>
      <c r="BP5" s="576"/>
      <c r="BQ5" s="576"/>
      <c r="BR5" s="576"/>
      <c r="BS5" s="576"/>
      <c r="BT5" s="576"/>
      <c r="BU5" s="576"/>
      <c r="BV5" s="576"/>
      <c r="BW5" s="576"/>
      <c r="BX5" s="576"/>
      <c r="BY5" s="576"/>
      <c r="BZ5" s="576"/>
      <c r="CA5" s="576"/>
      <c r="CB5" s="576"/>
      <c r="CC5" s="576"/>
      <c r="CD5" s="576"/>
      <c r="CE5" s="576"/>
      <c r="CF5" s="576"/>
      <c r="CG5" s="576"/>
      <c r="CH5" s="576"/>
      <c r="CI5" s="576"/>
      <c r="CJ5" s="576"/>
      <c r="CK5" s="576"/>
      <c r="CL5" s="576"/>
      <c r="CM5" s="576"/>
      <c r="CN5" s="576"/>
      <c r="CO5" s="576"/>
      <c r="CP5" s="576"/>
      <c r="CQ5" s="576"/>
      <c r="CR5" s="576"/>
      <c r="CS5" s="576"/>
      <c r="CT5" s="576"/>
      <c r="CU5" s="576"/>
      <c r="CV5" s="576"/>
      <c r="CW5" s="576"/>
      <c r="CX5" s="576"/>
      <c r="CY5" s="576"/>
      <c r="CZ5" s="576"/>
      <c r="DA5" s="576"/>
      <c r="DB5" s="576"/>
      <c r="DC5" s="576"/>
      <c r="DD5" s="576"/>
      <c r="DE5" s="576"/>
      <c r="DF5" s="576"/>
      <c r="DG5" s="576"/>
      <c r="DH5" s="116"/>
      <c r="DI5" s="112"/>
      <c r="DJ5">
        <f ca="1">INDIRECT(ADDRESS(ROW()+1,COLUMN(Arbeitszeit!xDay),,,"Arbeitszeit"))</f>
        <v>4</v>
      </c>
    </row>
    <row r="6" spans="1:114">
      <c r="A6" s="462">
        <f>Arbeitszeit!A7</f>
        <v>44835</v>
      </c>
      <c r="B6" s="463">
        <f t="shared" ref="B6:B69" si="1">IF(A6="","",A6)</f>
        <v>44835</v>
      </c>
      <c r="C6" s="146">
        <f>IF(A6="","",NumberOfWeek(A6))</f>
        <v>40</v>
      </c>
      <c r="D6" s="145">
        <f>IF(A6="","",DATE(YEAR(A6),MONTH(A6),1))</f>
        <v>44834</v>
      </c>
      <c r="E6" s="510">
        <f>Arbeitszeit!V7*24</f>
        <v>0</v>
      </c>
      <c r="F6" s="574">
        <f t="shared" si="0"/>
        <v>0</v>
      </c>
      <c r="G6" s="113">
        <f>IF(Arbeitszeit!F7=Urlaub,B_WorkTime*24,)</f>
        <v>0</v>
      </c>
      <c r="H6" s="111"/>
      <c r="I6" s="113">
        <f>IF(Arbeitszeit!F7=Krank,B_WorkTime*24,)</f>
        <v>0</v>
      </c>
      <c r="J6" s="111"/>
      <c r="K6" s="114"/>
      <c r="L6" s="115"/>
      <c r="M6" s="498"/>
      <c r="N6" s="499"/>
      <c r="O6" s="498"/>
      <c r="P6" s="499"/>
      <c r="Q6" s="498"/>
      <c r="R6" s="499"/>
      <c r="S6" s="498"/>
      <c r="T6" s="499"/>
      <c r="U6" s="498"/>
      <c r="V6" s="499"/>
      <c r="W6" s="498"/>
      <c r="X6" s="499"/>
      <c r="Y6" s="498"/>
      <c r="Z6" s="499"/>
      <c r="AA6" s="498"/>
      <c r="AB6" s="499"/>
      <c r="AC6" s="498"/>
      <c r="AD6" s="499"/>
      <c r="AE6" s="498"/>
      <c r="AF6" s="500"/>
      <c r="AG6" s="498"/>
      <c r="AH6" s="500"/>
      <c r="AI6" s="498"/>
      <c r="AJ6" s="500"/>
      <c r="AK6" s="498"/>
      <c r="AL6" s="500"/>
      <c r="AM6" s="501"/>
      <c r="AN6" s="500"/>
      <c r="AO6" s="498"/>
      <c r="AP6" s="500"/>
      <c r="AQ6" s="501"/>
      <c r="AR6" s="500"/>
      <c r="AS6" s="500"/>
      <c r="AT6" s="500"/>
      <c r="AU6" s="501"/>
      <c r="AV6" s="500"/>
      <c r="AW6" s="500"/>
      <c r="AX6" s="500"/>
      <c r="AY6" s="576"/>
      <c r="AZ6" s="576"/>
      <c r="BA6" s="576"/>
      <c r="BB6" s="576"/>
      <c r="BC6" s="576"/>
      <c r="BD6" s="576"/>
      <c r="BE6" s="576"/>
      <c r="BF6" s="576"/>
      <c r="BG6" s="576"/>
      <c r="BH6" s="576"/>
      <c r="BI6" s="576"/>
      <c r="BJ6" s="576"/>
      <c r="BK6" s="576"/>
      <c r="BL6" s="576"/>
      <c r="BM6" s="576"/>
      <c r="BN6" s="576"/>
      <c r="BO6" s="576"/>
      <c r="BP6" s="576"/>
      <c r="BQ6" s="576"/>
      <c r="BR6" s="576"/>
      <c r="BS6" s="576"/>
      <c r="BT6" s="576"/>
      <c r="BU6" s="576"/>
      <c r="BV6" s="576"/>
      <c r="BW6" s="576"/>
      <c r="BX6" s="576"/>
      <c r="BY6" s="576"/>
      <c r="BZ6" s="576"/>
      <c r="CA6" s="576"/>
      <c r="CB6" s="576"/>
      <c r="CC6" s="576"/>
      <c r="CD6" s="576"/>
      <c r="CE6" s="576"/>
      <c r="CF6" s="576"/>
      <c r="CG6" s="576"/>
      <c r="CH6" s="576"/>
      <c r="CI6" s="576"/>
      <c r="CJ6" s="576"/>
      <c r="CK6" s="576"/>
      <c r="CL6" s="576"/>
      <c r="CM6" s="576"/>
      <c r="CN6" s="576"/>
      <c r="CO6" s="576"/>
      <c r="CP6" s="576"/>
      <c r="CQ6" s="576"/>
      <c r="CR6" s="576"/>
      <c r="CS6" s="576"/>
      <c r="CT6" s="576"/>
      <c r="CU6" s="576"/>
      <c r="CV6" s="576"/>
      <c r="CW6" s="576"/>
      <c r="CX6" s="576"/>
      <c r="CY6" s="576"/>
      <c r="CZ6" s="576"/>
      <c r="DA6" s="576"/>
      <c r="DB6" s="576"/>
      <c r="DC6" s="576"/>
      <c r="DD6" s="576"/>
      <c r="DE6" s="576"/>
      <c r="DF6" s="576"/>
      <c r="DG6" s="576"/>
      <c r="DH6" s="116"/>
      <c r="DI6" s="112"/>
      <c r="DJ6">
        <f ca="1">INDIRECT(ADDRESS(ROW()+1,COLUMN(Arbeitszeit!xDay),,,"Arbeitszeit"))</f>
        <v>5</v>
      </c>
    </row>
    <row r="7" spans="1:114">
      <c r="A7" s="462">
        <f>Arbeitszeit!A8</f>
        <v>44836</v>
      </c>
      <c r="B7" s="463">
        <f t="shared" si="1"/>
        <v>44836</v>
      </c>
      <c r="C7" s="146">
        <f t="shared" ref="C7:C70" si="2">IF(A7="","",NumberOfWeek(A7))</f>
        <v>40</v>
      </c>
      <c r="D7" s="145">
        <f t="shared" ref="D7:D70" si="3">IF(A7="","",DATE(YEAR(A7),MONTH(A7),1))</f>
        <v>44834</v>
      </c>
      <c r="E7" s="510">
        <f>Arbeitszeit!V8*24</f>
        <v>0</v>
      </c>
      <c r="F7" s="574">
        <f t="shared" si="0"/>
        <v>0</v>
      </c>
      <c r="G7" s="113">
        <f>IF(Arbeitszeit!F8=Urlaub,B_WorkTime*24,)</f>
        <v>0</v>
      </c>
      <c r="H7" s="111"/>
      <c r="I7" s="113">
        <f>IF(Arbeitszeit!F8=Krank,B_WorkTime*24,)</f>
        <v>0</v>
      </c>
      <c r="J7" s="111"/>
      <c r="K7" s="114"/>
      <c r="L7" s="115"/>
      <c r="M7" s="498"/>
      <c r="N7" s="499"/>
      <c r="O7" s="498"/>
      <c r="P7" s="499"/>
      <c r="Q7" s="498"/>
      <c r="R7" s="499"/>
      <c r="S7" s="498"/>
      <c r="T7" s="499"/>
      <c r="U7" s="498"/>
      <c r="V7" s="499"/>
      <c r="W7" s="498"/>
      <c r="X7" s="499"/>
      <c r="Y7" s="498"/>
      <c r="Z7" s="499"/>
      <c r="AA7" s="498"/>
      <c r="AB7" s="499"/>
      <c r="AC7" s="498"/>
      <c r="AD7" s="499"/>
      <c r="AE7" s="498"/>
      <c r="AF7" s="500"/>
      <c r="AG7" s="498"/>
      <c r="AH7" s="500"/>
      <c r="AI7" s="498"/>
      <c r="AJ7" s="500"/>
      <c r="AK7" s="498"/>
      <c r="AL7" s="500"/>
      <c r="AM7" s="501"/>
      <c r="AN7" s="500"/>
      <c r="AO7" s="498"/>
      <c r="AP7" s="500"/>
      <c r="AQ7" s="501"/>
      <c r="AR7" s="500"/>
      <c r="AS7" s="500"/>
      <c r="AT7" s="500"/>
      <c r="AU7" s="501"/>
      <c r="AV7" s="500"/>
      <c r="AW7" s="500"/>
      <c r="AX7" s="500"/>
      <c r="AY7" s="576"/>
      <c r="AZ7" s="576"/>
      <c r="BA7" s="576"/>
      <c r="BB7" s="576"/>
      <c r="BC7" s="576"/>
      <c r="BD7" s="576"/>
      <c r="BE7" s="576"/>
      <c r="BF7" s="576"/>
      <c r="BG7" s="576"/>
      <c r="BH7" s="576"/>
      <c r="BI7" s="576"/>
      <c r="BJ7" s="576"/>
      <c r="BK7" s="576"/>
      <c r="BL7" s="576"/>
      <c r="BM7" s="576"/>
      <c r="BN7" s="576"/>
      <c r="BO7" s="576"/>
      <c r="BP7" s="576"/>
      <c r="BQ7" s="576"/>
      <c r="BR7" s="576"/>
      <c r="BS7" s="576"/>
      <c r="BT7" s="576"/>
      <c r="BU7" s="576"/>
      <c r="BV7" s="576"/>
      <c r="BW7" s="576"/>
      <c r="BX7" s="576"/>
      <c r="BY7" s="576"/>
      <c r="BZ7" s="576"/>
      <c r="CA7" s="576"/>
      <c r="CB7" s="576"/>
      <c r="CC7" s="576"/>
      <c r="CD7" s="576"/>
      <c r="CE7" s="576"/>
      <c r="CF7" s="576"/>
      <c r="CG7" s="576"/>
      <c r="CH7" s="576"/>
      <c r="CI7" s="576"/>
      <c r="CJ7" s="576"/>
      <c r="CK7" s="576"/>
      <c r="CL7" s="576"/>
      <c r="CM7" s="576"/>
      <c r="CN7" s="576"/>
      <c r="CO7" s="576"/>
      <c r="CP7" s="576"/>
      <c r="CQ7" s="576"/>
      <c r="CR7" s="576"/>
      <c r="CS7" s="576"/>
      <c r="CT7" s="576"/>
      <c r="CU7" s="576"/>
      <c r="CV7" s="576"/>
      <c r="CW7" s="576"/>
      <c r="CX7" s="576"/>
      <c r="CY7" s="576"/>
      <c r="CZ7" s="576"/>
      <c r="DA7" s="576"/>
      <c r="DB7" s="576"/>
      <c r="DC7" s="576"/>
      <c r="DD7" s="576"/>
      <c r="DE7" s="576"/>
      <c r="DF7" s="576"/>
      <c r="DG7" s="576"/>
      <c r="DH7" s="116"/>
      <c r="DI7" s="116"/>
      <c r="DJ7">
        <f ca="1">INDIRECT(ADDRESS(ROW()+1,COLUMN(Arbeitszeit!xDay),,,"Arbeitszeit"))</f>
        <v>8</v>
      </c>
    </row>
    <row r="8" spans="1:114">
      <c r="A8" s="462">
        <f>Arbeitszeit!A9</f>
        <v>44837</v>
      </c>
      <c r="B8" s="463">
        <f t="shared" si="1"/>
        <v>44837</v>
      </c>
      <c r="C8" s="146">
        <f t="shared" si="2"/>
        <v>40</v>
      </c>
      <c r="D8" s="145">
        <f t="shared" si="3"/>
        <v>44834</v>
      </c>
      <c r="E8" s="510">
        <f>Arbeitszeit!V9*24</f>
        <v>0</v>
      </c>
      <c r="F8" s="574">
        <f t="shared" si="0"/>
        <v>0</v>
      </c>
      <c r="G8" s="113">
        <f>IF(Arbeitszeit!F9=Urlaub,B_WorkTime*24,)</f>
        <v>0</v>
      </c>
      <c r="H8" s="111"/>
      <c r="I8" s="113">
        <f>IF(Arbeitszeit!F9=Krank,B_WorkTime*24,)</f>
        <v>0</v>
      </c>
      <c r="J8" s="111"/>
      <c r="K8" s="114"/>
      <c r="L8" s="115"/>
      <c r="M8" s="498"/>
      <c r="N8" s="499"/>
      <c r="O8" s="498"/>
      <c r="P8" s="499"/>
      <c r="Q8" s="498"/>
      <c r="R8" s="499"/>
      <c r="S8" s="498"/>
      <c r="T8" s="499"/>
      <c r="U8" s="498"/>
      <c r="V8" s="499"/>
      <c r="W8" s="498"/>
      <c r="X8" s="499"/>
      <c r="Y8" s="498"/>
      <c r="Z8" s="499"/>
      <c r="AA8" s="498"/>
      <c r="AB8" s="499"/>
      <c r="AC8" s="498"/>
      <c r="AD8" s="499"/>
      <c r="AE8" s="498"/>
      <c r="AF8" s="500"/>
      <c r="AG8" s="498"/>
      <c r="AH8" s="500"/>
      <c r="AI8" s="498"/>
      <c r="AJ8" s="500"/>
      <c r="AK8" s="498"/>
      <c r="AL8" s="500"/>
      <c r="AM8" s="501"/>
      <c r="AN8" s="500"/>
      <c r="AO8" s="498"/>
      <c r="AP8" s="500"/>
      <c r="AQ8" s="501"/>
      <c r="AR8" s="500"/>
      <c r="AS8" s="500"/>
      <c r="AT8" s="500"/>
      <c r="AU8" s="501"/>
      <c r="AV8" s="500"/>
      <c r="AW8" s="500"/>
      <c r="AX8" s="500"/>
      <c r="AY8" s="576"/>
      <c r="AZ8" s="576"/>
      <c r="BA8" s="576"/>
      <c r="BB8" s="576"/>
      <c r="BC8" s="576"/>
      <c r="BD8" s="576"/>
      <c r="BE8" s="576"/>
      <c r="BF8" s="576"/>
      <c r="BG8" s="576"/>
      <c r="BH8" s="576"/>
      <c r="BI8" s="576"/>
      <c r="BJ8" s="576"/>
      <c r="BK8" s="576"/>
      <c r="BL8" s="576"/>
      <c r="BM8" s="576"/>
      <c r="BN8" s="576"/>
      <c r="BO8" s="576"/>
      <c r="BP8" s="576"/>
      <c r="BQ8" s="576"/>
      <c r="BR8" s="576"/>
      <c r="BS8" s="576"/>
      <c r="BT8" s="576"/>
      <c r="BU8" s="576"/>
      <c r="BV8" s="576"/>
      <c r="BW8" s="576"/>
      <c r="BX8" s="576"/>
      <c r="BY8" s="576"/>
      <c r="BZ8" s="576"/>
      <c r="CA8" s="576"/>
      <c r="CB8" s="576"/>
      <c r="CC8" s="576"/>
      <c r="CD8" s="576"/>
      <c r="CE8" s="576"/>
      <c r="CF8" s="576"/>
      <c r="CG8" s="576"/>
      <c r="CH8" s="576"/>
      <c r="CI8" s="576"/>
      <c r="CJ8" s="576"/>
      <c r="CK8" s="576"/>
      <c r="CL8" s="576"/>
      <c r="CM8" s="576"/>
      <c r="CN8" s="576"/>
      <c r="CO8" s="576"/>
      <c r="CP8" s="576"/>
      <c r="CQ8" s="576"/>
      <c r="CR8" s="576"/>
      <c r="CS8" s="576"/>
      <c r="CT8" s="576"/>
      <c r="CU8" s="576"/>
      <c r="CV8" s="576"/>
      <c r="CW8" s="576"/>
      <c r="CX8" s="576"/>
      <c r="CY8" s="576"/>
      <c r="CZ8" s="576"/>
      <c r="DA8" s="576"/>
      <c r="DB8" s="576"/>
      <c r="DC8" s="576"/>
      <c r="DD8" s="576"/>
      <c r="DE8" s="576"/>
      <c r="DF8" s="576"/>
      <c r="DG8" s="576"/>
      <c r="DH8" s="116"/>
      <c r="DI8" s="112"/>
      <c r="DJ8">
        <f ca="1">INDIRECT(ADDRESS(ROW()+1,COLUMN(Arbeitszeit!xDay),,,"Arbeitszeit"))</f>
        <v>7</v>
      </c>
    </row>
    <row r="9" spans="1:114">
      <c r="A9" s="462">
        <f>Arbeitszeit!A10</f>
        <v>44838</v>
      </c>
      <c r="B9" s="463">
        <f t="shared" si="1"/>
        <v>44838</v>
      </c>
      <c r="C9" s="146">
        <f t="shared" si="2"/>
        <v>41</v>
      </c>
      <c r="D9" s="145">
        <f t="shared" si="3"/>
        <v>44834</v>
      </c>
      <c r="E9" s="510">
        <f>Arbeitszeit!V10*24</f>
        <v>0</v>
      </c>
      <c r="F9" s="574">
        <f t="shared" si="0"/>
        <v>0</v>
      </c>
      <c r="G9" s="113">
        <f>IF(Arbeitszeit!F10=Urlaub,B_WorkTime*24,)</f>
        <v>0</v>
      </c>
      <c r="H9" s="111"/>
      <c r="I9" s="113">
        <f>IF(Arbeitszeit!F10=Krank,B_WorkTime*24,)</f>
        <v>0</v>
      </c>
      <c r="J9" s="111"/>
      <c r="K9" s="114"/>
      <c r="L9" s="115"/>
      <c r="M9" s="498"/>
      <c r="N9" s="499"/>
      <c r="O9" s="498"/>
      <c r="P9" s="499"/>
      <c r="Q9" s="498"/>
      <c r="R9" s="499"/>
      <c r="S9" s="498"/>
      <c r="T9" s="499"/>
      <c r="U9" s="498"/>
      <c r="V9" s="499"/>
      <c r="W9" s="498"/>
      <c r="X9" s="499"/>
      <c r="Y9" s="498"/>
      <c r="Z9" s="499"/>
      <c r="AA9" s="498"/>
      <c r="AB9" s="499"/>
      <c r="AC9" s="498"/>
      <c r="AD9" s="499"/>
      <c r="AE9" s="498"/>
      <c r="AF9" s="500"/>
      <c r="AG9" s="498"/>
      <c r="AH9" s="500"/>
      <c r="AI9" s="498"/>
      <c r="AJ9" s="500"/>
      <c r="AK9" s="498"/>
      <c r="AL9" s="500"/>
      <c r="AM9" s="501"/>
      <c r="AN9" s="500"/>
      <c r="AO9" s="498"/>
      <c r="AP9" s="500"/>
      <c r="AQ9" s="501"/>
      <c r="AR9" s="500"/>
      <c r="AS9" s="500"/>
      <c r="AT9" s="500"/>
      <c r="AU9" s="501"/>
      <c r="AV9" s="500"/>
      <c r="AW9" s="500"/>
      <c r="AX9" s="500"/>
      <c r="AY9" s="576"/>
      <c r="AZ9" s="576"/>
      <c r="BA9" s="576"/>
      <c r="BB9" s="576"/>
      <c r="BC9" s="576"/>
      <c r="BD9" s="576"/>
      <c r="BE9" s="576"/>
      <c r="BF9" s="576"/>
      <c r="BG9" s="576"/>
      <c r="BH9" s="576"/>
      <c r="BI9" s="576"/>
      <c r="BJ9" s="576"/>
      <c r="BK9" s="576"/>
      <c r="BL9" s="576"/>
      <c r="BM9" s="576"/>
      <c r="BN9" s="576"/>
      <c r="BO9" s="576"/>
      <c r="BP9" s="576"/>
      <c r="BQ9" s="576"/>
      <c r="BR9" s="576"/>
      <c r="BS9" s="576"/>
      <c r="BT9" s="576"/>
      <c r="BU9" s="576"/>
      <c r="BV9" s="576"/>
      <c r="BW9" s="576"/>
      <c r="BX9" s="576"/>
      <c r="BY9" s="576"/>
      <c r="BZ9" s="576"/>
      <c r="CA9" s="576"/>
      <c r="CB9" s="576"/>
      <c r="CC9" s="576"/>
      <c r="CD9" s="576"/>
      <c r="CE9" s="576"/>
      <c r="CF9" s="576"/>
      <c r="CG9" s="576"/>
      <c r="CH9" s="576"/>
      <c r="CI9" s="576"/>
      <c r="CJ9" s="576"/>
      <c r="CK9" s="576"/>
      <c r="CL9" s="576"/>
      <c r="CM9" s="576"/>
      <c r="CN9" s="576"/>
      <c r="CO9" s="576"/>
      <c r="CP9" s="576"/>
      <c r="CQ9" s="576"/>
      <c r="CR9" s="576"/>
      <c r="CS9" s="576"/>
      <c r="CT9" s="576"/>
      <c r="CU9" s="576"/>
      <c r="CV9" s="576"/>
      <c r="CW9" s="576"/>
      <c r="CX9" s="576"/>
      <c r="CY9" s="576"/>
      <c r="CZ9" s="576"/>
      <c r="DA9" s="576"/>
      <c r="DB9" s="576"/>
      <c r="DC9" s="576"/>
      <c r="DD9" s="576"/>
      <c r="DE9" s="576"/>
      <c r="DF9" s="576"/>
      <c r="DG9" s="576"/>
      <c r="DH9" s="116"/>
      <c r="DI9" s="112"/>
      <c r="DJ9">
        <f ca="1">INDIRECT(ADDRESS(ROW()+1,COLUMN(Arbeitszeit!xDay),,,"Arbeitszeit"))</f>
        <v>1</v>
      </c>
    </row>
    <row r="10" spans="1:114">
      <c r="A10" s="462">
        <f>Arbeitszeit!A11</f>
        <v>44839</v>
      </c>
      <c r="B10" s="463">
        <f t="shared" si="1"/>
        <v>44839</v>
      </c>
      <c r="C10" s="146">
        <f t="shared" si="2"/>
        <v>41</v>
      </c>
      <c r="D10" s="145">
        <f t="shared" si="3"/>
        <v>44834</v>
      </c>
      <c r="E10" s="510">
        <f>Arbeitszeit!V11*24</f>
        <v>0</v>
      </c>
      <c r="F10" s="574">
        <f t="shared" si="0"/>
        <v>0</v>
      </c>
      <c r="G10" s="113">
        <f>IF(Arbeitszeit!F11=Urlaub,B_WorkTime*24,)</f>
        <v>0</v>
      </c>
      <c r="H10" s="111"/>
      <c r="I10" s="113">
        <f>IF(Arbeitszeit!F11=Krank,B_WorkTime*24,)</f>
        <v>0</v>
      </c>
      <c r="J10" s="111"/>
      <c r="K10" s="114"/>
      <c r="L10" s="115"/>
      <c r="M10" s="498"/>
      <c r="N10" s="499"/>
      <c r="O10" s="498"/>
      <c r="P10" s="499"/>
      <c r="Q10" s="498"/>
      <c r="R10" s="499"/>
      <c r="S10" s="498"/>
      <c r="T10" s="499"/>
      <c r="U10" s="498"/>
      <c r="V10" s="499"/>
      <c r="W10" s="498"/>
      <c r="X10" s="499"/>
      <c r="Y10" s="498"/>
      <c r="Z10" s="499"/>
      <c r="AA10" s="498"/>
      <c r="AB10" s="499"/>
      <c r="AC10" s="498"/>
      <c r="AD10" s="499"/>
      <c r="AE10" s="498"/>
      <c r="AF10" s="500"/>
      <c r="AG10" s="498"/>
      <c r="AH10" s="500"/>
      <c r="AI10" s="498"/>
      <c r="AJ10" s="500"/>
      <c r="AK10" s="498"/>
      <c r="AL10" s="500"/>
      <c r="AM10" s="501"/>
      <c r="AN10" s="500"/>
      <c r="AO10" s="498"/>
      <c r="AP10" s="500"/>
      <c r="AQ10" s="501"/>
      <c r="AR10" s="500"/>
      <c r="AS10" s="500"/>
      <c r="AT10" s="500"/>
      <c r="AU10" s="501"/>
      <c r="AV10" s="500"/>
      <c r="AW10" s="500"/>
      <c r="AX10" s="500"/>
      <c r="AY10" s="576"/>
      <c r="AZ10" s="576"/>
      <c r="BA10" s="576"/>
      <c r="BB10" s="576"/>
      <c r="BC10" s="576"/>
      <c r="BD10" s="576"/>
      <c r="BE10" s="576"/>
      <c r="BF10" s="576"/>
      <c r="BG10" s="576"/>
      <c r="BH10" s="576"/>
      <c r="BI10" s="576"/>
      <c r="BJ10" s="576"/>
      <c r="BK10" s="576"/>
      <c r="BL10" s="576"/>
      <c r="BM10" s="576"/>
      <c r="BN10" s="576"/>
      <c r="BO10" s="576"/>
      <c r="BP10" s="576"/>
      <c r="BQ10" s="576"/>
      <c r="BR10" s="576"/>
      <c r="BS10" s="576"/>
      <c r="BT10" s="576"/>
      <c r="BU10" s="576"/>
      <c r="BV10" s="576"/>
      <c r="BW10" s="576"/>
      <c r="BX10" s="576"/>
      <c r="BY10" s="576"/>
      <c r="BZ10" s="576"/>
      <c r="CA10" s="576"/>
      <c r="CB10" s="576"/>
      <c r="CC10" s="576"/>
      <c r="CD10" s="576"/>
      <c r="CE10" s="576"/>
      <c r="CF10" s="576"/>
      <c r="CG10" s="576"/>
      <c r="CH10" s="576"/>
      <c r="CI10" s="576"/>
      <c r="CJ10" s="576"/>
      <c r="CK10" s="576"/>
      <c r="CL10" s="576"/>
      <c r="CM10" s="576"/>
      <c r="CN10" s="576"/>
      <c r="CO10" s="576"/>
      <c r="CP10" s="576"/>
      <c r="CQ10" s="576"/>
      <c r="CR10" s="576"/>
      <c r="CS10" s="576"/>
      <c r="CT10" s="576"/>
      <c r="CU10" s="576"/>
      <c r="CV10" s="576"/>
      <c r="CW10" s="576"/>
      <c r="CX10" s="576"/>
      <c r="CY10" s="576"/>
      <c r="CZ10" s="576"/>
      <c r="DA10" s="576"/>
      <c r="DB10" s="576"/>
      <c r="DC10" s="576"/>
      <c r="DD10" s="576"/>
      <c r="DE10" s="576"/>
      <c r="DF10" s="576"/>
      <c r="DG10" s="576"/>
      <c r="DH10" s="116"/>
      <c r="DI10" s="112"/>
      <c r="DJ10">
        <f ca="1">INDIRECT(ADDRESS(ROW()+1,COLUMN(Arbeitszeit!xDay),,,"Arbeitszeit"))</f>
        <v>2</v>
      </c>
    </row>
    <row r="11" spans="1:114">
      <c r="A11" s="462">
        <f>Arbeitszeit!A12</f>
        <v>44840</v>
      </c>
      <c r="B11" s="463">
        <f t="shared" si="1"/>
        <v>44840</v>
      </c>
      <c r="C11" s="146">
        <f t="shared" si="2"/>
        <v>41</v>
      </c>
      <c r="D11" s="145">
        <f t="shared" si="3"/>
        <v>44834</v>
      </c>
      <c r="E11" s="510">
        <f>Arbeitszeit!V12*24</f>
        <v>0</v>
      </c>
      <c r="F11" s="574">
        <f t="shared" si="0"/>
        <v>0</v>
      </c>
      <c r="G11" s="113">
        <f>IF(Arbeitszeit!F12=Urlaub,B_WorkTime*24,)</f>
        <v>0</v>
      </c>
      <c r="H11" s="111"/>
      <c r="I11" s="113">
        <f>IF(Arbeitszeit!F12=Krank,B_WorkTime*24,)</f>
        <v>0</v>
      </c>
      <c r="J11" s="111"/>
      <c r="K11" s="114"/>
      <c r="L11" s="115"/>
      <c r="M11" s="498"/>
      <c r="N11" s="499"/>
      <c r="O11" s="498"/>
      <c r="P11" s="499"/>
      <c r="Q11" s="498"/>
      <c r="R11" s="499"/>
      <c r="S11" s="498"/>
      <c r="T11" s="499"/>
      <c r="U11" s="498"/>
      <c r="V11" s="499"/>
      <c r="W11" s="498"/>
      <c r="X11" s="499"/>
      <c r="Y11" s="498"/>
      <c r="Z11" s="499"/>
      <c r="AA11" s="498"/>
      <c r="AB11" s="499"/>
      <c r="AC11" s="498"/>
      <c r="AD11" s="499"/>
      <c r="AE11" s="498"/>
      <c r="AF11" s="500"/>
      <c r="AG11" s="498"/>
      <c r="AH11" s="500"/>
      <c r="AI11" s="498"/>
      <c r="AJ11" s="500"/>
      <c r="AK11" s="498"/>
      <c r="AL11" s="500"/>
      <c r="AM11" s="501"/>
      <c r="AN11" s="500"/>
      <c r="AO11" s="498"/>
      <c r="AP11" s="500"/>
      <c r="AQ11" s="501"/>
      <c r="AR11" s="500"/>
      <c r="AS11" s="500"/>
      <c r="AT11" s="500"/>
      <c r="AU11" s="501"/>
      <c r="AV11" s="500"/>
      <c r="AW11" s="500"/>
      <c r="AX11" s="500"/>
      <c r="AY11" s="576"/>
      <c r="AZ11" s="576"/>
      <c r="BA11" s="576"/>
      <c r="BB11" s="576"/>
      <c r="BC11" s="576"/>
      <c r="BD11" s="576"/>
      <c r="BE11" s="576"/>
      <c r="BF11" s="576"/>
      <c r="BG11" s="576"/>
      <c r="BH11" s="576"/>
      <c r="BI11" s="576"/>
      <c r="BJ11" s="576"/>
      <c r="BK11" s="576"/>
      <c r="BL11" s="576"/>
      <c r="BM11" s="576"/>
      <c r="BN11" s="576"/>
      <c r="BO11" s="576"/>
      <c r="BP11" s="576"/>
      <c r="BQ11" s="576"/>
      <c r="BR11" s="576"/>
      <c r="BS11" s="576"/>
      <c r="BT11" s="576"/>
      <c r="BU11" s="576"/>
      <c r="BV11" s="576"/>
      <c r="BW11" s="576"/>
      <c r="BX11" s="576"/>
      <c r="BY11" s="576"/>
      <c r="BZ11" s="576"/>
      <c r="CA11" s="576"/>
      <c r="CB11" s="576"/>
      <c r="CC11" s="576"/>
      <c r="CD11" s="576"/>
      <c r="CE11" s="576"/>
      <c r="CF11" s="576"/>
      <c r="CG11" s="576"/>
      <c r="CH11" s="576"/>
      <c r="CI11" s="576"/>
      <c r="CJ11" s="576"/>
      <c r="CK11" s="576"/>
      <c r="CL11" s="576"/>
      <c r="CM11" s="576"/>
      <c r="CN11" s="576"/>
      <c r="CO11" s="576"/>
      <c r="CP11" s="576"/>
      <c r="CQ11" s="576"/>
      <c r="CR11" s="576"/>
      <c r="CS11" s="576"/>
      <c r="CT11" s="576"/>
      <c r="CU11" s="576"/>
      <c r="CV11" s="576"/>
      <c r="CW11" s="576"/>
      <c r="CX11" s="576"/>
      <c r="CY11" s="576"/>
      <c r="CZ11" s="576"/>
      <c r="DA11" s="576"/>
      <c r="DB11" s="576"/>
      <c r="DC11" s="576"/>
      <c r="DD11" s="576"/>
      <c r="DE11" s="576"/>
      <c r="DF11" s="576"/>
      <c r="DG11" s="576"/>
      <c r="DH11" s="116"/>
      <c r="DI11" s="112"/>
      <c r="DJ11">
        <f ca="1">INDIRECT(ADDRESS(ROW()+1,COLUMN(Arbeitszeit!xDay),,,"Arbeitszeit"))</f>
        <v>3</v>
      </c>
    </row>
    <row r="12" spans="1:114">
      <c r="A12" s="462">
        <f>Arbeitszeit!A13</f>
        <v>44841</v>
      </c>
      <c r="B12" s="463">
        <f t="shared" si="1"/>
        <v>44841</v>
      </c>
      <c r="C12" s="146">
        <f t="shared" si="2"/>
        <v>41</v>
      </c>
      <c r="D12" s="145">
        <f t="shared" si="3"/>
        <v>44834</v>
      </c>
      <c r="E12" s="510">
        <f>Arbeitszeit!V13*24</f>
        <v>0</v>
      </c>
      <c r="F12" s="574">
        <f t="shared" si="0"/>
        <v>0</v>
      </c>
      <c r="G12" s="113">
        <f>IF(Arbeitszeit!F13=Urlaub,B_WorkTime*24,)</f>
        <v>0</v>
      </c>
      <c r="H12" s="111"/>
      <c r="I12" s="113">
        <f>IF(Arbeitszeit!F13=Krank,B_WorkTime*24,)</f>
        <v>0</v>
      </c>
      <c r="J12" s="111"/>
      <c r="K12" s="114"/>
      <c r="L12" s="115"/>
      <c r="M12" s="498"/>
      <c r="N12" s="499"/>
      <c r="O12" s="498"/>
      <c r="P12" s="499"/>
      <c r="Q12" s="498"/>
      <c r="R12" s="499"/>
      <c r="S12" s="498"/>
      <c r="T12" s="499"/>
      <c r="U12" s="498"/>
      <c r="V12" s="499"/>
      <c r="W12" s="498"/>
      <c r="X12" s="499"/>
      <c r="Y12" s="498"/>
      <c r="Z12" s="499"/>
      <c r="AA12" s="498"/>
      <c r="AB12" s="499"/>
      <c r="AC12" s="498"/>
      <c r="AD12" s="499"/>
      <c r="AE12" s="498"/>
      <c r="AF12" s="500"/>
      <c r="AG12" s="498"/>
      <c r="AH12" s="500"/>
      <c r="AI12" s="498"/>
      <c r="AJ12" s="500"/>
      <c r="AK12" s="498"/>
      <c r="AL12" s="500"/>
      <c r="AM12" s="501"/>
      <c r="AN12" s="500"/>
      <c r="AO12" s="498"/>
      <c r="AP12" s="500"/>
      <c r="AQ12" s="501"/>
      <c r="AR12" s="500"/>
      <c r="AS12" s="500"/>
      <c r="AT12" s="500"/>
      <c r="AU12" s="501"/>
      <c r="AV12" s="500"/>
      <c r="AW12" s="500"/>
      <c r="AX12" s="500"/>
      <c r="AY12" s="576"/>
      <c r="AZ12" s="576"/>
      <c r="BA12" s="576"/>
      <c r="BB12" s="576"/>
      <c r="BC12" s="576"/>
      <c r="BD12" s="576"/>
      <c r="BE12" s="576"/>
      <c r="BF12" s="576"/>
      <c r="BG12" s="576"/>
      <c r="BH12" s="576"/>
      <c r="BI12" s="576"/>
      <c r="BJ12" s="576"/>
      <c r="BK12" s="576"/>
      <c r="BL12" s="576"/>
      <c r="BM12" s="576"/>
      <c r="BN12" s="576"/>
      <c r="BO12" s="576"/>
      <c r="BP12" s="576"/>
      <c r="BQ12" s="576"/>
      <c r="BR12" s="576"/>
      <c r="BS12" s="576"/>
      <c r="BT12" s="576"/>
      <c r="BU12" s="576"/>
      <c r="BV12" s="576"/>
      <c r="BW12" s="576"/>
      <c r="BX12" s="576"/>
      <c r="BY12" s="576"/>
      <c r="BZ12" s="576"/>
      <c r="CA12" s="576"/>
      <c r="CB12" s="576"/>
      <c r="CC12" s="576"/>
      <c r="CD12" s="576"/>
      <c r="CE12" s="576"/>
      <c r="CF12" s="576"/>
      <c r="CG12" s="576"/>
      <c r="CH12" s="576"/>
      <c r="CI12" s="576"/>
      <c r="CJ12" s="576"/>
      <c r="CK12" s="576"/>
      <c r="CL12" s="576"/>
      <c r="CM12" s="576"/>
      <c r="CN12" s="576"/>
      <c r="CO12" s="576"/>
      <c r="CP12" s="576"/>
      <c r="CQ12" s="576"/>
      <c r="CR12" s="576"/>
      <c r="CS12" s="576"/>
      <c r="CT12" s="576"/>
      <c r="CU12" s="576"/>
      <c r="CV12" s="576"/>
      <c r="CW12" s="576"/>
      <c r="CX12" s="576"/>
      <c r="CY12" s="576"/>
      <c r="CZ12" s="576"/>
      <c r="DA12" s="576"/>
      <c r="DB12" s="576"/>
      <c r="DC12" s="576"/>
      <c r="DD12" s="576"/>
      <c r="DE12" s="576"/>
      <c r="DF12" s="576"/>
      <c r="DG12" s="576"/>
      <c r="DH12" s="116"/>
      <c r="DI12" s="112"/>
      <c r="DJ12">
        <f ca="1">INDIRECT(ADDRESS(ROW()+1,COLUMN(Arbeitszeit!xDay),,,"Arbeitszeit"))</f>
        <v>4</v>
      </c>
    </row>
    <row r="13" spans="1:114">
      <c r="A13" s="462">
        <f>Arbeitszeit!A14</f>
        <v>44842</v>
      </c>
      <c r="B13" s="463">
        <f t="shared" si="1"/>
        <v>44842</v>
      </c>
      <c r="C13" s="146">
        <f t="shared" si="2"/>
        <v>41</v>
      </c>
      <c r="D13" s="145">
        <f t="shared" si="3"/>
        <v>44834</v>
      </c>
      <c r="E13" s="510">
        <f>Arbeitszeit!V14*24</f>
        <v>0</v>
      </c>
      <c r="F13" s="574">
        <f t="shared" si="0"/>
        <v>0</v>
      </c>
      <c r="G13" s="113">
        <f>IF(Arbeitszeit!F14=Urlaub,B_WorkTime*24,)</f>
        <v>0</v>
      </c>
      <c r="H13" s="111"/>
      <c r="I13" s="113">
        <f>IF(Arbeitszeit!F14=Krank,B_WorkTime*24,)</f>
        <v>0</v>
      </c>
      <c r="J13" s="111"/>
      <c r="K13" s="114"/>
      <c r="L13" s="115"/>
      <c r="M13" s="498"/>
      <c r="N13" s="499"/>
      <c r="O13" s="498"/>
      <c r="P13" s="499"/>
      <c r="Q13" s="498"/>
      <c r="R13" s="499"/>
      <c r="S13" s="498"/>
      <c r="T13" s="499"/>
      <c r="U13" s="498"/>
      <c r="V13" s="499"/>
      <c r="W13" s="498"/>
      <c r="X13" s="499"/>
      <c r="Y13" s="498"/>
      <c r="Z13" s="499"/>
      <c r="AA13" s="498"/>
      <c r="AB13" s="499"/>
      <c r="AC13" s="498"/>
      <c r="AD13" s="499"/>
      <c r="AE13" s="498"/>
      <c r="AF13" s="500"/>
      <c r="AG13" s="498"/>
      <c r="AH13" s="500"/>
      <c r="AI13" s="498"/>
      <c r="AJ13" s="500"/>
      <c r="AK13" s="498"/>
      <c r="AL13" s="500"/>
      <c r="AM13" s="501"/>
      <c r="AN13" s="500"/>
      <c r="AO13" s="498"/>
      <c r="AP13" s="500"/>
      <c r="AQ13" s="501"/>
      <c r="AR13" s="500"/>
      <c r="AS13" s="500"/>
      <c r="AT13" s="500"/>
      <c r="AU13" s="501"/>
      <c r="AV13" s="500"/>
      <c r="AW13" s="500"/>
      <c r="AX13" s="500"/>
      <c r="AY13" s="576"/>
      <c r="AZ13" s="576"/>
      <c r="BA13" s="576"/>
      <c r="BB13" s="576"/>
      <c r="BC13" s="576"/>
      <c r="BD13" s="576"/>
      <c r="BE13" s="576"/>
      <c r="BF13" s="576"/>
      <c r="BG13" s="576"/>
      <c r="BH13" s="576"/>
      <c r="BI13" s="576"/>
      <c r="BJ13" s="576"/>
      <c r="BK13" s="576"/>
      <c r="BL13" s="576"/>
      <c r="BM13" s="576"/>
      <c r="BN13" s="576"/>
      <c r="BO13" s="576"/>
      <c r="BP13" s="576"/>
      <c r="BQ13" s="576"/>
      <c r="BR13" s="576"/>
      <c r="BS13" s="576"/>
      <c r="BT13" s="576"/>
      <c r="BU13" s="576"/>
      <c r="BV13" s="576"/>
      <c r="BW13" s="576"/>
      <c r="BX13" s="576"/>
      <c r="BY13" s="576"/>
      <c r="BZ13" s="576"/>
      <c r="CA13" s="576"/>
      <c r="CB13" s="576"/>
      <c r="CC13" s="576"/>
      <c r="CD13" s="576"/>
      <c r="CE13" s="576"/>
      <c r="CF13" s="576"/>
      <c r="CG13" s="576"/>
      <c r="CH13" s="576"/>
      <c r="CI13" s="576"/>
      <c r="CJ13" s="576"/>
      <c r="CK13" s="576"/>
      <c r="CL13" s="576"/>
      <c r="CM13" s="576"/>
      <c r="CN13" s="576"/>
      <c r="CO13" s="576"/>
      <c r="CP13" s="576"/>
      <c r="CQ13" s="576"/>
      <c r="CR13" s="576"/>
      <c r="CS13" s="576"/>
      <c r="CT13" s="576"/>
      <c r="CU13" s="576"/>
      <c r="CV13" s="576"/>
      <c r="CW13" s="576"/>
      <c r="CX13" s="576"/>
      <c r="CY13" s="576"/>
      <c r="CZ13" s="576"/>
      <c r="DA13" s="576"/>
      <c r="DB13" s="576"/>
      <c r="DC13" s="576"/>
      <c r="DD13" s="576"/>
      <c r="DE13" s="576"/>
      <c r="DF13" s="576"/>
      <c r="DG13" s="576"/>
      <c r="DH13" s="116"/>
      <c r="DI13" s="112"/>
      <c r="DJ13">
        <f ca="1">INDIRECT(ADDRESS(ROW()+1,COLUMN(Arbeitszeit!xDay),,,"Arbeitszeit"))</f>
        <v>5</v>
      </c>
    </row>
    <row r="14" spans="1:114">
      <c r="A14" s="462">
        <f>Arbeitszeit!A15</f>
        <v>44843</v>
      </c>
      <c r="B14" s="463">
        <f t="shared" si="1"/>
        <v>44843</v>
      </c>
      <c r="C14" s="146">
        <f t="shared" si="2"/>
        <v>41</v>
      </c>
      <c r="D14" s="145">
        <f t="shared" si="3"/>
        <v>44834</v>
      </c>
      <c r="E14" s="510">
        <f>Arbeitszeit!V15*24</f>
        <v>0</v>
      </c>
      <c r="F14" s="574">
        <f t="shared" si="0"/>
        <v>0</v>
      </c>
      <c r="G14" s="113">
        <f>IF(Arbeitszeit!F15=Urlaub,B_WorkTime*24,)</f>
        <v>0</v>
      </c>
      <c r="H14" s="111"/>
      <c r="I14" s="113">
        <f>IF(Arbeitszeit!F15=Krank,B_WorkTime*24,)</f>
        <v>0</v>
      </c>
      <c r="J14" s="111"/>
      <c r="K14" s="114"/>
      <c r="L14" s="115"/>
      <c r="M14" s="498"/>
      <c r="N14" s="499"/>
      <c r="O14" s="498"/>
      <c r="P14" s="499"/>
      <c r="Q14" s="498"/>
      <c r="R14" s="499"/>
      <c r="S14" s="498"/>
      <c r="T14" s="499"/>
      <c r="U14" s="498"/>
      <c r="V14" s="499"/>
      <c r="W14" s="498"/>
      <c r="X14" s="499"/>
      <c r="Y14" s="498"/>
      <c r="Z14" s="499"/>
      <c r="AA14" s="498"/>
      <c r="AB14" s="499"/>
      <c r="AC14" s="498"/>
      <c r="AD14" s="499"/>
      <c r="AE14" s="498"/>
      <c r="AF14" s="500"/>
      <c r="AG14" s="498"/>
      <c r="AH14" s="500"/>
      <c r="AI14" s="498"/>
      <c r="AJ14" s="500"/>
      <c r="AK14" s="498"/>
      <c r="AL14" s="500"/>
      <c r="AM14" s="501"/>
      <c r="AN14" s="500"/>
      <c r="AO14" s="498"/>
      <c r="AP14" s="500"/>
      <c r="AQ14" s="501"/>
      <c r="AR14" s="500"/>
      <c r="AS14" s="500"/>
      <c r="AT14" s="500"/>
      <c r="AU14" s="501"/>
      <c r="AV14" s="500"/>
      <c r="AW14" s="500"/>
      <c r="AX14" s="500"/>
      <c r="AY14" s="576"/>
      <c r="AZ14" s="576"/>
      <c r="BA14" s="576"/>
      <c r="BB14" s="576"/>
      <c r="BC14" s="576"/>
      <c r="BD14" s="576"/>
      <c r="BE14" s="576"/>
      <c r="BF14" s="576"/>
      <c r="BG14" s="576"/>
      <c r="BH14" s="576"/>
      <c r="BI14" s="576"/>
      <c r="BJ14" s="576"/>
      <c r="BK14" s="576"/>
      <c r="BL14" s="576"/>
      <c r="BM14" s="576"/>
      <c r="BN14" s="576"/>
      <c r="BO14" s="576"/>
      <c r="BP14" s="576"/>
      <c r="BQ14" s="576"/>
      <c r="BR14" s="576"/>
      <c r="BS14" s="576"/>
      <c r="BT14" s="576"/>
      <c r="BU14" s="576"/>
      <c r="BV14" s="576"/>
      <c r="BW14" s="576"/>
      <c r="BX14" s="576"/>
      <c r="BY14" s="576"/>
      <c r="BZ14" s="576"/>
      <c r="CA14" s="576"/>
      <c r="CB14" s="576"/>
      <c r="CC14" s="576"/>
      <c r="CD14" s="576"/>
      <c r="CE14" s="576"/>
      <c r="CF14" s="576"/>
      <c r="CG14" s="576"/>
      <c r="CH14" s="576"/>
      <c r="CI14" s="576"/>
      <c r="CJ14" s="576"/>
      <c r="CK14" s="576"/>
      <c r="CL14" s="576"/>
      <c r="CM14" s="576"/>
      <c r="CN14" s="576"/>
      <c r="CO14" s="576"/>
      <c r="CP14" s="576"/>
      <c r="CQ14" s="576"/>
      <c r="CR14" s="576"/>
      <c r="CS14" s="576"/>
      <c r="CT14" s="576"/>
      <c r="CU14" s="576"/>
      <c r="CV14" s="576"/>
      <c r="CW14" s="576"/>
      <c r="CX14" s="576"/>
      <c r="CY14" s="576"/>
      <c r="CZ14" s="576"/>
      <c r="DA14" s="576"/>
      <c r="DB14" s="576"/>
      <c r="DC14" s="576"/>
      <c r="DD14" s="576"/>
      <c r="DE14" s="576"/>
      <c r="DF14" s="576"/>
      <c r="DG14" s="576"/>
      <c r="DH14" s="116"/>
      <c r="DI14" s="112"/>
      <c r="DJ14">
        <f ca="1">INDIRECT(ADDRESS(ROW()+1,COLUMN(Arbeitszeit!xDay),,,"Arbeitszeit"))</f>
        <v>6</v>
      </c>
    </row>
    <row r="15" spans="1:114">
      <c r="A15" s="462">
        <f>Arbeitszeit!A16</f>
        <v>44844</v>
      </c>
      <c r="B15" s="463">
        <f t="shared" si="1"/>
        <v>44844</v>
      </c>
      <c r="C15" s="146">
        <f t="shared" si="2"/>
        <v>41</v>
      </c>
      <c r="D15" s="145">
        <f t="shared" si="3"/>
        <v>44834</v>
      </c>
      <c r="E15" s="510">
        <f>Arbeitszeit!V16*24</f>
        <v>0</v>
      </c>
      <c r="F15" s="574">
        <f t="shared" si="0"/>
        <v>0</v>
      </c>
      <c r="G15" s="113">
        <f>IF(Arbeitszeit!F16=Urlaub,B_WorkTime*24,)</f>
        <v>0</v>
      </c>
      <c r="H15" s="111"/>
      <c r="I15" s="113">
        <f>IF(Arbeitszeit!F16=Krank,B_WorkTime*24,)</f>
        <v>0</v>
      </c>
      <c r="J15" s="111"/>
      <c r="K15" s="114"/>
      <c r="L15" s="115"/>
      <c r="M15" s="498"/>
      <c r="N15" s="499"/>
      <c r="O15" s="498"/>
      <c r="P15" s="499"/>
      <c r="Q15" s="498"/>
      <c r="R15" s="499"/>
      <c r="S15" s="498"/>
      <c r="T15" s="499"/>
      <c r="U15" s="498"/>
      <c r="V15" s="499"/>
      <c r="W15" s="498"/>
      <c r="X15" s="499"/>
      <c r="Y15" s="498"/>
      <c r="Z15" s="499"/>
      <c r="AA15" s="498"/>
      <c r="AB15" s="499"/>
      <c r="AC15" s="498"/>
      <c r="AD15" s="499"/>
      <c r="AE15" s="498"/>
      <c r="AF15" s="500"/>
      <c r="AG15" s="498"/>
      <c r="AH15" s="500"/>
      <c r="AI15" s="498"/>
      <c r="AJ15" s="500"/>
      <c r="AK15" s="498"/>
      <c r="AL15" s="500"/>
      <c r="AM15" s="501"/>
      <c r="AN15" s="500"/>
      <c r="AO15" s="498"/>
      <c r="AP15" s="500"/>
      <c r="AQ15" s="501"/>
      <c r="AR15" s="500"/>
      <c r="AS15" s="500"/>
      <c r="AT15" s="500"/>
      <c r="AU15" s="501"/>
      <c r="AV15" s="500"/>
      <c r="AW15" s="500"/>
      <c r="AX15" s="500"/>
      <c r="AY15" s="576"/>
      <c r="AZ15" s="576"/>
      <c r="BA15" s="576"/>
      <c r="BB15" s="576"/>
      <c r="BC15" s="576"/>
      <c r="BD15" s="576"/>
      <c r="BE15" s="576"/>
      <c r="BF15" s="576"/>
      <c r="BG15" s="576"/>
      <c r="BH15" s="576"/>
      <c r="BI15" s="576"/>
      <c r="BJ15" s="576"/>
      <c r="BK15" s="576"/>
      <c r="BL15" s="576"/>
      <c r="BM15" s="576"/>
      <c r="BN15" s="576"/>
      <c r="BO15" s="576"/>
      <c r="BP15" s="576"/>
      <c r="BQ15" s="576"/>
      <c r="BR15" s="576"/>
      <c r="BS15" s="576"/>
      <c r="BT15" s="576"/>
      <c r="BU15" s="576"/>
      <c r="BV15" s="576"/>
      <c r="BW15" s="576"/>
      <c r="BX15" s="576"/>
      <c r="BY15" s="576"/>
      <c r="BZ15" s="576"/>
      <c r="CA15" s="576"/>
      <c r="CB15" s="576"/>
      <c r="CC15" s="576"/>
      <c r="CD15" s="576"/>
      <c r="CE15" s="576"/>
      <c r="CF15" s="576"/>
      <c r="CG15" s="576"/>
      <c r="CH15" s="576"/>
      <c r="CI15" s="576"/>
      <c r="CJ15" s="576"/>
      <c r="CK15" s="576"/>
      <c r="CL15" s="576"/>
      <c r="CM15" s="576"/>
      <c r="CN15" s="576"/>
      <c r="CO15" s="576"/>
      <c r="CP15" s="576"/>
      <c r="CQ15" s="576"/>
      <c r="CR15" s="576"/>
      <c r="CS15" s="576"/>
      <c r="CT15" s="576"/>
      <c r="CU15" s="576"/>
      <c r="CV15" s="576"/>
      <c r="CW15" s="576"/>
      <c r="CX15" s="576"/>
      <c r="CY15" s="576"/>
      <c r="CZ15" s="576"/>
      <c r="DA15" s="576"/>
      <c r="DB15" s="576"/>
      <c r="DC15" s="576"/>
      <c r="DD15" s="576"/>
      <c r="DE15" s="576"/>
      <c r="DF15" s="576"/>
      <c r="DG15" s="576"/>
      <c r="DH15" s="116"/>
      <c r="DI15" s="112"/>
      <c r="DJ15">
        <f ca="1">INDIRECT(ADDRESS(ROW()+1,COLUMN(Arbeitszeit!xDay),,,"Arbeitszeit"))</f>
        <v>7</v>
      </c>
    </row>
    <row r="16" spans="1:114">
      <c r="A16" s="462">
        <f>Arbeitszeit!A17</f>
        <v>44845</v>
      </c>
      <c r="B16" s="463">
        <f t="shared" si="1"/>
        <v>44845</v>
      </c>
      <c r="C16" s="146">
        <f t="shared" si="2"/>
        <v>42</v>
      </c>
      <c r="D16" s="145">
        <f t="shared" si="3"/>
        <v>44834</v>
      </c>
      <c r="E16" s="510">
        <f>Arbeitszeit!V17*24</f>
        <v>0</v>
      </c>
      <c r="F16" s="574">
        <f t="shared" si="0"/>
        <v>0</v>
      </c>
      <c r="G16" s="113">
        <f>IF(Arbeitszeit!F17=Urlaub,B_WorkTime*24,)</f>
        <v>0</v>
      </c>
      <c r="H16" s="111"/>
      <c r="I16" s="113">
        <f>IF(Arbeitszeit!F17=Krank,B_WorkTime*24,)</f>
        <v>0</v>
      </c>
      <c r="J16" s="111"/>
      <c r="K16" s="114"/>
      <c r="L16" s="115"/>
      <c r="M16" s="498"/>
      <c r="N16" s="499"/>
      <c r="O16" s="498"/>
      <c r="P16" s="499"/>
      <c r="Q16" s="498"/>
      <c r="R16" s="499"/>
      <c r="S16" s="498"/>
      <c r="T16" s="499"/>
      <c r="U16" s="498"/>
      <c r="V16" s="499"/>
      <c r="W16" s="498"/>
      <c r="X16" s="499"/>
      <c r="Y16" s="498"/>
      <c r="Z16" s="499"/>
      <c r="AA16" s="498"/>
      <c r="AB16" s="499"/>
      <c r="AC16" s="498"/>
      <c r="AD16" s="499"/>
      <c r="AE16" s="498"/>
      <c r="AF16" s="500"/>
      <c r="AG16" s="498"/>
      <c r="AH16" s="500"/>
      <c r="AI16" s="498"/>
      <c r="AJ16" s="500"/>
      <c r="AK16" s="498"/>
      <c r="AL16" s="500"/>
      <c r="AM16" s="501"/>
      <c r="AN16" s="500"/>
      <c r="AO16" s="498"/>
      <c r="AP16" s="500"/>
      <c r="AQ16" s="501"/>
      <c r="AR16" s="500"/>
      <c r="AS16" s="500"/>
      <c r="AT16" s="500"/>
      <c r="AU16" s="501"/>
      <c r="AV16" s="500"/>
      <c r="AW16" s="500"/>
      <c r="AX16" s="500"/>
      <c r="AY16" s="576"/>
      <c r="AZ16" s="576"/>
      <c r="BA16" s="576"/>
      <c r="BB16" s="576"/>
      <c r="BC16" s="576"/>
      <c r="BD16" s="576"/>
      <c r="BE16" s="576"/>
      <c r="BF16" s="576"/>
      <c r="BG16" s="576"/>
      <c r="BH16" s="576"/>
      <c r="BI16" s="576"/>
      <c r="BJ16" s="576"/>
      <c r="BK16" s="576"/>
      <c r="BL16" s="576"/>
      <c r="BM16" s="576"/>
      <c r="BN16" s="576"/>
      <c r="BO16" s="576"/>
      <c r="BP16" s="576"/>
      <c r="BQ16" s="576"/>
      <c r="BR16" s="576"/>
      <c r="BS16" s="576"/>
      <c r="BT16" s="576"/>
      <c r="BU16" s="576"/>
      <c r="BV16" s="576"/>
      <c r="BW16" s="576"/>
      <c r="BX16" s="576"/>
      <c r="BY16" s="576"/>
      <c r="BZ16" s="576"/>
      <c r="CA16" s="576"/>
      <c r="CB16" s="576"/>
      <c r="CC16" s="576"/>
      <c r="CD16" s="576"/>
      <c r="CE16" s="576"/>
      <c r="CF16" s="576"/>
      <c r="CG16" s="576"/>
      <c r="CH16" s="576"/>
      <c r="CI16" s="576"/>
      <c r="CJ16" s="576"/>
      <c r="CK16" s="576"/>
      <c r="CL16" s="576"/>
      <c r="CM16" s="576"/>
      <c r="CN16" s="576"/>
      <c r="CO16" s="576"/>
      <c r="CP16" s="576"/>
      <c r="CQ16" s="576"/>
      <c r="CR16" s="576"/>
      <c r="CS16" s="576"/>
      <c r="CT16" s="576"/>
      <c r="CU16" s="576"/>
      <c r="CV16" s="576"/>
      <c r="CW16" s="576"/>
      <c r="CX16" s="576"/>
      <c r="CY16" s="576"/>
      <c r="CZ16" s="576"/>
      <c r="DA16" s="576"/>
      <c r="DB16" s="576"/>
      <c r="DC16" s="576"/>
      <c r="DD16" s="576"/>
      <c r="DE16" s="576"/>
      <c r="DF16" s="576"/>
      <c r="DG16" s="576"/>
      <c r="DH16" s="116"/>
      <c r="DI16" s="112"/>
      <c r="DJ16">
        <f ca="1">INDIRECT(ADDRESS(ROW()+1,COLUMN(Arbeitszeit!xDay),,,"Arbeitszeit"))</f>
        <v>1</v>
      </c>
    </row>
    <row r="17" spans="1:114">
      <c r="A17" s="462">
        <f>Arbeitszeit!A18</f>
        <v>44846</v>
      </c>
      <c r="B17" s="463">
        <f t="shared" si="1"/>
        <v>44846</v>
      </c>
      <c r="C17" s="146">
        <f t="shared" si="2"/>
        <v>42</v>
      </c>
      <c r="D17" s="145">
        <f t="shared" si="3"/>
        <v>44834</v>
      </c>
      <c r="E17" s="510">
        <f>Arbeitszeit!V18*24</f>
        <v>0</v>
      </c>
      <c r="F17" s="574">
        <f t="shared" si="0"/>
        <v>0</v>
      </c>
      <c r="G17" s="113">
        <f>IF(Arbeitszeit!F18=Urlaub,B_WorkTime*24,)</f>
        <v>0</v>
      </c>
      <c r="H17" s="111"/>
      <c r="I17" s="113">
        <f>IF(Arbeitszeit!F18=Krank,B_WorkTime*24,)</f>
        <v>0</v>
      </c>
      <c r="J17" s="111"/>
      <c r="K17" s="114"/>
      <c r="L17" s="115"/>
      <c r="M17" s="498"/>
      <c r="N17" s="499"/>
      <c r="O17" s="498"/>
      <c r="P17" s="499"/>
      <c r="Q17" s="498"/>
      <c r="R17" s="499"/>
      <c r="S17" s="498"/>
      <c r="T17" s="499"/>
      <c r="U17" s="498"/>
      <c r="V17" s="499"/>
      <c r="W17" s="498"/>
      <c r="X17" s="499"/>
      <c r="Y17" s="498"/>
      <c r="Z17" s="499"/>
      <c r="AA17" s="498"/>
      <c r="AB17" s="499"/>
      <c r="AC17" s="498"/>
      <c r="AD17" s="499"/>
      <c r="AE17" s="498"/>
      <c r="AF17" s="500"/>
      <c r="AG17" s="498"/>
      <c r="AH17" s="500"/>
      <c r="AI17" s="498"/>
      <c r="AJ17" s="500"/>
      <c r="AK17" s="498"/>
      <c r="AL17" s="500"/>
      <c r="AM17" s="501"/>
      <c r="AN17" s="500"/>
      <c r="AO17" s="498"/>
      <c r="AP17" s="500"/>
      <c r="AQ17" s="501"/>
      <c r="AR17" s="500"/>
      <c r="AS17" s="500"/>
      <c r="AT17" s="500"/>
      <c r="AU17" s="501"/>
      <c r="AV17" s="500"/>
      <c r="AW17" s="500"/>
      <c r="AX17" s="500"/>
      <c r="AY17" s="576"/>
      <c r="AZ17" s="576"/>
      <c r="BA17" s="576"/>
      <c r="BB17" s="576"/>
      <c r="BC17" s="576"/>
      <c r="BD17" s="576"/>
      <c r="BE17" s="576"/>
      <c r="BF17" s="576"/>
      <c r="BG17" s="576"/>
      <c r="BH17" s="576"/>
      <c r="BI17" s="576"/>
      <c r="BJ17" s="576"/>
      <c r="BK17" s="576"/>
      <c r="BL17" s="576"/>
      <c r="BM17" s="576"/>
      <c r="BN17" s="576"/>
      <c r="BO17" s="576"/>
      <c r="BP17" s="576"/>
      <c r="BQ17" s="576"/>
      <c r="BR17" s="576"/>
      <c r="BS17" s="576"/>
      <c r="BT17" s="576"/>
      <c r="BU17" s="576"/>
      <c r="BV17" s="576"/>
      <c r="BW17" s="576"/>
      <c r="BX17" s="576"/>
      <c r="BY17" s="576"/>
      <c r="BZ17" s="576"/>
      <c r="CA17" s="576"/>
      <c r="CB17" s="576"/>
      <c r="CC17" s="576"/>
      <c r="CD17" s="576"/>
      <c r="CE17" s="576"/>
      <c r="CF17" s="576"/>
      <c r="CG17" s="576"/>
      <c r="CH17" s="576"/>
      <c r="CI17" s="576"/>
      <c r="CJ17" s="576"/>
      <c r="CK17" s="576"/>
      <c r="CL17" s="576"/>
      <c r="CM17" s="576"/>
      <c r="CN17" s="576"/>
      <c r="CO17" s="576"/>
      <c r="CP17" s="576"/>
      <c r="CQ17" s="576"/>
      <c r="CR17" s="576"/>
      <c r="CS17" s="576"/>
      <c r="CT17" s="576"/>
      <c r="CU17" s="576"/>
      <c r="CV17" s="576"/>
      <c r="CW17" s="576"/>
      <c r="CX17" s="576"/>
      <c r="CY17" s="576"/>
      <c r="CZ17" s="576"/>
      <c r="DA17" s="576"/>
      <c r="DB17" s="576"/>
      <c r="DC17" s="576"/>
      <c r="DD17" s="576"/>
      <c r="DE17" s="576"/>
      <c r="DF17" s="576"/>
      <c r="DG17" s="576"/>
      <c r="DH17" s="116"/>
      <c r="DI17" s="112"/>
      <c r="DJ17">
        <f ca="1">INDIRECT(ADDRESS(ROW()+1,COLUMN(Arbeitszeit!xDay),,,"Arbeitszeit"))</f>
        <v>2</v>
      </c>
    </row>
    <row r="18" spans="1:114">
      <c r="A18" s="462">
        <f>Arbeitszeit!A19</f>
        <v>44847</v>
      </c>
      <c r="B18" s="463">
        <f t="shared" si="1"/>
        <v>44847</v>
      </c>
      <c r="C18" s="146">
        <f t="shared" si="2"/>
        <v>42</v>
      </c>
      <c r="D18" s="145">
        <f t="shared" si="3"/>
        <v>44834</v>
      </c>
      <c r="E18" s="510">
        <f>Arbeitszeit!V19*24</f>
        <v>0</v>
      </c>
      <c r="F18" s="574">
        <f t="shared" si="0"/>
        <v>0</v>
      </c>
      <c r="G18" s="113">
        <f>IF(Arbeitszeit!F19=Urlaub,B_WorkTime*24,)</f>
        <v>0</v>
      </c>
      <c r="H18" s="111"/>
      <c r="I18" s="113">
        <f>IF(Arbeitszeit!F19=Krank,B_WorkTime*24,)</f>
        <v>0</v>
      </c>
      <c r="J18" s="111"/>
      <c r="K18" s="114"/>
      <c r="L18" s="115"/>
      <c r="M18" s="498"/>
      <c r="N18" s="499"/>
      <c r="O18" s="498"/>
      <c r="P18" s="499"/>
      <c r="Q18" s="498"/>
      <c r="R18" s="499"/>
      <c r="S18" s="498"/>
      <c r="T18" s="499"/>
      <c r="U18" s="498"/>
      <c r="V18" s="499"/>
      <c r="W18" s="498"/>
      <c r="X18" s="499"/>
      <c r="Y18" s="498"/>
      <c r="Z18" s="499"/>
      <c r="AA18" s="498"/>
      <c r="AB18" s="499"/>
      <c r="AC18" s="498"/>
      <c r="AD18" s="499"/>
      <c r="AE18" s="498"/>
      <c r="AF18" s="500"/>
      <c r="AG18" s="498"/>
      <c r="AH18" s="500"/>
      <c r="AI18" s="498"/>
      <c r="AJ18" s="500"/>
      <c r="AK18" s="498"/>
      <c r="AL18" s="500"/>
      <c r="AM18" s="501"/>
      <c r="AN18" s="500"/>
      <c r="AO18" s="498"/>
      <c r="AP18" s="500"/>
      <c r="AQ18" s="501"/>
      <c r="AR18" s="500"/>
      <c r="AS18" s="500"/>
      <c r="AT18" s="500"/>
      <c r="AU18" s="501"/>
      <c r="AV18" s="500"/>
      <c r="AW18" s="500"/>
      <c r="AX18" s="500"/>
      <c r="AY18" s="576"/>
      <c r="AZ18" s="576"/>
      <c r="BA18" s="576"/>
      <c r="BB18" s="576"/>
      <c r="BC18" s="576"/>
      <c r="BD18" s="576"/>
      <c r="BE18" s="576"/>
      <c r="BF18" s="576"/>
      <c r="BG18" s="576"/>
      <c r="BH18" s="576"/>
      <c r="BI18" s="576"/>
      <c r="BJ18" s="576"/>
      <c r="BK18" s="576"/>
      <c r="BL18" s="576"/>
      <c r="BM18" s="576"/>
      <c r="BN18" s="576"/>
      <c r="BO18" s="576"/>
      <c r="BP18" s="576"/>
      <c r="BQ18" s="576"/>
      <c r="BR18" s="576"/>
      <c r="BS18" s="576"/>
      <c r="BT18" s="576"/>
      <c r="BU18" s="576"/>
      <c r="BV18" s="576"/>
      <c r="BW18" s="576"/>
      <c r="BX18" s="576"/>
      <c r="BY18" s="576"/>
      <c r="BZ18" s="576"/>
      <c r="CA18" s="576"/>
      <c r="CB18" s="576"/>
      <c r="CC18" s="576"/>
      <c r="CD18" s="576"/>
      <c r="CE18" s="576"/>
      <c r="CF18" s="576"/>
      <c r="CG18" s="576"/>
      <c r="CH18" s="576"/>
      <c r="CI18" s="576"/>
      <c r="CJ18" s="576"/>
      <c r="CK18" s="576"/>
      <c r="CL18" s="576"/>
      <c r="CM18" s="576"/>
      <c r="CN18" s="576"/>
      <c r="CO18" s="576"/>
      <c r="CP18" s="576"/>
      <c r="CQ18" s="576"/>
      <c r="CR18" s="576"/>
      <c r="CS18" s="576"/>
      <c r="CT18" s="576"/>
      <c r="CU18" s="576"/>
      <c r="CV18" s="576"/>
      <c r="CW18" s="576"/>
      <c r="CX18" s="576"/>
      <c r="CY18" s="576"/>
      <c r="CZ18" s="576"/>
      <c r="DA18" s="576"/>
      <c r="DB18" s="576"/>
      <c r="DC18" s="576"/>
      <c r="DD18" s="576"/>
      <c r="DE18" s="576"/>
      <c r="DF18" s="576"/>
      <c r="DG18" s="576"/>
      <c r="DH18" s="116"/>
      <c r="DI18" s="112"/>
      <c r="DJ18">
        <f ca="1">INDIRECT(ADDRESS(ROW()+1,COLUMN(Arbeitszeit!xDay),,,"Arbeitszeit"))</f>
        <v>3</v>
      </c>
    </row>
    <row r="19" spans="1:114">
      <c r="A19" s="462">
        <f>Arbeitszeit!A20</f>
        <v>44848</v>
      </c>
      <c r="B19" s="463">
        <f t="shared" si="1"/>
        <v>44848</v>
      </c>
      <c r="C19" s="146">
        <f t="shared" si="2"/>
        <v>42</v>
      </c>
      <c r="D19" s="145">
        <f t="shared" si="3"/>
        <v>44834</v>
      </c>
      <c r="E19" s="510">
        <f>Arbeitszeit!V20*24</f>
        <v>0</v>
      </c>
      <c r="F19" s="574">
        <f t="shared" si="0"/>
        <v>0</v>
      </c>
      <c r="G19" s="113">
        <f>IF(Arbeitszeit!F20=Urlaub,B_WorkTime*24,)</f>
        <v>0</v>
      </c>
      <c r="H19" s="111"/>
      <c r="I19" s="113">
        <f>IF(Arbeitszeit!F20=Krank,B_WorkTime*24,)</f>
        <v>0</v>
      </c>
      <c r="J19" s="111"/>
      <c r="K19" s="114"/>
      <c r="L19" s="115"/>
      <c r="M19" s="498"/>
      <c r="N19" s="499"/>
      <c r="O19" s="498"/>
      <c r="P19" s="499"/>
      <c r="Q19" s="498"/>
      <c r="R19" s="499"/>
      <c r="S19" s="498"/>
      <c r="T19" s="499"/>
      <c r="U19" s="498"/>
      <c r="V19" s="499"/>
      <c r="W19" s="498"/>
      <c r="X19" s="499"/>
      <c r="Y19" s="498"/>
      <c r="Z19" s="499"/>
      <c r="AA19" s="498"/>
      <c r="AB19" s="499"/>
      <c r="AC19" s="498"/>
      <c r="AD19" s="499"/>
      <c r="AE19" s="498"/>
      <c r="AF19" s="500"/>
      <c r="AG19" s="498"/>
      <c r="AH19" s="500"/>
      <c r="AI19" s="498"/>
      <c r="AJ19" s="500"/>
      <c r="AK19" s="498"/>
      <c r="AL19" s="500"/>
      <c r="AM19" s="501"/>
      <c r="AN19" s="500"/>
      <c r="AO19" s="498"/>
      <c r="AP19" s="500"/>
      <c r="AQ19" s="501"/>
      <c r="AR19" s="500"/>
      <c r="AS19" s="500"/>
      <c r="AT19" s="500"/>
      <c r="AU19" s="501"/>
      <c r="AV19" s="500"/>
      <c r="AW19" s="500"/>
      <c r="AX19" s="500"/>
      <c r="AY19" s="576"/>
      <c r="AZ19" s="576"/>
      <c r="BA19" s="576"/>
      <c r="BB19" s="576"/>
      <c r="BC19" s="576"/>
      <c r="BD19" s="576"/>
      <c r="BE19" s="576"/>
      <c r="BF19" s="576"/>
      <c r="BG19" s="576"/>
      <c r="BH19" s="576"/>
      <c r="BI19" s="576"/>
      <c r="BJ19" s="576"/>
      <c r="BK19" s="576"/>
      <c r="BL19" s="576"/>
      <c r="BM19" s="576"/>
      <c r="BN19" s="576"/>
      <c r="BO19" s="576"/>
      <c r="BP19" s="576"/>
      <c r="BQ19" s="576"/>
      <c r="BR19" s="576"/>
      <c r="BS19" s="576"/>
      <c r="BT19" s="576"/>
      <c r="BU19" s="576"/>
      <c r="BV19" s="576"/>
      <c r="BW19" s="576"/>
      <c r="BX19" s="576"/>
      <c r="BY19" s="576"/>
      <c r="BZ19" s="576"/>
      <c r="CA19" s="576"/>
      <c r="CB19" s="576"/>
      <c r="CC19" s="576"/>
      <c r="CD19" s="576"/>
      <c r="CE19" s="576"/>
      <c r="CF19" s="576"/>
      <c r="CG19" s="576"/>
      <c r="CH19" s="576"/>
      <c r="CI19" s="576"/>
      <c r="CJ19" s="576"/>
      <c r="CK19" s="576"/>
      <c r="CL19" s="576"/>
      <c r="CM19" s="576"/>
      <c r="CN19" s="576"/>
      <c r="CO19" s="576"/>
      <c r="CP19" s="576"/>
      <c r="CQ19" s="576"/>
      <c r="CR19" s="576"/>
      <c r="CS19" s="576"/>
      <c r="CT19" s="576"/>
      <c r="CU19" s="576"/>
      <c r="CV19" s="576"/>
      <c r="CW19" s="576"/>
      <c r="CX19" s="576"/>
      <c r="CY19" s="576"/>
      <c r="CZ19" s="576"/>
      <c r="DA19" s="576"/>
      <c r="DB19" s="576"/>
      <c r="DC19" s="576"/>
      <c r="DD19" s="576"/>
      <c r="DE19" s="576"/>
      <c r="DF19" s="576"/>
      <c r="DG19" s="576"/>
      <c r="DH19" s="116"/>
      <c r="DI19" s="112"/>
      <c r="DJ19">
        <f ca="1">INDIRECT(ADDRESS(ROW()+1,COLUMN(Arbeitszeit!xDay),,,"Arbeitszeit"))</f>
        <v>4</v>
      </c>
    </row>
    <row r="20" spans="1:114">
      <c r="A20" s="462">
        <f>Arbeitszeit!A21</f>
        <v>44849</v>
      </c>
      <c r="B20" s="463">
        <f t="shared" si="1"/>
        <v>44849</v>
      </c>
      <c r="C20" s="146">
        <f t="shared" si="2"/>
        <v>42</v>
      </c>
      <c r="D20" s="145">
        <f t="shared" si="3"/>
        <v>44834</v>
      </c>
      <c r="E20" s="510">
        <f>Arbeitszeit!V21*24</f>
        <v>0</v>
      </c>
      <c r="F20" s="574">
        <f t="shared" si="0"/>
        <v>0</v>
      </c>
      <c r="G20" s="113">
        <f>IF(Arbeitszeit!F21=Urlaub,B_WorkTime*24,)</f>
        <v>0</v>
      </c>
      <c r="H20" s="111"/>
      <c r="I20" s="113">
        <f>IF(Arbeitszeit!F21=Krank,B_WorkTime*24,)</f>
        <v>0</v>
      </c>
      <c r="J20" s="111"/>
      <c r="K20" s="114"/>
      <c r="L20" s="115"/>
      <c r="M20" s="498"/>
      <c r="N20" s="499"/>
      <c r="O20" s="498"/>
      <c r="P20" s="499"/>
      <c r="Q20" s="498"/>
      <c r="R20" s="499"/>
      <c r="S20" s="498"/>
      <c r="T20" s="499"/>
      <c r="U20" s="498"/>
      <c r="V20" s="499"/>
      <c r="W20" s="498"/>
      <c r="X20" s="499"/>
      <c r="Y20" s="498"/>
      <c r="Z20" s="499"/>
      <c r="AA20" s="498"/>
      <c r="AB20" s="499"/>
      <c r="AC20" s="498"/>
      <c r="AD20" s="499"/>
      <c r="AE20" s="498"/>
      <c r="AF20" s="500"/>
      <c r="AG20" s="498"/>
      <c r="AH20" s="500"/>
      <c r="AI20" s="498"/>
      <c r="AJ20" s="500"/>
      <c r="AK20" s="498"/>
      <c r="AL20" s="500"/>
      <c r="AM20" s="501"/>
      <c r="AN20" s="500"/>
      <c r="AO20" s="498"/>
      <c r="AP20" s="500"/>
      <c r="AQ20" s="501"/>
      <c r="AR20" s="500"/>
      <c r="AS20" s="500"/>
      <c r="AT20" s="500"/>
      <c r="AU20" s="501"/>
      <c r="AV20" s="500"/>
      <c r="AW20" s="500"/>
      <c r="AX20" s="500"/>
      <c r="AY20" s="576"/>
      <c r="AZ20" s="576"/>
      <c r="BA20" s="576"/>
      <c r="BB20" s="576"/>
      <c r="BC20" s="576"/>
      <c r="BD20" s="576"/>
      <c r="BE20" s="576"/>
      <c r="BF20" s="576"/>
      <c r="BG20" s="576"/>
      <c r="BH20" s="576"/>
      <c r="BI20" s="576"/>
      <c r="BJ20" s="576"/>
      <c r="BK20" s="576"/>
      <c r="BL20" s="576"/>
      <c r="BM20" s="576"/>
      <c r="BN20" s="576"/>
      <c r="BO20" s="576"/>
      <c r="BP20" s="576"/>
      <c r="BQ20" s="576"/>
      <c r="BR20" s="576"/>
      <c r="BS20" s="576"/>
      <c r="BT20" s="576"/>
      <c r="BU20" s="576"/>
      <c r="BV20" s="576"/>
      <c r="BW20" s="576"/>
      <c r="BX20" s="576"/>
      <c r="BY20" s="576"/>
      <c r="BZ20" s="576"/>
      <c r="CA20" s="576"/>
      <c r="CB20" s="576"/>
      <c r="CC20" s="576"/>
      <c r="CD20" s="576"/>
      <c r="CE20" s="576"/>
      <c r="CF20" s="576"/>
      <c r="CG20" s="576"/>
      <c r="CH20" s="576"/>
      <c r="CI20" s="576"/>
      <c r="CJ20" s="576"/>
      <c r="CK20" s="576"/>
      <c r="CL20" s="576"/>
      <c r="CM20" s="576"/>
      <c r="CN20" s="576"/>
      <c r="CO20" s="576"/>
      <c r="CP20" s="576"/>
      <c r="CQ20" s="576"/>
      <c r="CR20" s="576"/>
      <c r="CS20" s="576"/>
      <c r="CT20" s="576"/>
      <c r="CU20" s="576"/>
      <c r="CV20" s="576"/>
      <c r="CW20" s="576"/>
      <c r="CX20" s="576"/>
      <c r="CY20" s="576"/>
      <c r="CZ20" s="576"/>
      <c r="DA20" s="576"/>
      <c r="DB20" s="576"/>
      <c r="DC20" s="576"/>
      <c r="DD20" s="576"/>
      <c r="DE20" s="576"/>
      <c r="DF20" s="576"/>
      <c r="DG20" s="576"/>
      <c r="DH20" s="116"/>
      <c r="DI20" s="112"/>
      <c r="DJ20">
        <f ca="1">INDIRECT(ADDRESS(ROW()+1,COLUMN(Arbeitszeit!xDay),,,"Arbeitszeit"))</f>
        <v>5</v>
      </c>
    </row>
    <row r="21" spans="1:114">
      <c r="A21" s="462">
        <f>Arbeitszeit!A22</f>
        <v>44850</v>
      </c>
      <c r="B21" s="463">
        <f t="shared" si="1"/>
        <v>44850</v>
      </c>
      <c r="C21" s="146">
        <f t="shared" si="2"/>
        <v>42</v>
      </c>
      <c r="D21" s="145">
        <f t="shared" si="3"/>
        <v>44834</v>
      </c>
      <c r="E21" s="510">
        <f>Arbeitszeit!V22*24</f>
        <v>0</v>
      </c>
      <c r="F21" s="574">
        <f t="shared" si="0"/>
        <v>0</v>
      </c>
      <c r="G21" s="113">
        <f>IF(Arbeitszeit!F22=Urlaub,B_WorkTime*24,)</f>
        <v>0</v>
      </c>
      <c r="H21" s="111"/>
      <c r="I21" s="113">
        <f>IF(Arbeitszeit!F22=Krank,B_WorkTime*24,)</f>
        <v>0</v>
      </c>
      <c r="J21" s="111"/>
      <c r="K21" s="114"/>
      <c r="L21" s="115"/>
      <c r="M21" s="498"/>
      <c r="N21" s="499"/>
      <c r="O21" s="498"/>
      <c r="P21" s="499"/>
      <c r="Q21" s="498"/>
      <c r="R21" s="499"/>
      <c r="S21" s="498"/>
      <c r="T21" s="499"/>
      <c r="U21" s="498"/>
      <c r="V21" s="499"/>
      <c r="W21" s="498"/>
      <c r="X21" s="499"/>
      <c r="Y21" s="498"/>
      <c r="Z21" s="499"/>
      <c r="AA21" s="498"/>
      <c r="AB21" s="499"/>
      <c r="AC21" s="498"/>
      <c r="AD21" s="499"/>
      <c r="AE21" s="498"/>
      <c r="AF21" s="500"/>
      <c r="AG21" s="498"/>
      <c r="AH21" s="500"/>
      <c r="AI21" s="498"/>
      <c r="AJ21" s="500"/>
      <c r="AK21" s="498"/>
      <c r="AL21" s="500"/>
      <c r="AM21" s="501"/>
      <c r="AN21" s="500"/>
      <c r="AO21" s="498"/>
      <c r="AP21" s="500"/>
      <c r="AQ21" s="501"/>
      <c r="AR21" s="500"/>
      <c r="AS21" s="500"/>
      <c r="AT21" s="500"/>
      <c r="AU21" s="501"/>
      <c r="AV21" s="500"/>
      <c r="AW21" s="500"/>
      <c r="AX21" s="500"/>
      <c r="AY21" s="576"/>
      <c r="AZ21" s="576"/>
      <c r="BA21" s="576"/>
      <c r="BB21" s="576"/>
      <c r="BC21" s="576"/>
      <c r="BD21" s="576"/>
      <c r="BE21" s="576"/>
      <c r="BF21" s="576"/>
      <c r="BG21" s="576"/>
      <c r="BH21" s="576"/>
      <c r="BI21" s="576"/>
      <c r="BJ21" s="576"/>
      <c r="BK21" s="576"/>
      <c r="BL21" s="576"/>
      <c r="BM21" s="576"/>
      <c r="BN21" s="576"/>
      <c r="BO21" s="576"/>
      <c r="BP21" s="576"/>
      <c r="BQ21" s="576"/>
      <c r="BR21" s="576"/>
      <c r="BS21" s="576"/>
      <c r="BT21" s="576"/>
      <c r="BU21" s="576"/>
      <c r="BV21" s="576"/>
      <c r="BW21" s="576"/>
      <c r="BX21" s="576"/>
      <c r="BY21" s="576"/>
      <c r="BZ21" s="576"/>
      <c r="CA21" s="576"/>
      <c r="CB21" s="576"/>
      <c r="CC21" s="576"/>
      <c r="CD21" s="576"/>
      <c r="CE21" s="576"/>
      <c r="CF21" s="576"/>
      <c r="CG21" s="576"/>
      <c r="CH21" s="576"/>
      <c r="CI21" s="576"/>
      <c r="CJ21" s="576"/>
      <c r="CK21" s="576"/>
      <c r="CL21" s="576"/>
      <c r="CM21" s="576"/>
      <c r="CN21" s="576"/>
      <c r="CO21" s="576"/>
      <c r="CP21" s="576"/>
      <c r="CQ21" s="576"/>
      <c r="CR21" s="576"/>
      <c r="CS21" s="576"/>
      <c r="CT21" s="576"/>
      <c r="CU21" s="576"/>
      <c r="CV21" s="576"/>
      <c r="CW21" s="576"/>
      <c r="CX21" s="576"/>
      <c r="CY21" s="576"/>
      <c r="CZ21" s="576"/>
      <c r="DA21" s="576"/>
      <c r="DB21" s="576"/>
      <c r="DC21" s="576"/>
      <c r="DD21" s="576"/>
      <c r="DE21" s="576"/>
      <c r="DF21" s="576"/>
      <c r="DG21" s="576"/>
      <c r="DH21" s="116"/>
      <c r="DI21" s="112"/>
      <c r="DJ21">
        <f ca="1">INDIRECT(ADDRESS(ROW()+1,COLUMN(Arbeitszeit!xDay),,,"Arbeitszeit"))</f>
        <v>6</v>
      </c>
    </row>
    <row r="22" spans="1:114">
      <c r="A22" s="462">
        <f>Arbeitszeit!A23</f>
        <v>44851</v>
      </c>
      <c r="B22" s="463">
        <f t="shared" si="1"/>
        <v>44851</v>
      </c>
      <c r="C22" s="146">
        <f t="shared" si="2"/>
        <v>42</v>
      </c>
      <c r="D22" s="145">
        <f t="shared" si="3"/>
        <v>44834</v>
      </c>
      <c r="E22" s="510">
        <f>Arbeitszeit!V23*24</f>
        <v>0</v>
      </c>
      <c r="F22" s="574">
        <f t="shared" si="0"/>
        <v>0</v>
      </c>
      <c r="G22" s="113">
        <f>IF(Arbeitszeit!F23=Urlaub,B_WorkTime*24,)</f>
        <v>0</v>
      </c>
      <c r="H22" s="111"/>
      <c r="I22" s="113">
        <f>IF(Arbeitszeit!F23=Krank,B_WorkTime*24,)</f>
        <v>0</v>
      </c>
      <c r="J22" s="111"/>
      <c r="K22" s="114"/>
      <c r="L22" s="115"/>
      <c r="M22" s="498"/>
      <c r="N22" s="499"/>
      <c r="O22" s="498"/>
      <c r="P22" s="499"/>
      <c r="Q22" s="498"/>
      <c r="R22" s="499"/>
      <c r="S22" s="498"/>
      <c r="T22" s="499"/>
      <c r="U22" s="498"/>
      <c r="V22" s="499"/>
      <c r="W22" s="498"/>
      <c r="X22" s="499"/>
      <c r="Y22" s="498"/>
      <c r="Z22" s="499"/>
      <c r="AA22" s="498"/>
      <c r="AB22" s="499"/>
      <c r="AC22" s="498"/>
      <c r="AD22" s="499"/>
      <c r="AE22" s="498"/>
      <c r="AF22" s="500"/>
      <c r="AG22" s="498"/>
      <c r="AH22" s="500"/>
      <c r="AI22" s="498"/>
      <c r="AJ22" s="500"/>
      <c r="AK22" s="498"/>
      <c r="AL22" s="500"/>
      <c r="AM22" s="501"/>
      <c r="AN22" s="500"/>
      <c r="AO22" s="498"/>
      <c r="AP22" s="500"/>
      <c r="AQ22" s="501"/>
      <c r="AR22" s="500"/>
      <c r="AS22" s="500"/>
      <c r="AT22" s="500"/>
      <c r="AU22" s="501"/>
      <c r="AV22" s="500"/>
      <c r="AW22" s="500"/>
      <c r="AX22" s="500"/>
      <c r="AY22" s="576"/>
      <c r="AZ22" s="576"/>
      <c r="BA22" s="576"/>
      <c r="BB22" s="576"/>
      <c r="BC22" s="576"/>
      <c r="BD22" s="576"/>
      <c r="BE22" s="576"/>
      <c r="BF22" s="576"/>
      <c r="BG22" s="576"/>
      <c r="BH22" s="576"/>
      <c r="BI22" s="576"/>
      <c r="BJ22" s="576"/>
      <c r="BK22" s="576"/>
      <c r="BL22" s="576"/>
      <c r="BM22" s="576"/>
      <c r="BN22" s="576"/>
      <c r="BO22" s="576"/>
      <c r="BP22" s="576"/>
      <c r="BQ22" s="576"/>
      <c r="BR22" s="576"/>
      <c r="BS22" s="576"/>
      <c r="BT22" s="576"/>
      <c r="BU22" s="576"/>
      <c r="BV22" s="576"/>
      <c r="BW22" s="576"/>
      <c r="BX22" s="576"/>
      <c r="BY22" s="576"/>
      <c r="BZ22" s="576"/>
      <c r="CA22" s="576"/>
      <c r="CB22" s="576"/>
      <c r="CC22" s="576"/>
      <c r="CD22" s="576"/>
      <c r="CE22" s="576"/>
      <c r="CF22" s="576"/>
      <c r="CG22" s="576"/>
      <c r="CH22" s="576"/>
      <c r="CI22" s="576"/>
      <c r="CJ22" s="576"/>
      <c r="CK22" s="576"/>
      <c r="CL22" s="576"/>
      <c r="CM22" s="576"/>
      <c r="CN22" s="576"/>
      <c r="CO22" s="576"/>
      <c r="CP22" s="576"/>
      <c r="CQ22" s="576"/>
      <c r="CR22" s="576"/>
      <c r="CS22" s="576"/>
      <c r="CT22" s="576"/>
      <c r="CU22" s="576"/>
      <c r="CV22" s="576"/>
      <c r="CW22" s="576"/>
      <c r="CX22" s="576"/>
      <c r="CY22" s="576"/>
      <c r="CZ22" s="576"/>
      <c r="DA22" s="576"/>
      <c r="DB22" s="576"/>
      <c r="DC22" s="576"/>
      <c r="DD22" s="576"/>
      <c r="DE22" s="576"/>
      <c r="DF22" s="576"/>
      <c r="DG22" s="576"/>
      <c r="DH22" s="116"/>
      <c r="DI22" s="112"/>
      <c r="DJ22">
        <f ca="1">INDIRECT(ADDRESS(ROW()+1,COLUMN(Arbeitszeit!xDay),,,"Arbeitszeit"))</f>
        <v>7</v>
      </c>
    </row>
    <row r="23" spans="1:114">
      <c r="A23" s="462">
        <f>Arbeitszeit!A24</f>
        <v>44852</v>
      </c>
      <c r="B23" s="463">
        <f t="shared" si="1"/>
        <v>44852</v>
      </c>
      <c r="C23" s="146">
        <f t="shared" si="2"/>
        <v>43</v>
      </c>
      <c r="D23" s="145">
        <f t="shared" si="3"/>
        <v>44834</v>
      </c>
      <c r="E23" s="510">
        <f>Arbeitszeit!V24*24</f>
        <v>0</v>
      </c>
      <c r="F23" s="574">
        <f t="shared" si="0"/>
        <v>0</v>
      </c>
      <c r="G23" s="113">
        <f>IF(Arbeitszeit!F24=Urlaub,B_WorkTime*24,)</f>
        <v>0</v>
      </c>
      <c r="H23" s="111"/>
      <c r="I23" s="113">
        <f>IF(Arbeitszeit!F24=Krank,B_WorkTime*24,)</f>
        <v>0</v>
      </c>
      <c r="J23" s="111"/>
      <c r="K23" s="114"/>
      <c r="L23" s="115"/>
      <c r="M23" s="498"/>
      <c r="N23" s="499"/>
      <c r="O23" s="498"/>
      <c r="P23" s="499"/>
      <c r="Q23" s="498"/>
      <c r="R23" s="499"/>
      <c r="S23" s="498"/>
      <c r="T23" s="499"/>
      <c r="U23" s="498"/>
      <c r="V23" s="499"/>
      <c r="W23" s="498"/>
      <c r="X23" s="499"/>
      <c r="Y23" s="498"/>
      <c r="Z23" s="499"/>
      <c r="AA23" s="498"/>
      <c r="AB23" s="499"/>
      <c r="AC23" s="498"/>
      <c r="AD23" s="499"/>
      <c r="AE23" s="498"/>
      <c r="AF23" s="500"/>
      <c r="AG23" s="498"/>
      <c r="AH23" s="500"/>
      <c r="AI23" s="498"/>
      <c r="AJ23" s="500"/>
      <c r="AK23" s="498"/>
      <c r="AL23" s="500"/>
      <c r="AM23" s="501"/>
      <c r="AN23" s="500"/>
      <c r="AO23" s="498"/>
      <c r="AP23" s="500"/>
      <c r="AQ23" s="501"/>
      <c r="AR23" s="500"/>
      <c r="AS23" s="500"/>
      <c r="AT23" s="500"/>
      <c r="AU23" s="501"/>
      <c r="AV23" s="500"/>
      <c r="AW23" s="500"/>
      <c r="AX23" s="500"/>
      <c r="AY23" s="576"/>
      <c r="AZ23" s="576"/>
      <c r="BA23" s="576"/>
      <c r="BB23" s="576"/>
      <c r="BC23" s="576"/>
      <c r="BD23" s="576"/>
      <c r="BE23" s="576"/>
      <c r="BF23" s="576"/>
      <c r="BG23" s="576"/>
      <c r="BH23" s="576"/>
      <c r="BI23" s="576"/>
      <c r="BJ23" s="576"/>
      <c r="BK23" s="576"/>
      <c r="BL23" s="576"/>
      <c r="BM23" s="576"/>
      <c r="BN23" s="576"/>
      <c r="BO23" s="576"/>
      <c r="BP23" s="576"/>
      <c r="BQ23" s="576"/>
      <c r="BR23" s="576"/>
      <c r="BS23" s="576"/>
      <c r="BT23" s="576"/>
      <c r="BU23" s="576"/>
      <c r="BV23" s="576"/>
      <c r="BW23" s="576"/>
      <c r="BX23" s="576"/>
      <c r="BY23" s="576"/>
      <c r="BZ23" s="576"/>
      <c r="CA23" s="576"/>
      <c r="CB23" s="576"/>
      <c r="CC23" s="576"/>
      <c r="CD23" s="576"/>
      <c r="CE23" s="576"/>
      <c r="CF23" s="576"/>
      <c r="CG23" s="576"/>
      <c r="CH23" s="576"/>
      <c r="CI23" s="576"/>
      <c r="CJ23" s="576"/>
      <c r="CK23" s="576"/>
      <c r="CL23" s="576"/>
      <c r="CM23" s="576"/>
      <c r="CN23" s="576"/>
      <c r="CO23" s="576"/>
      <c r="CP23" s="576"/>
      <c r="CQ23" s="576"/>
      <c r="CR23" s="576"/>
      <c r="CS23" s="576"/>
      <c r="CT23" s="576"/>
      <c r="CU23" s="576"/>
      <c r="CV23" s="576"/>
      <c r="CW23" s="576"/>
      <c r="CX23" s="576"/>
      <c r="CY23" s="576"/>
      <c r="CZ23" s="576"/>
      <c r="DA23" s="576"/>
      <c r="DB23" s="576"/>
      <c r="DC23" s="576"/>
      <c r="DD23" s="576"/>
      <c r="DE23" s="576"/>
      <c r="DF23" s="576"/>
      <c r="DG23" s="576"/>
      <c r="DH23" s="116"/>
      <c r="DI23" s="112"/>
      <c r="DJ23">
        <f ca="1">INDIRECT(ADDRESS(ROW()+1,COLUMN(Arbeitszeit!xDay),,,"Arbeitszeit"))</f>
        <v>1</v>
      </c>
    </row>
    <row r="24" spans="1:114">
      <c r="A24" s="462">
        <f>Arbeitszeit!A25</f>
        <v>44853</v>
      </c>
      <c r="B24" s="463">
        <f t="shared" si="1"/>
        <v>44853</v>
      </c>
      <c r="C24" s="146">
        <f t="shared" si="2"/>
        <v>43</v>
      </c>
      <c r="D24" s="145">
        <f t="shared" si="3"/>
        <v>44834</v>
      </c>
      <c r="E24" s="510">
        <f>Arbeitszeit!V25*24</f>
        <v>0</v>
      </c>
      <c r="F24" s="574">
        <f t="shared" si="0"/>
        <v>0</v>
      </c>
      <c r="G24" s="113">
        <f>IF(Arbeitszeit!F25=Urlaub,B_WorkTime*24,)</f>
        <v>0</v>
      </c>
      <c r="H24" s="111"/>
      <c r="I24" s="113">
        <f>IF(Arbeitszeit!F25=Krank,B_WorkTime*24,)</f>
        <v>0</v>
      </c>
      <c r="J24" s="111"/>
      <c r="K24" s="114"/>
      <c r="L24" s="115"/>
      <c r="M24" s="498"/>
      <c r="N24" s="499"/>
      <c r="O24" s="498"/>
      <c r="P24" s="499"/>
      <c r="Q24" s="498"/>
      <c r="R24" s="499"/>
      <c r="S24" s="498"/>
      <c r="T24" s="499"/>
      <c r="U24" s="498"/>
      <c r="V24" s="499"/>
      <c r="W24" s="498"/>
      <c r="X24" s="499"/>
      <c r="Y24" s="498"/>
      <c r="Z24" s="499"/>
      <c r="AA24" s="498"/>
      <c r="AB24" s="499"/>
      <c r="AC24" s="498"/>
      <c r="AD24" s="499"/>
      <c r="AE24" s="498"/>
      <c r="AF24" s="500"/>
      <c r="AG24" s="498"/>
      <c r="AH24" s="500"/>
      <c r="AI24" s="498"/>
      <c r="AJ24" s="500"/>
      <c r="AK24" s="498"/>
      <c r="AL24" s="500"/>
      <c r="AM24" s="501"/>
      <c r="AN24" s="500"/>
      <c r="AO24" s="498"/>
      <c r="AP24" s="500"/>
      <c r="AQ24" s="501"/>
      <c r="AR24" s="500"/>
      <c r="AS24" s="500"/>
      <c r="AT24" s="500"/>
      <c r="AU24" s="501"/>
      <c r="AV24" s="500"/>
      <c r="AW24" s="500"/>
      <c r="AX24" s="500"/>
      <c r="AY24" s="576"/>
      <c r="AZ24" s="576"/>
      <c r="BA24" s="576"/>
      <c r="BB24" s="576"/>
      <c r="BC24" s="576"/>
      <c r="BD24" s="576"/>
      <c r="BE24" s="576"/>
      <c r="BF24" s="576"/>
      <c r="BG24" s="576"/>
      <c r="BH24" s="576"/>
      <c r="BI24" s="576"/>
      <c r="BJ24" s="576"/>
      <c r="BK24" s="576"/>
      <c r="BL24" s="576"/>
      <c r="BM24" s="576"/>
      <c r="BN24" s="576"/>
      <c r="BO24" s="576"/>
      <c r="BP24" s="576"/>
      <c r="BQ24" s="576"/>
      <c r="BR24" s="576"/>
      <c r="BS24" s="576"/>
      <c r="BT24" s="576"/>
      <c r="BU24" s="576"/>
      <c r="BV24" s="576"/>
      <c r="BW24" s="576"/>
      <c r="BX24" s="576"/>
      <c r="BY24" s="576"/>
      <c r="BZ24" s="576"/>
      <c r="CA24" s="576"/>
      <c r="CB24" s="576"/>
      <c r="CC24" s="576"/>
      <c r="CD24" s="576"/>
      <c r="CE24" s="576"/>
      <c r="CF24" s="576"/>
      <c r="CG24" s="576"/>
      <c r="CH24" s="576"/>
      <c r="CI24" s="576"/>
      <c r="CJ24" s="576"/>
      <c r="CK24" s="576"/>
      <c r="CL24" s="576"/>
      <c r="CM24" s="576"/>
      <c r="CN24" s="576"/>
      <c r="CO24" s="576"/>
      <c r="CP24" s="576"/>
      <c r="CQ24" s="576"/>
      <c r="CR24" s="576"/>
      <c r="CS24" s="576"/>
      <c r="CT24" s="576"/>
      <c r="CU24" s="576"/>
      <c r="CV24" s="576"/>
      <c r="CW24" s="576"/>
      <c r="CX24" s="576"/>
      <c r="CY24" s="576"/>
      <c r="CZ24" s="576"/>
      <c r="DA24" s="576"/>
      <c r="DB24" s="576"/>
      <c r="DC24" s="576"/>
      <c r="DD24" s="576"/>
      <c r="DE24" s="576"/>
      <c r="DF24" s="576"/>
      <c r="DG24" s="576"/>
      <c r="DH24" s="116"/>
      <c r="DI24" s="112"/>
      <c r="DJ24">
        <f ca="1">INDIRECT(ADDRESS(ROW()+1,COLUMN(Arbeitszeit!xDay),,,"Arbeitszeit"))</f>
        <v>2</v>
      </c>
    </row>
    <row r="25" spans="1:114">
      <c r="A25" s="462">
        <f>Arbeitszeit!A26</f>
        <v>44854</v>
      </c>
      <c r="B25" s="463">
        <f t="shared" si="1"/>
        <v>44854</v>
      </c>
      <c r="C25" s="146">
        <f t="shared" si="2"/>
        <v>43</v>
      </c>
      <c r="D25" s="145">
        <f t="shared" si="3"/>
        <v>44834</v>
      </c>
      <c r="E25" s="510">
        <f>Arbeitszeit!V26*24</f>
        <v>0</v>
      </c>
      <c r="F25" s="574">
        <f t="shared" si="0"/>
        <v>0</v>
      </c>
      <c r="G25" s="113">
        <f>IF(Arbeitszeit!F26=Urlaub,B_WorkTime*24,)</f>
        <v>0</v>
      </c>
      <c r="H25" s="111"/>
      <c r="I25" s="113">
        <f>IF(Arbeitszeit!F26=Krank,B_WorkTime*24,)</f>
        <v>0</v>
      </c>
      <c r="J25" s="111"/>
      <c r="K25" s="114"/>
      <c r="L25" s="115"/>
      <c r="M25" s="498"/>
      <c r="N25" s="499"/>
      <c r="O25" s="498"/>
      <c r="P25" s="499"/>
      <c r="Q25" s="498"/>
      <c r="R25" s="499"/>
      <c r="S25" s="498"/>
      <c r="T25" s="499"/>
      <c r="U25" s="498"/>
      <c r="V25" s="499"/>
      <c r="W25" s="498"/>
      <c r="X25" s="499"/>
      <c r="Y25" s="498"/>
      <c r="Z25" s="499"/>
      <c r="AA25" s="498"/>
      <c r="AB25" s="499"/>
      <c r="AC25" s="498"/>
      <c r="AD25" s="499"/>
      <c r="AE25" s="498"/>
      <c r="AF25" s="500"/>
      <c r="AG25" s="498"/>
      <c r="AH25" s="500"/>
      <c r="AI25" s="498"/>
      <c r="AJ25" s="500"/>
      <c r="AK25" s="498"/>
      <c r="AL25" s="500"/>
      <c r="AM25" s="501"/>
      <c r="AN25" s="500"/>
      <c r="AO25" s="498"/>
      <c r="AP25" s="500"/>
      <c r="AQ25" s="501"/>
      <c r="AR25" s="500"/>
      <c r="AS25" s="500"/>
      <c r="AT25" s="500"/>
      <c r="AU25" s="501"/>
      <c r="AV25" s="500"/>
      <c r="AW25" s="500"/>
      <c r="AX25" s="500"/>
      <c r="AY25" s="576"/>
      <c r="AZ25" s="576"/>
      <c r="BA25" s="576"/>
      <c r="BB25" s="576"/>
      <c r="BC25" s="576"/>
      <c r="BD25" s="576"/>
      <c r="BE25" s="576"/>
      <c r="BF25" s="576"/>
      <c r="BG25" s="576"/>
      <c r="BH25" s="576"/>
      <c r="BI25" s="576"/>
      <c r="BJ25" s="576"/>
      <c r="BK25" s="576"/>
      <c r="BL25" s="576"/>
      <c r="BM25" s="576"/>
      <c r="BN25" s="576"/>
      <c r="BO25" s="576"/>
      <c r="BP25" s="576"/>
      <c r="BQ25" s="576"/>
      <c r="BR25" s="576"/>
      <c r="BS25" s="576"/>
      <c r="BT25" s="576"/>
      <c r="BU25" s="576"/>
      <c r="BV25" s="576"/>
      <c r="BW25" s="576"/>
      <c r="BX25" s="576"/>
      <c r="BY25" s="576"/>
      <c r="BZ25" s="576"/>
      <c r="CA25" s="576"/>
      <c r="CB25" s="576"/>
      <c r="CC25" s="576"/>
      <c r="CD25" s="576"/>
      <c r="CE25" s="576"/>
      <c r="CF25" s="576"/>
      <c r="CG25" s="576"/>
      <c r="CH25" s="576"/>
      <c r="CI25" s="576"/>
      <c r="CJ25" s="576"/>
      <c r="CK25" s="576"/>
      <c r="CL25" s="576"/>
      <c r="CM25" s="576"/>
      <c r="CN25" s="576"/>
      <c r="CO25" s="576"/>
      <c r="CP25" s="576"/>
      <c r="CQ25" s="576"/>
      <c r="CR25" s="576"/>
      <c r="CS25" s="576"/>
      <c r="CT25" s="576"/>
      <c r="CU25" s="576"/>
      <c r="CV25" s="576"/>
      <c r="CW25" s="576"/>
      <c r="CX25" s="576"/>
      <c r="CY25" s="576"/>
      <c r="CZ25" s="576"/>
      <c r="DA25" s="576"/>
      <c r="DB25" s="576"/>
      <c r="DC25" s="576"/>
      <c r="DD25" s="576"/>
      <c r="DE25" s="576"/>
      <c r="DF25" s="576"/>
      <c r="DG25" s="576"/>
      <c r="DH25" s="116"/>
      <c r="DI25" s="112"/>
      <c r="DJ25">
        <f ca="1">INDIRECT(ADDRESS(ROW()+1,COLUMN(Arbeitszeit!xDay),,,"Arbeitszeit"))</f>
        <v>3</v>
      </c>
    </row>
    <row r="26" spans="1:114">
      <c r="A26" s="462">
        <f>Arbeitszeit!A27</f>
        <v>44855</v>
      </c>
      <c r="B26" s="463">
        <f t="shared" si="1"/>
        <v>44855</v>
      </c>
      <c r="C26" s="146">
        <f t="shared" si="2"/>
        <v>43</v>
      </c>
      <c r="D26" s="145">
        <f t="shared" si="3"/>
        <v>44834</v>
      </c>
      <c r="E26" s="510">
        <f>Arbeitszeit!V27*24</f>
        <v>0</v>
      </c>
      <c r="F26" s="574">
        <f t="shared" si="0"/>
        <v>0</v>
      </c>
      <c r="G26" s="113">
        <f>IF(Arbeitszeit!F27=Urlaub,B_WorkTime*24,)</f>
        <v>0</v>
      </c>
      <c r="H26" s="111"/>
      <c r="I26" s="113">
        <f>IF(Arbeitszeit!F27=Krank,B_WorkTime*24,)</f>
        <v>0</v>
      </c>
      <c r="J26" s="111"/>
      <c r="K26" s="114"/>
      <c r="L26" s="115"/>
      <c r="M26" s="498"/>
      <c r="N26" s="499"/>
      <c r="O26" s="498"/>
      <c r="P26" s="499"/>
      <c r="Q26" s="498"/>
      <c r="R26" s="499"/>
      <c r="S26" s="498"/>
      <c r="T26" s="499"/>
      <c r="U26" s="498"/>
      <c r="V26" s="499"/>
      <c r="W26" s="498"/>
      <c r="X26" s="499"/>
      <c r="Y26" s="498"/>
      <c r="Z26" s="499"/>
      <c r="AA26" s="498"/>
      <c r="AB26" s="499"/>
      <c r="AC26" s="498"/>
      <c r="AD26" s="499"/>
      <c r="AE26" s="498"/>
      <c r="AF26" s="500"/>
      <c r="AG26" s="498"/>
      <c r="AH26" s="500"/>
      <c r="AI26" s="498"/>
      <c r="AJ26" s="500"/>
      <c r="AK26" s="498"/>
      <c r="AL26" s="500"/>
      <c r="AM26" s="501"/>
      <c r="AN26" s="500"/>
      <c r="AO26" s="498"/>
      <c r="AP26" s="500"/>
      <c r="AQ26" s="501"/>
      <c r="AR26" s="500"/>
      <c r="AS26" s="500"/>
      <c r="AT26" s="500"/>
      <c r="AU26" s="501"/>
      <c r="AV26" s="500"/>
      <c r="AW26" s="500"/>
      <c r="AX26" s="500"/>
      <c r="AY26" s="576"/>
      <c r="AZ26" s="576"/>
      <c r="BA26" s="576"/>
      <c r="BB26" s="576"/>
      <c r="BC26" s="576"/>
      <c r="BD26" s="576"/>
      <c r="BE26" s="576"/>
      <c r="BF26" s="576"/>
      <c r="BG26" s="576"/>
      <c r="BH26" s="576"/>
      <c r="BI26" s="576"/>
      <c r="BJ26" s="576"/>
      <c r="BK26" s="576"/>
      <c r="BL26" s="576"/>
      <c r="BM26" s="576"/>
      <c r="BN26" s="576"/>
      <c r="BO26" s="576"/>
      <c r="BP26" s="576"/>
      <c r="BQ26" s="576"/>
      <c r="BR26" s="576"/>
      <c r="BS26" s="576"/>
      <c r="BT26" s="576"/>
      <c r="BU26" s="576"/>
      <c r="BV26" s="576"/>
      <c r="BW26" s="576"/>
      <c r="BX26" s="576"/>
      <c r="BY26" s="576"/>
      <c r="BZ26" s="576"/>
      <c r="CA26" s="576"/>
      <c r="CB26" s="576"/>
      <c r="CC26" s="576"/>
      <c r="CD26" s="576"/>
      <c r="CE26" s="576"/>
      <c r="CF26" s="576"/>
      <c r="CG26" s="576"/>
      <c r="CH26" s="576"/>
      <c r="CI26" s="576"/>
      <c r="CJ26" s="576"/>
      <c r="CK26" s="576"/>
      <c r="CL26" s="576"/>
      <c r="CM26" s="576"/>
      <c r="CN26" s="576"/>
      <c r="CO26" s="576"/>
      <c r="CP26" s="576"/>
      <c r="CQ26" s="576"/>
      <c r="CR26" s="576"/>
      <c r="CS26" s="576"/>
      <c r="CT26" s="576"/>
      <c r="CU26" s="576"/>
      <c r="CV26" s="576"/>
      <c r="CW26" s="576"/>
      <c r="CX26" s="576"/>
      <c r="CY26" s="576"/>
      <c r="CZ26" s="576"/>
      <c r="DA26" s="576"/>
      <c r="DB26" s="576"/>
      <c r="DC26" s="576"/>
      <c r="DD26" s="576"/>
      <c r="DE26" s="576"/>
      <c r="DF26" s="576"/>
      <c r="DG26" s="576"/>
      <c r="DH26" s="116"/>
      <c r="DI26" s="112"/>
      <c r="DJ26">
        <f ca="1">INDIRECT(ADDRESS(ROW()+1,COLUMN(Arbeitszeit!xDay),,,"Arbeitszeit"))</f>
        <v>4</v>
      </c>
    </row>
    <row r="27" spans="1:114">
      <c r="A27" s="462">
        <f>Arbeitszeit!A28</f>
        <v>44856</v>
      </c>
      <c r="B27" s="463">
        <f t="shared" si="1"/>
        <v>44856</v>
      </c>
      <c r="C27" s="146">
        <f t="shared" si="2"/>
        <v>43</v>
      </c>
      <c r="D27" s="145">
        <f t="shared" si="3"/>
        <v>44834</v>
      </c>
      <c r="E27" s="510">
        <f>Arbeitszeit!V28*24</f>
        <v>0</v>
      </c>
      <c r="F27" s="574">
        <f t="shared" si="0"/>
        <v>0</v>
      </c>
      <c r="G27" s="113">
        <f>IF(Arbeitszeit!F28=Urlaub,B_WorkTime*24,)</f>
        <v>0</v>
      </c>
      <c r="H27" s="111"/>
      <c r="I27" s="113">
        <f>IF(Arbeitszeit!F28=Krank,B_WorkTime*24,)</f>
        <v>0</v>
      </c>
      <c r="J27" s="111"/>
      <c r="K27" s="114"/>
      <c r="L27" s="115"/>
      <c r="M27" s="498"/>
      <c r="N27" s="499"/>
      <c r="O27" s="498"/>
      <c r="P27" s="499"/>
      <c r="Q27" s="498"/>
      <c r="R27" s="499"/>
      <c r="S27" s="498"/>
      <c r="T27" s="499"/>
      <c r="U27" s="498"/>
      <c r="V27" s="499"/>
      <c r="W27" s="498"/>
      <c r="X27" s="499"/>
      <c r="Y27" s="498"/>
      <c r="Z27" s="499"/>
      <c r="AA27" s="498"/>
      <c r="AB27" s="499"/>
      <c r="AC27" s="498"/>
      <c r="AD27" s="499"/>
      <c r="AE27" s="498"/>
      <c r="AF27" s="500"/>
      <c r="AG27" s="498"/>
      <c r="AH27" s="500"/>
      <c r="AI27" s="498"/>
      <c r="AJ27" s="500"/>
      <c r="AK27" s="498"/>
      <c r="AL27" s="500"/>
      <c r="AM27" s="501"/>
      <c r="AN27" s="500"/>
      <c r="AO27" s="498"/>
      <c r="AP27" s="500"/>
      <c r="AQ27" s="501"/>
      <c r="AR27" s="500"/>
      <c r="AS27" s="500"/>
      <c r="AT27" s="500"/>
      <c r="AU27" s="501"/>
      <c r="AV27" s="500"/>
      <c r="AW27" s="500"/>
      <c r="AX27" s="500"/>
      <c r="AY27" s="576"/>
      <c r="AZ27" s="576"/>
      <c r="BA27" s="576"/>
      <c r="BB27" s="576"/>
      <c r="BC27" s="576"/>
      <c r="BD27" s="576"/>
      <c r="BE27" s="576"/>
      <c r="BF27" s="576"/>
      <c r="BG27" s="576"/>
      <c r="BH27" s="576"/>
      <c r="BI27" s="576"/>
      <c r="BJ27" s="576"/>
      <c r="BK27" s="576"/>
      <c r="BL27" s="576"/>
      <c r="BM27" s="576"/>
      <c r="BN27" s="576"/>
      <c r="BO27" s="576"/>
      <c r="BP27" s="576"/>
      <c r="BQ27" s="576"/>
      <c r="BR27" s="576"/>
      <c r="BS27" s="576"/>
      <c r="BT27" s="576"/>
      <c r="BU27" s="576"/>
      <c r="BV27" s="576"/>
      <c r="BW27" s="576"/>
      <c r="BX27" s="576"/>
      <c r="BY27" s="576"/>
      <c r="BZ27" s="576"/>
      <c r="CA27" s="576"/>
      <c r="CB27" s="576"/>
      <c r="CC27" s="576"/>
      <c r="CD27" s="576"/>
      <c r="CE27" s="576"/>
      <c r="CF27" s="576"/>
      <c r="CG27" s="576"/>
      <c r="CH27" s="576"/>
      <c r="CI27" s="576"/>
      <c r="CJ27" s="576"/>
      <c r="CK27" s="576"/>
      <c r="CL27" s="576"/>
      <c r="CM27" s="576"/>
      <c r="CN27" s="576"/>
      <c r="CO27" s="576"/>
      <c r="CP27" s="576"/>
      <c r="CQ27" s="576"/>
      <c r="CR27" s="576"/>
      <c r="CS27" s="576"/>
      <c r="CT27" s="576"/>
      <c r="CU27" s="576"/>
      <c r="CV27" s="576"/>
      <c r="CW27" s="576"/>
      <c r="CX27" s="576"/>
      <c r="CY27" s="576"/>
      <c r="CZ27" s="576"/>
      <c r="DA27" s="576"/>
      <c r="DB27" s="576"/>
      <c r="DC27" s="576"/>
      <c r="DD27" s="576"/>
      <c r="DE27" s="576"/>
      <c r="DF27" s="576"/>
      <c r="DG27" s="576"/>
      <c r="DH27" s="116"/>
      <c r="DI27" s="112"/>
      <c r="DJ27">
        <f ca="1">INDIRECT(ADDRESS(ROW()+1,COLUMN(Arbeitszeit!xDay),,,"Arbeitszeit"))</f>
        <v>5</v>
      </c>
    </row>
    <row r="28" spans="1:114">
      <c r="A28" s="462">
        <f>Arbeitszeit!A29</f>
        <v>44857</v>
      </c>
      <c r="B28" s="463">
        <f t="shared" si="1"/>
        <v>44857</v>
      </c>
      <c r="C28" s="146">
        <f t="shared" si="2"/>
        <v>43</v>
      </c>
      <c r="D28" s="145">
        <f t="shared" si="3"/>
        <v>44834</v>
      </c>
      <c r="E28" s="510">
        <f>Arbeitszeit!V29*24</f>
        <v>0</v>
      </c>
      <c r="F28" s="574">
        <f t="shared" si="0"/>
        <v>0</v>
      </c>
      <c r="G28" s="113">
        <f>IF(Arbeitszeit!F29=Urlaub,B_WorkTime*24,)</f>
        <v>0</v>
      </c>
      <c r="H28" s="111"/>
      <c r="I28" s="113">
        <f>IF(Arbeitszeit!F29=Krank,B_WorkTime*24,)</f>
        <v>0</v>
      </c>
      <c r="J28" s="111"/>
      <c r="K28" s="114"/>
      <c r="L28" s="115"/>
      <c r="M28" s="498"/>
      <c r="N28" s="499"/>
      <c r="O28" s="498"/>
      <c r="P28" s="499"/>
      <c r="Q28" s="498"/>
      <c r="R28" s="499"/>
      <c r="S28" s="498"/>
      <c r="T28" s="499"/>
      <c r="U28" s="498"/>
      <c r="V28" s="499"/>
      <c r="W28" s="498"/>
      <c r="X28" s="499"/>
      <c r="Y28" s="498"/>
      <c r="Z28" s="499"/>
      <c r="AA28" s="498"/>
      <c r="AB28" s="499"/>
      <c r="AC28" s="498"/>
      <c r="AD28" s="499"/>
      <c r="AE28" s="498"/>
      <c r="AF28" s="500"/>
      <c r="AG28" s="498"/>
      <c r="AH28" s="500"/>
      <c r="AI28" s="498"/>
      <c r="AJ28" s="500"/>
      <c r="AK28" s="498"/>
      <c r="AL28" s="500"/>
      <c r="AM28" s="501"/>
      <c r="AN28" s="500"/>
      <c r="AO28" s="498"/>
      <c r="AP28" s="500"/>
      <c r="AQ28" s="501"/>
      <c r="AR28" s="500"/>
      <c r="AS28" s="500"/>
      <c r="AT28" s="500"/>
      <c r="AU28" s="501"/>
      <c r="AV28" s="500"/>
      <c r="AW28" s="500"/>
      <c r="AX28" s="500"/>
      <c r="AY28" s="576"/>
      <c r="AZ28" s="576"/>
      <c r="BA28" s="576"/>
      <c r="BB28" s="576"/>
      <c r="BC28" s="576"/>
      <c r="BD28" s="576"/>
      <c r="BE28" s="576"/>
      <c r="BF28" s="576"/>
      <c r="BG28" s="576"/>
      <c r="BH28" s="576"/>
      <c r="BI28" s="576"/>
      <c r="BJ28" s="576"/>
      <c r="BK28" s="576"/>
      <c r="BL28" s="576"/>
      <c r="BM28" s="576"/>
      <c r="BN28" s="576"/>
      <c r="BO28" s="576"/>
      <c r="BP28" s="576"/>
      <c r="BQ28" s="576"/>
      <c r="BR28" s="576"/>
      <c r="BS28" s="576"/>
      <c r="BT28" s="576"/>
      <c r="BU28" s="576"/>
      <c r="BV28" s="576"/>
      <c r="BW28" s="576"/>
      <c r="BX28" s="576"/>
      <c r="BY28" s="576"/>
      <c r="BZ28" s="576"/>
      <c r="CA28" s="576"/>
      <c r="CB28" s="576"/>
      <c r="CC28" s="576"/>
      <c r="CD28" s="576"/>
      <c r="CE28" s="576"/>
      <c r="CF28" s="576"/>
      <c r="CG28" s="576"/>
      <c r="CH28" s="576"/>
      <c r="CI28" s="576"/>
      <c r="CJ28" s="576"/>
      <c r="CK28" s="576"/>
      <c r="CL28" s="576"/>
      <c r="CM28" s="576"/>
      <c r="CN28" s="576"/>
      <c r="CO28" s="576"/>
      <c r="CP28" s="576"/>
      <c r="CQ28" s="576"/>
      <c r="CR28" s="576"/>
      <c r="CS28" s="576"/>
      <c r="CT28" s="576"/>
      <c r="CU28" s="576"/>
      <c r="CV28" s="576"/>
      <c r="CW28" s="576"/>
      <c r="CX28" s="576"/>
      <c r="CY28" s="576"/>
      <c r="CZ28" s="576"/>
      <c r="DA28" s="576"/>
      <c r="DB28" s="576"/>
      <c r="DC28" s="576"/>
      <c r="DD28" s="576"/>
      <c r="DE28" s="576"/>
      <c r="DF28" s="576"/>
      <c r="DG28" s="576"/>
      <c r="DH28" s="116"/>
      <c r="DI28" s="112"/>
      <c r="DJ28">
        <f ca="1">INDIRECT(ADDRESS(ROW()+1,COLUMN(Arbeitszeit!xDay),,,"Arbeitszeit"))</f>
        <v>6</v>
      </c>
    </row>
    <row r="29" spans="1:114">
      <c r="A29" s="462">
        <f>Arbeitszeit!A30</f>
        <v>44858</v>
      </c>
      <c r="B29" s="463">
        <f t="shared" si="1"/>
        <v>44858</v>
      </c>
      <c r="C29" s="146">
        <f t="shared" si="2"/>
        <v>43</v>
      </c>
      <c r="D29" s="145">
        <f t="shared" si="3"/>
        <v>44834</v>
      </c>
      <c r="E29" s="510">
        <f>Arbeitszeit!V30*24</f>
        <v>0</v>
      </c>
      <c r="F29" s="574">
        <f t="shared" si="0"/>
        <v>0</v>
      </c>
      <c r="G29" s="113">
        <f>IF(Arbeitszeit!F30=Urlaub,B_WorkTime*24,)</f>
        <v>0</v>
      </c>
      <c r="H29" s="111"/>
      <c r="I29" s="113">
        <f>IF(Arbeitszeit!F30=Krank,B_WorkTime*24,)</f>
        <v>0</v>
      </c>
      <c r="J29" s="111"/>
      <c r="K29" s="114"/>
      <c r="L29" s="115"/>
      <c r="M29" s="498"/>
      <c r="N29" s="499"/>
      <c r="O29" s="498"/>
      <c r="P29" s="499"/>
      <c r="Q29" s="498"/>
      <c r="R29" s="499"/>
      <c r="S29" s="498"/>
      <c r="T29" s="499"/>
      <c r="U29" s="498"/>
      <c r="V29" s="499"/>
      <c r="W29" s="498"/>
      <c r="X29" s="499"/>
      <c r="Y29" s="498"/>
      <c r="Z29" s="499"/>
      <c r="AA29" s="498"/>
      <c r="AB29" s="499"/>
      <c r="AC29" s="498"/>
      <c r="AD29" s="499"/>
      <c r="AE29" s="498"/>
      <c r="AF29" s="500"/>
      <c r="AG29" s="498"/>
      <c r="AH29" s="500"/>
      <c r="AI29" s="498"/>
      <c r="AJ29" s="500"/>
      <c r="AK29" s="498"/>
      <c r="AL29" s="500"/>
      <c r="AM29" s="501"/>
      <c r="AN29" s="500"/>
      <c r="AO29" s="498"/>
      <c r="AP29" s="500"/>
      <c r="AQ29" s="501"/>
      <c r="AR29" s="500"/>
      <c r="AS29" s="500"/>
      <c r="AT29" s="500"/>
      <c r="AU29" s="501"/>
      <c r="AV29" s="500"/>
      <c r="AW29" s="500"/>
      <c r="AX29" s="500"/>
      <c r="AY29" s="576"/>
      <c r="AZ29" s="576"/>
      <c r="BA29" s="576"/>
      <c r="BB29" s="576"/>
      <c r="BC29" s="576"/>
      <c r="BD29" s="576"/>
      <c r="BE29" s="576"/>
      <c r="BF29" s="576"/>
      <c r="BG29" s="576"/>
      <c r="BH29" s="576"/>
      <c r="BI29" s="576"/>
      <c r="BJ29" s="576"/>
      <c r="BK29" s="576"/>
      <c r="BL29" s="576"/>
      <c r="BM29" s="576"/>
      <c r="BN29" s="576"/>
      <c r="BO29" s="576"/>
      <c r="BP29" s="576"/>
      <c r="BQ29" s="576"/>
      <c r="BR29" s="576"/>
      <c r="BS29" s="576"/>
      <c r="BT29" s="576"/>
      <c r="BU29" s="576"/>
      <c r="BV29" s="576"/>
      <c r="BW29" s="576"/>
      <c r="BX29" s="576"/>
      <c r="BY29" s="576"/>
      <c r="BZ29" s="576"/>
      <c r="CA29" s="576"/>
      <c r="CB29" s="576"/>
      <c r="CC29" s="576"/>
      <c r="CD29" s="576"/>
      <c r="CE29" s="576"/>
      <c r="CF29" s="576"/>
      <c r="CG29" s="576"/>
      <c r="CH29" s="576"/>
      <c r="CI29" s="576"/>
      <c r="CJ29" s="576"/>
      <c r="CK29" s="576"/>
      <c r="CL29" s="576"/>
      <c r="CM29" s="576"/>
      <c r="CN29" s="576"/>
      <c r="CO29" s="576"/>
      <c r="CP29" s="576"/>
      <c r="CQ29" s="576"/>
      <c r="CR29" s="576"/>
      <c r="CS29" s="576"/>
      <c r="CT29" s="576"/>
      <c r="CU29" s="576"/>
      <c r="CV29" s="576"/>
      <c r="CW29" s="576"/>
      <c r="CX29" s="576"/>
      <c r="CY29" s="576"/>
      <c r="CZ29" s="576"/>
      <c r="DA29" s="576"/>
      <c r="DB29" s="576"/>
      <c r="DC29" s="576"/>
      <c r="DD29" s="576"/>
      <c r="DE29" s="576"/>
      <c r="DF29" s="576"/>
      <c r="DG29" s="576"/>
      <c r="DH29" s="116"/>
      <c r="DI29" s="112"/>
      <c r="DJ29">
        <f ca="1">INDIRECT(ADDRESS(ROW()+1,COLUMN(Arbeitszeit!xDay),,,"Arbeitszeit"))</f>
        <v>7</v>
      </c>
    </row>
    <row r="30" spans="1:114">
      <c r="A30" s="462">
        <f>Arbeitszeit!A31</f>
        <v>44859</v>
      </c>
      <c r="B30" s="463">
        <f t="shared" si="1"/>
        <v>44859</v>
      </c>
      <c r="C30" s="146">
        <f t="shared" si="2"/>
        <v>44</v>
      </c>
      <c r="D30" s="145">
        <f t="shared" si="3"/>
        <v>44834</v>
      </c>
      <c r="E30" s="510">
        <f>Arbeitszeit!V31*24</f>
        <v>0</v>
      </c>
      <c r="F30" s="574">
        <f t="shared" si="0"/>
        <v>0</v>
      </c>
      <c r="G30" s="113">
        <f>IF(Arbeitszeit!F31=Urlaub,B_WorkTime*24,)</f>
        <v>0</v>
      </c>
      <c r="H30" s="111"/>
      <c r="I30" s="113">
        <f>IF(Arbeitszeit!F31=Krank,B_WorkTime*24,)</f>
        <v>0</v>
      </c>
      <c r="J30" s="111"/>
      <c r="K30" s="114"/>
      <c r="L30" s="115"/>
      <c r="M30" s="498"/>
      <c r="N30" s="499"/>
      <c r="O30" s="498"/>
      <c r="P30" s="499"/>
      <c r="Q30" s="498"/>
      <c r="R30" s="499"/>
      <c r="S30" s="498"/>
      <c r="T30" s="499"/>
      <c r="U30" s="498"/>
      <c r="V30" s="499"/>
      <c r="W30" s="498"/>
      <c r="X30" s="499"/>
      <c r="Y30" s="498"/>
      <c r="Z30" s="499"/>
      <c r="AA30" s="498"/>
      <c r="AB30" s="499"/>
      <c r="AC30" s="498"/>
      <c r="AD30" s="499"/>
      <c r="AE30" s="498"/>
      <c r="AF30" s="500"/>
      <c r="AG30" s="498"/>
      <c r="AH30" s="500"/>
      <c r="AI30" s="498"/>
      <c r="AJ30" s="500"/>
      <c r="AK30" s="498"/>
      <c r="AL30" s="500"/>
      <c r="AM30" s="501"/>
      <c r="AN30" s="500"/>
      <c r="AO30" s="498"/>
      <c r="AP30" s="500"/>
      <c r="AQ30" s="501"/>
      <c r="AR30" s="500"/>
      <c r="AS30" s="500"/>
      <c r="AT30" s="500"/>
      <c r="AU30" s="501"/>
      <c r="AV30" s="500"/>
      <c r="AW30" s="500"/>
      <c r="AX30" s="500"/>
      <c r="AY30" s="576"/>
      <c r="AZ30" s="576"/>
      <c r="BA30" s="576"/>
      <c r="BB30" s="576"/>
      <c r="BC30" s="576"/>
      <c r="BD30" s="576"/>
      <c r="BE30" s="576"/>
      <c r="BF30" s="576"/>
      <c r="BG30" s="576"/>
      <c r="BH30" s="576"/>
      <c r="BI30" s="576"/>
      <c r="BJ30" s="576"/>
      <c r="BK30" s="576"/>
      <c r="BL30" s="576"/>
      <c r="BM30" s="576"/>
      <c r="BN30" s="576"/>
      <c r="BO30" s="576"/>
      <c r="BP30" s="576"/>
      <c r="BQ30" s="576"/>
      <c r="BR30" s="576"/>
      <c r="BS30" s="576"/>
      <c r="BT30" s="576"/>
      <c r="BU30" s="576"/>
      <c r="BV30" s="576"/>
      <c r="BW30" s="576"/>
      <c r="BX30" s="576"/>
      <c r="BY30" s="576"/>
      <c r="BZ30" s="576"/>
      <c r="CA30" s="576"/>
      <c r="CB30" s="576"/>
      <c r="CC30" s="576"/>
      <c r="CD30" s="576"/>
      <c r="CE30" s="576"/>
      <c r="CF30" s="576"/>
      <c r="CG30" s="576"/>
      <c r="CH30" s="576"/>
      <c r="CI30" s="576"/>
      <c r="CJ30" s="576"/>
      <c r="CK30" s="576"/>
      <c r="CL30" s="576"/>
      <c r="CM30" s="576"/>
      <c r="CN30" s="576"/>
      <c r="CO30" s="576"/>
      <c r="CP30" s="576"/>
      <c r="CQ30" s="576"/>
      <c r="CR30" s="576"/>
      <c r="CS30" s="576"/>
      <c r="CT30" s="576"/>
      <c r="CU30" s="576"/>
      <c r="CV30" s="576"/>
      <c r="CW30" s="576"/>
      <c r="CX30" s="576"/>
      <c r="CY30" s="576"/>
      <c r="CZ30" s="576"/>
      <c r="DA30" s="576"/>
      <c r="DB30" s="576"/>
      <c r="DC30" s="576"/>
      <c r="DD30" s="576"/>
      <c r="DE30" s="576"/>
      <c r="DF30" s="576"/>
      <c r="DG30" s="576"/>
      <c r="DH30" s="116"/>
      <c r="DI30" s="112"/>
      <c r="DJ30">
        <f ca="1">INDIRECT(ADDRESS(ROW()+1,COLUMN(Arbeitszeit!xDay),,,"Arbeitszeit"))</f>
        <v>1</v>
      </c>
    </row>
    <row r="31" spans="1:114">
      <c r="A31" s="462">
        <f>Arbeitszeit!A32</f>
        <v>44860</v>
      </c>
      <c r="B31" s="463">
        <f t="shared" si="1"/>
        <v>44860</v>
      </c>
      <c r="C31" s="146">
        <f t="shared" si="2"/>
        <v>44</v>
      </c>
      <c r="D31" s="145">
        <f t="shared" si="3"/>
        <v>44834</v>
      </c>
      <c r="E31" s="510">
        <f>Arbeitszeit!V32*24</f>
        <v>0</v>
      </c>
      <c r="F31" s="574">
        <f t="shared" si="0"/>
        <v>0</v>
      </c>
      <c r="G31" s="113">
        <f>IF(Arbeitszeit!F32=Urlaub,B_WorkTime*24,)</f>
        <v>0</v>
      </c>
      <c r="H31" s="111"/>
      <c r="I31" s="113">
        <f>IF(Arbeitszeit!F32=Krank,B_WorkTime*24,)</f>
        <v>0</v>
      </c>
      <c r="J31" s="111"/>
      <c r="K31" s="114"/>
      <c r="L31" s="115"/>
      <c r="M31" s="498"/>
      <c r="N31" s="499"/>
      <c r="O31" s="498"/>
      <c r="P31" s="499"/>
      <c r="Q31" s="498"/>
      <c r="R31" s="499"/>
      <c r="S31" s="498"/>
      <c r="T31" s="499"/>
      <c r="U31" s="498"/>
      <c r="V31" s="499"/>
      <c r="W31" s="498"/>
      <c r="X31" s="499"/>
      <c r="Y31" s="498"/>
      <c r="Z31" s="499"/>
      <c r="AA31" s="498"/>
      <c r="AB31" s="499"/>
      <c r="AC31" s="498"/>
      <c r="AD31" s="499"/>
      <c r="AE31" s="498"/>
      <c r="AF31" s="500"/>
      <c r="AG31" s="498"/>
      <c r="AH31" s="500"/>
      <c r="AI31" s="498"/>
      <c r="AJ31" s="500"/>
      <c r="AK31" s="498"/>
      <c r="AL31" s="500"/>
      <c r="AM31" s="501"/>
      <c r="AN31" s="500"/>
      <c r="AO31" s="498"/>
      <c r="AP31" s="500"/>
      <c r="AQ31" s="501"/>
      <c r="AR31" s="500"/>
      <c r="AS31" s="500"/>
      <c r="AT31" s="500"/>
      <c r="AU31" s="501"/>
      <c r="AV31" s="500"/>
      <c r="AW31" s="500"/>
      <c r="AX31" s="500"/>
      <c r="AY31" s="576"/>
      <c r="AZ31" s="576"/>
      <c r="BA31" s="576"/>
      <c r="BB31" s="576"/>
      <c r="BC31" s="576"/>
      <c r="BD31" s="576"/>
      <c r="BE31" s="576"/>
      <c r="BF31" s="576"/>
      <c r="BG31" s="576"/>
      <c r="BH31" s="576"/>
      <c r="BI31" s="576"/>
      <c r="BJ31" s="576"/>
      <c r="BK31" s="576"/>
      <c r="BL31" s="576"/>
      <c r="BM31" s="576"/>
      <c r="BN31" s="576"/>
      <c r="BO31" s="576"/>
      <c r="BP31" s="576"/>
      <c r="BQ31" s="576"/>
      <c r="BR31" s="576"/>
      <c r="BS31" s="576"/>
      <c r="BT31" s="576"/>
      <c r="BU31" s="576"/>
      <c r="BV31" s="576"/>
      <c r="BW31" s="576"/>
      <c r="BX31" s="576"/>
      <c r="BY31" s="576"/>
      <c r="BZ31" s="576"/>
      <c r="CA31" s="576"/>
      <c r="CB31" s="576"/>
      <c r="CC31" s="576"/>
      <c r="CD31" s="576"/>
      <c r="CE31" s="576"/>
      <c r="CF31" s="576"/>
      <c r="CG31" s="576"/>
      <c r="CH31" s="576"/>
      <c r="CI31" s="576"/>
      <c r="CJ31" s="576"/>
      <c r="CK31" s="576"/>
      <c r="CL31" s="576"/>
      <c r="CM31" s="576"/>
      <c r="CN31" s="576"/>
      <c r="CO31" s="576"/>
      <c r="CP31" s="576"/>
      <c r="CQ31" s="576"/>
      <c r="CR31" s="576"/>
      <c r="CS31" s="576"/>
      <c r="CT31" s="576"/>
      <c r="CU31" s="576"/>
      <c r="CV31" s="576"/>
      <c r="CW31" s="576"/>
      <c r="CX31" s="576"/>
      <c r="CY31" s="576"/>
      <c r="CZ31" s="576"/>
      <c r="DA31" s="576"/>
      <c r="DB31" s="576"/>
      <c r="DC31" s="576"/>
      <c r="DD31" s="576"/>
      <c r="DE31" s="576"/>
      <c r="DF31" s="576"/>
      <c r="DG31" s="576"/>
      <c r="DH31" s="116"/>
      <c r="DI31" s="112"/>
      <c r="DJ31">
        <f ca="1">INDIRECT(ADDRESS(ROW()+1,COLUMN(Arbeitszeit!xDay),,,"Arbeitszeit"))</f>
        <v>2</v>
      </c>
    </row>
    <row r="32" spans="1:114">
      <c r="A32" s="462">
        <f>Arbeitszeit!A33</f>
        <v>44861</v>
      </c>
      <c r="B32" s="463">
        <f t="shared" si="1"/>
        <v>44861</v>
      </c>
      <c r="C32" s="146">
        <f t="shared" si="2"/>
        <v>44</v>
      </c>
      <c r="D32" s="145">
        <f t="shared" si="3"/>
        <v>44834</v>
      </c>
      <c r="E32" s="510">
        <f>Arbeitszeit!V33*24</f>
        <v>0</v>
      </c>
      <c r="F32" s="574">
        <f t="shared" si="0"/>
        <v>0</v>
      </c>
      <c r="G32" s="113">
        <f>IF(Arbeitszeit!F33=Urlaub,B_WorkTime*24,)</f>
        <v>0</v>
      </c>
      <c r="H32" s="111"/>
      <c r="I32" s="113">
        <f>IF(Arbeitszeit!F33=Krank,B_WorkTime*24,)</f>
        <v>0</v>
      </c>
      <c r="J32" s="111"/>
      <c r="K32" s="114"/>
      <c r="L32" s="115"/>
      <c r="M32" s="498"/>
      <c r="N32" s="499"/>
      <c r="O32" s="498"/>
      <c r="P32" s="499"/>
      <c r="Q32" s="498"/>
      <c r="R32" s="499"/>
      <c r="S32" s="498"/>
      <c r="T32" s="499"/>
      <c r="U32" s="498"/>
      <c r="V32" s="499"/>
      <c r="W32" s="498"/>
      <c r="X32" s="499"/>
      <c r="Y32" s="498"/>
      <c r="Z32" s="499"/>
      <c r="AA32" s="498"/>
      <c r="AB32" s="499"/>
      <c r="AC32" s="498"/>
      <c r="AD32" s="499"/>
      <c r="AE32" s="498"/>
      <c r="AF32" s="500"/>
      <c r="AG32" s="498"/>
      <c r="AH32" s="500"/>
      <c r="AI32" s="498"/>
      <c r="AJ32" s="500"/>
      <c r="AK32" s="498"/>
      <c r="AL32" s="500"/>
      <c r="AM32" s="501"/>
      <c r="AN32" s="500"/>
      <c r="AO32" s="498"/>
      <c r="AP32" s="500"/>
      <c r="AQ32" s="501"/>
      <c r="AR32" s="500"/>
      <c r="AS32" s="500"/>
      <c r="AT32" s="500"/>
      <c r="AU32" s="501"/>
      <c r="AV32" s="500"/>
      <c r="AW32" s="500"/>
      <c r="AX32" s="500"/>
      <c r="AY32" s="576"/>
      <c r="AZ32" s="576"/>
      <c r="BA32" s="576"/>
      <c r="BB32" s="576"/>
      <c r="BC32" s="576"/>
      <c r="BD32" s="576"/>
      <c r="BE32" s="576"/>
      <c r="BF32" s="576"/>
      <c r="BG32" s="576"/>
      <c r="BH32" s="576"/>
      <c r="BI32" s="576"/>
      <c r="BJ32" s="576"/>
      <c r="BK32" s="576"/>
      <c r="BL32" s="576"/>
      <c r="BM32" s="576"/>
      <c r="BN32" s="576"/>
      <c r="BO32" s="576"/>
      <c r="BP32" s="576"/>
      <c r="BQ32" s="576"/>
      <c r="BR32" s="576"/>
      <c r="BS32" s="576"/>
      <c r="BT32" s="576"/>
      <c r="BU32" s="576"/>
      <c r="BV32" s="576"/>
      <c r="BW32" s="576"/>
      <c r="BX32" s="576"/>
      <c r="BY32" s="576"/>
      <c r="BZ32" s="576"/>
      <c r="CA32" s="576"/>
      <c r="CB32" s="576"/>
      <c r="CC32" s="576"/>
      <c r="CD32" s="576"/>
      <c r="CE32" s="576"/>
      <c r="CF32" s="576"/>
      <c r="CG32" s="576"/>
      <c r="CH32" s="576"/>
      <c r="CI32" s="576"/>
      <c r="CJ32" s="576"/>
      <c r="CK32" s="576"/>
      <c r="CL32" s="576"/>
      <c r="CM32" s="576"/>
      <c r="CN32" s="576"/>
      <c r="CO32" s="576"/>
      <c r="CP32" s="576"/>
      <c r="CQ32" s="576"/>
      <c r="CR32" s="576"/>
      <c r="CS32" s="576"/>
      <c r="CT32" s="576"/>
      <c r="CU32" s="576"/>
      <c r="CV32" s="576"/>
      <c r="CW32" s="576"/>
      <c r="CX32" s="576"/>
      <c r="CY32" s="576"/>
      <c r="CZ32" s="576"/>
      <c r="DA32" s="576"/>
      <c r="DB32" s="576"/>
      <c r="DC32" s="576"/>
      <c r="DD32" s="576"/>
      <c r="DE32" s="576"/>
      <c r="DF32" s="576"/>
      <c r="DG32" s="576"/>
      <c r="DH32" s="116"/>
      <c r="DI32" s="112"/>
      <c r="DJ32">
        <f ca="1">INDIRECT(ADDRESS(ROW()+1,COLUMN(Arbeitszeit!xDay),,,"Arbeitszeit"))</f>
        <v>3</v>
      </c>
    </row>
    <row r="33" spans="1:114">
      <c r="A33" s="462">
        <f>Arbeitszeit!A34</f>
        <v>44862</v>
      </c>
      <c r="B33" s="463">
        <f t="shared" si="1"/>
        <v>44862</v>
      </c>
      <c r="C33" s="146">
        <f t="shared" si="2"/>
        <v>44</v>
      </c>
      <c r="D33" s="145">
        <f t="shared" si="3"/>
        <v>44834</v>
      </c>
      <c r="E33" s="510">
        <f>Arbeitszeit!V34*24</f>
        <v>0</v>
      </c>
      <c r="F33" s="574">
        <f t="shared" si="0"/>
        <v>0</v>
      </c>
      <c r="G33" s="113">
        <f>IF(Arbeitszeit!F34=Urlaub,B_WorkTime*24,)</f>
        <v>0</v>
      </c>
      <c r="H33" s="111"/>
      <c r="I33" s="113">
        <f>IF(Arbeitszeit!F34=Krank,B_WorkTime*24,)</f>
        <v>0</v>
      </c>
      <c r="J33" s="111"/>
      <c r="K33" s="114"/>
      <c r="L33" s="115"/>
      <c r="M33" s="498"/>
      <c r="N33" s="499"/>
      <c r="O33" s="498"/>
      <c r="P33" s="499"/>
      <c r="Q33" s="498"/>
      <c r="R33" s="499"/>
      <c r="S33" s="498"/>
      <c r="T33" s="499"/>
      <c r="U33" s="498"/>
      <c r="V33" s="499"/>
      <c r="W33" s="498"/>
      <c r="X33" s="499"/>
      <c r="Y33" s="498"/>
      <c r="Z33" s="499"/>
      <c r="AA33" s="498"/>
      <c r="AB33" s="499"/>
      <c r="AC33" s="498"/>
      <c r="AD33" s="499"/>
      <c r="AE33" s="498"/>
      <c r="AF33" s="500"/>
      <c r="AG33" s="498"/>
      <c r="AH33" s="500"/>
      <c r="AI33" s="498"/>
      <c r="AJ33" s="500"/>
      <c r="AK33" s="498"/>
      <c r="AL33" s="500"/>
      <c r="AM33" s="501"/>
      <c r="AN33" s="500"/>
      <c r="AO33" s="498"/>
      <c r="AP33" s="500"/>
      <c r="AQ33" s="501"/>
      <c r="AR33" s="500"/>
      <c r="AS33" s="500"/>
      <c r="AT33" s="500"/>
      <c r="AU33" s="501"/>
      <c r="AV33" s="500"/>
      <c r="AW33" s="500"/>
      <c r="AX33" s="500"/>
      <c r="AY33" s="576"/>
      <c r="AZ33" s="576"/>
      <c r="BA33" s="576"/>
      <c r="BB33" s="576"/>
      <c r="BC33" s="576"/>
      <c r="BD33" s="576"/>
      <c r="BE33" s="576"/>
      <c r="BF33" s="576"/>
      <c r="BG33" s="576"/>
      <c r="BH33" s="576"/>
      <c r="BI33" s="576"/>
      <c r="BJ33" s="576"/>
      <c r="BK33" s="576"/>
      <c r="BL33" s="576"/>
      <c r="BM33" s="576"/>
      <c r="BN33" s="576"/>
      <c r="BO33" s="576"/>
      <c r="BP33" s="576"/>
      <c r="BQ33" s="576"/>
      <c r="BR33" s="576"/>
      <c r="BS33" s="576"/>
      <c r="BT33" s="576"/>
      <c r="BU33" s="576"/>
      <c r="BV33" s="576"/>
      <c r="BW33" s="576"/>
      <c r="BX33" s="576"/>
      <c r="BY33" s="576"/>
      <c r="BZ33" s="576"/>
      <c r="CA33" s="576"/>
      <c r="CB33" s="576"/>
      <c r="CC33" s="576"/>
      <c r="CD33" s="576"/>
      <c r="CE33" s="576"/>
      <c r="CF33" s="576"/>
      <c r="CG33" s="576"/>
      <c r="CH33" s="576"/>
      <c r="CI33" s="576"/>
      <c r="CJ33" s="576"/>
      <c r="CK33" s="576"/>
      <c r="CL33" s="576"/>
      <c r="CM33" s="576"/>
      <c r="CN33" s="576"/>
      <c r="CO33" s="576"/>
      <c r="CP33" s="576"/>
      <c r="CQ33" s="576"/>
      <c r="CR33" s="576"/>
      <c r="CS33" s="576"/>
      <c r="CT33" s="576"/>
      <c r="CU33" s="576"/>
      <c r="CV33" s="576"/>
      <c r="CW33" s="576"/>
      <c r="CX33" s="576"/>
      <c r="CY33" s="576"/>
      <c r="CZ33" s="576"/>
      <c r="DA33" s="576"/>
      <c r="DB33" s="576"/>
      <c r="DC33" s="576"/>
      <c r="DD33" s="576"/>
      <c r="DE33" s="576"/>
      <c r="DF33" s="576"/>
      <c r="DG33" s="576"/>
      <c r="DH33" s="116"/>
      <c r="DI33" s="112"/>
      <c r="DJ33">
        <f ca="1">INDIRECT(ADDRESS(ROW()+1,COLUMN(Arbeitszeit!xDay),,,"Arbeitszeit"))</f>
        <v>4</v>
      </c>
    </row>
    <row r="34" spans="1:114">
      <c r="A34" s="462">
        <f>Arbeitszeit!A35</f>
        <v>44863</v>
      </c>
      <c r="B34" s="463">
        <f t="shared" si="1"/>
        <v>44863</v>
      </c>
      <c r="C34" s="146">
        <f t="shared" si="2"/>
        <v>44</v>
      </c>
      <c r="D34" s="145">
        <f t="shared" si="3"/>
        <v>44834</v>
      </c>
      <c r="E34" s="510">
        <f>Arbeitszeit!V35*24</f>
        <v>0</v>
      </c>
      <c r="F34" s="574">
        <f t="shared" si="0"/>
        <v>0</v>
      </c>
      <c r="G34" s="113">
        <f>IF(Arbeitszeit!F35=Urlaub,B_WorkTime*24,)</f>
        <v>0</v>
      </c>
      <c r="H34" s="111"/>
      <c r="I34" s="113">
        <f>IF(Arbeitszeit!F35=Krank,B_WorkTime*24,)</f>
        <v>0</v>
      </c>
      <c r="J34" s="111"/>
      <c r="K34" s="114"/>
      <c r="L34" s="115"/>
      <c r="M34" s="498"/>
      <c r="N34" s="499"/>
      <c r="O34" s="498"/>
      <c r="P34" s="499"/>
      <c r="Q34" s="498"/>
      <c r="R34" s="499"/>
      <c r="S34" s="498"/>
      <c r="T34" s="499"/>
      <c r="U34" s="498"/>
      <c r="V34" s="499"/>
      <c r="W34" s="498"/>
      <c r="X34" s="499"/>
      <c r="Y34" s="498"/>
      <c r="Z34" s="499"/>
      <c r="AA34" s="498"/>
      <c r="AB34" s="499"/>
      <c r="AC34" s="498"/>
      <c r="AD34" s="499"/>
      <c r="AE34" s="498"/>
      <c r="AF34" s="500"/>
      <c r="AG34" s="498"/>
      <c r="AH34" s="500"/>
      <c r="AI34" s="498"/>
      <c r="AJ34" s="500"/>
      <c r="AK34" s="498"/>
      <c r="AL34" s="500"/>
      <c r="AM34" s="501"/>
      <c r="AN34" s="500"/>
      <c r="AO34" s="498"/>
      <c r="AP34" s="500"/>
      <c r="AQ34" s="501"/>
      <c r="AR34" s="500"/>
      <c r="AS34" s="500"/>
      <c r="AT34" s="500"/>
      <c r="AU34" s="501"/>
      <c r="AV34" s="500"/>
      <c r="AW34" s="500"/>
      <c r="AX34" s="500"/>
      <c r="AY34" s="576"/>
      <c r="AZ34" s="576"/>
      <c r="BA34" s="576"/>
      <c r="BB34" s="576"/>
      <c r="BC34" s="576"/>
      <c r="BD34" s="576"/>
      <c r="BE34" s="576"/>
      <c r="BF34" s="576"/>
      <c r="BG34" s="576"/>
      <c r="BH34" s="576"/>
      <c r="BI34" s="576"/>
      <c r="BJ34" s="576"/>
      <c r="BK34" s="576"/>
      <c r="BL34" s="576"/>
      <c r="BM34" s="576"/>
      <c r="BN34" s="576"/>
      <c r="BO34" s="576"/>
      <c r="BP34" s="576"/>
      <c r="BQ34" s="576"/>
      <c r="BR34" s="576"/>
      <c r="BS34" s="576"/>
      <c r="BT34" s="576"/>
      <c r="BU34" s="576"/>
      <c r="BV34" s="576"/>
      <c r="BW34" s="576"/>
      <c r="BX34" s="576"/>
      <c r="BY34" s="576"/>
      <c r="BZ34" s="576"/>
      <c r="CA34" s="576"/>
      <c r="CB34" s="576"/>
      <c r="CC34" s="576"/>
      <c r="CD34" s="576"/>
      <c r="CE34" s="576"/>
      <c r="CF34" s="576"/>
      <c r="CG34" s="576"/>
      <c r="CH34" s="576"/>
      <c r="CI34" s="576"/>
      <c r="CJ34" s="576"/>
      <c r="CK34" s="576"/>
      <c r="CL34" s="576"/>
      <c r="CM34" s="576"/>
      <c r="CN34" s="576"/>
      <c r="CO34" s="576"/>
      <c r="CP34" s="576"/>
      <c r="CQ34" s="576"/>
      <c r="CR34" s="576"/>
      <c r="CS34" s="576"/>
      <c r="CT34" s="576"/>
      <c r="CU34" s="576"/>
      <c r="CV34" s="576"/>
      <c r="CW34" s="576"/>
      <c r="CX34" s="576"/>
      <c r="CY34" s="576"/>
      <c r="CZ34" s="576"/>
      <c r="DA34" s="576"/>
      <c r="DB34" s="576"/>
      <c r="DC34" s="576"/>
      <c r="DD34" s="576"/>
      <c r="DE34" s="576"/>
      <c r="DF34" s="576"/>
      <c r="DG34" s="576"/>
      <c r="DH34" s="116"/>
      <c r="DI34" s="112"/>
      <c r="DJ34">
        <f ca="1">INDIRECT(ADDRESS(ROW()+1,COLUMN(Arbeitszeit!xDay),,,"Arbeitszeit"))</f>
        <v>5</v>
      </c>
    </row>
    <row r="35" spans="1:114">
      <c r="A35" s="462">
        <f>Arbeitszeit!A36</f>
        <v>44864</v>
      </c>
      <c r="B35" s="463">
        <f t="shared" si="1"/>
        <v>44864</v>
      </c>
      <c r="C35" s="146">
        <f t="shared" si="2"/>
        <v>44</v>
      </c>
      <c r="D35" s="145">
        <f t="shared" si="3"/>
        <v>44834</v>
      </c>
      <c r="E35" s="510">
        <f>Arbeitszeit!V36*24</f>
        <v>0</v>
      </c>
      <c r="F35" s="574">
        <f t="shared" si="0"/>
        <v>0</v>
      </c>
      <c r="G35" s="113">
        <f>IF(Arbeitszeit!F36=Urlaub,B_WorkTime*24,)</f>
        <v>0</v>
      </c>
      <c r="H35" s="111"/>
      <c r="I35" s="113">
        <f>IF(Arbeitszeit!F36=Krank,B_WorkTime*24,)</f>
        <v>0</v>
      </c>
      <c r="J35" s="111"/>
      <c r="K35" s="114"/>
      <c r="L35" s="115"/>
      <c r="M35" s="498"/>
      <c r="N35" s="499"/>
      <c r="O35" s="498"/>
      <c r="P35" s="499"/>
      <c r="Q35" s="498"/>
      <c r="R35" s="499"/>
      <c r="S35" s="498"/>
      <c r="T35" s="499"/>
      <c r="U35" s="498"/>
      <c r="V35" s="499"/>
      <c r="W35" s="498"/>
      <c r="X35" s="499"/>
      <c r="Y35" s="498"/>
      <c r="Z35" s="499"/>
      <c r="AA35" s="498"/>
      <c r="AB35" s="499"/>
      <c r="AC35" s="498"/>
      <c r="AD35" s="499"/>
      <c r="AE35" s="498"/>
      <c r="AF35" s="500"/>
      <c r="AG35" s="498"/>
      <c r="AH35" s="500"/>
      <c r="AI35" s="498"/>
      <c r="AJ35" s="500"/>
      <c r="AK35" s="498"/>
      <c r="AL35" s="500"/>
      <c r="AM35" s="501"/>
      <c r="AN35" s="500"/>
      <c r="AO35" s="498"/>
      <c r="AP35" s="500"/>
      <c r="AQ35" s="501"/>
      <c r="AR35" s="500"/>
      <c r="AS35" s="500"/>
      <c r="AT35" s="500"/>
      <c r="AU35" s="501"/>
      <c r="AV35" s="500"/>
      <c r="AW35" s="500"/>
      <c r="AX35" s="500"/>
      <c r="AY35" s="576"/>
      <c r="AZ35" s="576"/>
      <c r="BA35" s="576"/>
      <c r="BB35" s="576"/>
      <c r="BC35" s="576"/>
      <c r="BD35" s="576"/>
      <c r="BE35" s="576"/>
      <c r="BF35" s="576"/>
      <c r="BG35" s="576"/>
      <c r="BH35" s="576"/>
      <c r="BI35" s="576"/>
      <c r="BJ35" s="576"/>
      <c r="BK35" s="576"/>
      <c r="BL35" s="576"/>
      <c r="BM35" s="576"/>
      <c r="BN35" s="576"/>
      <c r="BO35" s="576"/>
      <c r="BP35" s="576"/>
      <c r="BQ35" s="576"/>
      <c r="BR35" s="576"/>
      <c r="BS35" s="576"/>
      <c r="BT35" s="576"/>
      <c r="BU35" s="576"/>
      <c r="BV35" s="576"/>
      <c r="BW35" s="576"/>
      <c r="BX35" s="576"/>
      <c r="BY35" s="576"/>
      <c r="BZ35" s="576"/>
      <c r="CA35" s="576"/>
      <c r="CB35" s="576"/>
      <c r="CC35" s="576"/>
      <c r="CD35" s="576"/>
      <c r="CE35" s="576"/>
      <c r="CF35" s="576"/>
      <c r="CG35" s="576"/>
      <c r="CH35" s="576"/>
      <c r="CI35" s="576"/>
      <c r="CJ35" s="576"/>
      <c r="CK35" s="576"/>
      <c r="CL35" s="576"/>
      <c r="CM35" s="576"/>
      <c r="CN35" s="576"/>
      <c r="CO35" s="576"/>
      <c r="CP35" s="576"/>
      <c r="CQ35" s="576"/>
      <c r="CR35" s="576"/>
      <c r="CS35" s="576"/>
      <c r="CT35" s="576"/>
      <c r="CU35" s="576"/>
      <c r="CV35" s="576"/>
      <c r="CW35" s="576"/>
      <c r="CX35" s="576"/>
      <c r="CY35" s="576"/>
      <c r="CZ35" s="576"/>
      <c r="DA35" s="576"/>
      <c r="DB35" s="576"/>
      <c r="DC35" s="576"/>
      <c r="DD35" s="576"/>
      <c r="DE35" s="576"/>
      <c r="DF35" s="576"/>
      <c r="DG35" s="576"/>
      <c r="DH35" s="116"/>
      <c r="DI35" s="112"/>
      <c r="DJ35">
        <f ca="1">INDIRECT(ADDRESS(ROW()+1,COLUMN(Arbeitszeit!xDay),,,"Arbeitszeit"))</f>
        <v>6</v>
      </c>
    </row>
    <row r="36" spans="1:114">
      <c r="A36" s="462">
        <f>Arbeitszeit!A37</f>
        <v>44865</v>
      </c>
      <c r="B36" s="463">
        <f t="shared" si="1"/>
        <v>44865</v>
      </c>
      <c r="C36" s="146">
        <f t="shared" si="2"/>
        <v>44</v>
      </c>
      <c r="D36" s="145">
        <f t="shared" si="3"/>
        <v>44865</v>
      </c>
      <c r="E36" s="510">
        <f>Arbeitszeit!V37*24</f>
        <v>0</v>
      </c>
      <c r="F36" s="574">
        <f t="shared" si="0"/>
        <v>0</v>
      </c>
      <c r="G36" s="113">
        <f>IF(Arbeitszeit!F37=Urlaub,B_WorkTime*24,)</f>
        <v>0</v>
      </c>
      <c r="H36" s="111"/>
      <c r="I36" s="113">
        <f>IF(Arbeitszeit!F37=Krank,B_WorkTime*24,)</f>
        <v>0</v>
      </c>
      <c r="J36" s="111"/>
      <c r="K36" s="114"/>
      <c r="L36" s="115"/>
      <c r="M36" s="498"/>
      <c r="N36" s="499"/>
      <c r="O36" s="498"/>
      <c r="P36" s="499"/>
      <c r="Q36" s="498"/>
      <c r="R36" s="499"/>
      <c r="S36" s="498"/>
      <c r="T36" s="499"/>
      <c r="U36" s="498"/>
      <c r="V36" s="499"/>
      <c r="W36" s="498"/>
      <c r="X36" s="499"/>
      <c r="Y36" s="498"/>
      <c r="Z36" s="499"/>
      <c r="AA36" s="498"/>
      <c r="AB36" s="499"/>
      <c r="AC36" s="498"/>
      <c r="AD36" s="499"/>
      <c r="AE36" s="498"/>
      <c r="AF36" s="500"/>
      <c r="AG36" s="498"/>
      <c r="AH36" s="500"/>
      <c r="AI36" s="498"/>
      <c r="AJ36" s="500"/>
      <c r="AK36" s="498"/>
      <c r="AL36" s="500"/>
      <c r="AM36" s="501"/>
      <c r="AN36" s="500"/>
      <c r="AO36" s="498"/>
      <c r="AP36" s="500"/>
      <c r="AQ36" s="501"/>
      <c r="AR36" s="500"/>
      <c r="AS36" s="500"/>
      <c r="AT36" s="500"/>
      <c r="AU36" s="501"/>
      <c r="AV36" s="500"/>
      <c r="AW36" s="500"/>
      <c r="AX36" s="500"/>
      <c r="AY36" s="576"/>
      <c r="AZ36" s="576"/>
      <c r="BA36" s="576"/>
      <c r="BB36" s="576"/>
      <c r="BC36" s="576"/>
      <c r="BD36" s="576"/>
      <c r="BE36" s="576"/>
      <c r="BF36" s="576"/>
      <c r="BG36" s="576"/>
      <c r="BH36" s="576"/>
      <c r="BI36" s="576"/>
      <c r="BJ36" s="576"/>
      <c r="BK36" s="576"/>
      <c r="BL36" s="576"/>
      <c r="BM36" s="576"/>
      <c r="BN36" s="576"/>
      <c r="BO36" s="576"/>
      <c r="BP36" s="576"/>
      <c r="BQ36" s="576"/>
      <c r="BR36" s="576"/>
      <c r="BS36" s="576"/>
      <c r="BT36" s="576"/>
      <c r="BU36" s="576"/>
      <c r="BV36" s="576"/>
      <c r="BW36" s="576"/>
      <c r="BX36" s="576"/>
      <c r="BY36" s="576"/>
      <c r="BZ36" s="576"/>
      <c r="CA36" s="576"/>
      <c r="CB36" s="576"/>
      <c r="CC36" s="576"/>
      <c r="CD36" s="576"/>
      <c r="CE36" s="576"/>
      <c r="CF36" s="576"/>
      <c r="CG36" s="576"/>
      <c r="CH36" s="576"/>
      <c r="CI36" s="576"/>
      <c r="CJ36" s="576"/>
      <c r="CK36" s="576"/>
      <c r="CL36" s="576"/>
      <c r="CM36" s="576"/>
      <c r="CN36" s="576"/>
      <c r="CO36" s="576"/>
      <c r="CP36" s="576"/>
      <c r="CQ36" s="576"/>
      <c r="CR36" s="576"/>
      <c r="CS36" s="576"/>
      <c r="CT36" s="576"/>
      <c r="CU36" s="576"/>
      <c r="CV36" s="576"/>
      <c r="CW36" s="576"/>
      <c r="CX36" s="576"/>
      <c r="CY36" s="576"/>
      <c r="CZ36" s="576"/>
      <c r="DA36" s="576"/>
      <c r="DB36" s="576"/>
      <c r="DC36" s="576"/>
      <c r="DD36" s="576"/>
      <c r="DE36" s="576"/>
      <c r="DF36" s="576"/>
      <c r="DG36" s="576"/>
      <c r="DH36" s="116"/>
      <c r="DI36" s="112"/>
      <c r="DJ36">
        <f ca="1">INDIRECT(ADDRESS(ROW()+1,COLUMN(Arbeitszeit!xDay),,,"Arbeitszeit"))</f>
        <v>8</v>
      </c>
    </row>
    <row r="37" spans="1:114">
      <c r="A37" s="462">
        <f>Arbeitszeit!A38</f>
        <v>44866</v>
      </c>
      <c r="B37" s="463">
        <f t="shared" si="1"/>
        <v>44866</v>
      </c>
      <c r="C37" s="146">
        <f t="shared" si="2"/>
        <v>45</v>
      </c>
      <c r="D37" s="145">
        <f t="shared" si="3"/>
        <v>44865</v>
      </c>
      <c r="E37" s="510">
        <f>Arbeitszeit!V38*24</f>
        <v>0</v>
      </c>
      <c r="F37" s="574">
        <f t="shared" si="0"/>
        <v>0</v>
      </c>
      <c r="G37" s="113">
        <f>IF(Arbeitszeit!F38=Urlaub,B_WorkTime*24,)</f>
        <v>0</v>
      </c>
      <c r="H37" s="111"/>
      <c r="I37" s="113">
        <f>IF(Arbeitszeit!F38=Krank,B_WorkTime*24,)</f>
        <v>0</v>
      </c>
      <c r="J37" s="111"/>
      <c r="K37" s="114"/>
      <c r="L37" s="115"/>
      <c r="M37" s="498"/>
      <c r="N37" s="499"/>
      <c r="O37" s="498"/>
      <c r="P37" s="499"/>
      <c r="Q37" s="498"/>
      <c r="R37" s="499"/>
      <c r="S37" s="498"/>
      <c r="T37" s="499"/>
      <c r="U37" s="498"/>
      <c r="V37" s="499"/>
      <c r="W37" s="498"/>
      <c r="X37" s="499"/>
      <c r="Y37" s="498"/>
      <c r="Z37" s="499"/>
      <c r="AA37" s="498"/>
      <c r="AB37" s="499"/>
      <c r="AC37" s="498"/>
      <c r="AD37" s="499"/>
      <c r="AE37" s="498"/>
      <c r="AF37" s="500"/>
      <c r="AG37" s="498"/>
      <c r="AH37" s="500"/>
      <c r="AI37" s="498"/>
      <c r="AJ37" s="500"/>
      <c r="AK37" s="498"/>
      <c r="AL37" s="500"/>
      <c r="AM37" s="501"/>
      <c r="AN37" s="500"/>
      <c r="AO37" s="498"/>
      <c r="AP37" s="500"/>
      <c r="AQ37" s="501"/>
      <c r="AR37" s="500"/>
      <c r="AS37" s="500"/>
      <c r="AT37" s="500"/>
      <c r="AU37" s="501"/>
      <c r="AV37" s="500"/>
      <c r="AW37" s="500"/>
      <c r="AX37" s="500"/>
      <c r="AY37" s="576"/>
      <c r="AZ37" s="576"/>
      <c r="BA37" s="576"/>
      <c r="BB37" s="576"/>
      <c r="BC37" s="576"/>
      <c r="BD37" s="576"/>
      <c r="BE37" s="576"/>
      <c r="BF37" s="576"/>
      <c r="BG37" s="576"/>
      <c r="BH37" s="576"/>
      <c r="BI37" s="576"/>
      <c r="BJ37" s="576"/>
      <c r="BK37" s="576"/>
      <c r="BL37" s="576"/>
      <c r="BM37" s="576"/>
      <c r="BN37" s="576"/>
      <c r="BO37" s="576"/>
      <c r="BP37" s="576"/>
      <c r="BQ37" s="576"/>
      <c r="BR37" s="576"/>
      <c r="BS37" s="576"/>
      <c r="BT37" s="576"/>
      <c r="BU37" s="576"/>
      <c r="BV37" s="576"/>
      <c r="BW37" s="576"/>
      <c r="BX37" s="576"/>
      <c r="BY37" s="576"/>
      <c r="BZ37" s="576"/>
      <c r="CA37" s="576"/>
      <c r="CB37" s="576"/>
      <c r="CC37" s="576"/>
      <c r="CD37" s="576"/>
      <c r="CE37" s="576"/>
      <c r="CF37" s="576"/>
      <c r="CG37" s="576"/>
      <c r="CH37" s="576"/>
      <c r="CI37" s="576"/>
      <c r="CJ37" s="576"/>
      <c r="CK37" s="576"/>
      <c r="CL37" s="576"/>
      <c r="CM37" s="576"/>
      <c r="CN37" s="576"/>
      <c r="CO37" s="576"/>
      <c r="CP37" s="576"/>
      <c r="CQ37" s="576"/>
      <c r="CR37" s="576"/>
      <c r="CS37" s="576"/>
      <c r="CT37" s="576"/>
      <c r="CU37" s="576"/>
      <c r="CV37" s="576"/>
      <c r="CW37" s="576"/>
      <c r="CX37" s="576"/>
      <c r="CY37" s="576"/>
      <c r="CZ37" s="576"/>
      <c r="DA37" s="576"/>
      <c r="DB37" s="576"/>
      <c r="DC37" s="576"/>
      <c r="DD37" s="576"/>
      <c r="DE37" s="576"/>
      <c r="DF37" s="576"/>
      <c r="DG37" s="576"/>
      <c r="DH37" s="116"/>
      <c r="DI37" s="112"/>
      <c r="DJ37">
        <f ca="1">INDIRECT(ADDRESS(ROW()+1,COLUMN(Arbeitszeit!xDay),,,"Arbeitszeit"))</f>
        <v>1</v>
      </c>
    </row>
    <row r="38" spans="1:114">
      <c r="A38" s="462">
        <f>Arbeitszeit!A39</f>
        <v>44867</v>
      </c>
      <c r="B38" s="463">
        <f t="shared" si="1"/>
        <v>44867</v>
      </c>
      <c r="C38" s="146">
        <f t="shared" si="2"/>
        <v>45</v>
      </c>
      <c r="D38" s="145">
        <f t="shared" si="3"/>
        <v>44865</v>
      </c>
      <c r="E38" s="510">
        <f>Arbeitszeit!V39*24</f>
        <v>0</v>
      </c>
      <c r="F38" s="574">
        <f t="shared" si="0"/>
        <v>0</v>
      </c>
      <c r="G38" s="113">
        <f>IF(Arbeitszeit!F39=Urlaub,B_WorkTime*24,)</f>
        <v>0</v>
      </c>
      <c r="H38" s="111"/>
      <c r="I38" s="113">
        <f>IF(Arbeitszeit!F39=Krank,B_WorkTime*24,)</f>
        <v>0</v>
      </c>
      <c r="J38" s="111"/>
      <c r="K38" s="114"/>
      <c r="L38" s="115"/>
      <c r="M38" s="498"/>
      <c r="N38" s="499"/>
      <c r="O38" s="498"/>
      <c r="P38" s="499"/>
      <c r="Q38" s="498"/>
      <c r="R38" s="499"/>
      <c r="S38" s="498"/>
      <c r="T38" s="499"/>
      <c r="U38" s="498"/>
      <c r="V38" s="499"/>
      <c r="W38" s="498"/>
      <c r="X38" s="499"/>
      <c r="Y38" s="498"/>
      <c r="Z38" s="499"/>
      <c r="AA38" s="498"/>
      <c r="AB38" s="499"/>
      <c r="AC38" s="498"/>
      <c r="AD38" s="499"/>
      <c r="AE38" s="498"/>
      <c r="AF38" s="500"/>
      <c r="AG38" s="498"/>
      <c r="AH38" s="500"/>
      <c r="AI38" s="498"/>
      <c r="AJ38" s="500"/>
      <c r="AK38" s="498"/>
      <c r="AL38" s="500"/>
      <c r="AM38" s="501"/>
      <c r="AN38" s="500"/>
      <c r="AO38" s="498"/>
      <c r="AP38" s="500"/>
      <c r="AQ38" s="501"/>
      <c r="AR38" s="500"/>
      <c r="AS38" s="500"/>
      <c r="AT38" s="500"/>
      <c r="AU38" s="501"/>
      <c r="AV38" s="500"/>
      <c r="AW38" s="500"/>
      <c r="AX38" s="500"/>
      <c r="AY38" s="576"/>
      <c r="AZ38" s="576"/>
      <c r="BA38" s="576"/>
      <c r="BB38" s="576"/>
      <c r="BC38" s="576"/>
      <c r="BD38" s="576"/>
      <c r="BE38" s="576"/>
      <c r="BF38" s="576"/>
      <c r="BG38" s="576"/>
      <c r="BH38" s="576"/>
      <c r="BI38" s="576"/>
      <c r="BJ38" s="576"/>
      <c r="BK38" s="576"/>
      <c r="BL38" s="576"/>
      <c r="BM38" s="576"/>
      <c r="BN38" s="576"/>
      <c r="BO38" s="576"/>
      <c r="BP38" s="576"/>
      <c r="BQ38" s="576"/>
      <c r="BR38" s="576"/>
      <c r="BS38" s="576"/>
      <c r="BT38" s="576"/>
      <c r="BU38" s="576"/>
      <c r="BV38" s="576"/>
      <c r="BW38" s="576"/>
      <c r="BX38" s="576"/>
      <c r="BY38" s="576"/>
      <c r="BZ38" s="576"/>
      <c r="CA38" s="576"/>
      <c r="CB38" s="576"/>
      <c r="CC38" s="576"/>
      <c r="CD38" s="576"/>
      <c r="CE38" s="576"/>
      <c r="CF38" s="576"/>
      <c r="CG38" s="576"/>
      <c r="CH38" s="576"/>
      <c r="CI38" s="576"/>
      <c r="CJ38" s="576"/>
      <c r="CK38" s="576"/>
      <c r="CL38" s="576"/>
      <c r="CM38" s="576"/>
      <c r="CN38" s="576"/>
      <c r="CO38" s="576"/>
      <c r="CP38" s="576"/>
      <c r="CQ38" s="576"/>
      <c r="CR38" s="576"/>
      <c r="CS38" s="576"/>
      <c r="CT38" s="576"/>
      <c r="CU38" s="576"/>
      <c r="CV38" s="576"/>
      <c r="CW38" s="576"/>
      <c r="CX38" s="576"/>
      <c r="CY38" s="576"/>
      <c r="CZ38" s="576"/>
      <c r="DA38" s="576"/>
      <c r="DB38" s="576"/>
      <c r="DC38" s="576"/>
      <c r="DD38" s="576"/>
      <c r="DE38" s="576"/>
      <c r="DF38" s="576"/>
      <c r="DG38" s="576"/>
      <c r="DH38" s="116"/>
      <c r="DI38" s="112"/>
      <c r="DJ38">
        <f ca="1">INDIRECT(ADDRESS(ROW()+1,COLUMN(Arbeitszeit!xDay),,,"Arbeitszeit"))</f>
        <v>2</v>
      </c>
    </row>
    <row r="39" spans="1:114">
      <c r="A39" s="462">
        <f>Arbeitszeit!A40</f>
        <v>44868</v>
      </c>
      <c r="B39" s="463">
        <f t="shared" si="1"/>
        <v>44868</v>
      </c>
      <c r="C39" s="146">
        <f t="shared" si="2"/>
        <v>45</v>
      </c>
      <c r="D39" s="145">
        <f t="shared" si="3"/>
        <v>44865</v>
      </c>
      <c r="E39" s="510">
        <f>Arbeitszeit!V40*24</f>
        <v>0</v>
      </c>
      <c r="F39" s="574">
        <f t="shared" si="0"/>
        <v>0</v>
      </c>
      <c r="G39" s="113">
        <f>IF(Arbeitszeit!F40=Urlaub,B_WorkTime*24,)</f>
        <v>0</v>
      </c>
      <c r="H39" s="111"/>
      <c r="I39" s="113">
        <f>IF(Arbeitszeit!F40=Krank,B_WorkTime*24,)</f>
        <v>0</v>
      </c>
      <c r="J39" s="111"/>
      <c r="K39" s="114"/>
      <c r="L39" s="115"/>
      <c r="M39" s="498"/>
      <c r="N39" s="499"/>
      <c r="O39" s="498"/>
      <c r="P39" s="499"/>
      <c r="Q39" s="498"/>
      <c r="R39" s="499"/>
      <c r="S39" s="498"/>
      <c r="T39" s="499"/>
      <c r="U39" s="498"/>
      <c r="V39" s="499"/>
      <c r="W39" s="498"/>
      <c r="X39" s="499"/>
      <c r="Y39" s="498"/>
      <c r="Z39" s="499"/>
      <c r="AA39" s="498"/>
      <c r="AB39" s="499"/>
      <c r="AC39" s="498"/>
      <c r="AD39" s="499"/>
      <c r="AE39" s="498"/>
      <c r="AF39" s="500"/>
      <c r="AG39" s="498"/>
      <c r="AH39" s="500"/>
      <c r="AI39" s="498"/>
      <c r="AJ39" s="500"/>
      <c r="AK39" s="498"/>
      <c r="AL39" s="500"/>
      <c r="AM39" s="501"/>
      <c r="AN39" s="500"/>
      <c r="AO39" s="498"/>
      <c r="AP39" s="500"/>
      <c r="AQ39" s="501"/>
      <c r="AR39" s="500"/>
      <c r="AS39" s="500"/>
      <c r="AT39" s="500"/>
      <c r="AU39" s="501"/>
      <c r="AV39" s="500"/>
      <c r="AW39" s="500"/>
      <c r="AX39" s="500"/>
      <c r="AY39" s="576"/>
      <c r="AZ39" s="576"/>
      <c r="BA39" s="576"/>
      <c r="BB39" s="576"/>
      <c r="BC39" s="576"/>
      <c r="BD39" s="576"/>
      <c r="BE39" s="576"/>
      <c r="BF39" s="576"/>
      <c r="BG39" s="576"/>
      <c r="BH39" s="576"/>
      <c r="BI39" s="576"/>
      <c r="BJ39" s="576"/>
      <c r="BK39" s="576"/>
      <c r="BL39" s="576"/>
      <c r="BM39" s="576"/>
      <c r="BN39" s="576"/>
      <c r="BO39" s="576"/>
      <c r="BP39" s="576"/>
      <c r="BQ39" s="576"/>
      <c r="BR39" s="576"/>
      <c r="BS39" s="576"/>
      <c r="BT39" s="576"/>
      <c r="BU39" s="576"/>
      <c r="BV39" s="576"/>
      <c r="BW39" s="576"/>
      <c r="BX39" s="576"/>
      <c r="BY39" s="576"/>
      <c r="BZ39" s="576"/>
      <c r="CA39" s="576"/>
      <c r="CB39" s="576"/>
      <c r="CC39" s="576"/>
      <c r="CD39" s="576"/>
      <c r="CE39" s="576"/>
      <c r="CF39" s="576"/>
      <c r="CG39" s="576"/>
      <c r="CH39" s="576"/>
      <c r="CI39" s="576"/>
      <c r="CJ39" s="576"/>
      <c r="CK39" s="576"/>
      <c r="CL39" s="576"/>
      <c r="CM39" s="576"/>
      <c r="CN39" s="576"/>
      <c r="CO39" s="576"/>
      <c r="CP39" s="576"/>
      <c r="CQ39" s="576"/>
      <c r="CR39" s="576"/>
      <c r="CS39" s="576"/>
      <c r="CT39" s="576"/>
      <c r="CU39" s="576"/>
      <c r="CV39" s="576"/>
      <c r="CW39" s="576"/>
      <c r="CX39" s="576"/>
      <c r="CY39" s="576"/>
      <c r="CZ39" s="576"/>
      <c r="DA39" s="576"/>
      <c r="DB39" s="576"/>
      <c r="DC39" s="576"/>
      <c r="DD39" s="576"/>
      <c r="DE39" s="576"/>
      <c r="DF39" s="576"/>
      <c r="DG39" s="576"/>
      <c r="DH39" s="116"/>
      <c r="DI39" s="112"/>
      <c r="DJ39">
        <f ca="1">INDIRECT(ADDRESS(ROW()+1,COLUMN(Arbeitszeit!xDay),,,"Arbeitszeit"))</f>
        <v>3</v>
      </c>
    </row>
    <row r="40" spans="1:114">
      <c r="A40" s="462">
        <f>Arbeitszeit!A41</f>
        <v>44869</v>
      </c>
      <c r="B40" s="463">
        <f t="shared" si="1"/>
        <v>44869</v>
      </c>
      <c r="C40" s="146">
        <f t="shared" si="2"/>
        <v>45</v>
      </c>
      <c r="D40" s="145">
        <f t="shared" si="3"/>
        <v>44865</v>
      </c>
      <c r="E40" s="510">
        <f>Arbeitszeit!V41*24</f>
        <v>0</v>
      </c>
      <c r="F40" s="574">
        <f t="shared" si="0"/>
        <v>0</v>
      </c>
      <c r="G40" s="113">
        <f>IF(Arbeitszeit!F41=Urlaub,B_WorkTime*24,)</f>
        <v>0</v>
      </c>
      <c r="H40" s="111"/>
      <c r="I40" s="113">
        <f>IF(Arbeitszeit!F41=Krank,B_WorkTime*24,)</f>
        <v>0</v>
      </c>
      <c r="J40" s="111"/>
      <c r="K40" s="114"/>
      <c r="L40" s="115"/>
      <c r="M40" s="498"/>
      <c r="N40" s="499"/>
      <c r="O40" s="498"/>
      <c r="P40" s="499"/>
      <c r="Q40" s="498"/>
      <c r="R40" s="499"/>
      <c r="S40" s="498"/>
      <c r="T40" s="499"/>
      <c r="U40" s="498"/>
      <c r="V40" s="499"/>
      <c r="W40" s="498"/>
      <c r="X40" s="499"/>
      <c r="Y40" s="498"/>
      <c r="Z40" s="499"/>
      <c r="AA40" s="498"/>
      <c r="AB40" s="499"/>
      <c r="AC40" s="498"/>
      <c r="AD40" s="499"/>
      <c r="AE40" s="498"/>
      <c r="AF40" s="500"/>
      <c r="AG40" s="498"/>
      <c r="AH40" s="500"/>
      <c r="AI40" s="498"/>
      <c r="AJ40" s="500"/>
      <c r="AK40" s="498"/>
      <c r="AL40" s="500"/>
      <c r="AM40" s="501"/>
      <c r="AN40" s="500"/>
      <c r="AO40" s="498"/>
      <c r="AP40" s="500"/>
      <c r="AQ40" s="501"/>
      <c r="AR40" s="500"/>
      <c r="AS40" s="500"/>
      <c r="AT40" s="500"/>
      <c r="AU40" s="501"/>
      <c r="AV40" s="500"/>
      <c r="AW40" s="500"/>
      <c r="AX40" s="500"/>
      <c r="AY40" s="576"/>
      <c r="AZ40" s="576"/>
      <c r="BA40" s="576"/>
      <c r="BB40" s="576"/>
      <c r="BC40" s="576"/>
      <c r="BD40" s="576"/>
      <c r="BE40" s="576"/>
      <c r="BF40" s="576"/>
      <c r="BG40" s="576"/>
      <c r="BH40" s="576"/>
      <c r="BI40" s="576"/>
      <c r="BJ40" s="576"/>
      <c r="BK40" s="576"/>
      <c r="BL40" s="576"/>
      <c r="BM40" s="576"/>
      <c r="BN40" s="576"/>
      <c r="BO40" s="576"/>
      <c r="BP40" s="576"/>
      <c r="BQ40" s="576"/>
      <c r="BR40" s="576"/>
      <c r="BS40" s="576"/>
      <c r="BT40" s="576"/>
      <c r="BU40" s="576"/>
      <c r="BV40" s="576"/>
      <c r="BW40" s="576"/>
      <c r="BX40" s="576"/>
      <c r="BY40" s="576"/>
      <c r="BZ40" s="576"/>
      <c r="CA40" s="576"/>
      <c r="CB40" s="576"/>
      <c r="CC40" s="576"/>
      <c r="CD40" s="576"/>
      <c r="CE40" s="576"/>
      <c r="CF40" s="576"/>
      <c r="CG40" s="576"/>
      <c r="CH40" s="576"/>
      <c r="CI40" s="576"/>
      <c r="CJ40" s="576"/>
      <c r="CK40" s="576"/>
      <c r="CL40" s="576"/>
      <c r="CM40" s="576"/>
      <c r="CN40" s="576"/>
      <c r="CO40" s="576"/>
      <c r="CP40" s="576"/>
      <c r="CQ40" s="576"/>
      <c r="CR40" s="576"/>
      <c r="CS40" s="576"/>
      <c r="CT40" s="576"/>
      <c r="CU40" s="576"/>
      <c r="CV40" s="576"/>
      <c r="CW40" s="576"/>
      <c r="CX40" s="576"/>
      <c r="CY40" s="576"/>
      <c r="CZ40" s="576"/>
      <c r="DA40" s="576"/>
      <c r="DB40" s="576"/>
      <c r="DC40" s="576"/>
      <c r="DD40" s="576"/>
      <c r="DE40" s="576"/>
      <c r="DF40" s="576"/>
      <c r="DG40" s="576"/>
      <c r="DH40" s="116"/>
      <c r="DI40" s="112"/>
      <c r="DJ40">
        <f ca="1">INDIRECT(ADDRESS(ROW()+1,COLUMN(Arbeitszeit!xDay),,,"Arbeitszeit"))</f>
        <v>4</v>
      </c>
    </row>
    <row r="41" spans="1:114">
      <c r="A41" s="462">
        <f>Arbeitszeit!A42</f>
        <v>44870</v>
      </c>
      <c r="B41" s="463">
        <f t="shared" si="1"/>
        <v>44870</v>
      </c>
      <c r="C41" s="146">
        <f t="shared" si="2"/>
        <v>45</v>
      </c>
      <c r="D41" s="145">
        <f t="shared" si="3"/>
        <v>44865</v>
      </c>
      <c r="E41" s="510">
        <f>Arbeitszeit!V42*24</f>
        <v>0</v>
      </c>
      <c r="F41" s="574">
        <f t="shared" si="0"/>
        <v>0</v>
      </c>
      <c r="G41" s="113">
        <f>IF(Arbeitszeit!F42=Urlaub,B_WorkTime*24,)</f>
        <v>0</v>
      </c>
      <c r="H41" s="111"/>
      <c r="I41" s="113">
        <f>IF(Arbeitszeit!F42=Krank,B_WorkTime*24,)</f>
        <v>0</v>
      </c>
      <c r="J41" s="111"/>
      <c r="K41" s="114"/>
      <c r="L41" s="115"/>
      <c r="M41" s="498"/>
      <c r="N41" s="499"/>
      <c r="O41" s="498"/>
      <c r="P41" s="499"/>
      <c r="Q41" s="498"/>
      <c r="R41" s="499"/>
      <c r="S41" s="498"/>
      <c r="T41" s="499"/>
      <c r="U41" s="498"/>
      <c r="V41" s="499"/>
      <c r="W41" s="498"/>
      <c r="X41" s="499"/>
      <c r="Y41" s="498"/>
      <c r="Z41" s="499"/>
      <c r="AA41" s="498"/>
      <c r="AB41" s="499"/>
      <c r="AC41" s="498"/>
      <c r="AD41" s="499"/>
      <c r="AE41" s="498"/>
      <c r="AF41" s="500"/>
      <c r="AG41" s="498"/>
      <c r="AH41" s="500"/>
      <c r="AI41" s="498"/>
      <c r="AJ41" s="500"/>
      <c r="AK41" s="498"/>
      <c r="AL41" s="500"/>
      <c r="AM41" s="501"/>
      <c r="AN41" s="500"/>
      <c r="AO41" s="498"/>
      <c r="AP41" s="500"/>
      <c r="AQ41" s="501"/>
      <c r="AR41" s="500"/>
      <c r="AS41" s="500"/>
      <c r="AT41" s="500"/>
      <c r="AU41" s="501"/>
      <c r="AV41" s="500"/>
      <c r="AW41" s="500"/>
      <c r="AX41" s="500"/>
      <c r="AY41" s="576"/>
      <c r="AZ41" s="576"/>
      <c r="BA41" s="576"/>
      <c r="BB41" s="576"/>
      <c r="BC41" s="576"/>
      <c r="BD41" s="576"/>
      <c r="BE41" s="576"/>
      <c r="BF41" s="576"/>
      <c r="BG41" s="576"/>
      <c r="BH41" s="576"/>
      <c r="BI41" s="576"/>
      <c r="BJ41" s="576"/>
      <c r="BK41" s="576"/>
      <c r="BL41" s="576"/>
      <c r="BM41" s="576"/>
      <c r="BN41" s="576"/>
      <c r="BO41" s="576"/>
      <c r="BP41" s="576"/>
      <c r="BQ41" s="576"/>
      <c r="BR41" s="576"/>
      <c r="BS41" s="576"/>
      <c r="BT41" s="576"/>
      <c r="BU41" s="576"/>
      <c r="BV41" s="576"/>
      <c r="BW41" s="576"/>
      <c r="BX41" s="576"/>
      <c r="BY41" s="576"/>
      <c r="BZ41" s="576"/>
      <c r="CA41" s="576"/>
      <c r="CB41" s="576"/>
      <c r="CC41" s="576"/>
      <c r="CD41" s="576"/>
      <c r="CE41" s="576"/>
      <c r="CF41" s="576"/>
      <c r="CG41" s="576"/>
      <c r="CH41" s="576"/>
      <c r="CI41" s="576"/>
      <c r="CJ41" s="576"/>
      <c r="CK41" s="576"/>
      <c r="CL41" s="576"/>
      <c r="CM41" s="576"/>
      <c r="CN41" s="576"/>
      <c r="CO41" s="576"/>
      <c r="CP41" s="576"/>
      <c r="CQ41" s="576"/>
      <c r="CR41" s="576"/>
      <c r="CS41" s="576"/>
      <c r="CT41" s="576"/>
      <c r="CU41" s="576"/>
      <c r="CV41" s="576"/>
      <c r="CW41" s="576"/>
      <c r="CX41" s="576"/>
      <c r="CY41" s="576"/>
      <c r="CZ41" s="576"/>
      <c r="DA41" s="576"/>
      <c r="DB41" s="576"/>
      <c r="DC41" s="576"/>
      <c r="DD41" s="576"/>
      <c r="DE41" s="576"/>
      <c r="DF41" s="576"/>
      <c r="DG41" s="576"/>
      <c r="DH41" s="116"/>
      <c r="DI41" s="112"/>
      <c r="DJ41">
        <f ca="1">INDIRECT(ADDRESS(ROW()+1,COLUMN(Arbeitszeit!xDay),,,"Arbeitszeit"))</f>
        <v>5</v>
      </c>
    </row>
    <row r="42" spans="1:114">
      <c r="A42" s="462">
        <f>Arbeitszeit!A43</f>
        <v>44871</v>
      </c>
      <c r="B42" s="463">
        <f t="shared" si="1"/>
        <v>44871</v>
      </c>
      <c r="C42" s="146">
        <f t="shared" si="2"/>
        <v>45</v>
      </c>
      <c r="D42" s="145">
        <f t="shared" si="3"/>
        <v>44865</v>
      </c>
      <c r="E42" s="510">
        <f>Arbeitszeit!V43*24</f>
        <v>0</v>
      </c>
      <c r="F42" s="574">
        <f t="shared" si="0"/>
        <v>0</v>
      </c>
      <c r="G42" s="113">
        <f>IF(Arbeitszeit!F43=Urlaub,B_WorkTime*24,)</f>
        <v>0</v>
      </c>
      <c r="H42" s="111"/>
      <c r="I42" s="113">
        <f>IF(Arbeitszeit!F43=Krank,B_WorkTime*24,)</f>
        <v>0</v>
      </c>
      <c r="J42" s="111"/>
      <c r="K42" s="114"/>
      <c r="L42" s="115"/>
      <c r="M42" s="498"/>
      <c r="N42" s="499"/>
      <c r="O42" s="498"/>
      <c r="P42" s="499"/>
      <c r="Q42" s="498"/>
      <c r="R42" s="499"/>
      <c r="S42" s="498"/>
      <c r="T42" s="499"/>
      <c r="U42" s="498"/>
      <c r="V42" s="499"/>
      <c r="W42" s="498"/>
      <c r="X42" s="499"/>
      <c r="Y42" s="498"/>
      <c r="Z42" s="499"/>
      <c r="AA42" s="498"/>
      <c r="AB42" s="499"/>
      <c r="AC42" s="498"/>
      <c r="AD42" s="499"/>
      <c r="AE42" s="498"/>
      <c r="AF42" s="500"/>
      <c r="AG42" s="498"/>
      <c r="AH42" s="500"/>
      <c r="AI42" s="498"/>
      <c r="AJ42" s="500"/>
      <c r="AK42" s="498"/>
      <c r="AL42" s="500"/>
      <c r="AM42" s="501"/>
      <c r="AN42" s="500"/>
      <c r="AO42" s="498"/>
      <c r="AP42" s="500"/>
      <c r="AQ42" s="501"/>
      <c r="AR42" s="500"/>
      <c r="AS42" s="500"/>
      <c r="AT42" s="500"/>
      <c r="AU42" s="501"/>
      <c r="AV42" s="500"/>
      <c r="AW42" s="500"/>
      <c r="AX42" s="500"/>
      <c r="AY42" s="576"/>
      <c r="AZ42" s="576"/>
      <c r="BA42" s="576"/>
      <c r="BB42" s="576"/>
      <c r="BC42" s="576"/>
      <c r="BD42" s="576"/>
      <c r="BE42" s="576"/>
      <c r="BF42" s="576"/>
      <c r="BG42" s="576"/>
      <c r="BH42" s="576"/>
      <c r="BI42" s="576"/>
      <c r="BJ42" s="576"/>
      <c r="BK42" s="576"/>
      <c r="BL42" s="576"/>
      <c r="BM42" s="576"/>
      <c r="BN42" s="576"/>
      <c r="BO42" s="576"/>
      <c r="BP42" s="576"/>
      <c r="BQ42" s="576"/>
      <c r="BR42" s="576"/>
      <c r="BS42" s="576"/>
      <c r="BT42" s="576"/>
      <c r="BU42" s="576"/>
      <c r="BV42" s="576"/>
      <c r="BW42" s="576"/>
      <c r="BX42" s="576"/>
      <c r="BY42" s="576"/>
      <c r="BZ42" s="576"/>
      <c r="CA42" s="576"/>
      <c r="CB42" s="576"/>
      <c r="CC42" s="576"/>
      <c r="CD42" s="576"/>
      <c r="CE42" s="576"/>
      <c r="CF42" s="576"/>
      <c r="CG42" s="576"/>
      <c r="CH42" s="576"/>
      <c r="CI42" s="576"/>
      <c r="CJ42" s="576"/>
      <c r="CK42" s="576"/>
      <c r="CL42" s="576"/>
      <c r="CM42" s="576"/>
      <c r="CN42" s="576"/>
      <c r="CO42" s="576"/>
      <c r="CP42" s="576"/>
      <c r="CQ42" s="576"/>
      <c r="CR42" s="576"/>
      <c r="CS42" s="576"/>
      <c r="CT42" s="576"/>
      <c r="CU42" s="576"/>
      <c r="CV42" s="576"/>
      <c r="CW42" s="576"/>
      <c r="CX42" s="576"/>
      <c r="CY42" s="576"/>
      <c r="CZ42" s="576"/>
      <c r="DA42" s="576"/>
      <c r="DB42" s="576"/>
      <c r="DC42" s="576"/>
      <c r="DD42" s="576"/>
      <c r="DE42" s="576"/>
      <c r="DF42" s="576"/>
      <c r="DG42" s="576"/>
      <c r="DH42" s="116"/>
      <c r="DI42" s="112"/>
      <c r="DJ42">
        <f ca="1">INDIRECT(ADDRESS(ROW()+1,COLUMN(Arbeitszeit!xDay),,,"Arbeitszeit"))</f>
        <v>6</v>
      </c>
    </row>
    <row r="43" spans="1:114">
      <c r="A43" s="462">
        <f>Arbeitszeit!A44</f>
        <v>44872</v>
      </c>
      <c r="B43" s="463">
        <f t="shared" si="1"/>
        <v>44872</v>
      </c>
      <c r="C43" s="146">
        <f t="shared" si="2"/>
        <v>45</v>
      </c>
      <c r="D43" s="145">
        <f t="shared" si="3"/>
        <v>44865</v>
      </c>
      <c r="E43" s="510">
        <f>Arbeitszeit!V44*24</f>
        <v>0</v>
      </c>
      <c r="F43" s="574">
        <f t="shared" si="0"/>
        <v>0</v>
      </c>
      <c r="G43" s="113">
        <f>IF(Arbeitszeit!F44=Urlaub,B_WorkTime*24,)</f>
        <v>0</v>
      </c>
      <c r="H43" s="111"/>
      <c r="I43" s="113">
        <f>IF(Arbeitszeit!F44=Krank,B_WorkTime*24,)</f>
        <v>0</v>
      </c>
      <c r="J43" s="111"/>
      <c r="K43" s="114"/>
      <c r="L43" s="115"/>
      <c r="M43" s="498"/>
      <c r="N43" s="499"/>
      <c r="O43" s="498"/>
      <c r="P43" s="499"/>
      <c r="Q43" s="498"/>
      <c r="R43" s="499"/>
      <c r="S43" s="498"/>
      <c r="T43" s="499"/>
      <c r="U43" s="498"/>
      <c r="V43" s="499"/>
      <c r="W43" s="498"/>
      <c r="X43" s="499"/>
      <c r="Y43" s="498"/>
      <c r="Z43" s="499"/>
      <c r="AA43" s="498"/>
      <c r="AB43" s="499"/>
      <c r="AC43" s="498"/>
      <c r="AD43" s="499"/>
      <c r="AE43" s="498"/>
      <c r="AF43" s="500"/>
      <c r="AG43" s="498"/>
      <c r="AH43" s="500"/>
      <c r="AI43" s="498"/>
      <c r="AJ43" s="500"/>
      <c r="AK43" s="498"/>
      <c r="AL43" s="500"/>
      <c r="AM43" s="501"/>
      <c r="AN43" s="500"/>
      <c r="AO43" s="498"/>
      <c r="AP43" s="500"/>
      <c r="AQ43" s="501"/>
      <c r="AR43" s="500"/>
      <c r="AS43" s="500"/>
      <c r="AT43" s="500"/>
      <c r="AU43" s="501"/>
      <c r="AV43" s="500"/>
      <c r="AW43" s="500"/>
      <c r="AX43" s="500"/>
      <c r="AY43" s="576"/>
      <c r="AZ43" s="576"/>
      <c r="BA43" s="576"/>
      <c r="BB43" s="576"/>
      <c r="BC43" s="576"/>
      <c r="BD43" s="576"/>
      <c r="BE43" s="576"/>
      <c r="BF43" s="576"/>
      <c r="BG43" s="576"/>
      <c r="BH43" s="576"/>
      <c r="BI43" s="576"/>
      <c r="BJ43" s="576"/>
      <c r="BK43" s="576"/>
      <c r="BL43" s="576"/>
      <c r="BM43" s="576"/>
      <c r="BN43" s="576"/>
      <c r="BO43" s="576"/>
      <c r="BP43" s="576"/>
      <c r="BQ43" s="576"/>
      <c r="BR43" s="576"/>
      <c r="BS43" s="576"/>
      <c r="BT43" s="576"/>
      <c r="BU43" s="576"/>
      <c r="BV43" s="576"/>
      <c r="BW43" s="576"/>
      <c r="BX43" s="576"/>
      <c r="BY43" s="576"/>
      <c r="BZ43" s="576"/>
      <c r="CA43" s="576"/>
      <c r="CB43" s="576"/>
      <c r="CC43" s="576"/>
      <c r="CD43" s="576"/>
      <c r="CE43" s="576"/>
      <c r="CF43" s="576"/>
      <c r="CG43" s="576"/>
      <c r="CH43" s="576"/>
      <c r="CI43" s="576"/>
      <c r="CJ43" s="576"/>
      <c r="CK43" s="576"/>
      <c r="CL43" s="576"/>
      <c r="CM43" s="576"/>
      <c r="CN43" s="576"/>
      <c r="CO43" s="576"/>
      <c r="CP43" s="576"/>
      <c r="CQ43" s="576"/>
      <c r="CR43" s="576"/>
      <c r="CS43" s="576"/>
      <c r="CT43" s="576"/>
      <c r="CU43" s="576"/>
      <c r="CV43" s="576"/>
      <c r="CW43" s="576"/>
      <c r="CX43" s="576"/>
      <c r="CY43" s="576"/>
      <c r="CZ43" s="576"/>
      <c r="DA43" s="576"/>
      <c r="DB43" s="576"/>
      <c r="DC43" s="576"/>
      <c r="DD43" s="576"/>
      <c r="DE43" s="576"/>
      <c r="DF43" s="576"/>
      <c r="DG43" s="576"/>
      <c r="DH43" s="116"/>
      <c r="DI43" s="112"/>
      <c r="DJ43">
        <f ca="1">INDIRECT(ADDRESS(ROW()+1,COLUMN(Arbeitszeit!xDay),,,"Arbeitszeit"))</f>
        <v>7</v>
      </c>
    </row>
    <row r="44" spans="1:114">
      <c r="A44" s="462">
        <f>Arbeitszeit!A45</f>
        <v>44873</v>
      </c>
      <c r="B44" s="463">
        <f t="shared" si="1"/>
        <v>44873</v>
      </c>
      <c r="C44" s="146">
        <f t="shared" si="2"/>
        <v>46</v>
      </c>
      <c r="D44" s="145">
        <f t="shared" si="3"/>
        <v>44865</v>
      </c>
      <c r="E44" s="510">
        <f>Arbeitszeit!V45*24</f>
        <v>0</v>
      </c>
      <c r="F44" s="574">
        <f t="shared" si="0"/>
        <v>0</v>
      </c>
      <c r="G44" s="113">
        <f>IF(Arbeitszeit!F45=Urlaub,B_WorkTime*24,)</f>
        <v>0</v>
      </c>
      <c r="H44" s="111"/>
      <c r="I44" s="113">
        <f>IF(Arbeitszeit!F45=Krank,B_WorkTime*24,)</f>
        <v>0</v>
      </c>
      <c r="J44" s="111"/>
      <c r="K44" s="114"/>
      <c r="L44" s="115"/>
      <c r="M44" s="498"/>
      <c r="N44" s="499"/>
      <c r="O44" s="498"/>
      <c r="P44" s="499"/>
      <c r="Q44" s="498"/>
      <c r="R44" s="499"/>
      <c r="S44" s="498"/>
      <c r="T44" s="499"/>
      <c r="U44" s="498"/>
      <c r="V44" s="499"/>
      <c r="W44" s="498"/>
      <c r="X44" s="499"/>
      <c r="Y44" s="498"/>
      <c r="Z44" s="499"/>
      <c r="AA44" s="498"/>
      <c r="AB44" s="499"/>
      <c r="AC44" s="498"/>
      <c r="AD44" s="499"/>
      <c r="AE44" s="498"/>
      <c r="AF44" s="500"/>
      <c r="AG44" s="498"/>
      <c r="AH44" s="500"/>
      <c r="AI44" s="498"/>
      <c r="AJ44" s="500"/>
      <c r="AK44" s="498"/>
      <c r="AL44" s="500"/>
      <c r="AM44" s="501"/>
      <c r="AN44" s="500"/>
      <c r="AO44" s="498"/>
      <c r="AP44" s="500"/>
      <c r="AQ44" s="501"/>
      <c r="AR44" s="500"/>
      <c r="AS44" s="500"/>
      <c r="AT44" s="500"/>
      <c r="AU44" s="501"/>
      <c r="AV44" s="500"/>
      <c r="AW44" s="500"/>
      <c r="AX44" s="500"/>
      <c r="AY44" s="576"/>
      <c r="AZ44" s="576"/>
      <c r="BA44" s="576"/>
      <c r="BB44" s="576"/>
      <c r="BC44" s="576"/>
      <c r="BD44" s="576"/>
      <c r="BE44" s="576"/>
      <c r="BF44" s="576"/>
      <c r="BG44" s="576"/>
      <c r="BH44" s="576"/>
      <c r="BI44" s="576"/>
      <c r="BJ44" s="576"/>
      <c r="BK44" s="576"/>
      <c r="BL44" s="576"/>
      <c r="BM44" s="576"/>
      <c r="BN44" s="576"/>
      <c r="BO44" s="576"/>
      <c r="BP44" s="576"/>
      <c r="BQ44" s="576"/>
      <c r="BR44" s="576"/>
      <c r="BS44" s="576"/>
      <c r="BT44" s="576"/>
      <c r="BU44" s="576"/>
      <c r="BV44" s="576"/>
      <c r="BW44" s="576"/>
      <c r="BX44" s="576"/>
      <c r="BY44" s="576"/>
      <c r="BZ44" s="576"/>
      <c r="CA44" s="576"/>
      <c r="CB44" s="576"/>
      <c r="CC44" s="576"/>
      <c r="CD44" s="576"/>
      <c r="CE44" s="576"/>
      <c r="CF44" s="576"/>
      <c r="CG44" s="576"/>
      <c r="CH44" s="576"/>
      <c r="CI44" s="576"/>
      <c r="CJ44" s="576"/>
      <c r="CK44" s="576"/>
      <c r="CL44" s="576"/>
      <c r="CM44" s="576"/>
      <c r="CN44" s="576"/>
      <c r="CO44" s="576"/>
      <c r="CP44" s="576"/>
      <c r="CQ44" s="576"/>
      <c r="CR44" s="576"/>
      <c r="CS44" s="576"/>
      <c r="CT44" s="576"/>
      <c r="CU44" s="576"/>
      <c r="CV44" s="576"/>
      <c r="CW44" s="576"/>
      <c r="CX44" s="576"/>
      <c r="CY44" s="576"/>
      <c r="CZ44" s="576"/>
      <c r="DA44" s="576"/>
      <c r="DB44" s="576"/>
      <c r="DC44" s="576"/>
      <c r="DD44" s="576"/>
      <c r="DE44" s="576"/>
      <c r="DF44" s="576"/>
      <c r="DG44" s="576"/>
      <c r="DH44" s="116"/>
      <c r="DI44" s="112"/>
      <c r="DJ44">
        <f ca="1">INDIRECT(ADDRESS(ROW()+1,COLUMN(Arbeitszeit!xDay),,,"Arbeitszeit"))</f>
        <v>1</v>
      </c>
    </row>
    <row r="45" spans="1:114">
      <c r="A45" s="462">
        <f>Arbeitszeit!A46</f>
        <v>44874</v>
      </c>
      <c r="B45" s="463">
        <f t="shared" si="1"/>
        <v>44874</v>
      </c>
      <c r="C45" s="146">
        <f t="shared" si="2"/>
        <v>46</v>
      </c>
      <c r="D45" s="145">
        <f t="shared" si="3"/>
        <v>44865</v>
      </c>
      <c r="E45" s="510">
        <f>Arbeitszeit!V46*24</f>
        <v>0</v>
      </c>
      <c r="F45" s="574">
        <f t="shared" si="0"/>
        <v>0</v>
      </c>
      <c r="G45" s="113">
        <f>IF(Arbeitszeit!F46=Urlaub,B_WorkTime*24,)</f>
        <v>0</v>
      </c>
      <c r="H45" s="111"/>
      <c r="I45" s="113">
        <f>IF(Arbeitszeit!F46=Krank,B_WorkTime*24,)</f>
        <v>0</v>
      </c>
      <c r="J45" s="111"/>
      <c r="K45" s="114"/>
      <c r="L45" s="115"/>
      <c r="M45" s="498"/>
      <c r="N45" s="499"/>
      <c r="O45" s="498"/>
      <c r="P45" s="499"/>
      <c r="Q45" s="498"/>
      <c r="R45" s="499"/>
      <c r="S45" s="498"/>
      <c r="T45" s="499"/>
      <c r="U45" s="498"/>
      <c r="V45" s="499"/>
      <c r="W45" s="498"/>
      <c r="X45" s="499"/>
      <c r="Y45" s="498"/>
      <c r="Z45" s="499"/>
      <c r="AA45" s="498"/>
      <c r="AB45" s="499"/>
      <c r="AC45" s="498"/>
      <c r="AD45" s="499"/>
      <c r="AE45" s="498"/>
      <c r="AF45" s="500"/>
      <c r="AG45" s="498"/>
      <c r="AH45" s="500"/>
      <c r="AI45" s="498"/>
      <c r="AJ45" s="500"/>
      <c r="AK45" s="498"/>
      <c r="AL45" s="500"/>
      <c r="AM45" s="501"/>
      <c r="AN45" s="500"/>
      <c r="AO45" s="498"/>
      <c r="AP45" s="500"/>
      <c r="AQ45" s="501"/>
      <c r="AR45" s="500"/>
      <c r="AS45" s="500"/>
      <c r="AT45" s="500"/>
      <c r="AU45" s="501"/>
      <c r="AV45" s="500"/>
      <c r="AW45" s="500"/>
      <c r="AX45" s="500"/>
      <c r="AY45" s="576"/>
      <c r="AZ45" s="576"/>
      <c r="BA45" s="576"/>
      <c r="BB45" s="576"/>
      <c r="BC45" s="576"/>
      <c r="BD45" s="576"/>
      <c r="BE45" s="576"/>
      <c r="BF45" s="576"/>
      <c r="BG45" s="576"/>
      <c r="BH45" s="576"/>
      <c r="BI45" s="576"/>
      <c r="BJ45" s="576"/>
      <c r="BK45" s="576"/>
      <c r="BL45" s="576"/>
      <c r="BM45" s="576"/>
      <c r="BN45" s="576"/>
      <c r="BO45" s="576"/>
      <c r="BP45" s="576"/>
      <c r="BQ45" s="576"/>
      <c r="BR45" s="576"/>
      <c r="BS45" s="576"/>
      <c r="BT45" s="576"/>
      <c r="BU45" s="576"/>
      <c r="BV45" s="576"/>
      <c r="BW45" s="576"/>
      <c r="BX45" s="576"/>
      <c r="BY45" s="576"/>
      <c r="BZ45" s="576"/>
      <c r="CA45" s="576"/>
      <c r="CB45" s="576"/>
      <c r="CC45" s="576"/>
      <c r="CD45" s="576"/>
      <c r="CE45" s="576"/>
      <c r="CF45" s="576"/>
      <c r="CG45" s="576"/>
      <c r="CH45" s="576"/>
      <c r="CI45" s="576"/>
      <c r="CJ45" s="576"/>
      <c r="CK45" s="576"/>
      <c r="CL45" s="576"/>
      <c r="CM45" s="576"/>
      <c r="CN45" s="576"/>
      <c r="CO45" s="576"/>
      <c r="CP45" s="576"/>
      <c r="CQ45" s="576"/>
      <c r="CR45" s="576"/>
      <c r="CS45" s="576"/>
      <c r="CT45" s="576"/>
      <c r="CU45" s="576"/>
      <c r="CV45" s="576"/>
      <c r="CW45" s="576"/>
      <c r="CX45" s="576"/>
      <c r="CY45" s="576"/>
      <c r="CZ45" s="576"/>
      <c r="DA45" s="576"/>
      <c r="DB45" s="576"/>
      <c r="DC45" s="576"/>
      <c r="DD45" s="576"/>
      <c r="DE45" s="576"/>
      <c r="DF45" s="576"/>
      <c r="DG45" s="576"/>
      <c r="DH45" s="116"/>
      <c r="DI45" s="112"/>
      <c r="DJ45">
        <f ca="1">INDIRECT(ADDRESS(ROW()+1,COLUMN(Arbeitszeit!xDay),,,"Arbeitszeit"))</f>
        <v>2</v>
      </c>
    </row>
    <row r="46" spans="1:114">
      <c r="A46" s="462">
        <f>Arbeitszeit!A47</f>
        <v>44875</v>
      </c>
      <c r="B46" s="463">
        <f t="shared" si="1"/>
        <v>44875</v>
      </c>
      <c r="C46" s="146">
        <f t="shared" si="2"/>
        <v>46</v>
      </c>
      <c r="D46" s="145">
        <f t="shared" si="3"/>
        <v>44865</v>
      </c>
      <c r="E46" s="510">
        <f>Arbeitszeit!V47*24</f>
        <v>0</v>
      </c>
      <c r="F46" s="574">
        <f t="shared" si="0"/>
        <v>0</v>
      </c>
      <c r="G46" s="113">
        <f>IF(Arbeitszeit!F47=Urlaub,B_WorkTime*24,)</f>
        <v>0</v>
      </c>
      <c r="H46" s="111"/>
      <c r="I46" s="113">
        <f>IF(Arbeitszeit!F47=Krank,B_WorkTime*24,)</f>
        <v>0</v>
      </c>
      <c r="J46" s="111"/>
      <c r="K46" s="114"/>
      <c r="L46" s="115"/>
      <c r="M46" s="498"/>
      <c r="N46" s="499"/>
      <c r="O46" s="498"/>
      <c r="P46" s="499"/>
      <c r="Q46" s="498"/>
      <c r="R46" s="499"/>
      <c r="S46" s="498"/>
      <c r="T46" s="499"/>
      <c r="U46" s="498"/>
      <c r="V46" s="499"/>
      <c r="W46" s="498"/>
      <c r="X46" s="499"/>
      <c r="Y46" s="498"/>
      <c r="Z46" s="499"/>
      <c r="AA46" s="498"/>
      <c r="AB46" s="499"/>
      <c r="AC46" s="498"/>
      <c r="AD46" s="499"/>
      <c r="AE46" s="498"/>
      <c r="AF46" s="500"/>
      <c r="AG46" s="498"/>
      <c r="AH46" s="500"/>
      <c r="AI46" s="498"/>
      <c r="AJ46" s="500"/>
      <c r="AK46" s="498"/>
      <c r="AL46" s="500"/>
      <c r="AM46" s="501"/>
      <c r="AN46" s="500"/>
      <c r="AO46" s="498"/>
      <c r="AP46" s="500"/>
      <c r="AQ46" s="501"/>
      <c r="AR46" s="500"/>
      <c r="AS46" s="500"/>
      <c r="AT46" s="500"/>
      <c r="AU46" s="501"/>
      <c r="AV46" s="500"/>
      <c r="AW46" s="500"/>
      <c r="AX46" s="500"/>
      <c r="AY46" s="576"/>
      <c r="AZ46" s="576"/>
      <c r="BA46" s="576"/>
      <c r="BB46" s="576"/>
      <c r="BC46" s="576"/>
      <c r="BD46" s="576"/>
      <c r="BE46" s="576"/>
      <c r="BF46" s="576"/>
      <c r="BG46" s="576"/>
      <c r="BH46" s="576"/>
      <c r="BI46" s="576"/>
      <c r="BJ46" s="576"/>
      <c r="BK46" s="576"/>
      <c r="BL46" s="576"/>
      <c r="BM46" s="576"/>
      <c r="BN46" s="576"/>
      <c r="BO46" s="576"/>
      <c r="BP46" s="576"/>
      <c r="BQ46" s="576"/>
      <c r="BR46" s="576"/>
      <c r="BS46" s="576"/>
      <c r="BT46" s="576"/>
      <c r="BU46" s="576"/>
      <c r="BV46" s="576"/>
      <c r="BW46" s="576"/>
      <c r="BX46" s="576"/>
      <c r="BY46" s="576"/>
      <c r="BZ46" s="576"/>
      <c r="CA46" s="576"/>
      <c r="CB46" s="576"/>
      <c r="CC46" s="576"/>
      <c r="CD46" s="576"/>
      <c r="CE46" s="576"/>
      <c r="CF46" s="576"/>
      <c r="CG46" s="576"/>
      <c r="CH46" s="576"/>
      <c r="CI46" s="576"/>
      <c r="CJ46" s="576"/>
      <c r="CK46" s="576"/>
      <c r="CL46" s="576"/>
      <c r="CM46" s="576"/>
      <c r="CN46" s="576"/>
      <c r="CO46" s="576"/>
      <c r="CP46" s="576"/>
      <c r="CQ46" s="576"/>
      <c r="CR46" s="576"/>
      <c r="CS46" s="576"/>
      <c r="CT46" s="576"/>
      <c r="CU46" s="576"/>
      <c r="CV46" s="576"/>
      <c r="CW46" s="576"/>
      <c r="CX46" s="576"/>
      <c r="CY46" s="576"/>
      <c r="CZ46" s="576"/>
      <c r="DA46" s="576"/>
      <c r="DB46" s="576"/>
      <c r="DC46" s="576"/>
      <c r="DD46" s="576"/>
      <c r="DE46" s="576"/>
      <c r="DF46" s="576"/>
      <c r="DG46" s="576"/>
      <c r="DH46" s="116"/>
      <c r="DI46" s="112"/>
      <c r="DJ46">
        <f ca="1">INDIRECT(ADDRESS(ROW()+1,COLUMN(Arbeitszeit!xDay),,,"Arbeitszeit"))</f>
        <v>3</v>
      </c>
    </row>
    <row r="47" spans="1:114">
      <c r="A47" s="462">
        <f>Arbeitszeit!A48</f>
        <v>44876</v>
      </c>
      <c r="B47" s="463">
        <f t="shared" si="1"/>
        <v>44876</v>
      </c>
      <c r="C47" s="146">
        <f t="shared" si="2"/>
        <v>46</v>
      </c>
      <c r="D47" s="145">
        <f t="shared" si="3"/>
        <v>44865</v>
      </c>
      <c r="E47" s="510">
        <f>Arbeitszeit!V48*24</f>
        <v>0</v>
      </c>
      <c r="F47" s="574">
        <f t="shared" si="0"/>
        <v>0</v>
      </c>
      <c r="G47" s="113">
        <f>IF(Arbeitszeit!F48=Urlaub,B_WorkTime*24,)</f>
        <v>0</v>
      </c>
      <c r="H47" s="111"/>
      <c r="I47" s="113">
        <f>IF(Arbeitszeit!F48=Krank,B_WorkTime*24,)</f>
        <v>0</v>
      </c>
      <c r="J47" s="111"/>
      <c r="K47" s="114"/>
      <c r="L47" s="115"/>
      <c r="M47" s="498"/>
      <c r="N47" s="499"/>
      <c r="O47" s="498"/>
      <c r="P47" s="499"/>
      <c r="Q47" s="498"/>
      <c r="R47" s="499"/>
      <c r="S47" s="498"/>
      <c r="T47" s="499"/>
      <c r="U47" s="498"/>
      <c r="V47" s="499"/>
      <c r="W47" s="498"/>
      <c r="X47" s="499"/>
      <c r="Y47" s="498"/>
      <c r="Z47" s="499"/>
      <c r="AA47" s="498"/>
      <c r="AB47" s="499"/>
      <c r="AC47" s="498"/>
      <c r="AD47" s="499"/>
      <c r="AE47" s="498"/>
      <c r="AF47" s="500"/>
      <c r="AG47" s="498"/>
      <c r="AH47" s="500"/>
      <c r="AI47" s="498"/>
      <c r="AJ47" s="500"/>
      <c r="AK47" s="498"/>
      <c r="AL47" s="500"/>
      <c r="AM47" s="501"/>
      <c r="AN47" s="500"/>
      <c r="AO47" s="498"/>
      <c r="AP47" s="500"/>
      <c r="AQ47" s="501"/>
      <c r="AR47" s="500"/>
      <c r="AS47" s="500"/>
      <c r="AT47" s="500"/>
      <c r="AU47" s="501"/>
      <c r="AV47" s="500"/>
      <c r="AW47" s="500"/>
      <c r="AX47" s="500"/>
      <c r="AY47" s="576"/>
      <c r="AZ47" s="576"/>
      <c r="BA47" s="576"/>
      <c r="BB47" s="576"/>
      <c r="BC47" s="576"/>
      <c r="BD47" s="576"/>
      <c r="BE47" s="576"/>
      <c r="BF47" s="576"/>
      <c r="BG47" s="576"/>
      <c r="BH47" s="576"/>
      <c r="BI47" s="576"/>
      <c r="BJ47" s="576"/>
      <c r="BK47" s="576"/>
      <c r="BL47" s="576"/>
      <c r="BM47" s="576"/>
      <c r="BN47" s="576"/>
      <c r="BO47" s="576"/>
      <c r="BP47" s="576"/>
      <c r="BQ47" s="576"/>
      <c r="BR47" s="576"/>
      <c r="BS47" s="576"/>
      <c r="BT47" s="576"/>
      <c r="BU47" s="576"/>
      <c r="BV47" s="576"/>
      <c r="BW47" s="576"/>
      <c r="BX47" s="576"/>
      <c r="BY47" s="576"/>
      <c r="BZ47" s="576"/>
      <c r="CA47" s="576"/>
      <c r="CB47" s="576"/>
      <c r="CC47" s="576"/>
      <c r="CD47" s="576"/>
      <c r="CE47" s="576"/>
      <c r="CF47" s="576"/>
      <c r="CG47" s="576"/>
      <c r="CH47" s="576"/>
      <c r="CI47" s="576"/>
      <c r="CJ47" s="576"/>
      <c r="CK47" s="576"/>
      <c r="CL47" s="576"/>
      <c r="CM47" s="576"/>
      <c r="CN47" s="576"/>
      <c r="CO47" s="576"/>
      <c r="CP47" s="576"/>
      <c r="CQ47" s="576"/>
      <c r="CR47" s="576"/>
      <c r="CS47" s="576"/>
      <c r="CT47" s="576"/>
      <c r="CU47" s="576"/>
      <c r="CV47" s="576"/>
      <c r="CW47" s="576"/>
      <c r="CX47" s="576"/>
      <c r="CY47" s="576"/>
      <c r="CZ47" s="576"/>
      <c r="DA47" s="576"/>
      <c r="DB47" s="576"/>
      <c r="DC47" s="576"/>
      <c r="DD47" s="576"/>
      <c r="DE47" s="576"/>
      <c r="DF47" s="576"/>
      <c r="DG47" s="576"/>
      <c r="DH47" s="116"/>
      <c r="DI47" s="112"/>
      <c r="DJ47">
        <f ca="1">INDIRECT(ADDRESS(ROW()+1,COLUMN(Arbeitszeit!xDay),,,"Arbeitszeit"))</f>
        <v>4</v>
      </c>
    </row>
    <row r="48" spans="1:114">
      <c r="A48" s="462">
        <f>Arbeitszeit!A49</f>
        <v>44877</v>
      </c>
      <c r="B48" s="463">
        <f t="shared" si="1"/>
        <v>44877</v>
      </c>
      <c r="C48" s="146">
        <f t="shared" si="2"/>
        <v>46</v>
      </c>
      <c r="D48" s="145">
        <f t="shared" si="3"/>
        <v>44865</v>
      </c>
      <c r="E48" s="510">
        <f>Arbeitszeit!V49*24</f>
        <v>0</v>
      </c>
      <c r="F48" s="574">
        <f t="shared" si="0"/>
        <v>0</v>
      </c>
      <c r="G48" s="113">
        <f>IF(Arbeitszeit!F49=Urlaub,B_WorkTime*24,)</f>
        <v>0</v>
      </c>
      <c r="H48" s="111"/>
      <c r="I48" s="113">
        <f>IF(Arbeitszeit!F49=Krank,B_WorkTime*24,)</f>
        <v>0</v>
      </c>
      <c r="J48" s="111"/>
      <c r="K48" s="114"/>
      <c r="L48" s="115"/>
      <c r="M48" s="498"/>
      <c r="N48" s="499"/>
      <c r="O48" s="498"/>
      <c r="P48" s="499"/>
      <c r="Q48" s="498"/>
      <c r="R48" s="499"/>
      <c r="S48" s="498"/>
      <c r="T48" s="499"/>
      <c r="U48" s="498"/>
      <c r="V48" s="499"/>
      <c r="W48" s="498"/>
      <c r="X48" s="499"/>
      <c r="Y48" s="498"/>
      <c r="Z48" s="499"/>
      <c r="AA48" s="498"/>
      <c r="AB48" s="499"/>
      <c r="AC48" s="498"/>
      <c r="AD48" s="499"/>
      <c r="AE48" s="498"/>
      <c r="AF48" s="500"/>
      <c r="AG48" s="498"/>
      <c r="AH48" s="500"/>
      <c r="AI48" s="498"/>
      <c r="AJ48" s="500"/>
      <c r="AK48" s="498"/>
      <c r="AL48" s="500"/>
      <c r="AM48" s="501"/>
      <c r="AN48" s="500"/>
      <c r="AO48" s="498"/>
      <c r="AP48" s="500"/>
      <c r="AQ48" s="501"/>
      <c r="AR48" s="500"/>
      <c r="AS48" s="500"/>
      <c r="AT48" s="500"/>
      <c r="AU48" s="501"/>
      <c r="AV48" s="500"/>
      <c r="AW48" s="500"/>
      <c r="AX48" s="500"/>
      <c r="AY48" s="576"/>
      <c r="AZ48" s="576"/>
      <c r="BA48" s="576"/>
      <c r="BB48" s="576"/>
      <c r="BC48" s="576"/>
      <c r="BD48" s="576"/>
      <c r="BE48" s="576"/>
      <c r="BF48" s="576"/>
      <c r="BG48" s="576"/>
      <c r="BH48" s="576"/>
      <c r="BI48" s="576"/>
      <c r="BJ48" s="576"/>
      <c r="BK48" s="576"/>
      <c r="BL48" s="576"/>
      <c r="BM48" s="576"/>
      <c r="BN48" s="576"/>
      <c r="BO48" s="576"/>
      <c r="BP48" s="576"/>
      <c r="BQ48" s="576"/>
      <c r="BR48" s="576"/>
      <c r="BS48" s="576"/>
      <c r="BT48" s="576"/>
      <c r="BU48" s="576"/>
      <c r="BV48" s="576"/>
      <c r="BW48" s="576"/>
      <c r="BX48" s="576"/>
      <c r="BY48" s="576"/>
      <c r="BZ48" s="576"/>
      <c r="CA48" s="576"/>
      <c r="CB48" s="576"/>
      <c r="CC48" s="576"/>
      <c r="CD48" s="576"/>
      <c r="CE48" s="576"/>
      <c r="CF48" s="576"/>
      <c r="CG48" s="576"/>
      <c r="CH48" s="576"/>
      <c r="CI48" s="576"/>
      <c r="CJ48" s="576"/>
      <c r="CK48" s="576"/>
      <c r="CL48" s="576"/>
      <c r="CM48" s="576"/>
      <c r="CN48" s="576"/>
      <c r="CO48" s="576"/>
      <c r="CP48" s="576"/>
      <c r="CQ48" s="576"/>
      <c r="CR48" s="576"/>
      <c r="CS48" s="576"/>
      <c r="CT48" s="576"/>
      <c r="CU48" s="576"/>
      <c r="CV48" s="576"/>
      <c r="CW48" s="576"/>
      <c r="CX48" s="576"/>
      <c r="CY48" s="576"/>
      <c r="CZ48" s="576"/>
      <c r="DA48" s="576"/>
      <c r="DB48" s="576"/>
      <c r="DC48" s="576"/>
      <c r="DD48" s="576"/>
      <c r="DE48" s="576"/>
      <c r="DF48" s="576"/>
      <c r="DG48" s="576"/>
      <c r="DH48" s="116"/>
      <c r="DI48" s="112"/>
      <c r="DJ48">
        <f ca="1">INDIRECT(ADDRESS(ROW()+1,COLUMN(Arbeitszeit!xDay),,,"Arbeitszeit"))</f>
        <v>5</v>
      </c>
    </row>
    <row r="49" spans="1:114">
      <c r="A49" s="462">
        <f>Arbeitszeit!A50</f>
        <v>44878</v>
      </c>
      <c r="B49" s="463">
        <f t="shared" si="1"/>
        <v>44878</v>
      </c>
      <c r="C49" s="146">
        <f t="shared" si="2"/>
        <v>46</v>
      </c>
      <c r="D49" s="145">
        <f t="shared" si="3"/>
        <v>44865</v>
      </c>
      <c r="E49" s="510">
        <f>Arbeitszeit!V50*24</f>
        <v>0</v>
      </c>
      <c r="F49" s="574">
        <f t="shared" si="0"/>
        <v>0</v>
      </c>
      <c r="G49" s="113">
        <f>IF(Arbeitszeit!F50=Urlaub,B_WorkTime*24,)</f>
        <v>0</v>
      </c>
      <c r="H49" s="111"/>
      <c r="I49" s="113">
        <f>IF(Arbeitszeit!F50=Krank,B_WorkTime*24,)</f>
        <v>0</v>
      </c>
      <c r="J49" s="111"/>
      <c r="K49" s="114"/>
      <c r="L49" s="115"/>
      <c r="M49" s="498"/>
      <c r="N49" s="499"/>
      <c r="O49" s="498"/>
      <c r="P49" s="499"/>
      <c r="Q49" s="498"/>
      <c r="R49" s="499"/>
      <c r="S49" s="498"/>
      <c r="T49" s="499"/>
      <c r="U49" s="498"/>
      <c r="V49" s="499"/>
      <c r="W49" s="498"/>
      <c r="X49" s="499"/>
      <c r="Y49" s="498"/>
      <c r="Z49" s="499"/>
      <c r="AA49" s="498"/>
      <c r="AB49" s="499"/>
      <c r="AC49" s="498"/>
      <c r="AD49" s="499"/>
      <c r="AE49" s="498"/>
      <c r="AF49" s="500"/>
      <c r="AG49" s="498"/>
      <c r="AH49" s="500"/>
      <c r="AI49" s="498"/>
      <c r="AJ49" s="500"/>
      <c r="AK49" s="498"/>
      <c r="AL49" s="500"/>
      <c r="AM49" s="501"/>
      <c r="AN49" s="500"/>
      <c r="AO49" s="498"/>
      <c r="AP49" s="500"/>
      <c r="AQ49" s="501"/>
      <c r="AR49" s="500"/>
      <c r="AS49" s="500"/>
      <c r="AT49" s="500"/>
      <c r="AU49" s="501"/>
      <c r="AV49" s="500"/>
      <c r="AW49" s="500"/>
      <c r="AX49" s="500"/>
      <c r="AY49" s="576"/>
      <c r="AZ49" s="576"/>
      <c r="BA49" s="576"/>
      <c r="BB49" s="576"/>
      <c r="BC49" s="576"/>
      <c r="BD49" s="576"/>
      <c r="BE49" s="576"/>
      <c r="BF49" s="576"/>
      <c r="BG49" s="576"/>
      <c r="BH49" s="576"/>
      <c r="BI49" s="576"/>
      <c r="BJ49" s="576"/>
      <c r="BK49" s="576"/>
      <c r="BL49" s="576"/>
      <c r="BM49" s="576"/>
      <c r="BN49" s="576"/>
      <c r="BO49" s="576"/>
      <c r="BP49" s="576"/>
      <c r="BQ49" s="576"/>
      <c r="BR49" s="576"/>
      <c r="BS49" s="576"/>
      <c r="BT49" s="576"/>
      <c r="BU49" s="576"/>
      <c r="BV49" s="576"/>
      <c r="BW49" s="576"/>
      <c r="BX49" s="576"/>
      <c r="BY49" s="576"/>
      <c r="BZ49" s="576"/>
      <c r="CA49" s="576"/>
      <c r="CB49" s="576"/>
      <c r="CC49" s="576"/>
      <c r="CD49" s="576"/>
      <c r="CE49" s="576"/>
      <c r="CF49" s="576"/>
      <c r="CG49" s="576"/>
      <c r="CH49" s="576"/>
      <c r="CI49" s="576"/>
      <c r="CJ49" s="576"/>
      <c r="CK49" s="576"/>
      <c r="CL49" s="576"/>
      <c r="CM49" s="576"/>
      <c r="CN49" s="576"/>
      <c r="CO49" s="576"/>
      <c r="CP49" s="576"/>
      <c r="CQ49" s="576"/>
      <c r="CR49" s="576"/>
      <c r="CS49" s="576"/>
      <c r="CT49" s="576"/>
      <c r="CU49" s="576"/>
      <c r="CV49" s="576"/>
      <c r="CW49" s="576"/>
      <c r="CX49" s="576"/>
      <c r="CY49" s="576"/>
      <c r="CZ49" s="576"/>
      <c r="DA49" s="576"/>
      <c r="DB49" s="576"/>
      <c r="DC49" s="576"/>
      <c r="DD49" s="576"/>
      <c r="DE49" s="576"/>
      <c r="DF49" s="576"/>
      <c r="DG49" s="576"/>
      <c r="DH49" s="116"/>
      <c r="DI49" s="112"/>
      <c r="DJ49">
        <f ca="1">INDIRECT(ADDRESS(ROW()+1,COLUMN(Arbeitszeit!xDay),,,"Arbeitszeit"))</f>
        <v>6</v>
      </c>
    </row>
    <row r="50" spans="1:114">
      <c r="A50" s="462">
        <f>Arbeitszeit!A51</f>
        <v>44879</v>
      </c>
      <c r="B50" s="463">
        <f t="shared" si="1"/>
        <v>44879</v>
      </c>
      <c r="C50" s="146">
        <f t="shared" si="2"/>
        <v>46</v>
      </c>
      <c r="D50" s="145">
        <f t="shared" si="3"/>
        <v>44865</v>
      </c>
      <c r="E50" s="510">
        <f>Arbeitszeit!V51*24</f>
        <v>0</v>
      </c>
      <c r="F50" s="574">
        <f t="shared" si="0"/>
        <v>0</v>
      </c>
      <c r="G50" s="113">
        <f>IF(Arbeitszeit!F51=Urlaub,B_WorkTime*24,)</f>
        <v>0</v>
      </c>
      <c r="H50" s="111"/>
      <c r="I50" s="113">
        <f>IF(Arbeitszeit!F51=Krank,B_WorkTime*24,)</f>
        <v>0</v>
      </c>
      <c r="J50" s="111"/>
      <c r="K50" s="114"/>
      <c r="L50" s="115"/>
      <c r="M50" s="498"/>
      <c r="N50" s="499"/>
      <c r="O50" s="498"/>
      <c r="P50" s="499"/>
      <c r="Q50" s="498"/>
      <c r="R50" s="499"/>
      <c r="S50" s="498"/>
      <c r="T50" s="499"/>
      <c r="U50" s="498"/>
      <c r="V50" s="499"/>
      <c r="W50" s="498"/>
      <c r="X50" s="499"/>
      <c r="Y50" s="498"/>
      <c r="Z50" s="499"/>
      <c r="AA50" s="498"/>
      <c r="AB50" s="499"/>
      <c r="AC50" s="498"/>
      <c r="AD50" s="499"/>
      <c r="AE50" s="498"/>
      <c r="AF50" s="500"/>
      <c r="AG50" s="498"/>
      <c r="AH50" s="500"/>
      <c r="AI50" s="498"/>
      <c r="AJ50" s="500"/>
      <c r="AK50" s="498"/>
      <c r="AL50" s="500"/>
      <c r="AM50" s="501"/>
      <c r="AN50" s="500"/>
      <c r="AO50" s="498"/>
      <c r="AP50" s="500"/>
      <c r="AQ50" s="501"/>
      <c r="AR50" s="500"/>
      <c r="AS50" s="500"/>
      <c r="AT50" s="500"/>
      <c r="AU50" s="501"/>
      <c r="AV50" s="500"/>
      <c r="AW50" s="500"/>
      <c r="AX50" s="500"/>
      <c r="AY50" s="576"/>
      <c r="AZ50" s="576"/>
      <c r="BA50" s="576"/>
      <c r="BB50" s="576"/>
      <c r="BC50" s="576"/>
      <c r="BD50" s="576"/>
      <c r="BE50" s="576"/>
      <c r="BF50" s="576"/>
      <c r="BG50" s="576"/>
      <c r="BH50" s="576"/>
      <c r="BI50" s="576"/>
      <c r="BJ50" s="576"/>
      <c r="BK50" s="576"/>
      <c r="BL50" s="576"/>
      <c r="BM50" s="576"/>
      <c r="BN50" s="576"/>
      <c r="BO50" s="576"/>
      <c r="BP50" s="576"/>
      <c r="BQ50" s="576"/>
      <c r="BR50" s="576"/>
      <c r="BS50" s="576"/>
      <c r="BT50" s="576"/>
      <c r="BU50" s="576"/>
      <c r="BV50" s="576"/>
      <c r="BW50" s="576"/>
      <c r="BX50" s="576"/>
      <c r="BY50" s="576"/>
      <c r="BZ50" s="576"/>
      <c r="CA50" s="576"/>
      <c r="CB50" s="576"/>
      <c r="CC50" s="576"/>
      <c r="CD50" s="576"/>
      <c r="CE50" s="576"/>
      <c r="CF50" s="576"/>
      <c r="CG50" s="576"/>
      <c r="CH50" s="576"/>
      <c r="CI50" s="576"/>
      <c r="CJ50" s="576"/>
      <c r="CK50" s="576"/>
      <c r="CL50" s="576"/>
      <c r="CM50" s="576"/>
      <c r="CN50" s="576"/>
      <c r="CO50" s="576"/>
      <c r="CP50" s="576"/>
      <c r="CQ50" s="576"/>
      <c r="CR50" s="576"/>
      <c r="CS50" s="576"/>
      <c r="CT50" s="576"/>
      <c r="CU50" s="576"/>
      <c r="CV50" s="576"/>
      <c r="CW50" s="576"/>
      <c r="CX50" s="576"/>
      <c r="CY50" s="576"/>
      <c r="CZ50" s="576"/>
      <c r="DA50" s="576"/>
      <c r="DB50" s="576"/>
      <c r="DC50" s="576"/>
      <c r="DD50" s="576"/>
      <c r="DE50" s="576"/>
      <c r="DF50" s="576"/>
      <c r="DG50" s="576"/>
      <c r="DH50" s="116"/>
      <c r="DI50" s="112"/>
      <c r="DJ50">
        <f ca="1">INDIRECT(ADDRESS(ROW()+1,COLUMN(Arbeitszeit!xDay),,,"Arbeitszeit"))</f>
        <v>7</v>
      </c>
    </row>
    <row r="51" spans="1:114">
      <c r="A51" s="462">
        <f>Arbeitszeit!A52</f>
        <v>44880</v>
      </c>
      <c r="B51" s="463">
        <f t="shared" si="1"/>
        <v>44880</v>
      </c>
      <c r="C51" s="146">
        <f t="shared" si="2"/>
        <v>47</v>
      </c>
      <c r="D51" s="145">
        <f t="shared" si="3"/>
        <v>44865</v>
      </c>
      <c r="E51" s="510">
        <f>Arbeitszeit!V52*24</f>
        <v>0</v>
      </c>
      <c r="F51" s="574">
        <f t="shared" si="0"/>
        <v>0</v>
      </c>
      <c r="G51" s="113">
        <f>IF(Arbeitszeit!F52=Urlaub,B_WorkTime*24,)</f>
        <v>0</v>
      </c>
      <c r="H51" s="111"/>
      <c r="I51" s="113">
        <f>IF(Arbeitszeit!F52=Krank,B_WorkTime*24,)</f>
        <v>0</v>
      </c>
      <c r="J51" s="111"/>
      <c r="K51" s="114"/>
      <c r="L51" s="115"/>
      <c r="M51" s="498"/>
      <c r="N51" s="499"/>
      <c r="O51" s="498"/>
      <c r="P51" s="499"/>
      <c r="Q51" s="498"/>
      <c r="R51" s="499"/>
      <c r="S51" s="498"/>
      <c r="T51" s="499"/>
      <c r="U51" s="498"/>
      <c r="V51" s="499"/>
      <c r="W51" s="498"/>
      <c r="X51" s="499"/>
      <c r="Y51" s="498"/>
      <c r="Z51" s="499"/>
      <c r="AA51" s="498"/>
      <c r="AB51" s="499"/>
      <c r="AC51" s="498"/>
      <c r="AD51" s="499"/>
      <c r="AE51" s="498"/>
      <c r="AF51" s="500"/>
      <c r="AG51" s="498"/>
      <c r="AH51" s="500"/>
      <c r="AI51" s="498"/>
      <c r="AJ51" s="500"/>
      <c r="AK51" s="498"/>
      <c r="AL51" s="500"/>
      <c r="AM51" s="501"/>
      <c r="AN51" s="500"/>
      <c r="AO51" s="498"/>
      <c r="AP51" s="500"/>
      <c r="AQ51" s="501"/>
      <c r="AR51" s="500"/>
      <c r="AS51" s="500"/>
      <c r="AT51" s="500"/>
      <c r="AU51" s="501"/>
      <c r="AV51" s="500"/>
      <c r="AW51" s="500"/>
      <c r="AX51" s="500"/>
      <c r="AY51" s="576"/>
      <c r="AZ51" s="576"/>
      <c r="BA51" s="576"/>
      <c r="BB51" s="576"/>
      <c r="BC51" s="576"/>
      <c r="BD51" s="576"/>
      <c r="BE51" s="576"/>
      <c r="BF51" s="576"/>
      <c r="BG51" s="576"/>
      <c r="BH51" s="576"/>
      <c r="BI51" s="576"/>
      <c r="BJ51" s="576"/>
      <c r="BK51" s="576"/>
      <c r="BL51" s="576"/>
      <c r="BM51" s="576"/>
      <c r="BN51" s="576"/>
      <c r="BO51" s="576"/>
      <c r="BP51" s="576"/>
      <c r="BQ51" s="576"/>
      <c r="BR51" s="576"/>
      <c r="BS51" s="576"/>
      <c r="BT51" s="576"/>
      <c r="BU51" s="576"/>
      <c r="BV51" s="576"/>
      <c r="BW51" s="576"/>
      <c r="BX51" s="576"/>
      <c r="BY51" s="576"/>
      <c r="BZ51" s="576"/>
      <c r="CA51" s="576"/>
      <c r="CB51" s="576"/>
      <c r="CC51" s="576"/>
      <c r="CD51" s="576"/>
      <c r="CE51" s="576"/>
      <c r="CF51" s="576"/>
      <c r="CG51" s="576"/>
      <c r="CH51" s="576"/>
      <c r="CI51" s="576"/>
      <c r="CJ51" s="576"/>
      <c r="CK51" s="576"/>
      <c r="CL51" s="576"/>
      <c r="CM51" s="576"/>
      <c r="CN51" s="576"/>
      <c r="CO51" s="576"/>
      <c r="CP51" s="576"/>
      <c r="CQ51" s="576"/>
      <c r="CR51" s="576"/>
      <c r="CS51" s="576"/>
      <c r="CT51" s="576"/>
      <c r="CU51" s="576"/>
      <c r="CV51" s="576"/>
      <c r="CW51" s="576"/>
      <c r="CX51" s="576"/>
      <c r="CY51" s="576"/>
      <c r="CZ51" s="576"/>
      <c r="DA51" s="576"/>
      <c r="DB51" s="576"/>
      <c r="DC51" s="576"/>
      <c r="DD51" s="576"/>
      <c r="DE51" s="576"/>
      <c r="DF51" s="576"/>
      <c r="DG51" s="576"/>
      <c r="DH51" s="116"/>
      <c r="DI51" s="112"/>
      <c r="DJ51">
        <f ca="1">INDIRECT(ADDRESS(ROW()+1,COLUMN(Arbeitszeit!xDay),,,"Arbeitszeit"))</f>
        <v>1</v>
      </c>
    </row>
    <row r="52" spans="1:114">
      <c r="A52" s="462">
        <f>Arbeitszeit!A53</f>
        <v>44881</v>
      </c>
      <c r="B52" s="463">
        <f t="shared" si="1"/>
        <v>44881</v>
      </c>
      <c r="C52" s="146">
        <f t="shared" si="2"/>
        <v>47</v>
      </c>
      <c r="D52" s="145">
        <f t="shared" si="3"/>
        <v>44865</v>
      </c>
      <c r="E52" s="510">
        <f>Arbeitszeit!V53*24</f>
        <v>0</v>
      </c>
      <c r="F52" s="574">
        <f t="shared" si="0"/>
        <v>0</v>
      </c>
      <c r="G52" s="113">
        <f>IF(Arbeitszeit!F53=Urlaub,B_WorkTime*24,)</f>
        <v>0</v>
      </c>
      <c r="H52" s="111"/>
      <c r="I52" s="113">
        <f>IF(Arbeitszeit!F53=Krank,B_WorkTime*24,)</f>
        <v>0</v>
      </c>
      <c r="J52" s="111"/>
      <c r="K52" s="114"/>
      <c r="L52" s="115"/>
      <c r="M52" s="498"/>
      <c r="N52" s="499"/>
      <c r="O52" s="498"/>
      <c r="P52" s="499"/>
      <c r="Q52" s="498"/>
      <c r="R52" s="499"/>
      <c r="S52" s="498"/>
      <c r="T52" s="499"/>
      <c r="U52" s="498"/>
      <c r="V52" s="499"/>
      <c r="W52" s="498"/>
      <c r="X52" s="499"/>
      <c r="Y52" s="498"/>
      <c r="Z52" s="499"/>
      <c r="AA52" s="498"/>
      <c r="AB52" s="499"/>
      <c r="AC52" s="498"/>
      <c r="AD52" s="499"/>
      <c r="AE52" s="498"/>
      <c r="AF52" s="500"/>
      <c r="AG52" s="498"/>
      <c r="AH52" s="500"/>
      <c r="AI52" s="498"/>
      <c r="AJ52" s="500"/>
      <c r="AK52" s="498"/>
      <c r="AL52" s="500"/>
      <c r="AM52" s="501"/>
      <c r="AN52" s="500"/>
      <c r="AO52" s="498"/>
      <c r="AP52" s="500"/>
      <c r="AQ52" s="501"/>
      <c r="AR52" s="500"/>
      <c r="AS52" s="500"/>
      <c r="AT52" s="500"/>
      <c r="AU52" s="501"/>
      <c r="AV52" s="500"/>
      <c r="AW52" s="500"/>
      <c r="AX52" s="500"/>
      <c r="AY52" s="576"/>
      <c r="AZ52" s="576"/>
      <c r="BA52" s="576"/>
      <c r="BB52" s="576"/>
      <c r="BC52" s="576"/>
      <c r="BD52" s="576"/>
      <c r="BE52" s="576"/>
      <c r="BF52" s="576"/>
      <c r="BG52" s="576"/>
      <c r="BH52" s="576"/>
      <c r="BI52" s="576"/>
      <c r="BJ52" s="576"/>
      <c r="BK52" s="576"/>
      <c r="BL52" s="576"/>
      <c r="BM52" s="576"/>
      <c r="BN52" s="576"/>
      <c r="BO52" s="576"/>
      <c r="BP52" s="576"/>
      <c r="BQ52" s="576"/>
      <c r="BR52" s="576"/>
      <c r="BS52" s="576"/>
      <c r="BT52" s="576"/>
      <c r="BU52" s="576"/>
      <c r="BV52" s="576"/>
      <c r="BW52" s="576"/>
      <c r="BX52" s="576"/>
      <c r="BY52" s="576"/>
      <c r="BZ52" s="576"/>
      <c r="CA52" s="576"/>
      <c r="CB52" s="576"/>
      <c r="CC52" s="576"/>
      <c r="CD52" s="576"/>
      <c r="CE52" s="576"/>
      <c r="CF52" s="576"/>
      <c r="CG52" s="576"/>
      <c r="CH52" s="576"/>
      <c r="CI52" s="576"/>
      <c r="CJ52" s="576"/>
      <c r="CK52" s="576"/>
      <c r="CL52" s="576"/>
      <c r="CM52" s="576"/>
      <c r="CN52" s="576"/>
      <c r="CO52" s="576"/>
      <c r="CP52" s="576"/>
      <c r="CQ52" s="576"/>
      <c r="CR52" s="576"/>
      <c r="CS52" s="576"/>
      <c r="CT52" s="576"/>
      <c r="CU52" s="576"/>
      <c r="CV52" s="576"/>
      <c r="CW52" s="576"/>
      <c r="CX52" s="576"/>
      <c r="CY52" s="576"/>
      <c r="CZ52" s="576"/>
      <c r="DA52" s="576"/>
      <c r="DB52" s="576"/>
      <c r="DC52" s="576"/>
      <c r="DD52" s="576"/>
      <c r="DE52" s="576"/>
      <c r="DF52" s="576"/>
      <c r="DG52" s="576"/>
      <c r="DH52" s="116"/>
      <c r="DI52" s="112"/>
      <c r="DJ52">
        <f ca="1">INDIRECT(ADDRESS(ROW()+1,COLUMN(Arbeitszeit!xDay),,,"Arbeitszeit"))</f>
        <v>2</v>
      </c>
    </row>
    <row r="53" spans="1:114">
      <c r="A53" s="462">
        <f>Arbeitszeit!A54</f>
        <v>44882</v>
      </c>
      <c r="B53" s="463">
        <f t="shared" si="1"/>
        <v>44882</v>
      </c>
      <c r="C53" s="146">
        <f t="shared" si="2"/>
        <v>47</v>
      </c>
      <c r="D53" s="145">
        <f t="shared" si="3"/>
        <v>44865</v>
      </c>
      <c r="E53" s="510">
        <f>Arbeitszeit!V54*24</f>
        <v>0</v>
      </c>
      <c r="F53" s="574">
        <f t="shared" si="0"/>
        <v>0</v>
      </c>
      <c r="G53" s="113">
        <f>IF(Arbeitszeit!F54=Urlaub,B_WorkTime*24,)</f>
        <v>0</v>
      </c>
      <c r="H53" s="111"/>
      <c r="I53" s="113">
        <f>IF(Arbeitszeit!F54=Krank,B_WorkTime*24,)</f>
        <v>0</v>
      </c>
      <c r="J53" s="111"/>
      <c r="K53" s="114"/>
      <c r="L53" s="115"/>
      <c r="M53" s="498"/>
      <c r="N53" s="499"/>
      <c r="O53" s="498"/>
      <c r="P53" s="499"/>
      <c r="Q53" s="498"/>
      <c r="R53" s="499"/>
      <c r="S53" s="498"/>
      <c r="T53" s="499"/>
      <c r="U53" s="498"/>
      <c r="V53" s="499"/>
      <c r="W53" s="498"/>
      <c r="X53" s="499"/>
      <c r="Y53" s="498"/>
      <c r="Z53" s="499"/>
      <c r="AA53" s="498"/>
      <c r="AB53" s="499"/>
      <c r="AC53" s="498"/>
      <c r="AD53" s="499"/>
      <c r="AE53" s="498"/>
      <c r="AF53" s="500"/>
      <c r="AG53" s="498"/>
      <c r="AH53" s="500"/>
      <c r="AI53" s="498"/>
      <c r="AJ53" s="500"/>
      <c r="AK53" s="498"/>
      <c r="AL53" s="500"/>
      <c r="AM53" s="501"/>
      <c r="AN53" s="500"/>
      <c r="AO53" s="498"/>
      <c r="AP53" s="500"/>
      <c r="AQ53" s="501"/>
      <c r="AR53" s="500"/>
      <c r="AS53" s="500"/>
      <c r="AT53" s="500"/>
      <c r="AU53" s="501"/>
      <c r="AV53" s="500"/>
      <c r="AW53" s="500"/>
      <c r="AX53" s="500"/>
      <c r="AY53" s="576"/>
      <c r="AZ53" s="576"/>
      <c r="BA53" s="576"/>
      <c r="BB53" s="576"/>
      <c r="BC53" s="576"/>
      <c r="BD53" s="576"/>
      <c r="BE53" s="576"/>
      <c r="BF53" s="576"/>
      <c r="BG53" s="576"/>
      <c r="BH53" s="576"/>
      <c r="BI53" s="576"/>
      <c r="BJ53" s="576"/>
      <c r="BK53" s="576"/>
      <c r="BL53" s="576"/>
      <c r="BM53" s="576"/>
      <c r="BN53" s="576"/>
      <c r="BO53" s="576"/>
      <c r="BP53" s="576"/>
      <c r="BQ53" s="576"/>
      <c r="BR53" s="576"/>
      <c r="BS53" s="576"/>
      <c r="BT53" s="576"/>
      <c r="BU53" s="576"/>
      <c r="BV53" s="576"/>
      <c r="BW53" s="576"/>
      <c r="BX53" s="576"/>
      <c r="BY53" s="576"/>
      <c r="BZ53" s="576"/>
      <c r="CA53" s="576"/>
      <c r="CB53" s="576"/>
      <c r="CC53" s="576"/>
      <c r="CD53" s="576"/>
      <c r="CE53" s="576"/>
      <c r="CF53" s="576"/>
      <c r="CG53" s="576"/>
      <c r="CH53" s="576"/>
      <c r="CI53" s="576"/>
      <c r="CJ53" s="576"/>
      <c r="CK53" s="576"/>
      <c r="CL53" s="576"/>
      <c r="CM53" s="576"/>
      <c r="CN53" s="576"/>
      <c r="CO53" s="576"/>
      <c r="CP53" s="576"/>
      <c r="CQ53" s="576"/>
      <c r="CR53" s="576"/>
      <c r="CS53" s="576"/>
      <c r="CT53" s="576"/>
      <c r="CU53" s="576"/>
      <c r="CV53" s="576"/>
      <c r="CW53" s="576"/>
      <c r="CX53" s="576"/>
      <c r="CY53" s="576"/>
      <c r="CZ53" s="576"/>
      <c r="DA53" s="576"/>
      <c r="DB53" s="576"/>
      <c r="DC53" s="576"/>
      <c r="DD53" s="576"/>
      <c r="DE53" s="576"/>
      <c r="DF53" s="576"/>
      <c r="DG53" s="576"/>
      <c r="DH53" s="116"/>
      <c r="DI53" s="112"/>
      <c r="DJ53">
        <f ca="1">INDIRECT(ADDRESS(ROW()+1,COLUMN(Arbeitszeit!xDay),,,"Arbeitszeit"))</f>
        <v>3</v>
      </c>
    </row>
    <row r="54" spans="1:114">
      <c r="A54" s="462">
        <f>Arbeitszeit!A55</f>
        <v>44883</v>
      </c>
      <c r="B54" s="463">
        <f t="shared" si="1"/>
        <v>44883</v>
      </c>
      <c r="C54" s="146">
        <f t="shared" si="2"/>
        <v>47</v>
      </c>
      <c r="D54" s="145">
        <f t="shared" si="3"/>
        <v>44865</v>
      </c>
      <c r="E54" s="510">
        <f>Arbeitszeit!V55*24</f>
        <v>0</v>
      </c>
      <c r="F54" s="574">
        <f t="shared" si="0"/>
        <v>0</v>
      </c>
      <c r="G54" s="113">
        <f>IF(Arbeitszeit!F55=Urlaub,B_WorkTime*24,)</f>
        <v>0</v>
      </c>
      <c r="H54" s="111"/>
      <c r="I54" s="113">
        <f>IF(Arbeitszeit!F55=Krank,B_WorkTime*24,)</f>
        <v>0</v>
      </c>
      <c r="J54" s="111"/>
      <c r="K54" s="114"/>
      <c r="L54" s="115"/>
      <c r="M54" s="498"/>
      <c r="N54" s="499"/>
      <c r="O54" s="498"/>
      <c r="P54" s="499"/>
      <c r="Q54" s="498"/>
      <c r="R54" s="499"/>
      <c r="S54" s="498"/>
      <c r="T54" s="499"/>
      <c r="U54" s="498"/>
      <c r="V54" s="499"/>
      <c r="W54" s="498"/>
      <c r="X54" s="499"/>
      <c r="Y54" s="498"/>
      <c r="Z54" s="499"/>
      <c r="AA54" s="498"/>
      <c r="AB54" s="499"/>
      <c r="AC54" s="498"/>
      <c r="AD54" s="499"/>
      <c r="AE54" s="498"/>
      <c r="AF54" s="500"/>
      <c r="AG54" s="498"/>
      <c r="AH54" s="500"/>
      <c r="AI54" s="498"/>
      <c r="AJ54" s="500"/>
      <c r="AK54" s="498"/>
      <c r="AL54" s="500"/>
      <c r="AM54" s="501"/>
      <c r="AN54" s="500"/>
      <c r="AO54" s="498"/>
      <c r="AP54" s="500"/>
      <c r="AQ54" s="501"/>
      <c r="AR54" s="500"/>
      <c r="AS54" s="500"/>
      <c r="AT54" s="500"/>
      <c r="AU54" s="501"/>
      <c r="AV54" s="500"/>
      <c r="AW54" s="500"/>
      <c r="AX54" s="500"/>
      <c r="AY54" s="576"/>
      <c r="AZ54" s="576"/>
      <c r="BA54" s="576"/>
      <c r="BB54" s="576"/>
      <c r="BC54" s="576"/>
      <c r="BD54" s="576"/>
      <c r="BE54" s="576"/>
      <c r="BF54" s="576"/>
      <c r="BG54" s="576"/>
      <c r="BH54" s="576"/>
      <c r="BI54" s="576"/>
      <c r="BJ54" s="576"/>
      <c r="BK54" s="576"/>
      <c r="BL54" s="576"/>
      <c r="BM54" s="576"/>
      <c r="BN54" s="576"/>
      <c r="BO54" s="576"/>
      <c r="BP54" s="576"/>
      <c r="BQ54" s="576"/>
      <c r="BR54" s="576"/>
      <c r="BS54" s="576"/>
      <c r="BT54" s="576"/>
      <c r="BU54" s="576"/>
      <c r="BV54" s="576"/>
      <c r="BW54" s="576"/>
      <c r="BX54" s="576"/>
      <c r="BY54" s="576"/>
      <c r="BZ54" s="576"/>
      <c r="CA54" s="576"/>
      <c r="CB54" s="576"/>
      <c r="CC54" s="576"/>
      <c r="CD54" s="576"/>
      <c r="CE54" s="576"/>
      <c r="CF54" s="576"/>
      <c r="CG54" s="576"/>
      <c r="CH54" s="576"/>
      <c r="CI54" s="576"/>
      <c r="CJ54" s="576"/>
      <c r="CK54" s="576"/>
      <c r="CL54" s="576"/>
      <c r="CM54" s="576"/>
      <c r="CN54" s="576"/>
      <c r="CO54" s="576"/>
      <c r="CP54" s="576"/>
      <c r="CQ54" s="576"/>
      <c r="CR54" s="576"/>
      <c r="CS54" s="576"/>
      <c r="CT54" s="576"/>
      <c r="CU54" s="576"/>
      <c r="CV54" s="576"/>
      <c r="CW54" s="576"/>
      <c r="CX54" s="576"/>
      <c r="CY54" s="576"/>
      <c r="CZ54" s="576"/>
      <c r="DA54" s="576"/>
      <c r="DB54" s="576"/>
      <c r="DC54" s="576"/>
      <c r="DD54" s="576"/>
      <c r="DE54" s="576"/>
      <c r="DF54" s="576"/>
      <c r="DG54" s="576"/>
      <c r="DH54" s="116"/>
      <c r="DI54" s="112"/>
      <c r="DJ54">
        <f ca="1">INDIRECT(ADDRESS(ROW()+1,COLUMN(Arbeitszeit!xDay),,,"Arbeitszeit"))</f>
        <v>4</v>
      </c>
    </row>
    <row r="55" spans="1:114">
      <c r="A55" s="462">
        <f>Arbeitszeit!A56</f>
        <v>44884</v>
      </c>
      <c r="B55" s="463">
        <f t="shared" si="1"/>
        <v>44884</v>
      </c>
      <c r="C55" s="146">
        <f t="shared" si="2"/>
        <v>47</v>
      </c>
      <c r="D55" s="145">
        <f t="shared" si="3"/>
        <v>44865</v>
      </c>
      <c r="E55" s="510">
        <f>Arbeitszeit!V56*24</f>
        <v>0</v>
      </c>
      <c r="F55" s="574">
        <f t="shared" si="0"/>
        <v>0</v>
      </c>
      <c r="G55" s="113">
        <f>IF(Arbeitszeit!F56=Urlaub,B_WorkTime*24,)</f>
        <v>0</v>
      </c>
      <c r="H55" s="111"/>
      <c r="I55" s="113">
        <f>IF(Arbeitszeit!F56=Krank,B_WorkTime*24,)</f>
        <v>0</v>
      </c>
      <c r="J55" s="111"/>
      <c r="K55" s="114"/>
      <c r="L55" s="115"/>
      <c r="M55" s="498"/>
      <c r="N55" s="499"/>
      <c r="O55" s="498"/>
      <c r="P55" s="499"/>
      <c r="Q55" s="498"/>
      <c r="R55" s="499"/>
      <c r="S55" s="498"/>
      <c r="T55" s="499"/>
      <c r="U55" s="498"/>
      <c r="V55" s="499"/>
      <c r="W55" s="498"/>
      <c r="X55" s="499"/>
      <c r="Y55" s="498"/>
      <c r="Z55" s="499"/>
      <c r="AA55" s="498"/>
      <c r="AB55" s="499"/>
      <c r="AC55" s="498"/>
      <c r="AD55" s="499"/>
      <c r="AE55" s="498"/>
      <c r="AF55" s="500"/>
      <c r="AG55" s="498"/>
      <c r="AH55" s="500"/>
      <c r="AI55" s="498"/>
      <c r="AJ55" s="500"/>
      <c r="AK55" s="498"/>
      <c r="AL55" s="500"/>
      <c r="AM55" s="501"/>
      <c r="AN55" s="500"/>
      <c r="AO55" s="498"/>
      <c r="AP55" s="500"/>
      <c r="AQ55" s="501"/>
      <c r="AR55" s="500"/>
      <c r="AS55" s="500"/>
      <c r="AT55" s="500"/>
      <c r="AU55" s="501"/>
      <c r="AV55" s="500"/>
      <c r="AW55" s="500"/>
      <c r="AX55" s="500"/>
      <c r="AY55" s="576"/>
      <c r="AZ55" s="576"/>
      <c r="BA55" s="576"/>
      <c r="BB55" s="576"/>
      <c r="BC55" s="576"/>
      <c r="BD55" s="576"/>
      <c r="BE55" s="576"/>
      <c r="BF55" s="576"/>
      <c r="BG55" s="576"/>
      <c r="BH55" s="576"/>
      <c r="BI55" s="576"/>
      <c r="BJ55" s="576"/>
      <c r="BK55" s="576"/>
      <c r="BL55" s="576"/>
      <c r="BM55" s="576"/>
      <c r="BN55" s="576"/>
      <c r="BO55" s="576"/>
      <c r="BP55" s="576"/>
      <c r="BQ55" s="576"/>
      <c r="BR55" s="576"/>
      <c r="BS55" s="576"/>
      <c r="BT55" s="576"/>
      <c r="BU55" s="576"/>
      <c r="BV55" s="576"/>
      <c r="BW55" s="576"/>
      <c r="BX55" s="576"/>
      <c r="BY55" s="576"/>
      <c r="BZ55" s="576"/>
      <c r="CA55" s="576"/>
      <c r="CB55" s="576"/>
      <c r="CC55" s="576"/>
      <c r="CD55" s="576"/>
      <c r="CE55" s="576"/>
      <c r="CF55" s="576"/>
      <c r="CG55" s="576"/>
      <c r="CH55" s="576"/>
      <c r="CI55" s="576"/>
      <c r="CJ55" s="576"/>
      <c r="CK55" s="576"/>
      <c r="CL55" s="576"/>
      <c r="CM55" s="576"/>
      <c r="CN55" s="576"/>
      <c r="CO55" s="576"/>
      <c r="CP55" s="576"/>
      <c r="CQ55" s="576"/>
      <c r="CR55" s="576"/>
      <c r="CS55" s="576"/>
      <c r="CT55" s="576"/>
      <c r="CU55" s="576"/>
      <c r="CV55" s="576"/>
      <c r="CW55" s="576"/>
      <c r="CX55" s="576"/>
      <c r="CY55" s="576"/>
      <c r="CZ55" s="576"/>
      <c r="DA55" s="576"/>
      <c r="DB55" s="576"/>
      <c r="DC55" s="576"/>
      <c r="DD55" s="576"/>
      <c r="DE55" s="576"/>
      <c r="DF55" s="576"/>
      <c r="DG55" s="576"/>
      <c r="DH55" s="116"/>
      <c r="DI55" s="112"/>
      <c r="DJ55">
        <f ca="1">INDIRECT(ADDRESS(ROW()+1,COLUMN(Arbeitszeit!xDay),,,"Arbeitszeit"))</f>
        <v>5</v>
      </c>
    </row>
    <row r="56" spans="1:114">
      <c r="A56" s="462">
        <f>Arbeitszeit!A57</f>
        <v>44885</v>
      </c>
      <c r="B56" s="463">
        <f t="shared" si="1"/>
        <v>44885</v>
      </c>
      <c r="C56" s="146">
        <f t="shared" si="2"/>
        <v>47</v>
      </c>
      <c r="D56" s="145">
        <f t="shared" si="3"/>
        <v>44865</v>
      </c>
      <c r="E56" s="510">
        <f>Arbeitszeit!V57*24</f>
        <v>0</v>
      </c>
      <c r="F56" s="574">
        <f t="shared" si="0"/>
        <v>0</v>
      </c>
      <c r="G56" s="113">
        <f>IF(Arbeitszeit!F57=Urlaub,B_WorkTime*24,)</f>
        <v>0</v>
      </c>
      <c r="H56" s="111"/>
      <c r="I56" s="113">
        <f>IF(Arbeitszeit!F57=Krank,B_WorkTime*24,)</f>
        <v>0</v>
      </c>
      <c r="J56" s="111"/>
      <c r="K56" s="114"/>
      <c r="L56" s="115"/>
      <c r="M56" s="498"/>
      <c r="N56" s="499"/>
      <c r="O56" s="498"/>
      <c r="P56" s="499"/>
      <c r="Q56" s="498"/>
      <c r="R56" s="499"/>
      <c r="S56" s="498"/>
      <c r="T56" s="499"/>
      <c r="U56" s="498"/>
      <c r="V56" s="499"/>
      <c r="W56" s="498"/>
      <c r="X56" s="499"/>
      <c r="Y56" s="498"/>
      <c r="Z56" s="499"/>
      <c r="AA56" s="498"/>
      <c r="AB56" s="499"/>
      <c r="AC56" s="498"/>
      <c r="AD56" s="499"/>
      <c r="AE56" s="498"/>
      <c r="AF56" s="500"/>
      <c r="AG56" s="498"/>
      <c r="AH56" s="500"/>
      <c r="AI56" s="498"/>
      <c r="AJ56" s="500"/>
      <c r="AK56" s="498"/>
      <c r="AL56" s="500"/>
      <c r="AM56" s="501"/>
      <c r="AN56" s="500"/>
      <c r="AO56" s="498"/>
      <c r="AP56" s="500"/>
      <c r="AQ56" s="501"/>
      <c r="AR56" s="500"/>
      <c r="AS56" s="500"/>
      <c r="AT56" s="500"/>
      <c r="AU56" s="501"/>
      <c r="AV56" s="500"/>
      <c r="AW56" s="500"/>
      <c r="AX56" s="500"/>
      <c r="AY56" s="576"/>
      <c r="AZ56" s="576"/>
      <c r="BA56" s="576"/>
      <c r="BB56" s="576"/>
      <c r="BC56" s="576"/>
      <c r="BD56" s="576"/>
      <c r="BE56" s="576"/>
      <c r="BF56" s="576"/>
      <c r="BG56" s="576"/>
      <c r="BH56" s="576"/>
      <c r="BI56" s="576"/>
      <c r="BJ56" s="576"/>
      <c r="BK56" s="576"/>
      <c r="BL56" s="576"/>
      <c r="BM56" s="576"/>
      <c r="BN56" s="576"/>
      <c r="BO56" s="576"/>
      <c r="BP56" s="576"/>
      <c r="BQ56" s="576"/>
      <c r="BR56" s="576"/>
      <c r="BS56" s="576"/>
      <c r="BT56" s="576"/>
      <c r="BU56" s="576"/>
      <c r="BV56" s="576"/>
      <c r="BW56" s="576"/>
      <c r="BX56" s="576"/>
      <c r="BY56" s="576"/>
      <c r="BZ56" s="576"/>
      <c r="CA56" s="576"/>
      <c r="CB56" s="576"/>
      <c r="CC56" s="576"/>
      <c r="CD56" s="576"/>
      <c r="CE56" s="576"/>
      <c r="CF56" s="576"/>
      <c r="CG56" s="576"/>
      <c r="CH56" s="576"/>
      <c r="CI56" s="576"/>
      <c r="CJ56" s="576"/>
      <c r="CK56" s="576"/>
      <c r="CL56" s="576"/>
      <c r="CM56" s="576"/>
      <c r="CN56" s="576"/>
      <c r="CO56" s="576"/>
      <c r="CP56" s="576"/>
      <c r="CQ56" s="576"/>
      <c r="CR56" s="576"/>
      <c r="CS56" s="576"/>
      <c r="CT56" s="576"/>
      <c r="CU56" s="576"/>
      <c r="CV56" s="576"/>
      <c r="CW56" s="576"/>
      <c r="CX56" s="576"/>
      <c r="CY56" s="576"/>
      <c r="CZ56" s="576"/>
      <c r="DA56" s="576"/>
      <c r="DB56" s="576"/>
      <c r="DC56" s="576"/>
      <c r="DD56" s="576"/>
      <c r="DE56" s="576"/>
      <c r="DF56" s="576"/>
      <c r="DG56" s="576"/>
      <c r="DH56" s="116"/>
      <c r="DI56" s="112"/>
      <c r="DJ56">
        <f ca="1">INDIRECT(ADDRESS(ROW()+1,COLUMN(Arbeitszeit!xDay),,,"Arbeitszeit"))</f>
        <v>6</v>
      </c>
    </row>
    <row r="57" spans="1:114">
      <c r="A57" s="462">
        <f>Arbeitszeit!A58</f>
        <v>44886</v>
      </c>
      <c r="B57" s="463">
        <f t="shared" si="1"/>
        <v>44886</v>
      </c>
      <c r="C57" s="146">
        <f t="shared" si="2"/>
        <v>47</v>
      </c>
      <c r="D57" s="145">
        <f t="shared" si="3"/>
        <v>44865</v>
      </c>
      <c r="E57" s="510">
        <f>Arbeitszeit!V58*24</f>
        <v>0</v>
      </c>
      <c r="F57" s="574">
        <f t="shared" si="0"/>
        <v>0</v>
      </c>
      <c r="G57" s="113">
        <f>IF(Arbeitszeit!F58=Urlaub,B_WorkTime*24,)</f>
        <v>0</v>
      </c>
      <c r="H57" s="111"/>
      <c r="I57" s="113">
        <f>IF(Arbeitszeit!F58=Krank,B_WorkTime*24,)</f>
        <v>0</v>
      </c>
      <c r="J57" s="111"/>
      <c r="K57" s="114"/>
      <c r="L57" s="115"/>
      <c r="M57" s="498"/>
      <c r="N57" s="499"/>
      <c r="O57" s="498"/>
      <c r="P57" s="499"/>
      <c r="Q57" s="498"/>
      <c r="R57" s="499"/>
      <c r="S57" s="498"/>
      <c r="T57" s="499"/>
      <c r="U57" s="498"/>
      <c r="V57" s="499"/>
      <c r="W57" s="498"/>
      <c r="X57" s="499"/>
      <c r="Y57" s="498"/>
      <c r="Z57" s="499"/>
      <c r="AA57" s="498"/>
      <c r="AB57" s="499"/>
      <c r="AC57" s="498"/>
      <c r="AD57" s="499"/>
      <c r="AE57" s="498"/>
      <c r="AF57" s="500"/>
      <c r="AG57" s="498"/>
      <c r="AH57" s="500"/>
      <c r="AI57" s="498"/>
      <c r="AJ57" s="500"/>
      <c r="AK57" s="498"/>
      <c r="AL57" s="500"/>
      <c r="AM57" s="501"/>
      <c r="AN57" s="500"/>
      <c r="AO57" s="498"/>
      <c r="AP57" s="500"/>
      <c r="AQ57" s="501"/>
      <c r="AR57" s="500"/>
      <c r="AS57" s="500"/>
      <c r="AT57" s="500"/>
      <c r="AU57" s="501"/>
      <c r="AV57" s="500"/>
      <c r="AW57" s="500"/>
      <c r="AX57" s="500"/>
      <c r="AY57" s="576"/>
      <c r="AZ57" s="576"/>
      <c r="BA57" s="576"/>
      <c r="BB57" s="576"/>
      <c r="BC57" s="576"/>
      <c r="BD57" s="576"/>
      <c r="BE57" s="576"/>
      <c r="BF57" s="576"/>
      <c r="BG57" s="576"/>
      <c r="BH57" s="576"/>
      <c r="BI57" s="576"/>
      <c r="BJ57" s="576"/>
      <c r="BK57" s="576"/>
      <c r="BL57" s="576"/>
      <c r="BM57" s="576"/>
      <c r="BN57" s="576"/>
      <c r="BO57" s="576"/>
      <c r="BP57" s="576"/>
      <c r="BQ57" s="576"/>
      <c r="BR57" s="576"/>
      <c r="BS57" s="576"/>
      <c r="BT57" s="576"/>
      <c r="BU57" s="576"/>
      <c r="BV57" s="576"/>
      <c r="BW57" s="576"/>
      <c r="BX57" s="576"/>
      <c r="BY57" s="576"/>
      <c r="BZ57" s="576"/>
      <c r="CA57" s="576"/>
      <c r="CB57" s="576"/>
      <c r="CC57" s="576"/>
      <c r="CD57" s="576"/>
      <c r="CE57" s="576"/>
      <c r="CF57" s="576"/>
      <c r="CG57" s="576"/>
      <c r="CH57" s="576"/>
      <c r="CI57" s="576"/>
      <c r="CJ57" s="576"/>
      <c r="CK57" s="576"/>
      <c r="CL57" s="576"/>
      <c r="CM57" s="576"/>
      <c r="CN57" s="576"/>
      <c r="CO57" s="576"/>
      <c r="CP57" s="576"/>
      <c r="CQ57" s="576"/>
      <c r="CR57" s="576"/>
      <c r="CS57" s="576"/>
      <c r="CT57" s="576"/>
      <c r="CU57" s="576"/>
      <c r="CV57" s="576"/>
      <c r="CW57" s="576"/>
      <c r="CX57" s="576"/>
      <c r="CY57" s="576"/>
      <c r="CZ57" s="576"/>
      <c r="DA57" s="576"/>
      <c r="DB57" s="576"/>
      <c r="DC57" s="576"/>
      <c r="DD57" s="576"/>
      <c r="DE57" s="576"/>
      <c r="DF57" s="576"/>
      <c r="DG57" s="576"/>
      <c r="DH57" s="116"/>
      <c r="DI57" s="112"/>
      <c r="DJ57">
        <f ca="1">INDIRECT(ADDRESS(ROW()+1,COLUMN(Arbeitszeit!xDay),,,"Arbeitszeit"))</f>
        <v>7</v>
      </c>
    </row>
    <row r="58" spans="1:114">
      <c r="A58" s="462">
        <f>Arbeitszeit!A59</f>
        <v>44887</v>
      </c>
      <c r="B58" s="463">
        <f t="shared" si="1"/>
        <v>44887</v>
      </c>
      <c r="C58" s="146">
        <f t="shared" si="2"/>
        <v>48</v>
      </c>
      <c r="D58" s="145">
        <f t="shared" si="3"/>
        <v>44865</v>
      </c>
      <c r="E58" s="510">
        <f>Arbeitszeit!V59*24</f>
        <v>0</v>
      </c>
      <c r="F58" s="574">
        <f t="shared" si="0"/>
        <v>0</v>
      </c>
      <c r="G58" s="113">
        <f>IF(Arbeitszeit!F59=Urlaub,B_WorkTime*24,)</f>
        <v>0</v>
      </c>
      <c r="H58" s="111"/>
      <c r="I58" s="113">
        <f>IF(Arbeitszeit!F59=Krank,B_WorkTime*24,)</f>
        <v>0</v>
      </c>
      <c r="J58" s="111"/>
      <c r="K58" s="114"/>
      <c r="L58" s="115"/>
      <c r="M58" s="498"/>
      <c r="N58" s="499"/>
      <c r="O58" s="498"/>
      <c r="P58" s="499"/>
      <c r="Q58" s="498"/>
      <c r="R58" s="499"/>
      <c r="S58" s="498"/>
      <c r="T58" s="499"/>
      <c r="U58" s="498"/>
      <c r="V58" s="499"/>
      <c r="W58" s="498"/>
      <c r="X58" s="499"/>
      <c r="Y58" s="498"/>
      <c r="Z58" s="499"/>
      <c r="AA58" s="498"/>
      <c r="AB58" s="499"/>
      <c r="AC58" s="498"/>
      <c r="AD58" s="499"/>
      <c r="AE58" s="498"/>
      <c r="AF58" s="500"/>
      <c r="AG58" s="498"/>
      <c r="AH58" s="500"/>
      <c r="AI58" s="498"/>
      <c r="AJ58" s="500"/>
      <c r="AK58" s="498"/>
      <c r="AL58" s="500"/>
      <c r="AM58" s="501"/>
      <c r="AN58" s="500"/>
      <c r="AO58" s="498"/>
      <c r="AP58" s="500"/>
      <c r="AQ58" s="501"/>
      <c r="AR58" s="500"/>
      <c r="AS58" s="500"/>
      <c r="AT58" s="500"/>
      <c r="AU58" s="501"/>
      <c r="AV58" s="500"/>
      <c r="AW58" s="500"/>
      <c r="AX58" s="500"/>
      <c r="AY58" s="576"/>
      <c r="AZ58" s="576"/>
      <c r="BA58" s="576"/>
      <c r="BB58" s="576"/>
      <c r="BC58" s="576"/>
      <c r="BD58" s="576"/>
      <c r="BE58" s="576"/>
      <c r="BF58" s="576"/>
      <c r="BG58" s="576"/>
      <c r="BH58" s="576"/>
      <c r="BI58" s="576"/>
      <c r="BJ58" s="576"/>
      <c r="BK58" s="576"/>
      <c r="BL58" s="576"/>
      <c r="BM58" s="576"/>
      <c r="BN58" s="576"/>
      <c r="BO58" s="576"/>
      <c r="BP58" s="576"/>
      <c r="BQ58" s="576"/>
      <c r="BR58" s="576"/>
      <c r="BS58" s="576"/>
      <c r="BT58" s="576"/>
      <c r="BU58" s="576"/>
      <c r="BV58" s="576"/>
      <c r="BW58" s="576"/>
      <c r="BX58" s="576"/>
      <c r="BY58" s="576"/>
      <c r="BZ58" s="576"/>
      <c r="CA58" s="576"/>
      <c r="CB58" s="576"/>
      <c r="CC58" s="576"/>
      <c r="CD58" s="576"/>
      <c r="CE58" s="576"/>
      <c r="CF58" s="576"/>
      <c r="CG58" s="576"/>
      <c r="CH58" s="576"/>
      <c r="CI58" s="576"/>
      <c r="CJ58" s="576"/>
      <c r="CK58" s="576"/>
      <c r="CL58" s="576"/>
      <c r="CM58" s="576"/>
      <c r="CN58" s="576"/>
      <c r="CO58" s="576"/>
      <c r="CP58" s="576"/>
      <c r="CQ58" s="576"/>
      <c r="CR58" s="576"/>
      <c r="CS58" s="576"/>
      <c r="CT58" s="576"/>
      <c r="CU58" s="576"/>
      <c r="CV58" s="576"/>
      <c r="CW58" s="576"/>
      <c r="CX58" s="576"/>
      <c r="CY58" s="576"/>
      <c r="CZ58" s="576"/>
      <c r="DA58" s="576"/>
      <c r="DB58" s="576"/>
      <c r="DC58" s="576"/>
      <c r="DD58" s="576"/>
      <c r="DE58" s="576"/>
      <c r="DF58" s="576"/>
      <c r="DG58" s="576"/>
      <c r="DH58" s="116"/>
      <c r="DI58" s="112"/>
      <c r="DJ58">
        <f ca="1">INDIRECT(ADDRESS(ROW()+1,COLUMN(Arbeitszeit!xDay),,,"Arbeitszeit"))</f>
        <v>1</v>
      </c>
    </row>
    <row r="59" spans="1:114">
      <c r="A59" s="462">
        <f>Arbeitszeit!A60</f>
        <v>44888</v>
      </c>
      <c r="B59" s="463">
        <f t="shared" si="1"/>
        <v>44888</v>
      </c>
      <c r="C59" s="146">
        <f t="shared" si="2"/>
        <v>48</v>
      </c>
      <c r="D59" s="145">
        <f t="shared" si="3"/>
        <v>44865</v>
      </c>
      <c r="E59" s="510">
        <f>Arbeitszeit!V60*24</f>
        <v>0</v>
      </c>
      <c r="F59" s="574">
        <f t="shared" si="0"/>
        <v>0</v>
      </c>
      <c r="G59" s="113">
        <f>IF(Arbeitszeit!F60=Urlaub,B_WorkTime*24,)</f>
        <v>0</v>
      </c>
      <c r="H59" s="111"/>
      <c r="I59" s="113">
        <f>IF(Arbeitszeit!F60=Krank,B_WorkTime*24,)</f>
        <v>0</v>
      </c>
      <c r="J59" s="111"/>
      <c r="K59" s="114"/>
      <c r="L59" s="115"/>
      <c r="M59" s="498"/>
      <c r="N59" s="499"/>
      <c r="O59" s="498"/>
      <c r="P59" s="499"/>
      <c r="Q59" s="498"/>
      <c r="R59" s="499"/>
      <c r="S59" s="498"/>
      <c r="T59" s="499"/>
      <c r="U59" s="498"/>
      <c r="V59" s="499"/>
      <c r="W59" s="498"/>
      <c r="X59" s="499"/>
      <c r="Y59" s="498"/>
      <c r="Z59" s="499"/>
      <c r="AA59" s="498"/>
      <c r="AB59" s="499"/>
      <c r="AC59" s="498"/>
      <c r="AD59" s="499"/>
      <c r="AE59" s="498"/>
      <c r="AF59" s="500"/>
      <c r="AG59" s="498"/>
      <c r="AH59" s="500"/>
      <c r="AI59" s="498"/>
      <c r="AJ59" s="500"/>
      <c r="AK59" s="498"/>
      <c r="AL59" s="500"/>
      <c r="AM59" s="501"/>
      <c r="AN59" s="500"/>
      <c r="AO59" s="498"/>
      <c r="AP59" s="500"/>
      <c r="AQ59" s="501"/>
      <c r="AR59" s="500"/>
      <c r="AS59" s="500"/>
      <c r="AT59" s="500"/>
      <c r="AU59" s="501"/>
      <c r="AV59" s="500"/>
      <c r="AW59" s="500"/>
      <c r="AX59" s="500"/>
      <c r="AY59" s="576"/>
      <c r="AZ59" s="576"/>
      <c r="BA59" s="576"/>
      <c r="BB59" s="576"/>
      <c r="BC59" s="576"/>
      <c r="BD59" s="576"/>
      <c r="BE59" s="576"/>
      <c r="BF59" s="576"/>
      <c r="BG59" s="576"/>
      <c r="BH59" s="576"/>
      <c r="BI59" s="576"/>
      <c r="BJ59" s="576"/>
      <c r="BK59" s="576"/>
      <c r="BL59" s="576"/>
      <c r="BM59" s="576"/>
      <c r="BN59" s="576"/>
      <c r="BO59" s="576"/>
      <c r="BP59" s="576"/>
      <c r="BQ59" s="576"/>
      <c r="BR59" s="576"/>
      <c r="BS59" s="576"/>
      <c r="BT59" s="576"/>
      <c r="BU59" s="576"/>
      <c r="BV59" s="576"/>
      <c r="BW59" s="576"/>
      <c r="BX59" s="576"/>
      <c r="BY59" s="576"/>
      <c r="BZ59" s="576"/>
      <c r="CA59" s="576"/>
      <c r="CB59" s="576"/>
      <c r="CC59" s="576"/>
      <c r="CD59" s="576"/>
      <c r="CE59" s="576"/>
      <c r="CF59" s="576"/>
      <c r="CG59" s="576"/>
      <c r="CH59" s="576"/>
      <c r="CI59" s="576"/>
      <c r="CJ59" s="576"/>
      <c r="CK59" s="576"/>
      <c r="CL59" s="576"/>
      <c r="CM59" s="576"/>
      <c r="CN59" s="576"/>
      <c r="CO59" s="576"/>
      <c r="CP59" s="576"/>
      <c r="CQ59" s="576"/>
      <c r="CR59" s="576"/>
      <c r="CS59" s="576"/>
      <c r="CT59" s="576"/>
      <c r="CU59" s="576"/>
      <c r="CV59" s="576"/>
      <c r="CW59" s="576"/>
      <c r="CX59" s="576"/>
      <c r="CY59" s="576"/>
      <c r="CZ59" s="576"/>
      <c r="DA59" s="576"/>
      <c r="DB59" s="576"/>
      <c r="DC59" s="576"/>
      <c r="DD59" s="576"/>
      <c r="DE59" s="576"/>
      <c r="DF59" s="576"/>
      <c r="DG59" s="576"/>
      <c r="DH59" s="116"/>
      <c r="DI59" s="112"/>
      <c r="DJ59">
        <f ca="1">INDIRECT(ADDRESS(ROW()+1,COLUMN(Arbeitszeit!xDay),,,"Arbeitszeit"))</f>
        <v>2</v>
      </c>
    </row>
    <row r="60" spans="1:114">
      <c r="A60" s="462">
        <f>Arbeitszeit!A61</f>
        <v>44889</v>
      </c>
      <c r="B60" s="463">
        <f t="shared" si="1"/>
        <v>44889</v>
      </c>
      <c r="C60" s="146">
        <f t="shared" si="2"/>
        <v>48</v>
      </c>
      <c r="D60" s="145">
        <f t="shared" si="3"/>
        <v>44865</v>
      </c>
      <c r="E60" s="510">
        <f>Arbeitszeit!V61*24</f>
        <v>0</v>
      </c>
      <c r="F60" s="574">
        <f t="shared" si="0"/>
        <v>0</v>
      </c>
      <c r="G60" s="113">
        <f>IF(Arbeitszeit!F61=Urlaub,B_WorkTime*24,)</f>
        <v>0</v>
      </c>
      <c r="H60" s="111"/>
      <c r="I60" s="113">
        <f>IF(Arbeitszeit!F61=Krank,B_WorkTime*24,)</f>
        <v>0</v>
      </c>
      <c r="J60" s="111"/>
      <c r="K60" s="114"/>
      <c r="L60" s="115"/>
      <c r="M60" s="498"/>
      <c r="N60" s="499"/>
      <c r="O60" s="498"/>
      <c r="P60" s="499"/>
      <c r="Q60" s="498"/>
      <c r="R60" s="499"/>
      <c r="S60" s="498"/>
      <c r="T60" s="499"/>
      <c r="U60" s="498"/>
      <c r="V60" s="499"/>
      <c r="W60" s="498"/>
      <c r="X60" s="499"/>
      <c r="Y60" s="498"/>
      <c r="Z60" s="499"/>
      <c r="AA60" s="498"/>
      <c r="AB60" s="499"/>
      <c r="AC60" s="498"/>
      <c r="AD60" s="499"/>
      <c r="AE60" s="498"/>
      <c r="AF60" s="500"/>
      <c r="AG60" s="498"/>
      <c r="AH60" s="500"/>
      <c r="AI60" s="498"/>
      <c r="AJ60" s="500"/>
      <c r="AK60" s="498"/>
      <c r="AL60" s="500"/>
      <c r="AM60" s="501"/>
      <c r="AN60" s="500"/>
      <c r="AO60" s="498"/>
      <c r="AP60" s="500"/>
      <c r="AQ60" s="501"/>
      <c r="AR60" s="500"/>
      <c r="AS60" s="500"/>
      <c r="AT60" s="500"/>
      <c r="AU60" s="501"/>
      <c r="AV60" s="500"/>
      <c r="AW60" s="500"/>
      <c r="AX60" s="500"/>
      <c r="AY60" s="576"/>
      <c r="AZ60" s="576"/>
      <c r="BA60" s="576"/>
      <c r="BB60" s="576"/>
      <c r="BC60" s="576"/>
      <c r="BD60" s="576"/>
      <c r="BE60" s="576"/>
      <c r="BF60" s="576"/>
      <c r="BG60" s="576"/>
      <c r="BH60" s="576"/>
      <c r="BI60" s="576"/>
      <c r="BJ60" s="576"/>
      <c r="BK60" s="576"/>
      <c r="BL60" s="576"/>
      <c r="BM60" s="576"/>
      <c r="BN60" s="576"/>
      <c r="BO60" s="576"/>
      <c r="BP60" s="576"/>
      <c r="BQ60" s="576"/>
      <c r="BR60" s="576"/>
      <c r="BS60" s="576"/>
      <c r="BT60" s="576"/>
      <c r="BU60" s="576"/>
      <c r="BV60" s="576"/>
      <c r="BW60" s="576"/>
      <c r="BX60" s="576"/>
      <c r="BY60" s="576"/>
      <c r="BZ60" s="576"/>
      <c r="CA60" s="576"/>
      <c r="CB60" s="576"/>
      <c r="CC60" s="576"/>
      <c r="CD60" s="576"/>
      <c r="CE60" s="576"/>
      <c r="CF60" s="576"/>
      <c r="CG60" s="576"/>
      <c r="CH60" s="576"/>
      <c r="CI60" s="576"/>
      <c r="CJ60" s="576"/>
      <c r="CK60" s="576"/>
      <c r="CL60" s="576"/>
      <c r="CM60" s="576"/>
      <c r="CN60" s="576"/>
      <c r="CO60" s="576"/>
      <c r="CP60" s="576"/>
      <c r="CQ60" s="576"/>
      <c r="CR60" s="576"/>
      <c r="CS60" s="576"/>
      <c r="CT60" s="576"/>
      <c r="CU60" s="576"/>
      <c r="CV60" s="576"/>
      <c r="CW60" s="576"/>
      <c r="CX60" s="576"/>
      <c r="CY60" s="576"/>
      <c r="CZ60" s="576"/>
      <c r="DA60" s="576"/>
      <c r="DB60" s="576"/>
      <c r="DC60" s="576"/>
      <c r="DD60" s="576"/>
      <c r="DE60" s="576"/>
      <c r="DF60" s="576"/>
      <c r="DG60" s="576"/>
      <c r="DH60" s="116"/>
      <c r="DI60" s="112"/>
      <c r="DJ60">
        <f ca="1">INDIRECT(ADDRESS(ROW()+1,COLUMN(Arbeitszeit!xDay),,,"Arbeitszeit"))</f>
        <v>3</v>
      </c>
    </row>
    <row r="61" spans="1:114">
      <c r="A61" s="462">
        <f>Arbeitszeit!A62</f>
        <v>44890</v>
      </c>
      <c r="B61" s="463">
        <f t="shared" si="1"/>
        <v>44890</v>
      </c>
      <c r="C61" s="146">
        <f t="shared" si="2"/>
        <v>48</v>
      </c>
      <c r="D61" s="145">
        <f t="shared" si="3"/>
        <v>44865</v>
      </c>
      <c r="E61" s="510">
        <f>Arbeitszeit!V62*24</f>
        <v>0</v>
      </c>
      <c r="F61" s="574">
        <f t="shared" si="0"/>
        <v>0</v>
      </c>
      <c r="G61" s="113">
        <f>IF(Arbeitszeit!F62=Urlaub,B_WorkTime*24,)</f>
        <v>0</v>
      </c>
      <c r="H61" s="111"/>
      <c r="I61" s="113">
        <f>IF(Arbeitszeit!F62=Krank,B_WorkTime*24,)</f>
        <v>0</v>
      </c>
      <c r="J61" s="111"/>
      <c r="K61" s="114"/>
      <c r="L61" s="115"/>
      <c r="M61" s="498"/>
      <c r="N61" s="499"/>
      <c r="O61" s="498"/>
      <c r="P61" s="499"/>
      <c r="Q61" s="498"/>
      <c r="R61" s="499"/>
      <c r="S61" s="498"/>
      <c r="T61" s="499"/>
      <c r="U61" s="498"/>
      <c r="V61" s="499"/>
      <c r="W61" s="498"/>
      <c r="X61" s="499"/>
      <c r="Y61" s="498"/>
      <c r="Z61" s="499"/>
      <c r="AA61" s="498"/>
      <c r="AB61" s="499"/>
      <c r="AC61" s="498"/>
      <c r="AD61" s="499"/>
      <c r="AE61" s="498"/>
      <c r="AF61" s="500"/>
      <c r="AG61" s="498"/>
      <c r="AH61" s="500"/>
      <c r="AI61" s="498"/>
      <c r="AJ61" s="500"/>
      <c r="AK61" s="498"/>
      <c r="AL61" s="500"/>
      <c r="AM61" s="501"/>
      <c r="AN61" s="500"/>
      <c r="AO61" s="498"/>
      <c r="AP61" s="500"/>
      <c r="AQ61" s="501"/>
      <c r="AR61" s="500"/>
      <c r="AS61" s="500"/>
      <c r="AT61" s="500"/>
      <c r="AU61" s="501"/>
      <c r="AV61" s="500"/>
      <c r="AW61" s="500"/>
      <c r="AX61" s="500"/>
      <c r="AY61" s="576"/>
      <c r="AZ61" s="576"/>
      <c r="BA61" s="576"/>
      <c r="BB61" s="576"/>
      <c r="BC61" s="576"/>
      <c r="BD61" s="576"/>
      <c r="BE61" s="576"/>
      <c r="BF61" s="576"/>
      <c r="BG61" s="576"/>
      <c r="BH61" s="576"/>
      <c r="BI61" s="576"/>
      <c r="BJ61" s="576"/>
      <c r="BK61" s="576"/>
      <c r="BL61" s="576"/>
      <c r="BM61" s="576"/>
      <c r="BN61" s="576"/>
      <c r="BO61" s="576"/>
      <c r="BP61" s="576"/>
      <c r="BQ61" s="576"/>
      <c r="BR61" s="576"/>
      <c r="BS61" s="576"/>
      <c r="BT61" s="576"/>
      <c r="BU61" s="576"/>
      <c r="BV61" s="576"/>
      <c r="BW61" s="576"/>
      <c r="BX61" s="576"/>
      <c r="BY61" s="576"/>
      <c r="BZ61" s="576"/>
      <c r="CA61" s="576"/>
      <c r="CB61" s="576"/>
      <c r="CC61" s="576"/>
      <c r="CD61" s="576"/>
      <c r="CE61" s="576"/>
      <c r="CF61" s="576"/>
      <c r="CG61" s="576"/>
      <c r="CH61" s="576"/>
      <c r="CI61" s="576"/>
      <c r="CJ61" s="576"/>
      <c r="CK61" s="576"/>
      <c r="CL61" s="576"/>
      <c r="CM61" s="576"/>
      <c r="CN61" s="576"/>
      <c r="CO61" s="576"/>
      <c r="CP61" s="576"/>
      <c r="CQ61" s="576"/>
      <c r="CR61" s="576"/>
      <c r="CS61" s="576"/>
      <c r="CT61" s="576"/>
      <c r="CU61" s="576"/>
      <c r="CV61" s="576"/>
      <c r="CW61" s="576"/>
      <c r="CX61" s="576"/>
      <c r="CY61" s="576"/>
      <c r="CZ61" s="576"/>
      <c r="DA61" s="576"/>
      <c r="DB61" s="576"/>
      <c r="DC61" s="576"/>
      <c r="DD61" s="576"/>
      <c r="DE61" s="576"/>
      <c r="DF61" s="576"/>
      <c r="DG61" s="576"/>
      <c r="DH61" s="116"/>
      <c r="DI61" s="112"/>
      <c r="DJ61">
        <f ca="1">INDIRECT(ADDRESS(ROW()+1,COLUMN(Arbeitszeit!xDay),,,"Arbeitszeit"))</f>
        <v>4</v>
      </c>
    </row>
    <row r="62" spans="1:114">
      <c r="A62" s="462">
        <f>Arbeitszeit!A63</f>
        <v>44891</v>
      </c>
      <c r="B62" s="463">
        <f t="shared" si="1"/>
        <v>44891</v>
      </c>
      <c r="C62" s="146">
        <f t="shared" si="2"/>
        <v>48</v>
      </c>
      <c r="D62" s="145">
        <f t="shared" si="3"/>
        <v>44865</v>
      </c>
      <c r="E62" s="510">
        <f>Arbeitszeit!V63*24</f>
        <v>0</v>
      </c>
      <c r="F62" s="574">
        <f t="shared" si="0"/>
        <v>0</v>
      </c>
      <c r="G62" s="113">
        <f>IF(Arbeitszeit!F63=Urlaub,B_WorkTime*24,)</f>
        <v>0</v>
      </c>
      <c r="H62" s="111"/>
      <c r="I62" s="113">
        <f>IF(Arbeitszeit!F63=Krank,B_WorkTime*24,)</f>
        <v>0</v>
      </c>
      <c r="J62" s="111"/>
      <c r="K62" s="114"/>
      <c r="L62" s="115"/>
      <c r="M62" s="498"/>
      <c r="N62" s="499"/>
      <c r="O62" s="498"/>
      <c r="P62" s="499"/>
      <c r="Q62" s="498"/>
      <c r="R62" s="499"/>
      <c r="S62" s="498"/>
      <c r="T62" s="499"/>
      <c r="U62" s="498"/>
      <c r="V62" s="499"/>
      <c r="W62" s="498"/>
      <c r="X62" s="499"/>
      <c r="Y62" s="498"/>
      <c r="Z62" s="499"/>
      <c r="AA62" s="498"/>
      <c r="AB62" s="499"/>
      <c r="AC62" s="498"/>
      <c r="AD62" s="499"/>
      <c r="AE62" s="498"/>
      <c r="AF62" s="500"/>
      <c r="AG62" s="498"/>
      <c r="AH62" s="500"/>
      <c r="AI62" s="498"/>
      <c r="AJ62" s="500"/>
      <c r="AK62" s="498"/>
      <c r="AL62" s="500"/>
      <c r="AM62" s="501"/>
      <c r="AN62" s="500"/>
      <c r="AO62" s="498"/>
      <c r="AP62" s="500"/>
      <c r="AQ62" s="501"/>
      <c r="AR62" s="500"/>
      <c r="AS62" s="500"/>
      <c r="AT62" s="500"/>
      <c r="AU62" s="501"/>
      <c r="AV62" s="500"/>
      <c r="AW62" s="500"/>
      <c r="AX62" s="500"/>
      <c r="AY62" s="576"/>
      <c r="AZ62" s="576"/>
      <c r="BA62" s="576"/>
      <c r="BB62" s="576"/>
      <c r="BC62" s="576"/>
      <c r="BD62" s="576"/>
      <c r="BE62" s="576"/>
      <c r="BF62" s="576"/>
      <c r="BG62" s="576"/>
      <c r="BH62" s="576"/>
      <c r="BI62" s="576"/>
      <c r="BJ62" s="576"/>
      <c r="BK62" s="576"/>
      <c r="BL62" s="576"/>
      <c r="BM62" s="576"/>
      <c r="BN62" s="576"/>
      <c r="BO62" s="576"/>
      <c r="BP62" s="576"/>
      <c r="BQ62" s="576"/>
      <c r="BR62" s="576"/>
      <c r="BS62" s="576"/>
      <c r="BT62" s="576"/>
      <c r="BU62" s="576"/>
      <c r="BV62" s="576"/>
      <c r="BW62" s="576"/>
      <c r="BX62" s="576"/>
      <c r="BY62" s="576"/>
      <c r="BZ62" s="576"/>
      <c r="CA62" s="576"/>
      <c r="CB62" s="576"/>
      <c r="CC62" s="576"/>
      <c r="CD62" s="576"/>
      <c r="CE62" s="576"/>
      <c r="CF62" s="576"/>
      <c r="CG62" s="576"/>
      <c r="CH62" s="576"/>
      <c r="CI62" s="576"/>
      <c r="CJ62" s="576"/>
      <c r="CK62" s="576"/>
      <c r="CL62" s="576"/>
      <c r="CM62" s="576"/>
      <c r="CN62" s="576"/>
      <c r="CO62" s="576"/>
      <c r="CP62" s="576"/>
      <c r="CQ62" s="576"/>
      <c r="CR62" s="576"/>
      <c r="CS62" s="576"/>
      <c r="CT62" s="576"/>
      <c r="CU62" s="576"/>
      <c r="CV62" s="576"/>
      <c r="CW62" s="576"/>
      <c r="CX62" s="576"/>
      <c r="CY62" s="576"/>
      <c r="CZ62" s="576"/>
      <c r="DA62" s="576"/>
      <c r="DB62" s="576"/>
      <c r="DC62" s="576"/>
      <c r="DD62" s="576"/>
      <c r="DE62" s="576"/>
      <c r="DF62" s="576"/>
      <c r="DG62" s="576"/>
      <c r="DH62" s="116"/>
      <c r="DI62" s="112"/>
      <c r="DJ62">
        <f ca="1">INDIRECT(ADDRESS(ROW()+1,COLUMN(Arbeitszeit!xDay),,,"Arbeitszeit"))</f>
        <v>5</v>
      </c>
    </row>
    <row r="63" spans="1:114">
      <c r="A63" s="462">
        <f>Arbeitszeit!A64</f>
        <v>44892</v>
      </c>
      <c r="B63" s="463">
        <f t="shared" si="1"/>
        <v>44892</v>
      </c>
      <c r="C63" s="146">
        <f t="shared" si="2"/>
        <v>48</v>
      </c>
      <c r="D63" s="145">
        <f t="shared" si="3"/>
        <v>44865</v>
      </c>
      <c r="E63" s="510">
        <f>Arbeitszeit!V64*24</f>
        <v>0</v>
      </c>
      <c r="F63" s="574">
        <f t="shared" si="0"/>
        <v>0</v>
      </c>
      <c r="G63" s="113">
        <f>IF(Arbeitszeit!F64=Urlaub,B_WorkTime*24,)</f>
        <v>0</v>
      </c>
      <c r="H63" s="111"/>
      <c r="I63" s="113">
        <f>IF(Arbeitszeit!F64=Krank,B_WorkTime*24,)</f>
        <v>0</v>
      </c>
      <c r="J63" s="111"/>
      <c r="K63" s="114"/>
      <c r="L63" s="115"/>
      <c r="M63" s="498"/>
      <c r="N63" s="499"/>
      <c r="O63" s="498"/>
      <c r="P63" s="499"/>
      <c r="Q63" s="498"/>
      <c r="R63" s="499"/>
      <c r="S63" s="498"/>
      <c r="T63" s="499"/>
      <c r="U63" s="498"/>
      <c r="V63" s="499"/>
      <c r="W63" s="498"/>
      <c r="X63" s="499"/>
      <c r="Y63" s="498"/>
      <c r="Z63" s="499"/>
      <c r="AA63" s="498"/>
      <c r="AB63" s="499"/>
      <c r="AC63" s="498"/>
      <c r="AD63" s="499"/>
      <c r="AE63" s="498"/>
      <c r="AF63" s="500"/>
      <c r="AG63" s="498"/>
      <c r="AH63" s="500"/>
      <c r="AI63" s="498"/>
      <c r="AJ63" s="500"/>
      <c r="AK63" s="498"/>
      <c r="AL63" s="500"/>
      <c r="AM63" s="501"/>
      <c r="AN63" s="500"/>
      <c r="AO63" s="498"/>
      <c r="AP63" s="500"/>
      <c r="AQ63" s="501"/>
      <c r="AR63" s="500"/>
      <c r="AS63" s="500"/>
      <c r="AT63" s="500"/>
      <c r="AU63" s="501"/>
      <c r="AV63" s="500"/>
      <c r="AW63" s="500"/>
      <c r="AX63" s="500"/>
      <c r="AY63" s="576"/>
      <c r="AZ63" s="576"/>
      <c r="BA63" s="576"/>
      <c r="BB63" s="576"/>
      <c r="BC63" s="576"/>
      <c r="BD63" s="576"/>
      <c r="BE63" s="576"/>
      <c r="BF63" s="576"/>
      <c r="BG63" s="576"/>
      <c r="BH63" s="576"/>
      <c r="BI63" s="576"/>
      <c r="BJ63" s="576"/>
      <c r="BK63" s="576"/>
      <c r="BL63" s="576"/>
      <c r="BM63" s="576"/>
      <c r="BN63" s="576"/>
      <c r="BO63" s="576"/>
      <c r="BP63" s="576"/>
      <c r="BQ63" s="576"/>
      <c r="BR63" s="576"/>
      <c r="BS63" s="576"/>
      <c r="BT63" s="576"/>
      <c r="BU63" s="576"/>
      <c r="BV63" s="576"/>
      <c r="BW63" s="576"/>
      <c r="BX63" s="576"/>
      <c r="BY63" s="576"/>
      <c r="BZ63" s="576"/>
      <c r="CA63" s="576"/>
      <c r="CB63" s="576"/>
      <c r="CC63" s="576"/>
      <c r="CD63" s="576"/>
      <c r="CE63" s="576"/>
      <c r="CF63" s="576"/>
      <c r="CG63" s="576"/>
      <c r="CH63" s="576"/>
      <c r="CI63" s="576"/>
      <c r="CJ63" s="576"/>
      <c r="CK63" s="576"/>
      <c r="CL63" s="576"/>
      <c r="CM63" s="576"/>
      <c r="CN63" s="576"/>
      <c r="CO63" s="576"/>
      <c r="CP63" s="576"/>
      <c r="CQ63" s="576"/>
      <c r="CR63" s="576"/>
      <c r="CS63" s="576"/>
      <c r="CT63" s="576"/>
      <c r="CU63" s="576"/>
      <c r="CV63" s="576"/>
      <c r="CW63" s="576"/>
      <c r="CX63" s="576"/>
      <c r="CY63" s="576"/>
      <c r="CZ63" s="576"/>
      <c r="DA63" s="576"/>
      <c r="DB63" s="576"/>
      <c r="DC63" s="576"/>
      <c r="DD63" s="576"/>
      <c r="DE63" s="576"/>
      <c r="DF63" s="576"/>
      <c r="DG63" s="576"/>
      <c r="DH63" s="116"/>
      <c r="DI63" s="112"/>
      <c r="DJ63">
        <f ca="1">INDIRECT(ADDRESS(ROW()+1,COLUMN(Arbeitszeit!xDay),,,"Arbeitszeit"))</f>
        <v>6</v>
      </c>
    </row>
    <row r="64" spans="1:114">
      <c r="A64" s="462">
        <f>Arbeitszeit!A65</f>
        <v>44893</v>
      </c>
      <c r="B64" s="463">
        <f t="shared" si="1"/>
        <v>44893</v>
      </c>
      <c r="C64" s="146">
        <f t="shared" si="2"/>
        <v>48</v>
      </c>
      <c r="D64" s="145">
        <f t="shared" si="3"/>
        <v>44865</v>
      </c>
      <c r="E64" s="510">
        <f>Arbeitszeit!V65*24</f>
        <v>0</v>
      </c>
      <c r="F64" s="574">
        <f t="shared" si="0"/>
        <v>0</v>
      </c>
      <c r="G64" s="113">
        <f>IF(Arbeitszeit!F65=Urlaub,B_WorkTime*24,)</f>
        <v>0</v>
      </c>
      <c r="H64" s="111"/>
      <c r="I64" s="113">
        <f>IF(Arbeitszeit!F65=Krank,B_WorkTime*24,)</f>
        <v>0</v>
      </c>
      <c r="J64" s="111"/>
      <c r="K64" s="114"/>
      <c r="L64" s="115"/>
      <c r="M64" s="498"/>
      <c r="N64" s="499"/>
      <c r="O64" s="498"/>
      <c r="P64" s="499"/>
      <c r="Q64" s="498"/>
      <c r="R64" s="499"/>
      <c r="S64" s="498"/>
      <c r="T64" s="499"/>
      <c r="U64" s="498"/>
      <c r="V64" s="499"/>
      <c r="W64" s="498"/>
      <c r="X64" s="499"/>
      <c r="Y64" s="498"/>
      <c r="Z64" s="499"/>
      <c r="AA64" s="498"/>
      <c r="AB64" s="499"/>
      <c r="AC64" s="498"/>
      <c r="AD64" s="499"/>
      <c r="AE64" s="498"/>
      <c r="AF64" s="500"/>
      <c r="AG64" s="498"/>
      <c r="AH64" s="500"/>
      <c r="AI64" s="498"/>
      <c r="AJ64" s="500"/>
      <c r="AK64" s="498"/>
      <c r="AL64" s="500"/>
      <c r="AM64" s="501"/>
      <c r="AN64" s="500"/>
      <c r="AO64" s="498"/>
      <c r="AP64" s="500"/>
      <c r="AQ64" s="501"/>
      <c r="AR64" s="500"/>
      <c r="AS64" s="500"/>
      <c r="AT64" s="500"/>
      <c r="AU64" s="501"/>
      <c r="AV64" s="500"/>
      <c r="AW64" s="500"/>
      <c r="AX64" s="500"/>
      <c r="AY64" s="576"/>
      <c r="AZ64" s="576"/>
      <c r="BA64" s="576"/>
      <c r="BB64" s="576"/>
      <c r="BC64" s="576"/>
      <c r="BD64" s="576"/>
      <c r="BE64" s="576"/>
      <c r="BF64" s="576"/>
      <c r="BG64" s="576"/>
      <c r="BH64" s="576"/>
      <c r="BI64" s="576"/>
      <c r="BJ64" s="576"/>
      <c r="BK64" s="576"/>
      <c r="BL64" s="576"/>
      <c r="BM64" s="576"/>
      <c r="BN64" s="576"/>
      <c r="BO64" s="576"/>
      <c r="BP64" s="576"/>
      <c r="BQ64" s="576"/>
      <c r="BR64" s="576"/>
      <c r="BS64" s="576"/>
      <c r="BT64" s="576"/>
      <c r="BU64" s="576"/>
      <c r="BV64" s="576"/>
      <c r="BW64" s="576"/>
      <c r="BX64" s="576"/>
      <c r="BY64" s="576"/>
      <c r="BZ64" s="576"/>
      <c r="CA64" s="576"/>
      <c r="CB64" s="576"/>
      <c r="CC64" s="576"/>
      <c r="CD64" s="576"/>
      <c r="CE64" s="576"/>
      <c r="CF64" s="576"/>
      <c r="CG64" s="576"/>
      <c r="CH64" s="576"/>
      <c r="CI64" s="576"/>
      <c r="CJ64" s="576"/>
      <c r="CK64" s="576"/>
      <c r="CL64" s="576"/>
      <c r="CM64" s="576"/>
      <c r="CN64" s="576"/>
      <c r="CO64" s="576"/>
      <c r="CP64" s="576"/>
      <c r="CQ64" s="576"/>
      <c r="CR64" s="576"/>
      <c r="CS64" s="576"/>
      <c r="CT64" s="576"/>
      <c r="CU64" s="576"/>
      <c r="CV64" s="576"/>
      <c r="CW64" s="576"/>
      <c r="CX64" s="576"/>
      <c r="CY64" s="576"/>
      <c r="CZ64" s="576"/>
      <c r="DA64" s="576"/>
      <c r="DB64" s="576"/>
      <c r="DC64" s="576"/>
      <c r="DD64" s="576"/>
      <c r="DE64" s="576"/>
      <c r="DF64" s="576"/>
      <c r="DG64" s="576"/>
      <c r="DH64" s="116"/>
      <c r="DI64" s="112"/>
      <c r="DJ64">
        <f ca="1">INDIRECT(ADDRESS(ROW()+1,COLUMN(Arbeitszeit!xDay),,,"Arbeitszeit"))</f>
        <v>7</v>
      </c>
    </row>
    <row r="65" spans="1:114">
      <c r="A65" s="462">
        <f>Arbeitszeit!A66</f>
        <v>44894</v>
      </c>
      <c r="B65" s="463">
        <f t="shared" si="1"/>
        <v>44894</v>
      </c>
      <c r="C65" s="146">
        <f t="shared" si="2"/>
        <v>49</v>
      </c>
      <c r="D65" s="145">
        <f t="shared" si="3"/>
        <v>44865</v>
      </c>
      <c r="E65" s="510">
        <f>Arbeitszeit!V66*24</f>
        <v>0</v>
      </c>
      <c r="F65" s="574">
        <f t="shared" si="0"/>
        <v>0</v>
      </c>
      <c r="G65" s="113">
        <f>IF(Arbeitszeit!F66=Urlaub,B_WorkTime*24,)</f>
        <v>0</v>
      </c>
      <c r="H65" s="111"/>
      <c r="I65" s="113">
        <f>IF(Arbeitszeit!F66=Krank,B_WorkTime*24,)</f>
        <v>0</v>
      </c>
      <c r="J65" s="111"/>
      <c r="K65" s="114"/>
      <c r="L65" s="115"/>
      <c r="M65" s="498"/>
      <c r="N65" s="499"/>
      <c r="O65" s="498"/>
      <c r="P65" s="499"/>
      <c r="Q65" s="498"/>
      <c r="R65" s="499"/>
      <c r="S65" s="498"/>
      <c r="T65" s="499"/>
      <c r="U65" s="498"/>
      <c r="V65" s="499"/>
      <c r="W65" s="498"/>
      <c r="X65" s="499"/>
      <c r="Y65" s="498"/>
      <c r="Z65" s="499"/>
      <c r="AA65" s="498"/>
      <c r="AB65" s="499"/>
      <c r="AC65" s="498"/>
      <c r="AD65" s="499"/>
      <c r="AE65" s="498"/>
      <c r="AF65" s="500"/>
      <c r="AG65" s="498"/>
      <c r="AH65" s="500"/>
      <c r="AI65" s="498"/>
      <c r="AJ65" s="500"/>
      <c r="AK65" s="498"/>
      <c r="AL65" s="500"/>
      <c r="AM65" s="501"/>
      <c r="AN65" s="500"/>
      <c r="AO65" s="498"/>
      <c r="AP65" s="500"/>
      <c r="AQ65" s="501"/>
      <c r="AR65" s="500"/>
      <c r="AS65" s="500"/>
      <c r="AT65" s="500"/>
      <c r="AU65" s="501"/>
      <c r="AV65" s="500"/>
      <c r="AW65" s="500"/>
      <c r="AX65" s="500"/>
      <c r="AY65" s="576"/>
      <c r="AZ65" s="576"/>
      <c r="BA65" s="576"/>
      <c r="BB65" s="576"/>
      <c r="BC65" s="576"/>
      <c r="BD65" s="576"/>
      <c r="BE65" s="576"/>
      <c r="BF65" s="576"/>
      <c r="BG65" s="576"/>
      <c r="BH65" s="576"/>
      <c r="BI65" s="576"/>
      <c r="BJ65" s="576"/>
      <c r="BK65" s="576"/>
      <c r="BL65" s="576"/>
      <c r="BM65" s="576"/>
      <c r="BN65" s="576"/>
      <c r="BO65" s="576"/>
      <c r="BP65" s="576"/>
      <c r="BQ65" s="576"/>
      <c r="BR65" s="576"/>
      <c r="BS65" s="576"/>
      <c r="BT65" s="576"/>
      <c r="BU65" s="576"/>
      <c r="BV65" s="576"/>
      <c r="BW65" s="576"/>
      <c r="BX65" s="576"/>
      <c r="BY65" s="576"/>
      <c r="BZ65" s="576"/>
      <c r="CA65" s="576"/>
      <c r="CB65" s="576"/>
      <c r="CC65" s="576"/>
      <c r="CD65" s="576"/>
      <c r="CE65" s="576"/>
      <c r="CF65" s="576"/>
      <c r="CG65" s="576"/>
      <c r="CH65" s="576"/>
      <c r="CI65" s="576"/>
      <c r="CJ65" s="576"/>
      <c r="CK65" s="576"/>
      <c r="CL65" s="576"/>
      <c r="CM65" s="576"/>
      <c r="CN65" s="576"/>
      <c r="CO65" s="576"/>
      <c r="CP65" s="576"/>
      <c r="CQ65" s="576"/>
      <c r="CR65" s="576"/>
      <c r="CS65" s="576"/>
      <c r="CT65" s="576"/>
      <c r="CU65" s="576"/>
      <c r="CV65" s="576"/>
      <c r="CW65" s="576"/>
      <c r="CX65" s="576"/>
      <c r="CY65" s="576"/>
      <c r="CZ65" s="576"/>
      <c r="DA65" s="576"/>
      <c r="DB65" s="576"/>
      <c r="DC65" s="576"/>
      <c r="DD65" s="576"/>
      <c r="DE65" s="576"/>
      <c r="DF65" s="576"/>
      <c r="DG65" s="576"/>
      <c r="DH65" s="116"/>
      <c r="DI65" s="112"/>
      <c r="DJ65">
        <f ca="1">INDIRECT(ADDRESS(ROW()+1,COLUMN(Arbeitszeit!xDay),,,"Arbeitszeit"))</f>
        <v>1</v>
      </c>
    </row>
    <row r="66" spans="1:114">
      <c r="A66" s="462">
        <f>Arbeitszeit!A67</f>
        <v>44895</v>
      </c>
      <c r="B66" s="463">
        <f t="shared" si="1"/>
        <v>44895</v>
      </c>
      <c r="C66" s="146">
        <f t="shared" si="2"/>
        <v>49</v>
      </c>
      <c r="D66" s="145">
        <f t="shared" si="3"/>
        <v>44895</v>
      </c>
      <c r="E66" s="510">
        <f>Arbeitszeit!V67*24</f>
        <v>0</v>
      </c>
      <c r="F66" s="574">
        <f t="shared" si="0"/>
        <v>0</v>
      </c>
      <c r="G66" s="113">
        <f>IF(Arbeitszeit!F67=Urlaub,B_WorkTime*24,)</f>
        <v>0</v>
      </c>
      <c r="H66" s="111"/>
      <c r="I66" s="113">
        <f>IF(Arbeitszeit!F67=Krank,B_WorkTime*24,)</f>
        <v>0</v>
      </c>
      <c r="J66" s="111"/>
      <c r="K66" s="114"/>
      <c r="L66" s="115"/>
      <c r="M66" s="498"/>
      <c r="N66" s="499"/>
      <c r="O66" s="498"/>
      <c r="P66" s="499"/>
      <c r="Q66" s="498"/>
      <c r="R66" s="499"/>
      <c r="S66" s="498"/>
      <c r="T66" s="499"/>
      <c r="U66" s="498"/>
      <c r="V66" s="499"/>
      <c r="W66" s="498"/>
      <c r="X66" s="499"/>
      <c r="Y66" s="498"/>
      <c r="Z66" s="499"/>
      <c r="AA66" s="498"/>
      <c r="AB66" s="499"/>
      <c r="AC66" s="498"/>
      <c r="AD66" s="499"/>
      <c r="AE66" s="498"/>
      <c r="AF66" s="500"/>
      <c r="AG66" s="498"/>
      <c r="AH66" s="500"/>
      <c r="AI66" s="498"/>
      <c r="AJ66" s="500"/>
      <c r="AK66" s="498"/>
      <c r="AL66" s="500"/>
      <c r="AM66" s="501"/>
      <c r="AN66" s="500"/>
      <c r="AO66" s="498"/>
      <c r="AP66" s="500"/>
      <c r="AQ66" s="501"/>
      <c r="AR66" s="500"/>
      <c r="AS66" s="500"/>
      <c r="AT66" s="500"/>
      <c r="AU66" s="501"/>
      <c r="AV66" s="500"/>
      <c r="AW66" s="500"/>
      <c r="AX66" s="500"/>
      <c r="AY66" s="576"/>
      <c r="AZ66" s="576"/>
      <c r="BA66" s="576"/>
      <c r="BB66" s="576"/>
      <c r="BC66" s="576"/>
      <c r="BD66" s="576"/>
      <c r="BE66" s="576"/>
      <c r="BF66" s="576"/>
      <c r="BG66" s="576"/>
      <c r="BH66" s="576"/>
      <c r="BI66" s="576"/>
      <c r="BJ66" s="576"/>
      <c r="BK66" s="576"/>
      <c r="BL66" s="576"/>
      <c r="BM66" s="576"/>
      <c r="BN66" s="576"/>
      <c r="BO66" s="576"/>
      <c r="BP66" s="576"/>
      <c r="BQ66" s="576"/>
      <c r="BR66" s="576"/>
      <c r="BS66" s="576"/>
      <c r="BT66" s="576"/>
      <c r="BU66" s="576"/>
      <c r="BV66" s="576"/>
      <c r="BW66" s="576"/>
      <c r="BX66" s="576"/>
      <c r="BY66" s="576"/>
      <c r="BZ66" s="576"/>
      <c r="CA66" s="576"/>
      <c r="CB66" s="576"/>
      <c r="CC66" s="576"/>
      <c r="CD66" s="576"/>
      <c r="CE66" s="576"/>
      <c r="CF66" s="576"/>
      <c r="CG66" s="576"/>
      <c r="CH66" s="576"/>
      <c r="CI66" s="576"/>
      <c r="CJ66" s="576"/>
      <c r="CK66" s="576"/>
      <c r="CL66" s="576"/>
      <c r="CM66" s="576"/>
      <c r="CN66" s="576"/>
      <c r="CO66" s="576"/>
      <c r="CP66" s="576"/>
      <c r="CQ66" s="576"/>
      <c r="CR66" s="576"/>
      <c r="CS66" s="576"/>
      <c r="CT66" s="576"/>
      <c r="CU66" s="576"/>
      <c r="CV66" s="576"/>
      <c r="CW66" s="576"/>
      <c r="CX66" s="576"/>
      <c r="CY66" s="576"/>
      <c r="CZ66" s="576"/>
      <c r="DA66" s="576"/>
      <c r="DB66" s="576"/>
      <c r="DC66" s="576"/>
      <c r="DD66" s="576"/>
      <c r="DE66" s="576"/>
      <c r="DF66" s="576"/>
      <c r="DG66" s="576"/>
      <c r="DH66" s="116"/>
      <c r="DI66" s="112"/>
      <c r="DJ66">
        <f ca="1">INDIRECT(ADDRESS(ROW()+1,COLUMN(Arbeitszeit!xDay),,,"Arbeitszeit"))</f>
        <v>2</v>
      </c>
    </row>
    <row r="67" spans="1:114">
      <c r="A67" s="462">
        <f>Arbeitszeit!A68</f>
        <v>44896</v>
      </c>
      <c r="B67" s="463">
        <f t="shared" si="1"/>
        <v>44896</v>
      </c>
      <c r="C67" s="146">
        <f t="shared" si="2"/>
        <v>49</v>
      </c>
      <c r="D67" s="145">
        <f t="shared" si="3"/>
        <v>44895</v>
      </c>
      <c r="E67" s="510">
        <f>Arbeitszeit!V68*24</f>
        <v>0</v>
      </c>
      <c r="F67" s="574">
        <f t="shared" si="0"/>
        <v>0</v>
      </c>
      <c r="G67" s="113">
        <f>IF(Arbeitszeit!F68=Urlaub,B_WorkTime*24,)</f>
        <v>0</v>
      </c>
      <c r="H67" s="111"/>
      <c r="I67" s="113">
        <f>IF(Arbeitszeit!F68=Krank,B_WorkTime*24,)</f>
        <v>0</v>
      </c>
      <c r="J67" s="111"/>
      <c r="K67" s="114"/>
      <c r="L67" s="115"/>
      <c r="M67" s="498"/>
      <c r="N67" s="499"/>
      <c r="O67" s="498"/>
      <c r="P67" s="499"/>
      <c r="Q67" s="498"/>
      <c r="R67" s="499"/>
      <c r="S67" s="498"/>
      <c r="T67" s="499"/>
      <c r="U67" s="498"/>
      <c r="V67" s="499"/>
      <c r="W67" s="498"/>
      <c r="X67" s="499"/>
      <c r="Y67" s="498"/>
      <c r="Z67" s="499"/>
      <c r="AA67" s="498"/>
      <c r="AB67" s="499"/>
      <c r="AC67" s="498"/>
      <c r="AD67" s="499"/>
      <c r="AE67" s="498"/>
      <c r="AF67" s="500"/>
      <c r="AG67" s="498"/>
      <c r="AH67" s="500"/>
      <c r="AI67" s="498"/>
      <c r="AJ67" s="500"/>
      <c r="AK67" s="498"/>
      <c r="AL67" s="500"/>
      <c r="AM67" s="501"/>
      <c r="AN67" s="500"/>
      <c r="AO67" s="498"/>
      <c r="AP67" s="500"/>
      <c r="AQ67" s="501"/>
      <c r="AR67" s="500"/>
      <c r="AS67" s="500"/>
      <c r="AT67" s="500"/>
      <c r="AU67" s="501"/>
      <c r="AV67" s="500"/>
      <c r="AW67" s="500"/>
      <c r="AX67" s="500"/>
      <c r="AY67" s="576"/>
      <c r="AZ67" s="576"/>
      <c r="BA67" s="576"/>
      <c r="BB67" s="576"/>
      <c r="BC67" s="576"/>
      <c r="BD67" s="576"/>
      <c r="BE67" s="576"/>
      <c r="BF67" s="576"/>
      <c r="BG67" s="576"/>
      <c r="BH67" s="576"/>
      <c r="BI67" s="576"/>
      <c r="BJ67" s="576"/>
      <c r="BK67" s="576"/>
      <c r="BL67" s="576"/>
      <c r="BM67" s="576"/>
      <c r="BN67" s="576"/>
      <c r="BO67" s="576"/>
      <c r="BP67" s="576"/>
      <c r="BQ67" s="576"/>
      <c r="BR67" s="576"/>
      <c r="BS67" s="576"/>
      <c r="BT67" s="576"/>
      <c r="BU67" s="576"/>
      <c r="BV67" s="576"/>
      <c r="BW67" s="576"/>
      <c r="BX67" s="576"/>
      <c r="BY67" s="576"/>
      <c r="BZ67" s="576"/>
      <c r="CA67" s="576"/>
      <c r="CB67" s="576"/>
      <c r="CC67" s="576"/>
      <c r="CD67" s="576"/>
      <c r="CE67" s="576"/>
      <c r="CF67" s="576"/>
      <c r="CG67" s="576"/>
      <c r="CH67" s="576"/>
      <c r="CI67" s="576"/>
      <c r="CJ67" s="576"/>
      <c r="CK67" s="576"/>
      <c r="CL67" s="576"/>
      <c r="CM67" s="576"/>
      <c r="CN67" s="576"/>
      <c r="CO67" s="576"/>
      <c r="CP67" s="576"/>
      <c r="CQ67" s="576"/>
      <c r="CR67" s="576"/>
      <c r="CS67" s="576"/>
      <c r="CT67" s="576"/>
      <c r="CU67" s="576"/>
      <c r="CV67" s="576"/>
      <c r="CW67" s="576"/>
      <c r="CX67" s="576"/>
      <c r="CY67" s="576"/>
      <c r="CZ67" s="576"/>
      <c r="DA67" s="576"/>
      <c r="DB67" s="576"/>
      <c r="DC67" s="576"/>
      <c r="DD67" s="576"/>
      <c r="DE67" s="576"/>
      <c r="DF67" s="576"/>
      <c r="DG67" s="576"/>
      <c r="DH67" s="116"/>
      <c r="DI67" s="112"/>
      <c r="DJ67">
        <f ca="1">INDIRECT(ADDRESS(ROW()+1,COLUMN(Arbeitszeit!xDay),,,"Arbeitszeit"))</f>
        <v>3</v>
      </c>
    </row>
    <row r="68" spans="1:114">
      <c r="A68" s="462">
        <f>Arbeitszeit!A69</f>
        <v>44897</v>
      </c>
      <c r="B68" s="463">
        <f t="shared" si="1"/>
        <v>44897</v>
      </c>
      <c r="C68" s="146">
        <f t="shared" si="2"/>
        <v>49</v>
      </c>
      <c r="D68" s="145">
        <f t="shared" si="3"/>
        <v>44895</v>
      </c>
      <c r="E68" s="510">
        <f>Arbeitszeit!V69*24</f>
        <v>0</v>
      </c>
      <c r="F68" s="574">
        <f t="shared" si="0"/>
        <v>0</v>
      </c>
      <c r="G68" s="113">
        <f>IF(Arbeitszeit!F69=Urlaub,B_WorkTime*24,)</f>
        <v>0</v>
      </c>
      <c r="H68" s="111"/>
      <c r="I68" s="113">
        <f>IF(Arbeitszeit!F69=Krank,B_WorkTime*24,)</f>
        <v>0</v>
      </c>
      <c r="J68" s="111"/>
      <c r="K68" s="114"/>
      <c r="L68" s="115"/>
      <c r="M68" s="498"/>
      <c r="N68" s="499"/>
      <c r="O68" s="498"/>
      <c r="P68" s="499"/>
      <c r="Q68" s="498"/>
      <c r="R68" s="499"/>
      <c r="S68" s="498"/>
      <c r="T68" s="499"/>
      <c r="U68" s="498"/>
      <c r="V68" s="499"/>
      <c r="W68" s="498"/>
      <c r="X68" s="499"/>
      <c r="Y68" s="498"/>
      <c r="Z68" s="499"/>
      <c r="AA68" s="498"/>
      <c r="AB68" s="499"/>
      <c r="AC68" s="498"/>
      <c r="AD68" s="499"/>
      <c r="AE68" s="498"/>
      <c r="AF68" s="500"/>
      <c r="AG68" s="498"/>
      <c r="AH68" s="500"/>
      <c r="AI68" s="498"/>
      <c r="AJ68" s="500"/>
      <c r="AK68" s="498"/>
      <c r="AL68" s="500"/>
      <c r="AM68" s="501"/>
      <c r="AN68" s="500"/>
      <c r="AO68" s="498"/>
      <c r="AP68" s="500"/>
      <c r="AQ68" s="501"/>
      <c r="AR68" s="500"/>
      <c r="AS68" s="500"/>
      <c r="AT68" s="500"/>
      <c r="AU68" s="501"/>
      <c r="AV68" s="500"/>
      <c r="AW68" s="500"/>
      <c r="AX68" s="500"/>
      <c r="AY68" s="576"/>
      <c r="AZ68" s="576"/>
      <c r="BA68" s="576"/>
      <c r="BB68" s="576"/>
      <c r="BC68" s="576"/>
      <c r="BD68" s="576"/>
      <c r="BE68" s="576"/>
      <c r="BF68" s="576"/>
      <c r="BG68" s="576"/>
      <c r="BH68" s="576"/>
      <c r="BI68" s="576"/>
      <c r="BJ68" s="576"/>
      <c r="BK68" s="576"/>
      <c r="BL68" s="576"/>
      <c r="BM68" s="576"/>
      <c r="BN68" s="576"/>
      <c r="BO68" s="576"/>
      <c r="BP68" s="576"/>
      <c r="BQ68" s="576"/>
      <c r="BR68" s="576"/>
      <c r="BS68" s="576"/>
      <c r="BT68" s="576"/>
      <c r="BU68" s="576"/>
      <c r="BV68" s="576"/>
      <c r="BW68" s="576"/>
      <c r="BX68" s="576"/>
      <c r="BY68" s="576"/>
      <c r="BZ68" s="576"/>
      <c r="CA68" s="576"/>
      <c r="CB68" s="576"/>
      <c r="CC68" s="576"/>
      <c r="CD68" s="576"/>
      <c r="CE68" s="576"/>
      <c r="CF68" s="576"/>
      <c r="CG68" s="576"/>
      <c r="CH68" s="576"/>
      <c r="CI68" s="576"/>
      <c r="CJ68" s="576"/>
      <c r="CK68" s="576"/>
      <c r="CL68" s="576"/>
      <c r="CM68" s="576"/>
      <c r="CN68" s="576"/>
      <c r="CO68" s="576"/>
      <c r="CP68" s="576"/>
      <c r="CQ68" s="576"/>
      <c r="CR68" s="576"/>
      <c r="CS68" s="576"/>
      <c r="CT68" s="576"/>
      <c r="CU68" s="576"/>
      <c r="CV68" s="576"/>
      <c r="CW68" s="576"/>
      <c r="CX68" s="576"/>
      <c r="CY68" s="576"/>
      <c r="CZ68" s="576"/>
      <c r="DA68" s="576"/>
      <c r="DB68" s="576"/>
      <c r="DC68" s="576"/>
      <c r="DD68" s="576"/>
      <c r="DE68" s="576"/>
      <c r="DF68" s="576"/>
      <c r="DG68" s="576"/>
      <c r="DH68" s="116"/>
      <c r="DI68" s="112"/>
      <c r="DJ68">
        <f ca="1">INDIRECT(ADDRESS(ROW()+1,COLUMN(Arbeitszeit!xDay),,,"Arbeitszeit"))</f>
        <v>4</v>
      </c>
    </row>
    <row r="69" spans="1:114">
      <c r="A69" s="462">
        <f>Arbeitszeit!A70</f>
        <v>44898</v>
      </c>
      <c r="B69" s="463">
        <f t="shared" si="1"/>
        <v>44898</v>
      </c>
      <c r="C69" s="146">
        <f t="shared" si="2"/>
        <v>49</v>
      </c>
      <c r="D69" s="145">
        <f t="shared" si="3"/>
        <v>44895</v>
      </c>
      <c r="E69" s="510">
        <f>Arbeitszeit!V70*24</f>
        <v>0</v>
      </c>
      <c r="F69" s="574">
        <f t="shared" ref="F69:F132" si="4">ROUND(E69-SUM(K69:DG69),2)</f>
        <v>0</v>
      </c>
      <c r="G69" s="113">
        <f>IF(Arbeitszeit!F70=Urlaub,B_WorkTime*24,)</f>
        <v>0</v>
      </c>
      <c r="H69" s="111"/>
      <c r="I69" s="113">
        <f>IF(Arbeitszeit!F70=Krank,B_WorkTime*24,)</f>
        <v>0</v>
      </c>
      <c r="J69" s="111"/>
      <c r="K69" s="114"/>
      <c r="L69" s="115"/>
      <c r="M69" s="498"/>
      <c r="N69" s="499"/>
      <c r="O69" s="498"/>
      <c r="P69" s="499"/>
      <c r="Q69" s="498"/>
      <c r="R69" s="499"/>
      <c r="S69" s="498"/>
      <c r="T69" s="499"/>
      <c r="U69" s="498"/>
      <c r="V69" s="499"/>
      <c r="W69" s="498"/>
      <c r="X69" s="499"/>
      <c r="Y69" s="498"/>
      <c r="Z69" s="499"/>
      <c r="AA69" s="498"/>
      <c r="AB69" s="499"/>
      <c r="AC69" s="498"/>
      <c r="AD69" s="499"/>
      <c r="AE69" s="498"/>
      <c r="AF69" s="500"/>
      <c r="AG69" s="498"/>
      <c r="AH69" s="500"/>
      <c r="AI69" s="498"/>
      <c r="AJ69" s="500"/>
      <c r="AK69" s="498"/>
      <c r="AL69" s="500"/>
      <c r="AM69" s="501"/>
      <c r="AN69" s="500"/>
      <c r="AO69" s="498"/>
      <c r="AP69" s="500"/>
      <c r="AQ69" s="501"/>
      <c r="AR69" s="500"/>
      <c r="AS69" s="500"/>
      <c r="AT69" s="500"/>
      <c r="AU69" s="501"/>
      <c r="AV69" s="500"/>
      <c r="AW69" s="500"/>
      <c r="AX69" s="500"/>
      <c r="AY69" s="576"/>
      <c r="AZ69" s="576"/>
      <c r="BA69" s="576"/>
      <c r="BB69" s="576"/>
      <c r="BC69" s="576"/>
      <c r="BD69" s="576"/>
      <c r="BE69" s="576"/>
      <c r="BF69" s="576"/>
      <c r="BG69" s="576"/>
      <c r="BH69" s="576"/>
      <c r="BI69" s="576"/>
      <c r="BJ69" s="576"/>
      <c r="BK69" s="576"/>
      <c r="BL69" s="576"/>
      <c r="BM69" s="576"/>
      <c r="BN69" s="576"/>
      <c r="BO69" s="576"/>
      <c r="BP69" s="576"/>
      <c r="BQ69" s="576"/>
      <c r="BR69" s="576"/>
      <c r="BS69" s="576"/>
      <c r="BT69" s="576"/>
      <c r="BU69" s="576"/>
      <c r="BV69" s="576"/>
      <c r="BW69" s="576"/>
      <c r="BX69" s="576"/>
      <c r="BY69" s="576"/>
      <c r="BZ69" s="576"/>
      <c r="CA69" s="576"/>
      <c r="CB69" s="576"/>
      <c r="CC69" s="576"/>
      <c r="CD69" s="576"/>
      <c r="CE69" s="576"/>
      <c r="CF69" s="576"/>
      <c r="CG69" s="576"/>
      <c r="CH69" s="576"/>
      <c r="CI69" s="576"/>
      <c r="CJ69" s="576"/>
      <c r="CK69" s="576"/>
      <c r="CL69" s="576"/>
      <c r="CM69" s="576"/>
      <c r="CN69" s="576"/>
      <c r="CO69" s="576"/>
      <c r="CP69" s="576"/>
      <c r="CQ69" s="576"/>
      <c r="CR69" s="576"/>
      <c r="CS69" s="576"/>
      <c r="CT69" s="576"/>
      <c r="CU69" s="576"/>
      <c r="CV69" s="576"/>
      <c r="CW69" s="576"/>
      <c r="CX69" s="576"/>
      <c r="CY69" s="576"/>
      <c r="CZ69" s="576"/>
      <c r="DA69" s="576"/>
      <c r="DB69" s="576"/>
      <c r="DC69" s="576"/>
      <c r="DD69" s="576"/>
      <c r="DE69" s="576"/>
      <c r="DF69" s="576"/>
      <c r="DG69" s="576"/>
      <c r="DH69" s="116"/>
      <c r="DI69" s="112"/>
      <c r="DJ69">
        <f ca="1">INDIRECT(ADDRESS(ROW()+1,COLUMN(Arbeitszeit!xDay),,,"Arbeitszeit"))</f>
        <v>5</v>
      </c>
    </row>
    <row r="70" spans="1:114">
      <c r="A70" s="462">
        <f>Arbeitszeit!A71</f>
        <v>44899</v>
      </c>
      <c r="B70" s="463">
        <f t="shared" ref="B70:B133" si="5">IF(A70="","",A70)</f>
        <v>44899</v>
      </c>
      <c r="C70" s="146">
        <f t="shared" si="2"/>
        <v>49</v>
      </c>
      <c r="D70" s="145">
        <f t="shared" si="3"/>
        <v>44895</v>
      </c>
      <c r="E70" s="510">
        <f>Arbeitszeit!V71*24</f>
        <v>0</v>
      </c>
      <c r="F70" s="574">
        <f t="shared" si="4"/>
        <v>0</v>
      </c>
      <c r="G70" s="113">
        <f>IF(Arbeitszeit!F71=Urlaub,B_WorkTime*24,)</f>
        <v>0</v>
      </c>
      <c r="H70" s="111"/>
      <c r="I70" s="113">
        <f>IF(Arbeitszeit!F71=Krank,B_WorkTime*24,)</f>
        <v>0</v>
      </c>
      <c r="J70" s="111"/>
      <c r="K70" s="114"/>
      <c r="L70" s="115"/>
      <c r="M70" s="498"/>
      <c r="N70" s="499"/>
      <c r="O70" s="498"/>
      <c r="P70" s="499"/>
      <c r="Q70" s="498"/>
      <c r="R70" s="499"/>
      <c r="S70" s="498"/>
      <c r="T70" s="499"/>
      <c r="U70" s="498"/>
      <c r="V70" s="499"/>
      <c r="W70" s="498"/>
      <c r="X70" s="499"/>
      <c r="Y70" s="498"/>
      <c r="Z70" s="499"/>
      <c r="AA70" s="498"/>
      <c r="AB70" s="499"/>
      <c r="AC70" s="498"/>
      <c r="AD70" s="499"/>
      <c r="AE70" s="498"/>
      <c r="AF70" s="500"/>
      <c r="AG70" s="498"/>
      <c r="AH70" s="500"/>
      <c r="AI70" s="498"/>
      <c r="AJ70" s="500"/>
      <c r="AK70" s="498"/>
      <c r="AL70" s="500"/>
      <c r="AM70" s="501"/>
      <c r="AN70" s="500"/>
      <c r="AO70" s="498"/>
      <c r="AP70" s="500"/>
      <c r="AQ70" s="501"/>
      <c r="AR70" s="500"/>
      <c r="AS70" s="500"/>
      <c r="AT70" s="500"/>
      <c r="AU70" s="501"/>
      <c r="AV70" s="500"/>
      <c r="AW70" s="500"/>
      <c r="AX70" s="500"/>
      <c r="AY70" s="576"/>
      <c r="AZ70" s="576"/>
      <c r="BA70" s="576"/>
      <c r="BB70" s="576"/>
      <c r="BC70" s="576"/>
      <c r="BD70" s="576"/>
      <c r="BE70" s="576"/>
      <c r="BF70" s="576"/>
      <c r="BG70" s="576"/>
      <c r="BH70" s="576"/>
      <c r="BI70" s="576"/>
      <c r="BJ70" s="576"/>
      <c r="BK70" s="576"/>
      <c r="BL70" s="576"/>
      <c r="BM70" s="576"/>
      <c r="BN70" s="576"/>
      <c r="BO70" s="576"/>
      <c r="BP70" s="576"/>
      <c r="BQ70" s="576"/>
      <c r="BR70" s="576"/>
      <c r="BS70" s="576"/>
      <c r="BT70" s="576"/>
      <c r="BU70" s="576"/>
      <c r="BV70" s="576"/>
      <c r="BW70" s="576"/>
      <c r="BX70" s="576"/>
      <c r="BY70" s="576"/>
      <c r="BZ70" s="576"/>
      <c r="CA70" s="576"/>
      <c r="CB70" s="576"/>
      <c r="CC70" s="576"/>
      <c r="CD70" s="576"/>
      <c r="CE70" s="576"/>
      <c r="CF70" s="576"/>
      <c r="CG70" s="576"/>
      <c r="CH70" s="576"/>
      <c r="CI70" s="576"/>
      <c r="CJ70" s="576"/>
      <c r="CK70" s="576"/>
      <c r="CL70" s="576"/>
      <c r="CM70" s="576"/>
      <c r="CN70" s="576"/>
      <c r="CO70" s="576"/>
      <c r="CP70" s="576"/>
      <c r="CQ70" s="576"/>
      <c r="CR70" s="576"/>
      <c r="CS70" s="576"/>
      <c r="CT70" s="576"/>
      <c r="CU70" s="576"/>
      <c r="CV70" s="576"/>
      <c r="CW70" s="576"/>
      <c r="CX70" s="576"/>
      <c r="CY70" s="576"/>
      <c r="CZ70" s="576"/>
      <c r="DA70" s="576"/>
      <c r="DB70" s="576"/>
      <c r="DC70" s="576"/>
      <c r="DD70" s="576"/>
      <c r="DE70" s="576"/>
      <c r="DF70" s="576"/>
      <c r="DG70" s="576"/>
      <c r="DH70" s="116"/>
      <c r="DI70" s="112"/>
      <c r="DJ70">
        <f ca="1">INDIRECT(ADDRESS(ROW()+1,COLUMN(Arbeitszeit!xDay),,,"Arbeitszeit"))</f>
        <v>6</v>
      </c>
    </row>
    <row r="71" spans="1:114">
      <c r="A71" s="462">
        <f>Arbeitszeit!A72</f>
        <v>44900</v>
      </c>
      <c r="B71" s="463">
        <f t="shared" si="5"/>
        <v>44900</v>
      </c>
      <c r="C71" s="146">
        <f t="shared" ref="C71:C134" si="6">IF(A71="","",NumberOfWeek(A71))</f>
        <v>49</v>
      </c>
      <c r="D71" s="145">
        <f t="shared" ref="D71:D134" si="7">IF(A71="","",DATE(YEAR(A71),MONTH(A71),1))</f>
        <v>44895</v>
      </c>
      <c r="E71" s="510">
        <f>Arbeitszeit!V72*24</f>
        <v>0</v>
      </c>
      <c r="F71" s="574">
        <f t="shared" si="4"/>
        <v>0</v>
      </c>
      <c r="G71" s="113">
        <f>IF(Arbeitszeit!F72=Urlaub,B_WorkTime*24,)</f>
        <v>0</v>
      </c>
      <c r="H71" s="111"/>
      <c r="I71" s="113">
        <f>IF(Arbeitszeit!F72=Krank,B_WorkTime*24,)</f>
        <v>0</v>
      </c>
      <c r="J71" s="111"/>
      <c r="K71" s="114"/>
      <c r="L71" s="115"/>
      <c r="M71" s="498"/>
      <c r="N71" s="499"/>
      <c r="O71" s="498"/>
      <c r="P71" s="499"/>
      <c r="Q71" s="498"/>
      <c r="R71" s="499"/>
      <c r="S71" s="498"/>
      <c r="T71" s="499"/>
      <c r="U71" s="498"/>
      <c r="V71" s="499"/>
      <c r="W71" s="498"/>
      <c r="X71" s="499"/>
      <c r="Y71" s="498"/>
      <c r="Z71" s="499"/>
      <c r="AA71" s="498"/>
      <c r="AB71" s="499"/>
      <c r="AC71" s="498"/>
      <c r="AD71" s="499"/>
      <c r="AE71" s="498"/>
      <c r="AF71" s="500"/>
      <c r="AG71" s="498"/>
      <c r="AH71" s="500"/>
      <c r="AI71" s="498"/>
      <c r="AJ71" s="500"/>
      <c r="AK71" s="498"/>
      <c r="AL71" s="500"/>
      <c r="AM71" s="501"/>
      <c r="AN71" s="500"/>
      <c r="AO71" s="498"/>
      <c r="AP71" s="500"/>
      <c r="AQ71" s="501"/>
      <c r="AR71" s="500"/>
      <c r="AS71" s="500"/>
      <c r="AT71" s="500"/>
      <c r="AU71" s="501"/>
      <c r="AV71" s="500"/>
      <c r="AW71" s="500"/>
      <c r="AX71" s="500"/>
      <c r="AY71" s="576"/>
      <c r="AZ71" s="576"/>
      <c r="BA71" s="576"/>
      <c r="BB71" s="576"/>
      <c r="BC71" s="576"/>
      <c r="BD71" s="576"/>
      <c r="BE71" s="576"/>
      <c r="BF71" s="576"/>
      <c r="BG71" s="576"/>
      <c r="BH71" s="576"/>
      <c r="BI71" s="576"/>
      <c r="BJ71" s="576"/>
      <c r="BK71" s="576"/>
      <c r="BL71" s="576"/>
      <c r="BM71" s="576"/>
      <c r="BN71" s="576"/>
      <c r="BO71" s="576"/>
      <c r="BP71" s="576"/>
      <c r="BQ71" s="576"/>
      <c r="BR71" s="576"/>
      <c r="BS71" s="576"/>
      <c r="BT71" s="576"/>
      <c r="BU71" s="576"/>
      <c r="BV71" s="576"/>
      <c r="BW71" s="576"/>
      <c r="BX71" s="576"/>
      <c r="BY71" s="576"/>
      <c r="BZ71" s="576"/>
      <c r="CA71" s="576"/>
      <c r="CB71" s="576"/>
      <c r="CC71" s="576"/>
      <c r="CD71" s="576"/>
      <c r="CE71" s="576"/>
      <c r="CF71" s="576"/>
      <c r="CG71" s="576"/>
      <c r="CH71" s="576"/>
      <c r="CI71" s="576"/>
      <c r="CJ71" s="576"/>
      <c r="CK71" s="576"/>
      <c r="CL71" s="576"/>
      <c r="CM71" s="576"/>
      <c r="CN71" s="576"/>
      <c r="CO71" s="576"/>
      <c r="CP71" s="576"/>
      <c r="CQ71" s="576"/>
      <c r="CR71" s="576"/>
      <c r="CS71" s="576"/>
      <c r="CT71" s="576"/>
      <c r="CU71" s="576"/>
      <c r="CV71" s="576"/>
      <c r="CW71" s="576"/>
      <c r="CX71" s="576"/>
      <c r="CY71" s="576"/>
      <c r="CZ71" s="576"/>
      <c r="DA71" s="576"/>
      <c r="DB71" s="576"/>
      <c r="DC71" s="576"/>
      <c r="DD71" s="576"/>
      <c r="DE71" s="576"/>
      <c r="DF71" s="576"/>
      <c r="DG71" s="576"/>
      <c r="DH71" s="116"/>
      <c r="DI71" s="112"/>
      <c r="DJ71">
        <f ca="1">INDIRECT(ADDRESS(ROW()+1,COLUMN(Arbeitszeit!xDay),,,"Arbeitszeit"))</f>
        <v>7</v>
      </c>
    </row>
    <row r="72" spans="1:114">
      <c r="A72" s="462">
        <f>Arbeitszeit!A73</f>
        <v>44901</v>
      </c>
      <c r="B72" s="463">
        <f t="shared" si="5"/>
        <v>44901</v>
      </c>
      <c r="C72" s="146">
        <f t="shared" si="6"/>
        <v>50</v>
      </c>
      <c r="D72" s="145">
        <f t="shared" si="7"/>
        <v>44895</v>
      </c>
      <c r="E72" s="510">
        <f>Arbeitszeit!V73*24</f>
        <v>0</v>
      </c>
      <c r="F72" s="574">
        <f t="shared" si="4"/>
        <v>0</v>
      </c>
      <c r="G72" s="113">
        <f>IF(Arbeitszeit!F73=Urlaub,B_WorkTime*24,)</f>
        <v>0</v>
      </c>
      <c r="H72" s="111"/>
      <c r="I72" s="113">
        <f>IF(Arbeitszeit!F73=Krank,B_WorkTime*24,)</f>
        <v>0</v>
      </c>
      <c r="J72" s="111"/>
      <c r="K72" s="114"/>
      <c r="L72" s="115"/>
      <c r="M72" s="498"/>
      <c r="N72" s="499"/>
      <c r="O72" s="498"/>
      <c r="P72" s="499"/>
      <c r="Q72" s="498"/>
      <c r="R72" s="499"/>
      <c r="S72" s="498"/>
      <c r="T72" s="499"/>
      <c r="U72" s="498"/>
      <c r="V72" s="499"/>
      <c r="W72" s="498"/>
      <c r="X72" s="499"/>
      <c r="Y72" s="498"/>
      <c r="Z72" s="499"/>
      <c r="AA72" s="498"/>
      <c r="AB72" s="499"/>
      <c r="AC72" s="498"/>
      <c r="AD72" s="499"/>
      <c r="AE72" s="498"/>
      <c r="AF72" s="500"/>
      <c r="AG72" s="498"/>
      <c r="AH72" s="500"/>
      <c r="AI72" s="498"/>
      <c r="AJ72" s="500"/>
      <c r="AK72" s="498"/>
      <c r="AL72" s="500"/>
      <c r="AM72" s="501"/>
      <c r="AN72" s="500"/>
      <c r="AO72" s="498"/>
      <c r="AP72" s="500"/>
      <c r="AQ72" s="501"/>
      <c r="AR72" s="500"/>
      <c r="AS72" s="500"/>
      <c r="AT72" s="500"/>
      <c r="AU72" s="501"/>
      <c r="AV72" s="500"/>
      <c r="AW72" s="500"/>
      <c r="AX72" s="500"/>
      <c r="AY72" s="576"/>
      <c r="AZ72" s="576"/>
      <c r="BA72" s="576"/>
      <c r="BB72" s="576"/>
      <c r="BC72" s="576"/>
      <c r="BD72" s="576"/>
      <c r="BE72" s="576"/>
      <c r="BF72" s="576"/>
      <c r="BG72" s="576"/>
      <c r="BH72" s="576"/>
      <c r="BI72" s="576"/>
      <c r="BJ72" s="576"/>
      <c r="BK72" s="576"/>
      <c r="BL72" s="576"/>
      <c r="BM72" s="576"/>
      <c r="BN72" s="576"/>
      <c r="BO72" s="576"/>
      <c r="BP72" s="576"/>
      <c r="BQ72" s="576"/>
      <c r="BR72" s="576"/>
      <c r="BS72" s="576"/>
      <c r="BT72" s="576"/>
      <c r="BU72" s="576"/>
      <c r="BV72" s="576"/>
      <c r="BW72" s="576"/>
      <c r="BX72" s="576"/>
      <c r="BY72" s="576"/>
      <c r="BZ72" s="576"/>
      <c r="CA72" s="576"/>
      <c r="CB72" s="576"/>
      <c r="CC72" s="576"/>
      <c r="CD72" s="576"/>
      <c r="CE72" s="576"/>
      <c r="CF72" s="576"/>
      <c r="CG72" s="576"/>
      <c r="CH72" s="576"/>
      <c r="CI72" s="576"/>
      <c r="CJ72" s="576"/>
      <c r="CK72" s="576"/>
      <c r="CL72" s="576"/>
      <c r="CM72" s="576"/>
      <c r="CN72" s="576"/>
      <c r="CO72" s="576"/>
      <c r="CP72" s="576"/>
      <c r="CQ72" s="576"/>
      <c r="CR72" s="576"/>
      <c r="CS72" s="576"/>
      <c r="CT72" s="576"/>
      <c r="CU72" s="576"/>
      <c r="CV72" s="576"/>
      <c r="CW72" s="576"/>
      <c r="CX72" s="576"/>
      <c r="CY72" s="576"/>
      <c r="CZ72" s="576"/>
      <c r="DA72" s="576"/>
      <c r="DB72" s="576"/>
      <c r="DC72" s="576"/>
      <c r="DD72" s="576"/>
      <c r="DE72" s="576"/>
      <c r="DF72" s="576"/>
      <c r="DG72" s="576"/>
      <c r="DH72" s="116"/>
      <c r="DI72" s="112"/>
      <c r="DJ72">
        <f ca="1">INDIRECT(ADDRESS(ROW()+1,COLUMN(Arbeitszeit!xDay),,,"Arbeitszeit"))</f>
        <v>1</v>
      </c>
    </row>
    <row r="73" spans="1:114">
      <c r="A73" s="462">
        <f>Arbeitszeit!A74</f>
        <v>44902</v>
      </c>
      <c r="B73" s="463">
        <f t="shared" si="5"/>
        <v>44902</v>
      </c>
      <c r="C73" s="146">
        <f t="shared" si="6"/>
        <v>50</v>
      </c>
      <c r="D73" s="145">
        <f t="shared" si="7"/>
        <v>44895</v>
      </c>
      <c r="E73" s="510">
        <f>Arbeitszeit!V74*24</f>
        <v>0</v>
      </c>
      <c r="F73" s="574">
        <f t="shared" si="4"/>
        <v>0</v>
      </c>
      <c r="G73" s="113">
        <f>IF(Arbeitszeit!F74=Urlaub,B_WorkTime*24,)</f>
        <v>0</v>
      </c>
      <c r="H73" s="111"/>
      <c r="I73" s="113">
        <f>IF(Arbeitszeit!F74=Krank,B_WorkTime*24,)</f>
        <v>0</v>
      </c>
      <c r="J73" s="111"/>
      <c r="K73" s="114"/>
      <c r="L73" s="115"/>
      <c r="M73" s="498"/>
      <c r="N73" s="499"/>
      <c r="O73" s="498"/>
      <c r="P73" s="499"/>
      <c r="Q73" s="498"/>
      <c r="R73" s="499"/>
      <c r="S73" s="498"/>
      <c r="T73" s="499"/>
      <c r="U73" s="498"/>
      <c r="V73" s="499"/>
      <c r="W73" s="498"/>
      <c r="X73" s="499"/>
      <c r="Y73" s="498"/>
      <c r="Z73" s="499"/>
      <c r="AA73" s="498"/>
      <c r="AB73" s="499"/>
      <c r="AC73" s="498"/>
      <c r="AD73" s="499"/>
      <c r="AE73" s="498"/>
      <c r="AF73" s="500"/>
      <c r="AG73" s="498"/>
      <c r="AH73" s="500"/>
      <c r="AI73" s="498"/>
      <c r="AJ73" s="500"/>
      <c r="AK73" s="498"/>
      <c r="AL73" s="500"/>
      <c r="AM73" s="501"/>
      <c r="AN73" s="500"/>
      <c r="AO73" s="498"/>
      <c r="AP73" s="500"/>
      <c r="AQ73" s="501"/>
      <c r="AR73" s="500"/>
      <c r="AS73" s="500"/>
      <c r="AT73" s="500"/>
      <c r="AU73" s="501"/>
      <c r="AV73" s="500"/>
      <c r="AW73" s="500"/>
      <c r="AX73" s="500"/>
      <c r="AY73" s="576"/>
      <c r="AZ73" s="576"/>
      <c r="BA73" s="576"/>
      <c r="BB73" s="576"/>
      <c r="BC73" s="576"/>
      <c r="BD73" s="576"/>
      <c r="BE73" s="576"/>
      <c r="BF73" s="576"/>
      <c r="BG73" s="576"/>
      <c r="BH73" s="576"/>
      <c r="BI73" s="576"/>
      <c r="BJ73" s="576"/>
      <c r="BK73" s="576"/>
      <c r="BL73" s="576"/>
      <c r="BM73" s="576"/>
      <c r="BN73" s="576"/>
      <c r="BO73" s="576"/>
      <c r="BP73" s="576"/>
      <c r="BQ73" s="576"/>
      <c r="BR73" s="576"/>
      <c r="BS73" s="576"/>
      <c r="BT73" s="576"/>
      <c r="BU73" s="576"/>
      <c r="BV73" s="576"/>
      <c r="BW73" s="576"/>
      <c r="BX73" s="576"/>
      <c r="BY73" s="576"/>
      <c r="BZ73" s="576"/>
      <c r="CA73" s="576"/>
      <c r="CB73" s="576"/>
      <c r="CC73" s="576"/>
      <c r="CD73" s="576"/>
      <c r="CE73" s="576"/>
      <c r="CF73" s="576"/>
      <c r="CG73" s="576"/>
      <c r="CH73" s="576"/>
      <c r="CI73" s="576"/>
      <c r="CJ73" s="576"/>
      <c r="CK73" s="576"/>
      <c r="CL73" s="576"/>
      <c r="CM73" s="576"/>
      <c r="CN73" s="576"/>
      <c r="CO73" s="576"/>
      <c r="CP73" s="576"/>
      <c r="CQ73" s="576"/>
      <c r="CR73" s="576"/>
      <c r="CS73" s="576"/>
      <c r="CT73" s="576"/>
      <c r="CU73" s="576"/>
      <c r="CV73" s="576"/>
      <c r="CW73" s="576"/>
      <c r="CX73" s="576"/>
      <c r="CY73" s="576"/>
      <c r="CZ73" s="576"/>
      <c r="DA73" s="576"/>
      <c r="DB73" s="576"/>
      <c r="DC73" s="576"/>
      <c r="DD73" s="576"/>
      <c r="DE73" s="576"/>
      <c r="DF73" s="576"/>
      <c r="DG73" s="576"/>
      <c r="DH73" s="116"/>
      <c r="DI73" s="112"/>
      <c r="DJ73">
        <f ca="1">INDIRECT(ADDRESS(ROW()+1,COLUMN(Arbeitszeit!xDay),,,"Arbeitszeit"))</f>
        <v>2</v>
      </c>
    </row>
    <row r="74" spans="1:114">
      <c r="A74" s="462">
        <f>Arbeitszeit!A75</f>
        <v>44903</v>
      </c>
      <c r="B74" s="463">
        <f t="shared" si="5"/>
        <v>44903</v>
      </c>
      <c r="C74" s="146">
        <f t="shared" si="6"/>
        <v>50</v>
      </c>
      <c r="D74" s="145">
        <f t="shared" si="7"/>
        <v>44895</v>
      </c>
      <c r="E74" s="510">
        <f>Arbeitszeit!V75*24</f>
        <v>0</v>
      </c>
      <c r="F74" s="574">
        <f t="shared" si="4"/>
        <v>0</v>
      </c>
      <c r="G74" s="113">
        <f>IF(Arbeitszeit!F75=Urlaub,B_WorkTime*24,)</f>
        <v>0</v>
      </c>
      <c r="H74" s="111"/>
      <c r="I74" s="113">
        <f>IF(Arbeitszeit!F75=Krank,B_WorkTime*24,)</f>
        <v>0</v>
      </c>
      <c r="J74" s="111"/>
      <c r="K74" s="114"/>
      <c r="L74" s="115"/>
      <c r="M74" s="498"/>
      <c r="N74" s="499"/>
      <c r="O74" s="498"/>
      <c r="P74" s="499"/>
      <c r="Q74" s="498"/>
      <c r="R74" s="499"/>
      <c r="S74" s="498"/>
      <c r="T74" s="499"/>
      <c r="U74" s="498"/>
      <c r="V74" s="499"/>
      <c r="W74" s="498"/>
      <c r="X74" s="499"/>
      <c r="Y74" s="498"/>
      <c r="Z74" s="499"/>
      <c r="AA74" s="498"/>
      <c r="AB74" s="499"/>
      <c r="AC74" s="498"/>
      <c r="AD74" s="499"/>
      <c r="AE74" s="498"/>
      <c r="AF74" s="500"/>
      <c r="AG74" s="498"/>
      <c r="AH74" s="500"/>
      <c r="AI74" s="498"/>
      <c r="AJ74" s="500"/>
      <c r="AK74" s="498"/>
      <c r="AL74" s="500"/>
      <c r="AM74" s="501"/>
      <c r="AN74" s="500"/>
      <c r="AO74" s="498"/>
      <c r="AP74" s="500"/>
      <c r="AQ74" s="501"/>
      <c r="AR74" s="500"/>
      <c r="AS74" s="500"/>
      <c r="AT74" s="500"/>
      <c r="AU74" s="501"/>
      <c r="AV74" s="500"/>
      <c r="AW74" s="500"/>
      <c r="AX74" s="500"/>
      <c r="AY74" s="576"/>
      <c r="AZ74" s="576"/>
      <c r="BA74" s="576"/>
      <c r="BB74" s="576"/>
      <c r="BC74" s="576"/>
      <c r="BD74" s="576"/>
      <c r="BE74" s="576"/>
      <c r="BF74" s="576"/>
      <c r="BG74" s="576"/>
      <c r="BH74" s="576"/>
      <c r="BI74" s="576"/>
      <c r="BJ74" s="576"/>
      <c r="BK74" s="576"/>
      <c r="BL74" s="576"/>
      <c r="BM74" s="576"/>
      <c r="BN74" s="576"/>
      <c r="BO74" s="576"/>
      <c r="BP74" s="576"/>
      <c r="BQ74" s="576"/>
      <c r="BR74" s="576"/>
      <c r="BS74" s="576"/>
      <c r="BT74" s="576"/>
      <c r="BU74" s="576"/>
      <c r="BV74" s="576"/>
      <c r="BW74" s="576"/>
      <c r="BX74" s="576"/>
      <c r="BY74" s="576"/>
      <c r="BZ74" s="576"/>
      <c r="CA74" s="576"/>
      <c r="CB74" s="576"/>
      <c r="CC74" s="576"/>
      <c r="CD74" s="576"/>
      <c r="CE74" s="576"/>
      <c r="CF74" s="576"/>
      <c r="CG74" s="576"/>
      <c r="CH74" s="576"/>
      <c r="CI74" s="576"/>
      <c r="CJ74" s="576"/>
      <c r="CK74" s="576"/>
      <c r="CL74" s="576"/>
      <c r="CM74" s="576"/>
      <c r="CN74" s="576"/>
      <c r="CO74" s="576"/>
      <c r="CP74" s="576"/>
      <c r="CQ74" s="576"/>
      <c r="CR74" s="576"/>
      <c r="CS74" s="576"/>
      <c r="CT74" s="576"/>
      <c r="CU74" s="576"/>
      <c r="CV74" s="576"/>
      <c r="CW74" s="576"/>
      <c r="CX74" s="576"/>
      <c r="CY74" s="576"/>
      <c r="CZ74" s="576"/>
      <c r="DA74" s="576"/>
      <c r="DB74" s="576"/>
      <c r="DC74" s="576"/>
      <c r="DD74" s="576"/>
      <c r="DE74" s="576"/>
      <c r="DF74" s="576"/>
      <c r="DG74" s="576"/>
      <c r="DH74" s="116"/>
      <c r="DI74" s="112"/>
      <c r="DJ74">
        <f ca="1">INDIRECT(ADDRESS(ROW()+1,COLUMN(Arbeitszeit!xDay),,,"Arbeitszeit"))</f>
        <v>3</v>
      </c>
    </row>
    <row r="75" spans="1:114">
      <c r="A75" s="462">
        <f>Arbeitszeit!A76</f>
        <v>44904</v>
      </c>
      <c r="B75" s="463">
        <f t="shared" si="5"/>
        <v>44904</v>
      </c>
      <c r="C75" s="146">
        <f t="shared" si="6"/>
        <v>50</v>
      </c>
      <c r="D75" s="145">
        <f t="shared" si="7"/>
        <v>44895</v>
      </c>
      <c r="E75" s="510">
        <f>Arbeitszeit!V76*24</f>
        <v>0</v>
      </c>
      <c r="F75" s="574">
        <f t="shared" si="4"/>
        <v>0</v>
      </c>
      <c r="G75" s="113">
        <f>IF(Arbeitszeit!F76=Urlaub,B_WorkTime*24,)</f>
        <v>0</v>
      </c>
      <c r="H75" s="111"/>
      <c r="I75" s="113">
        <f>IF(Arbeitszeit!F76=Krank,B_WorkTime*24,)</f>
        <v>0</v>
      </c>
      <c r="J75" s="111"/>
      <c r="K75" s="114"/>
      <c r="L75" s="115"/>
      <c r="M75" s="498"/>
      <c r="N75" s="499"/>
      <c r="O75" s="498"/>
      <c r="P75" s="499"/>
      <c r="Q75" s="498"/>
      <c r="R75" s="499"/>
      <c r="S75" s="498"/>
      <c r="T75" s="499"/>
      <c r="U75" s="498"/>
      <c r="V75" s="499"/>
      <c r="W75" s="498"/>
      <c r="X75" s="499"/>
      <c r="Y75" s="498"/>
      <c r="Z75" s="499"/>
      <c r="AA75" s="498"/>
      <c r="AB75" s="499"/>
      <c r="AC75" s="498"/>
      <c r="AD75" s="499"/>
      <c r="AE75" s="498"/>
      <c r="AF75" s="500"/>
      <c r="AG75" s="498"/>
      <c r="AH75" s="500"/>
      <c r="AI75" s="498"/>
      <c r="AJ75" s="500"/>
      <c r="AK75" s="498"/>
      <c r="AL75" s="500"/>
      <c r="AM75" s="501"/>
      <c r="AN75" s="500"/>
      <c r="AO75" s="498"/>
      <c r="AP75" s="500"/>
      <c r="AQ75" s="501"/>
      <c r="AR75" s="500"/>
      <c r="AS75" s="500"/>
      <c r="AT75" s="500"/>
      <c r="AU75" s="501"/>
      <c r="AV75" s="500"/>
      <c r="AW75" s="500"/>
      <c r="AX75" s="500"/>
      <c r="AY75" s="576"/>
      <c r="AZ75" s="576"/>
      <c r="BA75" s="576"/>
      <c r="BB75" s="576"/>
      <c r="BC75" s="576"/>
      <c r="BD75" s="576"/>
      <c r="BE75" s="576"/>
      <c r="BF75" s="576"/>
      <c r="BG75" s="576"/>
      <c r="BH75" s="576"/>
      <c r="BI75" s="576"/>
      <c r="BJ75" s="576"/>
      <c r="BK75" s="576"/>
      <c r="BL75" s="576"/>
      <c r="BM75" s="576"/>
      <c r="BN75" s="576"/>
      <c r="BO75" s="576"/>
      <c r="BP75" s="576"/>
      <c r="BQ75" s="576"/>
      <c r="BR75" s="576"/>
      <c r="BS75" s="576"/>
      <c r="BT75" s="576"/>
      <c r="BU75" s="576"/>
      <c r="BV75" s="576"/>
      <c r="BW75" s="576"/>
      <c r="BX75" s="576"/>
      <c r="BY75" s="576"/>
      <c r="BZ75" s="576"/>
      <c r="CA75" s="576"/>
      <c r="CB75" s="576"/>
      <c r="CC75" s="576"/>
      <c r="CD75" s="576"/>
      <c r="CE75" s="576"/>
      <c r="CF75" s="576"/>
      <c r="CG75" s="576"/>
      <c r="CH75" s="576"/>
      <c r="CI75" s="576"/>
      <c r="CJ75" s="576"/>
      <c r="CK75" s="576"/>
      <c r="CL75" s="576"/>
      <c r="CM75" s="576"/>
      <c r="CN75" s="576"/>
      <c r="CO75" s="576"/>
      <c r="CP75" s="576"/>
      <c r="CQ75" s="576"/>
      <c r="CR75" s="576"/>
      <c r="CS75" s="576"/>
      <c r="CT75" s="576"/>
      <c r="CU75" s="576"/>
      <c r="CV75" s="576"/>
      <c r="CW75" s="576"/>
      <c r="CX75" s="576"/>
      <c r="CY75" s="576"/>
      <c r="CZ75" s="576"/>
      <c r="DA75" s="576"/>
      <c r="DB75" s="576"/>
      <c r="DC75" s="576"/>
      <c r="DD75" s="576"/>
      <c r="DE75" s="576"/>
      <c r="DF75" s="576"/>
      <c r="DG75" s="576"/>
      <c r="DH75" s="116"/>
      <c r="DI75" s="112"/>
      <c r="DJ75">
        <f ca="1">INDIRECT(ADDRESS(ROW()+1,COLUMN(Arbeitszeit!xDay),,,"Arbeitszeit"))</f>
        <v>4</v>
      </c>
    </row>
    <row r="76" spans="1:114">
      <c r="A76" s="462">
        <f>Arbeitszeit!A77</f>
        <v>44905</v>
      </c>
      <c r="B76" s="463">
        <f t="shared" si="5"/>
        <v>44905</v>
      </c>
      <c r="C76" s="146">
        <f t="shared" si="6"/>
        <v>50</v>
      </c>
      <c r="D76" s="145">
        <f t="shared" si="7"/>
        <v>44895</v>
      </c>
      <c r="E76" s="510">
        <f>Arbeitszeit!V77*24</f>
        <v>0</v>
      </c>
      <c r="F76" s="574">
        <f t="shared" si="4"/>
        <v>0</v>
      </c>
      <c r="G76" s="113">
        <f>IF(Arbeitszeit!F77=Urlaub,B_WorkTime*24,)</f>
        <v>0</v>
      </c>
      <c r="H76" s="111"/>
      <c r="I76" s="113">
        <f>IF(Arbeitszeit!F77=Krank,B_WorkTime*24,)</f>
        <v>0</v>
      </c>
      <c r="J76" s="111"/>
      <c r="K76" s="114"/>
      <c r="L76" s="115"/>
      <c r="M76" s="498"/>
      <c r="N76" s="499"/>
      <c r="O76" s="498"/>
      <c r="P76" s="499"/>
      <c r="Q76" s="498"/>
      <c r="R76" s="499"/>
      <c r="S76" s="498"/>
      <c r="T76" s="499"/>
      <c r="U76" s="498"/>
      <c r="V76" s="499"/>
      <c r="W76" s="498"/>
      <c r="X76" s="499"/>
      <c r="Y76" s="498"/>
      <c r="Z76" s="499"/>
      <c r="AA76" s="498"/>
      <c r="AB76" s="499"/>
      <c r="AC76" s="498"/>
      <c r="AD76" s="499"/>
      <c r="AE76" s="498"/>
      <c r="AF76" s="500"/>
      <c r="AG76" s="498"/>
      <c r="AH76" s="500"/>
      <c r="AI76" s="498"/>
      <c r="AJ76" s="500"/>
      <c r="AK76" s="498"/>
      <c r="AL76" s="500"/>
      <c r="AM76" s="501"/>
      <c r="AN76" s="500"/>
      <c r="AO76" s="498"/>
      <c r="AP76" s="500"/>
      <c r="AQ76" s="501"/>
      <c r="AR76" s="500"/>
      <c r="AS76" s="500"/>
      <c r="AT76" s="500"/>
      <c r="AU76" s="501"/>
      <c r="AV76" s="500"/>
      <c r="AW76" s="500"/>
      <c r="AX76" s="500"/>
      <c r="AY76" s="576"/>
      <c r="AZ76" s="576"/>
      <c r="BA76" s="576"/>
      <c r="BB76" s="576"/>
      <c r="BC76" s="576"/>
      <c r="BD76" s="576"/>
      <c r="BE76" s="576"/>
      <c r="BF76" s="576"/>
      <c r="BG76" s="576"/>
      <c r="BH76" s="576"/>
      <c r="BI76" s="576"/>
      <c r="BJ76" s="576"/>
      <c r="BK76" s="576"/>
      <c r="BL76" s="576"/>
      <c r="BM76" s="576"/>
      <c r="BN76" s="576"/>
      <c r="BO76" s="576"/>
      <c r="BP76" s="576"/>
      <c r="BQ76" s="576"/>
      <c r="BR76" s="576"/>
      <c r="BS76" s="576"/>
      <c r="BT76" s="576"/>
      <c r="BU76" s="576"/>
      <c r="BV76" s="576"/>
      <c r="BW76" s="576"/>
      <c r="BX76" s="576"/>
      <c r="BY76" s="576"/>
      <c r="BZ76" s="576"/>
      <c r="CA76" s="576"/>
      <c r="CB76" s="576"/>
      <c r="CC76" s="576"/>
      <c r="CD76" s="576"/>
      <c r="CE76" s="576"/>
      <c r="CF76" s="576"/>
      <c r="CG76" s="576"/>
      <c r="CH76" s="576"/>
      <c r="CI76" s="576"/>
      <c r="CJ76" s="576"/>
      <c r="CK76" s="576"/>
      <c r="CL76" s="576"/>
      <c r="CM76" s="576"/>
      <c r="CN76" s="576"/>
      <c r="CO76" s="576"/>
      <c r="CP76" s="576"/>
      <c r="CQ76" s="576"/>
      <c r="CR76" s="576"/>
      <c r="CS76" s="576"/>
      <c r="CT76" s="576"/>
      <c r="CU76" s="576"/>
      <c r="CV76" s="576"/>
      <c r="CW76" s="576"/>
      <c r="CX76" s="576"/>
      <c r="CY76" s="576"/>
      <c r="CZ76" s="576"/>
      <c r="DA76" s="576"/>
      <c r="DB76" s="576"/>
      <c r="DC76" s="576"/>
      <c r="DD76" s="576"/>
      <c r="DE76" s="576"/>
      <c r="DF76" s="576"/>
      <c r="DG76" s="576"/>
      <c r="DH76" s="116"/>
      <c r="DI76" s="112"/>
      <c r="DJ76">
        <f ca="1">INDIRECT(ADDRESS(ROW()+1,COLUMN(Arbeitszeit!xDay),,,"Arbeitszeit"))</f>
        <v>5</v>
      </c>
    </row>
    <row r="77" spans="1:114">
      <c r="A77" s="462">
        <f>Arbeitszeit!A78</f>
        <v>44906</v>
      </c>
      <c r="B77" s="463">
        <f t="shared" si="5"/>
        <v>44906</v>
      </c>
      <c r="C77" s="146">
        <f t="shared" si="6"/>
        <v>50</v>
      </c>
      <c r="D77" s="145">
        <f t="shared" si="7"/>
        <v>44895</v>
      </c>
      <c r="E77" s="510">
        <f>Arbeitszeit!V78*24</f>
        <v>0</v>
      </c>
      <c r="F77" s="574">
        <f t="shared" si="4"/>
        <v>0</v>
      </c>
      <c r="G77" s="113">
        <f>IF(Arbeitszeit!F78=Urlaub,B_WorkTime*24,)</f>
        <v>0</v>
      </c>
      <c r="H77" s="111"/>
      <c r="I77" s="113">
        <f>IF(Arbeitszeit!F78=Krank,B_WorkTime*24,)</f>
        <v>0</v>
      </c>
      <c r="J77" s="111"/>
      <c r="K77" s="114"/>
      <c r="L77" s="115"/>
      <c r="M77" s="498"/>
      <c r="N77" s="499"/>
      <c r="O77" s="498"/>
      <c r="P77" s="499"/>
      <c r="Q77" s="498"/>
      <c r="R77" s="499"/>
      <c r="S77" s="498"/>
      <c r="T77" s="499"/>
      <c r="U77" s="498"/>
      <c r="V77" s="499"/>
      <c r="W77" s="498"/>
      <c r="X77" s="499"/>
      <c r="Y77" s="498"/>
      <c r="Z77" s="499"/>
      <c r="AA77" s="498"/>
      <c r="AB77" s="499"/>
      <c r="AC77" s="498"/>
      <c r="AD77" s="499"/>
      <c r="AE77" s="498"/>
      <c r="AF77" s="500"/>
      <c r="AG77" s="498"/>
      <c r="AH77" s="500"/>
      <c r="AI77" s="498"/>
      <c r="AJ77" s="500"/>
      <c r="AK77" s="498"/>
      <c r="AL77" s="500"/>
      <c r="AM77" s="501"/>
      <c r="AN77" s="500"/>
      <c r="AO77" s="498"/>
      <c r="AP77" s="500"/>
      <c r="AQ77" s="501"/>
      <c r="AR77" s="500"/>
      <c r="AS77" s="500"/>
      <c r="AT77" s="500"/>
      <c r="AU77" s="501"/>
      <c r="AV77" s="500"/>
      <c r="AW77" s="500"/>
      <c r="AX77" s="500"/>
      <c r="AY77" s="576"/>
      <c r="AZ77" s="576"/>
      <c r="BA77" s="576"/>
      <c r="BB77" s="576"/>
      <c r="BC77" s="576"/>
      <c r="BD77" s="576"/>
      <c r="BE77" s="576"/>
      <c r="BF77" s="576"/>
      <c r="BG77" s="576"/>
      <c r="BH77" s="576"/>
      <c r="BI77" s="576"/>
      <c r="BJ77" s="576"/>
      <c r="BK77" s="576"/>
      <c r="BL77" s="576"/>
      <c r="BM77" s="576"/>
      <c r="BN77" s="576"/>
      <c r="BO77" s="576"/>
      <c r="BP77" s="576"/>
      <c r="BQ77" s="576"/>
      <c r="BR77" s="576"/>
      <c r="BS77" s="576"/>
      <c r="BT77" s="576"/>
      <c r="BU77" s="576"/>
      <c r="BV77" s="576"/>
      <c r="BW77" s="576"/>
      <c r="BX77" s="576"/>
      <c r="BY77" s="576"/>
      <c r="BZ77" s="576"/>
      <c r="CA77" s="576"/>
      <c r="CB77" s="576"/>
      <c r="CC77" s="576"/>
      <c r="CD77" s="576"/>
      <c r="CE77" s="576"/>
      <c r="CF77" s="576"/>
      <c r="CG77" s="576"/>
      <c r="CH77" s="576"/>
      <c r="CI77" s="576"/>
      <c r="CJ77" s="576"/>
      <c r="CK77" s="576"/>
      <c r="CL77" s="576"/>
      <c r="CM77" s="576"/>
      <c r="CN77" s="576"/>
      <c r="CO77" s="576"/>
      <c r="CP77" s="576"/>
      <c r="CQ77" s="576"/>
      <c r="CR77" s="576"/>
      <c r="CS77" s="576"/>
      <c r="CT77" s="576"/>
      <c r="CU77" s="576"/>
      <c r="CV77" s="576"/>
      <c r="CW77" s="576"/>
      <c r="CX77" s="576"/>
      <c r="CY77" s="576"/>
      <c r="CZ77" s="576"/>
      <c r="DA77" s="576"/>
      <c r="DB77" s="576"/>
      <c r="DC77" s="576"/>
      <c r="DD77" s="576"/>
      <c r="DE77" s="576"/>
      <c r="DF77" s="576"/>
      <c r="DG77" s="576"/>
      <c r="DH77" s="116"/>
      <c r="DI77" s="112"/>
      <c r="DJ77">
        <f ca="1">INDIRECT(ADDRESS(ROW()+1,COLUMN(Arbeitszeit!xDay),,,"Arbeitszeit"))</f>
        <v>6</v>
      </c>
    </row>
    <row r="78" spans="1:114">
      <c r="A78" s="462">
        <f>Arbeitszeit!A79</f>
        <v>44907</v>
      </c>
      <c r="B78" s="463">
        <f t="shared" si="5"/>
        <v>44907</v>
      </c>
      <c r="C78" s="146">
        <f t="shared" si="6"/>
        <v>50</v>
      </c>
      <c r="D78" s="145">
        <f t="shared" si="7"/>
        <v>44895</v>
      </c>
      <c r="E78" s="510">
        <f>Arbeitszeit!V79*24</f>
        <v>0</v>
      </c>
      <c r="F78" s="574">
        <f t="shared" si="4"/>
        <v>0</v>
      </c>
      <c r="G78" s="113">
        <f>IF(Arbeitszeit!F79=Urlaub,B_WorkTime*24,)</f>
        <v>0</v>
      </c>
      <c r="H78" s="111"/>
      <c r="I78" s="113">
        <f>IF(Arbeitszeit!F79=Krank,B_WorkTime*24,)</f>
        <v>0</v>
      </c>
      <c r="J78" s="111"/>
      <c r="K78" s="114"/>
      <c r="L78" s="115"/>
      <c r="M78" s="498"/>
      <c r="N78" s="499"/>
      <c r="O78" s="498"/>
      <c r="P78" s="499"/>
      <c r="Q78" s="498"/>
      <c r="R78" s="499"/>
      <c r="S78" s="498"/>
      <c r="T78" s="499"/>
      <c r="U78" s="498"/>
      <c r="V78" s="499"/>
      <c r="W78" s="498"/>
      <c r="X78" s="499"/>
      <c r="Y78" s="498"/>
      <c r="Z78" s="499"/>
      <c r="AA78" s="498"/>
      <c r="AB78" s="499"/>
      <c r="AC78" s="498"/>
      <c r="AD78" s="499"/>
      <c r="AE78" s="498"/>
      <c r="AF78" s="500"/>
      <c r="AG78" s="498"/>
      <c r="AH78" s="500"/>
      <c r="AI78" s="498"/>
      <c r="AJ78" s="500"/>
      <c r="AK78" s="498"/>
      <c r="AL78" s="500"/>
      <c r="AM78" s="501"/>
      <c r="AN78" s="500"/>
      <c r="AO78" s="498"/>
      <c r="AP78" s="500"/>
      <c r="AQ78" s="501"/>
      <c r="AR78" s="500"/>
      <c r="AS78" s="500"/>
      <c r="AT78" s="500"/>
      <c r="AU78" s="501"/>
      <c r="AV78" s="500"/>
      <c r="AW78" s="500"/>
      <c r="AX78" s="500"/>
      <c r="AY78" s="576"/>
      <c r="AZ78" s="576"/>
      <c r="BA78" s="576"/>
      <c r="BB78" s="576"/>
      <c r="BC78" s="576"/>
      <c r="BD78" s="576"/>
      <c r="BE78" s="576"/>
      <c r="BF78" s="576"/>
      <c r="BG78" s="576"/>
      <c r="BH78" s="576"/>
      <c r="BI78" s="576"/>
      <c r="BJ78" s="576"/>
      <c r="BK78" s="576"/>
      <c r="BL78" s="576"/>
      <c r="BM78" s="576"/>
      <c r="BN78" s="576"/>
      <c r="BO78" s="576"/>
      <c r="BP78" s="576"/>
      <c r="BQ78" s="576"/>
      <c r="BR78" s="576"/>
      <c r="BS78" s="576"/>
      <c r="BT78" s="576"/>
      <c r="BU78" s="576"/>
      <c r="BV78" s="576"/>
      <c r="BW78" s="576"/>
      <c r="BX78" s="576"/>
      <c r="BY78" s="576"/>
      <c r="BZ78" s="576"/>
      <c r="CA78" s="576"/>
      <c r="CB78" s="576"/>
      <c r="CC78" s="576"/>
      <c r="CD78" s="576"/>
      <c r="CE78" s="576"/>
      <c r="CF78" s="576"/>
      <c r="CG78" s="576"/>
      <c r="CH78" s="576"/>
      <c r="CI78" s="576"/>
      <c r="CJ78" s="576"/>
      <c r="CK78" s="576"/>
      <c r="CL78" s="576"/>
      <c r="CM78" s="576"/>
      <c r="CN78" s="576"/>
      <c r="CO78" s="576"/>
      <c r="CP78" s="576"/>
      <c r="CQ78" s="576"/>
      <c r="CR78" s="576"/>
      <c r="CS78" s="576"/>
      <c r="CT78" s="576"/>
      <c r="CU78" s="576"/>
      <c r="CV78" s="576"/>
      <c r="CW78" s="576"/>
      <c r="CX78" s="576"/>
      <c r="CY78" s="576"/>
      <c r="CZ78" s="576"/>
      <c r="DA78" s="576"/>
      <c r="DB78" s="576"/>
      <c r="DC78" s="576"/>
      <c r="DD78" s="576"/>
      <c r="DE78" s="576"/>
      <c r="DF78" s="576"/>
      <c r="DG78" s="576"/>
      <c r="DH78" s="116"/>
      <c r="DI78" s="112"/>
      <c r="DJ78">
        <f ca="1">INDIRECT(ADDRESS(ROW()+1,COLUMN(Arbeitszeit!xDay),,,"Arbeitszeit"))</f>
        <v>7</v>
      </c>
    </row>
    <row r="79" spans="1:114">
      <c r="A79" s="462">
        <f>Arbeitszeit!A80</f>
        <v>44908</v>
      </c>
      <c r="B79" s="463">
        <f t="shared" si="5"/>
        <v>44908</v>
      </c>
      <c r="C79" s="146">
        <f t="shared" si="6"/>
        <v>51</v>
      </c>
      <c r="D79" s="145">
        <f t="shared" si="7"/>
        <v>44895</v>
      </c>
      <c r="E79" s="510">
        <f>Arbeitszeit!V80*24</f>
        <v>0</v>
      </c>
      <c r="F79" s="574">
        <f t="shared" si="4"/>
        <v>0</v>
      </c>
      <c r="G79" s="113">
        <f>IF(Arbeitszeit!F80=Urlaub,B_WorkTime*24,)</f>
        <v>0</v>
      </c>
      <c r="H79" s="111"/>
      <c r="I79" s="113">
        <f>IF(Arbeitszeit!F80=Krank,B_WorkTime*24,)</f>
        <v>0</v>
      </c>
      <c r="J79" s="111"/>
      <c r="K79" s="114"/>
      <c r="L79" s="115"/>
      <c r="M79" s="498"/>
      <c r="N79" s="499"/>
      <c r="O79" s="498"/>
      <c r="P79" s="499"/>
      <c r="Q79" s="498"/>
      <c r="R79" s="499"/>
      <c r="S79" s="498"/>
      <c r="T79" s="499"/>
      <c r="U79" s="498"/>
      <c r="V79" s="499"/>
      <c r="W79" s="498"/>
      <c r="X79" s="499"/>
      <c r="Y79" s="498"/>
      <c r="Z79" s="499"/>
      <c r="AA79" s="498"/>
      <c r="AB79" s="499"/>
      <c r="AC79" s="498"/>
      <c r="AD79" s="499"/>
      <c r="AE79" s="498"/>
      <c r="AF79" s="500"/>
      <c r="AG79" s="498"/>
      <c r="AH79" s="500"/>
      <c r="AI79" s="498"/>
      <c r="AJ79" s="500"/>
      <c r="AK79" s="498"/>
      <c r="AL79" s="500"/>
      <c r="AM79" s="501"/>
      <c r="AN79" s="500"/>
      <c r="AO79" s="498"/>
      <c r="AP79" s="500"/>
      <c r="AQ79" s="501"/>
      <c r="AR79" s="500"/>
      <c r="AS79" s="500"/>
      <c r="AT79" s="500"/>
      <c r="AU79" s="501"/>
      <c r="AV79" s="500"/>
      <c r="AW79" s="500"/>
      <c r="AX79" s="500"/>
      <c r="AY79" s="576"/>
      <c r="AZ79" s="576"/>
      <c r="BA79" s="576"/>
      <c r="BB79" s="576"/>
      <c r="BC79" s="576"/>
      <c r="BD79" s="576"/>
      <c r="BE79" s="576"/>
      <c r="BF79" s="576"/>
      <c r="BG79" s="576"/>
      <c r="BH79" s="576"/>
      <c r="BI79" s="576"/>
      <c r="BJ79" s="576"/>
      <c r="BK79" s="576"/>
      <c r="BL79" s="576"/>
      <c r="BM79" s="576"/>
      <c r="BN79" s="576"/>
      <c r="BO79" s="576"/>
      <c r="BP79" s="576"/>
      <c r="BQ79" s="576"/>
      <c r="BR79" s="576"/>
      <c r="BS79" s="576"/>
      <c r="BT79" s="576"/>
      <c r="BU79" s="576"/>
      <c r="BV79" s="576"/>
      <c r="BW79" s="576"/>
      <c r="BX79" s="576"/>
      <c r="BY79" s="576"/>
      <c r="BZ79" s="576"/>
      <c r="CA79" s="576"/>
      <c r="CB79" s="576"/>
      <c r="CC79" s="576"/>
      <c r="CD79" s="576"/>
      <c r="CE79" s="576"/>
      <c r="CF79" s="576"/>
      <c r="CG79" s="576"/>
      <c r="CH79" s="576"/>
      <c r="CI79" s="576"/>
      <c r="CJ79" s="576"/>
      <c r="CK79" s="576"/>
      <c r="CL79" s="576"/>
      <c r="CM79" s="576"/>
      <c r="CN79" s="576"/>
      <c r="CO79" s="576"/>
      <c r="CP79" s="576"/>
      <c r="CQ79" s="576"/>
      <c r="CR79" s="576"/>
      <c r="CS79" s="576"/>
      <c r="CT79" s="576"/>
      <c r="CU79" s="576"/>
      <c r="CV79" s="576"/>
      <c r="CW79" s="576"/>
      <c r="CX79" s="576"/>
      <c r="CY79" s="576"/>
      <c r="CZ79" s="576"/>
      <c r="DA79" s="576"/>
      <c r="DB79" s="576"/>
      <c r="DC79" s="576"/>
      <c r="DD79" s="576"/>
      <c r="DE79" s="576"/>
      <c r="DF79" s="576"/>
      <c r="DG79" s="576"/>
      <c r="DH79" s="116"/>
      <c r="DI79" s="112"/>
      <c r="DJ79">
        <f ca="1">INDIRECT(ADDRESS(ROW()+1,COLUMN(Arbeitszeit!xDay),,,"Arbeitszeit"))</f>
        <v>1</v>
      </c>
    </row>
    <row r="80" spans="1:114">
      <c r="A80" s="462">
        <f>Arbeitszeit!A81</f>
        <v>44909</v>
      </c>
      <c r="B80" s="463">
        <f t="shared" si="5"/>
        <v>44909</v>
      </c>
      <c r="C80" s="146">
        <f t="shared" si="6"/>
        <v>51</v>
      </c>
      <c r="D80" s="145">
        <f t="shared" si="7"/>
        <v>44895</v>
      </c>
      <c r="E80" s="510">
        <f>Arbeitszeit!V81*24</f>
        <v>0</v>
      </c>
      <c r="F80" s="574">
        <f t="shared" si="4"/>
        <v>0</v>
      </c>
      <c r="G80" s="113">
        <f>IF(Arbeitszeit!F81=Urlaub,B_WorkTime*24,)</f>
        <v>0</v>
      </c>
      <c r="H80" s="111"/>
      <c r="I80" s="113">
        <f>IF(Arbeitszeit!F81=Krank,B_WorkTime*24,)</f>
        <v>0</v>
      </c>
      <c r="J80" s="111"/>
      <c r="K80" s="114"/>
      <c r="L80" s="115"/>
      <c r="M80" s="498"/>
      <c r="N80" s="499"/>
      <c r="O80" s="498"/>
      <c r="P80" s="499"/>
      <c r="Q80" s="498"/>
      <c r="R80" s="499"/>
      <c r="S80" s="498"/>
      <c r="T80" s="499"/>
      <c r="U80" s="498"/>
      <c r="V80" s="499"/>
      <c r="W80" s="498"/>
      <c r="X80" s="499"/>
      <c r="Y80" s="498"/>
      <c r="Z80" s="499"/>
      <c r="AA80" s="498"/>
      <c r="AB80" s="499"/>
      <c r="AC80" s="498"/>
      <c r="AD80" s="499"/>
      <c r="AE80" s="498"/>
      <c r="AF80" s="500"/>
      <c r="AG80" s="498"/>
      <c r="AH80" s="500"/>
      <c r="AI80" s="498"/>
      <c r="AJ80" s="500"/>
      <c r="AK80" s="498"/>
      <c r="AL80" s="500"/>
      <c r="AM80" s="501"/>
      <c r="AN80" s="500"/>
      <c r="AO80" s="498"/>
      <c r="AP80" s="500"/>
      <c r="AQ80" s="501"/>
      <c r="AR80" s="500"/>
      <c r="AS80" s="500"/>
      <c r="AT80" s="500"/>
      <c r="AU80" s="501"/>
      <c r="AV80" s="500"/>
      <c r="AW80" s="500"/>
      <c r="AX80" s="500"/>
      <c r="AY80" s="576"/>
      <c r="AZ80" s="576"/>
      <c r="BA80" s="576"/>
      <c r="BB80" s="576"/>
      <c r="BC80" s="576"/>
      <c r="BD80" s="576"/>
      <c r="BE80" s="576"/>
      <c r="BF80" s="576"/>
      <c r="BG80" s="576"/>
      <c r="BH80" s="576"/>
      <c r="BI80" s="576"/>
      <c r="BJ80" s="576"/>
      <c r="BK80" s="576"/>
      <c r="BL80" s="576"/>
      <c r="BM80" s="576"/>
      <c r="BN80" s="576"/>
      <c r="BO80" s="576"/>
      <c r="BP80" s="576"/>
      <c r="BQ80" s="576"/>
      <c r="BR80" s="576"/>
      <c r="BS80" s="576"/>
      <c r="BT80" s="576"/>
      <c r="BU80" s="576"/>
      <c r="BV80" s="576"/>
      <c r="BW80" s="576"/>
      <c r="BX80" s="576"/>
      <c r="BY80" s="576"/>
      <c r="BZ80" s="576"/>
      <c r="CA80" s="576"/>
      <c r="CB80" s="576"/>
      <c r="CC80" s="576"/>
      <c r="CD80" s="576"/>
      <c r="CE80" s="576"/>
      <c r="CF80" s="576"/>
      <c r="CG80" s="576"/>
      <c r="CH80" s="576"/>
      <c r="CI80" s="576"/>
      <c r="CJ80" s="576"/>
      <c r="CK80" s="576"/>
      <c r="CL80" s="576"/>
      <c r="CM80" s="576"/>
      <c r="CN80" s="576"/>
      <c r="CO80" s="576"/>
      <c r="CP80" s="576"/>
      <c r="CQ80" s="576"/>
      <c r="CR80" s="576"/>
      <c r="CS80" s="576"/>
      <c r="CT80" s="576"/>
      <c r="CU80" s="576"/>
      <c r="CV80" s="576"/>
      <c r="CW80" s="576"/>
      <c r="CX80" s="576"/>
      <c r="CY80" s="576"/>
      <c r="CZ80" s="576"/>
      <c r="DA80" s="576"/>
      <c r="DB80" s="576"/>
      <c r="DC80" s="576"/>
      <c r="DD80" s="576"/>
      <c r="DE80" s="576"/>
      <c r="DF80" s="576"/>
      <c r="DG80" s="576"/>
      <c r="DH80" s="116"/>
      <c r="DI80" s="112"/>
      <c r="DJ80">
        <f ca="1">INDIRECT(ADDRESS(ROW()+1,COLUMN(Arbeitszeit!xDay),,,"Arbeitszeit"))</f>
        <v>2</v>
      </c>
    </row>
    <row r="81" spans="1:114">
      <c r="A81" s="462">
        <f>Arbeitszeit!A82</f>
        <v>44910</v>
      </c>
      <c r="B81" s="463">
        <f t="shared" si="5"/>
        <v>44910</v>
      </c>
      <c r="C81" s="146">
        <f t="shared" si="6"/>
        <v>51</v>
      </c>
      <c r="D81" s="145">
        <f t="shared" si="7"/>
        <v>44895</v>
      </c>
      <c r="E81" s="510">
        <f>Arbeitszeit!V82*24</f>
        <v>0</v>
      </c>
      <c r="F81" s="574">
        <f t="shared" si="4"/>
        <v>0</v>
      </c>
      <c r="G81" s="113">
        <f>IF(Arbeitszeit!F82=Urlaub,B_WorkTime*24,)</f>
        <v>0</v>
      </c>
      <c r="H81" s="111"/>
      <c r="I81" s="113">
        <f>IF(Arbeitszeit!F82=Krank,B_WorkTime*24,)</f>
        <v>0</v>
      </c>
      <c r="J81" s="111"/>
      <c r="K81" s="114"/>
      <c r="L81" s="115"/>
      <c r="M81" s="498"/>
      <c r="N81" s="499"/>
      <c r="O81" s="498"/>
      <c r="P81" s="499"/>
      <c r="Q81" s="498"/>
      <c r="R81" s="499"/>
      <c r="S81" s="498"/>
      <c r="T81" s="499"/>
      <c r="U81" s="498"/>
      <c r="V81" s="499"/>
      <c r="W81" s="498"/>
      <c r="X81" s="499"/>
      <c r="Y81" s="498"/>
      <c r="Z81" s="499"/>
      <c r="AA81" s="498"/>
      <c r="AB81" s="499"/>
      <c r="AC81" s="498"/>
      <c r="AD81" s="499"/>
      <c r="AE81" s="498"/>
      <c r="AF81" s="500"/>
      <c r="AG81" s="498"/>
      <c r="AH81" s="500"/>
      <c r="AI81" s="498"/>
      <c r="AJ81" s="500"/>
      <c r="AK81" s="498"/>
      <c r="AL81" s="500"/>
      <c r="AM81" s="501"/>
      <c r="AN81" s="500"/>
      <c r="AO81" s="498"/>
      <c r="AP81" s="500"/>
      <c r="AQ81" s="501"/>
      <c r="AR81" s="500"/>
      <c r="AS81" s="500"/>
      <c r="AT81" s="500"/>
      <c r="AU81" s="501"/>
      <c r="AV81" s="500"/>
      <c r="AW81" s="500"/>
      <c r="AX81" s="500"/>
      <c r="AY81" s="576"/>
      <c r="AZ81" s="576"/>
      <c r="BA81" s="576"/>
      <c r="BB81" s="576"/>
      <c r="BC81" s="576"/>
      <c r="BD81" s="576"/>
      <c r="BE81" s="576"/>
      <c r="BF81" s="576"/>
      <c r="BG81" s="576"/>
      <c r="BH81" s="576"/>
      <c r="BI81" s="576"/>
      <c r="BJ81" s="576"/>
      <c r="BK81" s="576"/>
      <c r="BL81" s="576"/>
      <c r="BM81" s="576"/>
      <c r="BN81" s="576"/>
      <c r="BO81" s="576"/>
      <c r="BP81" s="576"/>
      <c r="BQ81" s="576"/>
      <c r="BR81" s="576"/>
      <c r="BS81" s="576"/>
      <c r="BT81" s="576"/>
      <c r="BU81" s="576"/>
      <c r="BV81" s="576"/>
      <c r="BW81" s="576"/>
      <c r="BX81" s="576"/>
      <c r="BY81" s="576"/>
      <c r="BZ81" s="576"/>
      <c r="CA81" s="576"/>
      <c r="CB81" s="576"/>
      <c r="CC81" s="576"/>
      <c r="CD81" s="576"/>
      <c r="CE81" s="576"/>
      <c r="CF81" s="576"/>
      <c r="CG81" s="576"/>
      <c r="CH81" s="576"/>
      <c r="CI81" s="576"/>
      <c r="CJ81" s="576"/>
      <c r="CK81" s="576"/>
      <c r="CL81" s="576"/>
      <c r="CM81" s="576"/>
      <c r="CN81" s="576"/>
      <c r="CO81" s="576"/>
      <c r="CP81" s="576"/>
      <c r="CQ81" s="576"/>
      <c r="CR81" s="576"/>
      <c r="CS81" s="576"/>
      <c r="CT81" s="576"/>
      <c r="CU81" s="576"/>
      <c r="CV81" s="576"/>
      <c r="CW81" s="576"/>
      <c r="CX81" s="576"/>
      <c r="CY81" s="576"/>
      <c r="CZ81" s="576"/>
      <c r="DA81" s="576"/>
      <c r="DB81" s="576"/>
      <c r="DC81" s="576"/>
      <c r="DD81" s="576"/>
      <c r="DE81" s="576"/>
      <c r="DF81" s="576"/>
      <c r="DG81" s="576"/>
      <c r="DH81" s="116"/>
      <c r="DI81" s="112"/>
      <c r="DJ81">
        <f ca="1">INDIRECT(ADDRESS(ROW()+1,COLUMN(Arbeitszeit!xDay),,,"Arbeitszeit"))</f>
        <v>3</v>
      </c>
    </row>
    <row r="82" spans="1:114">
      <c r="A82" s="462">
        <f>Arbeitszeit!A83</f>
        <v>44911</v>
      </c>
      <c r="B82" s="463">
        <f t="shared" si="5"/>
        <v>44911</v>
      </c>
      <c r="C82" s="146">
        <f t="shared" si="6"/>
        <v>51</v>
      </c>
      <c r="D82" s="145">
        <f t="shared" si="7"/>
        <v>44895</v>
      </c>
      <c r="E82" s="510">
        <f>Arbeitszeit!V83*24</f>
        <v>0</v>
      </c>
      <c r="F82" s="574">
        <f t="shared" si="4"/>
        <v>0</v>
      </c>
      <c r="G82" s="113">
        <f>IF(Arbeitszeit!F83=Urlaub,B_WorkTime*24,)</f>
        <v>0</v>
      </c>
      <c r="H82" s="111"/>
      <c r="I82" s="113">
        <f>IF(Arbeitszeit!F83=Krank,B_WorkTime*24,)</f>
        <v>0</v>
      </c>
      <c r="J82" s="111"/>
      <c r="K82" s="114"/>
      <c r="L82" s="115"/>
      <c r="M82" s="498"/>
      <c r="N82" s="499"/>
      <c r="O82" s="498"/>
      <c r="P82" s="499"/>
      <c r="Q82" s="498"/>
      <c r="R82" s="499"/>
      <c r="S82" s="498"/>
      <c r="T82" s="499"/>
      <c r="U82" s="498"/>
      <c r="V82" s="499"/>
      <c r="W82" s="498"/>
      <c r="X82" s="499"/>
      <c r="Y82" s="498"/>
      <c r="Z82" s="499"/>
      <c r="AA82" s="498"/>
      <c r="AB82" s="499"/>
      <c r="AC82" s="498"/>
      <c r="AD82" s="499"/>
      <c r="AE82" s="498"/>
      <c r="AF82" s="500"/>
      <c r="AG82" s="498"/>
      <c r="AH82" s="500"/>
      <c r="AI82" s="498"/>
      <c r="AJ82" s="500"/>
      <c r="AK82" s="498"/>
      <c r="AL82" s="500"/>
      <c r="AM82" s="501"/>
      <c r="AN82" s="500"/>
      <c r="AO82" s="498"/>
      <c r="AP82" s="500"/>
      <c r="AQ82" s="501"/>
      <c r="AR82" s="500"/>
      <c r="AS82" s="500"/>
      <c r="AT82" s="500"/>
      <c r="AU82" s="501"/>
      <c r="AV82" s="500"/>
      <c r="AW82" s="500"/>
      <c r="AX82" s="500"/>
      <c r="AY82" s="576"/>
      <c r="AZ82" s="576"/>
      <c r="BA82" s="576"/>
      <c r="BB82" s="576"/>
      <c r="BC82" s="576"/>
      <c r="BD82" s="576"/>
      <c r="BE82" s="576"/>
      <c r="BF82" s="576"/>
      <c r="BG82" s="576"/>
      <c r="BH82" s="576"/>
      <c r="BI82" s="576"/>
      <c r="BJ82" s="576"/>
      <c r="BK82" s="576"/>
      <c r="BL82" s="576"/>
      <c r="BM82" s="576"/>
      <c r="BN82" s="576"/>
      <c r="BO82" s="576"/>
      <c r="BP82" s="576"/>
      <c r="BQ82" s="576"/>
      <c r="BR82" s="576"/>
      <c r="BS82" s="576"/>
      <c r="BT82" s="576"/>
      <c r="BU82" s="576"/>
      <c r="BV82" s="576"/>
      <c r="BW82" s="576"/>
      <c r="BX82" s="576"/>
      <c r="BY82" s="576"/>
      <c r="BZ82" s="576"/>
      <c r="CA82" s="576"/>
      <c r="CB82" s="576"/>
      <c r="CC82" s="576"/>
      <c r="CD82" s="576"/>
      <c r="CE82" s="576"/>
      <c r="CF82" s="576"/>
      <c r="CG82" s="576"/>
      <c r="CH82" s="576"/>
      <c r="CI82" s="576"/>
      <c r="CJ82" s="576"/>
      <c r="CK82" s="576"/>
      <c r="CL82" s="576"/>
      <c r="CM82" s="576"/>
      <c r="CN82" s="576"/>
      <c r="CO82" s="576"/>
      <c r="CP82" s="576"/>
      <c r="CQ82" s="576"/>
      <c r="CR82" s="576"/>
      <c r="CS82" s="576"/>
      <c r="CT82" s="576"/>
      <c r="CU82" s="576"/>
      <c r="CV82" s="576"/>
      <c r="CW82" s="576"/>
      <c r="CX82" s="576"/>
      <c r="CY82" s="576"/>
      <c r="CZ82" s="576"/>
      <c r="DA82" s="576"/>
      <c r="DB82" s="576"/>
      <c r="DC82" s="576"/>
      <c r="DD82" s="576"/>
      <c r="DE82" s="576"/>
      <c r="DF82" s="576"/>
      <c r="DG82" s="576"/>
      <c r="DH82" s="116"/>
      <c r="DI82" s="112"/>
      <c r="DJ82">
        <f ca="1">INDIRECT(ADDRESS(ROW()+1,COLUMN(Arbeitszeit!xDay),,,"Arbeitszeit"))</f>
        <v>4</v>
      </c>
    </row>
    <row r="83" spans="1:114">
      <c r="A83" s="462">
        <f>Arbeitszeit!A84</f>
        <v>44912</v>
      </c>
      <c r="B83" s="463">
        <f t="shared" si="5"/>
        <v>44912</v>
      </c>
      <c r="C83" s="146">
        <f t="shared" si="6"/>
        <v>51</v>
      </c>
      <c r="D83" s="145">
        <f t="shared" si="7"/>
        <v>44895</v>
      </c>
      <c r="E83" s="510">
        <f>Arbeitszeit!V84*24</f>
        <v>0</v>
      </c>
      <c r="F83" s="574">
        <f t="shared" si="4"/>
        <v>0</v>
      </c>
      <c r="G83" s="113">
        <f>IF(Arbeitszeit!F84=Urlaub,B_WorkTime*24,)</f>
        <v>0</v>
      </c>
      <c r="H83" s="111"/>
      <c r="I83" s="113">
        <f>IF(Arbeitszeit!F84=Krank,B_WorkTime*24,)</f>
        <v>0</v>
      </c>
      <c r="J83" s="111"/>
      <c r="K83" s="114"/>
      <c r="L83" s="115"/>
      <c r="M83" s="498"/>
      <c r="N83" s="499"/>
      <c r="O83" s="498"/>
      <c r="P83" s="499"/>
      <c r="Q83" s="498"/>
      <c r="R83" s="499"/>
      <c r="S83" s="498"/>
      <c r="T83" s="499"/>
      <c r="U83" s="498"/>
      <c r="V83" s="499"/>
      <c r="W83" s="498"/>
      <c r="X83" s="499"/>
      <c r="Y83" s="498"/>
      <c r="Z83" s="499"/>
      <c r="AA83" s="498"/>
      <c r="AB83" s="499"/>
      <c r="AC83" s="498"/>
      <c r="AD83" s="499"/>
      <c r="AE83" s="498"/>
      <c r="AF83" s="500"/>
      <c r="AG83" s="498"/>
      <c r="AH83" s="500"/>
      <c r="AI83" s="498"/>
      <c r="AJ83" s="500"/>
      <c r="AK83" s="498"/>
      <c r="AL83" s="500"/>
      <c r="AM83" s="501"/>
      <c r="AN83" s="500"/>
      <c r="AO83" s="498"/>
      <c r="AP83" s="500"/>
      <c r="AQ83" s="501"/>
      <c r="AR83" s="500"/>
      <c r="AS83" s="500"/>
      <c r="AT83" s="500"/>
      <c r="AU83" s="501"/>
      <c r="AV83" s="500"/>
      <c r="AW83" s="500"/>
      <c r="AX83" s="500"/>
      <c r="AY83" s="576"/>
      <c r="AZ83" s="576"/>
      <c r="BA83" s="576"/>
      <c r="BB83" s="576"/>
      <c r="BC83" s="576"/>
      <c r="BD83" s="576"/>
      <c r="BE83" s="576"/>
      <c r="BF83" s="576"/>
      <c r="BG83" s="576"/>
      <c r="BH83" s="576"/>
      <c r="BI83" s="576"/>
      <c r="BJ83" s="576"/>
      <c r="BK83" s="576"/>
      <c r="BL83" s="576"/>
      <c r="BM83" s="576"/>
      <c r="BN83" s="576"/>
      <c r="BO83" s="576"/>
      <c r="BP83" s="576"/>
      <c r="BQ83" s="576"/>
      <c r="BR83" s="576"/>
      <c r="BS83" s="576"/>
      <c r="BT83" s="576"/>
      <c r="BU83" s="576"/>
      <c r="BV83" s="576"/>
      <c r="BW83" s="576"/>
      <c r="BX83" s="576"/>
      <c r="BY83" s="576"/>
      <c r="BZ83" s="576"/>
      <c r="CA83" s="576"/>
      <c r="CB83" s="576"/>
      <c r="CC83" s="576"/>
      <c r="CD83" s="576"/>
      <c r="CE83" s="576"/>
      <c r="CF83" s="576"/>
      <c r="CG83" s="576"/>
      <c r="CH83" s="576"/>
      <c r="CI83" s="576"/>
      <c r="CJ83" s="576"/>
      <c r="CK83" s="576"/>
      <c r="CL83" s="576"/>
      <c r="CM83" s="576"/>
      <c r="CN83" s="576"/>
      <c r="CO83" s="576"/>
      <c r="CP83" s="576"/>
      <c r="CQ83" s="576"/>
      <c r="CR83" s="576"/>
      <c r="CS83" s="576"/>
      <c r="CT83" s="576"/>
      <c r="CU83" s="576"/>
      <c r="CV83" s="576"/>
      <c r="CW83" s="576"/>
      <c r="CX83" s="576"/>
      <c r="CY83" s="576"/>
      <c r="CZ83" s="576"/>
      <c r="DA83" s="576"/>
      <c r="DB83" s="576"/>
      <c r="DC83" s="576"/>
      <c r="DD83" s="576"/>
      <c r="DE83" s="576"/>
      <c r="DF83" s="576"/>
      <c r="DG83" s="576"/>
      <c r="DH83" s="116"/>
      <c r="DI83" s="112"/>
      <c r="DJ83">
        <f ca="1">INDIRECT(ADDRESS(ROW()+1,COLUMN(Arbeitszeit!xDay),,,"Arbeitszeit"))</f>
        <v>5</v>
      </c>
    </row>
    <row r="84" spans="1:114">
      <c r="A84" s="462">
        <f>Arbeitszeit!A85</f>
        <v>44913</v>
      </c>
      <c r="B84" s="463">
        <f t="shared" si="5"/>
        <v>44913</v>
      </c>
      <c r="C84" s="146">
        <f t="shared" si="6"/>
        <v>51</v>
      </c>
      <c r="D84" s="145">
        <f t="shared" si="7"/>
        <v>44895</v>
      </c>
      <c r="E84" s="510">
        <f>Arbeitszeit!V85*24</f>
        <v>0</v>
      </c>
      <c r="F84" s="574">
        <f t="shared" si="4"/>
        <v>0</v>
      </c>
      <c r="G84" s="113">
        <f>IF(Arbeitszeit!F85=Urlaub,B_WorkTime*24,)</f>
        <v>0</v>
      </c>
      <c r="H84" s="111"/>
      <c r="I84" s="113">
        <f>IF(Arbeitszeit!F85=Krank,B_WorkTime*24,)</f>
        <v>0</v>
      </c>
      <c r="J84" s="111"/>
      <c r="K84" s="114"/>
      <c r="L84" s="115"/>
      <c r="M84" s="498"/>
      <c r="N84" s="499"/>
      <c r="O84" s="498"/>
      <c r="P84" s="499"/>
      <c r="Q84" s="498"/>
      <c r="R84" s="499"/>
      <c r="S84" s="498"/>
      <c r="T84" s="499"/>
      <c r="U84" s="498"/>
      <c r="V84" s="499"/>
      <c r="W84" s="498"/>
      <c r="X84" s="499"/>
      <c r="Y84" s="498"/>
      <c r="Z84" s="499"/>
      <c r="AA84" s="498"/>
      <c r="AB84" s="499"/>
      <c r="AC84" s="498"/>
      <c r="AD84" s="499"/>
      <c r="AE84" s="498"/>
      <c r="AF84" s="500"/>
      <c r="AG84" s="498"/>
      <c r="AH84" s="500"/>
      <c r="AI84" s="498"/>
      <c r="AJ84" s="500"/>
      <c r="AK84" s="498"/>
      <c r="AL84" s="500"/>
      <c r="AM84" s="501"/>
      <c r="AN84" s="500"/>
      <c r="AO84" s="498"/>
      <c r="AP84" s="500"/>
      <c r="AQ84" s="501"/>
      <c r="AR84" s="500"/>
      <c r="AS84" s="500"/>
      <c r="AT84" s="500"/>
      <c r="AU84" s="501"/>
      <c r="AV84" s="500"/>
      <c r="AW84" s="500"/>
      <c r="AX84" s="500"/>
      <c r="AY84" s="576"/>
      <c r="AZ84" s="576"/>
      <c r="BA84" s="576"/>
      <c r="BB84" s="576"/>
      <c r="BC84" s="576"/>
      <c r="BD84" s="576"/>
      <c r="BE84" s="576"/>
      <c r="BF84" s="576"/>
      <c r="BG84" s="576"/>
      <c r="BH84" s="576"/>
      <c r="BI84" s="576"/>
      <c r="BJ84" s="576"/>
      <c r="BK84" s="576"/>
      <c r="BL84" s="576"/>
      <c r="BM84" s="576"/>
      <c r="BN84" s="576"/>
      <c r="BO84" s="576"/>
      <c r="BP84" s="576"/>
      <c r="BQ84" s="576"/>
      <c r="BR84" s="576"/>
      <c r="BS84" s="576"/>
      <c r="BT84" s="576"/>
      <c r="BU84" s="576"/>
      <c r="BV84" s="576"/>
      <c r="BW84" s="576"/>
      <c r="BX84" s="576"/>
      <c r="BY84" s="576"/>
      <c r="BZ84" s="576"/>
      <c r="CA84" s="576"/>
      <c r="CB84" s="576"/>
      <c r="CC84" s="576"/>
      <c r="CD84" s="576"/>
      <c r="CE84" s="576"/>
      <c r="CF84" s="576"/>
      <c r="CG84" s="576"/>
      <c r="CH84" s="576"/>
      <c r="CI84" s="576"/>
      <c r="CJ84" s="576"/>
      <c r="CK84" s="576"/>
      <c r="CL84" s="576"/>
      <c r="CM84" s="576"/>
      <c r="CN84" s="576"/>
      <c r="CO84" s="576"/>
      <c r="CP84" s="576"/>
      <c r="CQ84" s="576"/>
      <c r="CR84" s="576"/>
      <c r="CS84" s="576"/>
      <c r="CT84" s="576"/>
      <c r="CU84" s="576"/>
      <c r="CV84" s="576"/>
      <c r="CW84" s="576"/>
      <c r="CX84" s="576"/>
      <c r="CY84" s="576"/>
      <c r="CZ84" s="576"/>
      <c r="DA84" s="576"/>
      <c r="DB84" s="576"/>
      <c r="DC84" s="576"/>
      <c r="DD84" s="576"/>
      <c r="DE84" s="576"/>
      <c r="DF84" s="576"/>
      <c r="DG84" s="576"/>
      <c r="DH84" s="116"/>
      <c r="DI84" s="112"/>
      <c r="DJ84">
        <f ca="1">INDIRECT(ADDRESS(ROW()+1,COLUMN(Arbeitszeit!xDay),,,"Arbeitszeit"))</f>
        <v>6</v>
      </c>
    </row>
    <row r="85" spans="1:114">
      <c r="A85" s="462">
        <f>Arbeitszeit!A86</f>
        <v>44914</v>
      </c>
      <c r="B85" s="463">
        <f t="shared" si="5"/>
        <v>44914</v>
      </c>
      <c r="C85" s="146">
        <f t="shared" si="6"/>
        <v>51</v>
      </c>
      <c r="D85" s="145">
        <f t="shared" si="7"/>
        <v>44895</v>
      </c>
      <c r="E85" s="510">
        <f>Arbeitszeit!V86*24</f>
        <v>0</v>
      </c>
      <c r="F85" s="574">
        <f t="shared" si="4"/>
        <v>0</v>
      </c>
      <c r="G85" s="113">
        <f>IF(Arbeitszeit!F86=Urlaub,B_WorkTime*24,)</f>
        <v>0</v>
      </c>
      <c r="H85" s="111"/>
      <c r="I85" s="113">
        <f>IF(Arbeitszeit!F86=Krank,B_WorkTime*24,)</f>
        <v>0</v>
      </c>
      <c r="J85" s="111"/>
      <c r="K85" s="114"/>
      <c r="L85" s="115"/>
      <c r="M85" s="498"/>
      <c r="N85" s="499"/>
      <c r="O85" s="498"/>
      <c r="P85" s="499"/>
      <c r="Q85" s="498"/>
      <c r="R85" s="499"/>
      <c r="S85" s="498"/>
      <c r="T85" s="499"/>
      <c r="U85" s="498"/>
      <c r="V85" s="499"/>
      <c r="W85" s="498"/>
      <c r="X85" s="499"/>
      <c r="Y85" s="498"/>
      <c r="Z85" s="499"/>
      <c r="AA85" s="498"/>
      <c r="AB85" s="499"/>
      <c r="AC85" s="498"/>
      <c r="AD85" s="499"/>
      <c r="AE85" s="498"/>
      <c r="AF85" s="500"/>
      <c r="AG85" s="498"/>
      <c r="AH85" s="500"/>
      <c r="AI85" s="498"/>
      <c r="AJ85" s="500"/>
      <c r="AK85" s="498"/>
      <c r="AL85" s="500"/>
      <c r="AM85" s="501"/>
      <c r="AN85" s="500"/>
      <c r="AO85" s="498"/>
      <c r="AP85" s="500"/>
      <c r="AQ85" s="501"/>
      <c r="AR85" s="500"/>
      <c r="AS85" s="500"/>
      <c r="AT85" s="500"/>
      <c r="AU85" s="501"/>
      <c r="AV85" s="500"/>
      <c r="AW85" s="500"/>
      <c r="AX85" s="500"/>
      <c r="AY85" s="576"/>
      <c r="AZ85" s="576"/>
      <c r="BA85" s="576"/>
      <c r="BB85" s="576"/>
      <c r="BC85" s="576"/>
      <c r="BD85" s="576"/>
      <c r="BE85" s="576"/>
      <c r="BF85" s="576"/>
      <c r="BG85" s="576"/>
      <c r="BH85" s="576"/>
      <c r="BI85" s="576"/>
      <c r="BJ85" s="576"/>
      <c r="BK85" s="576"/>
      <c r="BL85" s="576"/>
      <c r="BM85" s="576"/>
      <c r="BN85" s="576"/>
      <c r="BO85" s="576"/>
      <c r="BP85" s="576"/>
      <c r="BQ85" s="576"/>
      <c r="BR85" s="576"/>
      <c r="BS85" s="576"/>
      <c r="BT85" s="576"/>
      <c r="BU85" s="576"/>
      <c r="BV85" s="576"/>
      <c r="BW85" s="576"/>
      <c r="BX85" s="576"/>
      <c r="BY85" s="576"/>
      <c r="BZ85" s="576"/>
      <c r="CA85" s="576"/>
      <c r="CB85" s="576"/>
      <c r="CC85" s="576"/>
      <c r="CD85" s="576"/>
      <c r="CE85" s="576"/>
      <c r="CF85" s="576"/>
      <c r="CG85" s="576"/>
      <c r="CH85" s="576"/>
      <c r="CI85" s="576"/>
      <c r="CJ85" s="576"/>
      <c r="CK85" s="576"/>
      <c r="CL85" s="576"/>
      <c r="CM85" s="576"/>
      <c r="CN85" s="576"/>
      <c r="CO85" s="576"/>
      <c r="CP85" s="576"/>
      <c r="CQ85" s="576"/>
      <c r="CR85" s="576"/>
      <c r="CS85" s="576"/>
      <c r="CT85" s="576"/>
      <c r="CU85" s="576"/>
      <c r="CV85" s="576"/>
      <c r="CW85" s="576"/>
      <c r="CX85" s="576"/>
      <c r="CY85" s="576"/>
      <c r="CZ85" s="576"/>
      <c r="DA85" s="576"/>
      <c r="DB85" s="576"/>
      <c r="DC85" s="576"/>
      <c r="DD85" s="576"/>
      <c r="DE85" s="576"/>
      <c r="DF85" s="576"/>
      <c r="DG85" s="576"/>
      <c r="DH85" s="116"/>
      <c r="DI85" s="112"/>
      <c r="DJ85">
        <f ca="1">INDIRECT(ADDRESS(ROW()+1,COLUMN(Arbeitszeit!xDay),,,"Arbeitszeit"))</f>
        <v>7</v>
      </c>
    </row>
    <row r="86" spans="1:114">
      <c r="A86" s="462">
        <f>Arbeitszeit!A87</f>
        <v>44915</v>
      </c>
      <c r="B86" s="463">
        <f t="shared" si="5"/>
        <v>44915</v>
      </c>
      <c r="C86" s="146">
        <f t="shared" si="6"/>
        <v>52</v>
      </c>
      <c r="D86" s="145">
        <f t="shared" si="7"/>
        <v>44895</v>
      </c>
      <c r="E86" s="510">
        <f>Arbeitszeit!V87*24</f>
        <v>0</v>
      </c>
      <c r="F86" s="574">
        <f t="shared" si="4"/>
        <v>0</v>
      </c>
      <c r="G86" s="113">
        <f>IF(Arbeitszeit!F87=Urlaub,B_WorkTime*24,)</f>
        <v>0</v>
      </c>
      <c r="H86" s="111"/>
      <c r="I86" s="113">
        <f>IF(Arbeitszeit!F87=Krank,B_WorkTime*24,)</f>
        <v>0</v>
      </c>
      <c r="J86" s="111"/>
      <c r="K86" s="114"/>
      <c r="L86" s="115"/>
      <c r="M86" s="498"/>
      <c r="N86" s="499"/>
      <c r="O86" s="498"/>
      <c r="P86" s="499"/>
      <c r="Q86" s="498"/>
      <c r="R86" s="499"/>
      <c r="S86" s="498"/>
      <c r="T86" s="499"/>
      <c r="U86" s="498"/>
      <c r="V86" s="499"/>
      <c r="W86" s="498"/>
      <c r="X86" s="499"/>
      <c r="Y86" s="498"/>
      <c r="Z86" s="499"/>
      <c r="AA86" s="498"/>
      <c r="AB86" s="499"/>
      <c r="AC86" s="498"/>
      <c r="AD86" s="499"/>
      <c r="AE86" s="498"/>
      <c r="AF86" s="500"/>
      <c r="AG86" s="498"/>
      <c r="AH86" s="500"/>
      <c r="AI86" s="498"/>
      <c r="AJ86" s="500"/>
      <c r="AK86" s="498"/>
      <c r="AL86" s="500"/>
      <c r="AM86" s="501"/>
      <c r="AN86" s="500"/>
      <c r="AO86" s="498"/>
      <c r="AP86" s="500"/>
      <c r="AQ86" s="501"/>
      <c r="AR86" s="500"/>
      <c r="AS86" s="500"/>
      <c r="AT86" s="500"/>
      <c r="AU86" s="501"/>
      <c r="AV86" s="500"/>
      <c r="AW86" s="500"/>
      <c r="AX86" s="500"/>
      <c r="AY86" s="576"/>
      <c r="AZ86" s="576"/>
      <c r="BA86" s="576"/>
      <c r="BB86" s="576"/>
      <c r="BC86" s="576"/>
      <c r="BD86" s="576"/>
      <c r="BE86" s="576"/>
      <c r="BF86" s="576"/>
      <c r="BG86" s="576"/>
      <c r="BH86" s="576"/>
      <c r="BI86" s="576"/>
      <c r="BJ86" s="576"/>
      <c r="BK86" s="576"/>
      <c r="BL86" s="576"/>
      <c r="BM86" s="576"/>
      <c r="BN86" s="576"/>
      <c r="BO86" s="576"/>
      <c r="BP86" s="576"/>
      <c r="BQ86" s="576"/>
      <c r="BR86" s="576"/>
      <c r="BS86" s="576"/>
      <c r="BT86" s="576"/>
      <c r="BU86" s="576"/>
      <c r="BV86" s="576"/>
      <c r="BW86" s="576"/>
      <c r="BX86" s="576"/>
      <c r="BY86" s="576"/>
      <c r="BZ86" s="576"/>
      <c r="CA86" s="576"/>
      <c r="CB86" s="576"/>
      <c r="CC86" s="576"/>
      <c r="CD86" s="576"/>
      <c r="CE86" s="576"/>
      <c r="CF86" s="576"/>
      <c r="CG86" s="576"/>
      <c r="CH86" s="576"/>
      <c r="CI86" s="576"/>
      <c r="CJ86" s="576"/>
      <c r="CK86" s="576"/>
      <c r="CL86" s="576"/>
      <c r="CM86" s="576"/>
      <c r="CN86" s="576"/>
      <c r="CO86" s="576"/>
      <c r="CP86" s="576"/>
      <c r="CQ86" s="576"/>
      <c r="CR86" s="576"/>
      <c r="CS86" s="576"/>
      <c r="CT86" s="576"/>
      <c r="CU86" s="576"/>
      <c r="CV86" s="576"/>
      <c r="CW86" s="576"/>
      <c r="CX86" s="576"/>
      <c r="CY86" s="576"/>
      <c r="CZ86" s="576"/>
      <c r="DA86" s="576"/>
      <c r="DB86" s="576"/>
      <c r="DC86" s="576"/>
      <c r="DD86" s="576"/>
      <c r="DE86" s="576"/>
      <c r="DF86" s="576"/>
      <c r="DG86" s="576"/>
      <c r="DH86" s="116"/>
      <c r="DI86" s="112"/>
      <c r="DJ86">
        <f ca="1">INDIRECT(ADDRESS(ROW()+1,COLUMN(Arbeitszeit!xDay),,,"Arbeitszeit"))</f>
        <v>1</v>
      </c>
    </row>
    <row r="87" spans="1:114">
      <c r="A87" s="462">
        <f>Arbeitszeit!A88</f>
        <v>44916</v>
      </c>
      <c r="B87" s="463">
        <f t="shared" si="5"/>
        <v>44916</v>
      </c>
      <c r="C87" s="146">
        <f t="shared" si="6"/>
        <v>52</v>
      </c>
      <c r="D87" s="145">
        <f t="shared" si="7"/>
        <v>44895</v>
      </c>
      <c r="E87" s="510">
        <f>Arbeitszeit!V88*24</f>
        <v>0</v>
      </c>
      <c r="F87" s="574">
        <f t="shared" si="4"/>
        <v>0</v>
      </c>
      <c r="G87" s="113">
        <f>IF(Arbeitszeit!F88=Urlaub,B_WorkTime*24,)</f>
        <v>0</v>
      </c>
      <c r="H87" s="111"/>
      <c r="I87" s="113">
        <f>IF(Arbeitszeit!F88=Krank,B_WorkTime*24,)</f>
        <v>0</v>
      </c>
      <c r="J87" s="111"/>
      <c r="K87" s="114"/>
      <c r="L87" s="115"/>
      <c r="M87" s="498"/>
      <c r="N87" s="499"/>
      <c r="O87" s="498"/>
      <c r="P87" s="499"/>
      <c r="Q87" s="498"/>
      <c r="R87" s="499"/>
      <c r="S87" s="498"/>
      <c r="T87" s="499"/>
      <c r="U87" s="498"/>
      <c r="V87" s="499"/>
      <c r="W87" s="498"/>
      <c r="X87" s="499"/>
      <c r="Y87" s="498"/>
      <c r="Z87" s="499"/>
      <c r="AA87" s="498"/>
      <c r="AB87" s="499"/>
      <c r="AC87" s="498"/>
      <c r="AD87" s="499"/>
      <c r="AE87" s="498"/>
      <c r="AF87" s="500"/>
      <c r="AG87" s="498"/>
      <c r="AH87" s="500"/>
      <c r="AI87" s="498"/>
      <c r="AJ87" s="500"/>
      <c r="AK87" s="498"/>
      <c r="AL87" s="500"/>
      <c r="AM87" s="501"/>
      <c r="AN87" s="500"/>
      <c r="AO87" s="498"/>
      <c r="AP87" s="500"/>
      <c r="AQ87" s="501"/>
      <c r="AR87" s="500"/>
      <c r="AS87" s="500"/>
      <c r="AT87" s="500"/>
      <c r="AU87" s="501"/>
      <c r="AV87" s="500"/>
      <c r="AW87" s="500"/>
      <c r="AX87" s="500"/>
      <c r="AY87" s="576"/>
      <c r="AZ87" s="576"/>
      <c r="BA87" s="576"/>
      <c r="BB87" s="576"/>
      <c r="BC87" s="576"/>
      <c r="BD87" s="576"/>
      <c r="BE87" s="576"/>
      <c r="BF87" s="576"/>
      <c r="BG87" s="576"/>
      <c r="BH87" s="576"/>
      <c r="BI87" s="576"/>
      <c r="BJ87" s="576"/>
      <c r="BK87" s="576"/>
      <c r="BL87" s="576"/>
      <c r="BM87" s="576"/>
      <c r="BN87" s="576"/>
      <c r="BO87" s="576"/>
      <c r="BP87" s="576"/>
      <c r="BQ87" s="576"/>
      <c r="BR87" s="576"/>
      <c r="BS87" s="576"/>
      <c r="BT87" s="576"/>
      <c r="BU87" s="576"/>
      <c r="BV87" s="576"/>
      <c r="BW87" s="576"/>
      <c r="BX87" s="576"/>
      <c r="BY87" s="576"/>
      <c r="BZ87" s="576"/>
      <c r="CA87" s="576"/>
      <c r="CB87" s="576"/>
      <c r="CC87" s="576"/>
      <c r="CD87" s="576"/>
      <c r="CE87" s="576"/>
      <c r="CF87" s="576"/>
      <c r="CG87" s="576"/>
      <c r="CH87" s="576"/>
      <c r="CI87" s="576"/>
      <c r="CJ87" s="576"/>
      <c r="CK87" s="576"/>
      <c r="CL87" s="576"/>
      <c r="CM87" s="576"/>
      <c r="CN87" s="576"/>
      <c r="CO87" s="576"/>
      <c r="CP87" s="576"/>
      <c r="CQ87" s="576"/>
      <c r="CR87" s="576"/>
      <c r="CS87" s="576"/>
      <c r="CT87" s="576"/>
      <c r="CU87" s="576"/>
      <c r="CV87" s="576"/>
      <c r="CW87" s="576"/>
      <c r="CX87" s="576"/>
      <c r="CY87" s="576"/>
      <c r="CZ87" s="576"/>
      <c r="DA87" s="576"/>
      <c r="DB87" s="576"/>
      <c r="DC87" s="576"/>
      <c r="DD87" s="576"/>
      <c r="DE87" s="576"/>
      <c r="DF87" s="576"/>
      <c r="DG87" s="576"/>
      <c r="DH87" s="116"/>
      <c r="DI87" s="112"/>
      <c r="DJ87">
        <f ca="1">INDIRECT(ADDRESS(ROW()+1,COLUMN(Arbeitszeit!xDay),,,"Arbeitszeit"))</f>
        <v>2</v>
      </c>
    </row>
    <row r="88" spans="1:114">
      <c r="A88" s="462">
        <f>Arbeitszeit!A89</f>
        <v>44917</v>
      </c>
      <c r="B88" s="463">
        <f t="shared" si="5"/>
        <v>44917</v>
      </c>
      <c r="C88" s="146">
        <f t="shared" si="6"/>
        <v>52</v>
      </c>
      <c r="D88" s="145">
        <f t="shared" si="7"/>
        <v>44895</v>
      </c>
      <c r="E88" s="510">
        <f>Arbeitszeit!V89*24</f>
        <v>0</v>
      </c>
      <c r="F88" s="574">
        <f t="shared" si="4"/>
        <v>0</v>
      </c>
      <c r="G88" s="113">
        <f>IF(Arbeitszeit!F89=Urlaub,B_WorkTime*24,)</f>
        <v>0</v>
      </c>
      <c r="H88" s="111"/>
      <c r="I88" s="113">
        <f>IF(Arbeitszeit!F89=Krank,B_WorkTime*24,)</f>
        <v>0</v>
      </c>
      <c r="J88" s="111"/>
      <c r="K88" s="114"/>
      <c r="L88" s="115"/>
      <c r="M88" s="498"/>
      <c r="N88" s="499"/>
      <c r="O88" s="498"/>
      <c r="P88" s="499"/>
      <c r="Q88" s="498"/>
      <c r="R88" s="499"/>
      <c r="S88" s="498"/>
      <c r="T88" s="499"/>
      <c r="U88" s="498"/>
      <c r="V88" s="499"/>
      <c r="W88" s="498"/>
      <c r="X88" s="499"/>
      <c r="Y88" s="498"/>
      <c r="Z88" s="499"/>
      <c r="AA88" s="498"/>
      <c r="AB88" s="499"/>
      <c r="AC88" s="498"/>
      <c r="AD88" s="499"/>
      <c r="AE88" s="498"/>
      <c r="AF88" s="500"/>
      <c r="AG88" s="498"/>
      <c r="AH88" s="500"/>
      <c r="AI88" s="498"/>
      <c r="AJ88" s="500"/>
      <c r="AK88" s="498"/>
      <c r="AL88" s="500"/>
      <c r="AM88" s="501"/>
      <c r="AN88" s="500"/>
      <c r="AO88" s="498"/>
      <c r="AP88" s="500"/>
      <c r="AQ88" s="501"/>
      <c r="AR88" s="500"/>
      <c r="AS88" s="500"/>
      <c r="AT88" s="500"/>
      <c r="AU88" s="501"/>
      <c r="AV88" s="500"/>
      <c r="AW88" s="500"/>
      <c r="AX88" s="500"/>
      <c r="AY88" s="576"/>
      <c r="AZ88" s="576"/>
      <c r="BA88" s="576"/>
      <c r="BB88" s="576"/>
      <c r="BC88" s="576"/>
      <c r="BD88" s="576"/>
      <c r="BE88" s="576"/>
      <c r="BF88" s="576"/>
      <c r="BG88" s="576"/>
      <c r="BH88" s="576"/>
      <c r="BI88" s="576"/>
      <c r="BJ88" s="576"/>
      <c r="BK88" s="576"/>
      <c r="BL88" s="576"/>
      <c r="BM88" s="576"/>
      <c r="BN88" s="576"/>
      <c r="BO88" s="576"/>
      <c r="BP88" s="576"/>
      <c r="BQ88" s="576"/>
      <c r="BR88" s="576"/>
      <c r="BS88" s="576"/>
      <c r="BT88" s="576"/>
      <c r="BU88" s="576"/>
      <c r="BV88" s="576"/>
      <c r="BW88" s="576"/>
      <c r="BX88" s="576"/>
      <c r="BY88" s="576"/>
      <c r="BZ88" s="576"/>
      <c r="CA88" s="576"/>
      <c r="CB88" s="576"/>
      <c r="CC88" s="576"/>
      <c r="CD88" s="576"/>
      <c r="CE88" s="576"/>
      <c r="CF88" s="576"/>
      <c r="CG88" s="576"/>
      <c r="CH88" s="576"/>
      <c r="CI88" s="576"/>
      <c r="CJ88" s="576"/>
      <c r="CK88" s="576"/>
      <c r="CL88" s="576"/>
      <c r="CM88" s="576"/>
      <c r="CN88" s="576"/>
      <c r="CO88" s="576"/>
      <c r="CP88" s="576"/>
      <c r="CQ88" s="576"/>
      <c r="CR88" s="576"/>
      <c r="CS88" s="576"/>
      <c r="CT88" s="576"/>
      <c r="CU88" s="576"/>
      <c r="CV88" s="576"/>
      <c r="CW88" s="576"/>
      <c r="CX88" s="576"/>
      <c r="CY88" s="576"/>
      <c r="CZ88" s="576"/>
      <c r="DA88" s="576"/>
      <c r="DB88" s="576"/>
      <c r="DC88" s="576"/>
      <c r="DD88" s="576"/>
      <c r="DE88" s="576"/>
      <c r="DF88" s="576"/>
      <c r="DG88" s="576"/>
      <c r="DH88" s="116"/>
      <c r="DI88" s="112"/>
      <c r="DJ88">
        <f ca="1">INDIRECT(ADDRESS(ROW()+1,COLUMN(Arbeitszeit!xDay),,,"Arbeitszeit"))</f>
        <v>3</v>
      </c>
    </row>
    <row r="89" spans="1:114">
      <c r="A89" s="462">
        <f>Arbeitszeit!A90</f>
        <v>44918</v>
      </c>
      <c r="B89" s="463">
        <f t="shared" si="5"/>
        <v>44918</v>
      </c>
      <c r="C89" s="146">
        <f t="shared" si="6"/>
        <v>52</v>
      </c>
      <c r="D89" s="145">
        <f t="shared" si="7"/>
        <v>44895</v>
      </c>
      <c r="E89" s="510">
        <f>Arbeitszeit!V90*24</f>
        <v>0</v>
      </c>
      <c r="F89" s="574">
        <f t="shared" si="4"/>
        <v>0</v>
      </c>
      <c r="G89" s="113">
        <f>IF(Arbeitszeit!F90=Urlaub,B_WorkTime*24,)</f>
        <v>0</v>
      </c>
      <c r="H89" s="111"/>
      <c r="I89" s="113">
        <f>IF(Arbeitszeit!F90=Krank,B_WorkTime*24,)</f>
        <v>0</v>
      </c>
      <c r="J89" s="111"/>
      <c r="K89" s="114"/>
      <c r="L89" s="115"/>
      <c r="M89" s="498"/>
      <c r="N89" s="499"/>
      <c r="O89" s="498"/>
      <c r="P89" s="499"/>
      <c r="Q89" s="498"/>
      <c r="R89" s="499"/>
      <c r="S89" s="498"/>
      <c r="T89" s="499"/>
      <c r="U89" s="498"/>
      <c r="V89" s="499"/>
      <c r="W89" s="498"/>
      <c r="X89" s="499"/>
      <c r="Y89" s="498"/>
      <c r="Z89" s="499"/>
      <c r="AA89" s="498"/>
      <c r="AB89" s="499"/>
      <c r="AC89" s="498"/>
      <c r="AD89" s="499"/>
      <c r="AE89" s="498"/>
      <c r="AF89" s="500"/>
      <c r="AG89" s="498"/>
      <c r="AH89" s="500"/>
      <c r="AI89" s="498"/>
      <c r="AJ89" s="500"/>
      <c r="AK89" s="498"/>
      <c r="AL89" s="500"/>
      <c r="AM89" s="501"/>
      <c r="AN89" s="500"/>
      <c r="AO89" s="498"/>
      <c r="AP89" s="500"/>
      <c r="AQ89" s="501"/>
      <c r="AR89" s="500"/>
      <c r="AS89" s="500"/>
      <c r="AT89" s="500"/>
      <c r="AU89" s="501"/>
      <c r="AV89" s="500"/>
      <c r="AW89" s="500"/>
      <c r="AX89" s="500"/>
      <c r="AY89" s="576"/>
      <c r="AZ89" s="576"/>
      <c r="BA89" s="576"/>
      <c r="BB89" s="576"/>
      <c r="BC89" s="576"/>
      <c r="BD89" s="576"/>
      <c r="BE89" s="576"/>
      <c r="BF89" s="576"/>
      <c r="BG89" s="576"/>
      <c r="BH89" s="576"/>
      <c r="BI89" s="576"/>
      <c r="BJ89" s="576"/>
      <c r="BK89" s="576"/>
      <c r="BL89" s="576"/>
      <c r="BM89" s="576"/>
      <c r="BN89" s="576"/>
      <c r="BO89" s="576"/>
      <c r="BP89" s="576"/>
      <c r="BQ89" s="576"/>
      <c r="BR89" s="576"/>
      <c r="BS89" s="576"/>
      <c r="BT89" s="576"/>
      <c r="BU89" s="576"/>
      <c r="BV89" s="576"/>
      <c r="BW89" s="576"/>
      <c r="BX89" s="576"/>
      <c r="BY89" s="576"/>
      <c r="BZ89" s="576"/>
      <c r="CA89" s="576"/>
      <c r="CB89" s="576"/>
      <c r="CC89" s="576"/>
      <c r="CD89" s="576"/>
      <c r="CE89" s="576"/>
      <c r="CF89" s="576"/>
      <c r="CG89" s="576"/>
      <c r="CH89" s="576"/>
      <c r="CI89" s="576"/>
      <c r="CJ89" s="576"/>
      <c r="CK89" s="576"/>
      <c r="CL89" s="576"/>
      <c r="CM89" s="576"/>
      <c r="CN89" s="576"/>
      <c r="CO89" s="576"/>
      <c r="CP89" s="576"/>
      <c r="CQ89" s="576"/>
      <c r="CR89" s="576"/>
      <c r="CS89" s="576"/>
      <c r="CT89" s="576"/>
      <c r="CU89" s="576"/>
      <c r="CV89" s="576"/>
      <c r="CW89" s="576"/>
      <c r="CX89" s="576"/>
      <c r="CY89" s="576"/>
      <c r="CZ89" s="576"/>
      <c r="DA89" s="576"/>
      <c r="DB89" s="576"/>
      <c r="DC89" s="576"/>
      <c r="DD89" s="576"/>
      <c r="DE89" s="576"/>
      <c r="DF89" s="576"/>
      <c r="DG89" s="576"/>
      <c r="DH89" s="116"/>
      <c r="DI89" s="112"/>
      <c r="DJ89">
        <f ca="1">INDIRECT(ADDRESS(ROW()+1,COLUMN(Arbeitszeit!xDay),,,"Arbeitszeit"))</f>
        <v>4</v>
      </c>
    </row>
    <row r="90" spans="1:114">
      <c r="A90" s="462">
        <f>Arbeitszeit!A91</f>
        <v>44919</v>
      </c>
      <c r="B90" s="463">
        <f t="shared" si="5"/>
        <v>44919</v>
      </c>
      <c r="C90" s="146">
        <f t="shared" si="6"/>
        <v>52</v>
      </c>
      <c r="D90" s="145">
        <f t="shared" si="7"/>
        <v>44895</v>
      </c>
      <c r="E90" s="510">
        <f>Arbeitszeit!V91*24</f>
        <v>0</v>
      </c>
      <c r="F90" s="574">
        <f t="shared" si="4"/>
        <v>0</v>
      </c>
      <c r="G90" s="113">
        <f>IF(Arbeitszeit!F91=Urlaub,B_WorkTime*24,)</f>
        <v>0</v>
      </c>
      <c r="H90" s="111"/>
      <c r="I90" s="113">
        <f>IF(Arbeitszeit!F91=Krank,B_WorkTime*24,)</f>
        <v>0</v>
      </c>
      <c r="J90" s="111"/>
      <c r="K90" s="114"/>
      <c r="L90" s="115"/>
      <c r="M90" s="498"/>
      <c r="N90" s="499"/>
      <c r="O90" s="498"/>
      <c r="P90" s="499"/>
      <c r="Q90" s="498"/>
      <c r="R90" s="499"/>
      <c r="S90" s="498"/>
      <c r="T90" s="499"/>
      <c r="U90" s="498"/>
      <c r="V90" s="499"/>
      <c r="W90" s="498"/>
      <c r="X90" s="499"/>
      <c r="Y90" s="498"/>
      <c r="Z90" s="499"/>
      <c r="AA90" s="498"/>
      <c r="AB90" s="499"/>
      <c r="AC90" s="498"/>
      <c r="AD90" s="499"/>
      <c r="AE90" s="498"/>
      <c r="AF90" s="500"/>
      <c r="AG90" s="498"/>
      <c r="AH90" s="500"/>
      <c r="AI90" s="498"/>
      <c r="AJ90" s="500"/>
      <c r="AK90" s="498"/>
      <c r="AL90" s="500"/>
      <c r="AM90" s="501"/>
      <c r="AN90" s="500"/>
      <c r="AO90" s="498"/>
      <c r="AP90" s="500"/>
      <c r="AQ90" s="501"/>
      <c r="AR90" s="500"/>
      <c r="AS90" s="500"/>
      <c r="AT90" s="500"/>
      <c r="AU90" s="501"/>
      <c r="AV90" s="500"/>
      <c r="AW90" s="500"/>
      <c r="AX90" s="500"/>
      <c r="AY90" s="576"/>
      <c r="AZ90" s="576"/>
      <c r="BA90" s="576"/>
      <c r="BB90" s="576"/>
      <c r="BC90" s="576"/>
      <c r="BD90" s="576"/>
      <c r="BE90" s="576"/>
      <c r="BF90" s="576"/>
      <c r="BG90" s="576"/>
      <c r="BH90" s="576"/>
      <c r="BI90" s="576"/>
      <c r="BJ90" s="576"/>
      <c r="BK90" s="576"/>
      <c r="BL90" s="576"/>
      <c r="BM90" s="576"/>
      <c r="BN90" s="576"/>
      <c r="BO90" s="576"/>
      <c r="BP90" s="576"/>
      <c r="BQ90" s="576"/>
      <c r="BR90" s="576"/>
      <c r="BS90" s="576"/>
      <c r="BT90" s="576"/>
      <c r="BU90" s="576"/>
      <c r="BV90" s="576"/>
      <c r="BW90" s="576"/>
      <c r="BX90" s="576"/>
      <c r="BY90" s="576"/>
      <c r="BZ90" s="576"/>
      <c r="CA90" s="576"/>
      <c r="CB90" s="576"/>
      <c r="CC90" s="576"/>
      <c r="CD90" s="576"/>
      <c r="CE90" s="576"/>
      <c r="CF90" s="576"/>
      <c r="CG90" s="576"/>
      <c r="CH90" s="576"/>
      <c r="CI90" s="576"/>
      <c r="CJ90" s="576"/>
      <c r="CK90" s="576"/>
      <c r="CL90" s="576"/>
      <c r="CM90" s="576"/>
      <c r="CN90" s="576"/>
      <c r="CO90" s="576"/>
      <c r="CP90" s="576"/>
      <c r="CQ90" s="576"/>
      <c r="CR90" s="576"/>
      <c r="CS90" s="576"/>
      <c r="CT90" s="576"/>
      <c r="CU90" s="576"/>
      <c r="CV90" s="576"/>
      <c r="CW90" s="576"/>
      <c r="CX90" s="576"/>
      <c r="CY90" s="576"/>
      <c r="CZ90" s="576"/>
      <c r="DA90" s="576"/>
      <c r="DB90" s="576"/>
      <c r="DC90" s="576"/>
      <c r="DD90" s="576"/>
      <c r="DE90" s="576"/>
      <c r="DF90" s="576"/>
      <c r="DG90" s="576"/>
      <c r="DH90" s="116"/>
      <c r="DI90" s="112"/>
      <c r="DJ90">
        <f ca="1">INDIRECT(ADDRESS(ROW()+1,COLUMN(Arbeitszeit!xDay),,,"Arbeitszeit"))</f>
        <v>8</v>
      </c>
    </row>
    <row r="91" spans="1:114">
      <c r="A91" s="462">
        <f>Arbeitszeit!A92</f>
        <v>44920</v>
      </c>
      <c r="B91" s="463">
        <f t="shared" si="5"/>
        <v>44920</v>
      </c>
      <c r="C91" s="146">
        <f t="shared" si="6"/>
        <v>52</v>
      </c>
      <c r="D91" s="145">
        <f t="shared" si="7"/>
        <v>44895</v>
      </c>
      <c r="E91" s="510">
        <f>Arbeitszeit!V92*24</f>
        <v>0</v>
      </c>
      <c r="F91" s="574">
        <f t="shared" si="4"/>
        <v>0</v>
      </c>
      <c r="G91" s="113">
        <f>IF(Arbeitszeit!F92=Urlaub,B_WorkTime*24,)</f>
        <v>0</v>
      </c>
      <c r="H91" s="111"/>
      <c r="I91" s="113">
        <f>IF(Arbeitszeit!F92=Krank,B_WorkTime*24,)</f>
        <v>0</v>
      </c>
      <c r="J91" s="111"/>
      <c r="K91" s="114"/>
      <c r="L91" s="115"/>
      <c r="M91" s="498"/>
      <c r="N91" s="499"/>
      <c r="O91" s="498"/>
      <c r="P91" s="499"/>
      <c r="Q91" s="498"/>
      <c r="R91" s="499"/>
      <c r="S91" s="498"/>
      <c r="T91" s="499"/>
      <c r="U91" s="498"/>
      <c r="V91" s="499"/>
      <c r="W91" s="498"/>
      <c r="X91" s="499"/>
      <c r="Y91" s="498"/>
      <c r="Z91" s="499"/>
      <c r="AA91" s="498"/>
      <c r="AB91" s="499"/>
      <c r="AC91" s="498"/>
      <c r="AD91" s="499"/>
      <c r="AE91" s="498"/>
      <c r="AF91" s="500"/>
      <c r="AG91" s="498"/>
      <c r="AH91" s="500"/>
      <c r="AI91" s="498"/>
      <c r="AJ91" s="500"/>
      <c r="AK91" s="498"/>
      <c r="AL91" s="500"/>
      <c r="AM91" s="501"/>
      <c r="AN91" s="500"/>
      <c r="AO91" s="498"/>
      <c r="AP91" s="500"/>
      <c r="AQ91" s="501"/>
      <c r="AR91" s="500"/>
      <c r="AS91" s="500"/>
      <c r="AT91" s="500"/>
      <c r="AU91" s="501"/>
      <c r="AV91" s="500"/>
      <c r="AW91" s="500"/>
      <c r="AX91" s="500"/>
      <c r="AY91" s="576"/>
      <c r="AZ91" s="576"/>
      <c r="BA91" s="576"/>
      <c r="BB91" s="576"/>
      <c r="BC91" s="576"/>
      <c r="BD91" s="576"/>
      <c r="BE91" s="576"/>
      <c r="BF91" s="576"/>
      <c r="BG91" s="576"/>
      <c r="BH91" s="576"/>
      <c r="BI91" s="576"/>
      <c r="BJ91" s="576"/>
      <c r="BK91" s="576"/>
      <c r="BL91" s="576"/>
      <c r="BM91" s="576"/>
      <c r="BN91" s="576"/>
      <c r="BO91" s="576"/>
      <c r="BP91" s="576"/>
      <c r="BQ91" s="576"/>
      <c r="BR91" s="576"/>
      <c r="BS91" s="576"/>
      <c r="BT91" s="576"/>
      <c r="BU91" s="576"/>
      <c r="BV91" s="576"/>
      <c r="BW91" s="576"/>
      <c r="BX91" s="576"/>
      <c r="BY91" s="576"/>
      <c r="BZ91" s="576"/>
      <c r="CA91" s="576"/>
      <c r="CB91" s="576"/>
      <c r="CC91" s="576"/>
      <c r="CD91" s="576"/>
      <c r="CE91" s="576"/>
      <c r="CF91" s="576"/>
      <c r="CG91" s="576"/>
      <c r="CH91" s="576"/>
      <c r="CI91" s="576"/>
      <c r="CJ91" s="576"/>
      <c r="CK91" s="576"/>
      <c r="CL91" s="576"/>
      <c r="CM91" s="576"/>
      <c r="CN91" s="576"/>
      <c r="CO91" s="576"/>
      <c r="CP91" s="576"/>
      <c r="CQ91" s="576"/>
      <c r="CR91" s="576"/>
      <c r="CS91" s="576"/>
      <c r="CT91" s="576"/>
      <c r="CU91" s="576"/>
      <c r="CV91" s="576"/>
      <c r="CW91" s="576"/>
      <c r="CX91" s="576"/>
      <c r="CY91" s="576"/>
      <c r="CZ91" s="576"/>
      <c r="DA91" s="576"/>
      <c r="DB91" s="576"/>
      <c r="DC91" s="576"/>
      <c r="DD91" s="576"/>
      <c r="DE91" s="576"/>
      <c r="DF91" s="576"/>
      <c r="DG91" s="576"/>
      <c r="DH91" s="116"/>
      <c r="DI91" s="112"/>
      <c r="DJ91">
        <f ca="1">INDIRECT(ADDRESS(ROW()+1,COLUMN(Arbeitszeit!xDay),,,"Arbeitszeit"))</f>
        <v>8</v>
      </c>
    </row>
    <row r="92" spans="1:114">
      <c r="A92" s="462">
        <f>Arbeitszeit!A93</f>
        <v>44921</v>
      </c>
      <c r="B92" s="463">
        <f t="shared" si="5"/>
        <v>44921</v>
      </c>
      <c r="C92" s="146">
        <f t="shared" si="6"/>
        <v>52</v>
      </c>
      <c r="D92" s="145">
        <f t="shared" si="7"/>
        <v>44895</v>
      </c>
      <c r="E92" s="510">
        <f>Arbeitszeit!V93*24</f>
        <v>0</v>
      </c>
      <c r="F92" s="574">
        <f t="shared" si="4"/>
        <v>0</v>
      </c>
      <c r="G92" s="113">
        <f>IF(Arbeitszeit!F93=Urlaub,B_WorkTime*24,)</f>
        <v>0</v>
      </c>
      <c r="H92" s="111"/>
      <c r="I92" s="113">
        <f>IF(Arbeitszeit!F93=Krank,B_WorkTime*24,)</f>
        <v>0</v>
      </c>
      <c r="J92" s="111"/>
      <c r="K92" s="114"/>
      <c r="L92" s="115"/>
      <c r="M92" s="498"/>
      <c r="N92" s="499"/>
      <c r="O92" s="498"/>
      <c r="P92" s="499"/>
      <c r="Q92" s="498"/>
      <c r="R92" s="499"/>
      <c r="S92" s="498"/>
      <c r="T92" s="499"/>
      <c r="U92" s="498"/>
      <c r="V92" s="499"/>
      <c r="W92" s="498"/>
      <c r="X92" s="499"/>
      <c r="Y92" s="498"/>
      <c r="Z92" s="499"/>
      <c r="AA92" s="498"/>
      <c r="AB92" s="499"/>
      <c r="AC92" s="498"/>
      <c r="AD92" s="499"/>
      <c r="AE92" s="498"/>
      <c r="AF92" s="500"/>
      <c r="AG92" s="498"/>
      <c r="AH92" s="500"/>
      <c r="AI92" s="498"/>
      <c r="AJ92" s="500"/>
      <c r="AK92" s="498"/>
      <c r="AL92" s="500"/>
      <c r="AM92" s="501"/>
      <c r="AN92" s="500"/>
      <c r="AO92" s="498"/>
      <c r="AP92" s="500"/>
      <c r="AQ92" s="501"/>
      <c r="AR92" s="500"/>
      <c r="AS92" s="500"/>
      <c r="AT92" s="500"/>
      <c r="AU92" s="501"/>
      <c r="AV92" s="500"/>
      <c r="AW92" s="500"/>
      <c r="AX92" s="500"/>
      <c r="AY92" s="576"/>
      <c r="AZ92" s="576"/>
      <c r="BA92" s="576"/>
      <c r="BB92" s="576"/>
      <c r="BC92" s="576"/>
      <c r="BD92" s="576"/>
      <c r="BE92" s="576"/>
      <c r="BF92" s="576"/>
      <c r="BG92" s="576"/>
      <c r="BH92" s="576"/>
      <c r="BI92" s="576"/>
      <c r="BJ92" s="576"/>
      <c r="BK92" s="576"/>
      <c r="BL92" s="576"/>
      <c r="BM92" s="576"/>
      <c r="BN92" s="576"/>
      <c r="BO92" s="576"/>
      <c r="BP92" s="576"/>
      <c r="BQ92" s="576"/>
      <c r="BR92" s="576"/>
      <c r="BS92" s="576"/>
      <c r="BT92" s="576"/>
      <c r="BU92" s="576"/>
      <c r="BV92" s="576"/>
      <c r="BW92" s="576"/>
      <c r="BX92" s="576"/>
      <c r="BY92" s="576"/>
      <c r="BZ92" s="576"/>
      <c r="CA92" s="576"/>
      <c r="CB92" s="576"/>
      <c r="CC92" s="576"/>
      <c r="CD92" s="576"/>
      <c r="CE92" s="576"/>
      <c r="CF92" s="576"/>
      <c r="CG92" s="576"/>
      <c r="CH92" s="576"/>
      <c r="CI92" s="576"/>
      <c r="CJ92" s="576"/>
      <c r="CK92" s="576"/>
      <c r="CL92" s="576"/>
      <c r="CM92" s="576"/>
      <c r="CN92" s="576"/>
      <c r="CO92" s="576"/>
      <c r="CP92" s="576"/>
      <c r="CQ92" s="576"/>
      <c r="CR92" s="576"/>
      <c r="CS92" s="576"/>
      <c r="CT92" s="576"/>
      <c r="CU92" s="576"/>
      <c r="CV92" s="576"/>
      <c r="CW92" s="576"/>
      <c r="CX92" s="576"/>
      <c r="CY92" s="576"/>
      <c r="CZ92" s="576"/>
      <c r="DA92" s="576"/>
      <c r="DB92" s="576"/>
      <c r="DC92" s="576"/>
      <c r="DD92" s="576"/>
      <c r="DE92" s="576"/>
      <c r="DF92" s="576"/>
      <c r="DG92" s="576"/>
      <c r="DH92" s="116"/>
      <c r="DI92" s="112"/>
      <c r="DJ92">
        <f ca="1">INDIRECT(ADDRESS(ROW()+1,COLUMN(Arbeitszeit!xDay),,,"Arbeitszeit"))</f>
        <v>7</v>
      </c>
    </row>
    <row r="93" spans="1:114">
      <c r="A93" s="462">
        <f>Arbeitszeit!A94</f>
        <v>44922</v>
      </c>
      <c r="B93" s="463">
        <f t="shared" si="5"/>
        <v>44922</v>
      </c>
      <c r="C93" s="146">
        <f t="shared" si="6"/>
        <v>53</v>
      </c>
      <c r="D93" s="145">
        <f t="shared" si="7"/>
        <v>44895</v>
      </c>
      <c r="E93" s="510">
        <f>Arbeitszeit!V94*24</f>
        <v>0</v>
      </c>
      <c r="F93" s="574">
        <f t="shared" si="4"/>
        <v>0</v>
      </c>
      <c r="G93" s="113">
        <f>IF(Arbeitszeit!F94=Urlaub,B_WorkTime*24,)</f>
        <v>0</v>
      </c>
      <c r="H93" s="111"/>
      <c r="I93" s="113">
        <f>IF(Arbeitszeit!F94=Krank,B_WorkTime*24,)</f>
        <v>0</v>
      </c>
      <c r="J93" s="111"/>
      <c r="K93" s="114"/>
      <c r="L93" s="115"/>
      <c r="M93" s="498"/>
      <c r="N93" s="499"/>
      <c r="O93" s="498"/>
      <c r="P93" s="499"/>
      <c r="Q93" s="498"/>
      <c r="R93" s="499"/>
      <c r="S93" s="498"/>
      <c r="T93" s="499"/>
      <c r="U93" s="498"/>
      <c r="V93" s="499"/>
      <c r="W93" s="498"/>
      <c r="X93" s="499"/>
      <c r="Y93" s="498"/>
      <c r="Z93" s="499"/>
      <c r="AA93" s="498"/>
      <c r="AB93" s="499"/>
      <c r="AC93" s="498"/>
      <c r="AD93" s="499"/>
      <c r="AE93" s="498"/>
      <c r="AF93" s="500"/>
      <c r="AG93" s="498"/>
      <c r="AH93" s="500"/>
      <c r="AI93" s="498"/>
      <c r="AJ93" s="500"/>
      <c r="AK93" s="498"/>
      <c r="AL93" s="500"/>
      <c r="AM93" s="501"/>
      <c r="AN93" s="500"/>
      <c r="AO93" s="498"/>
      <c r="AP93" s="500"/>
      <c r="AQ93" s="501"/>
      <c r="AR93" s="500"/>
      <c r="AS93" s="500"/>
      <c r="AT93" s="500"/>
      <c r="AU93" s="501"/>
      <c r="AV93" s="500"/>
      <c r="AW93" s="500"/>
      <c r="AX93" s="500"/>
      <c r="AY93" s="576"/>
      <c r="AZ93" s="576"/>
      <c r="BA93" s="576"/>
      <c r="BB93" s="576"/>
      <c r="BC93" s="576"/>
      <c r="BD93" s="576"/>
      <c r="BE93" s="576"/>
      <c r="BF93" s="576"/>
      <c r="BG93" s="576"/>
      <c r="BH93" s="576"/>
      <c r="BI93" s="576"/>
      <c r="BJ93" s="576"/>
      <c r="BK93" s="576"/>
      <c r="BL93" s="576"/>
      <c r="BM93" s="576"/>
      <c r="BN93" s="576"/>
      <c r="BO93" s="576"/>
      <c r="BP93" s="576"/>
      <c r="BQ93" s="576"/>
      <c r="BR93" s="576"/>
      <c r="BS93" s="576"/>
      <c r="BT93" s="576"/>
      <c r="BU93" s="576"/>
      <c r="BV93" s="576"/>
      <c r="BW93" s="576"/>
      <c r="BX93" s="576"/>
      <c r="BY93" s="576"/>
      <c r="BZ93" s="576"/>
      <c r="CA93" s="576"/>
      <c r="CB93" s="576"/>
      <c r="CC93" s="576"/>
      <c r="CD93" s="576"/>
      <c r="CE93" s="576"/>
      <c r="CF93" s="576"/>
      <c r="CG93" s="576"/>
      <c r="CH93" s="576"/>
      <c r="CI93" s="576"/>
      <c r="CJ93" s="576"/>
      <c r="CK93" s="576"/>
      <c r="CL93" s="576"/>
      <c r="CM93" s="576"/>
      <c r="CN93" s="576"/>
      <c r="CO93" s="576"/>
      <c r="CP93" s="576"/>
      <c r="CQ93" s="576"/>
      <c r="CR93" s="576"/>
      <c r="CS93" s="576"/>
      <c r="CT93" s="576"/>
      <c r="CU93" s="576"/>
      <c r="CV93" s="576"/>
      <c r="CW93" s="576"/>
      <c r="CX93" s="576"/>
      <c r="CY93" s="576"/>
      <c r="CZ93" s="576"/>
      <c r="DA93" s="576"/>
      <c r="DB93" s="576"/>
      <c r="DC93" s="576"/>
      <c r="DD93" s="576"/>
      <c r="DE93" s="576"/>
      <c r="DF93" s="576"/>
      <c r="DG93" s="576"/>
      <c r="DH93" s="116"/>
      <c r="DI93" s="112"/>
      <c r="DJ93">
        <f ca="1">INDIRECT(ADDRESS(ROW()+1,COLUMN(Arbeitszeit!xDay),,,"Arbeitszeit"))</f>
        <v>1</v>
      </c>
    </row>
    <row r="94" spans="1:114">
      <c r="A94" s="462">
        <f>Arbeitszeit!A95</f>
        <v>44923</v>
      </c>
      <c r="B94" s="463">
        <f t="shared" si="5"/>
        <v>44923</v>
      </c>
      <c r="C94" s="146">
        <f t="shared" si="6"/>
        <v>53</v>
      </c>
      <c r="D94" s="145">
        <f t="shared" si="7"/>
        <v>44895</v>
      </c>
      <c r="E94" s="510">
        <f>Arbeitszeit!V95*24</f>
        <v>0</v>
      </c>
      <c r="F94" s="574">
        <f t="shared" si="4"/>
        <v>0</v>
      </c>
      <c r="G94" s="113">
        <f>IF(Arbeitszeit!F95=Urlaub,B_WorkTime*24,)</f>
        <v>0</v>
      </c>
      <c r="H94" s="111"/>
      <c r="I94" s="113">
        <f>IF(Arbeitszeit!F95=Krank,B_WorkTime*24,)</f>
        <v>0</v>
      </c>
      <c r="J94" s="111"/>
      <c r="K94" s="114"/>
      <c r="L94" s="115"/>
      <c r="M94" s="498"/>
      <c r="N94" s="499"/>
      <c r="O94" s="498"/>
      <c r="P94" s="499"/>
      <c r="Q94" s="498"/>
      <c r="R94" s="499"/>
      <c r="S94" s="498"/>
      <c r="T94" s="499"/>
      <c r="U94" s="498"/>
      <c r="V94" s="499"/>
      <c r="W94" s="498"/>
      <c r="X94" s="499"/>
      <c r="Y94" s="498"/>
      <c r="Z94" s="499"/>
      <c r="AA94" s="498"/>
      <c r="AB94" s="499"/>
      <c r="AC94" s="498"/>
      <c r="AD94" s="499"/>
      <c r="AE94" s="498"/>
      <c r="AF94" s="500"/>
      <c r="AG94" s="498"/>
      <c r="AH94" s="500"/>
      <c r="AI94" s="498"/>
      <c r="AJ94" s="500"/>
      <c r="AK94" s="498"/>
      <c r="AL94" s="500"/>
      <c r="AM94" s="501"/>
      <c r="AN94" s="500"/>
      <c r="AO94" s="498"/>
      <c r="AP94" s="500"/>
      <c r="AQ94" s="501"/>
      <c r="AR94" s="500"/>
      <c r="AS94" s="500"/>
      <c r="AT94" s="500"/>
      <c r="AU94" s="501"/>
      <c r="AV94" s="500"/>
      <c r="AW94" s="500"/>
      <c r="AX94" s="500"/>
      <c r="AY94" s="576"/>
      <c r="AZ94" s="576"/>
      <c r="BA94" s="576"/>
      <c r="BB94" s="576"/>
      <c r="BC94" s="576"/>
      <c r="BD94" s="576"/>
      <c r="BE94" s="576"/>
      <c r="BF94" s="576"/>
      <c r="BG94" s="576"/>
      <c r="BH94" s="576"/>
      <c r="BI94" s="576"/>
      <c r="BJ94" s="576"/>
      <c r="BK94" s="576"/>
      <c r="BL94" s="576"/>
      <c r="BM94" s="576"/>
      <c r="BN94" s="576"/>
      <c r="BO94" s="576"/>
      <c r="BP94" s="576"/>
      <c r="BQ94" s="576"/>
      <c r="BR94" s="576"/>
      <c r="BS94" s="576"/>
      <c r="BT94" s="576"/>
      <c r="BU94" s="576"/>
      <c r="BV94" s="576"/>
      <c r="BW94" s="576"/>
      <c r="BX94" s="576"/>
      <c r="BY94" s="576"/>
      <c r="BZ94" s="576"/>
      <c r="CA94" s="576"/>
      <c r="CB94" s="576"/>
      <c r="CC94" s="576"/>
      <c r="CD94" s="576"/>
      <c r="CE94" s="576"/>
      <c r="CF94" s="576"/>
      <c r="CG94" s="576"/>
      <c r="CH94" s="576"/>
      <c r="CI94" s="576"/>
      <c r="CJ94" s="576"/>
      <c r="CK94" s="576"/>
      <c r="CL94" s="576"/>
      <c r="CM94" s="576"/>
      <c r="CN94" s="576"/>
      <c r="CO94" s="576"/>
      <c r="CP94" s="576"/>
      <c r="CQ94" s="576"/>
      <c r="CR94" s="576"/>
      <c r="CS94" s="576"/>
      <c r="CT94" s="576"/>
      <c r="CU94" s="576"/>
      <c r="CV94" s="576"/>
      <c r="CW94" s="576"/>
      <c r="CX94" s="576"/>
      <c r="CY94" s="576"/>
      <c r="CZ94" s="576"/>
      <c r="DA94" s="576"/>
      <c r="DB94" s="576"/>
      <c r="DC94" s="576"/>
      <c r="DD94" s="576"/>
      <c r="DE94" s="576"/>
      <c r="DF94" s="576"/>
      <c r="DG94" s="576"/>
      <c r="DH94" s="116"/>
      <c r="DI94" s="112"/>
      <c r="DJ94">
        <f ca="1">INDIRECT(ADDRESS(ROW()+1,COLUMN(Arbeitszeit!xDay),,,"Arbeitszeit"))</f>
        <v>2</v>
      </c>
    </row>
    <row r="95" spans="1:114">
      <c r="A95" s="462">
        <f>Arbeitszeit!A96</f>
        <v>44924</v>
      </c>
      <c r="B95" s="463">
        <f t="shared" si="5"/>
        <v>44924</v>
      </c>
      <c r="C95" s="146">
        <f t="shared" si="6"/>
        <v>53</v>
      </c>
      <c r="D95" s="145">
        <f t="shared" si="7"/>
        <v>44895</v>
      </c>
      <c r="E95" s="510">
        <f>Arbeitszeit!V96*24</f>
        <v>0</v>
      </c>
      <c r="F95" s="574">
        <f t="shared" si="4"/>
        <v>0</v>
      </c>
      <c r="G95" s="113">
        <f>IF(Arbeitszeit!F96=Urlaub,B_WorkTime*24,)</f>
        <v>0</v>
      </c>
      <c r="H95" s="111"/>
      <c r="I95" s="113">
        <f>IF(Arbeitszeit!F96=Krank,B_WorkTime*24,)</f>
        <v>0</v>
      </c>
      <c r="J95" s="111"/>
      <c r="K95" s="114"/>
      <c r="L95" s="115"/>
      <c r="M95" s="498"/>
      <c r="N95" s="499"/>
      <c r="O95" s="498"/>
      <c r="P95" s="499"/>
      <c r="Q95" s="498"/>
      <c r="R95" s="499"/>
      <c r="S95" s="498"/>
      <c r="T95" s="499"/>
      <c r="U95" s="498"/>
      <c r="V95" s="499"/>
      <c r="W95" s="498"/>
      <c r="X95" s="499"/>
      <c r="Y95" s="498"/>
      <c r="Z95" s="499"/>
      <c r="AA95" s="498"/>
      <c r="AB95" s="499"/>
      <c r="AC95" s="498"/>
      <c r="AD95" s="499"/>
      <c r="AE95" s="498"/>
      <c r="AF95" s="500"/>
      <c r="AG95" s="498"/>
      <c r="AH95" s="500"/>
      <c r="AI95" s="498"/>
      <c r="AJ95" s="500"/>
      <c r="AK95" s="498"/>
      <c r="AL95" s="500"/>
      <c r="AM95" s="501"/>
      <c r="AN95" s="500"/>
      <c r="AO95" s="498"/>
      <c r="AP95" s="500"/>
      <c r="AQ95" s="501"/>
      <c r="AR95" s="500"/>
      <c r="AS95" s="500"/>
      <c r="AT95" s="500"/>
      <c r="AU95" s="501"/>
      <c r="AV95" s="500"/>
      <c r="AW95" s="500"/>
      <c r="AX95" s="500"/>
      <c r="AY95" s="576"/>
      <c r="AZ95" s="576"/>
      <c r="BA95" s="576"/>
      <c r="BB95" s="576"/>
      <c r="BC95" s="576"/>
      <c r="BD95" s="576"/>
      <c r="BE95" s="576"/>
      <c r="BF95" s="576"/>
      <c r="BG95" s="576"/>
      <c r="BH95" s="576"/>
      <c r="BI95" s="576"/>
      <c r="BJ95" s="576"/>
      <c r="BK95" s="576"/>
      <c r="BL95" s="576"/>
      <c r="BM95" s="576"/>
      <c r="BN95" s="576"/>
      <c r="BO95" s="576"/>
      <c r="BP95" s="576"/>
      <c r="BQ95" s="576"/>
      <c r="BR95" s="576"/>
      <c r="BS95" s="576"/>
      <c r="BT95" s="576"/>
      <c r="BU95" s="576"/>
      <c r="BV95" s="576"/>
      <c r="BW95" s="576"/>
      <c r="BX95" s="576"/>
      <c r="BY95" s="576"/>
      <c r="BZ95" s="576"/>
      <c r="CA95" s="576"/>
      <c r="CB95" s="576"/>
      <c r="CC95" s="576"/>
      <c r="CD95" s="576"/>
      <c r="CE95" s="576"/>
      <c r="CF95" s="576"/>
      <c r="CG95" s="576"/>
      <c r="CH95" s="576"/>
      <c r="CI95" s="576"/>
      <c r="CJ95" s="576"/>
      <c r="CK95" s="576"/>
      <c r="CL95" s="576"/>
      <c r="CM95" s="576"/>
      <c r="CN95" s="576"/>
      <c r="CO95" s="576"/>
      <c r="CP95" s="576"/>
      <c r="CQ95" s="576"/>
      <c r="CR95" s="576"/>
      <c r="CS95" s="576"/>
      <c r="CT95" s="576"/>
      <c r="CU95" s="576"/>
      <c r="CV95" s="576"/>
      <c r="CW95" s="576"/>
      <c r="CX95" s="576"/>
      <c r="CY95" s="576"/>
      <c r="CZ95" s="576"/>
      <c r="DA95" s="576"/>
      <c r="DB95" s="576"/>
      <c r="DC95" s="576"/>
      <c r="DD95" s="576"/>
      <c r="DE95" s="576"/>
      <c r="DF95" s="576"/>
      <c r="DG95" s="576"/>
      <c r="DH95" s="116"/>
      <c r="DI95" s="112"/>
      <c r="DJ95">
        <f ca="1">INDIRECT(ADDRESS(ROW()+1,COLUMN(Arbeitszeit!xDay),,,"Arbeitszeit"))</f>
        <v>3</v>
      </c>
    </row>
    <row r="96" spans="1:114">
      <c r="A96" s="462">
        <f>Arbeitszeit!A97</f>
        <v>44925</v>
      </c>
      <c r="B96" s="463">
        <f t="shared" si="5"/>
        <v>44925</v>
      </c>
      <c r="C96" s="146">
        <f t="shared" si="6"/>
        <v>53</v>
      </c>
      <c r="D96" s="145">
        <f t="shared" si="7"/>
        <v>44895</v>
      </c>
      <c r="E96" s="510">
        <f>Arbeitszeit!V97*24</f>
        <v>0</v>
      </c>
      <c r="F96" s="574">
        <f t="shared" si="4"/>
        <v>0</v>
      </c>
      <c r="G96" s="113">
        <f>IF(Arbeitszeit!F97=Urlaub,B_WorkTime*24,)</f>
        <v>0</v>
      </c>
      <c r="H96" s="111"/>
      <c r="I96" s="113">
        <f>IF(Arbeitszeit!F97=Krank,B_WorkTime*24,)</f>
        <v>0</v>
      </c>
      <c r="J96" s="111"/>
      <c r="K96" s="114"/>
      <c r="L96" s="115"/>
      <c r="M96" s="498"/>
      <c r="N96" s="499"/>
      <c r="O96" s="498"/>
      <c r="P96" s="499"/>
      <c r="Q96" s="498"/>
      <c r="R96" s="499"/>
      <c r="S96" s="498"/>
      <c r="T96" s="499"/>
      <c r="U96" s="498"/>
      <c r="V96" s="499"/>
      <c r="W96" s="498"/>
      <c r="X96" s="499"/>
      <c r="Y96" s="498"/>
      <c r="Z96" s="499"/>
      <c r="AA96" s="498"/>
      <c r="AB96" s="499"/>
      <c r="AC96" s="498"/>
      <c r="AD96" s="499"/>
      <c r="AE96" s="498"/>
      <c r="AF96" s="500"/>
      <c r="AG96" s="498"/>
      <c r="AH96" s="500"/>
      <c r="AI96" s="498"/>
      <c r="AJ96" s="500"/>
      <c r="AK96" s="498"/>
      <c r="AL96" s="500"/>
      <c r="AM96" s="501"/>
      <c r="AN96" s="500"/>
      <c r="AO96" s="498"/>
      <c r="AP96" s="500"/>
      <c r="AQ96" s="501"/>
      <c r="AR96" s="500"/>
      <c r="AS96" s="500"/>
      <c r="AT96" s="500"/>
      <c r="AU96" s="501"/>
      <c r="AV96" s="500"/>
      <c r="AW96" s="500"/>
      <c r="AX96" s="500"/>
      <c r="AY96" s="576"/>
      <c r="AZ96" s="576"/>
      <c r="BA96" s="576"/>
      <c r="BB96" s="576"/>
      <c r="BC96" s="576"/>
      <c r="BD96" s="576"/>
      <c r="BE96" s="576"/>
      <c r="BF96" s="576"/>
      <c r="BG96" s="576"/>
      <c r="BH96" s="576"/>
      <c r="BI96" s="576"/>
      <c r="BJ96" s="576"/>
      <c r="BK96" s="576"/>
      <c r="BL96" s="576"/>
      <c r="BM96" s="576"/>
      <c r="BN96" s="576"/>
      <c r="BO96" s="576"/>
      <c r="BP96" s="576"/>
      <c r="BQ96" s="576"/>
      <c r="BR96" s="576"/>
      <c r="BS96" s="576"/>
      <c r="BT96" s="576"/>
      <c r="BU96" s="576"/>
      <c r="BV96" s="576"/>
      <c r="BW96" s="576"/>
      <c r="BX96" s="576"/>
      <c r="BY96" s="576"/>
      <c r="BZ96" s="576"/>
      <c r="CA96" s="576"/>
      <c r="CB96" s="576"/>
      <c r="CC96" s="576"/>
      <c r="CD96" s="576"/>
      <c r="CE96" s="576"/>
      <c r="CF96" s="576"/>
      <c r="CG96" s="576"/>
      <c r="CH96" s="576"/>
      <c r="CI96" s="576"/>
      <c r="CJ96" s="576"/>
      <c r="CK96" s="576"/>
      <c r="CL96" s="576"/>
      <c r="CM96" s="576"/>
      <c r="CN96" s="576"/>
      <c r="CO96" s="576"/>
      <c r="CP96" s="576"/>
      <c r="CQ96" s="576"/>
      <c r="CR96" s="576"/>
      <c r="CS96" s="576"/>
      <c r="CT96" s="576"/>
      <c r="CU96" s="576"/>
      <c r="CV96" s="576"/>
      <c r="CW96" s="576"/>
      <c r="CX96" s="576"/>
      <c r="CY96" s="576"/>
      <c r="CZ96" s="576"/>
      <c r="DA96" s="576"/>
      <c r="DB96" s="576"/>
      <c r="DC96" s="576"/>
      <c r="DD96" s="576"/>
      <c r="DE96" s="576"/>
      <c r="DF96" s="576"/>
      <c r="DG96" s="576"/>
      <c r="DH96" s="116"/>
      <c r="DI96" s="112"/>
      <c r="DJ96">
        <f ca="1">INDIRECT(ADDRESS(ROW()+1,COLUMN(Arbeitszeit!xDay),,,"Arbeitszeit"))</f>
        <v>4</v>
      </c>
    </row>
    <row r="97" spans="1:114">
      <c r="A97" s="462">
        <f>Arbeitszeit!A98</f>
        <v>44926</v>
      </c>
      <c r="B97" s="463">
        <f t="shared" si="5"/>
        <v>44926</v>
      </c>
      <c r="C97" s="146">
        <f t="shared" si="6"/>
        <v>53</v>
      </c>
      <c r="D97" s="145">
        <f t="shared" si="7"/>
        <v>44926</v>
      </c>
      <c r="E97" s="510">
        <f>Arbeitszeit!V98*24</f>
        <v>0</v>
      </c>
      <c r="F97" s="574">
        <f t="shared" si="4"/>
        <v>0</v>
      </c>
      <c r="G97" s="113">
        <f>IF(Arbeitszeit!F98=Urlaub,B_WorkTime*24,)</f>
        <v>0</v>
      </c>
      <c r="H97" s="111"/>
      <c r="I97" s="113">
        <f>IF(Arbeitszeit!F98=Krank,B_WorkTime*24,)</f>
        <v>0</v>
      </c>
      <c r="J97" s="111"/>
      <c r="K97" s="114"/>
      <c r="L97" s="115"/>
      <c r="M97" s="498"/>
      <c r="N97" s="499"/>
      <c r="O97" s="498"/>
      <c r="P97" s="499"/>
      <c r="Q97" s="498"/>
      <c r="R97" s="499"/>
      <c r="S97" s="498"/>
      <c r="T97" s="499"/>
      <c r="U97" s="498"/>
      <c r="V97" s="499"/>
      <c r="W97" s="498"/>
      <c r="X97" s="499"/>
      <c r="Y97" s="498"/>
      <c r="Z97" s="499"/>
      <c r="AA97" s="498"/>
      <c r="AB97" s="499"/>
      <c r="AC97" s="498"/>
      <c r="AD97" s="499"/>
      <c r="AE97" s="498"/>
      <c r="AF97" s="500"/>
      <c r="AG97" s="498"/>
      <c r="AH97" s="500"/>
      <c r="AI97" s="498"/>
      <c r="AJ97" s="500"/>
      <c r="AK97" s="498"/>
      <c r="AL97" s="500"/>
      <c r="AM97" s="501"/>
      <c r="AN97" s="500"/>
      <c r="AO97" s="498"/>
      <c r="AP97" s="500"/>
      <c r="AQ97" s="501"/>
      <c r="AR97" s="500"/>
      <c r="AS97" s="500"/>
      <c r="AT97" s="500"/>
      <c r="AU97" s="501"/>
      <c r="AV97" s="500"/>
      <c r="AW97" s="500"/>
      <c r="AX97" s="500"/>
      <c r="AY97" s="576"/>
      <c r="AZ97" s="576"/>
      <c r="BA97" s="576"/>
      <c r="BB97" s="576"/>
      <c r="BC97" s="576"/>
      <c r="BD97" s="576"/>
      <c r="BE97" s="576"/>
      <c r="BF97" s="576"/>
      <c r="BG97" s="576"/>
      <c r="BH97" s="576"/>
      <c r="BI97" s="576"/>
      <c r="BJ97" s="576"/>
      <c r="BK97" s="576"/>
      <c r="BL97" s="576"/>
      <c r="BM97" s="576"/>
      <c r="BN97" s="576"/>
      <c r="BO97" s="576"/>
      <c r="BP97" s="576"/>
      <c r="BQ97" s="576"/>
      <c r="BR97" s="576"/>
      <c r="BS97" s="576"/>
      <c r="BT97" s="576"/>
      <c r="BU97" s="576"/>
      <c r="BV97" s="576"/>
      <c r="BW97" s="576"/>
      <c r="BX97" s="576"/>
      <c r="BY97" s="576"/>
      <c r="BZ97" s="576"/>
      <c r="CA97" s="576"/>
      <c r="CB97" s="576"/>
      <c r="CC97" s="576"/>
      <c r="CD97" s="576"/>
      <c r="CE97" s="576"/>
      <c r="CF97" s="576"/>
      <c r="CG97" s="576"/>
      <c r="CH97" s="576"/>
      <c r="CI97" s="576"/>
      <c r="CJ97" s="576"/>
      <c r="CK97" s="576"/>
      <c r="CL97" s="576"/>
      <c r="CM97" s="576"/>
      <c r="CN97" s="576"/>
      <c r="CO97" s="576"/>
      <c r="CP97" s="576"/>
      <c r="CQ97" s="576"/>
      <c r="CR97" s="576"/>
      <c r="CS97" s="576"/>
      <c r="CT97" s="576"/>
      <c r="CU97" s="576"/>
      <c r="CV97" s="576"/>
      <c r="CW97" s="576"/>
      <c r="CX97" s="576"/>
      <c r="CY97" s="576"/>
      <c r="CZ97" s="576"/>
      <c r="DA97" s="576"/>
      <c r="DB97" s="576"/>
      <c r="DC97" s="576"/>
      <c r="DD97" s="576"/>
      <c r="DE97" s="576"/>
      <c r="DF97" s="576"/>
      <c r="DG97" s="576"/>
      <c r="DH97" s="116"/>
      <c r="DI97" s="112"/>
      <c r="DJ97">
        <f ca="1">INDIRECT(ADDRESS(ROW()+1,COLUMN(Arbeitszeit!xDay),,,"Arbeitszeit"))</f>
        <v>8</v>
      </c>
    </row>
    <row r="98" spans="1:114">
      <c r="A98" s="462">
        <f>Arbeitszeit!A99</f>
        <v>44927</v>
      </c>
      <c r="B98" s="463">
        <f t="shared" si="5"/>
        <v>44927</v>
      </c>
      <c r="C98" s="146">
        <f t="shared" si="6"/>
        <v>53</v>
      </c>
      <c r="D98" s="145">
        <f t="shared" si="7"/>
        <v>44926</v>
      </c>
      <c r="E98" s="510">
        <f>Arbeitszeit!V99*24</f>
        <v>0</v>
      </c>
      <c r="F98" s="574">
        <f t="shared" si="4"/>
        <v>0</v>
      </c>
      <c r="G98" s="113">
        <f>IF(Arbeitszeit!F99=Urlaub,B_WorkTime*24,)</f>
        <v>0</v>
      </c>
      <c r="H98" s="111"/>
      <c r="I98" s="113">
        <f>IF(Arbeitszeit!F99=Krank,B_WorkTime*24,)</f>
        <v>0</v>
      </c>
      <c r="J98" s="111"/>
      <c r="K98" s="114"/>
      <c r="L98" s="115"/>
      <c r="M98" s="498"/>
      <c r="N98" s="499"/>
      <c r="O98" s="498"/>
      <c r="P98" s="499"/>
      <c r="Q98" s="498"/>
      <c r="R98" s="499"/>
      <c r="S98" s="498"/>
      <c r="T98" s="499"/>
      <c r="U98" s="498"/>
      <c r="V98" s="499"/>
      <c r="W98" s="498"/>
      <c r="X98" s="499"/>
      <c r="Y98" s="498"/>
      <c r="Z98" s="499"/>
      <c r="AA98" s="498"/>
      <c r="AB98" s="499"/>
      <c r="AC98" s="498"/>
      <c r="AD98" s="499"/>
      <c r="AE98" s="498"/>
      <c r="AF98" s="500"/>
      <c r="AG98" s="498"/>
      <c r="AH98" s="500"/>
      <c r="AI98" s="498"/>
      <c r="AJ98" s="500"/>
      <c r="AK98" s="498"/>
      <c r="AL98" s="500"/>
      <c r="AM98" s="501"/>
      <c r="AN98" s="500"/>
      <c r="AO98" s="498"/>
      <c r="AP98" s="500"/>
      <c r="AQ98" s="501"/>
      <c r="AR98" s="500"/>
      <c r="AS98" s="500"/>
      <c r="AT98" s="500"/>
      <c r="AU98" s="501"/>
      <c r="AV98" s="500"/>
      <c r="AW98" s="500"/>
      <c r="AX98" s="500"/>
      <c r="AY98" s="576"/>
      <c r="AZ98" s="576"/>
      <c r="BA98" s="576"/>
      <c r="BB98" s="576"/>
      <c r="BC98" s="576"/>
      <c r="BD98" s="576"/>
      <c r="BE98" s="576"/>
      <c r="BF98" s="576"/>
      <c r="BG98" s="576"/>
      <c r="BH98" s="576"/>
      <c r="BI98" s="576"/>
      <c r="BJ98" s="576"/>
      <c r="BK98" s="576"/>
      <c r="BL98" s="576"/>
      <c r="BM98" s="576"/>
      <c r="BN98" s="576"/>
      <c r="BO98" s="576"/>
      <c r="BP98" s="576"/>
      <c r="BQ98" s="576"/>
      <c r="BR98" s="576"/>
      <c r="BS98" s="576"/>
      <c r="BT98" s="576"/>
      <c r="BU98" s="576"/>
      <c r="BV98" s="576"/>
      <c r="BW98" s="576"/>
      <c r="BX98" s="576"/>
      <c r="BY98" s="576"/>
      <c r="BZ98" s="576"/>
      <c r="CA98" s="576"/>
      <c r="CB98" s="576"/>
      <c r="CC98" s="576"/>
      <c r="CD98" s="576"/>
      <c r="CE98" s="576"/>
      <c r="CF98" s="576"/>
      <c r="CG98" s="576"/>
      <c r="CH98" s="576"/>
      <c r="CI98" s="576"/>
      <c r="CJ98" s="576"/>
      <c r="CK98" s="576"/>
      <c r="CL98" s="576"/>
      <c r="CM98" s="576"/>
      <c r="CN98" s="576"/>
      <c r="CO98" s="576"/>
      <c r="CP98" s="576"/>
      <c r="CQ98" s="576"/>
      <c r="CR98" s="576"/>
      <c r="CS98" s="576"/>
      <c r="CT98" s="576"/>
      <c r="CU98" s="576"/>
      <c r="CV98" s="576"/>
      <c r="CW98" s="576"/>
      <c r="CX98" s="576"/>
      <c r="CY98" s="576"/>
      <c r="CZ98" s="576"/>
      <c r="DA98" s="576"/>
      <c r="DB98" s="576"/>
      <c r="DC98" s="576"/>
      <c r="DD98" s="576"/>
      <c r="DE98" s="576"/>
      <c r="DF98" s="576"/>
      <c r="DG98" s="576"/>
      <c r="DH98" s="116"/>
      <c r="DI98" s="112"/>
      <c r="DJ98">
        <f ca="1">INDIRECT(ADDRESS(ROW()+1,COLUMN(Arbeitszeit!xDay),,,"Arbeitszeit"))</f>
        <v>6</v>
      </c>
    </row>
    <row r="99" spans="1:114">
      <c r="A99" s="462">
        <f>Arbeitszeit!A100</f>
        <v>44928</v>
      </c>
      <c r="B99" s="463">
        <f t="shared" si="5"/>
        <v>44928</v>
      </c>
      <c r="C99" s="146">
        <f t="shared" si="6"/>
        <v>53</v>
      </c>
      <c r="D99" s="145">
        <f t="shared" si="7"/>
        <v>44926</v>
      </c>
      <c r="E99" s="510">
        <f>Arbeitszeit!V100*24</f>
        <v>0</v>
      </c>
      <c r="F99" s="574">
        <f t="shared" si="4"/>
        <v>0</v>
      </c>
      <c r="G99" s="113">
        <f>IF(Arbeitszeit!F100=Urlaub,B_WorkTime*24,)</f>
        <v>0</v>
      </c>
      <c r="H99" s="111"/>
      <c r="I99" s="113">
        <f>IF(Arbeitszeit!F100=Krank,B_WorkTime*24,)</f>
        <v>0</v>
      </c>
      <c r="J99" s="111"/>
      <c r="K99" s="114"/>
      <c r="L99" s="115"/>
      <c r="M99" s="498"/>
      <c r="N99" s="499"/>
      <c r="O99" s="498"/>
      <c r="P99" s="499"/>
      <c r="Q99" s="498"/>
      <c r="R99" s="499"/>
      <c r="S99" s="498"/>
      <c r="T99" s="499"/>
      <c r="U99" s="498"/>
      <c r="V99" s="499"/>
      <c r="W99" s="498"/>
      <c r="X99" s="499"/>
      <c r="Y99" s="498"/>
      <c r="Z99" s="499"/>
      <c r="AA99" s="498"/>
      <c r="AB99" s="499"/>
      <c r="AC99" s="498"/>
      <c r="AD99" s="499"/>
      <c r="AE99" s="498"/>
      <c r="AF99" s="500"/>
      <c r="AG99" s="498"/>
      <c r="AH99" s="500"/>
      <c r="AI99" s="498"/>
      <c r="AJ99" s="500"/>
      <c r="AK99" s="498"/>
      <c r="AL99" s="500"/>
      <c r="AM99" s="501"/>
      <c r="AN99" s="500"/>
      <c r="AO99" s="498"/>
      <c r="AP99" s="500"/>
      <c r="AQ99" s="501"/>
      <c r="AR99" s="500"/>
      <c r="AS99" s="500"/>
      <c r="AT99" s="500"/>
      <c r="AU99" s="501"/>
      <c r="AV99" s="500"/>
      <c r="AW99" s="500"/>
      <c r="AX99" s="500"/>
      <c r="AY99" s="576"/>
      <c r="AZ99" s="576"/>
      <c r="BA99" s="576"/>
      <c r="BB99" s="576"/>
      <c r="BC99" s="576"/>
      <c r="BD99" s="576"/>
      <c r="BE99" s="576"/>
      <c r="BF99" s="576"/>
      <c r="BG99" s="576"/>
      <c r="BH99" s="576"/>
      <c r="BI99" s="576"/>
      <c r="BJ99" s="576"/>
      <c r="BK99" s="576"/>
      <c r="BL99" s="576"/>
      <c r="BM99" s="576"/>
      <c r="BN99" s="576"/>
      <c r="BO99" s="576"/>
      <c r="BP99" s="576"/>
      <c r="BQ99" s="576"/>
      <c r="BR99" s="576"/>
      <c r="BS99" s="576"/>
      <c r="BT99" s="576"/>
      <c r="BU99" s="576"/>
      <c r="BV99" s="576"/>
      <c r="BW99" s="576"/>
      <c r="BX99" s="576"/>
      <c r="BY99" s="576"/>
      <c r="BZ99" s="576"/>
      <c r="CA99" s="576"/>
      <c r="CB99" s="576"/>
      <c r="CC99" s="576"/>
      <c r="CD99" s="576"/>
      <c r="CE99" s="576"/>
      <c r="CF99" s="576"/>
      <c r="CG99" s="576"/>
      <c r="CH99" s="576"/>
      <c r="CI99" s="576"/>
      <c r="CJ99" s="576"/>
      <c r="CK99" s="576"/>
      <c r="CL99" s="576"/>
      <c r="CM99" s="576"/>
      <c r="CN99" s="576"/>
      <c r="CO99" s="576"/>
      <c r="CP99" s="576"/>
      <c r="CQ99" s="576"/>
      <c r="CR99" s="576"/>
      <c r="CS99" s="576"/>
      <c r="CT99" s="576"/>
      <c r="CU99" s="576"/>
      <c r="CV99" s="576"/>
      <c r="CW99" s="576"/>
      <c r="CX99" s="576"/>
      <c r="CY99" s="576"/>
      <c r="CZ99" s="576"/>
      <c r="DA99" s="576"/>
      <c r="DB99" s="576"/>
      <c r="DC99" s="576"/>
      <c r="DD99" s="576"/>
      <c r="DE99" s="576"/>
      <c r="DF99" s="576"/>
      <c r="DG99" s="576"/>
      <c r="DH99" s="116"/>
      <c r="DI99" s="112"/>
      <c r="DJ99">
        <f ca="1">INDIRECT(ADDRESS(ROW()+1,COLUMN(Arbeitszeit!xDay),,,"Arbeitszeit"))</f>
        <v>7</v>
      </c>
    </row>
    <row r="100" spans="1:114">
      <c r="A100" s="462">
        <f>Arbeitszeit!A101</f>
        <v>44929</v>
      </c>
      <c r="B100" s="463">
        <f t="shared" si="5"/>
        <v>44929</v>
      </c>
      <c r="C100" s="146">
        <f t="shared" si="6"/>
        <v>1</v>
      </c>
      <c r="D100" s="145">
        <f t="shared" si="7"/>
        <v>44926</v>
      </c>
      <c r="E100" s="510">
        <f>Arbeitszeit!V101*24</f>
        <v>0</v>
      </c>
      <c r="F100" s="574">
        <f t="shared" si="4"/>
        <v>0</v>
      </c>
      <c r="G100" s="113">
        <f>IF(Arbeitszeit!F101=Urlaub,B_WorkTime*24,)</f>
        <v>0</v>
      </c>
      <c r="H100" s="111"/>
      <c r="I100" s="113">
        <f>IF(Arbeitszeit!F101=Krank,B_WorkTime*24,)</f>
        <v>0</v>
      </c>
      <c r="J100" s="111"/>
      <c r="K100" s="114"/>
      <c r="L100" s="115"/>
      <c r="M100" s="498"/>
      <c r="N100" s="499"/>
      <c r="O100" s="498"/>
      <c r="P100" s="499"/>
      <c r="Q100" s="498"/>
      <c r="R100" s="499"/>
      <c r="S100" s="498"/>
      <c r="T100" s="499"/>
      <c r="U100" s="498"/>
      <c r="V100" s="499"/>
      <c r="W100" s="498"/>
      <c r="X100" s="499"/>
      <c r="Y100" s="498"/>
      <c r="Z100" s="499"/>
      <c r="AA100" s="498"/>
      <c r="AB100" s="499"/>
      <c r="AC100" s="498"/>
      <c r="AD100" s="499"/>
      <c r="AE100" s="498"/>
      <c r="AF100" s="500"/>
      <c r="AG100" s="498"/>
      <c r="AH100" s="500"/>
      <c r="AI100" s="498"/>
      <c r="AJ100" s="500"/>
      <c r="AK100" s="498"/>
      <c r="AL100" s="500"/>
      <c r="AM100" s="501"/>
      <c r="AN100" s="500"/>
      <c r="AO100" s="498"/>
      <c r="AP100" s="500"/>
      <c r="AQ100" s="501"/>
      <c r="AR100" s="500"/>
      <c r="AS100" s="500"/>
      <c r="AT100" s="500"/>
      <c r="AU100" s="501"/>
      <c r="AV100" s="500"/>
      <c r="AW100" s="500"/>
      <c r="AX100" s="500"/>
      <c r="AY100" s="576"/>
      <c r="AZ100" s="576"/>
      <c r="BA100" s="576"/>
      <c r="BB100" s="576"/>
      <c r="BC100" s="576"/>
      <c r="BD100" s="576"/>
      <c r="BE100" s="576"/>
      <c r="BF100" s="576"/>
      <c r="BG100" s="576"/>
      <c r="BH100" s="576"/>
      <c r="BI100" s="576"/>
      <c r="BJ100" s="576"/>
      <c r="BK100" s="576"/>
      <c r="BL100" s="576"/>
      <c r="BM100" s="576"/>
      <c r="BN100" s="576"/>
      <c r="BO100" s="576"/>
      <c r="BP100" s="576"/>
      <c r="BQ100" s="576"/>
      <c r="BR100" s="576"/>
      <c r="BS100" s="576"/>
      <c r="BT100" s="576"/>
      <c r="BU100" s="576"/>
      <c r="BV100" s="576"/>
      <c r="BW100" s="576"/>
      <c r="BX100" s="576"/>
      <c r="BY100" s="576"/>
      <c r="BZ100" s="576"/>
      <c r="CA100" s="576"/>
      <c r="CB100" s="576"/>
      <c r="CC100" s="576"/>
      <c r="CD100" s="576"/>
      <c r="CE100" s="576"/>
      <c r="CF100" s="576"/>
      <c r="CG100" s="576"/>
      <c r="CH100" s="576"/>
      <c r="CI100" s="576"/>
      <c r="CJ100" s="576"/>
      <c r="CK100" s="576"/>
      <c r="CL100" s="576"/>
      <c r="CM100" s="576"/>
      <c r="CN100" s="576"/>
      <c r="CO100" s="576"/>
      <c r="CP100" s="576"/>
      <c r="CQ100" s="576"/>
      <c r="CR100" s="576"/>
      <c r="CS100" s="576"/>
      <c r="CT100" s="576"/>
      <c r="CU100" s="576"/>
      <c r="CV100" s="576"/>
      <c r="CW100" s="576"/>
      <c r="CX100" s="576"/>
      <c r="CY100" s="576"/>
      <c r="CZ100" s="576"/>
      <c r="DA100" s="576"/>
      <c r="DB100" s="576"/>
      <c r="DC100" s="576"/>
      <c r="DD100" s="576"/>
      <c r="DE100" s="576"/>
      <c r="DF100" s="576"/>
      <c r="DG100" s="576"/>
      <c r="DH100" s="116"/>
      <c r="DI100" s="112"/>
      <c r="DJ100">
        <f ca="1">INDIRECT(ADDRESS(ROW()+1,COLUMN(Arbeitszeit!xDay),,,"Arbeitszeit"))</f>
        <v>1</v>
      </c>
    </row>
    <row r="101" spans="1:114">
      <c r="A101" s="462">
        <f>Arbeitszeit!A102</f>
        <v>44930</v>
      </c>
      <c r="B101" s="463">
        <f t="shared" si="5"/>
        <v>44930</v>
      </c>
      <c r="C101" s="146">
        <f t="shared" si="6"/>
        <v>1</v>
      </c>
      <c r="D101" s="145">
        <f t="shared" si="7"/>
        <v>44926</v>
      </c>
      <c r="E101" s="510">
        <f>Arbeitszeit!V102*24</f>
        <v>0</v>
      </c>
      <c r="F101" s="574">
        <f t="shared" si="4"/>
        <v>0</v>
      </c>
      <c r="G101" s="113">
        <f>IF(Arbeitszeit!F102=Urlaub,B_WorkTime*24,)</f>
        <v>0</v>
      </c>
      <c r="H101" s="111"/>
      <c r="I101" s="113">
        <f>IF(Arbeitszeit!F102=Krank,B_WorkTime*24,)</f>
        <v>0</v>
      </c>
      <c r="J101" s="111"/>
      <c r="K101" s="114"/>
      <c r="L101" s="115"/>
      <c r="M101" s="498"/>
      <c r="N101" s="499"/>
      <c r="O101" s="498"/>
      <c r="P101" s="499"/>
      <c r="Q101" s="498"/>
      <c r="R101" s="499"/>
      <c r="S101" s="498"/>
      <c r="T101" s="499"/>
      <c r="U101" s="498"/>
      <c r="V101" s="499"/>
      <c r="W101" s="498"/>
      <c r="X101" s="499"/>
      <c r="Y101" s="498"/>
      <c r="Z101" s="499"/>
      <c r="AA101" s="498"/>
      <c r="AB101" s="499"/>
      <c r="AC101" s="498"/>
      <c r="AD101" s="499"/>
      <c r="AE101" s="498"/>
      <c r="AF101" s="500"/>
      <c r="AG101" s="498"/>
      <c r="AH101" s="500"/>
      <c r="AI101" s="498"/>
      <c r="AJ101" s="500"/>
      <c r="AK101" s="498"/>
      <c r="AL101" s="500"/>
      <c r="AM101" s="501"/>
      <c r="AN101" s="500"/>
      <c r="AO101" s="498"/>
      <c r="AP101" s="500"/>
      <c r="AQ101" s="501"/>
      <c r="AR101" s="500"/>
      <c r="AS101" s="500"/>
      <c r="AT101" s="500"/>
      <c r="AU101" s="501"/>
      <c r="AV101" s="500"/>
      <c r="AW101" s="500"/>
      <c r="AX101" s="500"/>
      <c r="AY101" s="576"/>
      <c r="AZ101" s="576"/>
      <c r="BA101" s="576"/>
      <c r="BB101" s="576"/>
      <c r="BC101" s="576"/>
      <c r="BD101" s="576"/>
      <c r="BE101" s="576"/>
      <c r="BF101" s="576"/>
      <c r="BG101" s="576"/>
      <c r="BH101" s="576"/>
      <c r="BI101" s="576"/>
      <c r="BJ101" s="576"/>
      <c r="BK101" s="576"/>
      <c r="BL101" s="576"/>
      <c r="BM101" s="576"/>
      <c r="BN101" s="576"/>
      <c r="BO101" s="576"/>
      <c r="BP101" s="576"/>
      <c r="BQ101" s="576"/>
      <c r="BR101" s="576"/>
      <c r="BS101" s="576"/>
      <c r="BT101" s="576"/>
      <c r="BU101" s="576"/>
      <c r="BV101" s="576"/>
      <c r="BW101" s="576"/>
      <c r="BX101" s="576"/>
      <c r="BY101" s="576"/>
      <c r="BZ101" s="576"/>
      <c r="CA101" s="576"/>
      <c r="CB101" s="576"/>
      <c r="CC101" s="576"/>
      <c r="CD101" s="576"/>
      <c r="CE101" s="576"/>
      <c r="CF101" s="576"/>
      <c r="CG101" s="576"/>
      <c r="CH101" s="576"/>
      <c r="CI101" s="576"/>
      <c r="CJ101" s="576"/>
      <c r="CK101" s="576"/>
      <c r="CL101" s="576"/>
      <c r="CM101" s="576"/>
      <c r="CN101" s="576"/>
      <c r="CO101" s="576"/>
      <c r="CP101" s="576"/>
      <c r="CQ101" s="576"/>
      <c r="CR101" s="576"/>
      <c r="CS101" s="576"/>
      <c r="CT101" s="576"/>
      <c r="CU101" s="576"/>
      <c r="CV101" s="576"/>
      <c r="CW101" s="576"/>
      <c r="CX101" s="576"/>
      <c r="CY101" s="576"/>
      <c r="CZ101" s="576"/>
      <c r="DA101" s="576"/>
      <c r="DB101" s="576"/>
      <c r="DC101" s="576"/>
      <c r="DD101" s="576"/>
      <c r="DE101" s="576"/>
      <c r="DF101" s="576"/>
      <c r="DG101" s="576"/>
      <c r="DH101" s="116"/>
      <c r="DI101" s="112"/>
      <c r="DJ101">
        <f ca="1">INDIRECT(ADDRESS(ROW()+1,COLUMN(Arbeitszeit!xDay),,,"Arbeitszeit"))</f>
        <v>2</v>
      </c>
    </row>
    <row r="102" spans="1:114">
      <c r="A102" s="462">
        <f>Arbeitszeit!A103</f>
        <v>44931</v>
      </c>
      <c r="B102" s="463">
        <f t="shared" si="5"/>
        <v>44931</v>
      </c>
      <c r="C102" s="146">
        <f t="shared" si="6"/>
        <v>1</v>
      </c>
      <c r="D102" s="145">
        <f t="shared" si="7"/>
        <v>44926</v>
      </c>
      <c r="E102" s="510">
        <f>Arbeitszeit!V103*24</f>
        <v>0</v>
      </c>
      <c r="F102" s="574">
        <f t="shared" si="4"/>
        <v>0</v>
      </c>
      <c r="G102" s="113">
        <f>IF(Arbeitszeit!F103=Urlaub,B_WorkTime*24,)</f>
        <v>0</v>
      </c>
      <c r="H102" s="111"/>
      <c r="I102" s="113">
        <f>IF(Arbeitszeit!F103=Krank,B_WorkTime*24,)</f>
        <v>0</v>
      </c>
      <c r="J102" s="111"/>
      <c r="K102" s="114"/>
      <c r="L102" s="115"/>
      <c r="M102" s="498"/>
      <c r="N102" s="499"/>
      <c r="O102" s="498"/>
      <c r="P102" s="499"/>
      <c r="Q102" s="498"/>
      <c r="R102" s="499"/>
      <c r="S102" s="498"/>
      <c r="T102" s="499"/>
      <c r="U102" s="498"/>
      <c r="V102" s="499"/>
      <c r="W102" s="498"/>
      <c r="X102" s="499"/>
      <c r="Y102" s="498"/>
      <c r="Z102" s="499"/>
      <c r="AA102" s="498"/>
      <c r="AB102" s="499"/>
      <c r="AC102" s="498"/>
      <c r="AD102" s="499"/>
      <c r="AE102" s="498"/>
      <c r="AF102" s="500"/>
      <c r="AG102" s="498"/>
      <c r="AH102" s="500"/>
      <c r="AI102" s="498"/>
      <c r="AJ102" s="500"/>
      <c r="AK102" s="498"/>
      <c r="AL102" s="500"/>
      <c r="AM102" s="501"/>
      <c r="AN102" s="500"/>
      <c r="AO102" s="498"/>
      <c r="AP102" s="500"/>
      <c r="AQ102" s="501"/>
      <c r="AR102" s="500"/>
      <c r="AS102" s="500"/>
      <c r="AT102" s="500"/>
      <c r="AU102" s="501"/>
      <c r="AV102" s="500"/>
      <c r="AW102" s="500"/>
      <c r="AX102" s="500"/>
      <c r="AY102" s="576"/>
      <c r="AZ102" s="576"/>
      <c r="BA102" s="576"/>
      <c r="BB102" s="576"/>
      <c r="BC102" s="576"/>
      <c r="BD102" s="576"/>
      <c r="BE102" s="576"/>
      <c r="BF102" s="576"/>
      <c r="BG102" s="576"/>
      <c r="BH102" s="576"/>
      <c r="BI102" s="576"/>
      <c r="BJ102" s="576"/>
      <c r="BK102" s="576"/>
      <c r="BL102" s="576"/>
      <c r="BM102" s="576"/>
      <c r="BN102" s="576"/>
      <c r="BO102" s="576"/>
      <c r="BP102" s="576"/>
      <c r="BQ102" s="576"/>
      <c r="BR102" s="576"/>
      <c r="BS102" s="576"/>
      <c r="BT102" s="576"/>
      <c r="BU102" s="576"/>
      <c r="BV102" s="576"/>
      <c r="BW102" s="576"/>
      <c r="BX102" s="576"/>
      <c r="BY102" s="576"/>
      <c r="BZ102" s="576"/>
      <c r="CA102" s="576"/>
      <c r="CB102" s="576"/>
      <c r="CC102" s="576"/>
      <c r="CD102" s="576"/>
      <c r="CE102" s="576"/>
      <c r="CF102" s="576"/>
      <c r="CG102" s="576"/>
      <c r="CH102" s="576"/>
      <c r="CI102" s="576"/>
      <c r="CJ102" s="576"/>
      <c r="CK102" s="576"/>
      <c r="CL102" s="576"/>
      <c r="CM102" s="576"/>
      <c r="CN102" s="576"/>
      <c r="CO102" s="576"/>
      <c r="CP102" s="576"/>
      <c r="CQ102" s="576"/>
      <c r="CR102" s="576"/>
      <c r="CS102" s="576"/>
      <c r="CT102" s="576"/>
      <c r="CU102" s="576"/>
      <c r="CV102" s="576"/>
      <c r="CW102" s="576"/>
      <c r="CX102" s="576"/>
      <c r="CY102" s="576"/>
      <c r="CZ102" s="576"/>
      <c r="DA102" s="576"/>
      <c r="DB102" s="576"/>
      <c r="DC102" s="576"/>
      <c r="DD102" s="576"/>
      <c r="DE102" s="576"/>
      <c r="DF102" s="576"/>
      <c r="DG102" s="576"/>
      <c r="DH102" s="116"/>
      <c r="DI102" s="112"/>
      <c r="DJ102">
        <f ca="1">INDIRECT(ADDRESS(ROW()+1,COLUMN(Arbeitszeit!xDay),,,"Arbeitszeit"))</f>
        <v>8</v>
      </c>
    </row>
    <row r="103" spans="1:114">
      <c r="A103" s="462">
        <f>Arbeitszeit!A104</f>
        <v>44932</v>
      </c>
      <c r="B103" s="463">
        <f t="shared" si="5"/>
        <v>44932</v>
      </c>
      <c r="C103" s="146">
        <f t="shared" si="6"/>
        <v>1</v>
      </c>
      <c r="D103" s="145">
        <f t="shared" si="7"/>
        <v>44926</v>
      </c>
      <c r="E103" s="510">
        <f>Arbeitszeit!V104*24</f>
        <v>0</v>
      </c>
      <c r="F103" s="574">
        <f t="shared" si="4"/>
        <v>0</v>
      </c>
      <c r="G103" s="113">
        <f>IF(Arbeitszeit!F104=Urlaub,B_WorkTime*24,)</f>
        <v>0</v>
      </c>
      <c r="H103" s="111"/>
      <c r="I103" s="113">
        <f>IF(Arbeitszeit!F104=Krank,B_WorkTime*24,)</f>
        <v>0</v>
      </c>
      <c r="J103" s="111"/>
      <c r="K103" s="114"/>
      <c r="L103" s="115"/>
      <c r="M103" s="498"/>
      <c r="N103" s="499"/>
      <c r="O103" s="498"/>
      <c r="P103" s="499"/>
      <c r="Q103" s="498"/>
      <c r="R103" s="499"/>
      <c r="S103" s="498"/>
      <c r="T103" s="499"/>
      <c r="U103" s="498"/>
      <c r="V103" s="499"/>
      <c r="W103" s="498"/>
      <c r="X103" s="499"/>
      <c r="Y103" s="498"/>
      <c r="Z103" s="499"/>
      <c r="AA103" s="498"/>
      <c r="AB103" s="499"/>
      <c r="AC103" s="498"/>
      <c r="AD103" s="499"/>
      <c r="AE103" s="498"/>
      <c r="AF103" s="500"/>
      <c r="AG103" s="498"/>
      <c r="AH103" s="500"/>
      <c r="AI103" s="498"/>
      <c r="AJ103" s="500"/>
      <c r="AK103" s="498"/>
      <c r="AL103" s="500"/>
      <c r="AM103" s="501"/>
      <c r="AN103" s="500"/>
      <c r="AO103" s="498"/>
      <c r="AP103" s="500"/>
      <c r="AQ103" s="501"/>
      <c r="AR103" s="500"/>
      <c r="AS103" s="500"/>
      <c r="AT103" s="500"/>
      <c r="AU103" s="501"/>
      <c r="AV103" s="500"/>
      <c r="AW103" s="500"/>
      <c r="AX103" s="500"/>
      <c r="AY103" s="576"/>
      <c r="AZ103" s="576"/>
      <c r="BA103" s="576"/>
      <c r="BB103" s="576"/>
      <c r="BC103" s="576"/>
      <c r="BD103" s="576"/>
      <c r="BE103" s="576"/>
      <c r="BF103" s="576"/>
      <c r="BG103" s="576"/>
      <c r="BH103" s="576"/>
      <c r="BI103" s="576"/>
      <c r="BJ103" s="576"/>
      <c r="BK103" s="576"/>
      <c r="BL103" s="576"/>
      <c r="BM103" s="576"/>
      <c r="BN103" s="576"/>
      <c r="BO103" s="576"/>
      <c r="BP103" s="576"/>
      <c r="BQ103" s="576"/>
      <c r="BR103" s="576"/>
      <c r="BS103" s="576"/>
      <c r="BT103" s="576"/>
      <c r="BU103" s="576"/>
      <c r="BV103" s="576"/>
      <c r="BW103" s="576"/>
      <c r="BX103" s="576"/>
      <c r="BY103" s="576"/>
      <c r="BZ103" s="576"/>
      <c r="CA103" s="576"/>
      <c r="CB103" s="576"/>
      <c r="CC103" s="576"/>
      <c r="CD103" s="576"/>
      <c r="CE103" s="576"/>
      <c r="CF103" s="576"/>
      <c r="CG103" s="576"/>
      <c r="CH103" s="576"/>
      <c r="CI103" s="576"/>
      <c r="CJ103" s="576"/>
      <c r="CK103" s="576"/>
      <c r="CL103" s="576"/>
      <c r="CM103" s="576"/>
      <c r="CN103" s="576"/>
      <c r="CO103" s="576"/>
      <c r="CP103" s="576"/>
      <c r="CQ103" s="576"/>
      <c r="CR103" s="576"/>
      <c r="CS103" s="576"/>
      <c r="CT103" s="576"/>
      <c r="CU103" s="576"/>
      <c r="CV103" s="576"/>
      <c r="CW103" s="576"/>
      <c r="CX103" s="576"/>
      <c r="CY103" s="576"/>
      <c r="CZ103" s="576"/>
      <c r="DA103" s="576"/>
      <c r="DB103" s="576"/>
      <c r="DC103" s="576"/>
      <c r="DD103" s="576"/>
      <c r="DE103" s="576"/>
      <c r="DF103" s="576"/>
      <c r="DG103" s="576"/>
      <c r="DH103" s="116"/>
      <c r="DI103" s="112"/>
      <c r="DJ103">
        <f ca="1">INDIRECT(ADDRESS(ROW()+1,COLUMN(Arbeitszeit!xDay),,,"Arbeitszeit"))</f>
        <v>4</v>
      </c>
    </row>
    <row r="104" spans="1:114">
      <c r="A104" s="462">
        <f>Arbeitszeit!A105</f>
        <v>44933</v>
      </c>
      <c r="B104" s="463">
        <f t="shared" si="5"/>
        <v>44933</v>
      </c>
      <c r="C104" s="146">
        <f t="shared" si="6"/>
        <v>1</v>
      </c>
      <c r="D104" s="145">
        <f t="shared" si="7"/>
        <v>44926</v>
      </c>
      <c r="E104" s="510">
        <f>Arbeitszeit!V105*24</f>
        <v>0</v>
      </c>
      <c r="F104" s="574">
        <f t="shared" si="4"/>
        <v>0</v>
      </c>
      <c r="G104" s="113">
        <f>IF(Arbeitszeit!F105=Urlaub,B_WorkTime*24,)</f>
        <v>0</v>
      </c>
      <c r="H104" s="111"/>
      <c r="I104" s="113">
        <f>IF(Arbeitszeit!F105=Krank,B_WorkTime*24,)</f>
        <v>0</v>
      </c>
      <c r="J104" s="111"/>
      <c r="K104" s="114"/>
      <c r="L104" s="115"/>
      <c r="M104" s="498"/>
      <c r="N104" s="499"/>
      <c r="O104" s="498"/>
      <c r="P104" s="499"/>
      <c r="Q104" s="498"/>
      <c r="R104" s="499"/>
      <c r="S104" s="498"/>
      <c r="T104" s="499"/>
      <c r="U104" s="498"/>
      <c r="V104" s="499"/>
      <c r="W104" s="498"/>
      <c r="X104" s="499"/>
      <c r="Y104" s="498"/>
      <c r="Z104" s="499"/>
      <c r="AA104" s="498"/>
      <c r="AB104" s="499"/>
      <c r="AC104" s="498"/>
      <c r="AD104" s="499"/>
      <c r="AE104" s="498"/>
      <c r="AF104" s="500"/>
      <c r="AG104" s="498"/>
      <c r="AH104" s="500"/>
      <c r="AI104" s="498"/>
      <c r="AJ104" s="500"/>
      <c r="AK104" s="498"/>
      <c r="AL104" s="500"/>
      <c r="AM104" s="501"/>
      <c r="AN104" s="500"/>
      <c r="AO104" s="498"/>
      <c r="AP104" s="500"/>
      <c r="AQ104" s="501"/>
      <c r="AR104" s="500"/>
      <c r="AS104" s="500"/>
      <c r="AT104" s="500"/>
      <c r="AU104" s="501"/>
      <c r="AV104" s="500"/>
      <c r="AW104" s="500"/>
      <c r="AX104" s="500"/>
      <c r="AY104" s="576"/>
      <c r="AZ104" s="576"/>
      <c r="BA104" s="576"/>
      <c r="BB104" s="576"/>
      <c r="BC104" s="576"/>
      <c r="BD104" s="576"/>
      <c r="BE104" s="576"/>
      <c r="BF104" s="576"/>
      <c r="BG104" s="576"/>
      <c r="BH104" s="576"/>
      <c r="BI104" s="576"/>
      <c r="BJ104" s="576"/>
      <c r="BK104" s="576"/>
      <c r="BL104" s="576"/>
      <c r="BM104" s="576"/>
      <c r="BN104" s="576"/>
      <c r="BO104" s="576"/>
      <c r="BP104" s="576"/>
      <c r="BQ104" s="576"/>
      <c r="BR104" s="576"/>
      <c r="BS104" s="576"/>
      <c r="BT104" s="576"/>
      <c r="BU104" s="576"/>
      <c r="BV104" s="576"/>
      <c r="BW104" s="576"/>
      <c r="BX104" s="576"/>
      <c r="BY104" s="576"/>
      <c r="BZ104" s="576"/>
      <c r="CA104" s="576"/>
      <c r="CB104" s="576"/>
      <c r="CC104" s="576"/>
      <c r="CD104" s="576"/>
      <c r="CE104" s="576"/>
      <c r="CF104" s="576"/>
      <c r="CG104" s="576"/>
      <c r="CH104" s="576"/>
      <c r="CI104" s="576"/>
      <c r="CJ104" s="576"/>
      <c r="CK104" s="576"/>
      <c r="CL104" s="576"/>
      <c r="CM104" s="576"/>
      <c r="CN104" s="576"/>
      <c r="CO104" s="576"/>
      <c r="CP104" s="576"/>
      <c r="CQ104" s="576"/>
      <c r="CR104" s="576"/>
      <c r="CS104" s="576"/>
      <c r="CT104" s="576"/>
      <c r="CU104" s="576"/>
      <c r="CV104" s="576"/>
      <c r="CW104" s="576"/>
      <c r="CX104" s="576"/>
      <c r="CY104" s="576"/>
      <c r="CZ104" s="576"/>
      <c r="DA104" s="576"/>
      <c r="DB104" s="576"/>
      <c r="DC104" s="576"/>
      <c r="DD104" s="576"/>
      <c r="DE104" s="576"/>
      <c r="DF104" s="576"/>
      <c r="DG104" s="576"/>
      <c r="DH104" s="116"/>
      <c r="DI104" s="112"/>
      <c r="DJ104">
        <f ca="1">INDIRECT(ADDRESS(ROW()+1,COLUMN(Arbeitszeit!xDay),,,"Arbeitszeit"))</f>
        <v>5</v>
      </c>
    </row>
    <row r="105" spans="1:114">
      <c r="A105" s="462">
        <f>Arbeitszeit!A106</f>
        <v>44934</v>
      </c>
      <c r="B105" s="463">
        <f t="shared" si="5"/>
        <v>44934</v>
      </c>
      <c r="C105" s="146">
        <f t="shared" si="6"/>
        <v>1</v>
      </c>
      <c r="D105" s="145">
        <f t="shared" si="7"/>
        <v>44926</v>
      </c>
      <c r="E105" s="510">
        <f>Arbeitszeit!V106*24</f>
        <v>0</v>
      </c>
      <c r="F105" s="574">
        <f t="shared" si="4"/>
        <v>0</v>
      </c>
      <c r="G105" s="113">
        <f>IF(Arbeitszeit!F106=Urlaub,B_WorkTime*24,)</f>
        <v>0</v>
      </c>
      <c r="H105" s="111"/>
      <c r="I105" s="113">
        <f>IF(Arbeitszeit!F106=Krank,B_WorkTime*24,)</f>
        <v>0</v>
      </c>
      <c r="J105" s="111"/>
      <c r="K105" s="114"/>
      <c r="L105" s="115"/>
      <c r="M105" s="498"/>
      <c r="N105" s="499"/>
      <c r="O105" s="498"/>
      <c r="P105" s="499"/>
      <c r="Q105" s="498"/>
      <c r="R105" s="499"/>
      <c r="S105" s="498"/>
      <c r="T105" s="499"/>
      <c r="U105" s="498"/>
      <c r="V105" s="499"/>
      <c r="W105" s="498"/>
      <c r="X105" s="499"/>
      <c r="Y105" s="498"/>
      <c r="Z105" s="499"/>
      <c r="AA105" s="498"/>
      <c r="AB105" s="499"/>
      <c r="AC105" s="498"/>
      <c r="AD105" s="499"/>
      <c r="AE105" s="498"/>
      <c r="AF105" s="500"/>
      <c r="AG105" s="498"/>
      <c r="AH105" s="500"/>
      <c r="AI105" s="498"/>
      <c r="AJ105" s="500"/>
      <c r="AK105" s="498"/>
      <c r="AL105" s="500"/>
      <c r="AM105" s="501"/>
      <c r="AN105" s="500"/>
      <c r="AO105" s="498"/>
      <c r="AP105" s="500"/>
      <c r="AQ105" s="501"/>
      <c r="AR105" s="500"/>
      <c r="AS105" s="500"/>
      <c r="AT105" s="500"/>
      <c r="AU105" s="501"/>
      <c r="AV105" s="500"/>
      <c r="AW105" s="500"/>
      <c r="AX105" s="500"/>
      <c r="AY105" s="576"/>
      <c r="AZ105" s="576"/>
      <c r="BA105" s="576"/>
      <c r="BB105" s="576"/>
      <c r="BC105" s="576"/>
      <c r="BD105" s="576"/>
      <c r="BE105" s="576"/>
      <c r="BF105" s="576"/>
      <c r="BG105" s="576"/>
      <c r="BH105" s="576"/>
      <c r="BI105" s="576"/>
      <c r="BJ105" s="576"/>
      <c r="BK105" s="576"/>
      <c r="BL105" s="576"/>
      <c r="BM105" s="576"/>
      <c r="BN105" s="576"/>
      <c r="BO105" s="576"/>
      <c r="BP105" s="576"/>
      <c r="BQ105" s="576"/>
      <c r="BR105" s="576"/>
      <c r="BS105" s="576"/>
      <c r="BT105" s="576"/>
      <c r="BU105" s="576"/>
      <c r="BV105" s="576"/>
      <c r="BW105" s="576"/>
      <c r="BX105" s="576"/>
      <c r="BY105" s="576"/>
      <c r="BZ105" s="576"/>
      <c r="CA105" s="576"/>
      <c r="CB105" s="576"/>
      <c r="CC105" s="576"/>
      <c r="CD105" s="576"/>
      <c r="CE105" s="576"/>
      <c r="CF105" s="576"/>
      <c r="CG105" s="576"/>
      <c r="CH105" s="576"/>
      <c r="CI105" s="576"/>
      <c r="CJ105" s="576"/>
      <c r="CK105" s="576"/>
      <c r="CL105" s="576"/>
      <c r="CM105" s="576"/>
      <c r="CN105" s="576"/>
      <c r="CO105" s="576"/>
      <c r="CP105" s="576"/>
      <c r="CQ105" s="576"/>
      <c r="CR105" s="576"/>
      <c r="CS105" s="576"/>
      <c r="CT105" s="576"/>
      <c r="CU105" s="576"/>
      <c r="CV105" s="576"/>
      <c r="CW105" s="576"/>
      <c r="CX105" s="576"/>
      <c r="CY105" s="576"/>
      <c r="CZ105" s="576"/>
      <c r="DA105" s="576"/>
      <c r="DB105" s="576"/>
      <c r="DC105" s="576"/>
      <c r="DD105" s="576"/>
      <c r="DE105" s="576"/>
      <c r="DF105" s="576"/>
      <c r="DG105" s="576"/>
      <c r="DH105" s="116"/>
      <c r="DI105" s="112"/>
      <c r="DJ105">
        <f ca="1">INDIRECT(ADDRESS(ROW()+1,COLUMN(Arbeitszeit!xDay),,,"Arbeitszeit"))</f>
        <v>6</v>
      </c>
    </row>
    <row r="106" spans="1:114">
      <c r="A106" s="462">
        <f>Arbeitszeit!A107</f>
        <v>44935</v>
      </c>
      <c r="B106" s="463">
        <f t="shared" si="5"/>
        <v>44935</v>
      </c>
      <c r="C106" s="146">
        <f t="shared" si="6"/>
        <v>1</v>
      </c>
      <c r="D106" s="145">
        <f t="shared" si="7"/>
        <v>44926</v>
      </c>
      <c r="E106" s="510">
        <f>Arbeitszeit!V107*24</f>
        <v>0</v>
      </c>
      <c r="F106" s="574">
        <f t="shared" si="4"/>
        <v>0</v>
      </c>
      <c r="G106" s="113">
        <f>IF(Arbeitszeit!F107=Urlaub,B_WorkTime*24,)</f>
        <v>0</v>
      </c>
      <c r="H106" s="111"/>
      <c r="I106" s="113">
        <f>IF(Arbeitszeit!F107=Krank,B_WorkTime*24,)</f>
        <v>0</v>
      </c>
      <c r="J106" s="111"/>
      <c r="K106" s="114"/>
      <c r="L106" s="115"/>
      <c r="M106" s="498"/>
      <c r="N106" s="499"/>
      <c r="O106" s="498"/>
      <c r="P106" s="499"/>
      <c r="Q106" s="498"/>
      <c r="R106" s="499"/>
      <c r="S106" s="498"/>
      <c r="T106" s="499"/>
      <c r="U106" s="498"/>
      <c r="V106" s="499"/>
      <c r="W106" s="498"/>
      <c r="X106" s="499"/>
      <c r="Y106" s="498"/>
      <c r="Z106" s="499"/>
      <c r="AA106" s="498"/>
      <c r="AB106" s="499"/>
      <c r="AC106" s="498"/>
      <c r="AD106" s="499"/>
      <c r="AE106" s="498"/>
      <c r="AF106" s="500"/>
      <c r="AG106" s="498"/>
      <c r="AH106" s="500"/>
      <c r="AI106" s="498"/>
      <c r="AJ106" s="500"/>
      <c r="AK106" s="498"/>
      <c r="AL106" s="500"/>
      <c r="AM106" s="501"/>
      <c r="AN106" s="500"/>
      <c r="AO106" s="498"/>
      <c r="AP106" s="500"/>
      <c r="AQ106" s="501"/>
      <c r="AR106" s="500"/>
      <c r="AS106" s="500"/>
      <c r="AT106" s="500"/>
      <c r="AU106" s="501"/>
      <c r="AV106" s="500"/>
      <c r="AW106" s="500"/>
      <c r="AX106" s="500"/>
      <c r="AY106" s="576"/>
      <c r="AZ106" s="576"/>
      <c r="BA106" s="576"/>
      <c r="BB106" s="576"/>
      <c r="BC106" s="576"/>
      <c r="BD106" s="576"/>
      <c r="BE106" s="576"/>
      <c r="BF106" s="576"/>
      <c r="BG106" s="576"/>
      <c r="BH106" s="576"/>
      <c r="BI106" s="576"/>
      <c r="BJ106" s="576"/>
      <c r="BK106" s="576"/>
      <c r="BL106" s="576"/>
      <c r="BM106" s="576"/>
      <c r="BN106" s="576"/>
      <c r="BO106" s="576"/>
      <c r="BP106" s="576"/>
      <c r="BQ106" s="576"/>
      <c r="BR106" s="576"/>
      <c r="BS106" s="576"/>
      <c r="BT106" s="576"/>
      <c r="BU106" s="576"/>
      <c r="BV106" s="576"/>
      <c r="BW106" s="576"/>
      <c r="BX106" s="576"/>
      <c r="BY106" s="576"/>
      <c r="BZ106" s="576"/>
      <c r="CA106" s="576"/>
      <c r="CB106" s="576"/>
      <c r="CC106" s="576"/>
      <c r="CD106" s="576"/>
      <c r="CE106" s="576"/>
      <c r="CF106" s="576"/>
      <c r="CG106" s="576"/>
      <c r="CH106" s="576"/>
      <c r="CI106" s="576"/>
      <c r="CJ106" s="576"/>
      <c r="CK106" s="576"/>
      <c r="CL106" s="576"/>
      <c r="CM106" s="576"/>
      <c r="CN106" s="576"/>
      <c r="CO106" s="576"/>
      <c r="CP106" s="576"/>
      <c r="CQ106" s="576"/>
      <c r="CR106" s="576"/>
      <c r="CS106" s="576"/>
      <c r="CT106" s="576"/>
      <c r="CU106" s="576"/>
      <c r="CV106" s="576"/>
      <c r="CW106" s="576"/>
      <c r="CX106" s="576"/>
      <c r="CY106" s="576"/>
      <c r="CZ106" s="576"/>
      <c r="DA106" s="576"/>
      <c r="DB106" s="576"/>
      <c r="DC106" s="576"/>
      <c r="DD106" s="576"/>
      <c r="DE106" s="576"/>
      <c r="DF106" s="576"/>
      <c r="DG106" s="576"/>
      <c r="DH106" s="116"/>
      <c r="DI106" s="112"/>
      <c r="DJ106">
        <f ca="1">INDIRECT(ADDRESS(ROW()+1,COLUMN(Arbeitszeit!xDay),,,"Arbeitszeit"))</f>
        <v>7</v>
      </c>
    </row>
    <row r="107" spans="1:114">
      <c r="A107" s="462">
        <f>Arbeitszeit!A108</f>
        <v>44936</v>
      </c>
      <c r="B107" s="463">
        <f t="shared" si="5"/>
        <v>44936</v>
      </c>
      <c r="C107" s="146">
        <f t="shared" si="6"/>
        <v>2</v>
      </c>
      <c r="D107" s="145">
        <f t="shared" si="7"/>
        <v>44926</v>
      </c>
      <c r="E107" s="510">
        <f>Arbeitszeit!V108*24</f>
        <v>0</v>
      </c>
      <c r="F107" s="574">
        <f t="shared" si="4"/>
        <v>0</v>
      </c>
      <c r="G107" s="113">
        <f>IF(Arbeitszeit!F108=Urlaub,B_WorkTime*24,)</f>
        <v>0</v>
      </c>
      <c r="H107" s="111"/>
      <c r="I107" s="113">
        <f>IF(Arbeitszeit!F108=Krank,B_WorkTime*24,)</f>
        <v>0</v>
      </c>
      <c r="J107" s="111"/>
      <c r="K107" s="114"/>
      <c r="L107" s="115"/>
      <c r="M107" s="498"/>
      <c r="N107" s="499"/>
      <c r="O107" s="498"/>
      <c r="P107" s="499"/>
      <c r="Q107" s="498"/>
      <c r="R107" s="499"/>
      <c r="S107" s="498"/>
      <c r="T107" s="499"/>
      <c r="U107" s="498"/>
      <c r="V107" s="499"/>
      <c r="W107" s="498"/>
      <c r="X107" s="499"/>
      <c r="Y107" s="498"/>
      <c r="Z107" s="499"/>
      <c r="AA107" s="498"/>
      <c r="AB107" s="499"/>
      <c r="AC107" s="498"/>
      <c r="AD107" s="499"/>
      <c r="AE107" s="498"/>
      <c r="AF107" s="500"/>
      <c r="AG107" s="498"/>
      <c r="AH107" s="500"/>
      <c r="AI107" s="498"/>
      <c r="AJ107" s="500"/>
      <c r="AK107" s="498"/>
      <c r="AL107" s="500"/>
      <c r="AM107" s="501"/>
      <c r="AN107" s="500"/>
      <c r="AO107" s="498"/>
      <c r="AP107" s="500"/>
      <c r="AQ107" s="501"/>
      <c r="AR107" s="500"/>
      <c r="AS107" s="500"/>
      <c r="AT107" s="500"/>
      <c r="AU107" s="501"/>
      <c r="AV107" s="500"/>
      <c r="AW107" s="500"/>
      <c r="AX107" s="500"/>
      <c r="AY107" s="576"/>
      <c r="AZ107" s="576"/>
      <c r="BA107" s="576"/>
      <c r="BB107" s="576"/>
      <c r="BC107" s="576"/>
      <c r="BD107" s="576"/>
      <c r="BE107" s="576"/>
      <c r="BF107" s="576"/>
      <c r="BG107" s="576"/>
      <c r="BH107" s="576"/>
      <c r="BI107" s="576"/>
      <c r="BJ107" s="576"/>
      <c r="BK107" s="576"/>
      <c r="BL107" s="576"/>
      <c r="BM107" s="576"/>
      <c r="BN107" s="576"/>
      <c r="BO107" s="576"/>
      <c r="BP107" s="576"/>
      <c r="BQ107" s="576"/>
      <c r="BR107" s="576"/>
      <c r="BS107" s="576"/>
      <c r="BT107" s="576"/>
      <c r="BU107" s="576"/>
      <c r="BV107" s="576"/>
      <c r="BW107" s="576"/>
      <c r="BX107" s="576"/>
      <c r="BY107" s="576"/>
      <c r="BZ107" s="576"/>
      <c r="CA107" s="576"/>
      <c r="CB107" s="576"/>
      <c r="CC107" s="576"/>
      <c r="CD107" s="576"/>
      <c r="CE107" s="576"/>
      <c r="CF107" s="576"/>
      <c r="CG107" s="576"/>
      <c r="CH107" s="576"/>
      <c r="CI107" s="576"/>
      <c r="CJ107" s="576"/>
      <c r="CK107" s="576"/>
      <c r="CL107" s="576"/>
      <c r="CM107" s="576"/>
      <c r="CN107" s="576"/>
      <c r="CO107" s="576"/>
      <c r="CP107" s="576"/>
      <c r="CQ107" s="576"/>
      <c r="CR107" s="576"/>
      <c r="CS107" s="576"/>
      <c r="CT107" s="576"/>
      <c r="CU107" s="576"/>
      <c r="CV107" s="576"/>
      <c r="CW107" s="576"/>
      <c r="CX107" s="576"/>
      <c r="CY107" s="576"/>
      <c r="CZ107" s="576"/>
      <c r="DA107" s="576"/>
      <c r="DB107" s="576"/>
      <c r="DC107" s="576"/>
      <c r="DD107" s="576"/>
      <c r="DE107" s="576"/>
      <c r="DF107" s="576"/>
      <c r="DG107" s="576"/>
      <c r="DH107" s="116"/>
      <c r="DI107" s="112"/>
      <c r="DJ107">
        <f ca="1">INDIRECT(ADDRESS(ROW()+1,COLUMN(Arbeitszeit!xDay),,,"Arbeitszeit"))</f>
        <v>1</v>
      </c>
    </row>
    <row r="108" spans="1:114">
      <c r="A108" s="462">
        <f>Arbeitszeit!A109</f>
        <v>44937</v>
      </c>
      <c r="B108" s="463">
        <f t="shared" si="5"/>
        <v>44937</v>
      </c>
      <c r="C108" s="146">
        <f t="shared" si="6"/>
        <v>2</v>
      </c>
      <c r="D108" s="145">
        <f t="shared" si="7"/>
        <v>44926</v>
      </c>
      <c r="E108" s="510">
        <f>Arbeitszeit!V109*24</f>
        <v>0</v>
      </c>
      <c r="F108" s="574">
        <f t="shared" si="4"/>
        <v>0</v>
      </c>
      <c r="G108" s="113">
        <f>IF(Arbeitszeit!F109=Urlaub,B_WorkTime*24,)</f>
        <v>0</v>
      </c>
      <c r="H108" s="111"/>
      <c r="I108" s="113">
        <f>IF(Arbeitszeit!F109=Krank,B_WorkTime*24,)</f>
        <v>0</v>
      </c>
      <c r="J108" s="111"/>
      <c r="K108" s="114"/>
      <c r="L108" s="115"/>
      <c r="M108" s="498"/>
      <c r="N108" s="499"/>
      <c r="O108" s="498"/>
      <c r="P108" s="499"/>
      <c r="Q108" s="498"/>
      <c r="R108" s="499"/>
      <c r="S108" s="498"/>
      <c r="T108" s="499"/>
      <c r="U108" s="498"/>
      <c r="V108" s="499"/>
      <c r="W108" s="498"/>
      <c r="X108" s="499"/>
      <c r="Y108" s="498"/>
      <c r="Z108" s="499"/>
      <c r="AA108" s="498"/>
      <c r="AB108" s="499"/>
      <c r="AC108" s="498"/>
      <c r="AD108" s="499"/>
      <c r="AE108" s="498"/>
      <c r="AF108" s="500"/>
      <c r="AG108" s="498"/>
      <c r="AH108" s="500"/>
      <c r="AI108" s="498"/>
      <c r="AJ108" s="500"/>
      <c r="AK108" s="498"/>
      <c r="AL108" s="500"/>
      <c r="AM108" s="501"/>
      <c r="AN108" s="500"/>
      <c r="AO108" s="498"/>
      <c r="AP108" s="500"/>
      <c r="AQ108" s="501"/>
      <c r="AR108" s="500"/>
      <c r="AS108" s="500"/>
      <c r="AT108" s="500"/>
      <c r="AU108" s="501"/>
      <c r="AV108" s="500"/>
      <c r="AW108" s="500"/>
      <c r="AX108" s="500"/>
      <c r="AY108" s="576"/>
      <c r="AZ108" s="576"/>
      <c r="BA108" s="576"/>
      <c r="BB108" s="576"/>
      <c r="BC108" s="576"/>
      <c r="BD108" s="576"/>
      <c r="BE108" s="576"/>
      <c r="BF108" s="576"/>
      <c r="BG108" s="576"/>
      <c r="BH108" s="576"/>
      <c r="BI108" s="576"/>
      <c r="BJ108" s="576"/>
      <c r="BK108" s="576"/>
      <c r="BL108" s="576"/>
      <c r="BM108" s="576"/>
      <c r="BN108" s="576"/>
      <c r="BO108" s="576"/>
      <c r="BP108" s="576"/>
      <c r="BQ108" s="576"/>
      <c r="BR108" s="576"/>
      <c r="BS108" s="576"/>
      <c r="BT108" s="576"/>
      <c r="BU108" s="576"/>
      <c r="BV108" s="576"/>
      <c r="BW108" s="576"/>
      <c r="BX108" s="576"/>
      <c r="BY108" s="576"/>
      <c r="BZ108" s="576"/>
      <c r="CA108" s="576"/>
      <c r="CB108" s="576"/>
      <c r="CC108" s="576"/>
      <c r="CD108" s="576"/>
      <c r="CE108" s="576"/>
      <c r="CF108" s="576"/>
      <c r="CG108" s="576"/>
      <c r="CH108" s="576"/>
      <c r="CI108" s="576"/>
      <c r="CJ108" s="576"/>
      <c r="CK108" s="576"/>
      <c r="CL108" s="576"/>
      <c r="CM108" s="576"/>
      <c r="CN108" s="576"/>
      <c r="CO108" s="576"/>
      <c r="CP108" s="576"/>
      <c r="CQ108" s="576"/>
      <c r="CR108" s="576"/>
      <c r="CS108" s="576"/>
      <c r="CT108" s="576"/>
      <c r="CU108" s="576"/>
      <c r="CV108" s="576"/>
      <c r="CW108" s="576"/>
      <c r="CX108" s="576"/>
      <c r="CY108" s="576"/>
      <c r="CZ108" s="576"/>
      <c r="DA108" s="576"/>
      <c r="DB108" s="576"/>
      <c r="DC108" s="576"/>
      <c r="DD108" s="576"/>
      <c r="DE108" s="576"/>
      <c r="DF108" s="576"/>
      <c r="DG108" s="576"/>
      <c r="DH108" s="116"/>
      <c r="DI108" s="112"/>
      <c r="DJ108">
        <f ca="1">INDIRECT(ADDRESS(ROW()+1,COLUMN(Arbeitszeit!xDay),,,"Arbeitszeit"))</f>
        <v>2</v>
      </c>
    </row>
    <row r="109" spans="1:114">
      <c r="A109" s="462">
        <f>Arbeitszeit!A110</f>
        <v>44938</v>
      </c>
      <c r="B109" s="463">
        <f t="shared" si="5"/>
        <v>44938</v>
      </c>
      <c r="C109" s="146">
        <f t="shared" si="6"/>
        <v>2</v>
      </c>
      <c r="D109" s="145">
        <f t="shared" si="7"/>
        <v>44926</v>
      </c>
      <c r="E109" s="510">
        <f>Arbeitszeit!V110*24</f>
        <v>0</v>
      </c>
      <c r="F109" s="574">
        <f t="shared" si="4"/>
        <v>0</v>
      </c>
      <c r="G109" s="113">
        <f>IF(Arbeitszeit!F110=Urlaub,B_WorkTime*24,)</f>
        <v>0</v>
      </c>
      <c r="H109" s="111"/>
      <c r="I109" s="113">
        <f>IF(Arbeitszeit!F110=Krank,B_WorkTime*24,)</f>
        <v>0</v>
      </c>
      <c r="J109" s="111"/>
      <c r="K109" s="114"/>
      <c r="L109" s="115"/>
      <c r="M109" s="498"/>
      <c r="N109" s="499"/>
      <c r="O109" s="498"/>
      <c r="P109" s="499"/>
      <c r="Q109" s="498"/>
      <c r="R109" s="499"/>
      <c r="S109" s="498"/>
      <c r="T109" s="499"/>
      <c r="U109" s="498"/>
      <c r="V109" s="499"/>
      <c r="W109" s="498"/>
      <c r="X109" s="499"/>
      <c r="Y109" s="498"/>
      <c r="Z109" s="499"/>
      <c r="AA109" s="498"/>
      <c r="AB109" s="499"/>
      <c r="AC109" s="498"/>
      <c r="AD109" s="499"/>
      <c r="AE109" s="498"/>
      <c r="AF109" s="500"/>
      <c r="AG109" s="498"/>
      <c r="AH109" s="500"/>
      <c r="AI109" s="498"/>
      <c r="AJ109" s="500"/>
      <c r="AK109" s="498"/>
      <c r="AL109" s="500"/>
      <c r="AM109" s="501"/>
      <c r="AN109" s="500"/>
      <c r="AO109" s="498"/>
      <c r="AP109" s="500"/>
      <c r="AQ109" s="501"/>
      <c r="AR109" s="500"/>
      <c r="AS109" s="500"/>
      <c r="AT109" s="500"/>
      <c r="AU109" s="501"/>
      <c r="AV109" s="500"/>
      <c r="AW109" s="500"/>
      <c r="AX109" s="500"/>
      <c r="AY109" s="576"/>
      <c r="AZ109" s="576"/>
      <c r="BA109" s="576"/>
      <c r="BB109" s="576"/>
      <c r="BC109" s="576"/>
      <c r="BD109" s="576"/>
      <c r="BE109" s="576"/>
      <c r="BF109" s="576"/>
      <c r="BG109" s="576"/>
      <c r="BH109" s="576"/>
      <c r="BI109" s="576"/>
      <c r="BJ109" s="576"/>
      <c r="BK109" s="576"/>
      <c r="BL109" s="576"/>
      <c r="BM109" s="576"/>
      <c r="BN109" s="576"/>
      <c r="BO109" s="576"/>
      <c r="BP109" s="576"/>
      <c r="BQ109" s="576"/>
      <c r="BR109" s="576"/>
      <c r="BS109" s="576"/>
      <c r="BT109" s="576"/>
      <c r="BU109" s="576"/>
      <c r="BV109" s="576"/>
      <c r="BW109" s="576"/>
      <c r="BX109" s="576"/>
      <c r="BY109" s="576"/>
      <c r="BZ109" s="576"/>
      <c r="CA109" s="576"/>
      <c r="CB109" s="576"/>
      <c r="CC109" s="576"/>
      <c r="CD109" s="576"/>
      <c r="CE109" s="576"/>
      <c r="CF109" s="576"/>
      <c r="CG109" s="576"/>
      <c r="CH109" s="576"/>
      <c r="CI109" s="576"/>
      <c r="CJ109" s="576"/>
      <c r="CK109" s="576"/>
      <c r="CL109" s="576"/>
      <c r="CM109" s="576"/>
      <c r="CN109" s="576"/>
      <c r="CO109" s="576"/>
      <c r="CP109" s="576"/>
      <c r="CQ109" s="576"/>
      <c r="CR109" s="576"/>
      <c r="CS109" s="576"/>
      <c r="CT109" s="576"/>
      <c r="CU109" s="576"/>
      <c r="CV109" s="576"/>
      <c r="CW109" s="576"/>
      <c r="CX109" s="576"/>
      <c r="CY109" s="576"/>
      <c r="CZ109" s="576"/>
      <c r="DA109" s="576"/>
      <c r="DB109" s="576"/>
      <c r="DC109" s="576"/>
      <c r="DD109" s="576"/>
      <c r="DE109" s="576"/>
      <c r="DF109" s="576"/>
      <c r="DG109" s="576"/>
      <c r="DH109" s="116"/>
      <c r="DI109" s="112"/>
      <c r="DJ109">
        <f ca="1">INDIRECT(ADDRESS(ROW()+1,COLUMN(Arbeitszeit!xDay),,,"Arbeitszeit"))</f>
        <v>3</v>
      </c>
    </row>
    <row r="110" spans="1:114">
      <c r="A110" s="462">
        <f>Arbeitszeit!A111</f>
        <v>44939</v>
      </c>
      <c r="B110" s="463">
        <f t="shared" si="5"/>
        <v>44939</v>
      </c>
      <c r="C110" s="146">
        <f t="shared" si="6"/>
        <v>2</v>
      </c>
      <c r="D110" s="145">
        <f t="shared" si="7"/>
        <v>44926</v>
      </c>
      <c r="E110" s="510">
        <f>Arbeitszeit!V111*24</f>
        <v>0</v>
      </c>
      <c r="F110" s="574">
        <f t="shared" si="4"/>
        <v>0</v>
      </c>
      <c r="G110" s="113">
        <f>IF(Arbeitszeit!F111=Urlaub,B_WorkTime*24,)</f>
        <v>0</v>
      </c>
      <c r="H110" s="111"/>
      <c r="I110" s="113">
        <f>IF(Arbeitszeit!F111=Krank,B_WorkTime*24,)</f>
        <v>0</v>
      </c>
      <c r="J110" s="111"/>
      <c r="K110" s="114"/>
      <c r="L110" s="115"/>
      <c r="M110" s="498"/>
      <c r="N110" s="499"/>
      <c r="O110" s="498"/>
      <c r="P110" s="499"/>
      <c r="Q110" s="498"/>
      <c r="R110" s="499"/>
      <c r="S110" s="498"/>
      <c r="T110" s="499"/>
      <c r="U110" s="498"/>
      <c r="V110" s="499"/>
      <c r="W110" s="498"/>
      <c r="X110" s="499"/>
      <c r="Y110" s="498"/>
      <c r="Z110" s="499"/>
      <c r="AA110" s="498"/>
      <c r="AB110" s="499"/>
      <c r="AC110" s="498"/>
      <c r="AD110" s="499"/>
      <c r="AE110" s="498"/>
      <c r="AF110" s="500"/>
      <c r="AG110" s="498"/>
      <c r="AH110" s="500"/>
      <c r="AI110" s="498"/>
      <c r="AJ110" s="500"/>
      <c r="AK110" s="498"/>
      <c r="AL110" s="500"/>
      <c r="AM110" s="501"/>
      <c r="AN110" s="500"/>
      <c r="AO110" s="498"/>
      <c r="AP110" s="500"/>
      <c r="AQ110" s="501"/>
      <c r="AR110" s="500"/>
      <c r="AS110" s="500"/>
      <c r="AT110" s="500"/>
      <c r="AU110" s="501"/>
      <c r="AV110" s="500"/>
      <c r="AW110" s="500"/>
      <c r="AX110" s="500"/>
      <c r="AY110" s="576"/>
      <c r="AZ110" s="576"/>
      <c r="BA110" s="576"/>
      <c r="BB110" s="576"/>
      <c r="BC110" s="576"/>
      <c r="BD110" s="576"/>
      <c r="BE110" s="576"/>
      <c r="BF110" s="576"/>
      <c r="BG110" s="576"/>
      <c r="BH110" s="576"/>
      <c r="BI110" s="576"/>
      <c r="BJ110" s="576"/>
      <c r="BK110" s="576"/>
      <c r="BL110" s="576"/>
      <c r="BM110" s="576"/>
      <c r="BN110" s="576"/>
      <c r="BO110" s="576"/>
      <c r="BP110" s="576"/>
      <c r="BQ110" s="576"/>
      <c r="BR110" s="576"/>
      <c r="BS110" s="576"/>
      <c r="BT110" s="576"/>
      <c r="BU110" s="576"/>
      <c r="BV110" s="576"/>
      <c r="BW110" s="576"/>
      <c r="BX110" s="576"/>
      <c r="BY110" s="576"/>
      <c r="BZ110" s="576"/>
      <c r="CA110" s="576"/>
      <c r="CB110" s="576"/>
      <c r="CC110" s="576"/>
      <c r="CD110" s="576"/>
      <c r="CE110" s="576"/>
      <c r="CF110" s="576"/>
      <c r="CG110" s="576"/>
      <c r="CH110" s="576"/>
      <c r="CI110" s="576"/>
      <c r="CJ110" s="576"/>
      <c r="CK110" s="576"/>
      <c r="CL110" s="576"/>
      <c r="CM110" s="576"/>
      <c r="CN110" s="576"/>
      <c r="CO110" s="576"/>
      <c r="CP110" s="576"/>
      <c r="CQ110" s="576"/>
      <c r="CR110" s="576"/>
      <c r="CS110" s="576"/>
      <c r="CT110" s="576"/>
      <c r="CU110" s="576"/>
      <c r="CV110" s="576"/>
      <c r="CW110" s="576"/>
      <c r="CX110" s="576"/>
      <c r="CY110" s="576"/>
      <c r="CZ110" s="576"/>
      <c r="DA110" s="576"/>
      <c r="DB110" s="576"/>
      <c r="DC110" s="576"/>
      <c r="DD110" s="576"/>
      <c r="DE110" s="576"/>
      <c r="DF110" s="576"/>
      <c r="DG110" s="576"/>
      <c r="DH110" s="116"/>
      <c r="DI110" s="112"/>
      <c r="DJ110">
        <f ca="1">INDIRECT(ADDRESS(ROW()+1,COLUMN(Arbeitszeit!xDay),,,"Arbeitszeit"))</f>
        <v>4</v>
      </c>
    </row>
    <row r="111" spans="1:114">
      <c r="A111" s="462">
        <f>Arbeitszeit!A112</f>
        <v>44940</v>
      </c>
      <c r="B111" s="463">
        <f t="shared" si="5"/>
        <v>44940</v>
      </c>
      <c r="C111" s="146">
        <f t="shared" si="6"/>
        <v>2</v>
      </c>
      <c r="D111" s="145">
        <f t="shared" si="7"/>
        <v>44926</v>
      </c>
      <c r="E111" s="510">
        <f>Arbeitszeit!V112*24</f>
        <v>0</v>
      </c>
      <c r="F111" s="574">
        <f t="shared" si="4"/>
        <v>0</v>
      </c>
      <c r="G111" s="113">
        <f>IF(Arbeitszeit!F112=Urlaub,B_WorkTime*24,)</f>
        <v>0</v>
      </c>
      <c r="H111" s="111"/>
      <c r="I111" s="113">
        <f>IF(Arbeitszeit!F112=Krank,B_WorkTime*24,)</f>
        <v>0</v>
      </c>
      <c r="J111" s="111"/>
      <c r="K111" s="114"/>
      <c r="L111" s="115"/>
      <c r="M111" s="498"/>
      <c r="N111" s="499"/>
      <c r="O111" s="498"/>
      <c r="P111" s="499"/>
      <c r="Q111" s="498"/>
      <c r="R111" s="499"/>
      <c r="S111" s="498"/>
      <c r="T111" s="499"/>
      <c r="U111" s="498"/>
      <c r="V111" s="499"/>
      <c r="W111" s="498"/>
      <c r="X111" s="499"/>
      <c r="Y111" s="498"/>
      <c r="Z111" s="499"/>
      <c r="AA111" s="498"/>
      <c r="AB111" s="499"/>
      <c r="AC111" s="498"/>
      <c r="AD111" s="499"/>
      <c r="AE111" s="498"/>
      <c r="AF111" s="500"/>
      <c r="AG111" s="498"/>
      <c r="AH111" s="500"/>
      <c r="AI111" s="498"/>
      <c r="AJ111" s="500"/>
      <c r="AK111" s="498"/>
      <c r="AL111" s="500"/>
      <c r="AM111" s="501"/>
      <c r="AN111" s="500"/>
      <c r="AO111" s="498"/>
      <c r="AP111" s="500"/>
      <c r="AQ111" s="501"/>
      <c r="AR111" s="500"/>
      <c r="AS111" s="500"/>
      <c r="AT111" s="500"/>
      <c r="AU111" s="501"/>
      <c r="AV111" s="500"/>
      <c r="AW111" s="500"/>
      <c r="AX111" s="500"/>
      <c r="AY111" s="576"/>
      <c r="AZ111" s="576"/>
      <c r="BA111" s="576"/>
      <c r="BB111" s="576"/>
      <c r="BC111" s="576"/>
      <c r="BD111" s="576"/>
      <c r="BE111" s="576"/>
      <c r="BF111" s="576"/>
      <c r="BG111" s="576"/>
      <c r="BH111" s="576"/>
      <c r="BI111" s="576"/>
      <c r="BJ111" s="576"/>
      <c r="BK111" s="576"/>
      <c r="BL111" s="576"/>
      <c r="BM111" s="576"/>
      <c r="BN111" s="576"/>
      <c r="BO111" s="576"/>
      <c r="BP111" s="576"/>
      <c r="BQ111" s="576"/>
      <c r="BR111" s="576"/>
      <c r="BS111" s="576"/>
      <c r="BT111" s="576"/>
      <c r="BU111" s="576"/>
      <c r="BV111" s="576"/>
      <c r="BW111" s="576"/>
      <c r="BX111" s="576"/>
      <c r="BY111" s="576"/>
      <c r="BZ111" s="576"/>
      <c r="CA111" s="576"/>
      <c r="CB111" s="576"/>
      <c r="CC111" s="576"/>
      <c r="CD111" s="576"/>
      <c r="CE111" s="576"/>
      <c r="CF111" s="576"/>
      <c r="CG111" s="576"/>
      <c r="CH111" s="576"/>
      <c r="CI111" s="576"/>
      <c r="CJ111" s="576"/>
      <c r="CK111" s="576"/>
      <c r="CL111" s="576"/>
      <c r="CM111" s="576"/>
      <c r="CN111" s="576"/>
      <c r="CO111" s="576"/>
      <c r="CP111" s="576"/>
      <c r="CQ111" s="576"/>
      <c r="CR111" s="576"/>
      <c r="CS111" s="576"/>
      <c r="CT111" s="576"/>
      <c r="CU111" s="576"/>
      <c r="CV111" s="576"/>
      <c r="CW111" s="576"/>
      <c r="CX111" s="576"/>
      <c r="CY111" s="576"/>
      <c r="CZ111" s="576"/>
      <c r="DA111" s="576"/>
      <c r="DB111" s="576"/>
      <c r="DC111" s="576"/>
      <c r="DD111" s="576"/>
      <c r="DE111" s="576"/>
      <c r="DF111" s="576"/>
      <c r="DG111" s="576"/>
      <c r="DH111" s="116"/>
      <c r="DI111" s="112"/>
      <c r="DJ111">
        <f ca="1">INDIRECT(ADDRESS(ROW()+1,COLUMN(Arbeitszeit!xDay),,,"Arbeitszeit"))</f>
        <v>5</v>
      </c>
    </row>
    <row r="112" spans="1:114">
      <c r="A112" s="462">
        <f>Arbeitszeit!A113</f>
        <v>44941</v>
      </c>
      <c r="B112" s="463">
        <f t="shared" si="5"/>
        <v>44941</v>
      </c>
      <c r="C112" s="146">
        <f t="shared" si="6"/>
        <v>2</v>
      </c>
      <c r="D112" s="145">
        <f t="shared" si="7"/>
        <v>44926</v>
      </c>
      <c r="E112" s="510">
        <f>Arbeitszeit!V113*24</f>
        <v>0</v>
      </c>
      <c r="F112" s="574">
        <f t="shared" si="4"/>
        <v>0</v>
      </c>
      <c r="G112" s="113">
        <f>IF(Arbeitszeit!F113=Urlaub,B_WorkTime*24,)</f>
        <v>0</v>
      </c>
      <c r="H112" s="111"/>
      <c r="I112" s="113">
        <f>IF(Arbeitszeit!F113=Krank,B_WorkTime*24,)</f>
        <v>0</v>
      </c>
      <c r="J112" s="111"/>
      <c r="K112" s="114"/>
      <c r="L112" s="115"/>
      <c r="M112" s="498"/>
      <c r="N112" s="499"/>
      <c r="O112" s="498"/>
      <c r="P112" s="499"/>
      <c r="Q112" s="498"/>
      <c r="R112" s="499"/>
      <c r="S112" s="498"/>
      <c r="T112" s="499"/>
      <c r="U112" s="498"/>
      <c r="V112" s="499"/>
      <c r="W112" s="498"/>
      <c r="X112" s="499"/>
      <c r="Y112" s="498"/>
      <c r="Z112" s="499"/>
      <c r="AA112" s="498"/>
      <c r="AB112" s="499"/>
      <c r="AC112" s="498"/>
      <c r="AD112" s="499"/>
      <c r="AE112" s="498"/>
      <c r="AF112" s="500"/>
      <c r="AG112" s="498"/>
      <c r="AH112" s="500"/>
      <c r="AI112" s="498"/>
      <c r="AJ112" s="500"/>
      <c r="AK112" s="498"/>
      <c r="AL112" s="500"/>
      <c r="AM112" s="501"/>
      <c r="AN112" s="500"/>
      <c r="AO112" s="498"/>
      <c r="AP112" s="500"/>
      <c r="AQ112" s="501"/>
      <c r="AR112" s="500"/>
      <c r="AS112" s="500"/>
      <c r="AT112" s="500"/>
      <c r="AU112" s="501"/>
      <c r="AV112" s="500"/>
      <c r="AW112" s="500"/>
      <c r="AX112" s="500"/>
      <c r="AY112" s="576"/>
      <c r="AZ112" s="576"/>
      <c r="BA112" s="576"/>
      <c r="BB112" s="576"/>
      <c r="BC112" s="576"/>
      <c r="BD112" s="576"/>
      <c r="BE112" s="576"/>
      <c r="BF112" s="576"/>
      <c r="BG112" s="576"/>
      <c r="BH112" s="576"/>
      <c r="BI112" s="576"/>
      <c r="BJ112" s="576"/>
      <c r="BK112" s="576"/>
      <c r="BL112" s="576"/>
      <c r="BM112" s="576"/>
      <c r="BN112" s="576"/>
      <c r="BO112" s="576"/>
      <c r="BP112" s="576"/>
      <c r="BQ112" s="576"/>
      <c r="BR112" s="576"/>
      <c r="BS112" s="576"/>
      <c r="BT112" s="576"/>
      <c r="BU112" s="576"/>
      <c r="BV112" s="576"/>
      <c r="BW112" s="576"/>
      <c r="BX112" s="576"/>
      <c r="BY112" s="576"/>
      <c r="BZ112" s="576"/>
      <c r="CA112" s="576"/>
      <c r="CB112" s="576"/>
      <c r="CC112" s="576"/>
      <c r="CD112" s="576"/>
      <c r="CE112" s="576"/>
      <c r="CF112" s="576"/>
      <c r="CG112" s="576"/>
      <c r="CH112" s="576"/>
      <c r="CI112" s="576"/>
      <c r="CJ112" s="576"/>
      <c r="CK112" s="576"/>
      <c r="CL112" s="576"/>
      <c r="CM112" s="576"/>
      <c r="CN112" s="576"/>
      <c r="CO112" s="576"/>
      <c r="CP112" s="576"/>
      <c r="CQ112" s="576"/>
      <c r="CR112" s="576"/>
      <c r="CS112" s="576"/>
      <c r="CT112" s="576"/>
      <c r="CU112" s="576"/>
      <c r="CV112" s="576"/>
      <c r="CW112" s="576"/>
      <c r="CX112" s="576"/>
      <c r="CY112" s="576"/>
      <c r="CZ112" s="576"/>
      <c r="DA112" s="576"/>
      <c r="DB112" s="576"/>
      <c r="DC112" s="576"/>
      <c r="DD112" s="576"/>
      <c r="DE112" s="576"/>
      <c r="DF112" s="576"/>
      <c r="DG112" s="576"/>
      <c r="DH112" s="116"/>
      <c r="DI112" s="112"/>
      <c r="DJ112">
        <f ca="1">INDIRECT(ADDRESS(ROW()+1,COLUMN(Arbeitszeit!xDay),,,"Arbeitszeit"))</f>
        <v>6</v>
      </c>
    </row>
    <row r="113" spans="1:114">
      <c r="A113" s="462">
        <f>Arbeitszeit!A114</f>
        <v>44942</v>
      </c>
      <c r="B113" s="463">
        <f t="shared" si="5"/>
        <v>44942</v>
      </c>
      <c r="C113" s="146">
        <f t="shared" si="6"/>
        <v>2</v>
      </c>
      <c r="D113" s="145">
        <f t="shared" si="7"/>
        <v>44926</v>
      </c>
      <c r="E113" s="510">
        <f>Arbeitszeit!V114*24</f>
        <v>0</v>
      </c>
      <c r="F113" s="574">
        <f t="shared" si="4"/>
        <v>0</v>
      </c>
      <c r="G113" s="113">
        <f>IF(Arbeitszeit!F114=Urlaub,B_WorkTime*24,)</f>
        <v>0</v>
      </c>
      <c r="H113" s="111"/>
      <c r="I113" s="113">
        <f>IF(Arbeitszeit!F114=Krank,B_WorkTime*24,)</f>
        <v>0</v>
      </c>
      <c r="J113" s="111"/>
      <c r="K113" s="114"/>
      <c r="L113" s="115"/>
      <c r="M113" s="498"/>
      <c r="N113" s="499"/>
      <c r="O113" s="498"/>
      <c r="P113" s="499"/>
      <c r="Q113" s="498"/>
      <c r="R113" s="499"/>
      <c r="S113" s="498"/>
      <c r="T113" s="499"/>
      <c r="U113" s="498"/>
      <c r="V113" s="499"/>
      <c r="W113" s="498"/>
      <c r="X113" s="499"/>
      <c r="Y113" s="498"/>
      <c r="Z113" s="499"/>
      <c r="AA113" s="498"/>
      <c r="AB113" s="499"/>
      <c r="AC113" s="498"/>
      <c r="AD113" s="499"/>
      <c r="AE113" s="498"/>
      <c r="AF113" s="500"/>
      <c r="AG113" s="498"/>
      <c r="AH113" s="500"/>
      <c r="AI113" s="498"/>
      <c r="AJ113" s="500"/>
      <c r="AK113" s="498"/>
      <c r="AL113" s="500"/>
      <c r="AM113" s="501"/>
      <c r="AN113" s="500"/>
      <c r="AO113" s="498"/>
      <c r="AP113" s="500"/>
      <c r="AQ113" s="501"/>
      <c r="AR113" s="500"/>
      <c r="AS113" s="500"/>
      <c r="AT113" s="500"/>
      <c r="AU113" s="501"/>
      <c r="AV113" s="500"/>
      <c r="AW113" s="500"/>
      <c r="AX113" s="500"/>
      <c r="AY113" s="576"/>
      <c r="AZ113" s="576"/>
      <c r="BA113" s="576"/>
      <c r="BB113" s="576"/>
      <c r="BC113" s="576"/>
      <c r="BD113" s="576"/>
      <c r="BE113" s="576"/>
      <c r="BF113" s="576"/>
      <c r="BG113" s="576"/>
      <c r="BH113" s="576"/>
      <c r="BI113" s="576"/>
      <c r="BJ113" s="576"/>
      <c r="BK113" s="576"/>
      <c r="BL113" s="576"/>
      <c r="BM113" s="576"/>
      <c r="BN113" s="576"/>
      <c r="BO113" s="576"/>
      <c r="BP113" s="576"/>
      <c r="BQ113" s="576"/>
      <c r="BR113" s="576"/>
      <c r="BS113" s="576"/>
      <c r="BT113" s="576"/>
      <c r="BU113" s="576"/>
      <c r="BV113" s="576"/>
      <c r="BW113" s="576"/>
      <c r="BX113" s="576"/>
      <c r="BY113" s="576"/>
      <c r="BZ113" s="576"/>
      <c r="CA113" s="576"/>
      <c r="CB113" s="576"/>
      <c r="CC113" s="576"/>
      <c r="CD113" s="576"/>
      <c r="CE113" s="576"/>
      <c r="CF113" s="576"/>
      <c r="CG113" s="576"/>
      <c r="CH113" s="576"/>
      <c r="CI113" s="576"/>
      <c r="CJ113" s="576"/>
      <c r="CK113" s="576"/>
      <c r="CL113" s="576"/>
      <c r="CM113" s="576"/>
      <c r="CN113" s="576"/>
      <c r="CO113" s="576"/>
      <c r="CP113" s="576"/>
      <c r="CQ113" s="576"/>
      <c r="CR113" s="576"/>
      <c r="CS113" s="576"/>
      <c r="CT113" s="576"/>
      <c r="CU113" s="576"/>
      <c r="CV113" s="576"/>
      <c r="CW113" s="576"/>
      <c r="CX113" s="576"/>
      <c r="CY113" s="576"/>
      <c r="CZ113" s="576"/>
      <c r="DA113" s="576"/>
      <c r="DB113" s="576"/>
      <c r="DC113" s="576"/>
      <c r="DD113" s="576"/>
      <c r="DE113" s="576"/>
      <c r="DF113" s="576"/>
      <c r="DG113" s="576"/>
      <c r="DH113" s="116"/>
      <c r="DI113" s="112"/>
      <c r="DJ113">
        <f ca="1">INDIRECT(ADDRESS(ROW()+1,COLUMN(Arbeitszeit!xDay),,,"Arbeitszeit"))</f>
        <v>7</v>
      </c>
    </row>
    <row r="114" spans="1:114">
      <c r="A114" s="462">
        <f>Arbeitszeit!A115</f>
        <v>44943</v>
      </c>
      <c r="B114" s="463">
        <f t="shared" si="5"/>
        <v>44943</v>
      </c>
      <c r="C114" s="146">
        <f t="shared" si="6"/>
        <v>3</v>
      </c>
      <c r="D114" s="145">
        <f t="shared" si="7"/>
        <v>44926</v>
      </c>
      <c r="E114" s="510">
        <f>Arbeitszeit!V115*24</f>
        <v>0</v>
      </c>
      <c r="F114" s="574">
        <f t="shared" si="4"/>
        <v>0</v>
      </c>
      <c r="G114" s="113">
        <f>IF(Arbeitszeit!F115=Urlaub,B_WorkTime*24,)</f>
        <v>0</v>
      </c>
      <c r="H114" s="111"/>
      <c r="I114" s="113">
        <f>IF(Arbeitszeit!F115=Krank,B_WorkTime*24,)</f>
        <v>0</v>
      </c>
      <c r="J114" s="111"/>
      <c r="K114" s="114"/>
      <c r="L114" s="115"/>
      <c r="M114" s="498"/>
      <c r="N114" s="499"/>
      <c r="O114" s="498"/>
      <c r="P114" s="499"/>
      <c r="Q114" s="498"/>
      <c r="R114" s="499"/>
      <c r="S114" s="498"/>
      <c r="T114" s="499"/>
      <c r="U114" s="498"/>
      <c r="V114" s="499"/>
      <c r="W114" s="498"/>
      <c r="X114" s="499"/>
      <c r="Y114" s="498"/>
      <c r="Z114" s="499"/>
      <c r="AA114" s="498"/>
      <c r="AB114" s="499"/>
      <c r="AC114" s="498"/>
      <c r="AD114" s="499"/>
      <c r="AE114" s="498"/>
      <c r="AF114" s="500"/>
      <c r="AG114" s="498"/>
      <c r="AH114" s="500"/>
      <c r="AI114" s="498"/>
      <c r="AJ114" s="500"/>
      <c r="AK114" s="498"/>
      <c r="AL114" s="500"/>
      <c r="AM114" s="501"/>
      <c r="AN114" s="500"/>
      <c r="AO114" s="498"/>
      <c r="AP114" s="500"/>
      <c r="AQ114" s="501"/>
      <c r="AR114" s="500"/>
      <c r="AS114" s="500"/>
      <c r="AT114" s="500"/>
      <c r="AU114" s="501"/>
      <c r="AV114" s="500"/>
      <c r="AW114" s="500"/>
      <c r="AX114" s="500"/>
      <c r="AY114" s="576"/>
      <c r="AZ114" s="576"/>
      <c r="BA114" s="576"/>
      <c r="BB114" s="576"/>
      <c r="BC114" s="576"/>
      <c r="BD114" s="576"/>
      <c r="BE114" s="576"/>
      <c r="BF114" s="576"/>
      <c r="BG114" s="576"/>
      <c r="BH114" s="576"/>
      <c r="BI114" s="576"/>
      <c r="BJ114" s="576"/>
      <c r="BK114" s="576"/>
      <c r="BL114" s="576"/>
      <c r="BM114" s="576"/>
      <c r="BN114" s="576"/>
      <c r="BO114" s="576"/>
      <c r="BP114" s="576"/>
      <c r="BQ114" s="576"/>
      <c r="BR114" s="576"/>
      <c r="BS114" s="576"/>
      <c r="BT114" s="576"/>
      <c r="BU114" s="576"/>
      <c r="BV114" s="576"/>
      <c r="BW114" s="576"/>
      <c r="BX114" s="576"/>
      <c r="BY114" s="576"/>
      <c r="BZ114" s="576"/>
      <c r="CA114" s="576"/>
      <c r="CB114" s="576"/>
      <c r="CC114" s="576"/>
      <c r="CD114" s="576"/>
      <c r="CE114" s="576"/>
      <c r="CF114" s="576"/>
      <c r="CG114" s="576"/>
      <c r="CH114" s="576"/>
      <c r="CI114" s="576"/>
      <c r="CJ114" s="576"/>
      <c r="CK114" s="576"/>
      <c r="CL114" s="576"/>
      <c r="CM114" s="576"/>
      <c r="CN114" s="576"/>
      <c r="CO114" s="576"/>
      <c r="CP114" s="576"/>
      <c r="CQ114" s="576"/>
      <c r="CR114" s="576"/>
      <c r="CS114" s="576"/>
      <c r="CT114" s="576"/>
      <c r="CU114" s="576"/>
      <c r="CV114" s="576"/>
      <c r="CW114" s="576"/>
      <c r="CX114" s="576"/>
      <c r="CY114" s="576"/>
      <c r="CZ114" s="576"/>
      <c r="DA114" s="576"/>
      <c r="DB114" s="576"/>
      <c r="DC114" s="576"/>
      <c r="DD114" s="576"/>
      <c r="DE114" s="576"/>
      <c r="DF114" s="576"/>
      <c r="DG114" s="576"/>
      <c r="DH114" s="116"/>
      <c r="DI114" s="112"/>
      <c r="DJ114">
        <f ca="1">INDIRECT(ADDRESS(ROW()+1,COLUMN(Arbeitszeit!xDay),,,"Arbeitszeit"))</f>
        <v>1</v>
      </c>
    </row>
    <row r="115" spans="1:114">
      <c r="A115" s="462">
        <f>Arbeitszeit!A116</f>
        <v>44944</v>
      </c>
      <c r="B115" s="463">
        <f t="shared" si="5"/>
        <v>44944</v>
      </c>
      <c r="C115" s="146">
        <f t="shared" si="6"/>
        <v>3</v>
      </c>
      <c r="D115" s="145">
        <f t="shared" si="7"/>
        <v>44926</v>
      </c>
      <c r="E115" s="510">
        <f>Arbeitszeit!V116*24</f>
        <v>0</v>
      </c>
      <c r="F115" s="574">
        <f t="shared" si="4"/>
        <v>0</v>
      </c>
      <c r="G115" s="113">
        <f>IF(Arbeitszeit!F116=Urlaub,B_WorkTime*24,)</f>
        <v>0</v>
      </c>
      <c r="H115" s="111"/>
      <c r="I115" s="113">
        <f>IF(Arbeitszeit!F116=Krank,B_WorkTime*24,)</f>
        <v>0</v>
      </c>
      <c r="J115" s="111"/>
      <c r="K115" s="114"/>
      <c r="L115" s="115"/>
      <c r="M115" s="498"/>
      <c r="N115" s="499"/>
      <c r="O115" s="498"/>
      <c r="P115" s="499"/>
      <c r="Q115" s="498"/>
      <c r="R115" s="499"/>
      <c r="S115" s="498"/>
      <c r="T115" s="499"/>
      <c r="U115" s="498"/>
      <c r="V115" s="499"/>
      <c r="W115" s="498"/>
      <c r="X115" s="499"/>
      <c r="Y115" s="498"/>
      <c r="Z115" s="499"/>
      <c r="AA115" s="498"/>
      <c r="AB115" s="499"/>
      <c r="AC115" s="498"/>
      <c r="AD115" s="499"/>
      <c r="AE115" s="498"/>
      <c r="AF115" s="500"/>
      <c r="AG115" s="498"/>
      <c r="AH115" s="500"/>
      <c r="AI115" s="498"/>
      <c r="AJ115" s="500"/>
      <c r="AK115" s="498"/>
      <c r="AL115" s="500"/>
      <c r="AM115" s="501"/>
      <c r="AN115" s="500"/>
      <c r="AO115" s="498"/>
      <c r="AP115" s="500"/>
      <c r="AQ115" s="501"/>
      <c r="AR115" s="500"/>
      <c r="AS115" s="500"/>
      <c r="AT115" s="500"/>
      <c r="AU115" s="501"/>
      <c r="AV115" s="500"/>
      <c r="AW115" s="500"/>
      <c r="AX115" s="500"/>
      <c r="AY115" s="576"/>
      <c r="AZ115" s="576"/>
      <c r="BA115" s="576"/>
      <c r="BB115" s="576"/>
      <c r="BC115" s="576"/>
      <c r="BD115" s="576"/>
      <c r="BE115" s="576"/>
      <c r="BF115" s="576"/>
      <c r="BG115" s="576"/>
      <c r="BH115" s="576"/>
      <c r="BI115" s="576"/>
      <c r="BJ115" s="576"/>
      <c r="BK115" s="576"/>
      <c r="BL115" s="576"/>
      <c r="BM115" s="576"/>
      <c r="BN115" s="576"/>
      <c r="BO115" s="576"/>
      <c r="BP115" s="576"/>
      <c r="BQ115" s="576"/>
      <c r="BR115" s="576"/>
      <c r="BS115" s="576"/>
      <c r="BT115" s="576"/>
      <c r="BU115" s="576"/>
      <c r="BV115" s="576"/>
      <c r="BW115" s="576"/>
      <c r="BX115" s="576"/>
      <c r="BY115" s="576"/>
      <c r="BZ115" s="576"/>
      <c r="CA115" s="576"/>
      <c r="CB115" s="576"/>
      <c r="CC115" s="576"/>
      <c r="CD115" s="576"/>
      <c r="CE115" s="576"/>
      <c r="CF115" s="576"/>
      <c r="CG115" s="576"/>
      <c r="CH115" s="576"/>
      <c r="CI115" s="576"/>
      <c r="CJ115" s="576"/>
      <c r="CK115" s="576"/>
      <c r="CL115" s="576"/>
      <c r="CM115" s="576"/>
      <c r="CN115" s="576"/>
      <c r="CO115" s="576"/>
      <c r="CP115" s="576"/>
      <c r="CQ115" s="576"/>
      <c r="CR115" s="576"/>
      <c r="CS115" s="576"/>
      <c r="CT115" s="576"/>
      <c r="CU115" s="576"/>
      <c r="CV115" s="576"/>
      <c r="CW115" s="576"/>
      <c r="CX115" s="576"/>
      <c r="CY115" s="576"/>
      <c r="CZ115" s="576"/>
      <c r="DA115" s="576"/>
      <c r="DB115" s="576"/>
      <c r="DC115" s="576"/>
      <c r="DD115" s="576"/>
      <c r="DE115" s="576"/>
      <c r="DF115" s="576"/>
      <c r="DG115" s="576"/>
      <c r="DH115" s="116"/>
      <c r="DI115" s="112"/>
      <c r="DJ115">
        <f ca="1">INDIRECT(ADDRESS(ROW()+1,COLUMN(Arbeitszeit!xDay),,,"Arbeitszeit"))</f>
        <v>2</v>
      </c>
    </row>
    <row r="116" spans="1:114">
      <c r="A116" s="462">
        <f>Arbeitszeit!A117</f>
        <v>44945</v>
      </c>
      <c r="B116" s="463">
        <f t="shared" si="5"/>
        <v>44945</v>
      </c>
      <c r="C116" s="146">
        <f t="shared" si="6"/>
        <v>3</v>
      </c>
      <c r="D116" s="145">
        <f t="shared" si="7"/>
        <v>44926</v>
      </c>
      <c r="E116" s="510">
        <f>Arbeitszeit!V117*24</f>
        <v>0</v>
      </c>
      <c r="F116" s="574">
        <f t="shared" si="4"/>
        <v>0</v>
      </c>
      <c r="G116" s="113">
        <f>IF(Arbeitszeit!F117=Urlaub,B_WorkTime*24,)</f>
        <v>0</v>
      </c>
      <c r="H116" s="111"/>
      <c r="I116" s="113">
        <f>IF(Arbeitszeit!F117=Krank,B_WorkTime*24,)</f>
        <v>0</v>
      </c>
      <c r="J116" s="111"/>
      <c r="K116" s="114"/>
      <c r="L116" s="115"/>
      <c r="M116" s="498"/>
      <c r="N116" s="499"/>
      <c r="O116" s="498"/>
      <c r="P116" s="499"/>
      <c r="Q116" s="498"/>
      <c r="R116" s="499"/>
      <c r="S116" s="498"/>
      <c r="T116" s="499"/>
      <c r="U116" s="498"/>
      <c r="V116" s="499"/>
      <c r="W116" s="498"/>
      <c r="X116" s="499"/>
      <c r="Y116" s="498"/>
      <c r="Z116" s="499"/>
      <c r="AA116" s="498"/>
      <c r="AB116" s="499"/>
      <c r="AC116" s="498"/>
      <c r="AD116" s="499"/>
      <c r="AE116" s="498"/>
      <c r="AF116" s="500"/>
      <c r="AG116" s="498"/>
      <c r="AH116" s="500"/>
      <c r="AI116" s="498"/>
      <c r="AJ116" s="500"/>
      <c r="AK116" s="498"/>
      <c r="AL116" s="500"/>
      <c r="AM116" s="501"/>
      <c r="AN116" s="500"/>
      <c r="AO116" s="498"/>
      <c r="AP116" s="500"/>
      <c r="AQ116" s="501"/>
      <c r="AR116" s="500"/>
      <c r="AS116" s="500"/>
      <c r="AT116" s="500"/>
      <c r="AU116" s="501"/>
      <c r="AV116" s="500"/>
      <c r="AW116" s="500"/>
      <c r="AX116" s="500"/>
      <c r="AY116" s="576"/>
      <c r="AZ116" s="576"/>
      <c r="BA116" s="576"/>
      <c r="BB116" s="576"/>
      <c r="BC116" s="576"/>
      <c r="BD116" s="576"/>
      <c r="BE116" s="576"/>
      <c r="BF116" s="576"/>
      <c r="BG116" s="576"/>
      <c r="BH116" s="576"/>
      <c r="BI116" s="576"/>
      <c r="BJ116" s="576"/>
      <c r="BK116" s="576"/>
      <c r="BL116" s="576"/>
      <c r="BM116" s="576"/>
      <c r="BN116" s="576"/>
      <c r="BO116" s="576"/>
      <c r="BP116" s="576"/>
      <c r="BQ116" s="576"/>
      <c r="BR116" s="576"/>
      <c r="BS116" s="576"/>
      <c r="BT116" s="576"/>
      <c r="BU116" s="576"/>
      <c r="BV116" s="576"/>
      <c r="BW116" s="576"/>
      <c r="BX116" s="576"/>
      <c r="BY116" s="576"/>
      <c r="BZ116" s="576"/>
      <c r="CA116" s="576"/>
      <c r="CB116" s="576"/>
      <c r="CC116" s="576"/>
      <c r="CD116" s="576"/>
      <c r="CE116" s="576"/>
      <c r="CF116" s="576"/>
      <c r="CG116" s="576"/>
      <c r="CH116" s="576"/>
      <c r="CI116" s="576"/>
      <c r="CJ116" s="576"/>
      <c r="CK116" s="576"/>
      <c r="CL116" s="576"/>
      <c r="CM116" s="576"/>
      <c r="CN116" s="576"/>
      <c r="CO116" s="576"/>
      <c r="CP116" s="576"/>
      <c r="CQ116" s="576"/>
      <c r="CR116" s="576"/>
      <c r="CS116" s="576"/>
      <c r="CT116" s="576"/>
      <c r="CU116" s="576"/>
      <c r="CV116" s="576"/>
      <c r="CW116" s="576"/>
      <c r="CX116" s="576"/>
      <c r="CY116" s="576"/>
      <c r="CZ116" s="576"/>
      <c r="DA116" s="576"/>
      <c r="DB116" s="576"/>
      <c r="DC116" s="576"/>
      <c r="DD116" s="576"/>
      <c r="DE116" s="576"/>
      <c r="DF116" s="576"/>
      <c r="DG116" s="576"/>
      <c r="DH116" s="116"/>
      <c r="DI116" s="112"/>
      <c r="DJ116">
        <f ca="1">INDIRECT(ADDRESS(ROW()+1,COLUMN(Arbeitszeit!xDay),,,"Arbeitszeit"))</f>
        <v>3</v>
      </c>
    </row>
    <row r="117" spans="1:114">
      <c r="A117" s="462">
        <f>Arbeitszeit!A118</f>
        <v>44946</v>
      </c>
      <c r="B117" s="463">
        <f t="shared" si="5"/>
        <v>44946</v>
      </c>
      <c r="C117" s="146">
        <f t="shared" si="6"/>
        <v>3</v>
      </c>
      <c r="D117" s="145">
        <f t="shared" si="7"/>
        <v>44926</v>
      </c>
      <c r="E117" s="510">
        <f>Arbeitszeit!V118*24</f>
        <v>0</v>
      </c>
      <c r="F117" s="574">
        <f t="shared" si="4"/>
        <v>0</v>
      </c>
      <c r="G117" s="113">
        <f>IF(Arbeitszeit!F118=Urlaub,B_WorkTime*24,)</f>
        <v>0</v>
      </c>
      <c r="H117" s="111"/>
      <c r="I117" s="113">
        <f>IF(Arbeitszeit!F118=Krank,B_WorkTime*24,)</f>
        <v>0</v>
      </c>
      <c r="J117" s="111"/>
      <c r="K117" s="114"/>
      <c r="L117" s="115"/>
      <c r="M117" s="498"/>
      <c r="N117" s="499"/>
      <c r="O117" s="498"/>
      <c r="P117" s="499"/>
      <c r="Q117" s="498"/>
      <c r="R117" s="499"/>
      <c r="S117" s="498"/>
      <c r="T117" s="499"/>
      <c r="U117" s="498"/>
      <c r="V117" s="499"/>
      <c r="W117" s="498"/>
      <c r="X117" s="499"/>
      <c r="Y117" s="498"/>
      <c r="Z117" s="499"/>
      <c r="AA117" s="498"/>
      <c r="AB117" s="499"/>
      <c r="AC117" s="498"/>
      <c r="AD117" s="499"/>
      <c r="AE117" s="498"/>
      <c r="AF117" s="500"/>
      <c r="AG117" s="498"/>
      <c r="AH117" s="500"/>
      <c r="AI117" s="498"/>
      <c r="AJ117" s="500"/>
      <c r="AK117" s="498"/>
      <c r="AL117" s="500"/>
      <c r="AM117" s="501"/>
      <c r="AN117" s="500"/>
      <c r="AO117" s="498"/>
      <c r="AP117" s="500"/>
      <c r="AQ117" s="501"/>
      <c r="AR117" s="500"/>
      <c r="AS117" s="500"/>
      <c r="AT117" s="500"/>
      <c r="AU117" s="501"/>
      <c r="AV117" s="500"/>
      <c r="AW117" s="500"/>
      <c r="AX117" s="500"/>
      <c r="AY117" s="576"/>
      <c r="AZ117" s="576"/>
      <c r="BA117" s="576"/>
      <c r="BB117" s="576"/>
      <c r="BC117" s="576"/>
      <c r="BD117" s="576"/>
      <c r="BE117" s="576"/>
      <c r="BF117" s="576"/>
      <c r="BG117" s="576"/>
      <c r="BH117" s="576"/>
      <c r="BI117" s="576"/>
      <c r="BJ117" s="576"/>
      <c r="BK117" s="576"/>
      <c r="BL117" s="576"/>
      <c r="BM117" s="576"/>
      <c r="BN117" s="576"/>
      <c r="BO117" s="576"/>
      <c r="BP117" s="576"/>
      <c r="BQ117" s="576"/>
      <c r="BR117" s="576"/>
      <c r="BS117" s="576"/>
      <c r="BT117" s="576"/>
      <c r="BU117" s="576"/>
      <c r="BV117" s="576"/>
      <c r="BW117" s="576"/>
      <c r="BX117" s="576"/>
      <c r="BY117" s="576"/>
      <c r="BZ117" s="576"/>
      <c r="CA117" s="576"/>
      <c r="CB117" s="576"/>
      <c r="CC117" s="576"/>
      <c r="CD117" s="576"/>
      <c r="CE117" s="576"/>
      <c r="CF117" s="576"/>
      <c r="CG117" s="576"/>
      <c r="CH117" s="576"/>
      <c r="CI117" s="576"/>
      <c r="CJ117" s="576"/>
      <c r="CK117" s="576"/>
      <c r="CL117" s="576"/>
      <c r="CM117" s="576"/>
      <c r="CN117" s="576"/>
      <c r="CO117" s="576"/>
      <c r="CP117" s="576"/>
      <c r="CQ117" s="576"/>
      <c r="CR117" s="576"/>
      <c r="CS117" s="576"/>
      <c r="CT117" s="576"/>
      <c r="CU117" s="576"/>
      <c r="CV117" s="576"/>
      <c r="CW117" s="576"/>
      <c r="CX117" s="576"/>
      <c r="CY117" s="576"/>
      <c r="CZ117" s="576"/>
      <c r="DA117" s="576"/>
      <c r="DB117" s="576"/>
      <c r="DC117" s="576"/>
      <c r="DD117" s="576"/>
      <c r="DE117" s="576"/>
      <c r="DF117" s="576"/>
      <c r="DG117" s="576"/>
      <c r="DH117" s="116"/>
      <c r="DI117" s="112"/>
      <c r="DJ117">
        <f ca="1">INDIRECT(ADDRESS(ROW()+1,COLUMN(Arbeitszeit!xDay),,,"Arbeitszeit"))</f>
        <v>4</v>
      </c>
    </row>
    <row r="118" spans="1:114">
      <c r="A118" s="462">
        <f>Arbeitszeit!A119</f>
        <v>44947</v>
      </c>
      <c r="B118" s="463">
        <f t="shared" si="5"/>
        <v>44947</v>
      </c>
      <c r="C118" s="146">
        <f t="shared" si="6"/>
        <v>3</v>
      </c>
      <c r="D118" s="145">
        <f t="shared" si="7"/>
        <v>44926</v>
      </c>
      <c r="E118" s="510">
        <f>Arbeitszeit!V119*24</f>
        <v>0</v>
      </c>
      <c r="F118" s="574">
        <f t="shared" si="4"/>
        <v>0</v>
      </c>
      <c r="G118" s="113">
        <f>IF(Arbeitszeit!F119=Urlaub,B_WorkTime*24,)</f>
        <v>0</v>
      </c>
      <c r="H118" s="111"/>
      <c r="I118" s="113">
        <f>IF(Arbeitszeit!F119=Krank,B_WorkTime*24,)</f>
        <v>0</v>
      </c>
      <c r="J118" s="111"/>
      <c r="K118" s="114"/>
      <c r="L118" s="115"/>
      <c r="M118" s="498"/>
      <c r="N118" s="499"/>
      <c r="O118" s="498"/>
      <c r="P118" s="499"/>
      <c r="Q118" s="498"/>
      <c r="R118" s="499"/>
      <c r="S118" s="498"/>
      <c r="T118" s="499"/>
      <c r="U118" s="498"/>
      <c r="V118" s="499"/>
      <c r="W118" s="498"/>
      <c r="X118" s="499"/>
      <c r="Y118" s="498"/>
      <c r="Z118" s="499"/>
      <c r="AA118" s="498"/>
      <c r="AB118" s="499"/>
      <c r="AC118" s="498"/>
      <c r="AD118" s="499"/>
      <c r="AE118" s="498"/>
      <c r="AF118" s="500"/>
      <c r="AG118" s="498"/>
      <c r="AH118" s="500"/>
      <c r="AI118" s="498"/>
      <c r="AJ118" s="500"/>
      <c r="AK118" s="498"/>
      <c r="AL118" s="500"/>
      <c r="AM118" s="501"/>
      <c r="AN118" s="500"/>
      <c r="AO118" s="498"/>
      <c r="AP118" s="500"/>
      <c r="AQ118" s="501"/>
      <c r="AR118" s="500"/>
      <c r="AS118" s="500"/>
      <c r="AT118" s="500"/>
      <c r="AU118" s="501"/>
      <c r="AV118" s="500"/>
      <c r="AW118" s="500"/>
      <c r="AX118" s="500"/>
      <c r="AY118" s="576"/>
      <c r="AZ118" s="576"/>
      <c r="BA118" s="576"/>
      <c r="BB118" s="576"/>
      <c r="BC118" s="576"/>
      <c r="BD118" s="576"/>
      <c r="BE118" s="576"/>
      <c r="BF118" s="576"/>
      <c r="BG118" s="576"/>
      <c r="BH118" s="576"/>
      <c r="BI118" s="576"/>
      <c r="BJ118" s="576"/>
      <c r="BK118" s="576"/>
      <c r="BL118" s="576"/>
      <c r="BM118" s="576"/>
      <c r="BN118" s="576"/>
      <c r="BO118" s="576"/>
      <c r="BP118" s="576"/>
      <c r="BQ118" s="576"/>
      <c r="BR118" s="576"/>
      <c r="BS118" s="576"/>
      <c r="BT118" s="576"/>
      <c r="BU118" s="576"/>
      <c r="BV118" s="576"/>
      <c r="BW118" s="576"/>
      <c r="BX118" s="576"/>
      <c r="BY118" s="576"/>
      <c r="BZ118" s="576"/>
      <c r="CA118" s="576"/>
      <c r="CB118" s="576"/>
      <c r="CC118" s="576"/>
      <c r="CD118" s="576"/>
      <c r="CE118" s="576"/>
      <c r="CF118" s="576"/>
      <c r="CG118" s="576"/>
      <c r="CH118" s="576"/>
      <c r="CI118" s="576"/>
      <c r="CJ118" s="576"/>
      <c r="CK118" s="576"/>
      <c r="CL118" s="576"/>
      <c r="CM118" s="576"/>
      <c r="CN118" s="576"/>
      <c r="CO118" s="576"/>
      <c r="CP118" s="576"/>
      <c r="CQ118" s="576"/>
      <c r="CR118" s="576"/>
      <c r="CS118" s="576"/>
      <c r="CT118" s="576"/>
      <c r="CU118" s="576"/>
      <c r="CV118" s="576"/>
      <c r="CW118" s="576"/>
      <c r="CX118" s="576"/>
      <c r="CY118" s="576"/>
      <c r="CZ118" s="576"/>
      <c r="DA118" s="576"/>
      <c r="DB118" s="576"/>
      <c r="DC118" s="576"/>
      <c r="DD118" s="576"/>
      <c r="DE118" s="576"/>
      <c r="DF118" s="576"/>
      <c r="DG118" s="576"/>
      <c r="DH118" s="116"/>
      <c r="DI118" s="112"/>
      <c r="DJ118">
        <f ca="1">INDIRECT(ADDRESS(ROW()+1,COLUMN(Arbeitszeit!xDay),,,"Arbeitszeit"))</f>
        <v>5</v>
      </c>
    </row>
    <row r="119" spans="1:114">
      <c r="A119" s="462">
        <f>Arbeitszeit!A120</f>
        <v>44948</v>
      </c>
      <c r="B119" s="463">
        <f t="shared" si="5"/>
        <v>44948</v>
      </c>
      <c r="C119" s="146">
        <f t="shared" si="6"/>
        <v>3</v>
      </c>
      <c r="D119" s="145">
        <f t="shared" si="7"/>
        <v>44926</v>
      </c>
      <c r="E119" s="510">
        <f>Arbeitszeit!V120*24</f>
        <v>0</v>
      </c>
      <c r="F119" s="574">
        <f t="shared" si="4"/>
        <v>0</v>
      </c>
      <c r="G119" s="113">
        <f>IF(Arbeitszeit!F120=Urlaub,B_WorkTime*24,)</f>
        <v>0</v>
      </c>
      <c r="H119" s="111"/>
      <c r="I119" s="113">
        <f>IF(Arbeitszeit!F120=Krank,B_WorkTime*24,)</f>
        <v>0</v>
      </c>
      <c r="J119" s="111"/>
      <c r="K119" s="114"/>
      <c r="L119" s="115"/>
      <c r="M119" s="498"/>
      <c r="N119" s="499"/>
      <c r="O119" s="498"/>
      <c r="P119" s="499"/>
      <c r="Q119" s="498"/>
      <c r="R119" s="499"/>
      <c r="S119" s="498"/>
      <c r="T119" s="499"/>
      <c r="U119" s="498"/>
      <c r="V119" s="499"/>
      <c r="W119" s="498"/>
      <c r="X119" s="499"/>
      <c r="Y119" s="498"/>
      <c r="Z119" s="499"/>
      <c r="AA119" s="498"/>
      <c r="AB119" s="499"/>
      <c r="AC119" s="498"/>
      <c r="AD119" s="499"/>
      <c r="AE119" s="498"/>
      <c r="AF119" s="500"/>
      <c r="AG119" s="498"/>
      <c r="AH119" s="500"/>
      <c r="AI119" s="498"/>
      <c r="AJ119" s="500"/>
      <c r="AK119" s="498"/>
      <c r="AL119" s="500"/>
      <c r="AM119" s="501"/>
      <c r="AN119" s="500"/>
      <c r="AO119" s="498"/>
      <c r="AP119" s="500"/>
      <c r="AQ119" s="501"/>
      <c r="AR119" s="500"/>
      <c r="AS119" s="500"/>
      <c r="AT119" s="500"/>
      <c r="AU119" s="501"/>
      <c r="AV119" s="500"/>
      <c r="AW119" s="500"/>
      <c r="AX119" s="500"/>
      <c r="AY119" s="576"/>
      <c r="AZ119" s="576"/>
      <c r="BA119" s="576"/>
      <c r="BB119" s="576"/>
      <c r="BC119" s="576"/>
      <c r="BD119" s="576"/>
      <c r="BE119" s="576"/>
      <c r="BF119" s="576"/>
      <c r="BG119" s="576"/>
      <c r="BH119" s="576"/>
      <c r="BI119" s="576"/>
      <c r="BJ119" s="576"/>
      <c r="BK119" s="576"/>
      <c r="BL119" s="576"/>
      <c r="BM119" s="576"/>
      <c r="BN119" s="576"/>
      <c r="BO119" s="576"/>
      <c r="BP119" s="576"/>
      <c r="BQ119" s="576"/>
      <c r="BR119" s="576"/>
      <c r="BS119" s="576"/>
      <c r="BT119" s="576"/>
      <c r="BU119" s="576"/>
      <c r="BV119" s="576"/>
      <c r="BW119" s="576"/>
      <c r="BX119" s="576"/>
      <c r="BY119" s="576"/>
      <c r="BZ119" s="576"/>
      <c r="CA119" s="576"/>
      <c r="CB119" s="576"/>
      <c r="CC119" s="576"/>
      <c r="CD119" s="576"/>
      <c r="CE119" s="576"/>
      <c r="CF119" s="576"/>
      <c r="CG119" s="576"/>
      <c r="CH119" s="576"/>
      <c r="CI119" s="576"/>
      <c r="CJ119" s="576"/>
      <c r="CK119" s="576"/>
      <c r="CL119" s="576"/>
      <c r="CM119" s="576"/>
      <c r="CN119" s="576"/>
      <c r="CO119" s="576"/>
      <c r="CP119" s="576"/>
      <c r="CQ119" s="576"/>
      <c r="CR119" s="576"/>
      <c r="CS119" s="576"/>
      <c r="CT119" s="576"/>
      <c r="CU119" s="576"/>
      <c r="CV119" s="576"/>
      <c r="CW119" s="576"/>
      <c r="CX119" s="576"/>
      <c r="CY119" s="576"/>
      <c r="CZ119" s="576"/>
      <c r="DA119" s="576"/>
      <c r="DB119" s="576"/>
      <c r="DC119" s="576"/>
      <c r="DD119" s="576"/>
      <c r="DE119" s="576"/>
      <c r="DF119" s="576"/>
      <c r="DG119" s="576"/>
      <c r="DH119" s="116"/>
      <c r="DI119" s="112"/>
      <c r="DJ119">
        <f ca="1">INDIRECT(ADDRESS(ROW()+1,COLUMN(Arbeitszeit!xDay),,,"Arbeitszeit"))</f>
        <v>6</v>
      </c>
    </row>
    <row r="120" spans="1:114">
      <c r="A120" s="462">
        <f>Arbeitszeit!A121</f>
        <v>44949</v>
      </c>
      <c r="B120" s="463">
        <f t="shared" si="5"/>
        <v>44949</v>
      </c>
      <c r="C120" s="146">
        <f t="shared" si="6"/>
        <v>3</v>
      </c>
      <c r="D120" s="145">
        <f t="shared" si="7"/>
        <v>44926</v>
      </c>
      <c r="E120" s="510">
        <f>Arbeitszeit!V121*24</f>
        <v>0</v>
      </c>
      <c r="F120" s="574">
        <f t="shared" si="4"/>
        <v>0</v>
      </c>
      <c r="G120" s="113">
        <f>IF(Arbeitszeit!F121=Urlaub,B_WorkTime*24,)</f>
        <v>0</v>
      </c>
      <c r="H120" s="111"/>
      <c r="I120" s="113">
        <f>IF(Arbeitszeit!F121=Krank,B_WorkTime*24,)</f>
        <v>0</v>
      </c>
      <c r="J120" s="111"/>
      <c r="K120" s="114"/>
      <c r="L120" s="115"/>
      <c r="M120" s="498"/>
      <c r="N120" s="499"/>
      <c r="O120" s="498"/>
      <c r="P120" s="499"/>
      <c r="Q120" s="498"/>
      <c r="R120" s="499"/>
      <c r="S120" s="498"/>
      <c r="T120" s="499"/>
      <c r="U120" s="498"/>
      <c r="V120" s="499"/>
      <c r="W120" s="498"/>
      <c r="X120" s="499"/>
      <c r="Y120" s="498"/>
      <c r="Z120" s="499"/>
      <c r="AA120" s="498"/>
      <c r="AB120" s="499"/>
      <c r="AC120" s="498"/>
      <c r="AD120" s="499"/>
      <c r="AE120" s="498"/>
      <c r="AF120" s="500"/>
      <c r="AG120" s="498"/>
      <c r="AH120" s="500"/>
      <c r="AI120" s="498"/>
      <c r="AJ120" s="500"/>
      <c r="AK120" s="498"/>
      <c r="AL120" s="500"/>
      <c r="AM120" s="501"/>
      <c r="AN120" s="500"/>
      <c r="AO120" s="498"/>
      <c r="AP120" s="500"/>
      <c r="AQ120" s="501"/>
      <c r="AR120" s="500"/>
      <c r="AS120" s="500"/>
      <c r="AT120" s="500"/>
      <c r="AU120" s="501"/>
      <c r="AV120" s="500"/>
      <c r="AW120" s="500"/>
      <c r="AX120" s="500"/>
      <c r="AY120" s="576"/>
      <c r="AZ120" s="576"/>
      <c r="BA120" s="576"/>
      <c r="BB120" s="576"/>
      <c r="BC120" s="576"/>
      <c r="BD120" s="576"/>
      <c r="BE120" s="576"/>
      <c r="BF120" s="576"/>
      <c r="BG120" s="576"/>
      <c r="BH120" s="576"/>
      <c r="BI120" s="576"/>
      <c r="BJ120" s="576"/>
      <c r="BK120" s="576"/>
      <c r="BL120" s="576"/>
      <c r="BM120" s="576"/>
      <c r="BN120" s="576"/>
      <c r="BO120" s="576"/>
      <c r="BP120" s="576"/>
      <c r="BQ120" s="576"/>
      <c r="BR120" s="576"/>
      <c r="BS120" s="576"/>
      <c r="BT120" s="576"/>
      <c r="BU120" s="576"/>
      <c r="BV120" s="576"/>
      <c r="BW120" s="576"/>
      <c r="BX120" s="576"/>
      <c r="BY120" s="576"/>
      <c r="BZ120" s="576"/>
      <c r="CA120" s="576"/>
      <c r="CB120" s="576"/>
      <c r="CC120" s="576"/>
      <c r="CD120" s="576"/>
      <c r="CE120" s="576"/>
      <c r="CF120" s="576"/>
      <c r="CG120" s="576"/>
      <c r="CH120" s="576"/>
      <c r="CI120" s="576"/>
      <c r="CJ120" s="576"/>
      <c r="CK120" s="576"/>
      <c r="CL120" s="576"/>
      <c r="CM120" s="576"/>
      <c r="CN120" s="576"/>
      <c r="CO120" s="576"/>
      <c r="CP120" s="576"/>
      <c r="CQ120" s="576"/>
      <c r="CR120" s="576"/>
      <c r="CS120" s="576"/>
      <c r="CT120" s="576"/>
      <c r="CU120" s="576"/>
      <c r="CV120" s="576"/>
      <c r="CW120" s="576"/>
      <c r="CX120" s="576"/>
      <c r="CY120" s="576"/>
      <c r="CZ120" s="576"/>
      <c r="DA120" s="576"/>
      <c r="DB120" s="576"/>
      <c r="DC120" s="576"/>
      <c r="DD120" s="576"/>
      <c r="DE120" s="576"/>
      <c r="DF120" s="576"/>
      <c r="DG120" s="576"/>
      <c r="DH120" s="116"/>
      <c r="DI120" s="112"/>
      <c r="DJ120">
        <f ca="1">INDIRECT(ADDRESS(ROW()+1,COLUMN(Arbeitszeit!xDay),,,"Arbeitszeit"))</f>
        <v>7</v>
      </c>
    </row>
    <row r="121" spans="1:114">
      <c r="A121" s="462">
        <f>Arbeitszeit!A122</f>
        <v>44950</v>
      </c>
      <c r="B121" s="463">
        <f t="shared" si="5"/>
        <v>44950</v>
      </c>
      <c r="C121" s="146">
        <f t="shared" si="6"/>
        <v>4</v>
      </c>
      <c r="D121" s="145">
        <f t="shared" si="7"/>
        <v>44926</v>
      </c>
      <c r="E121" s="510">
        <f>Arbeitszeit!V122*24</f>
        <v>0</v>
      </c>
      <c r="F121" s="574">
        <f t="shared" si="4"/>
        <v>0</v>
      </c>
      <c r="G121" s="113">
        <f>IF(Arbeitszeit!F122=Urlaub,B_WorkTime*24,)</f>
        <v>0</v>
      </c>
      <c r="H121" s="111"/>
      <c r="I121" s="113">
        <f>IF(Arbeitszeit!F122=Krank,B_WorkTime*24,)</f>
        <v>0</v>
      </c>
      <c r="J121" s="111"/>
      <c r="K121" s="114"/>
      <c r="L121" s="115"/>
      <c r="M121" s="498"/>
      <c r="N121" s="499"/>
      <c r="O121" s="498"/>
      <c r="P121" s="499"/>
      <c r="Q121" s="498"/>
      <c r="R121" s="499"/>
      <c r="S121" s="498"/>
      <c r="T121" s="499"/>
      <c r="U121" s="498"/>
      <c r="V121" s="499"/>
      <c r="W121" s="498"/>
      <c r="X121" s="499"/>
      <c r="Y121" s="498"/>
      <c r="Z121" s="499"/>
      <c r="AA121" s="498"/>
      <c r="AB121" s="499"/>
      <c r="AC121" s="498"/>
      <c r="AD121" s="499"/>
      <c r="AE121" s="498"/>
      <c r="AF121" s="500"/>
      <c r="AG121" s="498"/>
      <c r="AH121" s="500"/>
      <c r="AI121" s="498"/>
      <c r="AJ121" s="500"/>
      <c r="AK121" s="498"/>
      <c r="AL121" s="500"/>
      <c r="AM121" s="501"/>
      <c r="AN121" s="500"/>
      <c r="AO121" s="498"/>
      <c r="AP121" s="500"/>
      <c r="AQ121" s="501"/>
      <c r="AR121" s="500"/>
      <c r="AS121" s="500"/>
      <c r="AT121" s="500"/>
      <c r="AU121" s="501"/>
      <c r="AV121" s="500"/>
      <c r="AW121" s="500"/>
      <c r="AX121" s="500"/>
      <c r="AY121" s="576"/>
      <c r="AZ121" s="576"/>
      <c r="BA121" s="576"/>
      <c r="BB121" s="576"/>
      <c r="BC121" s="576"/>
      <c r="BD121" s="576"/>
      <c r="BE121" s="576"/>
      <c r="BF121" s="576"/>
      <c r="BG121" s="576"/>
      <c r="BH121" s="576"/>
      <c r="BI121" s="576"/>
      <c r="BJ121" s="576"/>
      <c r="BK121" s="576"/>
      <c r="BL121" s="576"/>
      <c r="BM121" s="576"/>
      <c r="BN121" s="576"/>
      <c r="BO121" s="576"/>
      <c r="BP121" s="576"/>
      <c r="BQ121" s="576"/>
      <c r="BR121" s="576"/>
      <c r="BS121" s="576"/>
      <c r="BT121" s="576"/>
      <c r="BU121" s="576"/>
      <c r="BV121" s="576"/>
      <c r="BW121" s="576"/>
      <c r="BX121" s="576"/>
      <c r="BY121" s="576"/>
      <c r="BZ121" s="576"/>
      <c r="CA121" s="576"/>
      <c r="CB121" s="576"/>
      <c r="CC121" s="576"/>
      <c r="CD121" s="576"/>
      <c r="CE121" s="576"/>
      <c r="CF121" s="576"/>
      <c r="CG121" s="576"/>
      <c r="CH121" s="576"/>
      <c r="CI121" s="576"/>
      <c r="CJ121" s="576"/>
      <c r="CK121" s="576"/>
      <c r="CL121" s="576"/>
      <c r="CM121" s="576"/>
      <c r="CN121" s="576"/>
      <c r="CO121" s="576"/>
      <c r="CP121" s="576"/>
      <c r="CQ121" s="576"/>
      <c r="CR121" s="576"/>
      <c r="CS121" s="576"/>
      <c r="CT121" s="576"/>
      <c r="CU121" s="576"/>
      <c r="CV121" s="576"/>
      <c r="CW121" s="576"/>
      <c r="CX121" s="576"/>
      <c r="CY121" s="576"/>
      <c r="CZ121" s="576"/>
      <c r="DA121" s="576"/>
      <c r="DB121" s="576"/>
      <c r="DC121" s="576"/>
      <c r="DD121" s="576"/>
      <c r="DE121" s="576"/>
      <c r="DF121" s="576"/>
      <c r="DG121" s="576"/>
      <c r="DH121" s="116"/>
      <c r="DI121" s="112"/>
      <c r="DJ121">
        <f ca="1">INDIRECT(ADDRESS(ROW()+1,COLUMN(Arbeitszeit!xDay),,,"Arbeitszeit"))</f>
        <v>1</v>
      </c>
    </row>
    <row r="122" spans="1:114">
      <c r="A122" s="462">
        <f>Arbeitszeit!A123</f>
        <v>44951</v>
      </c>
      <c r="B122" s="463">
        <f t="shared" si="5"/>
        <v>44951</v>
      </c>
      <c r="C122" s="146">
        <f t="shared" si="6"/>
        <v>4</v>
      </c>
      <c r="D122" s="145">
        <f t="shared" si="7"/>
        <v>44926</v>
      </c>
      <c r="E122" s="510">
        <f>Arbeitszeit!V123*24</f>
        <v>0</v>
      </c>
      <c r="F122" s="574">
        <f t="shared" si="4"/>
        <v>0</v>
      </c>
      <c r="G122" s="113">
        <f>IF(Arbeitszeit!F123=Urlaub,B_WorkTime*24,)</f>
        <v>0</v>
      </c>
      <c r="H122" s="111"/>
      <c r="I122" s="113">
        <f>IF(Arbeitszeit!F123=Krank,B_WorkTime*24,)</f>
        <v>0</v>
      </c>
      <c r="J122" s="111"/>
      <c r="K122" s="114"/>
      <c r="L122" s="115"/>
      <c r="M122" s="498"/>
      <c r="N122" s="499"/>
      <c r="O122" s="498"/>
      <c r="P122" s="499"/>
      <c r="Q122" s="498"/>
      <c r="R122" s="499"/>
      <c r="S122" s="498"/>
      <c r="T122" s="499"/>
      <c r="U122" s="498"/>
      <c r="V122" s="499"/>
      <c r="W122" s="498"/>
      <c r="X122" s="499"/>
      <c r="Y122" s="498"/>
      <c r="Z122" s="499"/>
      <c r="AA122" s="498"/>
      <c r="AB122" s="499"/>
      <c r="AC122" s="498"/>
      <c r="AD122" s="499"/>
      <c r="AE122" s="498"/>
      <c r="AF122" s="500"/>
      <c r="AG122" s="498"/>
      <c r="AH122" s="500"/>
      <c r="AI122" s="498"/>
      <c r="AJ122" s="500"/>
      <c r="AK122" s="498"/>
      <c r="AL122" s="500"/>
      <c r="AM122" s="501"/>
      <c r="AN122" s="500"/>
      <c r="AO122" s="498"/>
      <c r="AP122" s="500"/>
      <c r="AQ122" s="501"/>
      <c r="AR122" s="500"/>
      <c r="AS122" s="500"/>
      <c r="AT122" s="500"/>
      <c r="AU122" s="501"/>
      <c r="AV122" s="500"/>
      <c r="AW122" s="500"/>
      <c r="AX122" s="500"/>
      <c r="AY122" s="576"/>
      <c r="AZ122" s="576"/>
      <c r="BA122" s="576"/>
      <c r="BB122" s="576"/>
      <c r="BC122" s="576"/>
      <c r="BD122" s="576"/>
      <c r="BE122" s="576"/>
      <c r="BF122" s="576"/>
      <c r="BG122" s="576"/>
      <c r="BH122" s="576"/>
      <c r="BI122" s="576"/>
      <c r="BJ122" s="576"/>
      <c r="BK122" s="576"/>
      <c r="BL122" s="576"/>
      <c r="BM122" s="576"/>
      <c r="BN122" s="576"/>
      <c r="BO122" s="576"/>
      <c r="BP122" s="576"/>
      <c r="BQ122" s="576"/>
      <c r="BR122" s="576"/>
      <c r="BS122" s="576"/>
      <c r="BT122" s="576"/>
      <c r="BU122" s="576"/>
      <c r="BV122" s="576"/>
      <c r="BW122" s="576"/>
      <c r="BX122" s="576"/>
      <c r="BY122" s="576"/>
      <c r="BZ122" s="576"/>
      <c r="CA122" s="576"/>
      <c r="CB122" s="576"/>
      <c r="CC122" s="576"/>
      <c r="CD122" s="576"/>
      <c r="CE122" s="576"/>
      <c r="CF122" s="576"/>
      <c r="CG122" s="576"/>
      <c r="CH122" s="576"/>
      <c r="CI122" s="576"/>
      <c r="CJ122" s="576"/>
      <c r="CK122" s="576"/>
      <c r="CL122" s="576"/>
      <c r="CM122" s="576"/>
      <c r="CN122" s="576"/>
      <c r="CO122" s="576"/>
      <c r="CP122" s="576"/>
      <c r="CQ122" s="576"/>
      <c r="CR122" s="576"/>
      <c r="CS122" s="576"/>
      <c r="CT122" s="576"/>
      <c r="CU122" s="576"/>
      <c r="CV122" s="576"/>
      <c r="CW122" s="576"/>
      <c r="CX122" s="576"/>
      <c r="CY122" s="576"/>
      <c r="CZ122" s="576"/>
      <c r="DA122" s="576"/>
      <c r="DB122" s="576"/>
      <c r="DC122" s="576"/>
      <c r="DD122" s="576"/>
      <c r="DE122" s="576"/>
      <c r="DF122" s="576"/>
      <c r="DG122" s="576"/>
      <c r="DH122" s="116"/>
      <c r="DI122" s="112"/>
      <c r="DJ122">
        <f ca="1">INDIRECT(ADDRESS(ROW()+1,COLUMN(Arbeitszeit!xDay),,,"Arbeitszeit"))</f>
        <v>2</v>
      </c>
    </row>
    <row r="123" spans="1:114">
      <c r="A123" s="462">
        <f>Arbeitszeit!A124</f>
        <v>44952</v>
      </c>
      <c r="B123" s="463">
        <f t="shared" si="5"/>
        <v>44952</v>
      </c>
      <c r="C123" s="146">
        <f t="shared" si="6"/>
        <v>4</v>
      </c>
      <c r="D123" s="145">
        <f t="shared" si="7"/>
        <v>44926</v>
      </c>
      <c r="E123" s="510">
        <f>Arbeitszeit!V124*24</f>
        <v>0</v>
      </c>
      <c r="F123" s="574">
        <f t="shared" si="4"/>
        <v>0</v>
      </c>
      <c r="G123" s="113">
        <f>IF(Arbeitszeit!F124=Urlaub,B_WorkTime*24,)</f>
        <v>0</v>
      </c>
      <c r="H123" s="111"/>
      <c r="I123" s="113">
        <f>IF(Arbeitszeit!F124=Krank,B_WorkTime*24,)</f>
        <v>0</v>
      </c>
      <c r="J123" s="111"/>
      <c r="K123" s="114"/>
      <c r="L123" s="115"/>
      <c r="M123" s="498"/>
      <c r="N123" s="499"/>
      <c r="O123" s="498"/>
      <c r="P123" s="499"/>
      <c r="Q123" s="498"/>
      <c r="R123" s="499"/>
      <c r="S123" s="498"/>
      <c r="T123" s="499"/>
      <c r="U123" s="498"/>
      <c r="V123" s="499"/>
      <c r="W123" s="498"/>
      <c r="X123" s="499"/>
      <c r="Y123" s="498"/>
      <c r="Z123" s="499"/>
      <c r="AA123" s="498"/>
      <c r="AB123" s="499"/>
      <c r="AC123" s="498"/>
      <c r="AD123" s="499"/>
      <c r="AE123" s="498"/>
      <c r="AF123" s="500"/>
      <c r="AG123" s="498"/>
      <c r="AH123" s="500"/>
      <c r="AI123" s="498"/>
      <c r="AJ123" s="500"/>
      <c r="AK123" s="498"/>
      <c r="AL123" s="500"/>
      <c r="AM123" s="501"/>
      <c r="AN123" s="500"/>
      <c r="AO123" s="498"/>
      <c r="AP123" s="500"/>
      <c r="AQ123" s="501"/>
      <c r="AR123" s="500"/>
      <c r="AS123" s="500"/>
      <c r="AT123" s="500"/>
      <c r="AU123" s="501"/>
      <c r="AV123" s="500"/>
      <c r="AW123" s="500"/>
      <c r="AX123" s="500"/>
      <c r="AY123" s="576"/>
      <c r="AZ123" s="576"/>
      <c r="BA123" s="576"/>
      <c r="BB123" s="576"/>
      <c r="BC123" s="576"/>
      <c r="BD123" s="576"/>
      <c r="BE123" s="576"/>
      <c r="BF123" s="576"/>
      <c r="BG123" s="576"/>
      <c r="BH123" s="576"/>
      <c r="BI123" s="576"/>
      <c r="BJ123" s="576"/>
      <c r="BK123" s="576"/>
      <c r="BL123" s="576"/>
      <c r="BM123" s="576"/>
      <c r="BN123" s="576"/>
      <c r="BO123" s="576"/>
      <c r="BP123" s="576"/>
      <c r="BQ123" s="576"/>
      <c r="BR123" s="576"/>
      <c r="BS123" s="576"/>
      <c r="BT123" s="576"/>
      <c r="BU123" s="576"/>
      <c r="BV123" s="576"/>
      <c r="BW123" s="576"/>
      <c r="BX123" s="576"/>
      <c r="BY123" s="576"/>
      <c r="BZ123" s="576"/>
      <c r="CA123" s="576"/>
      <c r="CB123" s="576"/>
      <c r="CC123" s="576"/>
      <c r="CD123" s="576"/>
      <c r="CE123" s="576"/>
      <c r="CF123" s="576"/>
      <c r="CG123" s="576"/>
      <c r="CH123" s="576"/>
      <c r="CI123" s="576"/>
      <c r="CJ123" s="576"/>
      <c r="CK123" s="576"/>
      <c r="CL123" s="576"/>
      <c r="CM123" s="576"/>
      <c r="CN123" s="576"/>
      <c r="CO123" s="576"/>
      <c r="CP123" s="576"/>
      <c r="CQ123" s="576"/>
      <c r="CR123" s="576"/>
      <c r="CS123" s="576"/>
      <c r="CT123" s="576"/>
      <c r="CU123" s="576"/>
      <c r="CV123" s="576"/>
      <c r="CW123" s="576"/>
      <c r="CX123" s="576"/>
      <c r="CY123" s="576"/>
      <c r="CZ123" s="576"/>
      <c r="DA123" s="576"/>
      <c r="DB123" s="576"/>
      <c r="DC123" s="576"/>
      <c r="DD123" s="576"/>
      <c r="DE123" s="576"/>
      <c r="DF123" s="576"/>
      <c r="DG123" s="576"/>
      <c r="DH123" s="116"/>
      <c r="DI123" s="112"/>
      <c r="DJ123">
        <f ca="1">INDIRECT(ADDRESS(ROW()+1,COLUMN(Arbeitszeit!xDay),,,"Arbeitszeit"))</f>
        <v>3</v>
      </c>
    </row>
    <row r="124" spans="1:114">
      <c r="A124" s="462">
        <f>Arbeitszeit!A125</f>
        <v>44953</v>
      </c>
      <c r="B124" s="463">
        <f t="shared" si="5"/>
        <v>44953</v>
      </c>
      <c r="C124" s="146">
        <f t="shared" si="6"/>
        <v>4</v>
      </c>
      <c r="D124" s="145">
        <f t="shared" si="7"/>
        <v>44926</v>
      </c>
      <c r="E124" s="510">
        <f>Arbeitszeit!V125*24</f>
        <v>0</v>
      </c>
      <c r="F124" s="574">
        <f t="shared" si="4"/>
        <v>0</v>
      </c>
      <c r="G124" s="113">
        <f>IF(Arbeitszeit!F125=Urlaub,B_WorkTime*24,)</f>
        <v>0</v>
      </c>
      <c r="H124" s="111"/>
      <c r="I124" s="113">
        <f>IF(Arbeitszeit!F125=Krank,B_WorkTime*24,)</f>
        <v>0</v>
      </c>
      <c r="J124" s="111"/>
      <c r="K124" s="114"/>
      <c r="L124" s="115"/>
      <c r="M124" s="498"/>
      <c r="N124" s="499"/>
      <c r="O124" s="498"/>
      <c r="P124" s="499"/>
      <c r="Q124" s="498"/>
      <c r="R124" s="499"/>
      <c r="S124" s="498"/>
      <c r="T124" s="499"/>
      <c r="U124" s="498"/>
      <c r="V124" s="499"/>
      <c r="W124" s="498"/>
      <c r="X124" s="499"/>
      <c r="Y124" s="498"/>
      <c r="Z124" s="499"/>
      <c r="AA124" s="498"/>
      <c r="AB124" s="499"/>
      <c r="AC124" s="498"/>
      <c r="AD124" s="499"/>
      <c r="AE124" s="498"/>
      <c r="AF124" s="500"/>
      <c r="AG124" s="498"/>
      <c r="AH124" s="500"/>
      <c r="AI124" s="498"/>
      <c r="AJ124" s="500"/>
      <c r="AK124" s="498"/>
      <c r="AL124" s="500"/>
      <c r="AM124" s="501"/>
      <c r="AN124" s="500"/>
      <c r="AO124" s="498"/>
      <c r="AP124" s="500"/>
      <c r="AQ124" s="501"/>
      <c r="AR124" s="500"/>
      <c r="AS124" s="500"/>
      <c r="AT124" s="500"/>
      <c r="AU124" s="501"/>
      <c r="AV124" s="500"/>
      <c r="AW124" s="500"/>
      <c r="AX124" s="500"/>
      <c r="AY124" s="576"/>
      <c r="AZ124" s="576"/>
      <c r="BA124" s="576"/>
      <c r="BB124" s="576"/>
      <c r="BC124" s="576"/>
      <c r="BD124" s="576"/>
      <c r="BE124" s="576"/>
      <c r="BF124" s="576"/>
      <c r="BG124" s="576"/>
      <c r="BH124" s="576"/>
      <c r="BI124" s="576"/>
      <c r="BJ124" s="576"/>
      <c r="BK124" s="576"/>
      <c r="BL124" s="576"/>
      <c r="BM124" s="576"/>
      <c r="BN124" s="576"/>
      <c r="BO124" s="576"/>
      <c r="BP124" s="576"/>
      <c r="BQ124" s="576"/>
      <c r="BR124" s="576"/>
      <c r="BS124" s="576"/>
      <c r="BT124" s="576"/>
      <c r="BU124" s="576"/>
      <c r="BV124" s="576"/>
      <c r="BW124" s="576"/>
      <c r="BX124" s="576"/>
      <c r="BY124" s="576"/>
      <c r="BZ124" s="576"/>
      <c r="CA124" s="576"/>
      <c r="CB124" s="576"/>
      <c r="CC124" s="576"/>
      <c r="CD124" s="576"/>
      <c r="CE124" s="576"/>
      <c r="CF124" s="576"/>
      <c r="CG124" s="576"/>
      <c r="CH124" s="576"/>
      <c r="CI124" s="576"/>
      <c r="CJ124" s="576"/>
      <c r="CK124" s="576"/>
      <c r="CL124" s="576"/>
      <c r="CM124" s="576"/>
      <c r="CN124" s="576"/>
      <c r="CO124" s="576"/>
      <c r="CP124" s="576"/>
      <c r="CQ124" s="576"/>
      <c r="CR124" s="576"/>
      <c r="CS124" s="576"/>
      <c r="CT124" s="576"/>
      <c r="CU124" s="576"/>
      <c r="CV124" s="576"/>
      <c r="CW124" s="576"/>
      <c r="CX124" s="576"/>
      <c r="CY124" s="576"/>
      <c r="CZ124" s="576"/>
      <c r="DA124" s="576"/>
      <c r="DB124" s="576"/>
      <c r="DC124" s="576"/>
      <c r="DD124" s="576"/>
      <c r="DE124" s="576"/>
      <c r="DF124" s="576"/>
      <c r="DG124" s="576"/>
      <c r="DH124" s="116"/>
      <c r="DI124" s="112"/>
      <c r="DJ124">
        <f ca="1">INDIRECT(ADDRESS(ROW()+1,COLUMN(Arbeitszeit!xDay),,,"Arbeitszeit"))</f>
        <v>4</v>
      </c>
    </row>
    <row r="125" spans="1:114">
      <c r="A125" s="462">
        <f>Arbeitszeit!A126</f>
        <v>44954</v>
      </c>
      <c r="B125" s="463">
        <f t="shared" si="5"/>
        <v>44954</v>
      </c>
      <c r="C125" s="146">
        <f t="shared" si="6"/>
        <v>4</v>
      </c>
      <c r="D125" s="145">
        <f t="shared" si="7"/>
        <v>44926</v>
      </c>
      <c r="E125" s="510">
        <f>Arbeitszeit!V126*24</f>
        <v>0</v>
      </c>
      <c r="F125" s="574">
        <f t="shared" si="4"/>
        <v>0</v>
      </c>
      <c r="G125" s="113">
        <f>IF(Arbeitszeit!F126=Urlaub,B_WorkTime*24,)</f>
        <v>0</v>
      </c>
      <c r="H125" s="111"/>
      <c r="I125" s="113">
        <f>IF(Arbeitszeit!F126=Krank,B_WorkTime*24,)</f>
        <v>0</v>
      </c>
      <c r="J125" s="111"/>
      <c r="K125" s="114"/>
      <c r="L125" s="115"/>
      <c r="M125" s="498"/>
      <c r="N125" s="499"/>
      <c r="O125" s="498"/>
      <c r="P125" s="499"/>
      <c r="Q125" s="498"/>
      <c r="R125" s="499"/>
      <c r="S125" s="498"/>
      <c r="T125" s="499"/>
      <c r="U125" s="498"/>
      <c r="V125" s="499"/>
      <c r="W125" s="498"/>
      <c r="X125" s="499"/>
      <c r="Y125" s="498"/>
      <c r="Z125" s="499"/>
      <c r="AA125" s="498"/>
      <c r="AB125" s="499"/>
      <c r="AC125" s="498"/>
      <c r="AD125" s="499"/>
      <c r="AE125" s="498"/>
      <c r="AF125" s="500"/>
      <c r="AG125" s="498"/>
      <c r="AH125" s="500"/>
      <c r="AI125" s="498"/>
      <c r="AJ125" s="500"/>
      <c r="AK125" s="498"/>
      <c r="AL125" s="500"/>
      <c r="AM125" s="501"/>
      <c r="AN125" s="500"/>
      <c r="AO125" s="498"/>
      <c r="AP125" s="500"/>
      <c r="AQ125" s="501"/>
      <c r="AR125" s="500"/>
      <c r="AS125" s="500"/>
      <c r="AT125" s="500"/>
      <c r="AU125" s="501"/>
      <c r="AV125" s="500"/>
      <c r="AW125" s="500"/>
      <c r="AX125" s="500"/>
      <c r="AY125" s="576"/>
      <c r="AZ125" s="576"/>
      <c r="BA125" s="576"/>
      <c r="BB125" s="576"/>
      <c r="BC125" s="576"/>
      <c r="BD125" s="576"/>
      <c r="BE125" s="576"/>
      <c r="BF125" s="576"/>
      <c r="BG125" s="576"/>
      <c r="BH125" s="576"/>
      <c r="BI125" s="576"/>
      <c r="BJ125" s="576"/>
      <c r="BK125" s="576"/>
      <c r="BL125" s="576"/>
      <c r="BM125" s="576"/>
      <c r="BN125" s="576"/>
      <c r="BO125" s="576"/>
      <c r="BP125" s="576"/>
      <c r="BQ125" s="576"/>
      <c r="BR125" s="576"/>
      <c r="BS125" s="576"/>
      <c r="BT125" s="576"/>
      <c r="BU125" s="576"/>
      <c r="BV125" s="576"/>
      <c r="BW125" s="576"/>
      <c r="BX125" s="576"/>
      <c r="BY125" s="576"/>
      <c r="BZ125" s="576"/>
      <c r="CA125" s="576"/>
      <c r="CB125" s="576"/>
      <c r="CC125" s="576"/>
      <c r="CD125" s="576"/>
      <c r="CE125" s="576"/>
      <c r="CF125" s="576"/>
      <c r="CG125" s="576"/>
      <c r="CH125" s="576"/>
      <c r="CI125" s="576"/>
      <c r="CJ125" s="576"/>
      <c r="CK125" s="576"/>
      <c r="CL125" s="576"/>
      <c r="CM125" s="576"/>
      <c r="CN125" s="576"/>
      <c r="CO125" s="576"/>
      <c r="CP125" s="576"/>
      <c r="CQ125" s="576"/>
      <c r="CR125" s="576"/>
      <c r="CS125" s="576"/>
      <c r="CT125" s="576"/>
      <c r="CU125" s="576"/>
      <c r="CV125" s="576"/>
      <c r="CW125" s="576"/>
      <c r="CX125" s="576"/>
      <c r="CY125" s="576"/>
      <c r="CZ125" s="576"/>
      <c r="DA125" s="576"/>
      <c r="DB125" s="576"/>
      <c r="DC125" s="576"/>
      <c r="DD125" s="576"/>
      <c r="DE125" s="576"/>
      <c r="DF125" s="576"/>
      <c r="DG125" s="576"/>
      <c r="DH125" s="116"/>
      <c r="DI125" s="112"/>
      <c r="DJ125">
        <f ca="1">INDIRECT(ADDRESS(ROW()+1,COLUMN(Arbeitszeit!xDay),,,"Arbeitszeit"))</f>
        <v>5</v>
      </c>
    </row>
    <row r="126" spans="1:114">
      <c r="A126" s="462">
        <f>Arbeitszeit!A127</f>
        <v>44955</v>
      </c>
      <c r="B126" s="463">
        <f t="shared" si="5"/>
        <v>44955</v>
      </c>
      <c r="C126" s="146">
        <f t="shared" si="6"/>
        <v>4</v>
      </c>
      <c r="D126" s="145">
        <f t="shared" si="7"/>
        <v>44926</v>
      </c>
      <c r="E126" s="510">
        <f>Arbeitszeit!V127*24</f>
        <v>0</v>
      </c>
      <c r="F126" s="574">
        <f t="shared" si="4"/>
        <v>0</v>
      </c>
      <c r="G126" s="113">
        <f>IF(Arbeitszeit!F127=Urlaub,B_WorkTime*24,)</f>
        <v>0</v>
      </c>
      <c r="H126" s="111"/>
      <c r="I126" s="113">
        <f>IF(Arbeitszeit!F127=Krank,B_WorkTime*24,)</f>
        <v>0</v>
      </c>
      <c r="J126" s="111"/>
      <c r="K126" s="114"/>
      <c r="L126" s="115"/>
      <c r="M126" s="498"/>
      <c r="N126" s="499"/>
      <c r="O126" s="498"/>
      <c r="P126" s="499"/>
      <c r="Q126" s="498"/>
      <c r="R126" s="499"/>
      <c r="S126" s="498"/>
      <c r="T126" s="499"/>
      <c r="U126" s="498"/>
      <c r="V126" s="499"/>
      <c r="W126" s="498"/>
      <c r="X126" s="499"/>
      <c r="Y126" s="498"/>
      <c r="Z126" s="499"/>
      <c r="AA126" s="498"/>
      <c r="AB126" s="499"/>
      <c r="AC126" s="498"/>
      <c r="AD126" s="499"/>
      <c r="AE126" s="498"/>
      <c r="AF126" s="500"/>
      <c r="AG126" s="498"/>
      <c r="AH126" s="500"/>
      <c r="AI126" s="498"/>
      <c r="AJ126" s="500"/>
      <c r="AK126" s="498"/>
      <c r="AL126" s="500"/>
      <c r="AM126" s="501"/>
      <c r="AN126" s="500"/>
      <c r="AO126" s="498"/>
      <c r="AP126" s="500"/>
      <c r="AQ126" s="501"/>
      <c r="AR126" s="500"/>
      <c r="AS126" s="500"/>
      <c r="AT126" s="500"/>
      <c r="AU126" s="501"/>
      <c r="AV126" s="500"/>
      <c r="AW126" s="500"/>
      <c r="AX126" s="500"/>
      <c r="AY126" s="576"/>
      <c r="AZ126" s="576"/>
      <c r="BA126" s="576"/>
      <c r="BB126" s="576"/>
      <c r="BC126" s="576"/>
      <c r="BD126" s="576"/>
      <c r="BE126" s="576"/>
      <c r="BF126" s="576"/>
      <c r="BG126" s="576"/>
      <c r="BH126" s="576"/>
      <c r="BI126" s="576"/>
      <c r="BJ126" s="576"/>
      <c r="BK126" s="576"/>
      <c r="BL126" s="576"/>
      <c r="BM126" s="576"/>
      <c r="BN126" s="576"/>
      <c r="BO126" s="576"/>
      <c r="BP126" s="576"/>
      <c r="BQ126" s="576"/>
      <c r="BR126" s="576"/>
      <c r="BS126" s="576"/>
      <c r="BT126" s="576"/>
      <c r="BU126" s="576"/>
      <c r="BV126" s="576"/>
      <c r="BW126" s="576"/>
      <c r="BX126" s="576"/>
      <c r="BY126" s="576"/>
      <c r="BZ126" s="576"/>
      <c r="CA126" s="576"/>
      <c r="CB126" s="576"/>
      <c r="CC126" s="576"/>
      <c r="CD126" s="576"/>
      <c r="CE126" s="576"/>
      <c r="CF126" s="576"/>
      <c r="CG126" s="576"/>
      <c r="CH126" s="576"/>
      <c r="CI126" s="576"/>
      <c r="CJ126" s="576"/>
      <c r="CK126" s="576"/>
      <c r="CL126" s="576"/>
      <c r="CM126" s="576"/>
      <c r="CN126" s="576"/>
      <c r="CO126" s="576"/>
      <c r="CP126" s="576"/>
      <c r="CQ126" s="576"/>
      <c r="CR126" s="576"/>
      <c r="CS126" s="576"/>
      <c r="CT126" s="576"/>
      <c r="CU126" s="576"/>
      <c r="CV126" s="576"/>
      <c r="CW126" s="576"/>
      <c r="CX126" s="576"/>
      <c r="CY126" s="576"/>
      <c r="CZ126" s="576"/>
      <c r="DA126" s="576"/>
      <c r="DB126" s="576"/>
      <c r="DC126" s="576"/>
      <c r="DD126" s="576"/>
      <c r="DE126" s="576"/>
      <c r="DF126" s="576"/>
      <c r="DG126" s="576"/>
      <c r="DH126" s="116"/>
      <c r="DI126" s="112"/>
      <c r="DJ126">
        <f ca="1">INDIRECT(ADDRESS(ROW()+1,COLUMN(Arbeitszeit!xDay),,,"Arbeitszeit"))</f>
        <v>6</v>
      </c>
    </row>
    <row r="127" spans="1:114">
      <c r="A127" s="462">
        <f>Arbeitszeit!A128</f>
        <v>44956</v>
      </c>
      <c r="B127" s="463">
        <f t="shared" si="5"/>
        <v>44956</v>
      </c>
      <c r="C127" s="146">
        <f t="shared" si="6"/>
        <v>4</v>
      </c>
      <c r="D127" s="145">
        <f t="shared" si="7"/>
        <v>44926</v>
      </c>
      <c r="E127" s="510">
        <f>Arbeitszeit!V128*24</f>
        <v>0</v>
      </c>
      <c r="F127" s="574">
        <f t="shared" si="4"/>
        <v>0</v>
      </c>
      <c r="G127" s="113">
        <f>IF(Arbeitszeit!F128=Urlaub,B_WorkTime*24,)</f>
        <v>0</v>
      </c>
      <c r="H127" s="111"/>
      <c r="I127" s="113">
        <f>IF(Arbeitszeit!F128=Krank,B_WorkTime*24,)</f>
        <v>0</v>
      </c>
      <c r="J127" s="111"/>
      <c r="K127" s="114"/>
      <c r="L127" s="115"/>
      <c r="M127" s="498"/>
      <c r="N127" s="499"/>
      <c r="O127" s="498"/>
      <c r="P127" s="499"/>
      <c r="Q127" s="498"/>
      <c r="R127" s="499"/>
      <c r="S127" s="498"/>
      <c r="T127" s="499"/>
      <c r="U127" s="498"/>
      <c r="V127" s="499"/>
      <c r="W127" s="498"/>
      <c r="X127" s="499"/>
      <c r="Y127" s="498"/>
      <c r="Z127" s="499"/>
      <c r="AA127" s="498"/>
      <c r="AB127" s="499"/>
      <c r="AC127" s="498"/>
      <c r="AD127" s="499"/>
      <c r="AE127" s="498"/>
      <c r="AF127" s="500"/>
      <c r="AG127" s="498"/>
      <c r="AH127" s="500"/>
      <c r="AI127" s="498"/>
      <c r="AJ127" s="500"/>
      <c r="AK127" s="498"/>
      <c r="AL127" s="500"/>
      <c r="AM127" s="501"/>
      <c r="AN127" s="500"/>
      <c r="AO127" s="498"/>
      <c r="AP127" s="500"/>
      <c r="AQ127" s="501"/>
      <c r="AR127" s="500"/>
      <c r="AS127" s="500"/>
      <c r="AT127" s="500"/>
      <c r="AU127" s="501"/>
      <c r="AV127" s="500"/>
      <c r="AW127" s="500"/>
      <c r="AX127" s="500"/>
      <c r="AY127" s="576"/>
      <c r="AZ127" s="576"/>
      <c r="BA127" s="576"/>
      <c r="BB127" s="576"/>
      <c r="BC127" s="576"/>
      <c r="BD127" s="576"/>
      <c r="BE127" s="576"/>
      <c r="BF127" s="576"/>
      <c r="BG127" s="576"/>
      <c r="BH127" s="576"/>
      <c r="BI127" s="576"/>
      <c r="BJ127" s="576"/>
      <c r="BK127" s="576"/>
      <c r="BL127" s="576"/>
      <c r="BM127" s="576"/>
      <c r="BN127" s="576"/>
      <c r="BO127" s="576"/>
      <c r="BP127" s="576"/>
      <c r="BQ127" s="576"/>
      <c r="BR127" s="576"/>
      <c r="BS127" s="576"/>
      <c r="BT127" s="576"/>
      <c r="BU127" s="576"/>
      <c r="BV127" s="576"/>
      <c r="BW127" s="576"/>
      <c r="BX127" s="576"/>
      <c r="BY127" s="576"/>
      <c r="BZ127" s="576"/>
      <c r="CA127" s="576"/>
      <c r="CB127" s="576"/>
      <c r="CC127" s="576"/>
      <c r="CD127" s="576"/>
      <c r="CE127" s="576"/>
      <c r="CF127" s="576"/>
      <c r="CG127" s="576"/>
      <c r="CH127" s="576"/>
      <c r="CI127" s="576"/>
      <c r="CJ127" s="576"/>
      <c r="CK127" s="576"/>
      <c r="CL127" s="576"/>
      <c r="CM127" s="576"/>
      <c r="CN127" s="576"/>
      <c r="CO127" s="576"/>
      <c r="CP127" s="576"/>
      <c r="CQ127" s="576"/>
      <c r="CR127" s="576"/>
      <c r="CS127" s="576"/>
      <c r="CT127" s="576"/>
      <c r="CU127" s="576"/>
      <c r="CV127" s="576"/>
      <c r="CW127" s="576"/>
      <c r="CX127" s="576"/>
      <c r="CY127" s="576"/>
      <c r="CZ127" s="576"/>
      <c r="DA127" s="576"/>
      <c r="DB127" s="576"/>
      <c r="DC127" s="576"/>
      <c r="DD127" s="576"/>
      <c r="DE127" s="576"/>
      <c r="DF127" s="576"/>
      <c r="DG127" s="576"/>
      <c r="DH127" s="116"/>
      <c r="DI127" s="112"/>
      <c r="DJ127">
        <f ca="1">INDIRECT(ADDRESS(ROW()+1,COLUMN(Arbeitszeit!xDay),,,"Arbeitszeit"))</f>
        <v>7</v>
      </c>
    </row>
    <row r="128" spans="1:114">
      <c r="A128" s="462">
        <f>Arbeitszeit!A129</f>
        <v>44957</v>
      </c>
      <c r="B128" s="463">
        <f t="shared" si="5"/>
        <v>44957</v>
      </c>
      <c r="C128" s="146">
        <f t="shared" si="6"/>
        <v>5</v>
      </c>
      <c r="D128" s="145">
        <f t="shared" si="7"/>
        <v>44957</v>
      </c>
      <c r="E128" s="510">
        <f>Arbeitszeit!V129*24</f>
        <v>0</v>
      </c>
      <c r="F128" s="574">
        <f t="shared" si="4"/>
        <v>0</v>
      </c>
      <c r="G128" s="113">
        <f>IF(Arbeitszeit!F129=Urlaub,B_WorkTime*24,)</f>
        <v>0</v>
      </c>
      <c r="H128" s="111"/>
      <c r="I128" s="113">
        <f>IF(Arbeitszeit!F129=Krank,B_WorkTime*24,)</f>
        <v>0</v>
      </c>
      <c r="J128" s="111"/>
      <c r="K128" s="114"/>
      <c r="L128" s="115"/>
      <c r="M128" s="498"/>
      <c r="N128" s="499"/>
      <c r="O128" s="498"/>
      <c r="P128" s="499"/>
      <c r="Q128" s="498"/>
      <c r="R128" s="499"/>
      <c r="S128" s="498"/>
      <c r="T128" s="499"/>
      <c r="U128" s="498"/>
      <c r="V128" s="499"/>
      <c r="W128" s="498"/>
      <c r="X128" s="499"/>
      <c r="Y128" s="498"/>
      <c r="Z128" s="499"/>
      <c r="AA128" s="498"/>
      <c r="AB128" s="499"/>
      <c r="AC128" s="498"/>
      <c r="AD128" s="499"/>
      <c r="AE128" s="498"/>
      <c r="AF128" s="500"/>
      <c r="AG128" s="498"/>
      <c r="AH128" s="500"/>
      <c r="AI128" s="498"/>
      <c r="AJ128" s="500"/>
      <c r="AK128" s="498"/>
      <c r="AL128" s="500"/>
      <c r="AM128" s="501"/>
      <c r="AN128" s="500"/>
      <c r="AO128" s="498"/>
      <c r="AP128" s="500"/>
      <c r="AQ128" s="501"/>
      <c r="AR128" s="500"/>
      <c r="AS128" s="500"/>
      <c r="AT128" s="500"/>
      <c r="AU128" s="501"/>
      <c r="AV128" s="500"/>
      <c r="AW128" s="500"/>
      <c r="AX128" s="500"/>
      <c r="AY128" s="576"/>
      <c r="AZ128" s="576"/>
      <c r="BA128" s="576"/>
      <c r="BB128" s="576"/>
      <c r="BC128" s="576"/>
      <c r="BD128" s="576"/>
      <c r="BE128" s="576"/>
      <c r="BF128" s="576"/>
      <c r="BG128" s="576"/>
      <c r="BH128" s="576"/>
      <c r="BI128" s="576"/>
      <c r="BJ128" s="576"/>
      <c r="BK128" s="576"/>
      <c r="BL128" s="576"/>
      <c r="BM128" s="576"/>
      <c r="BN128" s="576"/>
      <c r="BO128" s="576"/>
      <c r="BP128" s="576"/>
      <c r="BQ128" s="576"/>
      <c r="BR128" s="576"/>
      <c r="BS128" s="576"/>
      <c r="BT128" s="576"/>
      <c r="BU128" s="576"/>
      <c r="BV128" s="576"/>
      <c r="BW128" s="576"/>
      <c r="BX128" s="576"/>
      <c r="BY128" s="576"/>
      <c r="BZ128" s="576"/>
      <c r="CA128" s="576"/>
      <c r="CB128" s="576"/>
      <c r="CC128" s="576"/>
      <c r="CD128" s="576"/>
      <c r="CE128" s="576"/>
      <c r="CF128" s="576"/>
      <c r="CG128" s="576"/>
      <c r="CH128" s="576"/>
      <c r="CI128" s="576"/>
      <c r="CJ128" s="576"/>
      <c r="CK128" s="576"/>
      <c r="CL128" s="576"/>
      <c r="CM128" s="576"/>
      <c r="CN128" s="576"/>
      <c r="CO128" s="576"/>
      <c r="CP128" s="576"/>
      <c r="CQ128" s="576"/>
      <c r="CR128" s="576"/>
      <c r="CS128" s="576"/>
      <c r="CT128" s="576"/>
      <c r="CU128" s="576"/>
      <c r="CV128" s="576"/>
      <c r="CW128" s="576"/>
      <c r="CX128" s="576"/>
      <c r="CY128" s="576"/>
      <c r="CZ128" s="576"/>
      <c r="DA128" s="576"/>
      <c r="DB128" s="576"/>
      <c r="DC128" s="576"/>
      <c r="DD128" s="576"/>
      <c r="DE128" s="576"/>
      <c r="DF128" s="576"/>
      <c r="DG128" s="576"/>
      <c r="DH128" s="116"/>
      <c r="DI128" s="112"/>
      <c r="DJ128">
        <f ca="1">INDIRECT(ADDRESS(ROW()+1,COLUMN(Arbeitszeit!xDay),,,"Arbeitszeit"))</f>
        <v>1</v>
      </c>
    </row>
    <row r="129" spans="1:114">
      <c r="A129" s="462">
        <f>Arbeitszeit!A130</f>
        <v>44958</v>
      </c>
      <c r="B129" s="463">
        <f t="shared" si="5"/>
        <v>44958</v>
      </c>
      <c r="C129" s="146">
        <f t="shared" si="6"/>
        <v>5</v>
      </c>
      <c r="D129" s="145">
        <f t="shared" si="7"/>
        <v>44957</v>
      </c>
      <c r="E129" s="510">
        <f>Arbeitszeit!V130*24</f>
        <v>0</v>
      </c>
      <c r="F129" s="574">
        <f t="shared" si="4"/>
        <v>0</v>
      </c>
      <c r="G129" s="113">
        <f>IF(Arbeitszeit!F130=Urlaub,B_WorkTime*24,)</f>
        <v>0</v>
      </c>
      <c r="H129" s="111"/>
      <c r="I129" s="113">
        <f>IF(Arbeitszeit!F130=Krank,B_WorkTime*24,)</f>
        <v>0</v>
      </c>
      <c r="J129" s="111"/>
      <c r="K129" s="114"/>
      <c r="L129" s="115"/>
      <c r="M129" s="498"/>
      <c r="N129" s="499"/>
      <c r="O129" s="498"/>
      <c r="P129" s="499"/>
      <c r="Q129" s="498"/>
      <c r="R129" s="499"/>
      <c r="S129" s="498"/>
      <c r="T129" s="499"/>
      <c r="U129" s="498"/>
      <c r="V129" s="499"/>
      <c r="W129" s="498"/>
      <c r="X129" s="499"/>
      <c r="Y129" s="498"/>
      <c r="Z129" s="499"/>
      <c r="AA129" s="498"/>
      <c r="AB129" s="499"/>
      <c r="AC129" s="498"/>
      <c r="AD129" s="499"/>
      <c r="AE129" s="498"/>
      <c r="AF129" s="500"/>
      <c r="AG129" s="498"/>
      <c r="AH129" s="500"/>
      <c r="AI129" s="498"/>
      <c r="AJ129" s="500"/>
      <c r="AK129" s="498"/>
      <c r="AL129" s="500"/>
      <c r="AM129" s="501"/>
      <c r="AN129" s="500"/>
      <c r="AO129" s="498"/>
      <c r="AP129" s="500"/>
      <c r="AQ129" s="501"/>
      <c r="AR129" s="500"/>
      <c r="AS129" s="500"/>
      <c r="AT129" s="500"/>
      <c r="AU129" s="501"/>
      <c r="AV129" s="500"/>
      <c r="AW129" s="500"/>
      <c r="AX129" s="500"/>
      <c r="AY129" s="576"/>
      <c r="AZ129" s="576"/>
      <c r="BA129" s="576"/>
      <c r="BB129" s="576"/>
      <c r="BC129" s="576"/>
      <c r="BD129" s="576"/>
      <c r="BE129" s="576"/>
      <c r="BF129" s="576"/>
      <c r="BG129" s="576"/>
      <c r="BH129" s="576"/>
      <c r="BI129" s="576"/>
      <c r="BJ129" s="576"/>
      <c r="BK129" s="576"/>
      <c r="BL129" s="576"/>
      <c r="BM129" s="576"/>
      <c r="BN129" s="576"/>
      <c r="BO129" s="576"/>
      <c r="BP129" s="576"/>
      <c r="BQ129" s="576"/>
      <c r="BR129" s="576"/>
      <c r="BS129" s="576"/>
      <c r="BT129" s="576"/>
      <c r="BU129" s="576"/>
      <c r="BV129" s="576"/>
      <c r="BW129" s="576"/>
      <c r="BX129" s="576"/>
      <c r="BY129" s="576"/>
      <c r="BZ129" s="576"/>
      <c r="CA129" s="576"/>
      <c r="CB129" s="576"/>
      <c r="CC129" s="576"/>
      <c r="CD129" s="576"/>
      <c r="CE129" s="576"/>
      <c r="CF129" s="576"/>
      <c r="CG129" s="576"/>
      <c r="CH129" s="576"/>
      <c r="CI129" s="576"/>
      <c r="CJ129" s="576"/>
      <c r="CK129" s="576"/>
      <c r="CL129" s="576"/>
      <c r="CM129" s="576"/>
      <c r="CN129" s="576"/>
      <c r="CO129" s="576"/>
      <c r="CP129" s="576"/>
      <c r="CQ129" s="576"/>
      <c r="CR129" s="576"/>
      <c r="CS129" s="576"/>
      <c r="CT129" s="576"/>
      <c r="CU129" s="576"/>
      <c r="CV129" s="576"/>
      <c r="CW129" s="576"/>
      <c r="CX129" s="576"/>
      <c r="CY129" s="576"/>
      <c r="CZ129" s="576"/>
      <c r="DA129" s="576"/>
      <c r="DB129" s="576"/>
      <c r="DC129" s="576"/>
      <c r="DD129" s="576"/>
      <c r="DE129" s="576"/>
      <c r="DF129" s="576"/>
      <c r="DG129" s="576"/>
      <c r="DH129" s="116"/>
      <c r="DI129" s="112"/>
      <c r="DJ129">
        <f ca="1">INDIRECT(ADDRESS(ROW()+1,COLUMN(Arbeitszeit!xDay),,,"Arbeitszeit"))</f>
        <v>2</v>
      </c>
    </row>
    <row r="130" spans="1:114">
      <c r="A130" s="462">
        <f>Arbeitszeit!A131</f>
        <v>44959</v>
      </c>
      <c r="B130" s="463">
        <f t="shared" si="5"/>
        <v>44959</v>
      </c>
      <c r="C130" s="146">
        <f t="shared" si="6"/>
        <v>5</v>
      </c>
      <c r="D130" s="145">
        <f t="shared" si="7"/>
        <v>44957</v>
      </c>
      <c r="E130" s="510">
        <f>Arbeitszeit!V131*24</f>
        <v>0</v>
      </c>
      <c r="F130" s="574">
        <f t="shared" si="4"/>
        <v>0</v>
      </c>
      <c r="G130" s="113">
        <f>IF(Arbeitszeit!F131=Urlaub,B_WorkTime*24,)</f>
        <v>0</v>
      </c>
      <c r="H130" s="111"/>
      <c r="I130" s="113">
        <f>IF(Arbeitszeit!F131=Krank,B_WorkTime*24,)</f>
        <v>0</v>
      </c>
      <c r="J130" s="111"/>
      <c r="K130" s="114"/>
      <c r="L130" s="115"/>
      <c r="M130" s="498"/>
      <c r="N130" s="499"/>
      <c r="O130" s="498"/>
      <c r="P130" s="499"/>
      <c r="Q130" s="498"/>
      <c r="R130" s="499"/>
      <c r="S130" s="498"/>
      <c r="T130" s="499"/>
      <c r="U130" s="498"/>
      <c r="V130" s="499"/>
      <c r="W130" s="498"/>
      <c r="X130" s="499"/>
      <c r="Y130" s="498"/>
      <c r="Z130" s="499"/>
      <c r="AA130" s="498"/>
      <c r="AB130" s="499"/>
      <c r="AC130" s="498"/>
      <c r="AD130" s="499"/>
      <c r="AE130" s="498"/>
      <c r="AF130" s="500"/>
      <c r="AG130" s="498"/>
      <c r="AH130" s="500"/>
      <c r="AI130" s="498"/>
      <c r="AJ130" s="500"/>
      <c r="AK130" s="498"/>
      <c r="AL130" s="500"/>
      <c r="AM130" s="501"/>
      <c r="AN130" s="500"/>
      <c r="AO130" s="498"/>
      <c r="AP130" s="500"/>
      <c r="AQ130" s="501"/>
      <c r="AR130" s="500"/>
      <c r="AS130" s="500"/>
      <c r="AT130" s="500"/>
      <c r="AU130" s="501"/>
      <c r="AV130" s="500"/>
      <c r="AW130" s="500"/>
      <c r="AX130" s="500"/>
      <c r="AY130" s="576"/>
      <c r="AZ130" s="576"/>
      <c r="BA130" s="576"/>
      <c r="BB130" s="576"/>
      <c r="BC130" s="576"/>
      <c r="BD130" s="576"/>
      <c r="BE130" s="576"/>
      <c r="BF130" s="576"/>
      <c r="BG130" s="576"/>
      <c r="BH130" s="576"/>
      <c r="BI130" s="576"/>
      <c r="BJ130" s="576"/>
      <c r="BK130" s="576"/>
      <c r="BL130" s="576"/>
      <c r="BM130" s="576"/>
      <c r="BN130" s="576"/>
      <c r="BO130" s="576"/>
      <c r="BP130" s="576"/>
      <c r="BQ130" s="576"/>
      <c r="BR130" s="576"/>
      <c r="BS130" s="576"/>
      <c r="BT130" s="576"/>
      <c r="BU130" s="576"/>
      <c r="BV130" s="576"/>
      <c r="BW130" s="576"/>
      <c r="BX130" s="576"/>
      <c r="BY130" s="576"/>
      <c r="BZ130" s="576"/>
      <c r="CA130" s="576"/>
      <c r="CB130" s="576"/>
      <c r="CC130" s="576"/>
      <c r="CD130" s="576"/>
      <c r="CE130" s="576"/>
      <c r="CF130" s="576"/>
      <c r="CG130" s="576"/>
      <c r="CH130" s="576"/>
      <c r="CI130" s="576"/>
      <c r="CJ130" s="576"/>
      <c r="CK130" s="576"/>
      <c r="CL130" s="576"/>
      <c r="CM130" s="576"/>
      <c r="CN130" s="576"/>
      <c r="CO130" s="576"/>
      <c r="CP130" s="576"/>
      <c r="CQ130" s="576"/>
      <c r="CR130" s="576"/>
      <c r="CS130" s="576"/>
      <c r="CT130" s="576"/>
      <c r="CU130" s="576"/>
      <c r="CV130" s="576"/>
      <c r="CW130" s="576"/>
      <c r="CX130" s="576"/>
      <c r="CY130" s="576"/>
      <c r="CZ130" s="576"/>
      <c r="DA130" s="576"/>
      <c r="DB130" s="576"/>
      <c r="DC130" s="576"/>
      <c r="DD130" s="576"/>
      <c r="DE130" s="576"/>
      <c r="DF130" s="576"/>
      <c r="DG130" s="576"/>
      <c r="DH130" s="116"/>
      <c r="DI130" s="112"/>
      <c r="DJ130">
        <f ca="1">INDIRECT(ADDRESS(ROW()+1,COLUMN(Arbeitszeit!xDay),,,"Arbeitszeit"))</f>
        <v>3</v>
      </c>
    </row>
    <row r="131" spans="1:114">
      <c r="A131" s="462">
        <f>Arbeitszeit!A132</f>
        <v>44960</v>
      </c>
      <c r="B131" s="463">
        <f t="shared" si="5"/>
        <v>44960</v>
      </c>
      <c r="C131" s="146">
        <f t="shared" si="6"/>
        <v>5</v>
      </c>
      <c r="D131" s="145">
        <f t="shared" si="7"/>
        <v>44957</v>
      </c>
      <c r="E131" s="510">
        <f>Arbeitszeit!V132*24</f>
        <v>0</v>
      </c>
      <c r="F131" s="574">
        <f t="shared" si="4"/>
        <v>0</v>
      </c>
      <c r="G131" s="113">
        <f>IF(Arbeitszeit!F132=Urlaub,B_WorkTime*24,)</f>
        <v>0</v>
      </c>
      <c r="H131" s="111"/>
      <c r="I131" s="113">
        <f>IF(Arbeitszeit!F132=Krank,B_WorkTime*24,)</f>
        <v>0</v>
      </c>
      <c r="J131" s="111"/>
      <c r="K131" s="114"/>
      <c r="L131" s="115"/>
      <c r="M131" s="498"/>
      <c r="N131" s="499"/>
      <c r="O131" s="498"/>
      <c r="P131" s="499"/>
      <c r="Q131" s="498"/>
      <c r="R131" s="499"/>
      <c r="S131" s="498"/>
      <c r="T131" s="499"/>
      <c r="U131" s="498"/>
      <c r="V131" s="499"/>
      <c r="W131" s="498"/>
      <c r="X131" s="499"/>
      <c r="Y131" s="498"/>
      <c r="Z131" s="499"/>
      <c r="AA131" s="498"/>
      <c r="AB131" s="499"/>
      <c r="AC131" s="498"/>
      <c r="AD131" s="499"/>
      <c r="AE131" s="498"/>
      <c r="AF131" s="500"/>
      <c r="AG131" s="498"/>
      <c r="AH131" s="500"/>
      <c r="AI131" s="498"/>
      <c r="AJ131" s="500"/>
      <c r="AK131" s="498"/>
      <c r="AL131" s="500"/>
      <c r="AM131" s="501"/>
      <c r="AN131" s="500"/>
      <c r="AO131" s="498"/>
      <c r="AP131" s="500"/>
      <c r="AQ131" s="501"/>
      <c r="AR131" s="500"/>
      <c r="AS131" s="500"/>
      <c r="AT131" s="500"/>
      <c r="AU131" s="501"/>
      <c r="AV131" s="500"/>
      <c r="AW131" s="500"/>
      <c r="AX131" s="500"/>
      <c r="AY131" s="576"/>
      <c r="AZ131" s="576"/>
      <c r="BA131" s="576"/>
      <c r="BB131" s="576"/>
      <c r="BC131" s="576"/>
      <c r="BD131" s="576"/>
      <c r="BE131" s="576"/>
      <c r="BF131" s="576"/>
      <c r="BG131" s="576"/>
      <c r="BH131" s="576"/>
      <c r="BI131" s="576"/>
      <c r="BJ131" s="576"/>
      <c r="BK131" s="576"/>
      <c r="BL131" s="576"/>
      <c r="BM131" s="576"/>
      <c r="BN131" s="576"/>
      <c r="BO131" s="576"/>
      <c r="BP131" s="576"/>
      <c r="BQ131" s="576"/>
      <c r="BR131" s="576"/>
      <c r="BS131" s="576"/>
      <c r="BT131" s="576"/>
      <c r="BU131" s="576"/>
      <c r="BV131" s="576"/>
      <c r="BW131" s="576"/>
      <c r="BX131" s="576"/>
      <c r="BY131" s="576"/>
      <c r="BZ131" s="576"/>
      <c r="CA131" s="576"/>
      <c r="CB131" s="576"/>
      <c r="CC131" s="576"/>
      <c r="CD131" s="576"/>
      <c r="CE131" s="576"/>
      <c r="CF131" s="576"/>
      <c r="CG131" s="576"/>
      <c r="CH131" s="576"/>
      <c r="CI131" s="576"/>
      <c r="CJ131" s="576"/>
      <c r="CK131" s="576"/>
      <c r="CL131" s="576"/>
      <c r="CM131" s="576"/>
      <c r="CN131" s="576"/>
      <c r="CO131" s="576"/>
      <c r="CP131" s="576"/>
      <c r="CQ131" s="576"/>
      <c r="CR131" s="576"/>
      <c r="CS131" s="576"/>
      <c r="CT131" s="576"/>
      <c r="CU131" s="576"/>
      <c r="CV131" s="576"/>
      <c r="CW131" s="576"/>
      <c r="CX131" s="576"/>
      <c r="CY131" s="576"/>
      <c r="CZ131" s="576"/>
      <c r="DA131" s="576"/>
      <c r="DB131" s="576"/>
      <c r="DC131" s="576"/>
      <c r="DD131" s="576"/>
      <c r="DE131" s="576"/>
      <c r="DF131" s="576"/>
      <c r="DG131" s="576"/>
      <c r="DH131" s="116"/>
      <c r="DI131" s="112"/>
      <c r="DJ131">
        <f ca="1">INDIRECT(ADDRESS(ROW()+1,COLUMN(Arbeitszeit!xDay),,,"Arbeitszeit"))</f>
        <v>4</v>
      </c>
    </row>
    <row r="132" spans="1:114">
      <c r="A132" s="462">
        <f>Arbeitszeit!A133</f>
        <v>44961</v>
      </c>
      <c r="B132" s="463">
        <f t="shared" si="5"/>
        <v>44961</v>
      </c>
      <c r="C132" s="146">
        <f t="shared" si="6"/>
        <v>5</v>
      </c>
      <c r="D132" s="145">
        <f t="shared" si="7"/>
        <v>44957</v>
      </c>
      <c r="E132" s="510">
        <f>Arbeitszeit!V133*24</f>
        <v>0</v>
      </c>
      <c r="F132" s="574">
        <f t="shared" si="4"/>
        <v>0</v>
      </c>
      <c r="G132" s="113">
        <f>IF(Arbeitszeit!F133=Urlaub,B_WorkTime*24,)</f>
        <v>0</v>
      </c>
      <c r="H132" s="111"/>
      <c r="I132" s="113">
        <f>IF(Arbeitszeit!F133=Krank,B_WorkTime*24,)</f>
        <v>0</v>
      </c>
      <c r="J132" s="111"/>
      <c r="K132" s="114"/>
      <c r="L132" s="115"/>
      <c r="M132" s="498"/>
      <c r="N132" s="499"/>
      <c r="O132" s="498"/>
      <c r="P132" s="499"/>
      <c r="Q132" s="498"/>
      <c r="R132" s="499"/>
      <c r="S132" s="498"/>
      <c r="T132" s="499"/>
      <c r="U132" s="498"/>
      <c r="V132" s="499"/>
      <c r="W132" s="498"/>
      <c r="X132" s="499"/>
      <c r="Y132" s="498"/>
      <c r="Z132" s="499"/>
      <c r="AA132" s="498"/>
      <c r="AB132" s="499"/>
      <c r="AC132" s="498"/>
      <c r="AD132" s="499"/>
      <c r="AE132" s="498"/>
      <c r="AF132" s="500"/>
      <c r="AG132" s="498"/>
      <c r="AH132" s="500"/>
      <c r="AI132" s="498"/>
      <c r="AJ132" s="500"/>
      <c r="AK132" s="498"/>
      <c r="AL132" s="500"/>
      <c r="AM132" s="501"/>
      <c r="AN132" s="500"/>
      <c r="AO132" s="498"/>
      <c r="AP132" s="500"/>
      <c r="AQ132" s="501"/>
      <c r="AR132" s="500"/>
      <c r="AS132" s="500"/>
      <c r="AT132" s="500"/>
      <c r="AU132" s="501"/>
      <c r="AV132" s="500"/>
      <c r="AW132" s="500"/>
      <c r="AX132" s="500"/>
      <c r="AY132" s="576"/>
      <c r="AZ132" s="576"/>
      <c r="BA132" s="576"/>
      <c r="BB132" s="576"/>
      <c r="BC132" s="576"/>
      <c r="BD132" s="576"/>
      <c r="BE132" s="576"/>
      <c r="BF132" s="576"/>
      <c r="BG132" s="576"/>
      <c r="BH132" s="576"/>
      <c r="BI132" s="576"/>
      <c r="BJ132" s="576"/>
      <c r="BK132" s="576"/>
      <c r="BL132" s="576"/>
      <c r="BM132" s="576"/>
      <c r="BN132" s="576"/>
      <c r="BO132" s="576"/>
      <c r="BP132" s="576"/>
      <c r="BQ132" s="576"/>
      <c r="BR132" s="576"/>
      <c r="BS132" s="576"/>
      <c r="BT132" s="576"/>
      <c r="BU132" s="576"/>
      <c r="BV132" s="576"/>
      <c r="BW132" s="576"/>
      <c r="BX132" s="576"/>
      <c r="BY132" s="576"/>
      <c r="BZ132" s="576"/>
      <c r="CA132" s="576"/>
      <c r="CB132" s="576"/>
      <c r="CC132" s="576"/>
      <c r="CD132" s="576"/>
      <c r="CE132" s="576"/>
      <c r="CF132" s="576"/>
      <c r="CG132" s="576"/>
      <c r="CH132" s="576"/>
      <c r="CI132" s="576"/>
      <c r="CJ132" s="576"/>
      <c r="CK132" s="576"/>
      <c r="CL132" s="576"/>
      <c r="CM132" s="576"/>
      <c r="CN132" s="576"/>
      <c r="CO132" s="576"/>
      <c r="CP132" s="576"/>
      <c r="CQ132" s="576"/>
      <c r="CR132" s="576"/>
      <c r="CS132" s="576"/>
      <c r="CT132" s="576"/>
      <c r="CU132" s="576"/>
      <c r="CV132" s="576"/>
      <c r="CW132" s="576"/>
      <c r="CX132" s="576"/>
      <c r="CY132" s="576"/>
      <c r="CZ132" s="576"/>
      <c r="DA132" s="576"/>
      <c r="DB132" s="576"/>
      <c r="DC132" s="576"/>
      <c r="DD132" s="576"/>
      <c r="DE132" s="576"/>
      <c r="DF132" s="576"/>
      <c r="DG132" s="576"/>
      <c r="DH132" s="116"/>
      <c r="DI132" s="112"/>
      <c r="DJ132">
        <f ca="1">INDIRECT(ADDRESS(ROW()+1,COLUMN(Arbeitszeit!xDay),,,"Arbeitszeit"))</f>
        <v>5</v>
      </c>
    </row>
    <row r="133" spans="1:114">
      <c r="A133" s="462">
        <f>Arbeitszeit!A134</f>
        <v>44962</v>
      </c>
      <c r="B133" s="463">
        <f t="shared" si="5"/>
        <v>44962</v>
      </c>
      <c r="C133" s="146">
        <f t="shared" si="6"/>
        <v>5</v>
      </c>
      <c r="D133" s="145">
        <f t="shared" si="7"/>
        <v>44957</v>
      </c>
      <c r="E133" s="510">
        <f>Arbeitszeit!V134*24</f>
        <v>0</v>
      </c>
      <c r="F133" s="574">
        <f t="shared" ref="F133:F196" si="8">ROUND(E133-SUM(K133:DG133),2)</f>
        <v>0</v>
      </c>
      <c r="G133" s="113">
        <f>IF(Arbeitszeit!F134=Urlaub,B_WorkTime*24,)</f>
        <v>0</v>
      </c>
      <c r="H133" s="111"/>
      <c r="I133" s="113">
        <f>IF(Arbeitszeit!F134=Krank,B_WorkTime*24,)</f>
        <v>0</v>
      </c>
      <c r="J133" s="111"/>
      <c r="K133" s="114"/>
      <c r="L133" s="115"/>
      <c r="M133" s="498"/>
      <c r="N133" s="499"/>
      <c r="O133" s="498"/>
      <c r="P133" s="499"/>
      <c r="Q133" s="498"/>
      <c r="R133" s="499"/>
      <c r="S133" s="498"/>
      <c r="T133" s="499"/>
      <c r="U133" s="498"/>
      <c r="V133" s="499"/>
      <c r="W133" s="498"/>
      <c r="X133" s="499"/>
      <c r="Y133" s="498"/>
      <c r="Z133" s="499"/>
      <c r="AA133" s="498"/>
      <c r="AB133" s="499"/>
      <c r="AC133" s="498"/>
      <c r="AD133" s="499"/>
      <c r="AE133" s="498"/>
      <c r="AF133" s="500"/>
      <c r="AG133" s="498"/>
      <c r="AH133" s="500"/>
      <c r="AI133" s="498"/>
      <c r="AJ133" s="500"/>
      <c r="AK133" s="498"/>
      <c r="AL133" s="500"/>
      <c r="AM133" s="501"/>
      <c r="AN133" s="500"/>
      <c r="AO133" s="498"/>
      <c r="AP133" s="500"/>
      <c r="AQ133" s="501"/>
      <c r="AR133" s="500"/>
      <c r="AS133" s="500"/>
      <c r="AT133" s="500"/>
      <c r="AU133" s="501"/>
      <c r="AV133" s="500"/>
      <c r="AW133" s="500"/>
      <c r="AX133" s="500"/>
      <c r="AY133" s="576"/>
      <c r="AZ133" s="576"/>
      <c r="BA133" s="576"/>
      <c r="BB133" s="576"/>
      <c r="BC133" s="576"/>
      <c r="BD133" s="576"/>
      <c r="BE133" s="576"/>
      <c r="BF133" s="576"/>
      <c r="BG133" s="576"/>
      <c r="BH133" s="576"/>
      <c r="BI133" s="576"/>
      <c r="BJ133" s="576"/>
      <c r="BK133" s="576"/>
      <c r="BL133" s="576"/>
      <c r="BM133" s="576"/>
      <c r="BN133" s="576"/>
      <c r="BO133" s="576"/>
      <c r="BP133" s="576"/>
      <c r="BQ133" s="576"/>
      <c r="BR133" s="576"/>
      <c r="BS133" s="576"/>
      <c r="BT133" s="576"/>
      <c r="BU133" s="576"/>
      <c r="BV133" s="576"/>
      <c r="BW133" s="576"/>
      <c r="BX133" s="576"/>
      <c r="BY133" s="576"/>
      <c r="BZ133" s="576"/>
      <c r="CA133" s="576"/>
      <c r="CB133" s="576"/>
      <c r="CC133" s="576"/>
      <c r="CD133" s="576"/>
      <c r="CE133" s="576"/>
      <c r="CF133" s="576"/>
      <c r="CG133" s="576"/>
      <c r="CH133" s="576"/>
      <c r="CI133" s="576"/>
      <c r="CJ133" s="576"/>
      <c r="CK133" s="576"/>
      <c r="CL133" s="576"/>
      <c r="CM133" s="576"/>
      <c r="CN133" s="576"/>
      <c r="CO133" s="576"/>
      <c r="CP133" s="576"/>
      <c r="CQ133" s="576"/>
      <c r="CR133" s="576"/>
      <c r="CS133" s="576"/>
      <c r="CT133" s="576"/>
      <c r="CU133" s="576"/>
      <c r="CV133" s="576"/>
      <c r="CW133" s="576"/>
      <c r="CX133" s="576"/>
      <c r="CY133" s="576"/>
      <c r="CZ133" s="576"/>
      <c r="DA133" s="576"/>
      <c r="DB133" s="576"/>
      <c r="DC133" s="576"/>
      <c r="DD133" s="576"/>
      <c r="DE133" s="576"/>
      <c r="DF133" s="576"/>
      <c r="DG133" s="576"/>
      <c r="DH133" s="116"/>
      <c r="DI133" s="112"/>
      <c r="DJ133">
        <f ca="1">INDIRECT(ADDRESS(ROW()+1,COLUMN(Arbeitszeit!xDay),,,"Arbeitszeit"))</f>
        <v>6</v>
      </c>
    </row>
    <row r="134" spans="1:114">
      <c r="A134" s="462">
        <f>Arbeitszeit!A135</f>
        <v>44963</v>
      </c>
      <c r="B134" s="463">
        <f t="shared" ref="B134:B197" si="9">IF(A134="","",A134)</f>
        <v>44963</v>
      </c>
      <c r="C134" s="146">
        <f t="shared" si="6"/>
        <v>5</v>
      </c>
      <c r="D134" s="145">
        <f t="shared" si="7"/>
        <v>44957</v>
      </c>
      <c r="E134" s="510">
        <f>Arbeitszeit!V135*24</f>
        <v>0</v>
      </c>
      <c r="F134" s="574">
        <f t="shared" si="8"/>
        <v>0</v>
      </c>
      <c r="G134" s="113">
        <f>IF(Arbeitszeit!F135=Urlaub,B_WorkTime*24,)</f>
        <v>0</v>
      </c>
      <c r="H134" s="111"/>
      <c r="I134" s="113">
        <f>IF(Arbeitszeit!F135=Krank,B_WorkTime*24,)</f>
        <v>0</v>
      </c>
      <c r="J134" s="111"/>
      <c r="K134" s="114"/>
      <c r="L134" s="115"/>
      <c r="M134" s="498"/>
      <c r="N134" s="499"/>
      <c r="O134" s="498"/>
      <c r="P134" s="499"/>
      <c r="Q134" s="498"/>
      <c r="R134" s="499"/>
      <c r="S134" s="498"/>
      <c r="T134" s="499"/>
      <c r="U134" s="498"/>
      <c r="V134" s="499"/>
      <c r="W134" s="498"/>
      <c r="X134" s="499"/>
      <c r="Y134" s="498"/>
      <c r="Z134" s="499"/>
      <c r="AA134" s="498"/>
      <c r="AB134" s="499"/>
      <c r="AC134" s="498"/>
      <c r="AD134" s="499"/>
      <c r="AE134" s="498"/>
      <c r="AF134" s="500"/>
      <c r="AG134" s="498"/>
      <c r="AH134" s="500"/>
      <c r="AI134" s="498"/>
      <c r="AJ134" s="500"/>
      <c r="AK134" s="498"/>
      <c r="AL134" s="500"/>
      <c r="AM134" s="501"/>
      <c r="AN134" s="500"/>
      <c r="AO134" s="498"/>
      <c r="AP134" s="500"/>
      <c r="AQ134" s="501"/>
      <c r="AR134" s="500"/>
      <c r="AS134" s="500"/>
      <c r="AT134" s="500"/>
      <c r="AU134" s="501"/>
      <c r="AV134" s="500"/>
      <c r="AW134" s="500"/>
      <c r="AX134" s="500"/>
      <c r="AY134" s="576"/>
      <c r="AZ134" s="576"/>
      <c r="BA134" s="576"/>
      <c r="BB134" s="576"/>
      <c r="BC134" s="576"/>
      <c r="BD134" s="576"/>
      <c r="BE134" s="576"/>
      <c r="BF134" s="576"/>
      <c r="BG134" s="576"/>
      <c r="BH134" s="576"/>
      <c r="BI134" s="576"/>
      <c r="BJ134" s="576"/>
      <c r="BK134" s="576"/>
      <c r="BL134" s="576"/>
      <c r="BM134" s="576"/>
      <c r="BN134" s="576"/>
      <c r="BO134" s="576"/>
      <c r="BP134" s="576"/>
      <c r="BQ134" s="576"/>
      <c r="BR134" s="576"/>
      <c r="BS134" s="576"/>
      <c r="BT134" s="576"/>
      <c r="BU134" s="576"/>
      <c r="BV134" s="576"/>
      <c r="BW134" s="576"/>
      <c r="BX134" s="576"/>
      <c r="BY134" s="576"/>
      <c r="BZ134" s="576"/>
      <c r="CA134" s="576"/>
      <c r="CB134" s="576"/>
      <c r="CC134" s="576"/>
      <c r="CD134" s="576"/>
      <c r="CE134" s="576"/>
      <c r="CF134" s="576"/>
      <c r="CG134" s="576"/>
      <c r="CH134" s="576"/>
      <c r="CI134" s="576"/>
      <c r="CJ134" s="576"/>
      <c r="CK134" s="576"/>
      <c r="CL134" s="576"/>
      <c r="CM134" s="576"/>
      <c r="CN134" s="576"/>
      <c r="CO134" s="576"/>
      <c r="CP134" s="576"/>
      <c r="CQ134" s="576"/>
      <c r="CR134" s="576"/>
      <c r="CS134" s="576"/>
      <c r="CT134" s="576"/>
      <c r="CU134" s="576"/>
      <c r="CV134" s="576"/>
      <c r="CW134" s="576"/>
      <c r="CX134" s="576"/>
      <c r="CY134" s="576"/>
      <c r="CZ134" s="576"/>
      <c r="DA134" s="576"/>
      <c r="DB134" s="576"/>
      <c r="DC134" s="576"/>
      <c r="DD134" s="576"/>
      <c r="DE134" s="576"/>
      <c r="DF134" s="576"/>
      <c r="DG134" s="576"/>
      <c r="DH134" s="116"/>
      <c r="DI134" s="112"/>
      <c r="DJ134">
        <f ca="1">INDIRECT(ADDRESS(ROW()+1,COLUMN(Arbeitszeit!xDay),,,"Arbeitszeit"))</f>
        <v>7</v>
      </c>
    </row>
    <row r="135" spans="1:114">
      <c r="A135" s="462">
        <f>Arbeitszeit!A136</f>
        <v>44964</v>
      </c>
      <c r="B135" s="463">
        <f t="shared" si="9"/>
        <v>44964</v>
      </c>
      <c r="C135" s="146">
        <f t="shared" ref="C135:C198" si="10">IF(A135="","",NumberOfWeek(A135))</f>
        <v>6</v>
      </c>
      <c r="D135" s="145">
        <f t="shared" ref="D135:D198" si="11">IF(A135="","",DATE(YEAR(A135),MONTH(A135),1))</f>
        <v>44957</v>
      </c>
      <c r="E135" s="510">
        <f>Arbeitszeit!V136*24</f>
        <v>0</v>
      </c>
      <c r="F135" s="574">
        <f t="shared" si="8"/>
        <v>0</v>
      </c>
      <c r="G135" s="113">
        <f>IF(Arbeitszeit!F136=Urlaub,B_WorkTime*24,)</f>
        <v>0</v>
      </c>
      <c r="H135" s="111"/>
      <c r="I135" s="113">
        <f>IF(Arbeitszeit!F136=Krank,B_WorkTime*24,)</f>
        <v>0</v>
      </c>
      <c r="J135" s="111"/>
      <c r="K135" s="114"/>
      <c r="L135" s="115"/>
      <c r="M135" s="498"/>
      <c r="N135" s="499"/>
      <c r="O135" s="498"/>
      <c r="P135" s="499"/>
      <c r="Q135" s="498"/>
      <c r="R135" s="499"/>
      <c r="S135" s="498"/>
      <c r="T135" s="499"/>
      <c r="U135" s="498"/>
      <c r="V135" s="499"/>
      <c r="W135" s="498"/>
      <c r="X135" s="499"/>
      <c r="Y135" s="498"/>
      <c r="Z135" s="499"/>
      <c r="AA135" s="498"/>
      <c r="AB135" s="499"/>
      <c r="AC135" s="498"/>
      <c r="AD135" s="499"/>
      <c r="AE135" s="498"/>
      <c r="AF135" s="500"/>
      <c r="AG135" s="498"/>
      <c r="AH135" s="500"/>
      <c r="AI135" s="498"/>
      <c r="AJ135" s="500"/>
      <c r="AK135" s="498"/>
      <c r="AL135" s="500"/>
      <c r="AM135" s="501"/>
      <c r="AN135" s="500"/>
      <c r="AO135" s="498"/>
      <c r="AP135" s="500"/>
      <c r="AQ135" s="501"/>
      <c r="AR135" s="500"/>
      <c r="AS135" s="500"/>
      <c r="AT135" s="500"/>
      <c r="AU135" s="501"/>
      <c r="AV135" s="500"/>
      <c r="AW135" s="500"/>
      <c r="AX135" s="500"/>
      <c r="AY135" s="576"/>
      <c r="AZ135" s="576"/>
      <c r="BA135" s="576"/>
      <c r="BB135" s="576"/>
      <c r="BC135" s="576"/>
      <c r="BD135" s="576"/>
      <c r="BE135" s="576"/>
      <c r="BF135" s="576"/>
      <c r="BG135" s="576"/>
      <c r="BH135" s="576"/>
      <c r="BI135" s="576"/>
      <c r="BJ135" s="576"/>
      <c r="BK135" s="576"/>
      <c r="BL135" s="576"/>
      <c r="BM135" s="576"/>
      <c r="BN135" s="576"/>
      <c r="BO135" s="576"/>
      <c r="BP135" s="576"/>
      <c r="BQ135" s="576"/>
      <c r="BR135" s="576"/>
      <c r="BS135" s="576"/>
      <c r="BT135" s="576"/>
      <c r="BU135" s="576"/>
      <c r="BV135" s="576"/>
      <c r="BW135" s="576"/>
      <c r="BX135" s="576"/>
      <c r="BY135" s="576"/>
      <c r="BZ135" s="576"/>
      <c r="CA135" s="576"/>
      <c r="CB135" s="576"/>
      <c r="CC135" s="576"/>
      <c r="CD135" s="576"/>
      <c r="CE135" s="576"/>
      <c r="CF135" s="576"/>
      <c r="CG135" s="576"/>
      <c r="CH135" s="576"/>
      <c r="CI135" s="576"/>
      <c r="CJ135" s="576"/>
      <c r="CK135" s="576"/>
      <c r="CL135" s="576"/>
      <c r="CM135" s="576"/>
      <c r="CN135" s="576"/>
      <c r="CO135" s="576"/>
      <c r="CP135" s="576"/>
      <c r="CQ135" s="576"/>
      <c r="CR135" s="576"/>
      <c r="CS135" s="576"/>
      <c r="CT135" s="576"/>
      <c r="CU135" s="576"/>
      <c r="CV135" s="576"/>
      <c r="CW135" s="576"/>
      <c r="CX135" s="576"/>
      <c r="CY135" s="576"/>
      <c r="CZ135" s="576"/>
      <c r="DA135" s="576"/>
      <c r="DB135" s="576"/>
      <c r="DC135" s="576"/>
      <c r="DD135" s="576"/>
      <c r="DE135" s="576"/>
      <c r="DF135" s="576"/>
      <c r="DG135" s="576"/>
      <c r="DH135" s="116"/>
      <c r="DI135" s="112"/>
      <c r="DJ135">
        <f ca="1">INDIRECT(ADDRESS(ROW()+1,COLUMN(Arbeitszeit!xDay),,,"Arbeitszeit"))</f>
        <v>1</v>
      </c>
    </row>
    <row r="136" spans="1:114">
      <c r="A136" s="462">
        <f>Arbeitszeit!A137</f>
        <v>44965</v>
      </c>
      <c r="B136" s="463">
        <f t="shared" si="9"/>
        <v>44965</v>
      </c>
      <c r="C136" s="146">
        <f t="shared" si="10"/>
        <v>6</v>
      </c>
      <c r="D136" s="145">
        <f t="shared" si="11"/>
        <v>44957</v>
      </c>
      <c r="E136" s="510">
        <f>Arbeitszeit!V137*24</f>
        <v>0</v>
      </c>
      <c r="F136" s="574">
        <f t="shared" si="8"/>
        <v>0</v>
      </c>
      <c r="G136" s="113">
        <f>IF(Arbeitszeit!F137=Urlaub,B_WorkTime*24,)</f>
        <v>0</v>
      </c>
      <c r="H136" s="111"/>
      <c r="I136" s="113">
        <f>IF(Arbeitszeit!F137=Krank,B_WorkTime*24,)</f>
        <v>0</v>
      </c>
      <c r="J136" s="111"/>
      <c r="K136" s="114"/>
      <c r="L136" s="115"/>
      <c r="M136" s="498"/>
      <c r="N136" s="499"/>
      <c r="O136" s="498"/>
      <c r="P136" s="499"/>
      <c r="Q136" s="498"/>
      <c r="R136" s="499"/>
      <c r="S136" s="498"/>
      <c r="T136" s="499"/>
      <c r="U136" s="498"/>
      <c r="V136" s="499"/>
      <c r="W136" s="498"/>
      <c r="X136" s="499"/>
      <c r="Y136" s="498"/>
      <c r="Z136" s="499"/>
      <c r="AA136" s="498"/>
      <c r="AB136" s="499"/>
      <c r="AC136" s="498"/>
      <c r="AD136" s="499"/>
      <c r="AE136" s="498"/>
      <c r="AF136" s="500"/>
      <c r="AG136" s="498"/>
      <c r="AH136" s="500"/>
      <c r="AI136" s="498"/>
      <c r="AJ136" s="500"/>
      <c r="AK136" s="498"/>
      <c r="AL136" s="500"/>
      <c r="AM136" s="501"/>
      <c r="AN136" s="500"/>
      <c r="AO136" s="498"/>
      <c r="AP136" s="500"/>
      <c r="AQ136" s="501"/>
      <c r="AR136" s="500"/>
      <c r="AS136" s="500"/>
      <c r="AT136" s="500"/>
      <c r="AU136" s="501"/>
      <c r="AV136" s="500"/>
      <c r="AW136" s="500"/>
      <c r="AX136" s="500"/>
      <c r="AY136" s="576"/>
      <c r="AZ136" s="576"/>
      <c r="BA136" s="576"/>
      <c r="BB136" s="576"/>
      <c r="BC136" s="576"/>
      <c r="BD136" s="576"/>
      <c r="BE136" s="576"/>
      <c r="BF136" s="576"/>
      <c r="BG136" s="576"/>
      <c r="BH136" s="576"/>
      <c r="BI136" s="576"/>
      <c r="BJ136" s="576"/>
      <c r="BK136" s="576"/>
      <c r="BL136" s="576"/>
      <c r="BM136" s="576"/>
      <c r="BN136" s="576"/>
      <c r="BO136" s="576"/>
      <c r="BP136" s="576"/>
      <c r="BQ136" s="576"/>
      <c r="BR136" s="576"/>
      <c r="BS136" s="576"/>
      <c r="BT136" s="576"/>
      <c r="BU136" s="576"/>
      <c r="BV136" s="576"/>
      <c r="BW136" s="576"/>
      <c r="BX136" s="576"/>
      <c r="BY136" s="576"/>
      <c r="BZ136" s="576"/>
      <c r="CA136" s="576"/>
      <c r="CB136" s="576"/>
      <c r="CC136" s="576"/>
      <c r="CD136" s="576"/>
      <c r="CE136" s="576"/>
      <c r="CF136" s="576"/>
      <c r="CG136" s="576"/>
      <c r="CH136" s="576"/>
      <c r="CI136" s="576"/>
      <c r="CJ136" s="576"/>
      <c r="CK136" s="576"/>
      <c r="CL136" s="576"/>
      <c r="CM136" s="576"/>
      <c r="CN136" s="576"/>
      <c r="CO136" s="576"/>
      <c r="CP136" s="576"/>
      <c r="CQ136" s="576"/>
      <c r="CR136" s="576"/>
      <c r="CS136" s="576"/>
      <c r="CT136" s="576"/>
      <c r="CU136" s="576"/>
      <c r="CV136" s="576"/>
      <c r="CW136" s="576"/>
      <c r="CX136" s="576"/>
      <c r="CY136" s="576"/>
      <c r="CZ136" s="576"/>
      <c r="DA136" s="576"/>
      <c r="DB136" s="576"/>
      <c r="DC136" s="576"/>
      <c r="DD136" s="576"/>
      <c r="DE136" s="576"/>
      <c r="DF136" s="576"/>
      <c r="DG136" s="576"/>
      <c r="DH136" s="116"/>
      <c r="DI136" s="112"/>
      <c r="DJ136">
        <f ca="1">INDIRECT(ADDRESS(ROW()+1,COLUMN(Arbeitszeit!xDay),,,"Arbeitszeit"))</f>
        <v>2</v>
      </c>
    </row>
    <row r="137" spans="1:114">
      <c r="A137" s="462">
        <f>Arbeitszeit!A138</f>
        <v>44966</v>
      </c>
      <c r="B137" s="463">
        <f t="shared" si="9"/>
        <v>44966</v>
      </c>
      <c r="C137" s="146">
        <f t="shared" si="10"/>
        <v>6</v>
      </c>
      <c r="D137" s="145">
        <f t="shared" si="11"/>
        <v>44957</v>
      </c>
      <c r="E137" s="510">
        <f>Arbeitszeit!V138*24</f>
        <v>0</v>
      </c>
      <c r="F137" s="574">
        <f t="shared" si="8"/>
        <v>0</v>
      </c>
      <c r="G137" s="113">
        <f>IF(Arbeitszeit!F138=Urlaub,B_WorkTime*24,)</f>
        <v>0</v>
      </c>
      <c r="H137" s="111"/>
      <c r="I137" s="113">
        <f>IF(Arbeitszeit!F138=Krank,B_WorkTime*24,)</f>
        <v>0</v>
      </c>
      <c r="J137" s="111"/>
      <c r="K137" s="114"/>
      <c r="L137" s="115"/>
      <c r="M137" s="498"/>
      <c r="N137" s="499"/>
      <c r="O137" s="498"/>
      <c r="P137" s="499"/>
      <c r="Q137" s="498"/>
      <c r="R137" s="499"/>
      <c r="S137" s="498"/>
      <c r="T137" s="499"/>
      <c r="U137" s="498"/>
      <c r="V137" s="499"/>
      <c r="W137" s="498"/>
      <c r="X137" s="499"/>
      <c r="Y137" s="498"/>
      <c r="Z137" s="499"/>
      <c r="AA137" s="498"/>
      <c r="AB137" s="499"/>
      <c r="AC137" s="498"/>
      <c r="AD137" s="499"/>
      <c r="AE137" s="498"/>
      <c r="AF137" s="500"/>
      <c r="AG137" s="498"/>
      <c r="AH137" s="500"/>
      <c r="AI137" s="498"/>
      <c r="AJ137" s="500"/>
      <c r="AK137" s="498"/>
      <c r="AL137" s="500"/>
      <c r="AM137" s="501"/>
      <c r="AN137" s="500"/>
      <c r="AO137" s="498"/>
      <c r="AP137" s="500"/>
      <c r="AQ137" s="501"/>
      <c r="AR137" s="500"/>
      <c r="AS137" s="500"/>
      <c r="AT137" s="500"/>
      <c r="AU137" s="501"/>
      <c r="AV137" s="500"/>
      <c r="AW137" s="500"/>
      <c r="AX137" s="500"/>
      <c r="AY137" s="576"/>
      <c r="AZ137" s="576"/>
      <c r="BA137" s="576"/>
      <c r="BB137" s="576"/>
      <c r="BC137" s="576"/>
      <c r="BD137" s="576"/>
      <c r="BE137" s="576"/>
      <c r="BF137" s="576"/>
      <c r="BG137" s="576"/>
      <c r="BH137" s="576"/>
      <c r="BI137" s="576"/>
      <c r="BJ137" s="576"/>
      <c r="BK137" s="576"/>
      <c r="BL137" s="576"/>
      <c r="BM137" s="576"/>
      <c r="BN137" s="576"/>
      <c r="BO137" s="576"/>
      <c r="BP137" s="576"/>
      <c r="BQ137" s="576"/>
      <c r="BR137" s="576"/>
      <c r="BS137" s="576"/>
      <c r="BT137" s="576"/>
      <c r="BU137" s="576"/>
      <c r="BV137" s="576"/>
      <c r="BW137" s="576"/>
      <c r="BX137" s="576"/>
      <c r="BY137" s="576"/>
      <c r="BZ137" s="576"/>
      <c r="CA137" s="576"/>
      <c r="CB137" s="576"/>
      <c r="CC137" s="576"/>
      <c r="CD137" s="576"/>
      <c r="CE137" s="576"/>
      <c r="CF137" s="576"/>
      <c r="CG137" s="576"/>
      <c r="CH137" s="576"/>
      <c r="CI137" s="576"/>
      <c r="CJ137" s="576"/>
      <c r="CK137" s="576"/>
      <c r="CL137" s="576"/>
      <c r="CM137" s="576"/>
      <c r="CN137" s="576"/>
      <c r="CO137" s="576"/>
      <c r="CP137" s="576"/>
      <c r="CQ137" s="576"/>
      <c r="CR137" s="576"/>
      <c r="CS137" s="576"/>
      <c r="CT137" s="576"/>
      <c r="CU137" s="576"/>
      <c r="CV137" s="576"/>
      <c r="CW137" s="576"/>
      <c r="CX137" s="576"/>
      <c r="CY137" s="576"/>
      <c r="CZ137" s="576"/>
      <c r="DA137" s="576"/>
      <c r="DB137" s="576"/>
      <c r="DC137" s="576"/>
      <c r="DD137" s="576"/>
      <c r="DE137" s="576"/>
      <c r="DF137" s="576"/>
      <c r="DG137" s="576"/>
      <c r="DH137" s="116"/>
      <c r="DI137" s="112"/>
      <c r="DJ137">
        <f ca="1">INDIRECT(ADDRESS(ROW()+1,COLUMN(Arbeitszeit!xDay),,,"Arbeitszeit"))</f>
        <v>3</v>
      </c>
    </row>
    <row r="138" spans="1:114">
      <c r="A138" s="462">
        <f>Arbeitszeit!A139</f>
        <v>44967</v>
      </c>
      <c r="B138" s="463">
        <f t="shared" si="9"/>
        <v>44967</v>
      </c>
      <c r="C138" s="146">
        <f t="shared" si="10"/>
        <v>6</v>
      </c>
      <c r="D138" s="145">
        <f t="shared" si="11"/>
        <v>44957</v>
      </c>
      <c r="E138" s="510">
        <f>Arbeitszeit!V139*24</f>
        <v>0</v>
      </c>
      <c r="F138" s="574">
        <f t="shared" si="8"/>
        <v>0</v>
      </c>
      <c r="G138" s="113">
        <f>IF(Arbeitszeit!F139=Urlaub,B_WorkTime*24,)</f>
        <v>0</v>
      </c>
      <c r="H138" s="111"/>
      <c r="I138" s="113">
        <f>IF(Arbeitszeit!F139=Krank,B_WorkTime*24,)</f>
        <v>0</v>
      </c>
      <c r="J138" s="111"/>
      <c r="K138" s="114"/>
      <c r="L138" s="115"/>
      <c r="M138" s="498"/>
      <c r="N138" s="499"/>
      <c r="O138" s="498"/>
      <c r="P138" s="499"/>
      <c r="Q138" s="498"/>
      <c r="R138" s="499"/>
      <c r="S138" s="498"/>
      <c r="T138" s="499"/>
      <c r="U138" s="498"/>
      <c r="V138" s="499"/>
      <c r="W138" s="498"/>
      <c r="X138" s="499"/>
      <c r="Y138" s="498"/>
      <c r="Z138" s="499"/>
      <c r="AA138" s="498"/>
      <c r="AB138" s="499"/>
      <c r="AC138" s="498"/>
      <c r="AD138" s="499"/>
      <c r="AE138" s="498"/>
      <c r="AF138" s="500"/>
      <c r="AG138" s="498"/>
      <c r="AH138" s="500"/>
      <c r="AI138" s="498"/>
      <c r="AJ138" s="500"/>
      <c r="AK138" s="498"/>
      <c r="AL138" s="500"/>
      <c r="AM138" s="501"/>
      <c r="AN138" s="500"/>
      <c r="AO138" s="498"/>
      <c r="AP138" s="500"/>
      <c r="AQ138" s="501"/>
      <c r="AR138" s="500"/>
      <c r="AS138" s="500"/>
      <c r="AT138" s="500"/>
      <c r="AU138" s="501"/>
      <c r="AV138" s="500"/>
      <c r="AW138" s="500"/>
      <c r="AX138" s="500"/>
      <c r="AY138" s="576"/>
      <c r="AZ138" s="576"/>
      <c r="BA138" s="576"/>
      <c r="BB138" s="576"/>
      <c r="BC138" s="576"/>
      <c r="BD138" s="576"/>
      <c r="BE138" s="576"/>
      <c r="BF138" s="576"/>
      <c r="BG138" s="576"/>
      <c r="BH138" s="576"/>
      <c r="BI138" s="576"/>
      <c r="BJ138" s="576"/>
      <c r="BK138" s="576"/>
      <c r="BL138" s="576"/>
      <c r="BM138" s="576"/>
      <c r="BN138" s="576"/>
      <c r="BO138" s="576"/>
      <c r="BP138" s="576"/>
      <c r="BQ138" s="576"/>
      <c r="BR138" s="576"/>
      <c r="BS138" s="576"/>
      <c r="BT138" s="576"/>
      <c r="BU138" s="576"/>
      <c r="BV138" s="576"/>
      <c r="BW138" s="576"/>
      <c r="BX138" s="576"/>
      <c r="BY138" s="576"/>
      <c r="BZ138" s="576"/>
      <c r="CA138" s="576"/>
      <c r="CB138" s="576"/>
      <c r="CC138" s="576"/>
      <c r="CD138" s="576"/>
      <c r="CE138" s="576"/>
      <c r="CF138" s="576"/>
      <c r="CG138" s="576"/>
      <c r="CH138" s="576"/>
      <c r="CI138" s="576"/>
      <c r="CJ138" s="576"/>
      <c r="CK138" s="576"/>
      <c r="CL138" s="576"/>
      <c r="CM138" s="576"/>
      <c r="CN138" s="576"/>
      <c r="CO138" s="576"/>
      <c r="CP138" s="576"/>
      <c r="CQ138" s="576"/>
      <c r="CR138" s="576"/>
      <c r="CS138" s="576"/>
      <c r="CT138" s="576"/>
      <c r="CU138" s="576"/>
      <c r="CV138" s="576"/>
      <c r="CW138" s="576"/>
      <c r="CX138" s="576"/>
      <c r="CY138" s="576"/>
      <c r="CZ138" s="576"/>
      <c r="DA138" s="576"/>
      <c r="DB138" s="576"/>
      <c r="DC138" s="576"/>
      <c r="DD138" s="576"/>
      <c r="DE138" s="576"/>
      <c r="DF138" s="576"/>
      <c r="DG138" s="576"/>
      <c r="DH138" s="116"/>
      <c r="DI138" s="112"/>
      <c r="DJ138">
        <f ca="1">INDIRECT(ADDRESS(ROW()+1,COLUMN(Arbeitszeit!xDay),,,"Arbeitszeit"))</f>
        <v>4</v>
      </c>
    </row>
    <row r="139" spans="1:114">
      <c r="A139" s="462">
        <f>Arbeitszeit!A140</f>
        <v>44968</v>
      </c>
      <c r="B139" s="463">
        <f t="shared" si="9"/>
        <v>44968</v>
      </c>
      <c r="C139" s="146">
        <f t="shared" si="10"/>
        <v>6</v>
      </c>
      <c r="D139" s="145">
        <f t="shared" si="11"/>
        <v>44957</v>
      </c>
      <c r="E139" s="510">
        <f>Arbeitszeit!V140*24</f>
        <v>0</v>
      </c>
      <c r="F139" s="574">
        <f t="shared" si="8"/>
        <v>0</v>
      </c>
      <c r="G139" s="113">
        <f>IF(Arbeitszeit!F140=Urlaub,B_WorkTime*24,)</f>
        <v>0</v>
      </c>
      <c r="H139" s="111"/>
      <c r="I139" s="113">
        <f>IF(Arbeitszeit!F140=Krank,B_WorkTime*24,)</f>
        <v>0</v>
      </c>
      <c r="J139" s="111"/>
      <c r="K139" s="114"/>
      <c r="L139" s="115"/>
      <c r="M139" s="498"/>
      <c r="N139" s="499"/>
      <c r="O139" s="498"/>
      <c r="P139" s="499"/>
      <c r="Q139" s="498"/>
      <c r="R139" s="499"/>
      <c r="S139" s="498"/>
      <c r="T139" s="499"/>
      <c r="U139" s="498"/>
      <c r="V139" s="499"/>
      <c r="W139" s="498"/>
      <c r="X139" s="499"/>
      <c r="Y139" s="498"/>
      <c r="Z139" s="499"/>
      <c r="AA139" s="498"/>
      <c r="AB139" s="499"/>
      <c r="AC139" s="498"/>
      <c r="AD139" s="499"/>
      <c r="AE139" s="498"/>
      <c r="AF139" s="500"/>
      <c r="AG139" s="498"/>
      <c r="AH139" s="500"/>
      <c r="AI139" s="498"/>
      <c r="AJ139" s="500"/>
      <c r="AK139" s="498"/>
      <c r="AL139" s="500"/>
      <c r="AM139" s="501"/>
      <c r="AN139" s="500"/>
      <c r="AO139" s="498"/>
      <c r="AP139" s="500"/>
      <c r="AQ139" s="501"/>
      <c r="AR139" s="500"/>
      <c r="AS139" s="500"/>
      <c r="AT139" s="500"/>
      <c r="AU139" s="501"/>
      <c r="AV139" s="500"/>
      <c r="AW139" s="500"/>
      <c r="AX139" s="500"/>
      <c r="AY139" s="576"/>
      <c r="AZ139" s="576"/>
      <c r="BA139" s="576"/>
      <c r="BB139" s="576"/>
      <c r="BC139" s="576"/>
      <c r="BD139" s="576"/>
      <c r="BE139" s="576"/>
      <c r="BF139" s="576"/>
      <c r="BG139" s="576"/>
      <c r="BH139" s="576"/>
      <c r="BI139" s="576"/>
      <c r="BJ139" s="576"/>
      <c r="BK139" s="576"/>
      <c r="BL139" s="576"/>
      <c r="BM139" s="576"/>
      <c r="BN139" s="576"/>
      <c r="BO139" s="576"/>
      <c r="BP139" s="576"/>
      <c r="BQ139" s="576"/>
      <c r="BR139" s="576"/>
      <c r="BS139" s="576"/>
      <c r="BT139" s="576"/>
      <c r="BU139" s="576"/>
      <c r="BV139" s="576"/>
      <c r="BW139" s="576"/>
      <c r="BX139" s="576"/>
      <c r="BY139" s="576"/>
      <c r="BZ139" s="576"/>
      <c r="CA139" s="576"/>
      <c r="CB139" s="576"/>
      <c r="CC139" s="576"/>
      <c r="CD139" s="576"/>
      <c r="CE139" s="576"/>
      <c r="CF139" s="576"/>
      <c r="CG139" s="576"/>
      <c r="CH139" s="576"/>
      <c r="CI139" s="576"/>
      <c r="CJ139" s="576"/>
      <c r="CK139" s="576"/>
      <c r="CL139" s="576"/>
      <c r="CM139" s="576"/>
      <c r="CN139" s="576"/>
      <c r="CO139" s="576"/>
      <c r="CP139" s="576"/>
      <c r="CQ139" s="576"/>
      <c r="CR139" s="576"/>
      <c r="CS139" s="576"/>
      <c r="CT139" s="576"/>
      <c r="CU139" s="576"/>
      <c r="CV139" s="576"/>
      <c r="CW139" s="576"/>
      <c r="CX139" s="576"/>
      <c r="CY139" s="576"/>
      <c r="CZ139" s="576"/>
      <c r="DA139" s="576"/>
      <c r="DB139" s="576"/>
      <c r="DC139" s="576"/>
      <c r="DD139" s="576"/>
      <c r="DE139" s="576"/>
      <c r="DF139" s="576"/>
      <c r="DG139" s="576"/>
      <c r="DH139" s="116"/>
      <c r="DI139" s="112"/>
      <c r="DJ139">
        <f ca="1">INDIRECT(ADDRESS(ROW()+1,COLUMN(Arbeitszeit!xDay),,,"Arbeitszeit"))</f>
        <v>5</v>
      </c>
    </row>
    <row r="140" spans="1:114">
      <c r="A140" s="462">
        <f>Arbeitszeit!A141</f>
        <v>44969</v>
      </c>
      <c r="B140" s="463">
        <f t="shared" si="9"/>
        <v>44969</v>
      </c>
      <c r="C140" s="146">
        <f t="shared" si="10"/>
        <v>6</v>
      </c>
      <c r="D140" s="145">
        <f t="shared" si="11"/>
        <v>44957</v>
      </c>
      <c r="E140" s="510">
        <f>Arbeitszeit!V141*24</f>
        <v>0</v>
      </c>
      <c r="F140" s="574">
        <f t="shared" si="8"/>
        <v>0</v>
      </c>
      <c r="G140" s="113">
        <f>IF(Arbeitszeit!F141=Urlaub,B_WorkTime*24,)</f>
        <v>0</v>
      </c>
      <c r="H140" s="111"/>
      <c r="I140" s="113">
        <f>IF(Arbeitszeit!F141=Krank,B_WorkTime*24,)</f>
        <v>0</v>
      </c>
      <c r="J140" s="111"/>
      <c r="K140" s="114"/>
      <c r="L140" s="115"/>
      <c r="M140" s="498"/>
      <c r="N140" s="499"/>
      <c r="O140" s="498"/>
      <c r="P140" s="499"/>
      <c r="Q140" s="498"/>
      <c r="R140" s="499"/>
      <c r="S140" s="498"/>
      <c r="T140" s="499"/>
      <c r="U140" s="498"/>
      <c r="V140" s="499"/>
      <c r="W140" s="498"/>
      <c r="X140" s="499"/>
      <c r="Y140" s="498"/>
      <c r="Z140" s="499"/>
      <c r="AA140" s="498"/>
      <c r="AB140" s="499"/>
      <c r="AC140" s="498"/>
      <c r="AD140" s="499"/>
      <c r="AE140" s="498"/>
      <c r="AF140" s="500"/>
      <c r="AG140" s="498"/>
      <c r="AH140" s="500"/>
      <c r="AI140" s="498"/>
      <c r="AJ140" s="500"/>
      <c r="AK140" s="498"/>
      <c r="AL140" s="500"/>
      <c r="AM140" s="501"/>
      <c r="AN140" s="500"/>
      <c r="AO140" s="498"/>
      <c r="AP140" s="500"/>
      <c r="AQ140" s="501"/>
      <c r="AR140" s="500"/>
      <c r="AS140" s="500"/>
      <c r="AT140" s="500"/>
      <c r="AU140" s="501"/>
      <c r="AV140" s="500"/>
      <c r="AW140" s="500"/>
      <c r="AX140" s="500"/>
      <c r="AY140" s="576"/>
      <c r="AZ140" s="576"/>
      <c r="BA140" s="576"/>
      <c r="BB140" s="576"/>
      <c r="BC140" s="576"/>
      <c r="BD140" s="576"/>
      <c r="BE140" s="576"/>
      <c r="BF140" s="576"/>
      <c r="BG140" s="576"/>
      <c r="BH140" s="576"/>
      <c r="BI140" s="576"/>
      <c r="BJ140" s="576"/>
      <c r="BK140" s="576"/>
      <c r="BL140" s="576"/>
      <c r="BM140" s="576"/>
      <c r="BN140" s="576"/>
      <c r="BO140" s="576"/>
      <c r="BP140" s="576"/>
      <c r="BQ140" s="576"/>
      <c r="BR140" s="576"/>
      <c r="BS140" s="576"/>
      <c r="BT140" s="576"/>
      <c r="BU140" s="576"/>
      <c r="BV140" s="576"/>
      <c r="BW140" s="576"/>
      <c r="BX140" s="576"/>
      <c r="BY140" s="576"/>
      <c r="BZ140" s="576"/>
      <c r="CA140" s="576"/>
      <c r="CB140" s="576"/>
      <c r="CC140" s="576"/>
      <c r="CD140" s="576"/>
      <c r="CE140" s="576"/>
      <c r="CF140" s="576"/>
      <c r="CG140" s="576"/>
      <c r="CH140" s="576"/>
      <c r="CI140" s="576"/>
      <c r="CJ140" s="576"/>
      <c r="CK140" s="576"/>
      <c r="CL140" s="576"/>
      <c r="CM140" s="576"/>
      <c r="CN140" s="576"/>
      <c r="CO140" s="576"/>
      <c r="CP140" s="576"/>
      <c r="CQ140" s="576"/>
      <c r="CR140" s="576"/>
      <c r="CS140" s="576"/>
      <c r="CT140" s="576"/>
      <c r="CU140" s="576"/>
      <c r="CV140" s="576"/>
      <c r="CW140" s="576"/>
      <c r="CX140" s="576"/>
      <c r="CY140" s="576"/>
      <c r="CZ140" s="576"/>
      <c r="DA140" s="576"/>
      <c r="DB140" s="576"/>
      <c r="DC140" s="576"/>
      <c r="DD140" s="576"/>
      <c r="DE140" s="576"/>
      <c r="DF140" s="576"/>
      <c r="DG140" s="576"/>
      <c r="DH140" s="116"/>
      <c r="DI140" s="112"/>
      <c r="DJ140">
        <f ca="1">INDIRECT(ADDRESS(ROW()+1,COLUMN(Arbeitszeit!xDay),,,"Arbeitszeit"))</f>
        <v>6</v>
      </c>
    </row>
    <row r="141" spans="1:114">
      <c r="A141" s="462">
        <f>Arbeitszeit!A142</f>
        <v>44970</v>
      </c>
      <c r="B141" s="463">
        <f t="shared" si="9"/>
        <v>44970</v>
      </c>
      <c r="C141" s="146">
        <f t="shared" si="10"/>
        <v>6</v>
      </c>
      <c r="D141" s="145">
        <f t="shared" si="11"/>
        <v>44957</v>
      </c>
      <c r="E141" s="510">
        <f>Arbeitszeit!V142*24</f>
        <v>0</v>
      </c>
      <c r="F141" s="574">
        <f t="shared" si="8"/>
        <v>0</v>
      </c>
      <c r="G141" s="113">
        <f>IF(Arbeitszeit!F142=Urlaub,B_WorkTime*24,)</f>
        <v>0</v>
      </c>
      <c r="H141" s="111"/>
      <c r="I141" s="113">
        <f>IF(Arbeitszeit!F142=Krank,B_WorkTime*24,)</f>
        <v>0</v>
      </c>
      <c r="J141" s="111"/>
      <c r="K141" s="114"/>
      <c r="L141" s="115"/>
      <c r="M141" s="498"/>
      <c r="N141" s="499"/>
      <c r="O141" s="498"/>
      <c r="P141" s="499"/>
      <c r="Q141" s="498"/>
      <c r="R141" s="499"/>
      <c r="S141" s="498"/>
      <c r="T141" s="499"/>
      <c r="U141" s="498"/>
      <c r="V141" s="499"/>
      <c r="W141" s="498"/>
      <c r="X141" s="499"/>
      <c r="Y141" s="498"/>
      <c r="Z141" s="499"/>
      <c r="AA141" s="498"/>
      <c r="AB141" s="499"/>
      <c r="AC141" s="498"/>
      <c r="AD141" s="499"/>
      <c r="AE141" s="498"/>
      <c r="AF141" s="500"/>
      <c r="AG141" s="498"/>
      <c r="AH141" s="500"/>
      <c r="AI141" s="498"/>
      <c r="AJ141" s="500"/>
      <c r="AK141" s="498"/>
      <c r="AL141" s="500"/>
      <c r="AM141" s="501"/>
      <c r="AN141" s="500"/>
      <c r="AO141" s="498"/>
      <c r="AP141" s="500"/>
      <c r="AQ141" s="501"/>
      <c r="AR141" s="500"/>
      <c r="AS141" s="500"/>
      <c r="AT141" s="500"/>
      <c r="AU141" s="501"/>
      <c r="AV141" s="500"/>
      <c r="AW141" s="500"/>
      <c r="AX141" s="500"/>
      <c r="AY141" s="576"/>
      <c r="AZ141" s="576"/>
      <c r="BA141" s="576"/>
      <c r="BB141" s="576"/>
      <c r="BC141" s="576"/>
      <c r="BD141" s="576"/>
      <c r="BE141" s="576"/>
      <c r="BF141" s="576"/>
      <c r="BG141" s="576"/>
      <c r="BH141" s="576"/>
      <c r="BI141" s="576"/>
      <c r="BJ141" s="576"/>
      <c r="BK141" s="576"/>
      <c r="BL141" s="576"/>
      <c r="BM141" s="576"/>
      <c r="BN141" s="576"/>
      <c r="BO141" s="576"/>
      <c r="BP141" s="576"/>
      <c r="BQ141" s="576"/>
      <c r="BR141" s="576"/>
      <c r="BS141" s="576"/>
      <c r="BT141" s="576"/>
      <c r="BU141" s="576"/>
      <c r="BV141" s="576"/>
      <c r="BW141" s="576"/>
      <c r="BX141" s="576"/>
      <c r="BY141" s="576"/>
      <c r="BZ141" s="576"/>
      <c r="CA141" s="576"/>
      <c r="CB141" s="576"/>
      <c r="CC141" s="576"/>
      <c r="CD141" s="576"/>
      <c r="CE141" s="576"/>
      <c r="CF141" s="576"/>
      <c r="CG141" s="576"/>
      <c r="CH141" s="576"/>
      <c r="CI141" s="576"/>
      <c r="CJ141" s="576"/>
      <c r="CK141" s="576"/>
      <c r="CL141" s="576"/>
      <c r="CM141" s="576"/>
      <c r="CN141" s="576"/>
      <c r="CO141" s="576"/>
      <c r="CP141" s="576"/>
      <c r="CQ141" s="576"/>
      <c r="CR141" s="576"/>
      <c r="CS141" s="576"/>
      <c r="CT141" s="576"/>
      <c r="CU141" s="576"/>
      <c r="CV141" s="576"/>
      <c r="CW141" s="576"/>
      <c r="CX141" s="576"/>
      <c r="CY141" s="576"/>
      <c r="CZ141" s="576"/>
      <c r="DA141" s="576"/>
      <c r="DB141" s="576"/>
      <c r="DC141" s="576"/>
      <c r="DD141" s="576"/>
      <c r="DE141" s="576"/>
      <c r="DF141" s="576"/>
      <c r="DG141" s="576"/>
      <c r="DH141" s="116"/>
      <c r="DI141" s="112"/>
      <c r="DJ141">
        <f ca="1">INDIRECT(ADDRESS(ROW()+1,COLUMN(Arbeitszeit!xDay),,,"Arbeitszeit"))</f>
        <v>7</v>
      </c>
    </row>
    <row r="142" spans="1:114">
      <c r="A142" s="462">
        <f>Arbeitszeit!A143</f>
        <v>44971</v>
      </c>
      <c r="B142" s="463">
        <f t="shared" si="9"/>
        <v>44971</v>
      </c>
      <c r="C142" s="146">
        <f t="shared" si="10"/>
        <v>7</v>
      </c>
      <c r="D142" s="145">
        <f t="shared" si="11"/>
        <v>44957</v>
      </c>
      <c r="E142" s="510">
        <f>Arbeitszeit!V143*24</f>
        <v>0</v>
      </c>
      <c r="F142" s="574">
        <f t="shared" si="8"/>
        <v>0</v>
      </c>
      <c r="G142" s="113">
        <f>IF(Arbeitszeit!F143=Urlaub,B_WorkTime*24,)</f>
        <v>0</v>
      </c>
      <c r="H142" s="111"/>
      <c r="I142" s="113">
        <f>IF(Arbeitszeit!F143=Krank,B_WorkTime*24,)</f>
        <v>0</v>
      </c>
      <c r="J142" s="111"/>
      <c r="K142" s="114"/>
      <c r="L142" s="115"/>
      <c r="M142" s="498"/>
      <c r="N142" s="499"/>
      <c r="O142" s="498"/>
      <c r="P142" s="499"/>
      <c r="Q142" s="498"/>
      <c r="R142" s="499"/>
      <c r="S142" s="498"/>
      <c r="T142" s="499"/>
      <c r="U142" s="498"/>
      <c r="V142" s="499"/>
      <c r="W142" s="498"/>
      <c r="X142" s="499"/>
      <c r="Y142" s="498"/>
      <c r="Z142" s="499"/>
      <c r="AA142" s="498"/>
      <c r="AB142" s="499"/>
      <c r="AC142" s="498"/>
      <c r="AD142" s="499"/>
      <c r="AE142" s="498"/>
      <c r="AF142" s="500"/>
      <c r="AG142" s="498"/>
      <c r="AH142" s="500"/>
      <c r="AI142" s="498"/>
      <c r="AJ142" s="500"/>
      <c r="AK142" s="498"/>
      <c r="AL142" s="500"/>
      <c r="AM142" s="501"/>
      <c r="AN142" s="500"/>
      <c r="AO142" s="498"/>
      <c r="AP142" s="500"/>
      <c r="AQ142" s="501"/>
      <c r="AR142" s="500"/>
      <c r="AS142" s="500"/>
      <c r="AT142" s="500"/>
      <c r="AU142" s="501"/>
      <c r="AV142" s="500"/>
      <c r="AW142" s="500"/>
      <c r="AX142" s="500"/>
      <c r="AY142" s="576"/>
      <c r="AZ142" s="576"/>
      <c r="BA142" s="576"/>
      <c r="BB142" s="576"/>
      <c r="BC142" s="576"/>
      <c r="BD142" s="576"/>
      <c r="BE142" s="576"/>
      <c r="BF142" s="576"/>
      <c r="BG142" s="576"/>
      <c r="BH142" s="576"/>
      <c r="BI142" s="576"/>
      <c r="BJ142" s="576"/>
      <c r="BK142" s="576"/>
      <c r="BL142" s="576"/>
      <c r="BM142" s="576"/>
      <c r="BN142" s="576"/>
      <c r="BO142" s="576"/>
      <c r="BP142" s="576"/>
      <c r="BQ142" s="576"/>
      <c r="BR142" s="576"/>
      <c r="BS142" s="576"/>
      <c r="BT142" s="576"/>
      <c r="BU142" s="576"/>
      <c r="BV142" s="576"/>
      <c r="BW142" s="576"/>
      <c r="BX142" s="576"/>
      <c r="BY142" s="576"/>
      <c r="BZ142" s="576"/>
      <c r="CA142" s="576"/>
      <c r="CB142" s="576"/>
      <c r="CC142" s="576"/>
      <c r="CD142" s="576"/>
      <c r="CE142" s="576"/>
      <c r="CF142" s="576"/>
      <c r="CG142" s="576"/>
      <c r="CH142" s="576"/>
      <c r="CI142" s="576"/>
      <c r="CJ142" s="576"/>
      <c r="CK142" s="576"/>
      <c r="CL142" s="576"/>
      <c r="CM142" s="576"/>
      <c r="CN142" s="576"/>
      <c r="CO142" s="576"/>
      <c r="CP142" s="576"/>
      <c r="CQ142" s="576"/>
      <c r="CR142" s="576"/>
      <c r="CS142" s="576"/>
      <c r="CT142" s="576"/>
      <c r="CU142" s="576"/>
      <c r="CV142" s="576"/>
      <c r="CW142" s="576"/>
      <c r="CX142" s="576"/>
      <c r="CY142" s="576"/>
      <c r="CZ142" s="576"/>
      <c r="DA142" s="576"/>
      <c r="DB142" s="576"/>
      <c r="DC142" s="576"/>
      <c r="DD142" s="576"/>
      <c r="DE142" s="576"/>
      <c r="DF142" s="576"/>
      <c r="DG142" s="576"/>
      <c r="DH142" s="116"/>
      <c r="DI142" s="112"/>
      <c r="DJ142">
        <f ca="1">INDIRECT(ADDRESS(ROW()+1,COLUMN(Arbeitszeit!xDay),,,"Arbeitszeit"))</f>
        <v>1</v>
      </c>
    </row>
    <row r="143" spans="1:114">
      <c r="A143" s="462">
        <f>Arbeitszeit!A144</f>
        <v>44972</v>
      </c>
      <c r="B143" s="463">
        <f t="shared" si="9"/>
        <v>44972</v>
      </c>
      <c r="C143" s="146">
        <f t="shared" si="10"/>
        <v>7</v>
      </c>
      <c r="D143" s="145">
        <f t="shared" si="11"/>
        <v>44957</v>
      </c>
      <c r="E143" s="510">
        <f>Arbeitszeit!V144*24</f>
        <v>0</v>
      </c>
      <c r="F143" s="574">
        <f t="shared" si="8"/>
        <v>0</v>
      </c>
      <c r="G143" s="113">
        <f>IF(Arbeitszeit!F144=Urlaub,B_WorkTime*24,)</f>
        <v>0</v>
      </c>
      <c r="H143" s="111"/>
      <c r="I143" s="113">
        <f>IF(Arbeitszeit!F144=Krank,B_WorkTime*24,)</f>
        <v>0</v>
      </c>
      <c r="J143" s="111"/>
      <c r="K143" s="114"/>
      <c r="L143" s="115"/>
      <c r="M143" s="498"/>
      <c r="N143" s="499"/>
      <c r="O143" s="498"/>
      <c r="P143" s="499"/>
      <c r="Q143" s="498"/>
      <c r="R143" s="499"/>
      <c r="S143" s="498"/>
      <c r="T143" s="499"/>
      <c r="U143" s="498"/>
      <c r="V143" s="499"/>
      <c r="W143" s="498"/>
      <c r="X143" s="499"/>
      <c r="Y143" s="498"/>
      <c r="Z143" s="499"/>
      <c r="AA143" s="498"/>
      <c r="AB143" s="499"/>
      <c r="AC143" s="498"/>
      <c r="AD143" s="499"/>
      <c r="AE143" s="498"/>
      <c r="AF143" s="500"/>
      <c r="AG143" s="498"/>
      <c r="AH143" s="500"/>
      <c r="AI143" s="498"/>
      <c r="AJ143" s="500"/>
      <c r="AK143" s="498"/>
      <c r="AL143" s="500"/>
      <c r="AM143" s="501"/>
      <c r="AN143" s="500"/>
      <c r="AO143" s="498"/>
      <c r="AP143" s="500"/>
      <c r="AQ143" s="501"/>
      <c r="AR143" s="500"/>
      <c r="AS143" s="500"/>
      <c r="AT143" s="500"/>
      <c r="AU143" s="501"/>
      <c r="AV143" s="500"/>
      <c r="AW143" s="500"/>
      <c r="AX143" s="500"/>
      <c r="AY143" s="576"/>
      <c r="AZ143" s="576"/>
      <c r="BA143" s="576"/>
      <c r="BB143" s="576"/>
      <c r="BC143" s="576"/>
      <c r="BD143" s="576"/>
      <c r="BE143" s="576"/>
      <c r="BF143" s="576"/>
      <c r="BG143" s="576"/>
      <c r="BH143" s="576"/>
      <c r="BI143" s="576"/>
      <c r="BJ143" s="576"/>
      <c r="BK143" s="576"/>
      <c r="BL143" s="576"/>
      <c r="BM143" s="576"/>
      <c r="BN143" s="576"/>
      <c r="BO143" s="576"/>
      <c r="BP143" s="576"/>
      <c r="BQ143" s="576"/>
      <c r="BR143" s="576"/>
      <c r="BS143" s="576"/>
      <c r="BT143" s="576"/>
      <c r="BU143" s="576"/>
      <c r="BV143" s="576"/>
      <c r="BW143" s="576"/>
      <c r="BX143" s="576"/>
      <c r="BY143" s="576"/>
      <c r="BZ143" s="576"/>
      <c r="CA143" s="576"/>
      <c r="CB143" s="576"/>
      <c r="CC143" s="576"/>
      <c r="CD143" s="576"/>
      <c r="CE143" s="576"/>
      <c r="CF143" s="576"/>
      <c r="CG143" s="576"/>
      <c r="CH143" s="576"/>
      <c r="CI143" s="576"/>
      <c r="CJ143" s="576"/>
      <c r="CK143" s="576"/>
      <c r="CL143" s="576"/>
      <c r="CM143" s="576"/>
      <c r="CN143" s="576"/>
      <c r="CO143" s="576"/>
      <c r="CP143" s="576"/>
      <c r="CQ143" s="576"/>
      <c r="CR143" s="576"/>
      <c r="CS143" s="576"/>
      <c r="CT143" s="576"/>
      <c r="CU143" s="576"/>
      <c r="CV143" s="576"/>
      <c r="CW143" s="576"/>
      <c r="CX143" s="576"/>
      <c r="CY143" s="576"/>
      <c r="CZ143" s="576"/>
      <c r="DA143" s="576"/>
      <c r="DB143" s="576"/>
      <c r="DC143" s="576"/>
      <c r="DD143" s="576"/>
      <c r="DE143" s="576"/>
      <c r="DF143" s="576"/>
      <c r="DG143" s="576"/>
      <c r="DH143" s="116"/>
      <c r="DI143" s="112"/>
      <c r="DJ143">
        <f ca="1">INDIRECT(ADDRESS(ROW()+1,COLUMN(Arbeitszeit!xDay),,,"Arbeitszeit"))</f>
        <v>2</v>
      </c>
    </row>
    <row r="144" spans="1:114">
      <c r="A144" s="462">
        <f>Arbeitszeit!A145</f>
        <v>44973</v>
      </c>
      <c r="B144" s="463">
        <f t="shared" si="9"/>
        <v>44973</v>
      </c>
      <c r="C144" s="146">
        <f t="shared" si="10"/>
        <v>7</v>
      </c>
      <c r="D144" s="145">
        <f t="shared" si="11"/>
        <v>44957</v>
      </c>
      <c r="E144" s="510">
        <f>Arbeitszeit!V145*24</f>
        <v>0</v>
      </c>
      <c r="F144" s="574">
        <f t="shared" si="8"/>
        <v>0</v>
      </c>
      <c r="G144" s="113">
        <f>IF(Arbeitszeit!F145=Urlaub,B_WorkTime*24,)</f>
        <v>0</v>
      </c>
      <c r="H144" s="111"/>
      <c r="I144" s="113">
        <f>IF(Arbeitszeit!F145=Krank,B_WorkTime*24,)</f>
        <v>0</v>
      </c>
      <c r="J144" s="111"/>
      <c r="K144" s="114"/>
      <c r="L144" s="115"/>
      <c r="M144" s="498"/>
      <c r="N144" s="499"/>
      <c r="O144" s="498"/>
      <c r="P144" s="499"/>
      <c r="Q144" s="498"/>
      <c r="R144" s="499"/>
      <c r="S144" s="498"/>
      <c r="T144" s="499"/>
      <c r="U144" s="498"/>
      <c r="V144" s="499"/>
      <c r="W144" s="498"/>
      <c r="X144" s="499"/>
      <c r="Y144" s="498"/>
      <c r="Z144" s="499"/>
      <c r="AA144" s="498"/>
      <c r="AB144" s="499"/>
      <c r="AC144" s="498"/>
      <c r="AD144" s="499"/>
      <c r="AE144" s="498"/>
      <c r="AF144" s="500"/>
      <c r="AG144" s="498"/>
      <c r="AH144" s="500"/>
      <c r="AI144" s="498"/>
      <c r="AJ144" s="500"/>
      <c r="AK144" s="498"/>
      <c r="AL144" s="500"/>
      <c r="AM144" s="501"/>
      <c r="AN144" s="500"/>
      <c r="AO144" s="498"/>
      <c r="AP144" s="500"/>
      <c r="AQ144" s="501"/>
      <c r="AR144" s="500"/>
      <c r="AS144" s="500"/>
      <c r="AT144" s="500"/>
      <c r="AU144" s="501"/>
      <c r="AV144" s="500"/>
      <c r="AW144" s="500"/>
      <c r="AX144" s="500"/>
      <c r="AY144" s="576"/>
      <c r="AZ144" s="576"/>
      <c r="BA144" s="576"/>
      <c r="BB144" s="576"/>
      <c r="BC144" s="576"/>
      <c r="BD144" s="576"/>
      <c r="BE144" s="576"/>
      <c r="BF144" s="576"/>
      <c r="BG144" s="576"/>
      <c r="BH144" s="576"/>
      <c r="BI144" s="576"/>
      <c r="BJ144" s="576"/>
      <c r="BK144" s="576"/>
      <c r="BL144" s="576"/>
      <c r="BM144" s="576"/>
      <c r="BN144" s="576"/>
      <c r="BO144" s="576"/>
      <c r="BP144" s="576"/>
      <c r="BQ144" s="576"/>
      <c r="BR144" s="576"/>
      <c r="BS144" s="576"/>
      <c r="BT144" s="576"/>
      <c r="BU144" s="576"/>
      <c r="BV144" s="576"/>
      <c r="BW144" s="576"/>
      <c r="BX144" s="576"/>
      <c r="BY144" s="576"/>
      <c r="BZ144" s="576"/>
      <c r="CA144" s="576"/>
      <c r="CB144" s="576"/>
      <c r="CC144" s="576"/>
      <c r="CD144" s="576"/>
      <c r="CE144" s="576"/>
      <c r="CF144" s="576"/>
      <c r="CG144" s="576"/>
      <c r="CH144" s="576"/>
      <c r="CI144" s="576"/>
      <c r="CJ144" s="576"/>
      <c r="CK144" s="576"/>
      <c r="CL144" s="576"/>
      <c r="CM144" s="576"/>
      <c r="CN144" s="576"/>
      <c r="CO144" s="576"/>
      <c r="CP144" s="576"/>
      <c r="CQ144" s="576"/>
      <c r="CR144" s="576"/>
      <c r="CS144" s="576"/>
      <c r="CT144" s="576"/>
      <c r="CU144" s="576"/>
      <c r="CV144" s="576"/>
      <c r="CW144" s="576"/>
      <c r="CX144" s="576"/>
      <c r="CY144" s="576"/>
      <c r="CZ144" s="576"/>
      <c r="DA144" s="576"/>
      <c r="DB144" s="576"/>
      <c r="DC144" s="576"/>
      <c r="DD144" s="576"/>
      <c r="DE144" s="576"/>
      <c r="DF144" s="576"/>
      <c r="DG144" s="576"/>
      <c r="DH144" s="116"/>
      <c r="DI144" s="112"/>
      <c r="DJ144">
        <f ca="1">INDIRECT(ADDRESS(ROW()+1,COLUMN(Arbeitszeit!xDay),,,"Arbeitszeit"))</f>
        <v>3</v>
      </c>
    </row>
    <row r="145" spans="1:114">
      <c r="A145" s="462">
        <f>Arbeitszeit!A146</f>
        <v>44974</v>
      </c>
      <c r="B145" s="463">
        <f t="shared" si="9"/>
        <v>44974</v>
      </c>
      <c r="C145" s="146">
        <f t="shared" si="10"/>
        <v>7</v>
      </c>
      <c r="D145" s="145">
        <f t="shared" si="11"/>
        <v>44957</v>
      </c>
      <c r="E145" s="510">
        <f>Arbeitszeit!V146*24</f>
        <v>0</v>
      </c>
      <c r="F145" s="574">
        <f t="shared" si="8"/>
        <v>0</v>
      </c>
      <c r="G145" s="113">
        <f>IF(Arbeitszeit!F146=Urlaub,B_WorkTime*24,)</f>
        <v>0</v>
      </c>
      <c r="H145" s="111"/>
      <c r="I145" s="113">
        <f>IF(Arbeitszeit!F146=Krank,B_WorkTime*24,)</f>
        <v>0</v>
      </c>
      <c r="J145" s="111"/>
      <c r="K145" s="114"/>
      <c r="L145" s="115"/>
      <c r="M145" s="498"/>
      <c r="N145" s="499"/>
      <c r="O145" s="498"/>
      <c r="P145" s="499"/>
      <c r="Q145" s="498"/>
      <c r="R145" s="499"/>
      <c r="S145" s="498"/>
      <c r="T145" s="499"/>
      <c r="U145" s="498"/>
      <c r="V145" s="499"/>
      <c r="W145" s="498"/>
      <c r="X145" s="499"/>
      <c r="Y145" s="498"/>
      <c r="Z145" s="499"/>
      <c r="AA145" s="498"/>
      <c r="AB145" s="499"/>
      <c r="AC145" s="498"/>
      <c r="AD145" s="499"/>
      <c r="AE145" s="498"/>
      <c r="AF145" s="500"/>
      <c r="AG145" s="498"/>
      <c r="AH145" s="500"/>
      <c r="AI145" s="498"/>
      <c r="AJ145" s="500"/>
      <c r="AK145" s="498"/>
      <c r="AL145" s="500"/>
      <c r="AM145" s="501"/>
      <c r="AN145" s="500"/>
      <c r="AO145" s="498"/>
      <c r="AP145" s="500"/>
      <c r="AQ145" s="501"/>
      <c r="AR145" s="500"/>
      <c r="AS145" s="500"/>
      <c r="AT145" s="500"/>
      <c r="AU145" s="501"/>
      <c r="AV145" s="500"/>
      <c r="AW145" s="500"/>
      <c r="AX145" s="500"/>
      <c r="AY145" s="576"/>
      <c r="AZ145" s="576"/>
      <c r="BA145" s="576"/>
      <c r="BB145" s="576"/>
      <c r="BC145" s="576"/>
      <c r="BD145" s="576"/>
      <c r="BE145" s="576"/>
      <c r="BF145" s="576"/>
      <c r="BG145" s="576"/>
      <c r="BH145" s="576"/>
      <c r="BI145" s="576"/>
      <c r="BJ145" s="576"/>
      <c r="BK145" s="576"/>
      <c r="BL145" s="576"/>
      <c r="BM145" s="576"/>
      <c r="BN145" s="576"/>
      <c r="BO145" s="576"/>
      <c r="BP145" s="576"/>
      <c r="BQ145" s="576"/>
      <c r="BR145" s="576"/>
      <c r="BS145" s="576"/>
      <c r="BT145" s="576"/>
      <c r="BU145" s="576"/>
      <c r="BV145" s="576"/>
      <c r="BW145" s="576"/>
      <c r="BX145" s="576"/>
      <c r="BY145" s="576"/>
      <c r="BZ145" s="576"/>
      <c r="CA145" s="576"/>
      <c r="CB145" s="576"/>
      <c r="CC145" s="576"/>
      <c r="CD145" s="576"/>
      <c r="CE145" s="576"/>
      <c r="CF145" s="576"/>
      <c r="CG145" s="576"/>
      <c r="CH145" s="576"/>
      <c r="CI145" s="576"/>
      <c r="CJ145" s="576"/>
      <c r="CK145" s="576"/>
      <c r="CL145" s="576"/>
      <c r="CM145" s="576"/>
      <c r="CN145" s="576"/>
      <c r="CO145" s="576"/>
      <c r="CP145" s="576"/>
      <c r="CQ145" s="576"/>
      <c r="CR145" s="576"/>
      <c r="CS145" s="576"/>
      <c r="CT145" s="576"/>
      <c r="CU145" s="576"/>
      <c r="CV145" s="576"/>
      <c r="CW145" s="576"/>
      <c r="CX145" s="576"/>
      <c r="CY145" s="576"/>
      <c r="CZ145" s="576"/>
      <c r="DA145" s="576"/>
      <c r="DB145" s="576"/>
      <c r="DC145" s="576"/>
      <c r="DD145" s="576"/>
      <c r="DE145" s="576"/>
      <c r="DF145" s="576"/>
      <c r="DG145" s="576"/>
      <c r="DH145" s="116"/>
      <c r="DI145" s="112"/>
      <c r="DJ145">
        <f ca="1">INDIRECT(ADDRESS(ROW()+1,COLUMN(Arbeitszeit!xDay),,,"Arbeitszeit"))</f>
        <v>4</v>
      </c>
    </row>
    <row r="146" spans="1:114">
      <c r="A146" s="462">
        <f>Arbeitszeit!A147</f>
        <v>44975</v>
      </c>
      <c r="B146" s="463">
        <f t="shared" si="9"/>
        <v>44975</v>
      </c>
      <c r="C146" s="146">
        <f t="shared" si="10"/>
        <v>7</v>
      </c>
      <c r="D146" s="145">
        <f t="shared" si="11"/>
        <v>44957</v>
      </c>
      <c r="E146" s="510">
        <f>Arbeitszeit!V147*24</f>
        <v>0</v>
      </c>
      <c r="F146" s="574">
        <f t="shared" si="8"/>
        <v>0</v>
      </c>
      <c r="G146" s="113">
        <f>IF(Arbeitszeit!F147=Urlaub,B_WorkTime*24,)</f>
        <v>0</v>
      </c>
      <c r="H146" s="111"/>
      <c r="I146" s="113">
        <f>IF(Arbeitszeit!F147=Krank,B_WorkTime*24,)</f>
        <v>0</v>
      </c>
      <c r="J146" s="111"/>
      <c r="K146" s="114"/>
      <c r="L146" s="115"/>
      <c r="M146" s="498"/>
      <c r="N146" s="499"/>
      <c r="O146" s="498"/>
      <c r="P146" s="499"/>
      <c r="Q146" s="498"/>
      <c r="R146" s="499"/>
      <c r="S146" s="498"/>
      <c r="T146" s="499"/>
      <c r="U146" s="498"/>
      <c r="V146" s="499"/>
      <c r="W146" s="498"/>
      <c r="X146" s="499"/>
      <c r="Y146" s="498"/>
      <c r="Z146" s="499"/>
      <c r="AA146" s="498"/>
      <c r="AB146" s="499"/>
      <c r="AC146" s="498"/>
      <c r="AD146" s="499"/>
      <c r="AE146" s="498"/>
      <c r="AF146" s="500"/>
      <c r="AG146" s="498"/>
      <c r="AH146" s="500"/>
      <c r="AI146" s="498"/>
      <c r="AJ146" s="500"/>
      <c r="AK146" s="498"/>
      <c r="AL146" s="500"/>
      <c r="AM146" s="501"/>
      <c r="AN146" s="500"/>
      <c r="AO146" s="498"/>
      <c r="AP146" s="500"/>
      <c r="AQ146" s="501"/>
      <c r="AR146" s="500"/>
      <c r="AS146" s="500"/>
      <c r="AT146" s="500"/>
      <c r="AU146" s="501"/>
      <c r="AV146" s="500"/>
      <c r="AW146" s="500"/>
      <c r="AX146" s="500"/>
      <c r="AY146" s="576"/>
      <c r="AZ146" s="576"/>
      <c r="BA146" s="576"/>
      <c r="BB146" s="576"/>
      <c r="BC146" s="576"/>
      <c r="BD146" s="576"/>
      <c r="BE146" s="576"/>
      <c r="BF146" s="576"/>
      <c r="BG146" s="576"/>
      <c r="BH146" s="576"/>
      <c r="BI146" s="576"/>
      <c r="BJ146" s="576"/>
      <c r="BK146" s="576"/>
      <c r="BL146" s="576"/>
      <c r="BM146" s="576"/>
      <c r="BN146" s="576"/>
      <c r="BO146" s="576"/>
      <c r="BP146" s="576"/>
      <c r="BQ146" s="576"/>
      <c r="BR146" s="576"/>
      <c r="BS146" s="576"/>
      <c r="BT146" s="576"/>
      <c r="BU146" s="576"/>
      <c r="BV146" s="576"/>
      <c r="BW146" s="576"/>
      <c r="BX146" s="576"/>
      <c r="BY146" s="576"/>
      <c r="BZ146" s="576"/>
      <c r="CA146" s="576"/>
      <c r="CB146" s="576"/>
      <c r="CC146" s="576"/>
      <c r="CD146" s="576"/>
      <c r="CE146" s="576"/>
      <c r="CF146" s="576"/>
      <c r="CG146" s="576"/>
      <c r="CH146" s="576"/>
      <c r="CI146" s="576"/>
      <c r="CJ146" s="576"/>
      <c r="CK146" s="576"/>
      <c r="CL146" s="576"/>
      <c r="CM146" s="576"/>
      <c r="CN146" s="576"/>
      <c r="CO146" s="576"/>
      <c r="CP146" s="576"/>
      <c r="CQ146" s="576"/>
      <c r="CR146" s="576"/>
      <c r="CS146" s="576"/>
      <c r="CT146" s="576"/>
      <c r="CU146" s="576"/>
      <c r="CV146" s="576"/>
      <c r="CW146" s="576"/>
      <c r="CX146" s="576"/>
      <c r="CY146" s="576"/>
      <c r="CZ146" s="576"/>
      <c r="DA146" s="576"/>
      <c r="DB146" s="576"/>
      <c r="DC146" s="576"/>
      <c r="DD146" s="576"/>
      <c r="DE146" s="576"/>
      <c r="DF146" s="576"/>
      <c r="DG146" s="576"/>
      <c r="DH146" s="116"/>
      <c r="DI146" s="112"/>
      <c r="DJ146">
        <f ca="1">INDIRECT(ADDRESS(ROW()+1,COLUMN(Arbeitszeit!xDay),,,"Arbeitszeit"))</f>
        <v>5</v>
      </c>
    </row>
    <row r="147" spans="1:114">
      <c r="A147" s="462">
        <f>Arbeitszeit!A148</f>
        <v>44976</v>
      </c>
      <c r="B147" s="463">
        <f t="shared" si="9"/>
        <v>44976</v>
      </c>
      <c r="C147" s="146">
        <f t="shared" si="10"/>
        <v>7</v>
      </c>
      <c r="D147" s="145">
        <f t="shared" si="11"/>
        <v>44957</v>
      </c>
      <c r="E147" s="510">
        <f>Arbeitszeit!V148*24</f>
        <v>0</v>
      </c>
      <c r="F147" s="574">
        <f t="shared" si="8"/>
        <v>0</v>
      </c>
      <c r="G147" s="113">
        <f>IF(Arbeitszeit!F148=Urlaub,B_WorkTime*24,)</f>
        <v>0</v>
      </c>
      <c r="H147" s="111"/>
      <c r="I147" s="113">
        <f>IF(Arbeitszeit!F148=Krank,B_WorkTime*24,)</f>
        <v>0</v>
      </c>
      <c r="J147" s="111"/>
      <c r="K147" s="114"/>
      <c r="L147" s="115"/>
      <c r="M147" s="498"/>
      <c r="N147" s="499"/>
      <c r="O147" s="498"/>
      <c r="P147" s="499"/>
      <c r="Q147" s="498"/>
      <c r="R147" s="499"/>
      <c r="S147" s="498"/>
      <c r="T147" s="499"/>
      <c r="U147" s="498"/>
      <c r="V147" s="499"/>
      <c r="W147" s="498"/>
      <c r="X147" s="499"/>
      <c r="Y147" s="498"/>
      <c r="Z147" s="499"/>
      <c r="AA147" s="498"/>
      <c r="AB147" s="499"/>
      <c r="AC147" s="498"/>
      <c r="AD147" s="499"/>
      <c r="AE147" s="498"/>
      <c r="AF147" s="500"/>
      <c r="AG147" s="498"/>
      <c r="AH147" s="500"/>
      <c r="AI147" s="498"/>
      <c r="AJ147" s="500"/>
      <c r="AK147" s="498"/>
      <c r="AL147" s="500"/>
      <c r="AM147" s="501"/>
      <c r="AN147" s="500"/>
      <c r="AO147" s="498"/>
      <c r="AP147" s="500"/>
      <c r="AQ147" s="501"/>
      <c r="AR147" s="500"/>
      <c r="AS147" s="500"/>
      <c r="AT147" s="500"/>
      <c r="AU147" s="501"/>
      <c r="AV147" s="500"/>
      <c r="AW147" s="500"/>
      <c r="AX147" s="500"/>
      <c r="AY147" s="576"/>
      <c r="AZ147" s="576"/>
      <c r="BA147" s="576"/>
      <c r="BB147" s="576"/>
      <c r="BC147" s="576"/>
      <c r="BD147" s="576"/>
      <c r="BE147" s="576"/>
      <c r="BF147" s="576"/>
      <c r="BG147" s="576"/>
      <c r="BH147" s="576"/>
      <c r="BI147" s="576"/>
      <c r="BJ147" s="576"/>
      <c r="BK147" s="576"/>
      <c r="BL147" s="576"/>
      <c r="BM147" s="576"/>
      <c r="BN147" s="576"/>
      <c r="BO147" s="576"/>
      <c r="BP147" s="576"/>
      <c r="BQ147" s="576"/>
      <c r="BR147" s="576"/>
      <c r="BS147" s="576"/>
      <c r="BT147" s="576"/>
      <c r="BU147" s="576"/>
      <c r="BV147" s="576"/>
      <c r="BW147" s="576"/>
      <c r="BX147" s="576"/>
      <c r="BY147" s="576"/>
      <c r="BZ147" s="576"/>
      <c r="CA147" s="576"/>
      <c r="CB147" s="576"/>
      <c r="CC147" s="576"/>
      <c r="CD147" s="576"/>
      <c r="CE147" s="576"/>
      <c r="CF147" s="576"/>
      <c r="CG147" s="576"/>
      <c r="CH147" s="576"/>
      <c r="CI147" s="576"/>
      <c r="CJ147" s="576"/>
      <c r="CK147" s="576"/>
      <c r="CL147" s="576"/>
      <c r="CM147" s="576"/>
      <c r="CN147" s="576"/>
      <c r="CO147" s="576"/>
      <c r="CP147" s="576"/>
      <c r="CQ147" s="576"/>
      <c r="CR147" s="576"/>
      <c r="CS147" s="576"/>
      <c r="CT147" s="576"/>
      <c r="CU147" s="576"/>
      <c r="CV147" s="576"/>
      <c r="CW147" s="576"/>
      <c r="CX147" s="576"/>
      <c r="CY147" s="576"/>
      <c r="CZ147" s="576"/>
      <c r="DA147" s="576"/>
      <c r="DB147" s="576"/>
      <c r="DC147" s="576"/>
      <c r="DD147" s="576"/>
      <c r="DE147" s="576"/>
      <c r="DF147" s="576"/>
      <c r="DG147" s="576"/>
      <c r="DH147" s="116"/>
      <c r="DI147" s="112"/>
      <c r="DJ147">
        <f ca="1">INDIRECT(ADDRESS(ROW()+1,COLUMN(Arbeitszeit!xDay),,,"Arbeitszeit"))</f>
        <v>6</v>
      </c>
    </row>
    <row r="148" spans="1:114">
      <c r="A148" s="462">
        <f>Arbeitszeit!A149</f>
        <v>44977</v>
      </c>
      <c r="B148" s="463">
        <f t="shared" si="9"/>
        <v>44977</v>
      </c>
      <c r="C148" s="146">
        <f t="shared" si="10"/>
        <v>7</v>
      </c>
      <c r="D148" s="145">
        <f t="shared" si="11"/>
        <v>44957</v>
      </c>
      <c r="E148" s="510">
        <f>Arbeitszeit!V149*24</f>
        <v>0</v>
      </c>
      <c r="F148" s="574">
        <f t="shared" si="8"/>
        <v>0</v>
      </c>
      <c r="G148" s="113">
        <f>IF(Arbeitszeit!F149=Urlaub,B_WorkTime*24,)</f>
        <v>0</v>
      </c>
      <c r="H148" s="111"/>
      <c r="I148" s="113">
        <f>IF(Arbeitszeit!F149=Krank,B_WorkTime*24,)</f>
        <v>0</v>
      </c>
      <c r="J148" s="111"/>
      <c r="K148" s="114"/>
      <c r="L148" s="115"/>
      <c r="M148" s="498"/>
      <c r="N148" s="499"/>
      <c r="O148" s="498"/>
      <c r="P148" s="499"/>
      <c r="Q148" s="498"/>
      <c r="R148" s="499"/>
      <c r="S148" s="498"/>
      <c r="T148" s="499"/>
      <c r="U148" s="498"/>
      <c r="V148" s="499"/>
      <c r="W148" s="498"/>
      <c r="X148" s="499"/>
      <c r="Y148" s="498"/>
      <c r="Z148" s="499"/>
      <c r="AA148" s="498"/>
      <c r="AB148" s="499"/>
      <c r="AC148" s="498"/>
      <c r="AD148" s="499"/>
      <c r="AE148" s="498"/>
      <c r="AF148" s="500"/>
      <c r="AG148" s="498"/>
      <c r="AH148" s="500"/>
      <c r="AI148" s="498"/>
      <c r="AJ148" s="500"/>
      <c r="AK148" s="498"/>
      <c r="AL148" s="500"/>
      <c r="AM148" s="501"/>
      <c r="AN148" s="500"/>
      <c r="AO148" s="498"/>
      <c r="AP148" s="500"/>
      <c r="AQ148" s="501"/>
      <c r="AR148" s="500"/>
      <c r="AS148" s="500"/>
      <c r="AT148" s="500"/>
      <c r="AU148" s="501"/>
      <c r="AV148" s="500"/>
      <c r="AW148" s="500"/>
      <c r="AX148" s="500"/>
      <c r="AY148" s="576"/>
      <c r="AZ148" s="576"/>
      <c r="BA148" s="576"/>
      <c r="BB148" s="576"/>
      <c r="BC148" s="576"/>
      <c r="BD148" s="576"/>
      <c r="BE148" s="576"/>
      <c r="BF148" s="576"/>
      <c r="BG148" s="576"/>
      <c r="BH148" s="576"/>
      <c r="BI148" s="576"/>
      <c r="BJ148" s="576"/>
      <c r="BK148" s="576"/>
      <c r="BL148" s="576"/>
      <c r="BM148" s="576"/>
      <c r="BN148" s="576"/>
      <c r="BO148" s="576"/>
      <c r="BP148" s="576"/>
      <c r="BQ148" s="576"/>
      <c r="BR148" s="576"/>
      <c r="BS148" s="576"/>
      <c r="BT148" s="576"/>
      <c r="BU148" s="576"/>
      <c r="BV148" s="576"/>
      <c r="BW148" s="576"/>
      <c r="BX148" s="576"/>
      <c r="BY148" s="576"/>
      <c r="BZ148" s="576"/>
      <c r="CA148" s="576"/>
      <c r="CB148" s="576"/>
      <c r="CC148" s="576"/>
      <c r="CD148" s="576"/>
      <c r="CE148" s="576"/>
      <c r="CF148" s="576"/>
      <c r="CG148" s="576"/>
      <c r="CH148" s="576"/>
      <c r="CI148" s="576"/>
      <c r="CJ148" s="576"/>
      <c r="CK148" s="576"/>
      <c r="CL148" s="576"/>
      <c r="CM148" s="576"/>
      <c r="CN148" s="576"/>
      <c r="CO148" s="576"/>
      <c r="CP148" s="576"/>
      <c r="CQ148" s="576"/>
      <c r="CR148" s="576"/>
      <c r="CS148" s="576"/>
      <c r="CT148" s="576"/>
      <c r="CU148" s="576"/>
      <c r="CV148" s="576"/>
      <c r="CW148" s="576"/>
      <c r="CX148" s="576"/>
      <c r="CY148" s="576"/>
      <c r="CZ148" s="576"/>
      <c r="DA148" s="576"/>
      <c r="DB148" s="576"/>
      <c r="DC148" s="576"/>
      <c r="DD148" s="576"/>
      <c r="DE148" s="576"/>
      <c r="DF148" s="576"/>
      <c r="DG148" s="576"/>
      <c r="DH148" s="116"/>
      <c r="DI148" s="112"/>
      <c r="DJ148">
        <f ca="1">INDIRECT(ADDRESS(ROW()+1,COLUMN(Arbeitszeit!xDay),,,"Arbeitszeit"))</f>
        <v>7</v>
      </c>
    </row>
    <row r="149" spans="1:114">
      <c r="A149" s="462">
        <f>Arbeitszeit!A150</f>
        <v>44978</v>
      </c>
      <c r="B149" s="463">
        <f t="shared" si="9"/>
        <v>44978</v>
      </c>
      <c r="C149" s="146">
        <f t="shared" si="10"/>
        <v>8</v>
      </c>
      <c r="D149" s="145">
        <f t="shared" si="11"/>
        <v>44957</v>
      </c>
      <c r="E149" s="510">
        <f>Arbeitszeit!V150*24</f>
        <v>0</v>
      </c>
      <c r="F149" s="574">
        <f t="shared" si="8"/>
        <v>0</v>
      </c>
      <c r="G149" s="113">
        <f>IF(Arbeitszeit!F150=Urlaub,B_WorkTime*24,)</f>
        <v>0</v>
      </c>
      <c r="H149" s="111"/>
      <c r="I149" s="113">
        <f>IF(Arbeitszeit!F150=Krank,B_WorkTime*24,)</f>
        <v>0</v>
      </c>
      <c r="J149" s="111"/>
      <c r="K149" s="114"/>
      <c r="L149" s="115"/>
      <c r="M149" s="498"/>
      <c r="N149" s="499"/>
      <c r="O149" s="498"/>
      <c r="P149" s="499"/>
      <c r="Q149" s="498"/>
      <c r="R149" s="499"/>
      <c r="S149" s="498"/>
      <c r="T149" s="499"/>
      <c r="U149" s="498"/>
      <c r="V149" s="499"/>
      <c r="W149" s="498"/>
      <c r="X149" s="499"/>
      <c r="Y149" s="498"/>
      <c r="Z149" s="499"/>
      <c r="AA149" s="498"/>
      <c r="AB149" s="499"/>
      <c r="AC149" s="498"/>
      <c r="AD149" s="499"/>
      <c r="AE149" s="498"/>
      <c r="AF149" s="500"/>
      <c r="AG149" s="498"/>
      <c r="AH149" s="500"/>
      <c r="AI149" s="498"/>
      <c r="AJ149" s="500"/>
      <c r="AK149" s="498"/>
      <c r="AL149" s="500"/>
      <c r="AM149" s="501"/>
      <c r="AN149" s="500"/>
      <c r="AO149" s="498"/>
      <c r="AP149" s="500"/>
      <c r="AQ149" s="501"/>
      <c r="AR149" s="500"/>
      <c r="AS149" s="500"/>
      <c r="AT149" s="500"/>
      <c r="AU149" s="501"/>
      <c r="AV149" s="500"/>
      <c r="AW149" s="500"/>
      <c r="AX149" s="500"/>
      <c r="AY149" s="576"/>
      <c r="AZ149" s="576"/>
      <c r="BA149" s="576"/>
      <c r="BB149" s="576"/>
      <c r="BC149" s="576"/>
      <c r="BD149" s="576"/>
      <c r="BE149" s="576"/>
      <c r="BF149" s="576"/>
      <c r="BG149" s="576"/>
      <c r="BH149" s="576"/>
      <c r="BI149" s="576"/>
      <c r="BJ149" s="576"/>
      <c r="BK149" s="576"/>
      <c r="BL149" s="576"/>
      <c r="BM149" s="576"/>
      <c r="BN149" s="576"/>
      <c r="BO149" s="576"/>
      <c r="BP149" s="576"/>
      <c r="BQ149" s="576"/>
      <c r="BR149" s="576"/>
      <c r="BS149" s="576"/>
      <c r="BT149" s="576"/>
      <c r="BU149" s="576"/>
      <c r="BV149" s="576"/>
      <c r="BW149" s="576"/>
      <c r="BX149" s="576"/>
      <c r="BY149" s="576"/>
      <c r="BZ149" s="576"/>
      <c r="CA149" s="576"/>
      <c r="CB149" s="576"/>
      <c r="CC149" s="576"/>
      <c r="CD149" s="576"/>
      <c r="CE149" s="576"/>
      <c r="CF149" s="576"/>
      <c r="CG149" s="576"/>
      <c r="CH149" s="576"/>
      <c r="CI149" s="576"/>
      <c r="CJ149" s="576"/>
      <c r="CK149" s="576"/>
      <c r="CL149" s="576"/>
      <c r="CM149" s="576"/>
      <c r="CN149" s="576"/>
      <c r="CO149" s="576"/>
      <c r="CP149" s="576"/>
      <c r="CQ149" s="576"/>
      <c r="CR149" s="576"/>
      <c r="CS149" s="576"/>
      <c r="CT149" s="576"/>
      <c r="CU149" s="576"/>
      <c r="CV149" s="576"/>
      <c r="CW149" s="576"/>
      <c r="CX149" s="576"/>
      <c r="CY149" s="576"/>
      <c r="CZ149" s="576"/>
      <c r="DA149" s="576"/>
      <c r="DB149" s="576"/>
      <c r="DC149" s="576"/>
      <c r="DD149" s="576"/>
      <c r="DE149" s="576"/>
      <c r="DF149" s="576"/>
      <c r="DG149" s="576"/>
      <c r="DH149" s="116"/>
      <c r="DI149" s="112"/>
      <c r="DJ149">
        <f ca="1">INDIRECT(ADDRESS(ROW()+1,COLUMN(Arbeitszeit!xDay),,,"Arbeitszeit"))</f>
        <v>1</v>
      </c>
    </row>
    <row r="150" spans="1:114">
      <c r="A150" s="462">
        <f>Arbeitszeit!A151</f>
        <v>44979</v>
      </c>
      <c r="B150" s="463">
        <f t="shared" si="9"/>
        <v>44979</v>
      </c>
      <c r="C150" s="146">
        <f t="shared" si="10"/>
        <v>8</v>
      </c>
      <c r="D150" s="145">
        <f t="shared" si="11"/>
        <v>44957</v>
      </c>
      <c r="E150" s="510">
        <f>Arbeitszeit!V151*24</f>
        <v>0</v>
      </c>
      <c r="F150" s="574">
        <f t="shared" si="8"/>
        <v>0</v>
      </c>
      <c r="G150" s="113">
        <f>IF(Arbeitszeit!F151=Urlaub,B_WorkTime*24,)</f>
        <v>0</v>
      </c>
      <c r="H150" s="111"/>
      <c r="I150" s="113">
        <f>IF(Arbeitszeit!F151=Krank,B_WorkTime*24,)</f>
        <v>0</v>
      </c>
      <c r="J150" s="111"/>
      <c r="K150" s="114"/>
      <c r="L150" s="115"/>
      <c r="M150" s="498"/>
      <c r="N150" s="499"/>
      <c r="O150" s="498"/>
      <c r="P150" s="499"/>
      <c r="Q150" s="498"/>
      <c r="R150" s="499"/>
      <c r="S150" s="498"/>
      <c r="T150" s="499"/>
      <c r="U150" s="498"/>
      <c r="V150" s="499"/>
      <c r="W150" s="498"/>
      <c r="X150" s="499"/>
      <c r="Y150" s="498"/>
      <c r="Z150" s="499"/>
      <c r="AA150" s="498"/>
      <c r="AB150" s="499"/>
      <c r="AC150" s="498"/>
      <c r="AD150" s="499"/>
      <c r="AE150" s="498"/>
      <c r="AF150" s="500"/>
      <c r="AG150" s="498"/>
      <c r="AH150" s="500"/>
      <c r="AI150" s="498"/>
      <c r="AJ150" s="500"/>
      <c r="AK150" s="498"/>
      <c r="AL150" s="500"/>
      <c r="AM150" s="501"/>
      <c r="AN150" s="500"/>
      <c r="AO150" s="498"/>
      <c r="AP150" s="500"/>
      <c r="AQ150" s="501"/>
      <c r="AR150" s="500"/>
      <c r="AS150" s="500"/>
      <c r="AT150" s="500"/>
      <c r="AU150" s="501"/>
      <c r="AV150" s="500"/>
      <c r="AW150" s="500"/>
      <c r="AX150" s="500"/>
      <c r="AY150" s="576"/>
      <c r="AZ150" s="576"/>
      <c r="BA150" s="576"/>
      <c r="BB150" s="576"/>
      <c r="BC150" s="576"/>
      <c r="BD150" s="576"/>
      <c r="BE150" s="576"/>
      <c r="BF150" s="576"/>
      <c r="BG150" s="576"/>
      <c r="BH150" s="576"/>
      <c r="BI150" s="576"/>
      <c r="BJ150" s="576"/>
      <c r="BK150" s="576"/>
      <c r="BL150" s="576"/>
      <c r="BM150" s="576"/>
      <c r="BN150" s="576"/>
      <c r="BO150" s="576"/>
      <c r="BP150" s="576"/>
      <c r="BQ150" s="576"/>
      <c r="BR150" s="576"/>
      <c r="BS150" s="576"/>
      <c r="BT150" s="576"/>
      <c r="BU150" s="576"/>
      <c r="BV150" s="576"/>
      <c r="BW150" s="576"/>
      <c r="BX150" s="576"/>
      <c r="BY150" s="576"/>
      <c r="BZ150" s="576"/>
      <c r="CA150" s="576"/>
      <c r="CB150" s="576"/>
      <c r="CC150" s="576"/>
      <c r="CD150" s="576"/>
      <c r="CE150" s="576"/>
      <c r="CF150" s="576"/>
      <c r="CG150" s="576"/>
      <c r="CH150" s="576"/>
      <c r="CI150" s="576"/>
      <c r="CJ150" s="576"/>
      <c r="CK150" s="576"/>
      <c r="CL150" s="576"/>
      <c r="CM150" s="576"/>
      <c r="CN150" s="576"/>
      <c r="CO150" s="576"/>
      <c r="CP150" s="576"/>
      <c r="CQ150" s="576"/>
      <c r="CR150" s="576"/>
      <c r="CS150" s="576"/>
      <c r="CT150" s="576"/>
      <c r="CU150" s="576"/>
      <c r="CV150" s="576"/>
      <c r="CW150" s="576"/>
      <c r="CX150" s="576"/>
      <c r="CY150" s="576"/>
      <c r="CZ150" s="576"/>
      <c r="DA150" s="576"/>
      <c r="DB150" s="576"/>
      <c r="DC150" s="576"/>
      <c r="DD150" s="576"/>
      <c r="DE150" s="576"/>
      <c r="DF150" s="576"/>
      <c r="DG150" s="576"/>
      <c r="DH150" s="116"/>
      <c r="DI150" s="112"/>
      <c r="DJ150">
        <f ca="1">INDIRECT(ADDRESS(ROW()+1,COLUMN(Arbeitszeit!xDay),,,"Arbeitszeit"))</f>
        <v>2</v>
      </c>
    </row>
    <row r="151" spans="1:114">
      <c r="A151" s="462">
        <f>Arbeitszeit!A152</f>
        <v>44980</v>
      </c>
      <c r="B151" s="463">
        <f t="shared" si="9"/>
        <v>44980</v>
      </c>
      <c r="C151" s="146">
        <f t="shared" si="10"/>
        <v>8</v>
      </c>
      <c r="D151" s="145">
        <f t="shared" si="11"/>
        <v>44957</v>
      </c>
      <c r="E151" s="510">
        <f>Arbeitszeit!V152*24</f>
        <v>0</v>
      </c>
      <c r="F151" s="574">
        <f t="shared" si="8"/>
        <v>0</v>
      </c>
      <c r="G151" s="113">
        <f>IF(Arbeitszeit!F152=Urlaub,B_WorkTime*24,)</f>
        <v>0</v>
      </c>
      <c r="H151" s="111"/>
      <c r="I151" s="113">
        <f>IF(Arbeitszeit!F152=Krank,B_WorkTime*24,)</f>
        <v>0</v>
      </c>
      <c r="J151" s="111"/>
      <c r="K151" s="114"/>
      <c r="L151" s="115"/>
      <c r="M151" s="498"/>
      <c r="N151" s="499"/>
      <c r="O151" s="498"/>
      <c r="P151" s="499"/>
      <c r="Q151" s="498"/>
      <c r="R151" s="499"/>
      <c r="S151" s="498"/>
      <c r="T151" s="499"/>
      <c r="U151" s="498"/>
      <c r="V151" s="499"/>
      <c r="W151" s="498"/>
      <c r="X151" s="499"/>
      <c r="Y151" s="498"/>
      <c r="Z151" s="499"/>
      <c r="AA151" s="498"/>
      <c r="AB151" s="499"/>
      <c r="AC151" s="498"/>
      <c r="AD151" s="499"/>
      <c r="AE151" s="498"/>
      <c r="AF151" s="500"/>
      <c r="AG151" s="498"/>
      <c r="AH151" s="500"/>
      <c r="AI151" s="498"/>
      <c r="AJ151" s="500"/>
      <c r="AK151" s="498"/>
      <c r="AL151" s="500"/>
      <c r="AM151" s="501"/>
      <c r="AN151" s="500"/>
      <c r="AO151" s="498"/>
      <c r="AP151" s="500"/>
      <c r="AQ151" s="501"/>
      <c r="AR151" s="500"/>
      <c r="AS151" s="500"/>
      <c r="AT151" s="500"/>
      <c r="AU151" s="501"/>
      <c r="AV151" s="500"/>
      <c r="AW151" s="500"/>
      <c r="AX151" s="500"/>
      <c r="AY151" s="576"/>
      <c r="AZ151" s="576"/>
      <c r="BA151" s="576"/>
      <c r="BB151" s="576"/>
      <c r="BC151" s="576"/>
      <c r="BD151" s="576"/>
      <c r="BE151" s="576"/>
      <c r="BF151" s="576"/>
      <c r="BG151" s="576"/>
      <c r="BH151" s="576"/>
      <c r="BI151" s="576"/>
      <c r="BJ151" s="576"/>
      <c r="BK151" s="576"/>
      <c r="BL151" s="576"/>
      <c r="BM151" s="576"/>
      <c r="BN151" s="576"/>
      <c r="BO151" s="576"/>
      <c r="BP151" s="576"/>
      <c r="BQ151" s="576"/>
      <c r="BR151" s="576"/>
      <c r="BS151" s="576"/>
      <c r="BT151" s="576"/>
      <c r="BU151" s="576"/>
      <c r="BV151" s="576"/>
      <c r="BW151" s="576"/>
      <c r="BX151" s="576"/>
      <c r="BY151" s="576"/>
      <c r="BZ151" s="576"/>
      <c r="CA151" s="576"/>
      <c r="CB151" s="576"/>
      <c r="CC151" s="576"/>
      <c r="CD151" s="576"/>
      <c r="CE151" s="576"/>
      <c r="CF151" s="576"/>
      <c r="CG151" s="576"/>
      <c r="CH151" s="576"/>
      <c r="CI151" s="576"/>
      <c r="CJ151" s="576"/>
      <c r="CK151" s="576"/>
      <c r="CL151" s="576"/>
      <c r="CM151" s="576"/>
      <c r="CN151" s="576"/>
      <c r="CO151" s="576"/>
      <c r="CP151" s="576"/>
      <c r="CQ151" s="576"/>
      <c r="CR151" s="576"/>
      <c r="CS151" s="576"/>
      <c r="CT151" s="576"/>
      <c r="CU151" s="576"/>
      <c r="CV151" s="576"/>
      <c r="CW151" s="576"/>
      <c r="CX151" s="576"/>
      <c r="CY151" s="576"/>
      <c r="CZ151" s="576"/>
      <c r="DA151" s="576"/>
      <c r="DB151" s="576"/>
      <c r="DC151" s="576"/>
      <c r="DD151" s="576"/>
      <c r="DE151" s="576"/>
      <c r="DF151" s="576"/>
      <c r="DG151" s="576"/>
      <c r="DH151" s="116"/>
      <c r="DI151" s="112"/>
      <c r="DJ151">
        <f ca="1">INDIRECT(ADDRESS(ROW()+1,COLUMN(Arbeitszeit!xDay),,,"Arbeitszeit"))</f>
        <v>3</v>
      </c>
    </row>
    <row r="152" spans="1:114">
      <c r="A152" s="462">
        <f>Arbeitszeit!A153</f>
        <v>44981</v>
      </c>
      <c r="B152" s="463">
        <f t="shared" si="9"/>
        <v>44981</v>
      </c>
      <c r="C152" s="146">
        <f t="shared" si="10"/>
        <v>8</v>
      </c>
      <c r="D152" s="145">
        <f t="shared" si="11"/>
        <v>44957</v>
      </c>
      <c r="E152" s="510">
        <f>Arbeitszeit!V153*24</f>
        <v>0</v>
      </c>
      <c r="F152" s="574">
        <f t="shared" si="8"/>
        <v>0</v>
      </c>
      <c r="G152" s="113">
        <f>IF(Arbeitszeit!F153=Urlaub,B_WorkTime*24,)</f>
        <v>0</v>
      </c>
      <c r="H152" s="111"/>
      <c r="I152" s="113">
        <f>IF(Arbeitszeit!F153=Krank,B_WorkTime*24,)</f>
        <v>0</v>
      </c>
      <c r="J152" s="111"/>
      <c r="K152" s="114"/>
      <c r="L152" s="115"/>
      <c r="M152" s="498"/>
      <c r="N152" s="499"/>
      <c r="O152" s="498"/>
      <c r="P152" s="499"/>
      <c r="Q152" s="498"/>
      <c r="R152" s="499"/>
      <c r="S152" s="498"/>
      <c r="T152" s="499"/>
      <c r="U152" s="498"/>
      <c r="V152" s="499"/>
      <c r="W152" s="498"/>
      <c r="X152" s="499"/>
      <c r="Y152" s="498"/>
      <c r="Z152" s="499"/>
      <c r="AA152" s="498"/>
      <c r="AB152" s="499"/>
      <c r="AC152" s="498"/>
      <c r="AD152" s="499"/>
      <c r="AE152" s="498"/>
      <c r="AF152" s="500"/>
      <c r="AG152" s="498"/>
      <c r="AH152" s="500"/>
      <c r="AI152" s="498"/>
      <c r="AJ152" s="500"/>
      <c r="AK152" s="498"/>
      <c r="AL152" s="500"/>
      <c r="AM152" s="501"/>
      <c r="AN152" s="500"/>
      <c r="AO152" s="498"/>
      <c r="AP152" s="500"/>
      <c r="AQ152" s="501"/>
      <c r="AR152" s="500"/>
      <c r="AS152" s="500"/>
      <c r="AT152" s="500"/>
      <c r="AU152" s="501"/>
      <c r="AV152" s="500"/>
      <c r="AW152" s="500"/>
      <c r="AX152" s="500"/>
      <c r="AY152" s="576"/>
      <c r="AZ152" s="576"/>
      <c r="BA152" s="576"/>
      <c r="BB152" s="576"/>
      <c r="BC152" s="576"/>
      <c r="BD152" s="576"/>
      <c r="BE152" s="576"/>
      <c r="BF152" s="576"/>
      <c r="BG152" s="576"/>
      <c r="BH152" s="576"/>
      <c r="BI152" s="576"/>
      <c r="BJ152" s="576"/>
      <c r="BK152" s="576"/>
      <c r="BL152" s="576"/>
      <c r="BM152" s="576"/>
      <c r="BN152" s="576"/>
      <c r="BO152" s="576"/>
      <c r="BP152" s="576"/>
      <c r="BQ152" s="576"/>
      <c r="BR152" s="576"/>
      <c r="BS152" s="576"/>
      <c r="BT152" s="576"/>
      <c r="BU152" s="576"/>
      <c r="BV152" s="576"/>
      <c r="BW152" s="576"/>
      <c r="BX152" s="576"/>
      <c r="BY152" s="576"/>
      <c r="BZ152" s="576"/>
      <c r="CA152" s="576"/>
      <c r="CB152" s="576"/>
      <c r="CC152" s="576"/>
      <c r="CD152" s="576"/>
      <c r="CE152" s="576"/>
      <c r="CF152" s="576"/>
      <c r="CG152" s="576"/>
      <c r="CH152" s="576"/>
      <c r="CI152" s="576"/>
      <c r="CJ152" s="576"/>
      <c r="CK152" s="576"/>
      <c r="CL152" s="576"/>
      <c r="CM152" s="576"/>
      <c r="CN152" s="576"/>
      <c r="CO152" s="576"/>
      <c r="CP152" s="576"/>
      <c r="CQ152" s="576"/>
      <c r="CR152" s="576"/>
      <c r="CS152" s="576"/>
      <c r="CT152" s="576"/>
      <c r="CU152" s="576"/>
      <c r="CV152" s="576"/>
      <c r="CW152" s="576"/>
      <c r="CX152" s="576"/>
      <c r="CY152" s="576"/>
      <c r="CZ152" s="576"/>
      <c r="DA152" s="576"/>
      <c r="DB152" s="576"/>
      <c r="DC152" s="576"/>
      <c r="DD152" s="576"/>
      <c r="DE152" s="576"/>
      <c r="DF152" s="576"/>
      <c r="DG152" s="576"/>
      <c r="DH152" s="116"/>
      <c r="DI152" s="112"/>
      <c r="DJ152">
        <f ca="1">INDIRECT(ADDRESS(ROW()+1,COLUMN(Arbeitszeit!xDay),,,"Arbeitszeit"))</f>
        <v>4</v>
      </c>
    </row>
    <row r="153" spans="1:114">
      <c r="A153" s="462">
        <f>Arbeitszeit!A154</f>
        <v>44982</v>
      </c>
      <c r="B153" s="463">
        <f t="shared" si="9"/>
        <v>44982</v>
      </c>
      <c r="C153" s="146">
        <f t="shared" si="10"/>
        <v>8</v>
      </c>
      <c r="D153" s="145">
        <f t="shared" si="11"/>
        <v>44957</v>
      </c>
      <c r="E153" s="510">
        <f>Arbeitszeit!V154*24</f>
        <v>0</v>
      </c>
      <c r="F153" s="574">
        <f t="shared" si="8"/>
        <v>0</v>
      </c>
      <c r="G153" s="113">
        <f>IF(Arbeitszeit!F154=Urlaub,B_WorkTime*24,)</f>
        <v>0</v>
      </c>
      <c r="H153" s="111"/>
      <c r="I153" s="113">
        <f>IF(Arbeitszeit!F154=Krank,B_WorkTime*24,)</f>
        <v>0</v>
      </c>
      <c r="J153" s="111"/>
      <c r="K153" s="114"/>
      <c r="L153" s="115"/>
      <c r="M153" s="498"/>
      <c r="N153" s="499"/>
      <c r="O153" s="498"/>
      <c r="P153" s="499"/>
      <c r="Q153" s="498"/>
      <c r="R153" s="499"/>
      <c r="S153" s="498"/>
      <c r="T153" s="499"/>
      <c r="U153" s="498"/>
      <c r="V153" s="499"/>
      <c r="W153" s="498"/>
      <c r="X153" s="499"/>
      <c r="Y153" s="498"/>
      <c r="Z153" s="499"/>
      <c r="AA153" s="498"/>
      <c r="AB153" s="499"/>
      <c r="AC153" s="498"/>
      <c r="AD153" s="499"/>
      <c r="AE153" s="498"/>
      <c r="AF153" s="500"/>
      <c r="AG153" s="498"/>
      <c r="AH153" s="500"/>
      <c r="AI153" s="498"/>
      <c r="AJ153" s="500"/>
      <c r="AK153" s="498"/>
      <c r="AL153" s="500"/>
      <c r="AM153" s="501"/>
      <c r="AN153" s="500"/>
      <c r="AO153" s="498"/>
      <c r="AP153" s="500"/>
      <c r="AQ153" s="501"/>
      <c r="AR153" s="500"/>
      <c r="AS153" s="500"/>
      <c r="AT153" s="500"/>
      <c r="AU153" s="501"/>
      <c r="AV153" s="500"/>
      <c r="AW153" s="500"/>
      <c r="AX153" s="500"/>
      <c r="AY153" s="576"/>
      <c r="AZ153" s="576"/>
      <c r="BA153" s="576"/>
      <c r="BB153" s="576"/>
      <c r="BC153" s="576"/>
      <c r="BD153" s="576"/>
      <c r="BE153" s="576"/>
      <c r="BF153" s="576"/>
      <c r="BG153" s="576"/>
      <c r="BH153" s="576"/>
      <c r="BI153" s="576"/>
      <c r="BJ153" s="576"/>
      <c r="BK153" s="576"/>
      <c r="BL153" s="576"/>
      <c r="BM153" s="576"/>
      <c r="BN153" s="576"/>
      <c r="BO153" s="576"/>
      <c r="BP153" s="576"/>
      <c r="BQ153" s="576"/>
      <c r="BR153" s="576"/>
      <c r="BS153" s="576"/>
      <c r="BT153" s="576"/>
      <c r="BU153" s="576"/>
      <c r="BV153" s="576"/>
      <c r="BW153" s="576"/>
      <c r="BX153" s="576"/>
      <c r="BY153" s="576"/>
      <c r="BZ153" s="576"/>
      <c r="CA153" s="576"/>
      <c r="CB153" s="576"/>
      <c r="CC153" s="576"/>
      <c r="CD153" s="576"/>
      <c r="CE153" s="576"/>
      <c r="CF153" s="576"/>
      <c r="CG153" s="576"/>
      <c r="CH153" s="576"/>
      <c r="CI153" s="576"/>
      <c r="CJ153" s="576"/>
      <c r="CK153" s="576"/>
      <c r="CL153" s="576"/>
      <c r="CM153" s="576"/>
      <c r="CN153" s="576"/>
      <c r="CO153" s="576"/>
      <c r="CP153" s="576"/>
      <c r="CQ153" s="576"/>
      <c r="CR153" s="576"/>
      <c r="CS153" s="576"/>
      <c r="CT153" s="576"/>
      <c r="CU153" s="576"/>
      <c r="CV153" s="576"/>
      <c r="CW153" s="576"/>
      <c r="CX153" s="576"/>
      <c r="CY153" s="576"/>
      <c r="CZ153" s="576"/>
      <c r="DA153" s="576"/>
      <c r="DB153" s="576"/>
      <c r="DC153" s="576"/>
      <c r="DD153" s="576"/>
      <c r="DE153" s="576"/>
      <c r="DF153" s="576"/>
      <c r="DG153" s="576"/>
      <c r="DH153" s="116"/>
      <c r="DI153" s="112"/>
      <c r="DJ153">
        <f ca="1">INDIRECT(ADDRESS(ROW()+1,COLUMN(Arbeitszeit!xDay),,,"Arbeitszeit"))</f>
        <v>5</v>
      </c>
    </row>
    <row r="154" spans="1:114">
      <c r="A154" s="462">
        <f>Arbeitszeit!A155</f>
        <v>44983</v>
      </c>
      <c r="B154" s="463">
        <f t="shared" si="9"/>
        <v>44983</v>
      </c>
      <c r="C154" s="146">
        <f t="shared" si="10"/>
        <v>8</v>
      </c>
      <c r="D154" s="145">
        <f t="shared" si="11"/>
        <v>44957</v>
      </c>
      <c r="E154" s="510">
        <f>Arbeitszeit!V155*24</f>
        <v>0</v>
      </c>
      <c r="F154" s="574">
        <f t="shared" si="8"/>
        <v>0</v>
      </c>
      <c r="G154" s="113">
        <f>IF(Arbeitszeit!F155=Urlaub,B_WorkTime*24,)</f>
        <v>0</v>
      </c>
      <c r="H154" s="111"/>
      <c r="I154" s="113">
        <f>IF(Arbeitszeit!F155=Krank,B_WorkTime*24,)</f>
        <v>0</v>
      </c>
      <c r="J154" s="111"/>
      <c r="K154" s="114"/>
      <c r="L154" s="115"/>
      <c r="M154" s="498"/>
      <c r="N154" s="499"/>
      <c r="O154" s="498"/>
      <c r="P154" s="499"/>
      <c r="Q154" s="498"/>
      <c r="R154" s="499"/>
      <c r="S154" s="498"/>
      <c r="T154" s="499"/>
      <c r="U154" s="498"/>
      <c r="V154" s="499"/>
      <c r="W154" s="498"/>
      <c r="X154" s="499"/>
      <c r="Y154" s="498"/>
      <c r="Z154" s="499"/>
      <c r="AA154" s="498"/>
      <c r="AB154" s="499"/>
      <c r="AC154" s="498"/>
      <c r="AD154" s="499"/>
      <c r="AE154" s="498"/>
      <c r="AF154" s="500"/>
      <c r="AG154" s="498"/>
      <c r="AH154" s="500"/>
      <c r="AI154" s="498"/>
      <c r="AJ154" s="500"/>
      <c r="AK154" s="498"/>
      <c r="AL154" s="500"/>
      <c r="AM154" s="501"/>
      <c r="AN154" s="500"/>
      <c r="AO154" s="498"/>
      <c r="AP154" s="500"/>
      <c r="AQ154" s="501"/>
      <c r="AR154" s="500"/>
      <c r="AS154" s="500"/>
      <c r="AT154" s="500"/>
      <c r="AU154" s="501"/>
      <c r="AV154" s="500"/>
      <c r="AW154" s="500"/>
      <c r="AX154" s="500"/>
      <c r="AY154" s="576"/>
      <c r="AZ154" s="576"/>
      <c r="BA154" s="576"/>
      <c r="BB154" s="576"/>
      <c r="BC154" s="576"/>
      <c r="BD154" s="576"/>
      <c r="BE154" s="576"/>
      <c r="BF154" s="576"/>
      <c r="BG154" s="576"/>
      <c r="BH154" s="576"/>
      <c r="BI154" s="576"/>
      <c r="BJ154" s="576"/>
      <c r="BK154" s="576"/>
      <c r="BL154" s="576"/>
      <c r="BM154" s="576"/>
      <c r="BN154" s="576"/>
      <c r="BO154" s="576"/>
      <c r="BP154" s="576"/>
      <c r="BQ154" s="576"/>
      <c r="BR154" s="576"/>
      <c r="BS154" s="576"/>
      <c r="BT154" s="576"/>
      <c r="BU154" s="576"/>
      <c r="BV154" s="576"/>
      <c r="BW154" s="576"/>
      <c r="BX154" s="576"/>
      <c r="BY154" s="576"/>
      <c r="BZ154" s="576"/>
      <c r="CA154" s="576"/>
      <c r="CB154" s="576"/>
      <c r="CC154" s="576"/>
      <c r="CD154" s="576"/>
      <c r="CE154" s="576"/>
      <c r="CF154" s="576"/>
      <c r="CG154" s="576"/>
      <c r="CH154" s="576"/>
      <c r="CI154" s="576"/>
      <c r="CJ154" s="576"/>
      <c r="CK154" s="576"/>
      <c r="CL154" s="576"/>
      <c r="CM154" s="576"/>
      <c r="CN154" s="576"/>
      <c r="CO154" s="576"/>
      <c r="CP154" s="576"/>
      <c r="CQ154" s="576"/>
      <c r="CR154" s="576"/>
      <c r="CS154" s="576"/>
      <c r="CT154" s="576"/>
      <c r="CU154" s="576"/>
      <c r="CV154" s="576"/>
      <c r="CW154" s="576"/>
      <c r="CX154" s="576"/>
      <c r="CY154" s="576"/>
      <c r="CZ154" s="576"/>
      <c r="DA154" s="576"/>
      <c r="DB154" s="576"/>
      <c r="DC154" s="576"/>
      <c r="DD154" s="576"/>
      <c r="DE154" s="576"/>
      <c r="DF154" s="576"/>
      <c r="DG154" s="576"/>
      <c r="DH154" s="116"/>
      <c r="DI154" s="112"/>
      <c r="DJ154">
        <f ca="1">INDIRECT(ADDRESS(ROW()+1,COLUMN(Arbeitszeit!xDay),,,"Arbeitszeit"))</f>
        <v>6</v>
      </c>
    </row>
    <row r="155" spans="1:114">
      <c r="A155" s="462">
        <f>Arbeitszeit!A156</f>
        <v>44984</v>
      </c>
      <c r="B155" s="463">
        <f t="shared" si="9"/>
        <v>44984</v>
      </c>
      <c r="C155" s="146">
        <f t="shared" si="10"/>
        <v>8</v>
      </c>
      <c r="D155" s="145">
        <f t="shared" si="11"/>
        <v>44957</v>
      </c>
      <c r="E155" s="510">
        <f>Arbeitszeit!V156*24</f>
        <v>0</v>
      </c>
      <c r="F155" s="574">
        <f t="shared" si="8"/>
        <v>0</v>
      </c>
      <c r="G155" s="113">
        <f>IF(Arbeitszeit!F156=Urlaub,B_WorkTime*24,)</f>
        <v>0</v>
      </c>
      <c r="H155" s="111"/>
      <c r="I155" s="113">
        <f>IF(Arbeitszeit!F156=Krank,B_WorkTime*24,)</f>
        <v>0</v>
      </c>
      <c r="J155" s="111"/>
      <c r="K155" s="114"/>
      <c r="L155" s="115"/>
      <c r="M155" s="498"/>
      <c r="N155" s="499"/>
      <c r="O155" s="498"/>
      <c r="P155" s="499"/>
      <c r="Q155" s="498"/>
      <c r="R155" s="499"/>
      <c r="S155" s="498"/>
      <c r="T155" s="499"/>
      <c r="U155" s="498"/>
      <c r="V155" s="499"/>
      <c r="W155" s="498"/>
      <c r="X155" s="499"/>
      <c r="Y155" s="498"/>
      <c r="Z155" s="499"/>
      <c r="AA155" s="498"/>
      <c r="AB155" s="499"/>
      <c r="AC155" s="498"/>
      <c r="AD155" s="499"/>
      <c r="AE155" s="498"/>
      <c r="AF155" s="500"/>
      <c r="AG155" s="498"/>
      <c r="AH155" s="500"/>
      <c r="AI155" s="498"/>
      <c r="AJ155" s="500"/>
      <c r="AK155" s="498"/>
      <c r="AL155" s="500"/>
      <c r="AM155" s="501"/>
      <c r="AN155" s="500"/>
      <c r="AO155" s="498"/>
      <c r="AP155" s="500"/>
      <c r="AQ155" s="501"/>
      <c r="AR155" s="500"/>
      <c r="AS155" s="500"/>
      <c r="AT155" s="500"/>
      <c r="AU155" s="501"/>
      <c r="AV155" s="500"/>
      <c r="AW155" s="500"/>
      <c r="AX155" s="500"/>
      <c r="AY155" s="576"/>
      <c r="AZ155" s="576"/>
      <c r="BA155" s="576"/>
      <c r="BB155" s="576"/>
      <c r="BC155" s="576"/>
      <c r="BD155" s="576"/>
      <c r="BE155" s="576"/>
      <c r="BF155" s="576"/>
      <c r="BG155" s="576"/>
      <c r="BH155" s="576"/>
      <c r="BI155" s="576"/>
      <c r="BJ155" s="576"/>
      <c r="BK155" s="576"/>
      <c r="BL155" s="576"/>
      <c r="BM155" s="576"/>
      <c r="BN155" s="576"/>
      <c r="BO155" s="576"/>
      <c r="BP155" s="576"/>
      <c r="BQ155" s="576"/>
      <c r="BR155" s="576"/>
      <c r="BS155" s="576"/>
      <c r="BT155" s="576"/>
      <c r="BU155" s="576"/>
      <c r="BV155" s="576"/>
      <c r="BW155" s="576"/>
      <c r="BX155" s="576"/>
      <c r="BY155" s="576"/>
      <c r="BZ155" s="576"/>
      <c r="CA155" s="576"/>
      <c r="CB155" s="576"/>
      <c r="CC155" s="576"/>
      <c r="CD155" s="576"/>
      <c r="CE155" s="576"/>
      <c r="CF155" s="576"/>
      <c r="CG155" s="576"/>
      <c r="CH155" s="576"/>
      <c r="CI155" s="576"/>
      <c r="CJ155" s="576"/>
      <c r="CK155" s="576"/>
      <c r="CL155" s="576"/>
      <c r="CM155" s="576"/>
      <c r="CN155" s="576"/>
      <c r="CO155" s="576"/>
      <c r="CP155" s="576"/>
      <c r="CQ155" s="576"/>
      <c r="CR155" s="576"/>
      <c r="CS155" s="576"/>
      <c r="CT155" s="576"/>
      <c r="CU155" s="576"/>
      <c r="CV155" s="576"/>
      <c r="CW155" s="576"/>
      <c r="CX155" s="576"/>
      <c r="CY155" s="576"/>
      <c r="CZ155" s="576"/>
      <c r="DA155" s="576"/>
      <c r="DB155" s="576"/>
      <c r="DC155" s="576"/>
      <c r="DD155" s="576"/>
      <c r="DE155" s="576"/>
      <c r="DF155" s="576"/>
      <c r="DG155" s="576"/>
      <c r="DH155" s="116"/>
      <c r="DI155" s="112"/>
      <c r="DJ155">
        <f ca="1">INDIRECT(ADDRESS(ROW()+1,COLUMN(Arbeitszeit!xDay),,,"Arbeitszeit"))</f>
        <v>7</v>
      </c>
    </row>
    <row r="156" spans="1:114">
      <c r="A156" s="462">
        <f>Arbeitszeit!A157</f>
        <v>44985</v>
      </c>
      <c r="B156" s="463">
        <f t="shared" si="9"/>
        <v>44985</v>
      </c>
      <c r="C156" s="146">
        <f t="shared" si="10"/>
        <v>9</v>
      </c>
      <c r="D156" s="145">
        <f t="shared" si="11"/>
        <v>44985</v>
      </c>
      <c r="E156" s="510">
        <f>Arbeitszeit!V157*24</f>
        <v>0</v>
      </c>
      <c r="F156" s="574">
        <f t="shared" si="8"/>
        <v>0</v>
      </c>
      <c r="G156" s="113">
        <f>IF(Arbeitszeit!F157=Urlaub,B_WorkTime*24,)</f>
        <v>0</v>
      </c>
      <c r="H156" s="111"/>
      <c r="I156" s="113">
        <f>IF(Arbeitszeit!F157=Krank,B_WorkTime*24,)</f>
        <v>0</v>
      </c>
      <c r="J156" s="111"/>
      <c r="K156" s="114"/>
      <c r="L156" s="115"/>
      <c r="M156" s="498"/>
      <c r="N156" s="499"/>
      <c r="O156" s="498"/>
      <c r="P156" s="499"/>
      <c r="Q156" s="498"/>
      <c r="R156" s="499"/>
      <c r="S156" s="498"/>
      <c r="T156" s="499"/>
      <c r="U156" s="498"/>
      <c r="V156" s="499"/>
      <c r="W156" s="498"/>
      <c r="X156" s="499"/>
      <c r="Y156" s="498"/>
      <c r="Z156" s="499"/>
      <c r="AA156" s="498"/>
      <c r="AB156" s="499"/>
      <c r="AC156" s="498"/>
      <c r="AD156" s="499"/>
      <c r="AE156" s="498"/>
      <c r="AF156" s="500"/>
      <c r="AG156" s="498"/>
      <c r="AH156" s="500"/>
      <c r="AI156" s="498"/>
      <c r="AJ156" s="500"/>
      <c r="AK156" s="498"/>
      <c r="AL156" s="500"/>
      <c r="AM156" s="501"/>
      <c r="AN156" s="500"/>
      <c r="AO156" s="498"/>
      <c r="AP156" s="500"/>
      <c r="AQ156" s="501"/>
      <c r="AR156" s="500"/>
      <c r="AS156" s="500"/>
      <c r="AT156" s="500"/>
      <c r="AU156" s="501"/>
      <c r="AV156" s="500"/>
      <c r="AW156" s="500"/>
      <c r="AX156" s="500"/>
      <c r="AY156" s="576"/>
      <c r="AZ156" s="576"/>
      <c r="BA156" s="576"/>
      <c r="BB156" s="576"/>
      <c r="BC156" s="576"/>
      <c r="BD156" s="576"/>
      <c r="BE156" s="576"/>
      <c r="BF156" s="576"/>
      <c r="BG156" s="576"/>
      <c r="BH156" s="576"/>
      <c r="BI156" s="576"/>
      <c r="BJ156" s="576"/>
      <c r="BK156" s="576"/>
      <c r="BL156" s="576"/>
      <c r="BM156" s="576"/>
      <c r="BN156" s="576"/>
      <c r="BO156" s="576"/>
      <c r="BP156" s="576"/>
      <c r="BQ156" s="576"/>
      <c r="BR156" s="576"/>
      <c r="BS156" s="576"/>
      <c r="BT156" s="576"/>
      <c r="BU156" s="576"/>
      <c r="BV156" s="576"/>
      <c r="BW156" s="576"/>
      <c r="BX156" s="576"/>
      <c r="BY156" s="576"/>
      <c r="BZ156" s="576"/>
      <c r="CA156" s="576"/>
      <c r="CB156" s="576"/>
      <c r="CC156" s="576"/>
      <c r="CD156" s="576"/>
      <c r="CE156" s="576"/>
      <c r="CF156" s="576"/>
      <c r="CG156" s="576"/>
      <c r="CH156" s="576"/>
      <c r="CI156" s="576"/>
      <c r="CJ156" s="576"/>
      <c r="CK156" s="576"/>
      <c r="CL156" s="576"/>
      <c r="CM156" s="576"/>
      <c r="CN156" s="576"/>
      <c r="CO156" s="576"/>
      <c r="CP156" s="576"/>
      <c r="CQ156" s="576"/>
      <c r="CR156" s="576"/>
      <c r="CS156" s="576"/>
      <c r="CT156" s="576"/>
      <c r="CU156" s="576"/>
      <c r="CV156" s="576"/>
      <c r="CW156" s="576"/>
      <c r="CX156" s="576"/>
      <c r="CY156" s="576"/>
      <c r="CZ156" s="576"/>
      <c r="DA156" s="576"/>
      <c r="DB156" s="576"/>
      <c r="DC156" s="576"/>
      <c r="DD156" s="576"/>
      <c r="DE156" s="576"/>
      <c r="DF156" s="576"/>
      <c r="DG156" s="576"/>
      <c r="DH156" s="116"/>
      <c r="DI156" s="112"/>
      <c r="DJ156">
        <f ca="1">INDIRECT(ADDRESS(ROW()+1,COLUMN(Arbeitszeit!xDay),,,"Arbeitszeit"))</f>
        <v>1</v>
      </c>
    </row>
    <row r="157" spans="1:114">
      <c r="A157" s="462">
        <f>Arbeitszeit!A158</f>
        <v>44986</v>
      </c>
      <c r="B157" s="463">
        <f t="shared" si="9"/>
        <v>44986</v>
      </c>
      <c r="C157" s="146">
        <f t="shared" si="10"/>
        <v>9</v>
      </c>
      <c r="D157" s="145">
        <f t="shared" si="11"/>
        <v>44985</v>
      </c>
      <c r="E157" s="510">
        <f>Arbeitszeit!V158*24</f>
        <v>0</v>
      </c>
      <c r="F157" s="574">
        <f t="shared" si="8"/>
        <v>0</v>
      </c>
      <c r="G157" s="113">
        <f>IF(Arbeitszeit!F158=Urlaub,B_WorkTime*24,)</f>
        <v>0</v>
      </c>
      <c r="H157" s="111"/>
      <c r="I157" s="113">
        <f>IF(Arbeitszeit!F158=Krank,B_WorkTime*24,)</f>
        <v>0</v>
      </c>
      <c r="J157" s="111"/>
      <c r="K157" s="114"/>
      <c r="L157" s="115"/>
      <c r="M157" s="498"/>
      <c r="N157" s="499"/>
      <c r="O157" s="498"/>
      <c r="P157" s="499"/>
      <c r="Q157" s="498"/>
      <c r="R157" s="499"/>
      <c r="S157" s="498"/>
      <c r="T157" s="499"/>
      <c r="U157" s="498"/>
      <c r="V157" s="499"/>
      <c r="W157" s="498"/>
      <c r="X157" s="499"/>
      <c r="Y157" s="498"/>
      <c r="Z157" s="499"/>
      <c r="AA157" s="498"/>
      <c r="AB157" s="499"/>
      <c r="AC157" s="498"/>
      <c r="AD157" s="499"/>
      <c r="AE157" s="498"/>
      <c r="AF157" s="500"/>
      <c r="AG157" s="498"/>
      <c r="AH157" s="500"/>
      <c r="AI157" s="498"/>
      <c r="AJ157" s="500"/>
      <c r="AK157" s="498"/>
      <c r="AL157" s="500"/>
      <c r="AM157" s="501"/>
      <c r="AN157" s="500"/>
      <c r="AO157" s="498"/>
      <c r="AP157" s="500"/>
      <c r="AQ157" s="501"/>
      <c r="AR157" s="500"/>
      <c r="AS157" s="500"/>
      <c r="AT157" s="500"/>
      <c r="AU157" s="501"/>
      <c r="AV157" s="500"/>
      <c r="AW157" s="500"/>
      <c r="AX157" s="500"/>
      <c r="AY157" s="576"/>
      <c r="AZ157" s="576"/>
      <c r="BA157" s="576"/>
      <c r="BB157" s="576"/>
      <c r="BC157" s="576"/>
      <c r="BD157" s="576"/>
      <c r="BE157" s="576"/>
      <c r="BF157" s="576"/>
      <c r="BG157" s="576"/>
      <c r="BH157" s="576"/>
      <c r="BI157" s="576"/>
      <c r="BJ157" s="576"/>
      <c r="BK157" s="576"/>
      <c r="BL157" s="576"/>
      <c r="BM157" s="576"/>
      <c r="BN157" s="576"/>
      <c r="BO157" s="576"/>
      <c r="BP157" s="576"/>
      <c r="BQ157" s="576"/>
      <c r="BR157" s="576"/>
      <c r="BS157" s="576"/>
      <c r="BT157" s="576"/>
      <c r="BU157" s="576"/>
      <c r="BV157" s="576"/>
      <c r="BW157" s="576"/>
      <c r="BX157" s="576"/>
      <c r="BY157" s="576"/>
      <c r="BZ157" s="576"/>
      <c r="CA157" s="576"/>
      <c r="CB157" s="576"/>
      <c r="CC157" s="576"/>
      <c r="CD157" s="576"/>
      <c r="CE157" s="576"/>
      <c r="CF157" s="576"/>
      <c r="CG157" s="576"/>
      <c r="CH157" s="576"/>
      <c r="CI157" s="576"/>
      <c r="CJ157" s="576"/>
      <c r="CK157" s="576"/>
      <c r="CL157" s="576"/>
      <c r="CM157" s="576"/>
      <c r="CN157" s="576"/>
      <c r="CO157" s="576"/>
      <c r="CP157" s="576"/>
      <c r="CQ157" s="576"/>
      <c r="CR157" s="576"/>
      <c r="CS157" s="576"/>
      <c r="CT157" s="576"/>
      <c r="CU157" s="576"/>
      <c r="CV157" s="576"/>
      <c r="CW157" s="576"/>
      <c r="CX157" s="576"/>
      <c r="CY157" s="576"/>
      <c r="CZ157" s="576"/>
      <c r="DA157" s="576"/>
      <c r="DB157" s="576"/>
      <c r="DC157" s="576"/>
      <c r="DD157" s="576"/>
      <c r="DE157" s="576"/>
      <c r="DF157" s="576"/>
      <c r="DG157" s="576"/>
      <c r="DH157" s="116"/>
      <c r="DI157" s="112"/>
      <c r="DJ157">
        <f ca="1">INDIRECT(ADDRESS(ROW()+1,COLUMN(Arbeitszeit!xDay),,,"Arbeitszeit"))</f>
        <v>2</v>
      </c>
    </row>
    <row r="158" spans="1:114">
      <c r="A158" s="462">
        <f>Arbeitszeit!A159</f>
        <v>44987</v>
      </c>
      <c r="B158" s="463">
        <f t="shared" si="9"/>
        <v>44987</v>
      </c>
      <c r="C158" s="146">
        <f t="shared" si="10"/>
        <v>9</v>
      </c>
      <c r="D158" s="145">
        <f t="shared" si="11"/>
        <v>44985</v>
      </c>
      <c r="E158" s="510">
        <f>Arbeitszeit!V159*24</f>
        <v>0</v>
      </c>
      <c r="F158" s="574">
        <f t="shared" si="8"/>
        <v>0</v>
      </c>
      <c r="G158" s="113">
        <f>IF(Arbeitszeit!F159=Urlaub,B_WorkTime*24,)</f>
        <v>0</v>
      </c>
      <c r="H158" s="111"/>
      <c r="I158" s="113">
        <f>IF(Arbeitszeit!F159=Krank,B_WorkTime*24,)</f>
        <v>0</v>
      </c>
      <c r="J158" s="111"/>
      <c r="K158" s="114"/>
      <c r="L158" s="115"/>
      <c r="M158" s="498"/>
      <c r="N158" s="499"/>
      <c r="O158" s="498"/>
      <c r="P158" s="499"/>
      <c r="Q158" s="498"/>
      <c r="R158" s="499"/>
      <c r="S158" s="498"/>
      <c r="T158" s="499"/>
      <c r="U158" s="498"/>
      <c r="V158" s="499"/>
      <c r="W158" s="498"/>
      <c r="X158" s="499"/>
      <c r="Y158" s="498"/>
      <c r="Z158" s="499"/>
      <c r="AA158" s="498"/>
      <c r="AB158" s="499"/>
      <c r="AC158" s="498"/>
      <c r="AD158" s="499"/>
      <c r="AE158" s="498"/>
      <c r="AF158" s="500"/>
      <c r="AG158" s="498"/>
      <c r="AH158" s="500"/>
      <c r="AI158" s="498"/>
      <c r="AJ158" s="500"/>
      <c r="AK158" s="498"/>
      <c r="AL158" s="500"/>
      <c r="AM158" s="501"/>
      <c r="AN158" s="500"/>
      <c r="AO158" s="498"/>
      <c r="AP158" s="500"/>
      <c r="AQ158" s="501"/>
      <c r="AR158" s="500"/>
      <c r="AS158" s="500"/>
      <c r="AT158" s="500"/>
      <c r="AU158" s="501"/>
      <c r="AV158" s="500"/>
      <c r="AW158" s="500"/>
      <c r="AX158" s="500"/>
      <c r="AY158" s="576"/>
      <c r="AZ158" s="576"/>
      <c r="BA158" s="576"/>
      <c r="BB158" s="576"/>
      <c r="BC158" s="576"/>
      <c r="BD158" s="576"/>
      <c r="BE158" s="576"/>
      <c r="BF158" s="576"/>
      <c r="BG158" s="576"/>
      <c r="BH158" s="576"/>
      <c r="BI158" s="576"/>
      <c r="BJ158" s="576"/>
      <c r="BK158" s="576"/>
      <c r="BL158" s="576"/>
      <c r="BM158" s="576"/>
      <c r="BN158" s="576"/>
      <c r="BO158" s="576"/>
      <c r="BP158" s="576"/>
      <c r="BQ158" s="576"/>
      <c r="BR158" s="576"/>
      <c r="BS158" s="576"/>
      <c r="BT158" s="576"/>
      <c r="BU158" s="576"/>
      <c r="BV158" s="576"/>
      <c r="BW158" s="576"/>
      <c r="BX158" s="576"/>
      <c r="BY158" s="576"/>
      <c r="BZ158" s="576"/>
      <c r="CA158" s="576"/>
      <c r="CB158" s="576"/>
      <c r="CC158" s="576"/>
      <c r="CD158" s="576"/>
      <c r="CE158" s="576"/>
      <c r="CF158" s="576"/>
      <c r="CG158" s="576"/>
      <c r="CH158" s="576"/>
      <c r="CI158" s="576"/>
      <c r="CJ158" s="576"/>
      <c r="CK158" s="576"/>
      <c r="CL158" s="576"/>
      <c r="CM158" s="576"/>
      <c r="CN158" s="576"/>
      <c r="CO158" s="576"/>
      <c r="CP158" s="576"/>
      <c r="CQ158" s="576"/>
      <c r="CR158" s="576"/>
      <c r="CS158" s="576"/>
      <c r="CT158" s="576"/>
      <c r="CU158" s="576"/>
      <c r="CV158" s="576"/>
      <c r="CW158" s="576"/>
      <c r="CX158" s="576"/>
      <c r="CY158" s="576"/>
      <c r="CZ158" s="576"/>
      <c r="DA158" s="576"/>
      <c r="DB158" s="576"/>
      <c r="DC158" s="576"/>
      <c r="DD158" s="576"/>
      <c r="DE158" s="576"/>
      <c r="DF158" s="576"/>
      <c r="DG158" s="576"/>
      <c r="DH158" s="116"/>
      <c r="DI158" s="112"/>
      <c r="DJ158">
        <f ca="1">INDIRECT(ADDRESS(ROW()+1,COLUMN(Arbeitszeit!xDay),,,"Arbeitszeit"))</f>
        <v>3</v>
      </c>
    </row>
    <row r="159" spans="1:114">
      <c r="A159" s="462">
        <f>Arbeitszeit!A160</f>
        <v>44988</v>
      </c>
      <c r="B159" s="463">
        <f t="shared" si="9"/>
        <v>44988</v>
      </c>
      <c r="C159" s="146">
        <f t="shared" si="10"/>
        <v>9</v>
      </c>
      <c r="D159" s="145">
        <f t="shared" si="11"/>
        <v>44985</v>
      </c>
      <c r="E159" s="510">
        <f>Arbeitszeit!V160*24</f>
        <v>0</v>
      </c>
      <c r="F159" s="574">
        <f t="shared" si="8"/>
        <v>0</v>
      </c>
      <c r="G159" s="113">
        <f>IF(Arbeitszeit!F160=Urlaub,B_WorkTime*24,)</f>
        <v>0</v>
      </c>
      <c r="H159" s="111"/>
      <c r="I159" s="113">
        <f>IF(Arbeitszeit!F160=Krank,B_WorkTime*24,)</f>
        <v>0</v>
      </c>
      <c r="J159" s="111"/>
      <c r="K159" s="114"/>
      <c r="L159" s="115"/>
      <c r="M159" s="498"/>
      <c r="N159" s="499"/>
      <c r="O159" s="498"/>
      <c r="P159" s="499"/>
      <c r="Q159" s="498"/>
      <c r="R159" s="499"/>
      <c r="S159" s="498"/>
      <c r="T159" s="499"/>
      <c r="U159" s="498"/>
      <c r="V159" s="499"/>
      <c r="W159" s="498"/>
      <c r="X159" s="499"/>
      <c r="Y159" s="498"/>
      <c r="Z159" s="499"/>
      <c r="AA159" s="498"/>
      <c r="AB159" s="499"/>
      <c r="AC159" s="498"/>
      <c r="AD159" s="499"/>
      <c r="AE159" s="498"/>
      <c r="AF159" s="500"/>
      <c r="AG159" s="498"/>
      <c r="AH159" s="500"/>
      <c r="AI159" s="498"/>
      <c r="AJ159" s="500"/>
      <c r="AK159" s="498"/>
      <c r="AL159" s="500"/>
      <c r="AM159" s="501"/>
      <c r="AN159" s="500"/>
      <c r="AO159" s="498"/>
      <c r="AP159" s="500"/>
      <c r="AQ159" s="501"/>
      <c r="AR159" s="500"/>
      <c r="AS159" s="500"/>
      <c r="AT159" s="500"/>
      <c r="AU159" s="501"/>
      <c r="AV159" s="500"/>
      <c r="AW159" s="500"/>
      <c r="AX159" s="500"/>
      <c r="AY159" s="576"/>
      <c r="AZ159" s="576"/>
      <c r="BA159" s="576"/>
      <c r="BB159" s="576"/>
      <c r="BC159" s="576"/>
      <c r="BD159" s="576"/>
      <c r="BE159" s="576"/>
      <c r="BF159" s="576"/>
      <c r="BG159" s="576"/>
      <c r="BH159" s="576"/>
      <c r="BI159" s="576"/>
      <c r="BJ159" s="576"/>
      <c r="BK159" s="576"/>
      <c r="BL159" s="576"/>
      <c r="BM159" s="576"/>
      <c r="BN159" s="576"/>
      <c r="BO159" s="576"/>
      <c r="BP159" s="576"/>
      <c r="BQ159" s="576"/>
      <c r="BR159" s="576"/>
      <c r="BS159" s="576"/>
      <c r="BT159" s="576"/>
      <c r="BU159" s="576"/>
      <c r="BV159" s="576"/>
      <c r="BW159" s="576"/>
      <c r="BX159" s="576"/>
      <c r="BY159" s="576"/>
      <c r="BZ159" s="576"/>
      <c r="CA159" s="576"/>
      <c r="CB159" s="576"/>
      <c r="CC159" s="576"/>
      <c r="CD159" s="576"/>
      <c r="CE159" s="576"/>
      <c r="CF159" s="576"/>
      <c r="CG159" s="576"/>
      <c r="CH159" s="576"/>
      <c r="CI159" s="576"/>
      <c r="CJ159" s="576"/>
      <c r="CK159" s="576"/>
      <c r="CL159" s="576"/>
      <c r="CM159" s="576"/>
      <c r="CN159" s="576"/>
      <c r="CO159" s="576"/>
      <c r="CP159" s="576"/>
      <c r="CQ159" s="576"/>
      <c r="CR159" s="576"/>
      <c r="CS159" s="576"/>
      <c r="CT159" s="576"/>
      <c r="CU159" s="576"/>
      <c r="CV159" s="576"/>
      <c r="CW159" s="576"/>
      <c r="CX159" s="576"/>
      <c r="CY159" s="576"/>
      <c r="CZ159" s="576"/>
      <c r="DA159" s="576"/>
      <c r="DB159" s="576"/>
      <c r="DC159" s="576"/>
      <c r="DD159" s="576"/>
      <c r="DE159" s="576"/>
      <c r="DF159" s="576"/>
      <c r="DG159" s="576"/>
      <c r="DH159" s="116"/>
      <c r="DI159" s="112"/>
      <c r="DJ159">
        <f ca="1">INDIRECT(ADDRESS(ROW()+1,COLUMN(Arbeitszeit!xDay),,,"Arbeitszeit"))</f>
        <v>4</v>
      </c>
    </row>
    <row r="160" spans="1:114">
      <c r="A160" s="462">
        <f>Arbeitszeit!A161</f>
        <v>44989</v>
      </c>
      <c r="B160" s="463">
        <f t="shared" si="9"/>
        <v>44989</v>
      </c>
      <c r="C160" s="146">
        <f t="shared" si="10"/>
        <v>9</v>
      </c>
      <c r="D160" s="145">
        <f t="shared" si="11"/>
        <v>44985</v>
      </c>
      <c r="E160" s="510">
        <f>Arbeitszeit!V161*24</f>
        <v>0</v>
      </c>
      <c r="F160" s="574">
        <f t="shared" si="8"/>
        <v>0</v>
      </c>
      <c r="G160" s="113">
        <f>IF(Arbeitszeit!F161=Urlaub,B_WorkTime*24,)</f>
        <v>0</v>
      </c>
      <c r="H160" s="111"/>
      <c r="I160" s="113">
        <f>IF(Arbeitszeit!F161=Krank,B_WorkTime*24,)</f>
        <v>0</v>
      </c>
      <c r="J160" s="111"/>
      <c r="K160" s="114"/>
      <c r="L160" s="115"/>
      <c r="M160" s="498"/>
      <c r="N160" s="499"/>
      <c r="O160" s="498"/>
      <c r="P160" s="499"/>
      <c r="Q160" s="498"/>
      <c r="R160" s="499"/>
      <c r="S160" s="498"/>
      <c r="T160" s="499"/>
      <c r="U160" s="498"/>
      <c r="V160" s="499"/>
      <c r="W160" s="498"/>
      <c r="X160" s="499"/>
      <c r="Y160" s="498"/>
      <c r="Z160" s="499"/>
      <c r="AA160" s="498"/>
      <c r="AB160" s="499"/>
      <c r="AC160" s="498"/>
      <c r="AD160" s="499"/>
      <c r="AE160" s="498"/>
      <c r="AF160" s="500"/>
      <c r="AG160" s="498"/>
      <c r="AH160" s="500"/>
      <c r="AI160" s="498"/>
      <c r="AJ160" s="500"/>
      <c r="AK160" s="498"/>
      <c r="AL160" s="500"/>
      <c r="AM160" s="501"/>
      <c r="AN160" s="500"/>
      <c r="AO160" s="498"/>
      <c r="AP160" s="500"/>
      <c r="AQ160" s="501"/>
      <c r="AR160" s="500"/>
      <c r="AS160" s="500"/>
      <c r="AT160" s="500"/>
      <c r="AU160" s="501"/>
      <c r="AV160" s="500"/>
      <c r="AW160" s="500"/>
      <c r="AX160" s="500"/>
      <c r="AY160" s="576"/>
      <c r="AZ160" s="576"/>
      <c r="BA160" s="576"/>
      <c r="BB160" s="576"/>
      <c r="BC160" s="576"/>
      <c r="BD160" s="576"/>
      <c r="BE160" s="576"/>
      <c r="BF160" s="576"/>
      <c r="BG160" s="576"/>
      <c r="BH160" s="576"/>
      <c r="BI160" s="576"/>
      <c r="BJ160" s="576"/>
      <c r="BK160" s="576"/>
      <c r="BL160" s="576"/>
      <c r="BM160" s="576"/>
      <c r="BN160" s="576"/>
      <c r="BO160" s="576"/>
      <c r="BP160" s="576"/>
      <c r="BQ160" s="576"/>
      <c r="BR160" s="576"/>
      <c r="BS160" s="576"/>
      <c r="BT160" s="576"/>
      <c r="BU160" s="576"/>
      <c r="BV160" s="576"/>
      <c r="BW160" s="576"/>
      <c r="BX160" s="576"/>
      <c r="BY160" s="576"/>
      <c r="BZ160" s="576"/>
      <c r="CA160" s="576"/>
      <c r="CB160" s="576"/>
      <c r="CC160" s="576"/>
      <c r="CD160" s="576"/>
      <c r="CE160" s="576"/>
      <c r="CF160" s="576"/>
      <c r="CG160" s="576"/>
      <c r="CH160" s="576"/>
      <c r="CI160" s="576"/>
      <c r="CJ160" s="576"/>
      <c r="CK160" s="576"/>
      <c r="CL160" s="576"/>
      <c r="CM160" s="576"/>
      <c r="CN160" s="576"/>
      <c r="CO160" s="576"/>
      <c r="CP160" s="576"/>
      <c r="CQ160" s="576"/>
      <c r="CR160" s="576"/>
      <c r="CS160" s="576"/>
      <c r="CT160" s="576"/>
      <c r="CU160" s="576"/>
      <c r="CV160" s="576"/>
      <c r="CW160" s="576"/>
      <c r="CX160" s="576"/>
      <c r="CY160" s="576"/>
      <c r="CZ160" s="576"/>
      <c r="DA160" s="576"/>
      <c r="DB160" s="576"/>
      <c r="DC160" s="576"/>
      <c r="DD160" s="576"/>
      <c r="DE160" s="576"/>
      <c r="DF160" s="576"/>
      <c r="DG160" s="576"/>
      <c r="DH160" s="116"/>
      <c r="DI160" s="112"/>
      <c r="DJ160">
        <f ca="1">INDIRECT(ADDRESS(ROW()+1,COLUMN(Arbeitszeit!xDay),,,"Arbeitszeit"))</f>
        <v>5</v>
      </c>
    </row>
    <row r="161" spans="1:114">
      <c r="A161" s="462">
        <f>Arbeitszeit!A162</f>
        <v>44990</v>
      </c>
      <c r="B161" s="463">
        <f t="shared" si="9"/>
        <v>44990</v>
      </c>
      <c r="C161" s="146">
        <f t="shared" si="10"/>
        <v>9</v>
      </c>
      <c r="D161" s="145">
        <f t="shared" si="11"/>
        <v>44985</v>
      </c>
      <c r="E161" s="510">
        <f>Arbeitszeit!V162*24</f>
        <v>0</v>
      </c>
      <c r="F161" s="574">
        <f t="shared" si="8"/>
        <v>0</v>
      </c>
      <c r="G161" s="113">
        <f>IF(Arbeitszeit!F162=Urlaub,B_WorkTime*24,)</f>
        <v>0</v>
      </c>
      <c r="H161" s="111"/>
      <c r="I161" s="113">
        <f>IF(Arbeitszeit!F162=Krank,B_WorkTime*24,)</f>
        <v>0</v>
      </c>
      <c r="J161" s="111"/>
      <c r="K161" s="114"/>
      <c r="L161" s="115"/>
      <c r="M161" s="498"/>
      <c r="N161" s="499"/>
      <c r="O161" s="498"/>
      <c r="P161" s="499"/>
      <c r="Q161" s="498"/>
      <c r="R161" s="499"/>
      <c r="S161" s="498"/>
      <c r="T161" s="499"/>
      <c r="U161" s="498"/>
      <c r="V161" s="499"/>
      <c r="W161" s="498"/>
      <c r="X161" s="499"/>
      <c r="Y161" s="498"/>
      <c r="Z161" s="499"/>
      <c r="AA161" s="498"/>
      <c r="AB161" s="499"/>
      <c r="AC161" s="498"/>
      <c r="AD161" s="499"/>
      <c r="AE161" s="498"/>
      <c r="AF161" s="500"/>
      <c r="AG161" s="498"/>
      <c r="AH161" s="500"/>
      <c r="AI161" s="498"/>
      <c r="AJ161" s="500"/>
      <c r="AK161" s="498"/>
      <c r="AL161" s="500"/>
      <c r="AM161" s="501"/>
      <c r="AN161" s="500"/>
      <c r="AO161" s="498"/>
      <c r="AP161" s="500"/>
      <c r="AQ161" s="501"/>
      <c r="AR161" s="500"/>
      <c r="AS161" s="500"/>
      <c r="AT161" s="500"/>
      <c r="AU161" s="501"/>
      <c r="AV161" s="500"/>
      <c r="AW161" s="500"/>
      <c r="AX161" s="500"/>
      <c r="AY161" s="576"/>
      <c r="AZ161" s="576"/>
      <c r="BA161" s="576"/>
      <c r="BB161" s="576"/>
      <c r="BC161" s="576"/>
      <c r="BD161" s="576"/>
      <c r="BE161" s="576"/>
      <c r="BF161" s="576"/>
      <c r="BG161" s="576"/>
      <c r="BH161" s="576"/>
      <c r="BI161" s="576"/>
      <c r="BJ161" s="576"/>
      <c r="BK161" s="576"/>
      <c r="BL161" s="576"/>
      <c r="BM161" s="576"/>
      <c r="BN161" s="576"/>
      <c r="BO161" s="576"/>
      <c r="BP161" s="576"/>
      <c r="BQ161" s="576"/>
      <c r="BR161" s="576"/>
      <c r="BS161" s="576"/>
      <c r="BT161" s="576"/>
      <c r="BU161" s="576"/>
      <c r="BV161" s="576"/>
      <c r="BW161" s="576"/>
      <c r="BX161" s="576"/>
      <c r="BY161" s="576"/>
      <c r="BZ161" s="576"/>
      <c r="CA161" s="576"/>
      <c r="CB161" s="576"/>
      <c r="CC161" s="576"/>
      <c r="CD161" s="576"/>
      <c r="CE161" s="576"/>
      <c r="CF161" s="576"/>
      <c r="CG161" s="576"/>
      <c r="CH161" s="576"/>
      <c r="CI161" s="576"/>
      <c r="CJ161" s="576"/>
      <c r="CK161" s="576"/>
      <c r="CL161" s="576"/>
      <c r="CM161" s="576"/>
      <c r="CN161" s="576"/>
      <c r="CO161" s="576"/>
      <c r="CP161" s="576"/>
      <c r="CQ161" s="576"/>
      <c r="CR161" s="576"/>
      <c r="CS161" s="576"/>
      <c r="CT161" s="576"/>
      <c r="CU161" s="576"/>
      <c r="CV161" s="576"/>
      <c r="CW161" s="576"/>
      <c r="CX161" s="576"/>
      <c r="CY161" s="576"/>
      <c r="CZ161" s="576"/>
      <c r="DA161" s="576"/>
      <c r="DB161" s="576"/>
      <c r="DC161" s="576"/>
      <c r="DD161" s="576"/>
      <c r="DE161" s="576"/>
      <c r="DF161" s="576"/>
      <c r="DG161" s="576"/>
      <c r="DH161" s="116"/>
      <c r="DI161" s="112"/>
      <c r="DJ161">
        <f ca="1">INDIRECT(ADDRESS(ROW()+1,COLUMN(Arbeitszeit!xDay),,,"Arbeitszeit"))</f>
        <v>6</v>
      </c>
    </row>
    <row r="162" spans="1:114">
      <c r="A162" s="462">
        <f>Arbeitszeit!A163</f>
        <v>44991</v>
      </c>
      <c r="B162" s="463">
        <f t="shared" si="9"/>
        <v>44991</v>
      </c>
      <c r="C162" s="146">
        <f t="shared" si="10"/>
        <v>9</v>
      </c>
      <c r="D162" s="145">
        <f t="shared" si="11"/>
        <v>44985</v>
      </c>
      <c r="E162" s="510">
        <f>Arbeitszeit!V163*24</f>
        <v>0</v>
      </c>
      <c r="F162" s="574">
        <f t="shared" si="8"/>
        <v>0</v>
      </c>
      <c r="G162" s="113">
        <f>IF(Arbeitszeit!F163=Urlaub,B_WorkTime*24,)</f>
        <v>0</v>
      </c>
      <c r="H162" s="111"/>
      <c r="I162" s="113">
        <f>IF(Arbeitszeit!F163=Krank,B_WorkTime*24,)</f>
        <v>0</v>
      </c>
      <c r="J162" s="111"/>
      <c r="K162" s="114"/>
      <c r="L162" s="115"/>
      <c r="M162" s="498"/>
      <c r="N162" s="499"/>
      <c r="O162" s="498"/>
      <c r="P162" s="499"/>
      <c r="Q162" s="498"/>
      <c r="R162" s="499"/>
      <c r="S162" s="498"/>
      <c r="T162" s="499"/>
      <c r="U162" s="498"/>
      <c r="V162" s="499"/>
      <c r="W162" s="498"/>
      <c r="X162" s="499"/>
      <c r="Y162" s="498"/>
      <c r="Z162" s="499"/>
      <c r="AA162" s="498"/>
      <c r="AB162" s="499"/>
      <c r="AC162" s="498"/>
      <c r="AD162" s="499"/>
      <c r="AE162" s="498"/>
      <c r="AF162" s="500"/>
      <c r="AG162" s="498"/>
      <c r="AH162" s="500"/>
      <c r="AI162" s="498"/>
      <c r="AJ162" s="500"/>
      <c r="AK162" s="498"/>
      <c r="AL162" s="500"/>
      <c r="AM162" s="501"/>
      <c r="AN162" s="500"/>
      <c r="AO162" s="498"/>
      <c r="AP162" s="500"/>
      <c r="AQ162" s="501"/>
      <c r="AR162" s="500"/>
      <c r="AS162" s="500"/>
      <c r="AT162" s="500"/>
      <c r="AU162" s="501"/>
      <c r="AV162" s="500"/>
      <c r="AW162" s="500"/>
      <c r="AX162" s="500"/>
      <c r="AY162" s="576"/>
      <c r="AZ162" s="576"/>
      <c r="BA162" s="576"/>
      <c r="BB162" s="576"/>
      <c r="BC162" s="576"/>
      <c r="BD162" s="576"/>
      <c r="BE162" s="576"/>
      <c r="BF162" s="576"/>
      <c r="BG162" s="576"/>
      <c r="BH162" s="576"/>
      <c r="BI162" s="576"/>
      <c r="BJ162" s="576"/>
      <c r="BK162" s="576"/>
      <c r="BL162" s="576"/>
      <c r="BM162" s="576"/>
      <c r="BN162" s="576"/>
      <c r="BO162" s="576"/>
      <c r="BP162" s="576"/>
      <c r="BQ162" s="576"/>
      <c r="BR162" s="576"/>
      <c r="BS162" s="576"/>
      <c r="BT162" s="576"/>
      <c r="BU162" s="576"/>
      <c r="BV162" s="576"/>
      <c r="BW162" s="576"/>
      <c r="BX162" s="576"/>
      <c r="BY162" s="576"/>
      <c r="BZ162" s="576"/>
      <c r="CA162" s="576"/>
      <c r="CB162" s="576"/>
      <c r="CC162" s="576"/>
      <c r="CD162" s="576"/>
      <c r="CE162" s="576"/>
      <c r="CF162" s="576"/>
      <c r="CG162" s="576"/>
      <c r="CH162" s="576"/>
      <c r="CI162" s="576"/>
      <c r="CJ162" s="576"/>
      <c r="CK162" s="576"/>
      <c r="CL162" s="576"/>
      <c r="CM162" s="576"/>
      <c r="CN162" s="576"/>
      <c r="CO162" s="576"/>
      <c r="CP162" s="576"/>
      <c r="CQ162" s="576"/>
      <c r="CR162" s="576"/>
      <c r="CS162" s="576"/>
      <c r="CT162" s="576"/>
      <c r="CU162" s="576"/>
      <c r="CV162" s="576"/>
      <c r="CW162" s="576"/>
      <c r="CX162" s="576"/>
      <c r="CY162" s="576"/>
      <c r="CZ162" s="576"/>
      <c r="DA162" s="576"/>
      <c r="DB162" s="576"/>
      <c r="DC162" s="576"/>
      <c r="DD162" s="576"/>
      <c r="DE162" s="576"/>
      <c r="DF162" s="576"/>
      <c r="DG162" s="576"/>
      <c r="DH162" s="116"/>
      <c r="DI162" s="112"/>
      <c r="DJ162">
        <f ca="1">INDIRECT(ADDRESS(ROW()+1,COLUMN(Arbeitszeit!xDay),,,"Arbeitszeit"))</f>
        <v>7</v>
      </c>
    </row>
    <row r="163" spans="1:114">
      <c r="A163" s="462">
        <f>Arbeitszeit!A164</f>
        <v>44992</v>
      </c>
      <c r="B163" s="463">
        <f t="shared" si="9"/>
        <v>44992</v>
      </c>
      <c r="C163" s="146">
        <f t="shared" si="10"/>
        <v>10</v>
      </c>
      <c r="D163" s="145">
        <f t="shared" si="11"/>
        <v>44985</v>
      </c>
      <c r="E163" s="510">
        <f>Arbeitszeit!V164*24</f>
        <v>0</v>
      </c>
      <c r="F163" s="574">
        <f t="shared" si="8"/>
        <v>0</v>
      </c>
      <c r="G163" s="113">
        <f>IF(Arbeitszeit!F164=Urlaub,B_WorkTime*24,)</f>
        <v>0</v>
      </c>
      <c r="H163" s="111"/>
      <c r="I163" s="113">
        <f>IF(Arbeitszeit!F164=Krank,B_WorkTime*24,)</f>
        <v>0</v>
      </c>
      <c r="J163" s="111"/>
      <c r="K163" s="114"/>
      <c r="L163" s="115"/>
      <c r="M163" s="498"/>
      <c r="N163" s="499"/>
      <c r="O163" s="498"/>
      <c r="P163" s="499"/>
      <c r="Q163" s="498"/>
      <c r="R163" s="499"/>
      <c r="S163" s="498"/>
      <c r="T163" s="499"/>
      <c r="U163" s="498"/>
      <c r="V163" s="499"/>
      <c r="W163" s="498"/>
      <c r="X163" s="499"/>
      <c r="Y163" s="498"/>
      <c r="Z163" s="499"/>
      <c r="AA163" s="498"/>
      <c r="AB163" s="499"/>
      <c r="AC163" s="498"/>
      <c r="AD163" s="499"/>
      <c r="AE163" s="498"/>
      <c r="AF163" s="500"/>
      <c r="AG163" s="498"/>
      <c r="AH163" s="500"/>
      <c r="AI163" s="498"/>
      <c r="AJ163" s="500"/>
      <c r="AK163" s="498"/>
      <c r="AL163" s="500"/>
      <c r="AM163" s="501"/>
      <c r="AN163" s="500"/>
      <c r="AO163" s="498"/>
      <c r="AP163" s="500"/>
      <c r="AQ163" s="501"/>
      <c r="AR163" s="500"/>
      <c r="AS163" s="500"/>
      <c r="AT163" s="500"/>
      <c r="AU163" s="501"/>
      <c r="AV163" s="500"/>
      <c r="AW163" s="500"/>
      <c r="AX163" s="500"/>
      <c r="AY163" s="576"/>
      <c r="AZ163" s="576"/>
      <c r="BA163" s="576"/>
      <c r="BB163" s="576"/>
      <c r="BC163" s="576"/>
      <c r="BD163" s="576"/>
      <c r="BE163" s="576"/>
      <c r="BF163" s="576"/>
      <c r="BG163" s="576"/>
      <c r="BH163" s="576"/>
      <c r="BI163" s="576"/>
      <c r="BJ163" s="576"/>
      <c r="BK163" s="576"/>
      <c r="BL163" s="576"/>
      <c r="BM163" s="576"/>
      <c r="BN163" s="576"/>
      <c r="BO163" s="576"/>
      <c r="BP163" s="576"/>
      <c r="BQ163" s="576"/>
      <c r="BR163" s="576"/>
      <c r="BS163" s="576"/>
      <c r="BT163" s="576"/>
      <c r="BU163" s="576"/>
      <c r="BV163" s="576"/>
      <c r="BW163" s="576"/>
      <c r="BX163" s="576"/>
      <c r="BY163" s="576"/>
      <c r="BZ163" s="576"/>
      <c r="CA163" s="576"/>
      <c r="CB163" s="576"/>
      <c r="CC163" s="576"/>
      <c r="CD163" s="576"/>
      <c r="CE163" s="576"/>
      <c r="CF163" s="576"/>
      <c r="CG163" s="576"/>
      <c r="CH163" s="576"/>
      <c r="CI163" s="576"/>
      <c r="CJ163" s="576"/>
      <c r="CK163" s="576"/>
      <c r="CL163" s="576"/>
      <c r="CM163" s="576"/>
      <c r="CN163" s="576"/>
      <c r="CO163" s="576"/>
      <c r="CP163" s="576"/>
      <c r="CQ163" s="576"/>
      <c r="CR163" s="576"/>
      <c r="CS163" s="576"/>
      <c r="CT163" s="576"/>
      <c r="CU163" s="576"/>
      <c r="CV163" s="576"/>
      <c r="CW163" s="576"/>
      <c r="CX163" s="576"/>
      <c r="CY163" s="576"/>
      <c r="CZ163" s="576"/>
      <c r="DA163" s="576"/>
      <c r="DB163" s="576"/>
      <c r="DC163" s="576"/>
      <c r="DD163" s="576"/>
      <c r="DE163" s="576"/>
      <c r="DF163" s="576"/>
      <c r="DG163" s="576"/>
      <c r="DH163" s="116"/>
      <c r="DI163" s="112"/>
      <c r="DJ163">
        <f ca="1">INDIRECT(ADDRESS(ROW()+1,COLUMN(Arbeitszeit!xDay),,,"Arbeitszeit"))</f>
        <v>1</v>
      </c>
    </row>
    <row r="164" spans="1:114">
      <c r="A164" s="462">
        <f>Arbeitszeit!A165</f>
        <v>44993</v>
      </c>
      <c r="B164" s="463">
        <f t="shared" si="9"/>
        <v>44993</v>
      </c>
      <c r="C164" s="146">
        <f t="shared" si="10"/>
        <v>10</v>
      </c>
      <c r="D164" s="145">
        <f t="shared" si="11"/>
        <v>44985</v>
      </c>
      <c r="E164" s="510">
        <f>Arbeitszeit!V165*24</f>
        <v>0</v>
      </c>
      <c r="F164" s="574">
        <f t="shared" si="8"/>
        <v>0</v>
      </c>
      <c r="G164" s="113">
        <f>IF(Arbeitszeit!F165=Urlaub,B_WorkTime*24,)</f>
        <v>0</v>
      </c>
      <c r="H164" s="111"/>
      <c r="I164" s="113">
        <f>IF(Arbeitszeit!F165=Krank,B_WorkTime*24,)</f>
        <v>0</v>
      </c>
      <c r="J164" s="111"/>
      <c r="K164" s="114"/>
      <c r="L164" s="115"/>
      <c r="M164" s="498"/>
      <c r="N164" s="499"/>
      <c r="O164" s="498"/>
      <c r="P164" s="499"/>
      <c r="Q164" s="498"/>
      <c r="R164" s="499"/>
      <c r="S164" s="498"/>
      <c r="T164" s="499"/>
      <c r="U164" s="498"/>
      <c r="V164" s="499"/>
      <c r="W164" s="498"/>
      <c r="X164" s="499"/>
      <c r="Y164" s="498"/>
      <c r="Z164" s="499"/>
      <c r="AA164" s="498"/>
      <c r="AB164" s="499"/>
      <c r="AC164" s="498"/>
      <c r="AD164" s="499"/>
      <c r="AE164" s="498"/>
      <c r="AF164" s="500"/>
      <c r="AG164" s="498"/>
      <c r="AH164" s="500"/>
      <c r="AI164" s="498"/>
      <c r="AJ164" s="500"/>
      <c r="AK164" s="498"/>
      <c r="AL164" s="500"/>
      <c r="AM164" s="501"/>
      <c r="AN164" s="500"/>
      <c r="AO164" s="498"/>
      <c r="AP164" s="500"/>
      <c r="AQ164" s="501"/>
      <c r="AR164" s="500"/>
      <c r="AS164" s="500"/>
      <c r="AT164" s="500"/>
      <c r="AU164" s="501"/>
      <c r="AV164" s="500"/>
      <c r="AW164" s="500"/>
      <c r="AX164" s="500"/>
      <c r="AY164" s="576"/>
      <c r="AZ164" s="576"/>
      <c r="BA164" s="576"/>
      <c r="BB164" s="576"/>
      <c r="BC164" s="576"/>
      <c r="BD164" s="576"/>
      <c r="BE164" s="576"/>
      <c r="BF164" s="576"/>
      <c r="BG164" s="576"/>
      <c r="BH164" s="576"/>
      <c r="BI164" s="576"/>
      <c r="BJ164" s="576"/>
      <c r="BK164" s="576"/>
      <c r="BL164" s="576"/>
      <c r="BM164" s="576"/>
      <c r="BN164" s="576"/>
      <c r="BO164" s="576"/>
      <c r="BP164" s="576"/>
      <c r="BQ164" s="576"/>
      <c r="BR164" s="576"/>
      <c r="BS164" s="576"/>
      <c r="BT164" s="576"/>
      <c r="BU164" s="576"/>
      <c r="BV164" s="576"/>
      <c r="BW164" s="576"/>
      <c r="BX164" s="576"/>
      <c r="BY164" s="576"/>
      <c r="BZ164" s="576"/>
      <c r="CA164" s="576"/>
      <c r="CB164" s="576"/>
      <c r="CC164" s="576"/>
      <c r="CD164" s="576"/>
      <c r="CE164" s="576"/>
      <c r="CF164" s="576"/>
      <c r="CG164" s="576"/>
      <c r="CH164" s="576"/>
      <c r="CI164" s="576"/>
      <c r="CJ164" s="576"/>
      <c r="CK164" s="576"/>
      <c r="CL164" s="576"/>
      <c r="CM164" s="576"/>
      <c r="CN164" s="576"/>
      <c r="CO164" s="576"/>
      <c r="CP164" s="576"/>
      <c r="CQ164" s="576"/>
      <c r="CR164" s="576"/>
      <c r="CS164" s="576"/>
      <c r="CT164" s="576"/>
      <c r="CU164" s="576"/>
      <c r="CV164" s="576"/>
      <c r="CW164" s="576"/>
      <c r="CX164" s="576"/>
      <c r="CY164" s="576"/>
      <c r="CZ164" s="576"/>
      <c r="DA164" s="576"/>
      <c r="DB164" s="576"/>
      <c r="DC164" s="576"/>
      <c r="DD164" s="576"/>
      <c r="DE164" s="576"/>
      <c r="DF164" s="576"/>
      <c r="DG164" s="576"/>
      <c r="DH164" s="116"/>
      <c r="DI164" s="112"/>
      <c r="DJ164">
        <f ca="1">INDIRECT(ADDRESS(ROW()+1,COLUMN(Arbeitszeit!xDay),,,"Arbeitszeit"))</f>
        <v>2</v>
      </c>
    </row>
    <row r="165" spans="1:114">
      <c r="A165" s="462">
        <f>Arbeitszeit!A166</f>
        <v>44994</v>
      </c>
      <c r="B165" s="463">
        <f t="shared" si="9"/>
        <v>44994</v>
      </c>
      <c r="C165" s="146">
        <f t="shared" si="10"/>
        <v>10</v>
      </c>
      <c r="D165" s="145">
        <f t="shared" si="11"/>
        <v>44985</v>
      </c>
      <c r="E165" s="510">
        <f>Arbeitszeit!V166*24</f>
        <v>0</v>
      </c>
      <c r="F165" s="574">
        <f t="shared" si="8"/>
        <v>0</v>
      </c>
      <c r="G165" s="113">
        <f>IF(Arbeitszeit!F166=Urlaub,B_WorkTime*24,)</f>
        <v>0</v>
      </c>
      <c r="H165" s="111"/>
      <c r="I165" s="113">
        <f>IF(Arbeitszeit!F166=Krank,B_WorkTime*24,)</f>
        <v>0</v>
      </c>
      <c r="J165" s="111"/>
      <c r="K165" s="114"/>
      <c r="L165" s="115"/>
      <c r="M165" s="498"/>
      <c r="N165" s="499"/>
      <c r="O165" s="498"/>
      <c r="P165" s="499"/>
      <c r="Q165" s="498"/>
      <c r="R165" s="499"/>
      <c r="S165" s="498"/>
      <c r="T165" s="499"/>
      <c r="U165" s="498"/>
      <c r="V165" s="499"/>
      <c r="W165" s="498"/>
      <c r="X165" s="499"/>
      <c r="Y165" s="498"/>
      <c r="Z165" s="499"/>
      <c r="AA165" s="498"/>
      <c r="AB165" s="499"/>
      <c r="AC165" s="498"/>
      <c r="AD165" s="499"/>
      <c r="AE165" s="498"/>
      <c r="AF165" s="500"/>
      <c r="AG165" s="498"/>
      <c r="AH165" s="500"/>
      <c r="AI165" s="498"/>
      <c r="AJ165" s="500"/>
      <c r="AK165" s="498"/>
      <c r="AL165" s="500"/>
      <c r="AM165" s="501"/>
      <c r="AN165" s="500"/>
      <c r="AO165" s="498"/>
      <c r="AP165" s="500"/>
      <c r="AQ165" s="501"/>
      <c r="AR165" s="500"/>
      <c r="AS165" s="500"/>
      <c r="AT165" s="500"/>
      <c r="AU165" s="501"/>
      <c r="AV165" s="500"/>
      <c r="AW165" s="500"/>
      <c r="AX165" s="500"/>
      <c r="AY165" s="576"/>
      <c r="AZ165" s="576"/>
      <c r="BA165" s="576"/>
      <c r="BB165" s="576"/>
      <c r="BC165" s="576"/>
      <c r="BD165" s="576"/>
      <c r="BE165" s="576"/>
      <c r="BF165" s="576"/>
      <c r="BG165" s="576"/>
      <c r="BH165" s="576"/>
      <c r="BI165" s="576"/>
      <c r="BJ165" s="576"/>
      <c r="BK165" s="576"/>
      <c r="BL165" s="576"/>
      <c r="BM165" s="576"/>
      <c r="BN165" s="576"/>
      <c r="BO165" s="576"/>
      <c r="BP165" s="576"/>
      <c r="BQ165" s="576"/>
      <c r="BR165" s="576"/>
      <c r="BS165" s="576"/>
      <c r="BT165" s="576"/>
      <c r="BU165" s="576"/>
      <c r="BV165" s="576"/>
      <c r="BW165" s="576"/>
      <c r="BX165" s="576"/>
      <c r="BY165" s="576"/>
      <c r="BZ165" s="576"/>
      <c r="CA165" s="576"/>
      <c r="CB165" s="576"/>
      <c r="CC165" s="576"/>
      <c r="CD165" s="576"/>
      <c r="CE165" s="576"/>
      <c r="CF165" s="576"/>
      <c r="CG165" s="576"/>
      <c r="CH165" s="576"/>
      <c r="CI165" s="576"/>
      <c r="CJ165" s="576"/>
      <c r="CK165" s="576"/>
      <c r="CL165" s="576"/>
      <c r="CM165" s="576"/>
      <c r="CN165" s="576"/>
      <c r="CO165" s="576"/>
      <c r="CP165" s="576"/>
      <c r="CQ165" s="576"/>
      <c r="CR165" s="576"/>
      <c r="CS165" s="576"/>
      <c r="CT165" s="576"/>
      <c r="CU165" s="576"/>
      <c r="CV165" s="576"/>
      <c r="CW165" s="576"/>
      <c r="CX165" s="576"/>
      <c r="CY165" s="576"/>
      <c r="CZ165" s="576"/>
      <c r="DA165" s="576"/>
      <c r="DB165" s="576"/>
      <c r="DC165" s="576"/>
      <c r="DD165" s="576"/>
      <c r="DE165" s="576"/>
      <c r="DF165" s="576"/>
      <c r="DG165" s="576"/>
      <c r="DH165" s="116"/>
      <c r="DI165" s="112"/>
      <c r="DJ165">
        <f ca="1">INDIRECT(ADDRESS(ROW()+1,COLUMN(Arbeitszeit!xDay),,,"Arbeitszeit"))</f>
        <v>3</v>
      </c>
    </row>
    <row r="166" spans="1:114">
      <c r="A166" s="462">
        <f>Arbeitszeit!A167</f>
        <v>44995</v>
      </c>
      <c r="B166" s="463">
        <f t="shared" si="9"/>
        <v>44995</v>
      </c>
      <c r="C166" s="146">
        <f t="shared" si="10"/>
        <v>10</v>
      </c>
      <c r="D166" s="145">
        <f t="shared" si="11"/>
        <v>44985</v>
      </c>
      <c r="E166" s="510">
        <f>Arbeitszeit!V167*24</f>
        <v>0</v>
      </c>
      <c r="F166" s="574">
        <f t="shared" si="8"/>
        <v>0</v>
      </c>
      <c r="G166" s="113">
        <f>IF(Arbeitszeit!F167=Urlaub,B_WorkTime*24,)</f>
        <v>0</v>
      </c>
      <c r="H166" s="111"/>
      <c r="I166" s="113">
        <f>IF(Arbeitszeit!F167=Krank,B_WorkTime*24,)</f>
        <v>0</v>
      </c>
      <c r="J166" s="111"/>
      <c r="K166" s="114"/>
      <c r="L166" s="115"/>
      <c r="M166" s="498"/>
      <c r="N166" s="499"/>
      <c r="O166" s="498"/>
      <c r="P166" s="499"/>
      <c r="Q166" s="498"/>
      <c r="R166" s="499"/>
      <c r="S166" s="498"/>
      <c r="T166" s="499"/>
      <c r="U166" s="498"/>
      <c r="V166" s="499"/>
      <c r="W166" s="498"/>
      <c r="X166" s="499"/>
      <c r="Y166" s="498"/>
      <c r="Z166" s="499"/>
      <c r="AA166" s="498"/>
      <c r="AB166" s="499"/>
      <c r="AC166" s="498"/>
      <c r="AD166" s="499"/>
      <c r="AE166" s="498"/>
      <c r="AF166" s="500"/>
      <c r="AG166" s="498"/>
      <c r="AH166" s="500"/>
      <c r="AI166" s="498"/>
      <c r="AJ166" s="500"/>
      <c r="AK166" s="498"/>
      <c r="AL166" s="500"/>
      <c r="AM166" s="501"/>
      <c r="AN166" s="500"/>
      <c r="AO166" s="498"/>
      <c r="AP166" s="500"/>
      <c r="AQ166" s="501"/>
      <c r="AR166" s="500"/>
      <c r="AS166" s="500"/>
      <c r="AT166" s="500"/>
      <c r="AU166" s="501"/>
      <c r="AV166" s="500"/>
      <c r="AW166" s="500"/>
      <c r="AX166" s="500"/>
      <c r="AY166" s="576"/>
      <c r="AZ166" s="576"/>
      <c r="BA166" s="576"/>
      <c r="BB166" s="576"/>
      <c r="BC166" s="576"/>
      <c r="BD166" s="576"/>
      <c r="BE166" s="576"/>
      <c r="BF166" s="576"/>
      <c r="BG166" s="576"/>
      <c r="BH166" s="576"/>
      <c r="BI166" s="576"/>
      <c r="BJ166" s="576"/>
      <c r="BK166" s="576"/>
      <c r="BL166" s="576"/>
      <c r="BM166" s="576"/>
      <c r="BN166" s="576"/>
      <c r="BO166" s="576"/>
      <c r="BP166" s="576"/>
      <c r="BQ166" s="576"/>
      <c r="BR166" s="576"/>
      <c r="BS166" s="576"/>
      <c r="BT166" s="576"/>
      <c r="BU166" s="576"/>
      <c r="BV166" s="576"/>
      <c r="BW166" s="576"/>
      <c r="BX166" s="576"/>
      <c r="BY166" s="576"/>
      <c r="BZ166" s="576"/>
      <c r="CA166" s="576"/>
      <c r="CB166" s="576"/>
      <c r="CC166" s="576"/>
      <c r="CD166" s="576"/>
      <c r="CE166" s="576"/>
      <c r="CF166" s="576"/>
      <c r="CG166" s="576"/>
      <c r="CH166" s="576"/>
      <c r="CI166" s="576"/>
      <c r="CJ166" s="576"/>
      <c r="CK166" s="576"/>
      <c r="CL166" s="576"/>
      <c r="CM166" s="576"/>
      <c r="CN166" s="576"/>
      <c r="CO166" s="576"/>
      <c r="CP166" s="576"/>
      <c r="CQ166" s="576"/>
      <c r="CR166" s="576"/>
      <c r="CS166" s="576"/>
      <c r="CT166" s="576"/>
      <c r="CU166" s="576"/>
      <c r="CV166" s="576"/>
      <c r="CW166" s="576"/>
      <c r="CX166" s="576"/>
      <c r="CY166" s="576"/>
      <c r="CZ166" s="576"/>
      <c r="DA166" s="576"/>
      <c r="DB166" s="576"/>
      <c r="DC166" s="576"/>
      <c r="DD166" s="576"/>
      <c r="DE166" s="576"/>
      <c r="DF166" s="576"/>
      <c r="DG166" s="576"/>
      <c r="DH166" s="116"/>
      <c r="DI166" s="112"/>
      <c r="DJ166">
        <f ca="1">INDIRECT(ADDRESS(ROW()+1,COLUMN(Arbeitszeit!xDay),,,"Arbeitszeit"))</f>
        <v>4</v>
      </c>
    </row>
    <row r="167" spans="1:114">
      <c r="A167" s="462">
        <f>Arbeitszeit!A168</f>
        <v>44996</v>
      </c>
      <c r="B167" s="463">
        <f t="shared" si="9"/>
        <v>44996</v>
      </c>
      <c r="C167" s="146">
        <f t="shared" si="10"/>
        <v>10</v>
      </c>
      <c r="D167" s="145">
        <f t="shared" si="11"/>
        <v>44985</v>
      </c>
      <c r="E167" s="510">
        <f>Arbeitszeit!V168*24</f>
        <v>0</v>
      </c>
      <c r="F167" s="574">
        <f t="shared" si="8"/>
        <v>0</v>
      </c>
      <c r="G167" s="113">
        <f>IF(Arbeitszeit!F168=Urlaub,B_WorkTime*24,)</f>
        <v>0</v>
      </c>
      <c r="H167" s="111"/>
      <c r="I167" s="113">
        <f>IF(Arbeitszeit!F168=Krank,B_WorkTime*24,)</f>
        <v>0</v>
      </c>
      <c r="J167" s="111"/>
      <c r="K167" s="114"/>
      <c r="L167" s="115"/>
      <c r="M167" s="498"/>
      <c r="N167" s="499"/>
      <c r="O167" s="498"/>
      <c r="P167" s="499"/>
      <c r="Q167" s="498"/>
      <c r="R167" s="499"/>
      <c r="S167" s="498"/>
      <c r="T167" s="499"/>
      <c r="U167" s="498"/>
      <c r="V167" s="499"/>
      <c r="W167" s="498"/>
      <c r="X167" s="499"/>
      <c r="Y167" s="498"/>
      <c r="Z167" s="499"/>
      <c r="AA167" s="498"/>
      <c r="AB167" s="499"/>
      <c r="AC167" s="498"/>
      <c r="AD167" s="499"/>
      <c r="AE167" s="498"/>
      <c r="AF167" s="500"/>
      <c r="AG167" s="498"/>
      <c r="AH167" s="500"/>
      <c r="AI167" s="498"/>
      <c r="AJ167" s="500"/>
      <c r="AK167" s="498"/>
      <c r="AL167" s="500"/>
      <c r="AM167" s="501"/>
      <c r="AN167" s="500"/>
      <c r="AO167" s="498"/>
      <c r="AP167" s="500"/>
      <c r="AQ167" s="501"/>
      <c r="AR167" s="500"/>
      <c r="AS167" s="500"/>
      <c r="AT167" s="500"/>
      <c r="AU167" s="501"/>
      <c r="AV167" s="500"/>
      <c r="AW167" s="500"/>
      <c r="AX167" s="500"/>
      <c r="AY167" s="576"/>
      <c r="AZ167" s="576"/>
      <c r="BA167" s="576"/>
      <c r="BB167" s="576"/>
      <c r="BC167" s="576"/>
      <c r="BD167" s="576"/>
      <c r="BE167" s="576"/>
      <c r="BF167" s="576"/>
      <c r="BG167" s="576"/>
      <c r="BH167" s="576"/>
      <c r="BI167" s="576"/>
      <c r="BJ167" s="576"/>
      <c r="BK167" s="576"/>
      <c r="BL167" s="576"/>
      <c r="BM167" s="576"/>
      <c r="BN167" s="576"/>
      <c r="BO167" s="576"/>
      <c r="BP167" s="576"/>
      <c r="BQ167" s="576"/>
      <c r="BR167" s="576"/>
      <c r="BS167" s="576"/>
      <c r="BT167" s="576"/>
      <c r="BU167" s="576"/>
      <c r="BV167" s="576"/>
      <c r="BW167" s="576"/>
      <c r="BX167" s="576"/>
      <c r="BY167" s="576"/>
      <c r="BZ167" s="576"/>
      <c r="CA167" s="576"/>
      <c r="CB167" s="576"/>
      <c r="CC167" s="576"/>
      <c r="CD167" s="576"/>
      <c r="CE167" s="576"/>
      <c r="CF167" s="576"/>
      <c r="CG167" s="576"/>
      <c r="CH167" s="576"/>
      <c r="CI167" s="576"/>
      <c r="CJ167" s="576"/>
      <c r="CK167" s="576"/>
      <c r="CL167" s="576"/>
      <c r="CM167" s="576"/>
      <c r="CN167" s="576"/>
      <c r="CO167" s="576"/>
      <c r="CP167" s="576"/>
      <c r="CQ167" s="576"/>
      <c r="CR167" s="576"/>
      <c r="CS167" s="576"/>
      <c r="CT167" s="576"/>
      <c r="CU167" s="576"/>
      <c r="CV167" s="576"/>
      <c r="CW167" s="576"/>
      <c r="CX167" s="576"/>
      <c r="CY167" s="576"/>
      <c r="CZ167" s="576"/>
      <c r="DA167" s="576"/>
      <c r="DB167" s="576"/>
      <c r="DC167" s="576"/>
      <c r="DD167" s="576"/>
      <c r="DE167" s="576"/>
      <c r="DF167" s="576"/>
      <c r="DG167" s="576"/>
      <c r="DH167" s="116"/>
      <c r="DI167" s="112"/>
      <c r="DJ167">
        <f ca="1">INDIRECT(ADDRESS(ROW()+1,COLUMN(Arbeitszeit!xDay),,,"Arbeitszeit"))</f>
        <v>5</v>
      </c>
    </row>
    <row r="168" spans="1:114">
      <c r="A168" s="462">
        <f>Arbeitszeit!A169</f>
        <v>44997</v>
      </c>
      <c r="B168" s="463">
        <f t="shared" si="9"/>
        <v>44997</v>
      </c>
      <c r="C168" s="146">
        <f t="shared" si="10"/>
        <v>10</v>
      </c>
      <c r="D168" s="145">
        <f t="shared" si="11"/>
        <v>44985</v>
      </c>
      <c r="E168" s="510">
        <f>Arbeitszeit!V169*24</f>
        <v>0</v>
      </c>
      <c r="F168" s="574">
        <f t="shared" si="8"/>
        <v>0</v>
      </c>
      <c r="G168" s="113">
        <f>IF(Arbeitszeit!F169=Urlaub,B_WorkTime*24,)</f>
        <v>0</v>
      </c>
      <c r="H168" s="111"/>
      <c r="I168" s="113">
        <f>IF(Arbeitszeit!F169=Krank,B_WorkTime*24,)</f>
        <v>0</v>
      </c>
      <c r="J168" s="111"/>
      <c r="K168" s="114"/>
      <c r="L168" s="115"/>
      <c r="M168" s="498"/>
      <c r="N168" s="499"/>
      <c r="O168" s="498"/>
      <c r="P168" s="499"/>
      <c r="Q168" s="498"/>
      <c r="R168" s="499"/>
      <c r="S168" s="498"/>
      <c r="T168" s="499"/>
      <c r="U168" s="498"/>
      <c r="V168" s="499"/>
      <c r="W168" s="498"/>
      <c r="X168" s="499"/>
      <c r="Y168" s="498"/>
      <c r="Z168" s="499"/>
      <c r="AA168" s="498"/>
      <c r="AB168" s="499"/>
      <c r="AC168" s="498"/>
      <c r="AD168" s="499"/>
      <c r="AE168" s="498"/>
      <c r="AF168" s="500"/>
      <c r="AG168" s="498"/>
      <c r="AH168" s="500"/>
      <c r="AI168" s="498"/>
      <c r="AJ168" s="500"/>
      <c r="AK168" s="498"/>
      <c r="AL168" s="500"/>
      <c r="AM168" s="501"/>
      <c r="AN168" s="500"/>
      <c r="AO168" s="498"/>
      <c r="AP168" s="500"/>
      <c r="AQ168" s="501"/>
      <c r="AR168" s="500"/>
      <c r="AS168" s="500"/>
      <c r="AT168" s="500"/>
      <c r="AU168" s="501"/>
      <c r="AV168" s="500"/>
      <c r="AW168" s="500"/>
      <c r="AX168" s="500"/>
      <c r="AY168" s="576"/>
      <c r="AZ168" s="576"/>
      <c r="BA168" s="576"/>
      <c r="BB168" s="576"/>
      <c r="BC168" s="576"/>
      <c r="BD168" s="576"/>
      <c r="BE168" s="576"/>
      <c r="BF168" s="576"/>
      <c r="BG168" s="576"/>
      <c r="BH168" s="576"/>
      <c r="BI168" s="576"/>
      <c r="BJ168" s="576"/>
      <c r="BK168" s="576"/>
      <c r="BL168" s="576"/>
      <c r="BM168" s="576"/>
      <c r="BN168" s="576"/>
      <c r="BO168" s="576"/>
      <c r="BP168" s="576"/>
      <c r="BQ168" s="576"/>
      <c r="BR168" s="576"/>
      <c r="BS168" s="576"/>
      <c r="BT168" s="576"/>
      <c r="BU168" s="576"/>
      <c r="BV168" s="576"/>
      <c r="BW168" s="576"/>
      <c r="BX168" s="576"/>
      <c r="BY168" s="576"/>
      <c r="BZ168" s="576"/>
      <c r="CA168" s="576"/>
      <c r="CB168" s="576"/>
      <c r="CC168" s="576"/>
      <c r="CD168" s="576"/>
      <c r="CE168" s="576"/>
      <c r="CF168" s="576"/>
      <c r="CG168" s="576"/>
      <c r="CH168" s="576"/>
      <c r="CI168" s="576"/>
      <c r="CJ168" s="576"/>
      <c r="CK168" s="576"/>
      <c r="CL168" s="576"/>
      <c r="CM168" s="576"/>
      <c r="CN168" s="576"/>
      <c r="CO168" s="576"/>
      <c r="CP168" s="576"/>
      <c r="CQ168" s="576"/>
      <c r="CR168" s="576"/>
      <c r="CS168" s="576"/>
      <c r="CT168" s="576"/>
      <c r="CU168" s="576"/>
      <c r="CV168" s="576"/>
      <c r="CW168" s="576"/>
      <c r="CX168" s="576"/>
      <c r="CY168" s="576"/>
      <c r="CZ168" s="576"/>
      <c r="DA168" s="576"/>
      <c r="DB168" s="576"/>
      <c r="DC168" s="576"/>
      <c r="DD168" s="576"/>
      <c r="DE168" s="576"/>
      <c r="DF168" s="576"/>
      <c r="DG168" s="576"/>
      <c r="DH168" s="116"/>
      <c r="DI168" s="112"/>
      <c r="DJ168">
        <f ca="1">INDIRECT(ADDRESS(ROW()+1,COLUMN(Arbeitszeit!xDay),,,"Arbeitszeit"))</f>
        <v>6</v>
      </c>
    </row>
    <row r="169" spans="1:114">
      <c r="A169" s="462">
        <f>Arbeitszeit!A170</f>
        <v>44998</v>
      </c>
      <c r="B169" s="463">
        <f t="shared" si="9"/>
        <v>44998</v>
      </c>
      <c r="C169" s="146">
        <f t="shared" si="10"/>
        <v>10</v>
      </c>
      <c r="D169" s="145">
        <f t="shared" si="11"/>
        <v>44985</v>
      </c>
      <c r="E169" s="510">
        <f>Arbeitszeit!V170*24</f>
        <v>0</v>
      </c>
      <c r="F169" s="574">
        <f t="shared" si="8"/>
        <v>0</v>
      </c>
      <c r="G169" s="113">
        <f>IF(Arbeitszeit!F170=Urlaub,B_WorkTime*24,)</f>
        <v>0</v>
      </c>
      <c r="H169" s="111"/>
      <c r="I169" s="113">
        <f>IF(Arbeitszeit!F170=Krank,B_WorkTime*24,)</f>
        <v>0</v>
      </c>
      <c r="J169" s="111"/>
      <c r="K169" s="114"/>
      <c r="L169" s="115"/>
      <c r="M169" s="498"/>
      <c r="N169" s="499"/>
      <c r="O169" s="498"/>
      <c r="P169" s="499"/>
      <c r="Q169" s="498"/>
      <c r="R169" s="499"/>
      <c r="S169" s="498"/>
      <c r="T169" s="499"/>
      <c r="U169" s="498"/>
      <c r="V169" s="499"/>
      <c r="W169" s="498"/>
      <c r="X169" s="499"/>
      <c r="Y169" s="498"/>
      <c r="Z169" s="499"/>
      <c r="AA169" s="498"/>
      <c r="AB169" s="499"/>
      <c r="AC169" s="498"/>
      <c r="AD169" s="499"/>
      <c r="AE169" s="498"/>
      <c r="AF169" s="500"/>
      <c r="AG169" s="498"/>
      <c r="AH169" s="500"/>
      <c r="AI169" s="498"/>
      <c r="AJ169" s="500"/>
      <c r="AK169" s="498"/>
      <c r="AL169" s="500"/>
      <c r="AM169" s="501"/>
      <c r="AN169" s="500"/>
      <c r="AO169" s="498"/>
      <c r="AP169" s="500"/>
      <c r="AQ169" s="501"/>
      <c r="AR169" s="500"/>
      <c r="AS169" s="500"/>
      <c r="AT169" s="500"/>
      <c r="AU169" s="501"/>
      <c r="AV169" s="500"/>
      <c r="AW169" s="500"/>
      <c r="AX169" s="500"/>
      <c r="AY169" s="576"/>
      <c r="AZ169" s="576"/>
      <c r="BA169" s="576"/>
      <c r="BB169" s="576"/>
      <c r="BC169" s="576"/>
      <c r="BD169" s="576"/>
      <c r="BE169" s="576"/>
      <c r="BF169" s="576"/>
      <c r="BG169" s="576"/>
      <c r="BH169" s="576"/>
      <c r="BI169" s="576"/>
      <c r="BJ169" s="576"/>
      <c r="BK169" s="576"/>
      <c r="BL169" s="576"/>
      <c r="BM169" s="576"/>
      <c r="BN169" s="576"/>
      <c r="BO169" s="576"/>
      <c r="BP169" s="576"/>
      <c r="BQ169" s="576"/>
      <c r="BR169" s="576"/>
      <c r="BS169" s="576"/>
      <c r="BT169" s="576"/>
      <c r="BU169" s="576"/>
      <c r="BV169" s="576"/>
      <c r="BW169" s="576"/>
      <c r="BX169" s="576"/>
      <c r="BY169" s="576"/>
      <c r="BZ169" s="576"/>
      <c r="CA169" s="576"/>
      <c r="CB169" s="576"/>
      <c r="CC169" s="576"/>
      <c r="CD169" s="576"/>
      <c r="CE169" s="576"/>
      <c r="CF169" s="576"/>
      <c r="CG169" s="576"/>
      <c r="CH169" s="576"/>
      <c r="CI169" s="576"/>
      <c r="CJ169" s="576"/>
      <c r="CK169" s="576"/>
      <c r="CL169" s="576"/>
      <c r="CM169" s="576"/>
      <c r="CN169" s="576"/>
      <c r="CO169" s="576"/>
      <c r="CP169" s="576"/>
      <c r="CQ169" s="576"/>
      <c r="CR169" s="576"/>
      <c r="CS169" s="576"/>
      <c r="CT169" s="576"/>
      <c r="CU169" s="576"/>
      <c r="CV169" s="576"/>
      <c r="CW169" s="576"/>
      <c r="CX169" s="576"/>
      <c r="CY169" s="576"/>
      <c r="CZ169" s="576"/>
      <c r="DA169" s="576"/>
      <c r="DB169" s="576"/>
      <c r="DC169" s="576"/>
      <c r="DD169" s="576"/>
      <c r="DE169" s="576"/>
      <c r="DF169" s="576"/>
      <c r="DG169" s="576"/>
      <c r="DH169" s="116"/>
      <c r="DI169" s="112"/>
      <c r="DJ169">
        <f ca="1">INDIRECT(ADDRESS(ROW()+1,COLUMN(Arbeitszeit!xDay),,,"Arbeitszeit"))</f>
        <v>7</v>
      </c>
    </row>
    <row r="170" spans="1:114">
      <c r="A170" s="462">
        <f>Arbeitszeit!A171</f>
        <v>44999</v>
      </c>
      <c r="B170" s="463">
        <f t="shared" si="9"/>
        <v>44999</v>
      </c>
      <c r="C170" s="146">
        <f t="shared" si="10"/>
        <v>11</v>
      </c>
      <c r="D170" s="145">
        <f t="shared" si="11"/>
        <v>44985</v>
      </c>
      <c r="E170" s="510">
        <f>Arbeitszeit!V171*24</f>
        <v>0</v>
      </c>
      <c r="F170" s="574">
        <f t="shared" si="8"/>
        <v>0</v>
      </c>
      <c r="G170" s="113">
        <f>IF(Arbeitszeit!F171=Urlaub,B_WorkTime*24,)</f>
        <v>0</v>
      </c>
      <c r="H170" s="111"/>
      <c r="I170" s="113">
        <f>IF(Arbeitszeit!F171=Krank,B_WorkTime*24,)</f>
        <v>0</v>
      </c>
      <c r="J170" s="111"/>
      <c r="K170" s="114"/>
      <c r="L170" s="115"/>
      <c r="M170" s="498"/>
      <c r="N170" s="499"/>
      <c r="O170" s="498"/>
      <c r="P170" s="499"/>
      <c r="Q170" s="498"/>
      <c r="R170" s="499"/>
      <c r="S170" s="498"/>
      <c r="T170" s="499"/>
      <c r="U170" s="498"/>
      <c r="V170" s="499"/>
      <c r="W170" s="498"/>
      <c r="X170" s="499"/>
      <c r="Y170" s="498"/>
      <c r="Z170" s="499"/>
      <c r="AA170" s="498"/>
      <c r="AB170" s="499"/>
      <c r="AC170" s="498"/>
      <c r="AD170" s="499"/>
      <c r="AE170" s="498"/>
      <c r="AF170" s="500"/>
      <c r="AG170" s="498"/>
      <c r="AH170" s="500"/>
      <c r="AI170" s="498"/>
      <c r="AJ170" s="500"/>
      <c r="AK170" s="498"/>
      <c r="AL170" s="500"/>
      <c r="AM170" s="501"/>
      <c r="AN170" s="500"/>
      <c r="AO170" s="498"/>
      <c r="AP170" s="500"/>
      <c r="AQ170" s="501"/>
      <c r="AR170" s="500"/>
      <c r="AS170" s="500"/>
      <c r="AT170" s="500"/>
      <c r="AU170" s="501"/>
      <c r="AV170" s="500"/>
      <c r="AW170" s="500"/>
      <c r="AX170" s="500"/>
      <c r="AY170" s="576"/>
      <c r="AZ170" s="576"/>
      <c r="BA170" s="576"/>
      <c r="BB170" s="576"/>
      <c r="BC170" s="576"/>
      <c r="BD170" s="576"/>
      <c r="BE170" s="576"/>
      <c r="BF170" s="576"/>
      <c r="BG170" s="576"/>
      <c r="BH170" s="576"/>
      <c r="BI170" s="576"/>
      <c r="BJ170" s="576"/>
      <c r="BK170" s="576"/>
      <c r="BL170" s="576"/>
      <c r="BM170" s="576"/>
      <c r="BN170" s="576"/>
      <c r="BO170" s="576"/>
      <c r="BP170" s="576"/>
      <c r="BQ170" s="576"/>
      <c r="BR170" s="576"/>
      <c r="BS170" s="576"/>
      <c r="BT170" s="576"/>
      <c r="BU170" s="576"/>
      <c r="BV170" s="576"/>
      <c r="BW170" s="576"/>
      <c r="BX170" s="576"/>
      <c r="BY170" s="576"/>
      <c r="BZ170" s="576"/>
      <c r="CA170" s="576"/>
      <c r="CB170" s="576"/>
      <c r="CC170" s="576"/>
      <c r="CD170" s="576"/>
      <c r="CE170" s="576"/>
      <c r="CF170" s="576"/>
      <c r="CG170" s="576"/>
      <c r="CH170" s="576"/>
      <c r="CI170" s="576"/>
      <c r="CJ170" s="576"/>
      <c r="CK170" s="576"/>
      <c r="CL170" s="576"/>
      <c r="CM170" s="576"/>
      <c r="CN170" s="576"/>
      <c r="CO170" s="576"/>
      <c r="CP170" s="576"/>
      <c r="CQ170" s="576"/>
      <c r="CR170" s="576"/>
      <c r="CS170" s="576"/>
      <c r="CT170" s="576"/>
      <c r="CU170" s="576"/>
      <c r="CV170" s="576"/>
      <c r="CW170" s="576"/>
      <c r="CX170" s="576"/>
      <c r="CY170" s="576"/>
      <c r="CZ170" s="576"/>
      <c r="DA170" s="576"/>
      <c r="DB170" s="576"/>
      <c r="DC170" s="576"/>
      <c r="DD170" s="576"/>
      <c r="DE170" s="576"/>
      <c r="DF170" s="576"/>
      <c r="DG170" s="576"/>
      <c r="DH170" s="116"/>
      <c r="DI170" s="112"/>
      <c r="DJ170">
        <f ca="1">INDIRECT(ADDRESS(ROW()+1,COLUMN(Arbeitszeit!xDay),,,"Arbeitszeit"))</f>
        <v>1</v>
      </c>
    </row>
    <row r="171" spans="1:114">
      <c r="A171" s="462">
        <f>Arbeitszeit!A172</f>
        <v>45000</v>
      </c>
      <c r="B171" s="463">
        <f t="shared" si="9"/>
        <v>45000</v>
      </c>
      <c r="C171" s="146">
        <f t="shared" si="10"/>
        <v>11</v>
      </c>
      <c r="D171" s="145">
        <f t="shared" si="11"/>
        <v>44985</v>
      </c>
      <c r="E171" s="510">
        <f>Arbeitszeit!V172*24</f>
        <v>0</v>
      </c>
      <c r="F171" s="574">
        <f t="shared" si="8"/>
        <v>0</v>
      </c>
      <c r="G171" s="113">
        <f>IF(Arbeitszeit!F172=Urlaub,B_WorkTime*24,)</f>
        <v>0</v>
      </c>
      <c r="H171" s="111"/>
      <c r="I171" s="113">
        <f>IF(Arbeitszeit!F172=Krank,B_WorkTime*24,)</f>
        <v>0</v>
      </c>
      <c r="J171" s="111"/>
      <c r="K171" s="114"/>
      <c r="L171" s="115"/>
      <c r="M171" s="498"/>
      <c r="N171" s="499"/>
      <c r="O171" s="498"/>
      <c r="P171" s="499"/>
      <c r="Q171" s="498"/>
      <c r="R171" s="499"/>
      <c r="S171" s="498"/>
      <c r="T171" s="499"/>
      <c r="U171" s="498"/>
      <c r="V171" s="499"/>
      <c r="W171" s="498"/>
      <c r="X171" s="499"/>
      <c r="Y171" s="498"/>
      <c r="Z171" s="499"/>
      <c r="AA171" s="498"/>
      <c r="AB171" s="499"/>
      <c r="AC171" s="498"/>
      <c r="AD171" s="499"/>
      <c r="AE171" s="498"/>
      <c r="AF171" s="500"/>
      <c r="AG171" s="498"/>
      <c r="AH171" s="500"/>
      <c r="AI171" s="498"/>
      <c r="AJ171" s="500"/>
      <c r="AK171" s="498"/>
      <c r="AL171" s="500"/>
      <c r="AM171" s="501"/>
      <c r="AN171" s="500"/>
      <c r="AO171" s="498"/>
      <c r="AP171" s="500"/>
      <c r="AQ171" s="501"/>
      <c r="AR171" s="500"/>
      <c r="AS171" s="500"/>
      <c r="AT171" s="500"/>
      <c r="AU171" s="501"/>
      <c r="AV171" s="500"/>
      <c r="AW171" s="500"/>
      <c r="AX171" s="500"/>
      <c r="AY171" s="576"/>
      <c r="AZ171" s="576"/>
      <c r="BA171" s="576"/>
      <c r="BB171" s="576"/>
      <c r="BC171" s="576"/>
      <c r="BD171" s="576"/>
      <c r="BE171" s="576"/>
      <c r="BF171" s="576"/>
      <c r="BG171" s="576"/>
      <c r="BH171" s="576"/>
      <c r="BI171" s="576"/>
      <c r="BJ171" s="576"/>
      <c r="BK171" s="576"/>
      <c r="BL171" s="576"/>
      <c r="BM171" s="576"/>
      <c r="BN171" s="576"/>
      <c r="BO171" s="576"/>
      <c r="BP171" s="576"/>
      <c r="BQ171" s="576"/>
      <c r="BR171" s="576"/>
      <c r="BS171" s="576"/>
      <c r="BT171" s="576"/>
      <c r="BU171" s="576"/>
      <c r="BV171" s="576"/>
      <c r="BW171" s="576"/>
      <c r="BX171" s="576"/>
      <c r="BY171" s="576"/>
      <c r="BZ171" s="576"/>
      <c r="CA171" s="576"/>
      <c r="CB171" s="576"/>
      <c r="CC171" s="576"/>
      <c r="CD171" s="576"/>
      <c r="CE171" s="576"/>
      <c r="CF171" s="576"/>
      <c r="CG171" s="576"/>
      <c r="CH171" s="576"/>
      <c r="CI171" s="576"/>
      <c r="CJ171" s="576"/>
      <c r="CK171" s="576"/>
      <c r="CL171" s="576"/>
      <c r="CM171" s="576"/>
      <c r="CN171" s="576"/>
      <c r="CO171" s="576"/>
      <c r="CP171" s="576"/>
      <c r="CQ171" s="576"/>
      <c r="CR171" s="576"/>
      <c r="CS171" s="576"/>
      <c r="CT171" s="576"/>
      <c r="CU171" s="576"/>
      <c r="CV171" s="576"/>
      <c r="CW171" s="576"/>
      <c r="CX171" s="576"/>
      <c r="CY171" s="576"/>
      <c r="CZ171" s="576"/>
      <c r="DA171" s="576"/>
      <c r="DB171" s="576"/>
      <c r="DC171" s="576"/>
      <c r="DD171" s="576"/>
      <c r="DE171" s="576"/>
      <c r="DF171" s="576"/>
      <c r="DG171" s="576"/>
      <c r="DH171" s="116"/>
      <c r="DI171" s="112"/>
      <c r="DJ171">
        <f ca="1">INDIRECT(ADDRESS(ROW()+1,COLUMN(Arbeitszeit!xDay),,,"Arbeitszeit"))</f>
        <v>2</v>
      </c>
    </row>
    <row r="172" spans="1:114">
      <c r="A172" s="462">
        <f>Arbeitszeit!A173</f>
        <v>45001</v>
      </c>
      <c r="B172" s="463">
        <f t="shared" si="9"/>
        <v>45001</v>
      </c>
      <c r="C172" s="146">
        <f t="shared" si="10"/>
        <v>11</v>
      </c>
      <c r="D172" s="145">
        <f t="shared" si="11"/>
        <v>44985</v>
      </c>
      <c r="E172" s="510">
        <f>Arbeitszeit!V173*24</f>
        <v>0</v>
      </c>
      <c r="F172" s="574">
        <f t="shared" si="8"/>
        <v>0</v>
      </c>
      <c r="G172" s="113">
        <f>IF(Arbeitszeit!F173=Urlaub,B_WorkTime*24,)</f>
        <v>0</v>
      </c>
      <c r="H172" s="111"/>
      <c r="I172" s="113">
        <f>IF(Arbeitszeit!F173=Krank,B_WorkTime*24,)</f>
        <v>0</v>
      </c>
      <c r="J172" s="111"/>
      <c r="K172" s="114"/>
      <c r="L172" s="115"/>
      <c r="M172" s="498"/>
      <c r="N172" s="499"/>
      <c r="O172" s="498"/>
      <c r="P172" s="499"/>
      <c r="Q172" s="498"/>
      <c r="R172" s="499"/>
      <c r="S172" s="498"/>
      <c r="T172" s="499"/>
      <c r="U172" s="498"/>
      <c r="V172" s="499"/>
      <c r="W172" s="498"/>
      <c r="X172" s="499"/>
      <c r="Y172" s="498"/>
      <c r="Z172" s="499"/>
      <c r="AA172" s="498"/>
      <c r="AB172" s="499"/>
      <c r="AC172" s="498"/>
      <c r="AD172" s="499"/>
      <c r="AE172" s="498"/>
      <c r="AF172" s="500"/>
      <c r="AG172" s="498"/>
      <c r="AH172" s="500"/>
      <c r="AI172" s="498"/>
      <c r="AJ172" s="500"/>
      <c r="AK172" s="498"/>
      <c r="AL172" s="500"/>
      <c r="AM172" s="501"/>
      <c r="AN172" s="500"/>
      <c r="AO172" s="498"/>
      <c r="AP172" s="500"/>
      <c r="AQ172" s="501"/>
      <c r="AR172" s="500"/>
      <c r="AS172" s="500"/>
      <c r="AT172" s="500"/>
      <c r="AU172" s="501"/>
      <c r="AV172" s="500"/>
      <c r="AW172" s="500"/>
      <c r="AX172" s="500"/>
      <c r="AY172" s="576"/>
      <c r="AZ172" s="576"/>
      <c r="BA172" s="576"/>
      <c r="BB172" s="576"/>
      <c r="BC172" s="576"/>
      <c r="BD172" s="576"/>
      <c r="BE172" s="576"/>
      <c r="BF172" s="576"/>
      <c r="BG172" s="576"/>
      <c r="BH172" s="576"/>
      <c r="BI172" s="576"/>
      <c r="BJ172" s="576"/>
      <c r="BK172" s="576"/>
      <c r="BL172" s="576"/>
      <c r="BM172" s="576"/>
      <c r="BN172" s="576"/>
      <c r="BO172" s="576"/>
      <c r="BP172" s="576"/>
      <c r="BQ172" s="576"/>
      <c r="BR172" s="576"/>
      <c r="BS172" s="576"/>
      <c r="BT172" s="576"/>
      <c r="BU172" s="576"/>
      <c r="BV172" s="576"/>
      <c r="BW172" s="576"/>
      <c r="BX172" s="576"/>
      <c r="BY172" s="576"/>
      <c r="BZ172" s="576"/>
      <c r="CA172" s="576"/>
      <c r="CB172" s="576"/>
      <c r="CC172" s="576"/>
      <c r="CD172" s="576"/>
      <c r="CE172" s="576"/>
      <c r="CF172" s="576"/>
      <c r="CG172" s="576"/>
      <c r="CH172" s="576"/>
      <c r="CI172" s="576"/>
      <c r="CJ172" s="576"/>
      <c r="CK172" s="576"/>
      <c r="CL172" s="576"/>
      <c r="CM172" s="576"/>
      <c r="CN172" s="576"/>
      <c r="CO172" s="576"/>
      <c r="CP172" s="576"/>
      <c r="CQ172" s="576"/>
      <c r="CR172" s="576"/>
      <c r="CS172" s="576"/>
      <c r="CT172" s="576"/>
      <c r="CU172" s="576"/>
      <c r="CV172" s="576"/>
      <c r="CW172" s="576"/>
      <c r="CX172" s="576"/>
      <c r="CY172" s="576"/>
      <c r="CZ172" s="576"/>
      <c r="DA172" s="576"/>
      <c r="DB172" s="576"/>
      <c r="DC172" s="576"/>
      <c r="DD172" s="576"/>
      <c r="DE172" s="576"/>
      <c r="DF172" s="576"/>
      <c r="DG172" s="576"/>
      <c r="DH172" s="116"/>
      <c r="DI172" s="112"/>
      <c r="DJ172">
        <f ca="1">INDIRECT(ADDRESS(ROW()+1,COLUMN(Arbeitszeit!xDay),,,"Arbeitszeit"))</f>
        <v>3</v>
      </c>
    </row>
    <row r="173" spans="1:114">
      <c r="A173" s="462">
        <f>Arbeitszeit!A174</f>
        <v>45002</v>
      </c>
      <c r="B173" s="463">
        <f t="shared" si="9"/>
        <v>45002</v>
      </c>
      <c r="C173" s="146">
        <f t="shared" si="10"/>
        <v>11</v>
      </c>
      <c r="D173" s="145">
        <f t="shared" si="11"/>
        <v>44985</v>
      </c>
      <c r="E173" s="510">
        <f>Arbeitszeit!V174*24</f>
        <v>0</v>
      </c>
      <c r="F173" s="574">
        <f t="shared" si="8"/>
        <v>0</v>
      </c>
      <c r="G173" s="113">
        <f>IF(Arbeitszeit!F174=Urlaub,B_WorkTime*24,)</f>
        <v>0</v>
      </c>
      <c r="H173" s="111"/>
      <c r="I173" s="113">
        <f>IF(Arbeitszeit!F174=Krank,B_WorkTime*24,)</f>
        <v>0</v>
      </c>
      <c r="J173" s="111"/>
      <c r="K173" s="114"/>
      <c r="L173" s="115"/>
      <c r="M173" s="498"/>
      <c r="N173" s="499"/>
      <c r="O173" s="498"/>
      <c r="P173" s="499"/>
      <c r="Q173" s="498"/>
      <c r="R173" s="499"/>
      <c r="S173" s="498"/>
      <c r="T173" s="499"/>
      <c r="U173" s="498"/>
      <c r="V173" s="499"/>
      <c r="W173" s="498"/>
      <c r="X173" s="499"/>
      <c r="Y173" s="498"/>
      <c r="Z173" s="499"/>
      <c r="AA173" s="498"/>
      <c r="AB173" s="499"/>
      <c r="AC173" s="498"/>
      <c r="AD173" s="499"/>
      <c r="AE173" s="498"/>
      <c r="AF173" s="500"/>
      <c r="AG173" s="498"/>
      <c r="AH173" s="500"/>
      <c r="AI173" s="498"/>
      <c r="AJ173" s="500"/>
      <c r="AK173" s="498"/>
      <c r="AL173" s="500"/>
      <c r="AM173" s="501"/>
      <c r="AN173" s="500"/>
      <c r="AO173" s="498"/>
      <c r="AP173" s="500"/>
      <c r="AQ173" s="501"/>
      <c r="AR173" s="500"/>
      <c r="AS173" s="500"/>
      <c r="AT173" s="500"/>
      <c r="AU173" s="501"/>
      <c r="AV173" s="500"/>
      <c r="AW173" s="500"/>
      <c r="AX173" s="500"/>
      <c r="AY173" s="576"/>
      <c r="AZ173" s="576"/>
      <c r="BA173" s="576"/>
      <c r="BB173" s="576"/>
      <c r="BC173" s="576"/>
      <c r="BD173" s="576"/>
      <c r="BE173" s="576"/>
      <c r="BF173" s="576"/>
      <c r="BG173" s="576"/>
      <c r="BH173" s="576"/>
      <c r="BI173" s="576"/>
      <c r="BJ173" s="576"/>
      <c r="BK173" s="576"/>
      <c r="BL173" s="576"/>
      <c r="BM173" s="576"/>
      <c r="BN173" s="576"/>
      <c r="BO173" s="576"/>
      <c r="BP173" s="576"/>
      <c r="BQ173" s="576"/>
      <c r="BR173" s="576"/>
      <c r="BS173" s="576"/>
      <c r="BT173" s="576"/>
      <c r="BU173" s="576"/>
      <c r="BV173" s="576"/>
      <c r="BW173" s="576"/>
      <c r="BX173" s="576"/>
      <c r="BY173" s="576"/>
      <c r="BZ173" s="576"/>
      <c r="CA173" s="576"/>
      <c r="CB173" s="576"/>
      <c r="CC173" s="576"/>
      <c r="CD173" s="576"/>
      <c r="CE173" s="576"/>
      <c r="CF173" s="576"/>
      <c r="CG173" s="576"/>
      <c r="CH173" s="576"/>
      <c r="CI173" s="576"/>
      <c r="CJ173" s="576"/>
      <c r="CK173" s="576"/>
      <c r="CL173" s="576"/>
      <c r="CM173" s="576"/>
      <c r="CN173" s="576"/>
      <c r="CO173" s="576"/>
      <c r="CP173" s="576"/>
      <c r="CQ173" s="576"/>
      <c r="CR173" s="576"/>
      <c r="CS173" s="576"/>
      <c r="CT173" s="576"/>
      <c r="CU173" s="576"/>
      <c r="CV173" s="576"/>
      <c r="CW173" s="576"/>
      <c r="CX173" s="576"/>
      <c r="CY173" s="576"/>
      <c r="CZ173" s="576"/>
      <c r="DA173" s="576"/>
      <c r="DB173" s="576"/>
      <c r="DC173" s="576"/>
      <c r="DD173" s="576"/>
      <c r="DE173" s="576"/>
      <c r="DF173" s="576"/>
      <c r="DG173" s="576"/>
      <c r="DH173" s="116"/>
      <c r="DI173" s="112"/>
      <c r="DJ173">
        <f ca="1">INDIRECT(ADDRESS(ROW()+1,COLUMN(Arbeitszeit!xDay),,,"Arbeitszeit"))</f>
        <v>4</v>
      </c>
    </row>
    <row r="174" spans="1:114">
      <c r="A174" s="462">
        <f>Arbeitszeit!A175</f>
        <v>45003</v>
      </c>
      <c r="B174" s="463">
        <f t="shared" si="9"/>
        <v>45003</v>
      </c>
      <c r="C174" s="146">
        <f t="shared" si="10"/>
        <v>11</v>
      </c>
      <c r="D174" s="145">
        <f t="shared" si="11"/>
        <v>44985</v>
      </c>
      <c r="E174" s="510">
        <f>Arbeitszeit!V175*24</f>
        <v>0</v>
      </c>
      <c r="F174" s="574">
        <f t="shared" si="8"/>
        <v>0</v>
      </c>
      <c r="G174" s="113">
        <f>IF(Arbeitszeit!F175=Urlaub,B_WorkTime*24,)</f>
        <v>0</v>
      </c>
      <c r="H174" s="111"/>
      <c r="I174" s="113">
        <f>IF(Arbeitszeit!F175=Krank,B_WorkTime*24,)</f>
        <v>0</v>
      </c>
      <c r="J174" s="111"/>
      <c r="K174" s="114"/>
      <c r="L174" s="115"/>
      <c r="M174" s="498"/>
      <c r="N174" s="499"/>
      <c r="O174" s="498"/>
      <c r="P174" s="499"/>
      <c r="Q174" s="498"/>
      <c r="R174" s="499"/>
      <c r="S174" s="498"/>
      <c r="T174" s="499"/>
      <c r="U174" s="498"/>
      <c r="V174" s="499"/>
      <c r="W174" s="498"/>
      <c r="X174" s="499"/>
      <c r="Y174" s="498"/>
      <c r="Z174" s="499"/>
      <c r="AA174" s="498"/>
      <c r="AB174" s="499"/>
      <c r="AC174" s="498"/>
      <c r="AD174" s="499"/>
      <c r="AE174" s="498"/>
      <c r="AF174" s="500"/>
      <c r="AG174" s="498"/>
      <c r="AH174" s="500"/>
      <c r="AI174" s="498"/>
      <c r="AJ174" s="500"/>
      <c r="AK174" s="498"/>
      <c r="AL174" s="500"/>
      <c r="AM174" s="501"/>
      <c r="AN174" s="500"/>
      <c r="AO174" s="498"/>
      <c r="AP174" s="500"/>
      <c r="AQ174" s="501"/>
      <c r="AR174" s="500"/>
      <c r="AS174" s="500"/>
      <c r="AT174" s="500"/>
      <c r="AU174" s="501"/>
      <c r="AV174" s="500"/>
      <c r="AW174" s="500"/>
      <c r="AX174" s="500"/>
      <c r="AY174" s="576"/>
      <c r="AZ174" s="576"/>
      <c r="BA174" s="576"/>
      <c r="BB174" s="576"/>
      <c r="BC174" s="576"/>
      <c r="BD174" s="576"/>
      <c r="BE174" s="576"/>
      <c r="BF174" s="576"/>
      <c r="BG174" s="576"/>
      <c r="BH174" s="576"/>
      <c r="BI174" s="576"/>
      <c r="BJ174" s="576"/>
      <c r="BK174" s="576"/>
      <c r="BL174" s="576"/>
      <c r="BM174" s="576"/>
      <c r="BN174" s="576"/>
      <c r="BO174" s="576"/>
      <c r="BP174" s="576"/>
      <c r="BQ174" s="576"/>
      <c r="BR174" s="576"/>
      <c r="BS174" s="576"/>
      <c r="BT174" s="576"/>
      <c r="BU174" s="576"/>
      <c r="BV174" s="576"/>
      <c r="BW174" s="576"/>
      <c r="BX174" s="576"/>
      <c r="BY174" s="576"/>
      <c r="BZ174" s="576"/>
      <c r="CA174" s="576"/>
      <c r="CB174" s="576"/>
      <c r="CC174" s="576"/>
      <c r="CD174" s="576"/>
      <c r="CE174" s="576"/>
      <c r="CF174" s="576"/>
      <c r="CG174" s="576"/>
      <c r="CH174" s="576"/>
      <c r="CI174" s="576"/>
      <c r="CJ174" s="576"/>
      <c r="CK174" s="576"/>
      <c r="CL174" s="576"/>
      <c r="CM174" s="576"/>
      <c r="CN174" s="576"/>
      <c r="CO174" s="576"/>
      <c r="CP174" s="576"/>
      <c r="CQ174" s="576"/>
      <c r="CR174" s="576"/>
      <c r="CS174" s="576"/>
      <c r="CT174" s="576"/>
      <c r="CU174" s="576"/>
      <c r="CV174" s="576"/>
      <c r="CW174" s="576"/>
      <c r="CX174" s="576"/>
      <c r="CY174" s="576"/>
      <c r="CZ174" s="576"/>
      <c r="DA174" s="576"/>
      <c r="DB174" s="576"/>
      <c r="DC174" s="576"/>
      <c r="DD174" s="576"/>
      <c r="DE174" s="576"/>
      <c r="DF174" s="576"/>
      <c r="DG174" s="576"/>
      <c r="DH174" s="116"/>
      <c r="DI174" s="112"/>
      <c r="DJ174">
        <f ca="1">INDIRECT(ADDRESS(ROW()+1,COLUMN(Arbeitszeit!xDay),,,"Arbeitszeit"))</f>
        <v>5</v>
      </c>
    </row>
    <row r="175" spans="1:114">
      <c r="A175" s="462">
        <f>Arbeitszeit!A176</f>
        <v>45004</v>
      </c>
      <c r="B175" s="463">
        <f t="shared" si="9"/>
        <v>45004</v>
      </c>
      <c r="C175" s="146">
        <f t="shared" si="10"/>
        <v>11</v>
      </c>
      <c r="D175" s="145">
        <f t="shared" si="11"/>
        <v>44985</v>
      </c>
      <c r="E175" s="510">
        <f>Arbeitszeit!V176*24</f>
        <v>0</v>
      </c>
      <c r="F175" s="574">
        <f t="shared" si="8"/>
        <v>0</v>
      </c>
      <c r="G175" s="113">
        <f>IF(Arbeitszeit!F176=Urlaub,B_WorkTime*24,)</f>
        <v>0</v>
      </c>
      <c r="H175" s="111"/>
      <c r="I175" s="113">
        <f>IF(Arbeitszeit!F176=Krank,B_WorkTime*24,)</f>
        <v>0</v>
      </c>
      <c r="J175" s="111"/>
      <c r="K175" s="114"/>
      <c r="L175" s="115"/>
      <c r="M175" s="498"/>
      <c r="N175" s="499"/>
      <c r="O175" s="498"/>
      <c r="P175" s="499"/>
      <c r="Q175" s="498"/>
      <c r="R175" s="499"/>
      <c r="S175" s="498"/>
      <c r="T175" s="499"/>
      <c r="U175" s="498"/>
      <c r="V175" s="499"/>
      <c r="W175" s="498"/>
      <c r="X175" s="499"/>
      <c r="Y175" s="498"/>
      <c r="Z175" s="499"/>
      <c r="AA175" s="498"/>
      <c r="AB175" s="499"/>
      <c r="AC175" s="498"/>
      <c r="AD175" s="499"/>
      <c r="AE175" s="498"/>
      <c r="AF175" s="500"/>
      <c r="AG175" s="498"/>
      <c r="AH175" s="500"/>
      <c r="AI175" s="498"/>
      <c r="AJ175" s="500"/>
      <c r="AK175" s="498"/>
      <c r="AL175" s="500"/>
      <c r="AM175" s="501"/>
      <c r="AN175" s="500"/>
      <c r="AO175" s="498"/>
      <c r="AP175" s="500"/>
      <c r="AQ175" s="501"/>
      <c r="AR175" s="500"/>
      <c r="AS175" s="500"/>
      <c r="AT175" s="500"/>
      <c r="AU175" s="501"/>
      <c r="AV175" s="500"/>
      <c r="AW175" s="500"/>
      <c r="AX175" s="500"/>
      <c r="AY175" s="576"/>
      <c r="AZ175" s="576"/>
      <c r="BA175" s="576"/>
      <c r="BB175" s="576"/>
      <c r="BC175" s="576"/>
      <c r="BD175" s="576"/>
      <c r="BE175" s="576"/>
      <c r="BF175" s="576"/>
      <c r="BG175" s="576"/>
      <c r="BH175" s="576"/>
      <c r="BI175" s="576"/>
      <c r="BJ175" s="576"/>
      <c r="BK175" s="576"/>
      <c r="BL175" s="576"/>
      <c r="BM175" s="576"/>
      <c r="BN175" s="576"/>
      <c r="BO175" s="576"/>
      <c r="BP175" s="576"/>
      <c r="BQ175" s="576"/>
      <c r="BR175" s="576"/>
      <c r="BS175" s="576"/>
      <c r="BT175" s="576"/>
      <c r="BU175" s="576"/>
      <c r="BV175" s="576"/>
      <c r="BW175" s="576"/>
      <c r="BX175" s="576"/>
      <c r="BY175" s="576"/>
      <c r="BZ175" s="576"/>
      <c r="CA175" s="576"/>
      <c r="CB175" s="576"/>
      <c r="CC175" s="576"/>
      <c r="CD175" s="576"/>
      <c r="CE175" s="576"/>
      <c r="CF175" s="576"/>
      <c r="CG175" s="576"/>
      <c r="CH175" s="576"/>
      <c r="CI175" s="576"/>
      <c r="CJ175" s="576"/>
      <c r="CK175" s="576"/>
      <c r="CL175" s="576"/>
      <c r="CM175" s="576"/>
      <c r="CN175" s="576"/>
      <c r="CO175" s="576"/>
      <c r="CP175" s="576"/>
      <c r="CQ175" s="576"/>
      <c r="CR175" s="576"/>
      <c r="CS175" s="576"/>
      <c r="CT175" s="576"/>
      <c r="CU175" s="576"/>
      <c r="CV175" s="576"/>
      <c r="CW175" s="576"/>
      <c r="CX175" s="576"/>
      <c r="CY175" s="576"/>
      <c r="CZ175" s="576"/>
      <c r="DA175" s="576"/>
      <c r="DB175" s="576"/>
      <c r="DC175" s="576"/>
      <c r="DD175" s="576"/>
      <c r="DE175" s="576"/>
      <c r="DF175" s="576"/>
      <c r="DG175" s="576"/>
      <c r="DH175" s="116"/>
      <c r="DI175" s="112"/>
      <c r="DJ175">
        <f ca="1">INDIRECT(ADDRESS(ROW()+1,COLUMN(Arbeitszeit!xDay),,,"Arbeitszeit"))</f>
        <v>6</v>
      </c>
    </row>
    <row r="176" spans="1:114">
      <c r="A176" s="462">
        <f>Arbeitszeit!A177</f>
        <v>45005</v>
      </c>
      <c r="B176" s="463">
        <f t="shared" si="9"/>
        <v>45005</v>
      </c>
      <c r="C176" s="146">
        <f t="shared" si="10"/>
        <v>11</v>
      </c>
      <c r="D176" s="145">
        <f t="shared" si="11"/>
        <v>44985</v>
      </c>
      <c r="E176" s="510">
        <f>Arbeitszeit!V177*24</f>
        <v>0</v>
      </c>
      <c r="F176" s="574">
        <f t="shared" si="8"/>
        <v>0</v>
      </c>
      <c r="G176" s="113">
        <f>IF(Arbeitszeit!F177=Urlaub,B_WorkTime*24,)</f>
        <v>0</v>
      </c>
      <c r="H176" s="111"/>
      <c r="I176" s="113">
        <f>IF(Arbeitszeit!F177=Krank,B_WorkTime*24,)</f>
        <v>0</v>
      </c>
      <c r="J176" s="111"/>
      <c r="K176" s="114"/>
      <c r="L176" s="115"/>
      <c r="M176" s="498"/>
      <c r="N176" s="499"/>
      <c r="O176" s="498"/>
      <c r="P176" s="499"/>
      <c r="Q176" s="498"/>
      <c r="R176" s="499"/>
      <c r="S176" s="498"/>
      <c r="T176" s="499"/>
      <c r="U176" s="498"/>
      <c r="V176" s="499"/>
      <c r="W176" s="498"/>
      <c r="X176" s="499"/>
      <c r="Y176" s="498"/>
      <c r="Z176" s="499"/>
      <c r="AA176" s="498"/>
      <c r="AB176" s="499"/>
      <c r="AC176" s="498"/>
      <c r="AD176" s="499"/>
      <c r="AE176" s="498"/>
      <c r="AF176" s="500"/>
      <c r="AG176" s="498"/>
      <c r="AH176" s="500"/>
      <c r="AI176" s="498"/>
      <c r="AJ176" s="500"/>
      <c r="AK176" s="498"/>
      <c r="AL176" s="500"/>
      <c r="AM176" s="501"/>
      <c r="AN176" s="500"/>
      <c r="AO176" s="498"/>
      <c r="AP176" s="500"/>
      <c r="AQ176" s="501"/>
      <c r="AR176" s="500"/>
      <c r="AS176" s="500"/>
      <c r="AT176" s="500"/>
      <c r="AU176" s="501"/>
      <c r="AV176" s="500"/>
      <c r="AW176" s="500"/>
      <c r="AX176" s="500"/>
      <c r="AY176" s="576"/>
      <c r="AZ176" s="576"/>
      <c r="BA176" s="576"/>
      <c r="BB176" s="576"/>
      <c r="BC176" s="576"/>
      <c r="BD176" s="576"/>
      <c r="BE176" s="576"/>
      <c r="BF176" s="576"/>
      <c r="BG176" s="576"/>
      <c r="BH176" s="576"/>
      <c r="BI176" s="576"/>
      <c r="BJ176" s="576"/>
      <c r="BK176" s="576"/>
      <c r="BL176" s="576"/>
      <c r="BM176" s="576"/>
      <c r="BN176" s="576"/>
      <c r="BO176" s="576"/>
      <c r="BP176" s="576"/>
      <c r="BQ176" s="576"/>
      <c r="BR176" s="576"/>
      <c r="BS176" s="576"/>
      <c r="BT176" s="576"/>
      <c r="BU176" s="576"/>
      <c r="BV176" s="576"/>
      <c r="BW176" s="576"/>
      <c r="BX176" s="576"/>
      <c r="BY176" s="576"/>
      <c r="BZ176" s="576"/>
      <c r="CA176" s="576"/>
      <c r="CB176" s="576"/>
      <c r="CC176" s="576"/>
      <c r="CD176" s="576"/>
      <c r="CE176" s="576"/>
      <c r="CF176" s="576"/>
      <c r="CG176" s="576"/>
      <c r="CH176" s="576"/>
      <c r="CI176" s="576"/>
      <c r="CJ176" s="576"/>
      <c r="CK176" s="576"/>
      <c r="CL176" s="576"/>
      <c r="CM176" s="576"/>
      <c r="CN176" s="576"/>
      <c r="CO176" s="576"/>
      <c r="CP176" s="576"/>
      <c r="CQ176" s="576"/>
      <c r="CR176" s="576"/>
      <c r="CS176" s="576"/>
      <c r="CT176" s="576"/>
      <c r="CU176" s="576"/>
      <c r="CV176" s="576"/>
      <c r="CW176" s="576"/>
      <c r="CX176" s="576"/>
      <c r="CY176" s="576"/>
      <c r="CZ176" s="576"/>
      <c r="DA176" s="576"/>
      <c r="DB176" s="576"/>
      <c r="DC176" s="576"/>
      <c r="DD176" s="576"/>
      <c r="DE176" s="576"/>
      <c r="DF176" s="576"/>
      <c r="DG176" s="576"/>
      <c r="DH176" s="116"/>
      <c r="DI176" s="112"/>
      <c r="DJ176">
        <f ca="1">INDIRECT(ADDRESS(ROW()+1,COLUMN(Arbeitszeit!xDay),,,"Arbeitszeit"))</f>
        <v>7</v>
      </c>
    </row>
    <row r="177" spans="1:114">
      <c r="A177" s="462">
        <f>Arbeitszeit!A178</f>
        <v>45006</v>
      </c>
      <c r="B177" s="463">
        <f t="shared" si="9"/>
        <v>45006</v>
      </c>
      <c r="C177" s="146">
        <f t="shared" si="10"/>
        <v>12</v>
      </c>
      <c r="D177" s="145">
        <f t="shared" si="11"/>
        <v>44985</v>
      </c>
      <c r="E177" s="510">
        <f>Arbeitszeit!V178*24</f>
        <v>0</v>
      </c>
      <c r="F177" s="574">
        <f t="shared" si="8"/>
        <v>0</v>
      </c>
      <c r="G177" s="113">
        <f>IF(Arbeitszeit!F178=Urlaub,B_WorkTime*24,)</f>
        <v>0</v>
      </c>
      <c r="H177" s="111"/>
      <c r="I177" s="113">
        <f>IF(Arbeitszeit!F178=Krank,B_WorkTime*24,)</f>
        <v>0</v>
      </c>
      <c r="J177" s="111"/>
      <c r="K177" s="114"/>
      <c r="L177" s="115"/>
      <c r="M177" s="498"/>
      <c r="N177" s="499"/>
      <c r="O177" s="498"/>
      <c r="P177" s="499"/>
      <c r="Q177" s="498"/>
      <c r="R177" s="499"/>
      <c r="S177" s="498"/>
      <c r="T177" s="499"/>
      <c r="U177" s="498"/>
      <c r="V177" s="499"/>
      <c r="W177" s="498"/>
      <c r="X177" s="499"/>
      <c r="Y177" s="498"/>
      <c r="Z177" s="499"/>
      <c r="AA177" s="498"/>
      <c r="AB177" s="499"/>
      <c r="AC177" s="498"/>
      <c r="AD177" s="499"/>
      <c r="AE177" s="498"/>
      <c r="AF177" s="500"/>
      <c r="AG177" s="498"/>
      <c r="AH177" s="500"/>
      <c r="AI177" s="498"/>
      <c r="AJ177" s="500"/>
      <c r="AK177" s="498"/>
      <c r="AL177" s="500"/>
      <c r="AM177" s="501"/>
      <c r="AN177" s="500"/>
      <c r="AO177" s="498"/>
      <c r="AP177" s="500"/>
      <c r="AQ177" s="501"/>
      <c r="AR177" s="500"/>
      <c r="AS177" s="500"/>
      <c r="AT177" s="500"/>
      <c r="AU177" s="501"/>
      <c r="AV177" s="500"/>
      <c r="AW177" s="500"/>
      <c r="AX177" s="500"/>
      <c r="AY177" s="576"/>
      <c r="AZ177" s="576"/>
      <c r="BA177" s="576"/>
      <c r="BB177" s="576"/>
      <c r="BC177" s="576"/>
      <c r="BD177" s="576"/>
      <c r="BE177" s="576"/>
      <c r="BF177" s="576"/>
      <c r="BG177" s="576"/>
      <c r="BH177" s="576"/>
      <c r="BI177" s="576"/>
      <c r="BJ177" s="576"/>
      <c r="BK177" s="576"/>
      <c r="BL177" s="576"/>
      <c r="BM177" s="576"/>
      <c r="BN177" s="576"/>
      <c r="BO177" s="576"/>
      <c r="BP177" s="576"/>
      <c r="BQ177" s="576"/>
      <c r="BR177" s="576"/>
      <c r="BS177" s="576"/>
      <c r="BT177" s="576"/>
      <c r="BU177" s="576"/>
      <c r="BV177" s="576"/>
      <c r="BW177" s="576"/>
      <c r="BX177" s="576"/>
      <c r="BY177" s="576"/>
      <c r="BZ177" s="576"/>
      <c r="CA177" s="576"/>
      <c r="CB177" s="576"/>
      <c r="CC177" s="576"/>
      <c r="CD177" s="576"/>
      <c r="CE177" s="576"/>
      <c r="CF177" s="576"/>
      <c r="CG177" s="576"/>
      <c r="CH177" s="576"/>
      <c r="CI177" s="576"/>
      <c r="CJ177" s="576"/>
      <c r="CK177" s="576"/>
      <c r="CL177" s="576"/>
      <c r="CM177" s="576"/>
      <c r="CN177" s="576"/>
      <c r="CO177" s="576"/>
      <c r="CP177" s="576"/>
      <c r="CQ177" s="576"/>
      <c r="CR177" s="576"/>
      <c r="CS177" s="576"/>
      <c r="CT177" s="576"/>
      <c r="CU177" s="576"/>
      <c r="CV177" s="576"/>
      <c r="CW177" s="576"/>
      <c r="CX177" s="576"/>
      <c r="CY177" s="576"/>
      <c r="CZ177" s="576"/>
      <c r="DA177" s="576"/>
      <c r="DB177" s="576"/>
      <c r="DC177" s="576"/>
      <c r="DD177" s="576"/>
      <c r="DE177" s="576"/>
      <c r="DF177" s="576"/>
      <c r="DG177" s="576"/>
      <c r="DH177" s="116"/>
      <c r="DI177" s="112"/>
      <c r="DJ177">
        <f ca="1">INDIRECT(ADDRESS(ROW()+1,COLUMN(Arbeitszeit!xDay),,,"Arbeitszeit"))</f>
        <v>1</v>
      </c>
    </row>
    <row r="178" spans="1:114">
      <c r="A178" s="462">
        <f>Arbeitszeit!A179</f>
        <v>45007</v>
      </c>
      <c r="B178" s="463">
        <f t="shared" si="9"/>
        <v>45007</v>
      </c>
      <c r="C178" s="146">
        <f t="shared" si="10"/>
        <v>12</v>
      </c>
      <c r="D178" s="145">
        <f t="shared" si="11"/>
        <v>44985</v>
      </c>
      <c r="E178" s="510">
        <f>Arbeitszeit!V179*24</f>
        <v>0</v>
      </c>
      <c r="F178" s="574">
        <f t="shared" si="8"/>
        <v>0</v>
      </c>
      <c r="G178" s="113">
        <f>IF(Arbeitszeit!F179=Urlaub,B_WorkTime*24,)</f>
        <v>0</v>
      </c>
      <c r="H178" s="111"/>
      <c r="I178" s="113">
        <f>IF(Arbeitszeit!F179=Krank,B_WorkTime*24,)</f>
        <v>0</v>
      </c>
      <c r="J178" s="111"/>
      <c r="K178" s="114"/>
      <c r="L178" s="115"/>
      <c r="M178" s="498"/>
      <c r="N178" s="499"/>
      <c r="O178" s="498"/>
      <c r="P178" s="499"/>
      <c r="Q178" s="498"/>
      <c r="R178" s="499"/>
      <c r="S178" s="498"/>
      <c r="T178" s="499"/>
      <c r="U178" s="498"/>
      <c r="V178" s="499"/>
      <c r="W178" s="498"/>
      <c r="X178" s="499"/>
      <c r="Y178" s="498"/>
      <c r="Z178" s="499"/>
      <c r="AA178" s="498"/>
      <c r="AB178" s="499"/>
      <c r="AC178" s="498"/>
      <c r="AD178" s="499"/>
      <c r="AE178" s="498"/>
      <c r="AF178" s="500"/>
      <c r="AG178" s="498"/>
      <c r="AH178" s="500"/>
      <c r="AI178" s="498"/>
      <c r="AJ178" s="500"/>
      <c r="AK178" s="498"/>
      <c r="AL178" s="500"/>
      <c r="AM178" s="501"/>
      <c r="AN178" s="500"/>
      <c r="AO178" s="498"/>
      <c r="AP178" s="500"/>
      <c r="AQ178" s="501"/>
      <c r="AR178" s="500"/>
      <c r="AS178" s="500"/>
      <c r="AT178" s="500"/>
      <c r="AU178" s="501"/>
      <c r="AV178" s="500"/>
      <c r="AW178" s="500"/>
      <c r="AX178" s="500"/>
      <c r="AY178" s="576"/>
      <c r="AZ178" s="576"/>
      <c r="BA178" s="576"/>
      <c r="BB178" s="576"/>
      <c r="BC178" s="576"/>
      <c r="BD178" s="576"/>
      <c r="BE178" s="576"/>
      <c r="BF178" s="576"/>
      <c r="BG178" s="576"/>
      <c r="BH178" s="576"/>
      <c r="BI178" s="576"/>
      <c r="BJ178" s="576"/>
      <c r="BK178" s="576"/>
      <c r="BL178" s="576"/>
      <c r="BM178" s="576"/>
      <c r="BN178" s="576"/>
      <c r="BO178" s="576"/>
      <c r="BP178" s="576"/>
      <c r="BQ178" s="576"/>
      <c r="BR178" s="576"/>
      <c r="BS178" s="576"/>
      <c r="BT178" s="576"/>
      <c r="BU178" s="576"/>
      <c r="BV178" s="576"/>
      <c r="BW178" s="576"/>
      <c r="BX178" s="576"/>
      <c r="BY178" s="576"/>
      <c r="BZ178" s="576"/>
      <c r="CA178" s="576"/>
      <c r="CB178" s="576"/>
      <c r="CC178" s="576"/>
      <c r="CD178" s="576"/>
      <c r="CE178" s="576"/>
      <c r="CF178" s="576"/>
      <c r="CG178" s="576"/>
      <c r="CH178" s="576"/>
      <c r="CI178" s="576"/>
      <c r="CJ178" s="576"/>
      <c r="CK178" s="576"/>
      <c r="CL178" s="576"/>
      <c r="CM178" s="576"/>
      <c r="CN178" s="576"/>
      <c r="CO178" s="576"/>
      <c r="CP178" s="576"/>
      <c r="CQ178" s="576"/>
      <c r="CR178" s="576"/>
      <c r="CS178" s="576"/>
      <c r="CT178" s="576"/>
      <c r="CU178" s="576"/>
      <c r="CV178" s="576"/>
      <c r="CW178" s="576"/>
      <c r="CX178" s="576"/>
      <c r="CY178" s="576"/>
      <c r="CZ178" s="576"/>
      <c r="DA178" s="576"/>
      <c r="DB178" s="576"/>
      <c r="DC178" s="576"/>
      <c r="DD178" s="576"/>
      <c r="DE178" s="576"/>
      <c r="DF178" s="576"/>
      <c r="DG178" s="576"/>
      <c r="DH178" s="116"/>
      <c r="DI178" s="112"/>
      <c r="DJ178">
        <f ca="1">INDIRECT(ADDRESS(ROW()+1,COLUMN(Arbeitszeit!xDay),,,"Arbeitszeit"))</f>
        <v>2</v>
      </c>
    </row>
    <row r="179" spans="1:114">
      <c r="A179" s="462">
        <f>Arbeitszeit!A180</f>
        <v>45008</v>
      </c>
      <c r="B179" s="463">
        <f t="shared" si="9"/>
        <v>45008</v>
      </c>
      <c r="C179" s="146">
        <f t="shared" si="10"/>
        <v>12</v>
      </c>
      <c r="D179" s="145">
        <f t="shared" si="11"/>
        <v>44985</v>
      </c>
      <c r="E179" s="510">
        <f>Arbeitszeit!V180*24</f>
        <v>0</v>
      </c>
      <c r="F179" s="574">
        <f t="shared" si="8"/>
        <v>0</v>
      </c>
      <c r="G179" s="113">
        <f>IF(Arbeitszeit!F180=Urlaub,B_WorkTime*24,)</f>
        <v>0</v>
      </c>
      <c r="H179" s="111"/>
      <c r="I179" s="113">
        <f>IF(Arbeitszeit!F180=Krank,B_WorkTime*24,)</f>
        <v>0</v>
      </c>
      <c r="J179" s="111"/>
      <c r="K179" s="114"/>
      <c r="L179" s="115"/>
      <c r="M179" s="498"/>
      <c r="N179" s="499"/>
      <c r="O179" s="498"/>
      <c r="P179" s="499"/>
      <c r="Q179" s="498"/>
      <c r="R179" s="499"/>
      <c r="S179" s="498"/>
      <c r="T179" s="499"/>
      <c r="U179" s="498"/>
      <c r="V179" s="499"/>
      <c r="W179" s="498"/>
      <c r="X179" s="499"/>
      <c r="Y179" s="498"/>
      <c r="Z179" s="499"/>
      <c r="AA179" s="498"/>
      <c r="AB179" s="499"/>
      <c r="AC179" s="498"/>
      <c r="AD179" s="499"/>
      <c r="AE179" s="498"/>
      <c r="AF179" s="500"/>
      <c r="AG179" s="498"/>
      <c r="AH179" s="500"/>
      <c r="AI179" s="498"/>
      <c r="AJ179" s="500"/>
      <c r="AK179" s="498"/>
      <c r="AL179" s="500"/>
      <c r="AM179" s="501"/>
      <c r="AN179" s="500"/>
      <c r="AO179" s="498"/>
      <c r="AP179" s="500"/>
      <c r="AQ179" s="501"/>
      <c r="AR179" s="500"/>
      <c r="AS179" s="500"/>
      <c r="AT179" s="500"/>
      <c r="AU179" s="501"/>
      <c r="AV179" s="500"/>
      <c r="AW179" s="500"/>
      <c r="AX179" s="500"/>
      <c r="AY179" s="576"/>
      <c r="AZ179" s="576"/>
      <c r="BA179" s="576"/>
      <c r="BB179" s="576"/>
      <c r="BC179" s="576"/>
      <c r="BD179" s="576"/>
      <c r="BE179" s="576"/>
      <c r="BF179" s="576"/>
      <c r="BG179" s="576"/>
      <c r="BH179" s="576"/>
      <c r="BI179" s="576"/>
      <c r="BJ179" s="576"/>
      <c r="BK179" s="576"/>
      <c r="BL179" s="576"/>
      <c r="BM179" s="576"/>
      <c r="BN179" s="576"/>
      <c r="BO179" s="576"/>
      <c r="BP179" s="576"/>
      <c r="BQ179" s="576"/>
      <c r="BR179" s="576"/>
      <c r="BS179" s="576"/>
      <c r="BT179" s="576"/>
      <c r="BU179" s="576"/>
      <c r="BV179" s="576"/>
      <c r="BW179" s="576"/>
      <c r="BX179" s="576"/>
      <c r="BY179" s="576"/>
      <c r="BZ179" s="576"/>
      <c r="CA179" s="576"/>
      <c r="CB179" s="576"/>
      <c r="CC179" s="576"/>
      <c r="CD179" s="576"/>
      <c r="CE179" s="576"/>
      <c r="CF179" s="576"/>
      <c r="CG179" s="576"/>
      <c r="CH179" s="576"/>
      <c r="CI179" s="576"/>
      <c r="CJ179" s="576"/>
      <c r="CK179" s="576"/>
      <c r="CL179" s="576"/>
      <c r="CM179" s="576"/>
      <c r="CN179" s="576"/>
      <c r="CO179" s="576"/>
      <c r="CP179" s="576"/>
      <c r="CQ179" s="576"/>
      <c r="CR179" s="576"/>
      <c r="CS179" s="576"/>
      <c r="CT179" s="576"/>
      <c r="CU179" s="576"/>
      <c r="CV179" s="576"/>
      <c r="CW179" s="576"/>
      <c r="CX179" s="576"/>
      <c r="CY179" s="576"/>
      <c r="CZ179" s="576"/>
      <c r="DA179" s="576"/>
      <c r="DB179" s="576"/>
      <c r="DC179" s="576"/>
      <c r="DD179" s="576"/>
      <c r="DE179" s="576"/>
      <c r="DF179" s="576"/>
      <c r="DG179" s="576"/>
      <c r="DH179" s="116"/>
      <c r="DI179" s="112"/>
      <c r="DJ179">
        <f ca="1">INDIRECT(ADDRESS(ROW()+1,COLUMN(Arbeitszeit!xDay),,,"Arbeitszeit"))</f>
        <v>3</v>
      </c>
    </row>
    <row r="180" spans="1:114">
      <c r="A180" s="462">
        <f>Arbeitszeit!A181</f>
        <v>45009</v>
      </c>
      <c r="B180" s="463">
        <f t="shared" si="9"/>
        <v>45009</v>
      </c>
      <c r="C180" s="146">
        <f t="shared" si="10"/>
        <v>12</v>
      </c>
      <c r="D180" s="145">
        <f t="shared" si="11"/>
        <v>44985</v>
      </c>
      <c r="E180" s="510">
        <f>Arbeitszeit!V181*24</f>
        <v>0</v>
      </c>
      <c r="F180" s="574">
        <f t="shared" si="8"/>
        <v>0</v>
      </c>
      <c r="G180" s="113">
        <f>IF(Arbeitszeit!F181=Urlaub,B_WorkTime*24,)</f>
        <v>0</v>
      </c>
      <c r="H180" s="111"/>
      <c r="I180" s="113">
        <f>IF(Arbeitszeit!F181=Krank,B_WorkTime*24,)</f>
        <v>0</v>
      </c>
      <c r="J180" s="111"/>
      <c r="K180" s="114"/>
      <c r="L180" s="115"/>
      <c r="M180" s="498"/>
      <c r="N180" s="499"/>
      <c r="O180" s="498"/>
      <c r="P180" s="499"/>
      <c r="Q180" s="498"/>
      <c r="R180" s="499"/>
      <c r="S180" s="498"/>
      <c r="T180" s="499"/>
      <c r="U180" s="498"/>
      <c r="V180" s="499"/>
      <c r="W180" s="498"/>
      <c r="X180" s="499"/>
      <c r="Y180" s="498"/>
      <c r="Z180" s="499"/>
      <c r="AA180" s="498"/>
      <c r="AB180" s="499"/>
      <c r="AC180" s="498"/>
      <c r="AD180" s="499"/>
      <c r="AE180" s="498"/>
      <c r="AF180" s="500"/>
      <c r="AG180" s="498"/>
      <c r="AH180" s="500"/>
      <c r="AI180" s="498"/>
      <c r="AJ180" s="500"/>
      <c r="AK180" s="498"/>
      <c r="AL180" s="500"/>
      <c r="AM180" s="501"/>
      <c r="AN180" s="500"/>
      <c r="AO180" s="498"/>
      <c r="AP180" s="500"/>
      <c r="AQ180" s="501"/>
      <c r="AR180" s="500"/>
      <c r="AS180" s="500"/>
      <c r="AT180" s="500"/>
      <c r="AU180" s="501"/>
      <c r="AV180" s="500"/>
      <c r="AW180" s="500"/>
      <c r="AX180" s="500"/>
      <c r="AY180" s="576"/>
      <c r="AZ180" s="576"/>
      <c r="BA180" s="576"/>
      <c r="BB180" s="576"/>
      <c r="BC180" s="576"/>
      <c r="BD180" s="576"/>
      <c r="BE180" s="576"/>
      <c r="BF180" s="576"/>
      <c r="BG180" s="576"/>
      <c r="BH180" s="576"/>
      <c r="BI180" s="576"/>
      <c r="BJ180" s="576"/>
      <c r="BK180" s="576"/>
      <c r="BL180" s="576"/>
      <c r="BM180" s="576"/>
      <c r="BN180" s="576"/>
      <c r="BO180" s="576"/>
      <c r="BP180" s="576"/>
      <c r="BQ180" s="576"/>
      <c r="BR180" s="576"/>
      <c r="BS180" s="576"/>
      <c r="BT180" s="576"/>
      <c r="BU180" s="576"/>
      <c r="BV180" s="576"/>
      <c r="BW180" s="576"/>
      <c r="BX180" s="576"/>
      <c r="BY180" s="576"/>
      <c r="BZ180" s="576"/>
      <c r="CA180" s="576"/>
      <c r="CB180" s="576"/>
      <c r="CC180" s="576"/>
      <c r="CD180" s="576"/>
      <c r="CE180" s="576"/>
      <c r="CF180" s="576"/>
      <c r="CG180" s="576"/>
      <c r="CH180" s="576"/>
      <c r="CI180" s="576"/>
      <c r="CJ180" s="576"/>
      <c r="CK180" s="576"/>
      <c r="CL180" s="576"/>
      <c r="CM180" s="576"/>
      <c r="CN180" s="576"/>
      <c r="CO180" s="576"/>
      <c r="CP180" s="576"/>
      <c r="CQ180" s="576"/>
      <c r="CR180" s="576"/>
      <c r="CS180" s="576"/>
      <c r="CT180" s="576"/>
      <c r="CU180" s="576"/>
      <c r="CV180" s="576"/>
      <c r="CW180" s="576"/>
      <c r="CX180" s="576"/>
      <c r="CY180" s="576"/>
      <c r="CZ180" s="576"/>
      <c r="DA180" s="576"/>
      <c r="DB180" s="576"/>
      <c r="DC180" s="576"/>
      <c r="DD180" s="576"/>
      <c r="DE180" s="576"/>
      <c r="DF180" s="576"/>
      <c r="DG180" s="576"/>
      <c r="DH180" s="116"/>
      <c r="DI180" s="112"/>
      <c r="DJ180">
        <f ca="1">INDIRECT(ADDRESS(ROW()+1,COLUMN(Arbeitszeit!xDay),,,"Arbeitszeit"))</f>
        <v>4</v>
      </c>
    </row>
    <row r="181" spans="1:114">
      <c r="A181" s="462">
        <f>Arbeitszeit!A182</f>
        <v>45010</v>
      </c>
      <c r="B181" s="463">
        <f t="shared" si="9"/>
        <v>45010</v>
      </c>
      <c r="C181" s="146">
        <f t="shared" si="10"/>
        <v>12</v>
      </c>
      <c r="D181" s="145">
        <f t="shared" si="11"/>
        <v>44985</v>
      </c>
      <c r="E181" s="510">
        <f>Arbeitszeit!V182*24</f>
        <v>0</v>
      </c>
      <c r="F181" s="574">
        <f t="shared" si="8"/>
        <v>0</v>
      </c>
      <c r="G181" s="113">
        <f>IF(Arbeitszeit!F182=Urlaub,B_WorkTime*24,)</f>
        <v>0</v>
      </c>
      <c r="H181" s="111"/>
      <c r="I181" s="113">
        <f>IF(Arbeitszeit!F182=Krank,B_WorkTime*24,)</f>
        <v>0</v>
      </c>
      <c r="J181" s="111"/>
      <c r="K181" s="114"/>
      <c r="L181" s="115"/>
      <c r="M181" s="498"/>
      <c r="N181" s="499"/>
      <c r="O181" s="498"/>
      <c r="P181" s="499"/>
      <c r="Q181" s="498"/>
      <c r="R181" s="499"/>
      <c r="S181" s="498"/>
      <c r="T181" s="499"/>
      <c r="U181" s="498"/>
      <c r="V181" s="499"/>
      <c r="W181" s="498"/>
      <c r="X181" s="499"/>
      <c r="Y181" s="498"/>
      <c r="Z181" s="499"/>
      <c r="AA181" s="498"/>
      <c r="AB181" s="499"/>
      <c r="AC181" s="498"/>
      <c r="AD181" s="499"/>
      <c r="AE181" s="498"/>
      <c r="AF181" s="500"/>
      <c r="AG181" s="498"/>
      <c r="AH181" s="500"/>
      <c r="AI181" s="498"/>
      <c r="AJ181" s="500"/>
      <c r="AK181" s="498"/>
      <c r="AL181" s="500"/>
      <c r="AM181" s="501"/>
      <c r="AN181" s="500"/>
      <c r="AO181" s="498"/>
      <c r="AP181" s="500"/>
      <c r="AQ181" s="501"/>
      <c r="AR181" s="500"/>
      <c r="AS181" s="500"/>
      <c r="AT181" s="500"/>
      <c r="AU181" s="501"/>
      <c r="AV181" s="500"/>
      <c r="AW181" s="500"/>
      <c r="AX181" s="500"/>
      <c r="AY181" s="576"/>
      <c r="AZ181" s="576"/>
      <c r="BA181" s="576"/>
      <c r="BB181" s="576"/>
      <c r="BC181" s="576"/>
      <c r="BD181" s="576"/>
      <c r="BE181" s="576"/>
      <c r="BF181" s="576"/>
      <c r="BG181" s="576"/>
      <c r="BH181" s="576"/>
      <c r="BI181" s="576"/>
      <c r="BJ181" s="576"/>
      <c r="BK181" s="576"/>
      <c r="BL181" s="576"/>
      <c r="BM181" s="576"/>
      <c r="BN181" s="576"/>
      <c r="BO181" s="576"/>
      <c r="BP181" s="576"/>
      <c r="BQ181" s="576"/>
      <c r="BR181" s="576"/>
      <c r="BS181" s="576"/>
      <c r="BT181" s="576"/>
      <c r="BU181" s="576"/>
      <c r="BV181" s="576"/>
      <c r="BW181" s="576"/>
      <c r="BX181" s="576"/>
      <c r="BY181" s="576"/>
      <c r="BZ181" s="576"/>
      <c r="CA181" s="576"/>
      <c r="CB181" s="576"/>
      <c r="CC181" s="576"/>
      <c r="CD181" s="576"/>
      <c r="CE181" s="576"/>
      <c r="CF181" s="576"/>
      <c r="CG181" s="576"/>
      <c r="CH181" s="576"/>
      <c r="CI181" s="576"/>
      <c r="CJ181" s="576"/>
      <c r="CK181" s="576"/>
      <c r="CL181" s="576"/>
      <c r="CM181" s="576"/>
      <c r="CN181" s="576"/>
      <c r="CO181" s="576"/>
      <c r="CP181" s="576"/>
      <c r="CQ181" s="576"/>
      <c r="CR181" s="576"/>
      <c r="CS181" s="576"/>
      <c r="CT181" s="576"/>
      <c r="CU181" s="576"/>
      <c r="CV181" s="576"/>
      <c r="CW181" s="576"/>
      <c r="CX181" s="576"/>
      <c r="CY181" s="576"/>
      <c r="CZ181" s="576"/>
      <c r="DA181" s="576"/>
      <c r="DB181" s="576"/>
      <c r="DC181" s="576"/>
      <c r="DD181" s="576"/>
      <c r="DE181" s="576"/>
      <c r="DF181" s="576"/>
      <c r="DG181" s="576"/>
      <c r="DH181" s="116"/>
      <c r="DI181" s="112"/>
      <c r="DJ181">
        <f ca="1">INDIRECT(ADDRESS(ROW()+1,COLUMN(Arbeitszeit!xDay),,,"Arbeitszeit"))</f>
        <v>8</v>
      </c>
    </row>
    <row r="182" spans="1:114">
      <c r="A182" s="462">
        <f>Arbeitszeit!A183</f>
        <v>45011</v>
      </c>
      <c r="B182" s="463">
        <f t="shared" si="9"/>
        <v>45011</v>
      </c>
      <c r="C182" s="146">
        <f t="shared" si="10"/>
        <v>12</v>
      </c>
      <c r="D182" s="145">
        <f t="shared" si="11"/>
        <v>44985</v>
      </c>
      <c r="E182" s="510">
        <f>Arbeitszeit!V183*24</f>
        <v>0</v>
      </c>
      <c r="F182" s="574">
        <f t="shared" si="8"/>
        <v>0</v>
      </c>
      <c r="G182" s="113">
        <f>IF(Arbeitszeit!F183=Urlaub,B_WorkTime*24,)</f>
        <v>0</v>
      </c>
      <c r="H182" s="111"/>
      <c r="I182" s="113">
        <f>IF(Arbeitszeit!F183=Krank,B_WorkTime*24,)</f>
        <v>0</v>
      </c>
      <c r="J182" s="111"/>
      <c r="K182" s="114"/>
      <c r="L182" s="115"/>
      <c r="M182" s="498"/>
      <c r="N182" s="499"/>
      <c r="O182" s="498"/>
      <c r="P182" s="499"/>
      <c r="Q182" s="498"/>
      <c r="R182" s="499"/>
      <c r="S182" s="498"/>
      <c r="T182" s="499"/>
      <c r="U182" s="498"/>
      <c r="V182" s="499"/>
      <c r="W182" s="498"/>
      <c r="X182" s="499"/>
      <c r="Y182" s="498"/>
      <c r="Z182" s="499"/>
      <c r="AA182" s="498"/>
      <c r="AB182" s="499"/>
      <c r="AC182" s="498"/>
      <c r="AD182" s="499"/>
      <c r="AE182" s="498"/>
      <c r="AF182" s="500"/>
      <c r="AG182" s="498"/>
      <c r="AH182" s="500"/>
      <c r="AI182" s="498"/>
      <c r="AJ182" s="500"/>
      <c r="AK182" s="498"/>
      <c r="AL182" s="500"/>
      <c r="AM182" s="501"/>
      <c r="AN182" s="500"/>
      <c r="AO182" s="498"/>
      <c r="AP182" s="500"/>
      <c r="AQ182" s="501"/>
      <c r="AR182" s="500"/>
      <c r="AS182" s="500"/>
      <c r="AT182" s="500"/>
      <c r="AU182" s="501"/>
      <c r="AV182" s="500"/>
      <c r="AW182" s="500"/>
      <c r="AX182" s="500"/>
      <c r="AY182" s="576"/>
      <c r="AZ182" s="576"/>
      <c r="BA182" s="576"/>
      <c r="BB182" s="576"/>
      <c r="BC182" s="576"/>
      <c r="BD182" s="576"/>
      <c r="BE182" s="576"/>
      <c r="BF182" s="576"/>
      <c r="BG182" s="576"/>
      <c r="BH182" s="576"/>
      <c r="BI182" s="576"/>
      <c r="BJ182" s="576"/>
      <c r="BK182" s="576"/>
      <c r="BL182" s="576"/>
      <c r="BM182" s="576"/>
      <c r="BN182" s="576"/>
      <c r="BO182" s="576"/>
      <c r="BP182" s="576"/>
      <c r="BQ182" s="576"/>
      <c r="BR182" s="576"/>
      <c r="BS182" s="576"/>
      <c r="BT182" s="576"/>
      <c r="BU182" s="576"/>
      <c r="BV182" s="576"/>
      <c r="BW182" s="576"/>
      <c r="BX182" s="576"/>
      <c r="BY182" s="576"/>
      <c r="BZ182" s="576"/>
      <c r="CA182" s="576"/>
      <c r="CB182" s="576"/>
      <c r="CC182" s="576"/>
      <c r="CD182" s="576"/>
      <c r="CE182" s="576"/>
      <c r="CF182" s="576"/>
      <c r="CG182" s="576"/>
      <c r="CH182" s="576"/>
      <c r="CI182" s="576"/>
      <c r="CJ182" s="576"/>
      <c r="CK182" s="576"/>
      <c r="CL182" s="576"/>
      <c r="CM182" s="576"/>
      <c r="CN182" s="576"/>
      <c r="CO182" s="576"/>
      <c r="CP182" s="576"/>
      <c r="CQ182" s="576"/>
      <c r="CR182" s="576"/>
      <c r="CS182" s="576"/>
      <c r="CT182" s="576"/>
      <c r="CU182" s="576"/>
      <c r="CV182" s="576"/>
      <c r="CW182" s="576"/>
      <c r="CX182" s="576"/>
      <c r="CY182" s="576"/>
      <c r="CZ182" s="576"/>
      <c r="DA182" s="576"/>
      <c r="DB182" s="576"/>
      <c r="DC182" s="576"/>
      <c r="DD182" s="576"/>
      <c r="DE182" s="576"/>
      <c r="DF182" s="576"/>
      <c r="DG182" s="576"/>
      <c r="DH182" s="116"/>
      <c r="DI182" s="112"/>
      <c r="DJ182">
        <f ca="1">INDIRECT(ADDRESS(ROW()+1,COLUMN(Arbeitszeit!xDay),,,"Arbeitszeit"))</f>
        <v>6</v>
      </c>
    </row>
    <row r="183" spans="1:114">
      <c r="A183" s="462">
        <f>Arbeitszeit!A184</f>
        <v>45012</v>
      </c>
      <c r="B183" s="463">
        <f t="shared" si="9"/>
        <v>45012</v>
      </c>
      <c r="C183" s="146">
        <f t="shared" si="10"/>
        <v>12</v>
      </c>
      <c r="D183" s="145">
        <f t="shared" si="11"/>
        <v>44985</v>
      </c>
      <c r="E183" s="510">
        <f>Arbeitszeit!V184*24</f>
        <v>0</v>
      </c>
      <c r="F183" s="574">
        <f t="shared" si="8"/>
        <v>0</v>
      </c>
      <c r="G183" s="113">
        <f>IF(Arbeitszeit!F184=Urlaub,B_WorkTime*24,)</f>
        <v>0</v>
      </c>
      <c r="H183" s="111"/>
      <c r="I183" s="113">
        <f>IF(Arbeitszeit!F184=Krank,B_WorkTime*24,)</f>
        <v>0</v>
      </c>
      <c r="J183" s="111"/>
      <c r="K183" s="114"/>
      <c r="L183" s="115"/>
      <c r="M183" s="498"/>
      <c r="N183" s="499"/>
      <c r="O183" s="498"/>
      <c r="P183" s="499"/>
      <c r="Q183" s="498"/>
      <c r="R183" s="499"/>
      <c r="S183" s="498"/>
      <c r="T183" s="499"/>
      <c r="U183" s="498"/>
      <c r="V183" s="499"/>
      <c r="W183" s="498"/>
      <c r="X183" s="499"/>
      <c r="Y183" s="498"/>
      <c r="Z183" s="499"/>
      <c r="AA183" s="498"/>
      <c r="AB183" s="499"/>
      <c r="AC183" s="498"/>
      <c r="AD183" s="499"/>
      <c r="AE183" s="498"/>
      <c r="AF183" s="500"/>
      <c r="AG183" s="498"/>
      <c r="AH183" s="500"/>
      <c r="AI183" s="498"/>
      <c r="AJ183" s="500"/>
      <c r="AK183" s="498"/>
      <c r="AL183" s="500"/>
      <c r="AM183" s="501"/>
      <c r="AN183" s="500"/>
      <c r="AO183" s="498"/>
      <c r="AP183" s="500"/>
      <c r="AQ183" s="501"/>
      <c r="AR183" s="500"/>
      <c r="AS183" s="500"/>
      <c r="AT183" s="500"/>
      <c r="AU183" s="501"/>
      <c r="AV183" s="500"/>
      <c r="AW183" s="500"/>
      <c r="AX183" s="500"/>
      <c r="AY183" s="576"/>
      <c r="AZ183" s="576"/>
      <c r="BA183" s="576"/>
      <c r="BB183" s="576"/>
      <c r="BC183" s="576"/>
      <c r="BD183" s="576"/>
      <c r="BE183" s="576"/>
      <c r="BF183" s="576"/>
      <c r="BG183" s="576"/>
      <c r="BH183" s="576"/>
      <c r="BI183" s="576"/>
      <c r="BJ183" s="576"/>
      <c r="BK183" s="576"/>
      <c r="BL183" s="576"/>
      <c r="BM183" s="576"/>
      <c r="BN183" s="576"/>
      <c r="BO183" s="576"/>
      <c r="BP183" s="576"/>
      <c r="BQ183" s="576"/>
      <c r="BR183" s="576"/>
      <c r="BS183" s="576"/>
      <c r="BT183" s="576"/>
      <c r="BU183" s="576"/>
      <c r="BV183" s="576"/>
      <c r="BW183" s="576"/>
      <c r="BX183" s="576"/>
      <c r="BY183" s="576"/>
      <c r="BZ183" s="576"/>
      <c r="CA183" s="576"/>
      <c r="CB183" s="576"/>
      <c r="CC183" s="576"/>
      <c r="CD183" s="576"/>
      <c r="CE183" s="576"/>
      <c r="CF183" s="576"/>
      <c r="CG183" s="576"/>
      <c r="CH183" s="576"/>
      <c r="CI183" s="576"/>
      <c r="CJ183" s="576"/>
      <c r="CK183" s="576"/>
      <c r="CL183" s="576"/>
      <c r="CM183" s="576"/>
      <c r="CN183" s="576"/>
      <c r="CO183" s="576"/>
      <c r="CP183" s="576"/>
      <c r="CQ183" s="576"/>
      <c r="CR183" s="576"/>
      <c r="CS183" s="576"/>
      <c r="CT183" s="576"/>
      <c r="CU183" s="576"/>
      <c r="CV183" s="576"/>
      <c r="CW183" s="576"/>
      <c r="CX183" s="576"/>
      <c r="CY183" s="576"/>
      <c r="CZ183" s="576"/>
      <c r="DA183" s="576"/>
      <c r="DB183" s="576"/>
      <c r="DC183" s="576"/>
      <c r="DD183" s="576"/>
      <c r="DE183" s="576"/>
      <c r="DF183" s="576"/>
      <c r="DG183" s="576"/>
      <c r="DH183" s="116"/>
      <c r="DI183" s="112"/>
      <c r="DJ183">
        <f ca="1">INDIRECT(ADDRESS(ROW()+1,COLUMN(Arbeitszeit!xDay),,,"Arbeitszeit"))</f>
        <v>8</v>
      </c>
    </row>
    <row r="184" spans="1:114">
      <c r="A184" s="462">
        <f>Arbeitszeit!A185</f>
        <v>45013</v>
      </c>
      <c r="B184" s="463">
        <f t="shared" si="9"/>
        <v>45013</v>
      </c>
      <c r="C184" s="146">
        <f t="shared" si="10"/>
        <v>13</v>
      </c>
      <c r="D184" s="145">
        <f t="shared" si="11"/>
        <v>44985</v>
      </c>
      <c r="E184" s="510">
        <f>Arbeitszeit!V185*24</f>
        <v>0</v>
      </c>
      <c r="F184" s="574">
        <f t="shared" si="8"/>
        <v>0</v>
      </c>
      <c r="G184" s="113">
        <f>IF(Arbeitszeit!F185=Urlaub,B_WorkTime*24,)</f>
        <v>0</v>
      </c>
      <c r="H184" s="111"/>
      <c r="I184" s="113">
        <f>IF(Arbeitszeit!F185=Krank,B_WorkTime*24,)</f>
        <v>0</v>
      </c>
      <c r="J184" s="111"/>
      <c r="K184" s="114"/>
      <c r="L184" s="115"/>
      <c r="M184" s="498"/>
      <c r="N184" s="499"/>
      <c r="O184" s="498"/>
      <c r="P184" s="499"/>
      <c r="Q184" s="498"/>
      <c r="R184" s="499"/>
      <c r="S184" s="498"/>
      <c r="T184" s="499"/>
      <c r="U184" s="498"/>
      <c r="V184" s="499"/>
      <c r="W184" s="498"/>
      <c r="X184" s="499"/>
      <c r="Y184" s="498"/>
      <c r="Z184" s="499"/>
      <c r="AA184" s="498"/>
      <c r="AB184" s="499"/>
      <c r="AC184" s="498"/>
      <c r="AD184" s="499"/>
      <c r="AE184" s="498"/>
      <c r="AF184" s="500"/>
      <c r="AG184" s="498"/>
      <c r="AH184" s="500"/>
      <c r="AI184" s="498"/>
      <c r="AJ184" s="500"/>
      <c r="AK184" s="498"/>
      <c r="AL184" s="500"/>
      <c r="AM184" s="501"/>
      <c r="AN184" s="500"/>
      <c r="AO184" s="498"/>
      <c r="AP184" s="500"/>
      <c r="AQ184" s="501"/>
      <c r="AR184" s="500"/>
      <c r="AS184" s="500"/>
      <c r="AT184" s="500"/>
      <c r="AU184" s="501"/>
      <c r="AV184" s="500"/>
      <c r="AW184" s="500"/>
      <c r="AX184" s="500"/>
      <c r="AY184" s="576"/>
      <c r="AZ184" s="576"/>
      <c r="BA184" s="576"/>
      <c r="BB184" s="576"/>
      <c r="BC184" s="576"/>
      <c r="BD184" s="576"/>
      <c r="BE184" s="576"/>
      <c r="BF184" s="576"/>
      <c r="BG184" s="576"/>
      <c r="BH184" s="576"/>
      <c r="BI184" s="576"/>
      <c r="BJ184" s="576"/>
      <c r="BK184" s="576"/>
      <c r="BL184" s="576"/>
      <c r="BM184" s="576"/>
      <c r="BN184" s="576"/>
      <c r="BO184" s="576"/>
      <c r="BP184" s="576"/>
      <c r="BQ184" s="576"/>
      <c r="BR184" s="576"/>
      <c r="BS184" s="576"/>
      <c r="BT184" s="576"/>
      <c r="BU184" s="576"/>
      <c r="BV184" s="576"/>
      <c r="BW184" s="576"/>
      <c r="BX184" s="576"/>
      <c r="BY184" s="576"/>
      <c r="BZ184" s="576"/>
      <c r="CA184" s="576"/>
      <c r="CB184" s="576"/>
      <c r="CC184" s="576"/>
      <c r="CD184" s="576"/>
      <c r="CE184" s="576"/>
      <c r="CF184" s="576"/>
      <c r="CG184" s="576"/>
      <c r="CH184" s="576"/>
      <c r="CI184" s="576"/>
      <c r="CJ184" s="576"/>
      <c r="CK184" s="576"/>
      <c r="CL184" s="576"/>
      <c r="CM184" s="576"/>
      <c r="CN184" s="576"/>
      <c r="CO184" s="576"/>
      <c r="CP184" s="576"/>
      <c r="CQ184" s="576"/>
      <c r="CR184" s="576"/>
      <c r="CS184" s="576"/>
      <c r="CT184" s="576"/>
      <c r="CU184" s="576"/>
      <c r="CV184" s="576"/>
      <c r="CW184" s="576"/>
      <c r="CX184" s="576"/>
      <c r="CY184" s="576"/>
      <c r="CZ184" s="576"/>
      <c r="DA184" s="576"/>
      <c r="DB184" s="576"/>
      <c r="DC184" s="576"/>
      <c r="DD184" s="576"/>
      <c r="DE184" s="576"/>
      <c r="DF184" s="576"/>
      <c r="DG184" s="576"/>
      <c r="DH184" s="116"/>
      <c r="DI184" s="112"/>
      <c r="DJ184">
        <f ca="1">INDIRECT(ADDRESS(ROW()+1,COLUMN(Arbeitszeit!xDay),,,"Arbeitszeit"))</f>
        <v>8</v>
      </c>
    </row>
    <row r="185" spans="1:114">
      <c r="A185" s="462">
        <f>Arbeitszeit!A186</f>
        <v>45014</v>
      </c>
      <c r="B185" s="463">
        <f t="shared" si="9"/>
        <v>45014</v>
      </c>
      <c r="C185" s="146">
        <f t="shared" si="10"/>
        <v>13</v>
      </c>
      <c r="D185" s="145">
        <f t="shared" si="11"/>
        <v>44985</v>
      </c>
      <c r="E185" s="510">
        <f>Arbeitszeit!V186*24</f>
        <v>0</v>
      </c>
      <c r="F185" s="574">
        <f t="shared" si="8"/>
        <v>0</v>
      </c>
      <c r="G185" s="113">
        <f>IF(Arbeitszeit!F186=Urlaub,B_WorkTime*24,)</f>
        <v>0</v>
      </c>
      <c r="H185" s="111"/>
      <c r="I185" s="113">
        <f>IF(Arbeitszeit!F186=Krank,B_WorkTime*24,)</f>
        <v>0</v>
      </c>
      <c r="J185" s="111"/>
      <c r="K185" s="114"/>
      <c r="L185" s="115"/>
      <c r="M185" s="498"/>
      <c r="N185" s="499"/>
      <c r="O185" s="498"/>
      <c r="P185" s="499"/>
      <c r="Q185" s="498"/>
      <c r="R185" s="499"/>
      <c r="S185" s="498"/>
      <c r="T185" s="499"/>
      <c r="U185" s="498"/>
      <c r="V185" s="499"/>
      <c r="W185" s="498"/>
      <c r="X185" s="499"/>
      <c r="Y185" s="498"/>
      <c r="Z185" s="499"/>
      <c r="AA185" s="498"/>
      <c r="AB185" s="499"/>
      <c r="AC185" s="498"/>
      <c r="AD185" s="499"/>
      <c r="AE185" s="498"/>
      <c r="AF185" s="500"/>
      <c r="AG185" s="498"/>
      <c r="AH185" s="500"/>
      <c r="AI185" s="498"/>
      <c r="AJ185" s="500"/>
      <c r="AK185" s="498"/>
      <c r="AL185" s="500"/>
      <c r="AM185" s="501"/>
      <c r="AN185" s="500"/>
      <c r="AO185" s="498"/>
      <c r="AP185" s="500"/>
      <c r="AQ185" s="501"/>
      <c r="AR185" s="500"/>
      <c r="AS185" s="500"/>
      <c r="AT185" s="500"/>
      <c r="AU185" s="501"/>
      <c r="AV185" s="500"/>
      <c r="AW185" s="500"/>
      <c r="AX185" s="500"/>
      <c r="AY185" s="576"/>
      <c r="AZ185" s="576"/>
      <c r="BA185" s="576"/>
      <c r="BB185" s="576"/>
      <c r="BC185" s="576"/>
      <c r="BD185" s="576"/>
      <c r="BE185" s="576"/>
      <c r="BF185" s="576"/>
      <c r="BG185" s="576"/>
      <c r="BH185" s="576"/>
      <c r="BI185" s="576"/>
      <c r="BJ185" s="576"/>
      <c r="BK185" s="576"/>
      <c r="BL185" s="576"/>
      <c r="BM185" s="576"/>
      <c r="BN185" s="576"/>
      <c r="BO185" s="576"/>
      <c r="BP185" s="576"/>
      <c r="BQ185" s="576"/>
      <c r="BR185" s="576"/>
      <c r="BS185" s="576"/>
      <c r="BT185" s="576"/>
      <c r="BU185" s="576"/>
      <c r="BV185" s="576"/>
      <c r="BW185" s="576"/>
      <c r="BX185" s="576"/>
      <c r="BY185" s="576"/>
      <c r="BZ185" s="576"/>
      <c r="CA185" s="576"/>
      <c r="CB185" s="576"/>
      <c r="CC185" s="576"/>
      <c r="CD185" s="576"/>
      <c r="CE185" s="576"/>
      <c r="CF185" s="576"/>
      <c r="CG185" s="576"/>
      <c r="CH185" s="576"/>
      <c r="CI185" s="576"/>
      <c r="CJ185" s="576"/>
      <c r="CK185" s="576"/>
      <c r="CL185" s="576"/>
      <c r="CM185" s="576"/>
      <c r="CN185" s="576"/>
      <c r="CO185" s="576"/>
      <c r="CP185" s="576"/>
      <c r="CQ185" s="576"/>
      <c r="CR185" s="576"/>
      <c r="CS185" s="576"/>
      <c r="CT185" s="576"/>
      <c r="CU185" s="576"/>
      <c r="CV185" s="576"/>
      <c r="CW185" s="576"/>
      <c r="CX185" s="576"/>
      <c r="CY185" s="576"/>
      <c r="CZ185" s="576"/>
      <c r="DA185" s="576"/>
      <c r="DB185" s="576"/>
      <c r="DC185" s="576"/>
      <c r="DD185" s="576"/>
      <c r="DE185" s="576"/>
      <c r="DF185" s="576"/>
      <c r="DG185" s="576"/>
      <c r="DH185" s="116"/>
      <c r="DI185" s="112"/>
      <c r="DJ185">
        <f ca="1">INDIRECT(ADDRESS(ROW()+1,COLUMN(Arbeitszeit!xDay),,,"Arbeitszeit"))</f>
        <v>2</v>
      </c>
    </row>
    <row r="186" spans="1:114">
      <c r="A186" s="462">
        <f>Arbeitszeit!A187</f>
        <v>45015</v>
      </c>
      <c r="B186" s="463">
        <f t="shared" si="9"/>
        <v>45015</v>
      </c>
      <c r="C186" s="146">
        <f t="shared" si="10"/>
        <v>13</v>
      </c>
      <c r="D186" s="145">
        <f t="shared" si="11"/>
        <v>44985</v>
      </c>
      <c r="E186" s="510">
        <f>Arbeitszeit!V187*24</f>
        <v>0</v>
      </c>
      <c r="F186" s="574">
        <f t="shared" si="8"/>
        <v>0</v>
      </c>
      <c r="G186" s="113">
        <f>IF(Arbeitszeit!F187=Urlaub,B_WorkTime*24,)</f>
        <v>0</v>
      </c>
      <c r="H186" s="111"/>
      <c r="I186" s="113">
        <f>IF(Arbeitszeit!F187=Krank,B_WorkTime*24,)</f>
        <v>0</v>
      </c>
      <c r="J186" s="111"/>
      <c r="K186" s="114"/>
      <c r="L186" s="115"/>
      <c r="M186" s="498"/>
      <c r="N186" s="499"/>
      <c r="O186" s="498"/>
      <c r="P186" s="499"/>
      <c r="Q186" s="498"/>
      <c r="R186" s="499"/>
      <c r="S186" s="498"/>
      <c r="T186" s="499"/>
      <c r="U186" s="498"/>
      <c r="V186" s="499"/>
      <c r="W186" s="498"/>
      <c r="X186" s="499"/>
      <c r="Y186" s="498"/>
      <c r="Z186" s="499"/>
      <c r="AA186" s="498"/>
      <c r="AB186" s="499"/>
      <c r="AC186" s="498"/>
      <c r="AD186" s="499"/>
      <c r="AE186" s="498"/>
      <c r="AF186" s="500"/>
      <c r="AG186" s="498"/>
      <c r="AH186" s="500"/>
      <c r="AI186" s="498"/>
      <c r="AJ186" s="500"/>
      <c r="AK186" s="498"/>
      <c r="AL186" s="500"/>
      <c r="AM186" s="501"/>
      <c r="AN186" s="500"/>
      <c r="AO186" s="498"/>
      <c r="AP186" s="500"/>
      <c r="AQ186" s="501"/>
      <c r="AR186" s="500"/>
      <c r="AS186" s="500"/>
      <c r="AT186" s="500"/>
      <c r="AU186" s="501"/>
      <c r="AV186" s="500"/>
      <c r="AW186" s="500"/>
      <c r="AX186" s="500"/>
      <c r="AY186" s="576"/>
      <c r="AZ186" s="576"/>
      <c r="BA186" s="576"/>
      <c r="BB186" s="576"/>
      <c r="BC186" s="576"/>
      <c r="BD186" s="576"/>
      <c r="BE186" s="576"/>
      <c r="BF186" s="576"/>
      <c r="BG186" s="576"/>
      <c r="BH186" s="576"/>
      <c r="BI186" s="576"/>
      <c r="BJ186" s="576"/>
      <c r="BK186" s="576"/>
      <c r="BL186" s="576"/>
      <c r="BM186" s="576"/>
      <c r="BN186" s="576"/>
      <c r="BO186" s="576"/>
      <c r="BP186" s="576"/>
      <c r="BQ186" s="576"/>
      <c r="BR186" s="576"/>
      <c r="BS186" s="576"/>
      <c r="BT186" s="576"/>
      <c r="BU186" s="576"/>
      <c r="BV186" s="576"/>
      <c r="BW186" s="576"/>
      <c r="BX186" s="576"/>
      <c r="BY186" s="576"/>
      <c r="BZ186" s="576"/>
      <c r="CA186" s="576"/>
      <c r="CB186" s="576"/>
      <c r="CC186" s="576"/>
      <c r="CD186" s="576"/>
      <c r="CE186" s="576"/>
      <c r="CF186" s="576"/>
      <c r="CG186" s="576"/>
      <c r="CH186" s="576"/>
      <c r="CI186" s="576"/>
      <c r="CJ186" s="576"/>
      <c r="CK186" s="576"/>
      <c r="CL186" s="576"/>
      <c r="CM186" s="576"/>
      <c r="CN186" s="576"/>
      <c r="CO186" s="576"/>
      <c r="CP186" s="576"/>
      <c r="CQ186" s="576"/>
      <c r="CR186" s="576"/>
      <c r="CS186" s="576"/>
      <c r="CT186" s="576"/>
      <c r="CU186" s="576"/>
      <c r="CV186" s="576"/>
      <c r="CW186" s="576"/>
      <c r="CX186" s="576"/>
      <c r="CY186" s="576"/>
      <c r="CZ186" s="576"/>
      <c r="DA186" s="576"/>
      <c r="DB186" s="576"/>
      <c r="DC186" s="576"/>
      <c r="DD186" s="576"/>
      <c r="DE186" s="576"/>
      <c r="DF186" s="576"/>
      <c r="DG186" s="576"/>
      <c r="DH186" s="116"/>
      <c r="DI186" s="112"/>
      <c r="DJ186">
        <f ca="1">INDIRECT(ADDRESS(ROW()+1,COLUMN(Arbeitszeit!xDay),,,"Arbeitszeit"))</f>
        <v>3</v>
      </c>
    </row>
    <row r="187" spans="1:114">
      <c r="A187" s="462">
        <f>Arbeitszeit!A188</f>
        <v>45016</v>
      </c>
      <c r="B187" s="463">
        <f t="shared" si="9"/>
        <v>45016</v>
      </c>
      <c r="C187" s="146">
        <f t="shared" si="10"/>
        <v>13</v>
      </c>
      <c r="D187" s="145">
        <f t="shared" si="11"/>
        <v>45016</v>
      </c>
      <c r="E187" s="510">
        <f>Arbeitszeit!V188*24</f>
        <v>0</v>
      </c>
      <c r="F187" s="574">
        <f t="shared" si="8"/>
        <v>0</v>
      </c>
      <c r="G187" s="113">
        <f>IF(Arbeitszeit!F188=Urlaub,B_WorkTime*24,)</f>
        <v>0</v>
      </c>
      <c r="H187" s="111"/>
      <c r="I187" s="113">
        <f>IF(Arbeitszeit!F188=Krank,B_WorkTime*24,)</f>
        <v>0</v>
      </c>
      <c r="J187" s="111"/>
      <c r="K187" s="114"/>
      <c r="L187" s="115"/>
      <c r="M187" s="498"/>
      <c r="N187" s="499"/>
      <c r="O187" s="498"/>
      <c r="P187" s="499"/>
      <c r="Q187" s="498"/>
      <c r="R187" s="499"/>
      <c r="S187" s="498"/>
      <c r="T187" s="499"/>
      <c r="U187" s="498"/>
      <c r="V187" s="499"/>
      <c r="W187" s="498"/>
      <c r="X187" s="499"/>
      <c r="Y187" s="498"/>
      <c r="Z187" s="499"/>
      <c r="AA187" s="498"/>
      <c r="AB187" s="499"/>
      <c r="AC187" s="498"/>
      <c r="AD187" s="499"/>
      <c r="AE187" s="498"/>
      <c r="AF187" s="500"/>
      <c r="AG187" s="498"/>
      <c r="AH187" s="500"/>
      <c r="AI187" s="498"/>
      <c r="AJ187" s="500"/>
      <c r="AK187" s="498"/>
      <c r="AL187" s="500"/>
      <c r="AM187" s="501"/>
      <c r="AN187" s="500"/>
      <c r="AO187" s="498"/>
      <c r="AP187" s="500"/>
      <c r="AQ187" s="501"/>
      <c r="AR187" s="500"/>
      <c r="AS187" s="500"/>
      <c r="AT187" s="500"/>
      <c r="AU187" s="501"/>
      <c r="AV187" s="500"/>
      <c r="AW187" s="500"/>
      <c r="AX187" s="500"/>
      <c r="AY187" s="576"/>
      <c r="AZ187" s="576"/>
      <c r="BA187" s="576"/>
      <c r="BB187" s="576"/>
      <c r="BC187" s="576"/>
      <c r="BD187" s="576"/>
      <c r="BE187" s="576"/>
      <c r="BF187" s="576"/>
      <c r="BG187" s="576"/>
      <c r="BH187" s="576"/>
      <c r="BI187" s="576"/>
      <c r="BJ187" s="576"/>
      <c r="BK187" s="576"/>
      <c r="BL187" s="576"/>
      <c r="BM187" s="576"/>
      <c r="BN187" s="576"/>
      <c r="BO187" s="576"/>
      <c r="BP187" s="576"/>
      <c r="BQ187" s="576"/>
      <c r="BR187" s="576"/>
      <c r="BS187" s="576"/>
      <c r="BT187" s="576"/>
      <c r="BU187" s="576"/>
      <c r="BV187" s="576"/>
      <c r="BW187" s="576"/>
      <c r="BX187" s="576"/>
      <c r="BY187" s="576"/>
      <c r="BZ187" s="576"/>
      <c r="CA187" s="576"/>
      <c r="CB187" s="576"/>
      <c r="CC187" s="576"/>
      <c r="CD187" s="576"/>
      <c r="CE187" s="576"/>
      <c r="CF187" s="576"/>
      <c r="CG187" s="576"/>
      <c r="CH187" s="576"/>
      <c r="CI187" s="576"/>
      <c r="CJ187" s="576"/>
      <c r="CK187" s="576"/>
      <c r="CL187" s="576"/>
      <c r="CM187" s="576"/>
      <c r="CN187" s="576"/>
      <c r="CO187" s="576"/>
      <c r="CP187" s="576"/>
      <c r="CQ187" s="576"/>
      <c r="CR187" s="576"/>
      <c r="CS187" s="576"/>
      <c r="CT187" s="576"/>
      <c r="CU187" s="576"/>
      <c r="CV187" s="576"/>
      <c r="CW187" s="576"/>
      <c r="CX187" s="576"/>
      <c r="CY187" s="576"/>
      <c r="CZ187" s="576"/>
      <c r="DA187" s="576"/>
      <c r="DB187" s="576"/>
      <c r="DC187" s="576"/>
      <c r="DD187" s="576"/>
      <c r="DE187" s="576"/>
      <c r="DF187" s="576"/>
      <c r="DG187" s="576"/>
      <c r="DH187" s="116"/>
      <c r="DI187" s="112"/>
      <c r="DJ187">
        <f ca="1">INDIRECT(ADDRESS(ROW()+1,COLUMN(Arbeitszeit!xDay),,,"Arbeitszeit"))</f>
        <v>4</v>
      </c>
    </row>
    <row r="188" spans="1:114">
      <c r="A188" s="462">
        <f>Arbeitszeit!A189</f>
        <v>45017</v>
      </c>
      <c r="B188" s="463">
        <f t="shared" si="9"/>
        <v>45017</v>
      </c>
      <c r="C188" s="146">
        <f t="shared" si="10"/>
        <v>13</v>
      </c>
      <c r="D188" s="145">
        <f t="shared" si="11"/>
        <v>45016</v>
      </c>
      <c r="E188" s="510">
        <f>Arbeitszeit!V189*24</f>
        <v>0</v>
      </c>
      <c r="F188" s="574">
        <f t="shared" si="8"/>
        <v>0</v>
      </c>
      <c r="G188" s="113">
        <f>IF(Arbeitszeit!F189=Urlaub,B_WorkTime*24,)</f>
        <v>0</v>
      </c>
      <c r="H188" s="111"/>
      <c r="I188" s="113">
        <f>IF(Arbeitszeit!F189=Krank,B_WorkTime*24,)</f>
        <v>0</v>
      </c>
      <c r="J188" s="111"/>
      <c r="K188" s="114"/>
      <c r="L188" s="115"/>
      <c r="M188" s="498"/>
      <c r="N188" s="499"/>
      <c r="O188" s="498"/>
      <c r="P188" s="499"/>
      <c r="Q188" s="498"/>
      <c r="R188" s="499"/>
      <c r="S188" s="498"/>
      <c r="T188" s="499"/>
      <c r="U188" s="498"/>
      <c r="V188" s="499"/>
      <c r="W188" s="498"/>
      <c r="X188" s="499"/>
      <c r="Y188" s="498"/>
      <c r="Z188" s="499"/>
      <c r="AA188" s="498"/>
      <c r="AB188" s="499"/>
      <c r="AC188" s="498"/>
      <c r="AD188" s="499"/>
      <c r="AE188" s="498"/>
      <c r="AF188" s="500"/>
      <c r="AG188" s="498"/>
      <c r="AH188" s="500"/>
      <c r="AI188" s="498"/>
      <c r="AJ188" s="500"/>
      <c r="AK188" s="498"/>
      <c r="AL188" s="500"/>
      <c r="AM188" s="501"/>
      <c r="AN188" s="500"/>
      <c r="AO188" s="498"/>
      <c r="AP188" s="500"/>
      <c r="AQ188" s="501"/>
      <c r="AR188" s="500"/>
      <c r="AS188" s="500"/>
      <c r="AT188" s="500"/>
      <c r="AU188" s="501"/>
      <c r="AV188" s="500"/>
      <c r="AW188" s="500"/>
      <c r="AX188" s="500"/>
      <c r="AY188" s="576"/>
      <c r="AZ188" s="576"/>
      <c r="BA188" s="576"/>
      <c r="BB188" s="576"/>
      <c r="BC188" s="576"/>
      <c r="BD188" s="576"/>
      <c r="BE188" s="576"/>
      <c r="BF188" s="576"/>
      <c r="BG188" s="576"/>
      <c r="BH188" s="576"/>
      <c r="BI188" s="576"/>
      <c r="BJ188" s="576"/>
      <c r="BK188" s="576"/>
      <c r="BL188" s="576"/>
      <c r="BM188" s="576"/>
      <c r="BN188" s="576"/>
      <c r="BO188" s="576"/>
      <c r="BP188" s="576"/>
      <c r="BQ188" s="576"/>
      <c r="BR188" s="576"/>
      <c r="BS188" s="576"/>
      <c r="BT188" s="576"/>
      <c r="BU188" s="576"/>
      <c r="BV188" s="576"/>
      <c r="BW188" s="576"/>
      <c r="BX188" s="576"/>
      <c r="BY188" s="576"/>
      <c r="BZ188" s="576"/>
      <c r="CA188" s="576"/>
      <c r="CB188" s="576"/>
      <c r="CC188" s="576"/>
      <c r="CD188" s="576"/>
      <c r="CE188" s="576"/>
      <c r="CF188" s="576"/>
      <c r="CG188" s="576"/>
      <c r="CH188" s="576"/>
      <c r="CI188" s="576"/>
      <c r="CJ188" s="576"/>
      <c r="CK188" s="576"/>
      <c r="CL188" s="576"/>
      <c r="CM188" s="576"/>
      <c r="CN188" s="576"/>
      <c r="CO188" s="576"/>
      <c r="CP188" s="576"/>
      <c r="CQ188" s="576"/>
      <c r="CR188" s="576"/>
      <c r="CS188" s="576"/>
      <c r="CT188" s="576"/>
      <c r="CU188" s="576"/>
      <c r="CV188" s="576"/>
      <c r="CW188" s="576"/>
      <c r="CX188" s="576"/>
      <c r="CY188" s="576"/>
      <c r="CZ188" s="576"/>
      <c r="DA188" s="576"/>
      <c r="DB188" s="576"/>
      <c r="DC188" s="576"/>
      <c r="DD188" s="576"/>
      <c r="DE188" s="576"/>
      <c r="DF188" s="576"/>
      <c r="DG188" s="576"/>
      <c r="DH188" s="116"/>
      <c r="DI188" s="112"/>
      <c r="DJ188">
        <f ca="1">INDIRECT(ADDRESS(ROW()+1,COLUMN(Arbeitszeit!xDay),,,"Arbeitszeit"))</f>
        <v>5</v>
      </c>
    </row>
    <row r="189" spans="1:114">
      <c r="A189" s="462">
        <f>Arbeitszeit!A190</f>
        <v>45018</v>
      </c>
      <c r="B189" s="463">
        <f t="shared" si="9"/>
        <v>45018</v>
      </c>
      <c r="C189" s="146">
        <f t="shared" si="10"/>
        <v>13</v>
      </c>
      <c r="D189" s="145">
        <f t="shared" si="11"/>
        <v>45016</v>
      </c>
      <c r="E189" s="510">
        <f>Arbeitszeit!V190*24</f>
        <v>0</v>
      </c>
      <c r="F189" s="574">
        <f t="shared" si="8"/>
        <v>0</v>
      </c>
      <c r="G189" s="113">
        <f>IF(Arbeitszeit!F190=Urlaub,B_WorkTime*24,)</f>
        <v>0</v>
      </c>
      <c r="H189" s="111"/>
      <c r="I189" s="113">
        <f>IF(Arbeitszeit!F190=Krank,B_WorkTime*24,)</f>
        <v>0</v>
      </c>
      <c r="J189" s="111"/>
      <c r="K189" s="114"/>
      <c r="L189" s="115"/>
      <c r="M189" s="498"/>
      <c r="N189" s="499"/>
      <c r="O189" s="498"/>
      <c r="P189" s="499"/>
      <c r="Q189" s="498"/>
      <c r="R189" s="499"/>
      <c r="S189" s="498"/>
      <c r="T189" s="499"/>
      <c r="U189" s="498"/>
      <c r="V189" s="499"/>
      <c r="W189" s="498"/>
      <c r="X189" s="499"/>
      <c r="Y189" s="498"/>
      <c r="Z189" s="499"/>
      <c r="AA189" s="498"/>
      <c r="AB189" s="499"/>
      <c r="AC189" s="498"/>
      <c r="AD189" s="499"/>
      <c r="AE189" s="498"/>
      <c r="AF189" s="500"/>
      <c r="AG189" s="498"/>
      <c r="AH189" s="500"/>
      <c r="AI189" s="498"/>
      <c r="AJ189" s="500"/>
      <c r="AK189" s="498"/>
      <c r="AL189" s="500"/>
      <c r="AM189" s="501"/>
      <c r="AN189" s="500"/>
      <c r="AO189" s="498"/>
      <c r="AP189" s="500"/>
      <c r="AQ189" s="501"/>
      <c r="AR189" s="500"/>
      <c r="AS189" s="500"/>
      <c r="AT189" s="500"/>
      <c r="AU189" s="501"/>
      <c r="AV189" s="500"/>
      <c r="AW189" s="500"/>
      <c r="AX189" s="500"/>
      <c r="AY189" s="576"/>
      <c r="AZ189" s="576"/>
      <c r="BA189" s="576"/>
      <c r="BB189" s="576"/>
      <c r="BC189" s="576"/>
      <c r="BD189" s="576"/>
      <c r="BE189" s="576"/>
      <c r="BF189" s="576"/>
      <c r="BG189" s="576"/>
      <c r="BH189" s="576"/>
      <c r="BI189" s="576"/>
      <c r="BJ189" s="576"/>
      <c r="BK189" s="576"/>
      <c r="BL189" s="576"/>
      <c r="BM189" s="576"/>
      <c r="BN189" s="576"/>
      <c r="BO189" s="576"/>
      <c r="BP189" s="576"/>
      <c r="BQ189" s="576"/>
      <c r="BR189" s="576"/>
      <c r="BS189" s="576"/>
      <c r="BT189" s="576"/>
      <c r="BU189" s="576"/>
      <c r="BV189" s="576"/>
      <c r="BW189" s="576"/>
      <c r="BX189" s="576"/>
      <c r="BY189" s="576"/>
      <c r="BZ189" s="576"/>
      <c r="CA189" s="576"/>
      <c r="CB189" s="576"/>
      <c r="CC189" s="576"/>
      <c r="CD189" s="576"/>
      <c r="CE189" s="576"/>
      <c r="CF189" s="576"/>
      <c r="CG189" s="576"/>
      <c r="CH189" s="576"/>
      <c r="CI189" s="576"/>
      <c r="CJ189" s="576"/>
      <c r="CK189" s="576"/>
      <c r="CL189" s="576"/>
      <c r="CM189" s="576"/>
      <c r="CN189" s="576"/>
      <c r="CO189" s="576"/>
      <c r="CP189" s="576"/>
      <c r="CQ189" s="576"/>
      <c r="CR189" s="576"/>
      <c r="CS189" s="576"/>
      <c r="CT189" s="576"/>
      <c r="CU189" s="576"/>
      <c r="CV189" s="576"/>
      <c r="CW189" s="576"/>
      <c r="CX189" s="576"/>
      <c r="CY189" s="576"/>
      <c r="CZ189" s="576"/>
      <c r="DA189" s="576"/>
      <c r="DB189" s="576"/>
      <c r="DC189" s="576"/>
      <c r="DD189" s="576"/>
      <c r="DE189" s="576"/>
      <c r="DF189" s="576"/>
      <c r="DG189" s="576"/>
      <c r="DH189" s="116"/>
      <c r="DI189" s="112"/>
      <c r="DJ189">
        <f ca="1">INDIRECT(ADDRESS(ROW()+1,COLUMN(Arbeitszeit!xDay),,,"Arbeitszeit"))</f>
        <v>6</v>
      </c>
    </row>
    <row r="190" spans="1:114">
      <c r="A190" s="462">
        <f>Arbeitszeit!A191</f>
        <v>45019</v>
      </c>
      <c r="B190" s="463">
        <f t="shared" si="9"/>
        <v>45019</v>
      </c>
      <c r="C190" s="146">
        <f t="shared" si="10"/>
        <v>13</v>
      </c>
      <c r="D190" s="145">
        <f t="shared" si="11"/>
        <v>45016</v>
      </c>
      <c r="E190" s="510">
        <f>Arbeitszeit!V191*24</f>
        <v>0</v>
      </c>
      <c r="F190" s="574">
        <f t="shared" si="8"/>
        <v>0</v>
      </c>
      <c r="G190" s="113">
        <f>IF(Arbeitszeit!F191=Urlaub,B_WorkTime*24,)</f>
        <v>0</v>
      </c>
      <c r="H190" s="111"/>
      <c r="I190" s="113">
        <f>IF(Arbeitszeit!F191=Krank,B_WorkTime*24,)</f>
        <v>0</v>
      </c>
      <c r="J190" s="111"/>
      <c r="K190" s="114"/>
      <c r="L190" s="115"/>
      <c r="M190" s="498"/>
      <c r="N190" s="499"/>
      <c r="O190" s="498"/>
      <c r="P190" s="499"/>
      <c r="Q190" s="498"/>
      <c r="R190" s="499"/>
      <c r="S190" s="498"/>
      <c r="T190" s="499"/>
      <c r="U190" s="498"/>
      <c r="V190" s="499"/>
      <c r="W190" s="498"/>
      <c r="X190" s="499"/>
      <c r="Y190" s="498"/>
      <c r="Z190" s="499"/>
      <c r="AA190" s="498"/>
      <c r="AB190" s="499"/>
      <c r="AC190" s="498"/>
      <c r="AD190" s="499"/>
      <c r="AE190" s="498"/>
      <c r="AF190" s="500"/>
      <c r="AG190" s="498"/>
      <c r="AH190" s="500"/>
      <c r="AI190" s="498"/>
      <c r="AJ190" s="500"/>
      <c r="AK190" s="498"/>
      <c r="AL190" s="500"/>
      <c r="AM190" s="501"/>
      <c r="AN190" s="500"/>
      <c r="AO190" s="498"/>
      <c r="AP190" s="500"/>
      <c r="AQ190" s="501"/>
      <c r="AR190" s="500"/>
      <c r="AS190" s="500"/>
      <c r="AT190" s="500"/>
      <c r="AU190" s="501"/>
      <c r="AV190" s="500"/>
      <c r="AW190" s="500"/>
      <c r="AX190" s="500"/>
      <c r="AY190" s="576"/>
      <c r="AZ190" s="576"/>
      <c r="BA190" s="576"/>
      <c r="BB190" s="576"/>
      <c r="BC190" s="576"/>
      <c r="BD190" s="576"/>
      <c r="BE190" s="576"/>
      <c r="BF190" s="576"/>
      <c r="BG190" s="576"/>
      <c r="BH190" s="576"/>
      <c r="BI190" s="576"/>
      <c r="BJ190" s="576"/>
      <c r="BK190" s="576"/>
      <c r="BL190" s="576"/>
      <c r="BM190" s="576"/>
      <c r="BN190" s="576"/>
      <c r="BO190" s="576"/>
      <c r="BP190" s="576"/>
      <c r="BQ190" s="576"/>
      <c r="BR190" s="576"/>
      <c r="BS190" s="576"/>
      <c r="BT190" s="576"/>
      <c r="BU190" s="576"/>
      <c r="BV190" s="576"/>
      <c r="BW190" s="576"/>
      <c r="BX190" s="576"/>
      <c r="BY190" s="576"/>
      <c r="BZ190" s="576"/>
      <c r="CA190" s="576"/>
      <c r="CB190" s="576"/>
      <c r="CC190" s="576"/>
      <c r="CD190" s="576"/>
      <c r="CE190" s="576"/>
      <c r="CF190" s="576"/>
      <c r="CG190" s="576"/>
      <c r="CH190" s="576"/>
      <c r="CI190" s="576"/>
      <c r="CJ190" s="576"/>
      <c r="CK190" s="576"/>
      <c r="CL190" s="576"/>
      <c r="CM190" s="576"/>
      <c r="CN190" s="576"/>
      <c r="CO190" s="576"/>
      <c r="CP190" s="576"/>
      <c r="CQ190" s="576"/>
      <c r="CR190" s="576"/>
      <c r="CS190" s="576"/>
      <c r="CT190" s="576"/>
      <c r="CU190" s="576"/>
      <c r="CV190" s="576"/>
      <c r="CW190" s="576"/>
      <c r="CX190" s="576"/>
      <c r="CY190" s="576"/>
      <c r="CZ190" s="576"/>
      <c r="DA190" s="576"/>
      <c r="DB190" s="576"/>
      <c r="DC190" s="576"/>
      <c r="DD190" s="576"/>
      <c r="DE190" s="576"/>
      <c r="DF190" s="576"/>
      <c r="DG190" s="576"/>
      <c r="DH190" s="116"/>
      <c r="DI190" s="112"/>
      <c r="DJ190">
        <f ca="1">INDIRECT(ADDRESS(ROW()+1,COLUMN(Arbeitszeit!xDay),,,"Arbeitszeit"))</f>
        <v>7</v>
      </c>
    </row>
    <row r="191" spans="1:114">
      <c r="A191" s="462">
        <f>Arbeitszeit!A192</f>
        <v>45020</v>
      </c>
      <c r="B191" s="463">
        <f t="shared" si="9"/>
        <v>45020</v>
      </c>
      <c r="C191" s="146">
        <f t="shared" si="10"/>
        <v>14</v>
      </c>
      <c r="D191" s="145">
        <f t="shared" si="11"/>
        <v>45016</v>
      </c>
      <c r="E191" s="510">
        <f>Arbeitszeit!V192*24</f>
        <v>0</v>
      </c>
      <c r="F191" s="574">
        <f t="shared" si="8"/>
        <v>0</v>
      </c>
      <c r="G191" s="113">
        <f>IF(Arbeitszeit!F192=Urlaub,B_WorkTime*24,)</f>
        <v>0</v>
      </c>
      <c r="H191" s="111"/>
      <c r="I191" s="113">
        <f>IF(Arbeitszeit!F192=Krank,B_WorkTime*24,)</f>
        <v>0</v>
      </c>
      <c r="J191" s="111"/>
      <c r="K191" s="114"/>
      <c r="L191" s="115"/>
      <c r="M191" s="498"/>
      <c r="N191" s="499"/>
      <c r="O191" s="498"/>
      <c r="P191" s="499"/>
      <c r="Q191" s="498"/>
      <c r="R191" s="499"/>
      <c r="S191" s="498"/>
      <c r="T191" s="499"/>
      <c r="U191" s="498"/>
      <c r="V191" s="499"/>
      <c r="W191" s="498"/>
      <c r="X191" s="499"/>
      <c r="Y191" s="498"/>
      <c r="Z191" s="499"/>
      <c r="AA191" s="498"/>
      <c r="AB191" s="499"/>
      <c r="AC191" s="498"/>
      <c r="AD191" s="499"/>
      <c r="AE191" s="498"/>
      <c r="AF191" s="500"/>
      <c r="AG191" s="498"/>
      <c r="AH191" s="500"/>
      <c r="AI191" s="498"/>
      <c r="AJ191" s="500"/>
      <c r="AK191" s="498"/>
      <c r="AL191" s="500"/>
      <c r="AM191" s="501"/>
      <c r="AN191" s="500"/>
      <c r="AO191" s="498"/>
      <c r="AP191" s="500"/>
      <c r="AQ191" s="501"/>
      <c r="AR191" s="500"/>
      <c r="AS191" s="500"/>
      <c r="AT191" s="500"/>
      <c r="AU191" s="501"/>
      <c r="AV191" s="500"/>
      <c r="AW191" s="500"/>
      <c r="AX191" s="500"/>
      <c r="AY191" s="576"/>
      <c r="AZ191" s="576"/>
      <c r="BA191" s="576"/>
      <c r="BB191" s="576"/>
      <c r="BC191" s="576"/>
      <c r="BD191" s="576"/>
      <c r="BE191" s="576"/>
      <c r="BF191" s="576"/>
      <c r="BG191" s="576"/>
      <c r="BH191" s="576"/>
      <c r="BI191" s="576"/>
      <c r="BJ191" s="576"/>
      <c r="BK191" s="576"/>
      <c r="BL191" s="576"/>
      <c r="BM191" s="576"/>
      <c r="BN191" s="576"/>
      <c r="BO191" s="576"/>
      <c r="BP191" s="576"/>
      <c r="BQ191" s="576"/>
      <c r="BR191" s="576"/>
      <c r="BS191" s="576"/>
      <c r="BT191" s="576"/>
      <c r="BU191" s="576"/>
      <c r="BV191" s="576"/>
      <c r="BW191" s="576"/>
      <c r="BX191" s="576"/>
      <c r="BY191" s="576"/>
      <c r="BZ191" s="576"/>
      <c r="CA191" s="576"/>
      <c r="CB191" s="576"/>
      <c r="CC191" s="576"/>
      <c r="CD191" s="576"/>
      <c r="CE191" s="576"/>
      <c r="CF191" s="576"/>
      <c r="CG191" s="576"/>
      <c r="CH191" s="576"/>
      <c r="CI191" s="576"/>
      <c r="CJ191" s="576"/>
      <c r="CK191" s="576"/>
      <c r="CL191" s="576"/>
      <c r="CM191" s="576"/>
      <c r="CN191" s="576"/>
      <c r="CO191" s="576"/>
      <c r="CP191" s="576"/>
      <c r="CQ191" s="576"/>
      <c r="CR191" s="576"/>
      <c r="CS191" s="576"/>
      <c r="CT191" s="576"/>
      <c r="CU191" s="576"/>
      <c r="CV191" s="576"/>
      <c r="CW191" s="576"/>
      <c r="CX191" s="576"/>
      <c r="CY191" s="576"/>
      <c r="CZ191" s="576"/>
      <c r="DA191" s="576"/>
      <c r="DB191" s="576"/>
      <c r="DC191" s="576"/>
      <c r="DD191" s="576"/>
      <c r="DE191" s="576"/>
      <c r="DF191" s="576"/>
      <c r="DG191" s="576"/>
      <c r="DH191" s="116"/>
      <c r="DI191" s="112"/>
      <c r="DJ191">
        <f ca="1">INDIRECT(ADDRESS(ROW()+1,COLUMN(Arbeitszeit!xDay),,,"Arbeitszeit"))</f>
        <v>1</v>
      </c>
    </row>
    <row r="192" spans="1:114">
      <c r="A192" s="462">
        <f>Arbeitszeit!A193</f>
        <v>45021</v>
      </c>
      <c r="B192" s="463">
        <f t="shared" si="9"/>
        <v>45021</v>
      </c>
      <c r="C192" s="146">
        <f t="shared" si="10"/>
        <v>14</v>
      </c>
      <c r="D192" s="145">
        <f t="shared" si="11"/>
        <v>45016</v>
      </c>
      <c r="E192" s="510">
        <f>Arbeitszeit!V193*24</f>
        <v>0</v>
      </c>
      <c r="F192" s="574">
        <f t="shared" si="8"/>
        <v>0</v>
      </c>
      <c r="G192" s="113">
        <f>IF(Arbeitszeit!F193=Urlaub,B_WorkTime*24,)</f>
        <v>0</v>
      </c>
      <c r="H192" s="111"/>
      <c r="I192" s="113">
        <f>IF(Arbeitszeit!F193=Krank,B_WorkTime*24,)</f>
        <v>0</v>
      </c>
      <c r="J192" s="111"/>
      <c r="K192" s="114"/>
      <c r="L192" s="115"/>
      <c r="M192" s="498"/>
      <c r="N192" s="499"/>
      <c r="O192" s="498"/>
      <c r="P192" s="499"/>
      <c r="Q192" s="498"/>
      <c r="R192" s="499"/>
      <c r="S192" s="498"/>
      <c r="T192" s="499"/>
      <c r="U192" s="498"/>
      <c r="V192" s="499"/>
      <c r="W192" s="498"/>
      <c r="X192" s="499"/>
      <c r="Y192" s="498"/>
      <c r="Z192" s="499"/>
      <c r="AA192" s="498"/>
      <c r="AB192" s="499"/>
      <c r="AC192" s="498"/>
      <c r="AD192" s="499"/>
      <c r="AE192" s="498"/>
      <c r="AF192" s="500"/>
      <c r="AG192" s="498"/>
      <c r="AH192" s="500"/>
      <c r="AI192" s="498"/>
      <c r="AJ192" s="500"/>
      <c r="AK192" s="498"/>
      <c r="AL192" s="500"/>
      <c r="AM192" s="501"/>
      <c r="AN192" s="500"/>
      <c r="AO192" s="498"/>
      <c r="AP192" s="500"/>
      <c r="AQ192" s="501"/>
      <c r="AR192" s="500"/>
      <c r="AS192" s="500"/>
      <c r="AT192" s="500"/>
      <c r="AU192" s="501"/>
      <c r="AV192" s="500"/>
      <c r="AW192" s="500"/>
      <c r="AX192" s="500"/>
      <c r="AY192" s="576"/>
      <c r="AZ192" s="576"/>
      <c r="BA192" s="576"/>
      <c r="BB192" s="576"/>
      <c r="BC192" s="576"/>
      <c r="BD192" s="576"/>
      <c r="BE192" s="576"/>
      <c r="BF192" s="576"/>
      <c r="BG192" s="576"/>
      <c r="BH192" s="576"/>
      <c r="BI192" s="576"/>
      <c r="BJ192" s="576"/>
      <c r="BK192" s="576"/>
      <c r="BL192" s="576"/>
      <c r="BM192" s="576"/>
      <c r="BN192" s="576"/>
      <c r="BO192" s="576"/>
      <c r="BP192" s="576"/>
      <c r="BQ192" s="576"/>
      <c r="BR192" s="576"/>
      <c r="BS192" s="576"/>
      <c r="BT192" s="576"/>
      <c r="BU192" s="576"/>
      <c r="BV192" s="576"/>
      <c r="BW192" s="576"/>
      <c r="BX192" s="576"/>
      <c r="BY192" s="576"/>
      <c r="BZ192" s="576"/>
      <c r="CA192" s="576"/>
      <c r="CB192" s="576"/>
      <c r="CC192" s="576"/>
      <c r="CD192" s="576"/>
      <c r="CE192" s="576"/>
      <c r="CF192" s="576"/>
      <c r="CG192" s="576"/>
      <c r="CH192" s="576"/>
      <c r="CI192" s="576"/>
      <c r="CJ192" s="576"/>
      <c r="CK192" s="576"/>
      <c r="CL192" s="576"/>
      <c r="CM192" s="576"/>
      <c r="CN192" s="576"/>
      <c r="CO192" s="576"/>
      <c r="CP192" s="576"/>
      <c r="CQ192" s="576"/>
      <c r="CR192" s="576"/>
      <c r="CS192" s="576"/>
      <c r="CT192" s="576"/>
      <c r="CU192" s="576"/>
      <c r="CV192" s="576"/>
      <c r="CW192" s="576"/>
      <c r="CX192" s="576"/>
      <c r="CY192" s="576"/>
      <c r="CZ192" s="576"/>
      <c r="DA192" s="576"/>
      <c r="DB192" s="576"/>
      <c r="DC192" s="576"/>
      <c r="DD192" s="576"/>
      <c r="DE192" s="576"/>
      <c r="DF192" s="576"/>
      <c r="DG192" s="576"/>
      <c r="DH192" s="116"/>
      <c r="DI192" s="112"/>
      <c r="DJ192">
        <f ca="1">INDIRECT(ADDRESS(ROW()+1,COLUMN(Arbeitszeit!xDay),,,"Arbeitszeit"))</f>
        <v>2</v>
      </c>
    </row>
    <row r="193" spans="1:114">
      <c r="A193" s="462">
        <f>Arbeitszeit!A194</f>
        <v>45022</v>
      </c>
      <c r="B193" s="463">
        <f t="shared" si="9"/>
        <v>45022</v>
      </c>
      <c r="C193" s="146">
        <f t="shared" si="10"/>
        <v>14</v>
      </c>
      <c r="D193" s="145">
        <f t="shared" si="11"/>
        <v>45016</v>
      </c>
      <c r="E193" s="510">
        <f>Arbeitszeit!V194*24</f>
        <v>0</v>
      </c>
      <c r="F193" s="574">
        <f t="shared" si="8"/>
        <v>0</v>
      </c>
      <c r="G193" s="113">
        <f>IF(Arbeitszeit!F194=Urlaub,B_WorkTime*24,)</f>
        <v>0</v>
      </c>
      <c r="H193" s="111"/>
      <c r="I193" s="113">
        <f>IF(Arbeitszeit!F194=Krank,B_WorkTime*24,)</f>
        <v>0</v>
      </c>
      <c r="J193" s="111"/>
      <c r="K193" s="114"/>
      <c r="L193" s="115"/>
      <c r="M193" s="498"/>
      <c r="N193" s="499"/>
      <c r="O193" s="498"/>
      <c r="P193" s="499"/>
      <c r="Q193" s="498"/>
      <c r="R193" s="499"/>
      <c r="S193" s="498"/>
      <c r="T193" s="499"/>
      <c r="U193" s="498"/>
      <c r="V193" s="499"/>
      <c r="W193" s="498"/>
      <c r="X193" s="499"/>
      <c r="Y193" s="498"/>
      <c r="Z193" s="499"/>
      <c r="AA193" s="498"/>
      <c r="AB193" s="499"/>
      <c r="AC193" s="498"/>
      <c r="AD193" s="499"/>
      <c r="AE193" s="498"/>
      <c r="AF193" s="500"/>
      <c r="AG193" s="498"/>
      <c r="AH193" s="500"/>
      <c r="AI193" s="498"/>
      <c r="AJ193" s="500"/>
      <c r="AK193" s="498"/>
      <c r="AL193" s="500"/>
      <c r="AM193" s="501"/>
      <c r="AN193" s="500"/>
      <c r="AO193" s="498"/>
      <c r="AP193" s="500"/>
      <c r="AQ193" s="501"/>
      <c r="AR193" s="500"/>
      <c r="AS193" s="500"/>
      <c r="AT193" s="500"/>
      <c r="AU193" s="501"/>
      <c r="AV193" s="500"/>
      <c r="AW193" s="500"/>
      <c r="AX193" s="500"/>
      <c r="AY193" s="576"/>
      <c r="AZ193" s="576"/>
      <c r="BA193" s="576"/>
      <c r="BB193" s="576"/>
      <c r="BC193" s="576"/>
      <c r="BD193" s="576"/>
      <c r="BE193" s="576"/>
      <c r="BF193" s="576"/>
      <c r="BG193" s="576"/>
      <c r="BH193" s="576"/>
      <c r="BI193" s="576"/>
      <c r="BJ193" s="576"/>
      <c r="BK193" s="576"/>
      <c r="BL193" s="576"/>
      <c r="BM193" s="576"/>
      <c r="BN193" s="576"/>
      <c r="BO193" s="576"/>
      <c r="BP193" s="576"/>
      <c r="BQ193" s="576"/>
      <c r="BR193" s="576"/>
      <c r="BS193" s="576"/>
      <c r="BT193" s="576"/>
      <c r="BU193" s="576"/>
      <c r="BV193" s="576"/>
      <c r="BW193" s="576"/>
      <c r="BX193" s="576"/>
      <c r="BY193" s="576"/>
      <c r="BZ193" s="576"/>
      <c r="CA193" s="576"/>
      <c r="CB193" s="576"/>
      <c r="CC193" s="576"/>
      <c r="CD193" s="576"/>
      <c r="CE193" s="576"/>
      <c r="CF193" s="576"/>
      <c r="CG193" s="576"/>
      <c r="CH193" s="576"/>
      <c r="CI193" s="576"/>
      <c r="CJ193" s="576"/>
      <c r="CK193" s="576"/>
      <c r="CL193" s="576"/>
      <c r="CM193" s="576"/>
      <c r="CN193" s="576"/>
      <c r="CO193" s="576"/>
      <c r="CP193" s="576"/>
      <c r="CQ193" s="576"/>
      <c r="CR193" s="576"/>
      <c r="CS193" s="576"/>
      <c r="CT193" s="576"/>
      <c r="CU193" s="576"/>
      <c r="CV193" s="576"/>
      <c r="CW193" s="576"/>
      <c r="CX193" s="576"/>
      <c r="CY193" s="576"/>
      <c r="CZ193" s="576"/>
      <c r="DA193" s="576"/>
      <c r="DB193" s="576"/>
      <c r="DC193" s="576"/>
      <c r="DD193" s="576"/>
      <c r="DE193" s="576"/>
      <c r="DF193" s="576"/>
      <c r="DG193" s="576"/>
      <c r="DH193" s="116"/>
      <c r="DI193" s="112"/>
      <c r="DJ193">
        <f ca="1">INDIRECT(ADDRESS(ROW()+1,COLUMN(Arbeitszeit!xDay),,,"Arbeitszeit"))</f>
        <v>3</v>
      </c>
    </row>
    <row r="194" spans="1:114">
      <c r="A194" s="462">
        <f>Arbeitszeit!A195</f>
        <v>45023</v>
      </c>
      <c r="B194" s="463">
        <f t="shared" si="9"/>
        <v>45023</v>
      </c>
      <c r="C194" s="146">
        <f t="shared" si="10"/>
        <v>14</v>
      </c>
      <c r="D194" s="145">
        <f t="shared" si="11"/>
        <v>45016</v>
      </c>
      <c r="E194" s="510">
        <f>Arbeitszeit!V195*24</f>
        <v>0</v>
      </c>
      <c r="F194" s="574">
        <f t="shared" si="8"/>
        <v>0</v>
      </c>
      <c r="G194" s="113">
        <f>IF(Arbeitszeit!F195=Urlaub,B_WorkTime*24,)</f>
        <v>0</v>
      </c>
      <c r="H194" s="111"/>
      <c r="I194" s="113">
        <f>IF(Arbeitszeit!F195=Krank,B_WorkTime*24,)</f>
        <v>0</v>
      </c>
      <c r="J194" s="111"/>
      <c r="K194" s="114"/>
      <c r="L194" s="115"/>
      <c r="M194" s="498"/>
      <c r="N194" s="499"/>
      <c r="O194" s="498"/>
      <c r="P194" s="499"/>
      <c r="Q194" s="498"/>
      <c r="R194" s="499"/>
      <c r="S194" s="498"/>
      <c r="T194" s="499"/>
      <c r="U194" s="498"/>
      <c r="V194" s="499"/>
      <c r="W194" s="498"/>
      <c r="X194" s="499"/>
      <c r="Y194" s="498"/>
      <c r="Z194" s="499"/>
      <c r="AA194" s="498"/>
      <c r="AB194" s="499"/>
      <c r="AC194" s="498"/>
      <c r="AD194" s="499"/>
      <c r="AE194" s="498"/>
      <c r="AF194" s="500"/>
      <c r="AG194" s="498"/>
      <c r="AH194" s="500"/>
      <c r="AI194" s="498"/>
      <c r="AJ194" s="500"/>
      <c r="AK194" s="498"/>
      <c r="AL194" s="500"/>
      <c r="AM194" s="501"/>
      <c r="AN194" s="500"/>
      <c r="AO194" s="498"/>
      <c r="AP194" s="500"/>
      <c r="AQ194" s="501"/>
      <c r="AR194" s="500"/>
      <c r="AS194" s="500"/>
      <c r="AT194" s="500"/>
      <c r="AU194" s="501"/>
      <c r="AV194" s="500"/>
      <c r="AW194" s="500"/>
      <c r="AX194" s="500"/>
      <c r="AY194" s="576"/>
      <c r="AZ194" s="576"/>
      <c r="BA194" s="576"/>
      <c r="BB194" s="576"/>
      <c r="BC194" s="576"/>
      <c r="BD194" s="576"/>
      <c r="BE194" s="576"/>
      <c r="BF194" s="576"/>
      <c r="BG194" s="576"/>
      <c r="BH194" s="576"/>
      <c r="BI194" s="576"/>
      <c r="BJ194" s="576"/>
      <c r="BK194" s="576"/>
      <c r="BL194" s="576"/>
      <c r="BM194" s="576"/>
      <c r="BN194" s="576"/>
      <c r="BO194" s="576"/>
      <c r="BP194" s="576"/>
      <c r="BQ194" s="576"/>
      <c r="BR194" s="576"/>
      <c r="BS194" s="576"/>
      <c r="BT194" s="576"/>
      <c r="BU194" s="576"/>
      <c r="BV194" s="576"/>
      <c r="BW194" s="576"/>
      <c r="BX194" s="576"/>
      <c r="BY194" s="576"/>
      <c r="BZ194" s="576"/>
      <c r="CA194" s="576"/>
      <c r="CB194" s="576"/>
      <c r="CC194" s="576"/>
      <c r="CD194" s="576"/>
      <c r="CE194" s="576"/>
      <c r="CF194" s="576"/>
      <c r="CG194" s="576"/>
      <c r="CH194" s="576"/>
      <c r="CI194" s="576"/>
      <c r="CJ194" s="576"/>
      <c r="CK194" s="576"/>
      <c r="CL194" s="576"/>
      <c r="CM194" s="576"/>
      <c r="CN194" s="576"/>
      <c r="CO194" s="576"/>
      <c r="CP194" s="576"/>
      <c r="CQ194" s="576"/>
      <c r="CR194" s="576"/>
      <c r="CS194" s="576"/>
      <c r="CT194" s="576"/>
      <c r="CU194" s="576"/>
      <c r="CV194" s="576"/>
      <c r="CW194" s="576"/>
      <c r="CX194" s="576"/>
      <c r="CY194" s="576"/>
      <c r="CZ194" s="576"/>
      <c r="DA194" s="576"/>
      <c r="DB194" s="576"/>
      <c r="DC194" s="576"/>
      <c r="DD194" s="576"/>
      <c r="DE194" s="576"/>
      <c r="DF194" s="576"/>
      <c r="DG194" s="576"/>
      <c r="DH194" s="116"/>
      <c r="DI194" s="112"/>
      <c r="DJ194">
        <f ca="1">INDIRECT(ADDRESS(ROW()+1,COLUMN(Arbeitszeit!xDay),,,"Arbeitszeit"))</f>
        <v>4</v>
      </c>
    </row>
    <row r="195" spans="1:114">
      <c r="A195" s="462">
        <f>Arbeitszeit!A196</f>
        <v>45024</v>
      </c>
      <c r="B195" s="463">
        <f t="shared" si="9"/>
        <v>45024</v>
      </c>
      <c r="C195" s="146">
        <f t="shared" si="10"/>
        <v>14</v>
      </c>
      <c r="D195" s="145">
        <f t="shared" si="11"/>
        <v>45016</v>
      </c>
      <c r="E195" s="510">
        <f>Arbeitszeit!V196*24</f>
        <v>0</v>
      </c>
      <c r="F195" s="574">
        <f t="shared" si="8"/>
        <v>0</v>
      </c>
      <c r="G195" s="113">
        <f>IF(Arbeitszeit!F196=Urlaub,B_WorkTime*24,)</f>
        <v>0</v>
      </c>
      <c r="H195" s="111"/>
      <c r="I195" s="113">
        <f>IF(Arbeitszeit!F196=Krank,B_WorkTime*24,)</f>
        <v>0</v>
      </c>
      <c r="J195" s="111"/>
      <c r="K195" s="114"/>
      <c r="L195" s="115"/>
      <c r="M195" s="498"/>
      <c r="N195" s="499"/>
      <c r="O195" s="498"/>
      <c r="P195" s="499"/>
      <c r="Q195" s="498"/>
      <c r="R195" s="499"/>
      <c r="S195" s="498"/>
      <c r="T195" s="499"/>
      <c r="U195" s="498"/>
      <c r="V195" s="499"/>
      <c r="W195" s="498"/>
      <c r="X195" s="499"/>
      <c r="Y195" s="498"/>
      <c r="Z195" s="499"/>
      <c r="AA195" s="498"/>
      <c r="AB195" s="499"/>
      <c r="AC195" s="498"/>
      <c r="AD195" s="499"/>
      <c r="AE195" s="498"/>
      <c r="AF195" s="500"/>
      <c r="AG195" s="498"/>
      <c r="AH195" s="500"/>
      <c r="AI195" s="498"/>
      <c r="AJ195" s="500"/>
      <c r="AK195" s="498"/>
      <c r="AL195" s="500"/>
      <c r="AM195" s="501"/>
      <c r="AN195" s="500"/>
      <c r="AO195" s="498"/>
      <c r="AP195" s="500"/>
      <c r="AQ195" s="501"/>
      <c r="AR195" s="500"/>
      <c r="AS195" s="500"/>
      <c r="AT195" s="500"/>
      <c r="AU195" s="501"/>
      <c r="AV195" s="500"/>
      <c r="AW195" s="500"/>
      <c r="AX195" s="500"/>
      <c r="AY195" s="576"/>
      <c r="AZ195" s="576"/>
      <c r="BA195" s="576"/>
      <c r="BB195" s="576"/>
      <c r="BC195" s="576"/>
      <c r="BD195" s="576"/>
      <c r="BE195" s="576"/>
      <c r="BF195" s="576"/>
      <c r="BG195" s="576"/>
      <c r="BH195" s="576"/>
      <c r="BI195" s="576"/>
      <c r="BJ195" s="576"/>
      <c r="BK195" s="576"/>
      <c r="BL195" s="576"/>
      <c r="BM195" s="576"/>
      <c r="BN195" s="576"/>
      <c r="BO195" s="576"/>
      <c r="BP195" s="576"/>
      <c r="BQ195" s="576"/>
      <c r="BR195" s="576"/>
      <c r="BS195" s="576"/>
      <c r="BT195" s="576"/>
      <c r="BU195" s="576"/>
      <c r="BV195" s="576"/>
      <c r="BW195" s="576"/>
      <c r="BX195" s="576"/>
      <c r="BY195" s="576"/>
      <c r="BZ195" s="576"/>
      <c r="CA195" s="576"/>
      <c r="CB195" s="576"/>
      <c r="CC195" s="576"/>
      <c r="CD195" s="576"/>
      <c r="CE195" s="576"/>
      <c r="CF195" s="576"/>
      <c r="CG195" s="576"/>
      <c r="CH195" s="576"/>
      <c r="CI195" s="576"/>
      <c r="CJ195" s="576"/>
      <c r="CK195" s="576"/>
      <c r="CL195" s="576"/>
      <c r="CM195" s="576"/>
      <c r="CN195" s="576"/>
      <c r="CO195" s="576"/>
      <c r="CP195" s="576"/>
      <c r="CQ195" s="576"/>
      <c r="CR195" s="576"/>
      <c r="CS195" s="576"/>
      <c r="CT195" s="576"/>
      <c r="CU195" s="576"/>
      <c r="CV195" s="576"/>
      <c r="CW195" s="576"/>
      <c r="CX195" s="576"/>
      <c r="CY195" s="576"/>
      <c r="CZ195" s="576"/>
      <c r="DA195" s="576"/>
      <c r="DB195" s="576"/>
      <c r="DC195" s="576"/>
      <c r="DD195" s="576"/>
      <c r="DE195" s="576"/>
      <c r="DF195" s="576"/>
      <c r="DG195" s="576"/>
      <c r="DH195" s="116"/>
      <c r="DI195" s="112"/>
      <c r="DJ195">
        <f ca="1">INDIRECT(ADDRESS(ROW()+1,COLUMN(Arbeitszeit!xDay),,,"Arbeitszeit"))</f>
        <v>5</v>
      </c>
    </row>
    <row r="196" spans="1:114">
      <c r="A196" s="462">
        <f>Arbeitszeit!A197</f>
        <v>45025</v>
      </c>
      <c r="B196" s="463">
        <f t="shared" si="9"/>
        <v>45025</v>
      </c>
      <c r="C196" s="146">
        <f t="shared" si="10"/>
        <v>14</v>
      </c>
      <c r="D196" s="145">
        <f t="shared" si="11"/>
        <v>45016</v>
      </c>
      <c r="E196" s="510">
        <f>Arbeitszeit!V197*24</f>
        <v>0</v>
      </c>
      <c r="F196" s="574">
        <f t="shared" si="8"/>
        <v>0</v>
      </c>
      <c r="G196" s="113">
        <f>IF(Arbeitszeit!F197=Urlaub,B_WorkTime*24,)</f>
        <v>0</v>
      </c>
      <c r="H196" s="111"/>
      <c r="I196" s="113">
        <f>IF(Arbeitszeit!F197=Krank,B_WorkTime*24,)</f>
        <v>0</v>
      </c>
      <c r="J196" s="111"/>
      <c r="K196" s="114"/>
      <c r="L196" s="115"/>
      <c r="M196" s="498"/>
      <c r="N196" s="499"/>
      <c r="O196" s="498"/>
      <c r="P196" s="499"/>
      <c r="Q196" s="498"/>
      <c r="R196" s="499"/>
      <c r="S196" s="498"/>
      <c r="T196" s="499"/>
      <c r="U196" s="498"/>
      <c r="V196" s="499"/>
      <c r="W196" s="498"/>
      <c r="X196" s="499"/>
      <c r="Y196" s="498"/>
      <c r="Z196" s="499"/>
      <c r="AA196" s="498"/>
      <c r="AB196" s="499"/>
      <c r="AC196" s="498"/>
      <c r="AD196" s="499"/>
      <c r="AE196" s="498"/>
      <c r="AF196" s="500"/>
      <c r="AG196" s="498"/>
      <c r="AH196" s="500"/>
      <c r="AI196" s="498"/>
      <c r="AJ196" s="500"/>
      <c r="AK196" s="498"/>
      <c r="AL196" s="500"/>
      <c r="AM196" s="501"/>
      <c r="AN196" s="500"/>
      <c r="AO196" s="498"/>
      <c r="AP196" s="500"/>
      <c r="AQ196" s="501"/>
      <c r="AR196" s="500"/>
      <c r="AS196" s="500"/>
      <c r="AT196" s="500"/>
      <c r="AU196" s="501"/>
      <c r="AV196" s="500"/>
      <c r="AW196" s="500"/>
      <c r="AX196" s="500"/>
      <c r="AY196" s="576"/>
      <c r="AZ196" s="576"/>
      <c r="BA196" s="576"/>
      <c r="BB196" s="576"/>
      <c r="BC196" s="576"/>
      <c r="BD196" s="576"/>
      <c r="BE196" s="576"/>
      <c r="BF196" s="576"/>
      <c r="BG196" s="576"/>
      <c r="BH196" s="576"/>
      <c r="BI196" s="576"/>
      <c r="BJ196" s="576"/>
      <c r="BK196" s="576"/>
      <c r="BL196" s="576"/>
      <c r="BM196" s="576"/>
      <c r="BN196" s="576"/>
      <c r="BO196" s="576"/>
      <c r="BP196" s="576"/>
      <c r="BQ196" s="576"/>
      <c r="BR196" s="576"/>
      <c r="BS196" s="576"/>
      <c r="BT196" s="576"/>
      <c r="BU196" s="576"/>
      <c r="BV196" s="576"/>
      <c r="BW196" s="576"/>
      <c r="BX196" s="576"/>
      <c r="BY196" s="576"/>
      <c r="BZ196" s="576"/>
      <c r="CA196" s="576"/>
      <c r="CB196" s="576"/>
      <c r="CC196" s="576"/>
      <c r="CD196" s="576"/>
      <c r="CE196" s="576"/>
      <c r="CF196" s="576"/>
      <c r="CG196" s="576"/>
      <c r="CH196" s="576"/>
      <c r="CI196" s="576"/>
      <c r="CJ196" s="576"/>
      <c r="CK196" s="576"/>
      <c r="CL196" s="576"/>
      <c r="CM196" s="576"/>
      <c r="CN196" s="576"/>
      <c r="CO196" s="576"/>
      <c r="CP196" s="576"/>
      <c r="CQ196" s="576"/>
      <c r="CR196" s="576"/>
      <c r="CS196" s="576"/>
      <c r="CT196" s="576"/>
      <c r="CU196" s="576"/>
      <c r="CV196" s="576"/>
      <c r="CW196" s="576"/>
      <c r="CX196" s="576"/>
      <c r="CY196" s="576"/>
      <c r="CZ196" s="576"/>
      <c r="DA196" s="576"/>
      <c r="DB196" s="576"/>
      <c r="DC196" s="576"/>
      <c r="DD196" s="576"/>
      <c r="DE196" s="576"/>
      <c r="DF196" s="576"/>
      <c r="DG196" s="576"/>
      <c r="DH196" s="116"/>
      <c r="DI196" s="112"/>
      <c r="DJ196">
        <f ca="1">INDIRECT(ADDRESS(ROW()+1,COLUMN(Arbeitszeit!xDay),,,"Arbeitszeit"))</f>
        <v>6</v>
      </c>
    </row>
    <row r="197" spans="1:114">
      <c r="A197" s="462">
        <f>Arbeitszeit!A198</f>
        <v>45026</v>
      </c>
      <c r="B197" s="463">
        <f t="shared" si="9"/>
        <v>45026</v>
      </c>
      <c r="C197" s="146">
        <f t="shared" si="10"/>
        <v>14</v>
      </c>
      <c r="D197" s="145">
        <f t="shared" si="11"/>
        <v>45016</v>
      </c>
      <c r="E197" s="510">
        <f>Arbeitszeit!V198*24</f>
        <v>0</v>
      </c>
      <c r="F197" s="574">
        <f t="shared" ref="F197:F260" si="12">ROUND(E197-SUM(K197:DG197),2)</f>
        <v>0</v>
      </c>
      <c r="G197" s="113">
        <f>IF(Arbeitszeit!F198=Urlaub,B_WorkTime*24,)</f>
        <v>0</v>
      </c>
      <c r="H197" s="111"/>
      <c r="I197" s="113">
        <f>IF(Arbeitszeit!F198=Krank,B_WorkTime*24,)</f>
        <v>0</v>
      </c>
      <c r="J197" s="111"/>
      <c r="K197" s="114"/>
      <c r="L197" s="115"/>
      <c r="M197" s="498"/>
      <c r="N197" s="499"/>
      <c r="O197" s="498"/>
      <c r="P197" s="499"/>
      <c r="Q197" s="498"/>
      <c r="R197" s="499"/>
      <c r="S197" s="498"/>
      <c r="T197" s="499"/>
      <c r="U197" s="498"/>
      <c r="V197" s="499"/>
      <c r="W197" s="498"/>
      <c r="X197" s="499"/>
      <c r="Y197" s="498"/>
      <c r="Z197" s="499"/>
      <c r="AA197" s="498"/>
      <c r="AB197" s="499"/>
      <c r="AC197" s="498"/>
      <c r="AD197" s="499"/>
      <c r="AE197" s="498"/>
      <c r="AF197" s="500"/>
      <c r="AG197" s="498"/>
      <c r="AH197" s="500"/>
      <c r="AI197" s="498"/>
      <c r="AJ197" s="500"/>
      <c r="AK197" s="498"/>
      <c r="AL197" s="500"/>
      <c r="AM197" s="501"/>
      <c r="AN197" s="500"/>
      <c r="AO197" s="498"/>
      <c r="AP197" s="500"/>
      <c r="AQ197" s="501"/>
      <c r="AR197" s="500"/>
      <c r="AS197" s="500"/>
      <c r="AT197" s="500"/>
      <c r="AU197" s="501"/>
      <c r="AV197" s="500"/>
      <c r="AW197" s="500"/>
      <c r="AX197" s="500"/>
      <c r="AY197" s="576"/>
      <c r="AZ197" s="576"/>
      <c r="BA197" s="576"/>
      <c r="BB197" s="576"/>
      <c r="BC197" s="576"/>
      <c r="BD197" s="576"/>
      <c r="BE197" s="576"/>
      <c r="BF197" s="576"/>
      <c r="BG197" s="576"/>
      <c r="BH197" s="576"/>
      <c r="BI197" s="576"/>
      <c r="BJ197" s="576"/>
      <c r="BK197" s="576"/>
      <c r="BL197" s="576"/>
      <c r="BM197" s="576"/>
      <c r="BN197" s="576"/>
      <c r="BO197" s="576"/>
      <c r="BP197" s="576"/>
      <c r="BQ197" s="576"/>
      <c r="BR197" s="576"/>
      <c r="BS197" s="576"/>
      <c r="BT197" s="576"/>
      <c r="BU197" s="576"/>
      <c r="BV197" s="576"/>
      <c r="BW197" s="576"/>
      <c r="BX197" s="576"/>
      <c r="BY197" s="576"/>
      <c r="BZ197" s="576"/>
      <c r="CA197" s="576"/>
      <c r="CB197" s="576"/>
      <c r="CC197" s="576"/>
      <c r="CD197" s="576"/>
      <c r="CE197" s="576"/>
      <c r="CF197" s="576"/>
      <c r="CG197" s="576"/>
      <c r="CH197" s="576"/>
      <c r="CI197" s="576"/>
      <c r="CJ197" s="576"/>
      <c r="CK197" s="576"/>
      <c r="CL197" s="576"/>
      <c r="CM197" s="576"/>
      <c r="CN197" s="576"/>
      <c r="CO197" s="576"/>
      <c r="CP197" s="576"/>
      <c r="CQ197" s="576"/>
      <c r="CR197" s="576"/>
      <c r="CS197" s="576"/>
      <c r="CT197" s="576"/>
      <c r="CU197" s="576"/>
      <c r="CV197" s="576"/>
      <c r="CW197" s="576"/>
      <c r="CX197" s="576"/>
      <c r="CY197" s="576"/>
      <c r="CZ197" s="576"/>
      <c r="DA197" s="576"/>
      <c r="DB197" s="576"/>
      <c r="DC197" s="576"/>
      <c r="DD197" s="576"/>
      <c r="DE197" s="576"/>
      <c r="DF197" s="576"/>
      <c r="DG197" s="576"/>
      <c r="DH197" s="116"/>
      <c r="DI197" s="112"/>
      <c r="DJ197">
        <f ca="1">INDIRECT(ADDRESS(ROW()+1,COLUMN(Arbeitszeit!xDay),,,"Arbeitszeit"))</f>
        <v>7</v>
      </c>
    </row>
    <row r="198" spans="1:114">
      <c r="A198" s="462">
        <f>Arbeitszeit!A199</f>
        <v>45027</v>
      </c>
      <c r="B198" s="463">
        <f t="shared" ref="B198:B261" si="13">IF(A198="","",A198)</f>
        <v>45027</v>
      </c>
      <c r="C198" s="146">
        <f t="shared" si="10"/>
        <v>15</v>
      </c>
      <c r="D198" s="145">
        <f t="shared" si="11"/>
        <v>45016</v>
      </c>
      <c r="E198" s="510">
        <f>Arbeitszeit!V199*24</f>
        <v>0</v>
      </c>
      <c r="F198" s="574">
        <f t="shared" si="12"/>
        <v>0</v>
      </c>
      <c r="G198" s="113">
        <f>IF(Arbeitszeit!F199=Urlaub,B_WorkTime*24,)</f>
        <v>0</v>
      </c>
      <c r="H198" s="111"/>
      <c r="I198" s="113">
        <f>IF(Arbeitszeit!F199=Krank,B_WorkTime*24,)</f>
        <v>0</v>
      </c>
      <c r="J198" s="111"/>
      <c r="K198" s="114"/>
      <c r="L198" s="115"/>
      <c r="M198" s="498"/>
      <c r="N198" s="499"/>
      <c r="O198" s="498"/>
      <c r="P198" s="499"/>
      <c r="Q198" s="498"/>
      <c r="R198" s="499"/>
      <c r="S198" s="498"/>
      <c r="T198" s="499"/>
      <c r="U198" s="498"/>
      <c r="V198" s="499"/>
      <c r="W198" s="498"/>
      <c r="X198" s="499"/>
      <c r="Y198" s="498"/>
      <c r="Z198" s="499"/>
      <c r="AA198" s="498"/>
      <c r="AB198" s="499"/>
      <c r="AC198" s="498"/>
      <c r="AD198" s="499"/>
      <c r="AE198" s="498"/>
      <c r="AF198" s="500"/>
      <c r="AG198" s="498"/>
      <c r="AH198" s="500"/>
      <c r="AI198" s="498"/>
      <c r="AJ198" s="500"/>
      <c r="AK198" s="498"/>
      <c r="AL198" s="500"/>
      <c r="AM198" s="501"/>
      <c r="AN198" s="500"/>
      <c r="AO198" s="498"/>
      <c r="AP198" s="500"/>
      <c r="AQ198" s="501"/>
      <c r="AR198" s="500"/>
      <c r="AS198" s="500"/>
      <c r="AT198" s="500"/>
      <c r="AU198" s="501"/>
      <c r="AV198" s="500"/>
      <c r="AW198" s="500"/>
      <c r="AX198" s="500"/>
      <c r="AY198" s="576"/>
      <c r="AZ198" s="576"/>
      <c r="BA198" s="576"/>
      <c r="BB198" s="576"/>
      <c r="BC198" s="576"/>
      <c r="BD198" s="576"/>
      <c r="BE198" s="576"/>
      <c r="BF198" s="576"/>
      <c r="BG198" s="576"/>
      <c r="BH198" s="576"/>
      <c r="BI198" s="576"/>
      <c r="BJ198" s="576"/>
      <c r="BK198" s="576"/>
      <c r="BL198" s="576"/>
      <c r="BM198" s="576"/>
      <c r="BN198" s="576"/>
      <c r="BO198" s="576"/>
      <c r="BP198" s="576"/>
      <c r="BQ198" s="576"/>
      <c r="BR198" s="576"/>
      <c r="BS198" s="576"/>
      <c r="BT198" s="576"/>
      <c r="BU198" s="576"/>
      <c r="BV198" s="576"/>
      <c r="BW198" s="576"/>
      <c r="BX198" s="576"/>
      <c r="BY198" s="576"/>
      <c r="BZ198" s="576"/>
      <c r="CA198" s="576"/>
      <c r="CB198" s="576"/>
      <c r="CC198" s="576"/>
      <c r="CD198" s="576"/>
      <c r="CE198" s="576"/>
      <c r="CF198" s="576"/>
      <c r="CG198" s="576"/>
      <c r="CH198" s="576"/>
      <c r="CI198" s="576"/>
      <c r="CJ198" s="576"/>
      <c r="CK198" s="576"/>
      <c r="CL198" s="576"/>
      <c r="CM198" s="576"/>
      <c r="CN198" s="576"/>
      <c r="CO198" s="576"/>
      <c r="CP198" s="576"/>
      <c r="CQ198" s="576"/>
      <c r="CR198" s="576"/>
      <c r="CS198" s="576"/>
      <c r="CT198" s="576"/>
      <c r="CU198" s="576"/>
      <c r="CV198" s="576"/>
      <c r="CW198" s="576"/>
      <c r="CX198" s="576"/>
      <c r="CY198" s="576"/>
      <c r="CZ198" s="576"/>
      <c r="DA198" s="576"/>
      <c r="DB198" s="576"/>
      <c r="DC198" s="576"/>
      <c r="DD198" s="576"/>
      <c r="DE198" s="576"/>
      <c r="DF198" s="576"/>
      <c r="DG198" s="576"/>
      <c r="DH198" s="116"/>
      <c r="DI198" s="112"/>
      <c r="DJ198">
        <f ca="1">INDIRECT(ADDRESS(ROW()+1,COLUMN(Arbeitszeit!xDay),,,"Arbeitszeit"))</f>
        <v>1</v>
      </c>
    </row>
    <row r="199" spans="1:114">
      <c r="A199" s="462">
        <f>Arbeitszeit!A200</f>
        <v>45028</v>
      </c>
      <c r="B199" s="463">
        <f t="shared" si="13"/>
        <v>45028</v>
      </c>
      <c r="C199" s="146">
        <f t="shared" ref="C199:C262" si="14">IF(A199="","",NumberOfWeek(A199))</f>
        <v>15</v>
      </c>
      <c r="D199" s="145">
        <f t="shared" ref="D199:D262" si="15">IF(A199="","",DATE(YEAR(A199),MONTH(A199),1))</f>
        <v>45016</v>
      </c>
      <c r="E199" s="510">
        <f>Arbeitszeit!V200*24</f>
        <v>0</v>
      </c>
      <c r="F199" s="574">
        <f t="shared" si="12"/>
        <v>0</v>
      </c>
      <c r="G199" s="113">
        <f>IF(Arbeitszeit!F200=Urlaub,B_WorkTime*24,)</f>
        <v>0</v>
      </c>
      <c r="H199" s="111"/>
      <c r="I199" s="113">
        <f>IF(Arbeitszeit!F200=Krank,B_WorkTime*24,)</f>
        <v>0</v>
      </c>
      <c r="J199" s="111"/>
      <c r="K199" s="114"/>
      <c r="L199" s="115"/>
      <c r="M199" s="498"/>
      <c r="N199" s="499"/>
      <c r="O199" s="498"/>
      <c r="P199" s="499"/>
      <c r="Q199" s="498"/>
      <c r="R199" s="499"/>
      <c r="S199" s="498"/>
      <c r="T199" s="499"/>
      <c r="U199" s="498"/>
      <c r="V199" s="499"/>
      <c r="W199" s="498"/>
      <c r="X199" s="499"/>
      <c r="Y199" s="498"/>
      <c r="Z199" s="499"/>
      <c r="AA199" s="498"/>
      <c r="AB199" s="499"/>
      <c r="AC199" s="498"/>
      <c r="AD199" s="499"/>
      <c r="AE199" s="498"/>
      <c r="AF199" s="500"/>
      <c r="AG199" s="498"/>
      <c r="AH199" s="500"/>
      <c r="AI199" s="498"/>
      <c r="AJ199" s="500"/>
      <c r="AK199" s="498"/>
      <c r="AL199" s="500"/>
      <c r="AM199" s="501"/>
      <c r="AN199" s="500"/>
      <c r="AO199" s="498"/>
      <c r="AP199" s="500"/>
      <c r="AQ199" s="501"/>
      <c r="AR199" s="500"/>
      <c r="AS199" s="500"/>
      <c r="AT199" s="500"/>
      <c r="AU199" s="501"/>
      <c r="AV199" s="500"/>
      <c r="AW199" s="500"/>
      <c r="AX199" s="500"/>
      <c r="AY199" s="576"/>
      <c r="AZ199" s="576"/>
      <c r="BA199" s="576"/>
      <c r="BB199" s="576"/>
      <c r="BC199" s="576"/>
      <c r="BD199" s="576"/>
      <c r="BE199" s="576"/>
      <c r="BF199" s="576"/>
      <c r="BG199" s="576"/>
      <c r="BH199" s="576"/>
      <c r="BI199" s="576"/>
      <c r="BJ199" s="576"/>
      <c r="BK199" s="576"/>
      <c r="BL199" s="576"/>
      <c r="BM199" s="576"/>
      <c r="BN199" s="576"/>
      <c r="BO199" s="576"/>
      <c r="BP199" s="576"/>
      <c r="BQ199" s="576"/>
      <c r="BR199" s="576"/>
      <c r="BS199" s="576"/>
      <c r="BT199" s="576"/>
      <c r="BU199" s="576"/>
      <c r="BV199" s="576"/>
      <c r="BW199" s="576"/>
      <c r="BX199" s="576"/>
      <c r="BY199" s="576"/>
      <c r="BZ199" s="576"/>
      <c r="CA199" s="576"/>
      <c r="CB199" s="576"/>
      <c r="CC199" s="576"/>
      <c r="CD199" s="576"/>
      <c r="CE199" s="576"/>
      <c r="CF199" s="576"/>
      <c r="CG199" s="576"/>
      <c r="CH199" s="576"/>
      <c r="CI199" s="576"/>
      <c r="CJ199" s="576"/>
      <c r="CK199" s="576"/>
      <c r="CL199" s="576"/>
      <c r="CM199" s="576"/>
      <c r="CN199" s="576"/>
      <c r="CO199" s="576"/>
      <c r="CP199" s="576"/>
      <c r="CQ199" s="576"/>
      <c r="CR199" s="576"/>
      <c r="CS199" s="576"/>
      <c r="CT199" s="576"/>
      <c r="CU199" s="576"/>
      <c r="CV199" s="576"/>
      <c r="CW199" s="576"/>
      <c r="CX199" s="576"/>
      <c r="CY199" s="576"/>
      <c r="CZ199" s="576"/>
      <c r="DA199" s="576"/>
      <c r="DB199" s="576"/>
      <c r="DC199" s="576"/>
      <c r="DD199" s="576"/>
      <c r="DE199" s="576"/>
      <c r="DF199" s="576"/>
      <c r="DG199" s="576"/>
      <c r="DH199" s="116"/>
      <c r="DI199" s="112"/>
      <c r="DJ199">
        <f ca="1">INDIRECT(ADDRESS(ROW()+1,COLUMN(Arbeitszeit!xDay),,,"Arbeitszeit"))</f>
        <v>2</v>
      </c>
    </row>
    <row r="200" spans="1:114">
      <c r="A200" s="462">
        <f>Arbeitszeit!A201</f>
        <v>45029</v>
      </c>
      <c r="B200" s="463">
        <f t="shared" si="13"/>
        <v>45029</v>
      </c>
      <c r="C200" s="146">
        <f t="shared" si="14"/>
        <v>15</v>
      </c>
      <c r="D200" s="145">
        <f t="shared" si="15"/>
        <v>45016</v>
      </c>
      <c r="E200" s="510">
        <f>Arbeitszeit!V201*24</f>
        <v>0</v>
      </c>
      <c r="F200" s="574">
        <f t="shared" si="12"/>
        <v>0</v>
      </c>
      <c r="G200" s="113">
        <f>IF(Arbeitszeit!F201=Urlaub,B_WorkTime*24,)</f>
        <v>0</v>
      </c>
      <c r="H200" s="111"/>
      <c r="I200" s="113">
        <f>IF(Arbeitszeit!F201=Krank,B_WorkTime*24,)</f>
        <v>0</v>
      </c>
      <c r="J200" s="111"/>
      <c r="K200" s="114"/>
      <c r="L200" s="115"/>
      <c r="M200" s="498"/>
      <c r="N200" s="499"/>
      <c r="O200" s="498"/>
      <c r="P200" s="499"/>
      <c r="Q200" s="498"/>
      <c r="R200" s="499"/>
      <c r="S200" s="498"/>
      <c r="T200" s="499"/>
      <c r="U200" s="498"/>
      <c r="V200" s="499"/>
      <c r="W200" s="498"/>
      <c r="X200" s="499"/>
      <c r="Y200" s="498"/>
      <c r="Z200" s="499"/>
      <c r="AA200" s="498"/>
      <c r="AB200" s="499"/>
      <c r="AC200" s="498"/>
      <c r="AD200" s="499"/>
      <c r="AE200" s="498"/>
      <c r="AF200" s="500"/>
      <c r="AG200" s="498"/>
      <c r="AH200" s="500"/>
      <c r="AI200" s="498"/>
      <c r="AJ200" s="500"/>
      <c r="AK200" s="498"/>
      <c r="AL200" s="500"/>
      <c r="AM200" s="501"/>
      <c r="AN200" s="500"/>
      <c r="AO200" s="498"/>
      <c r="AP200" s="500"/>
      <c r="AQ200" s="501"/>
      <c r="AR200" s="500"/>
      <c r="AS200" s="500"/>
      <c r="AT200" s="500"/>
      <c r="AU200" s="501"/>
      <c r="AV200" s="500"/>
      <c r="AW200" s="500"/>
      <c r="AX200" s="500"/>
      <c r="AY200" s="576"/>
      <c r="AZ200" s="576"/>
      <c r="BA200" s="576"/>
      <c r="BB200" s="576"/>
      <c r="BC200" s="576"/>
      <c r="BD200" s="576"/>
      <c r="BE200" s="576"/>
      <c r="BF200" s="576"/>
      <c r="BG200" s="576"/>
      <c r="BH200" s="576"/>
      <c r="BI200" s="576"/>
      <c r="BJ200" s="576"/>
      <c r="BK200" s="576"/>
      <c r="BL200" s="576"/>
      <c r="BM200" s="576"/>
      <c r="BN200" s="576"/>
      <c r="BO200" s="576"/>
      <c r="BP200" s="576"/>
      <c r="BQ200" s="576"/>
      <c r="BR200" s="576"/>
      <c r="BS200" s="576"/>
      <c r="BT200" s="576"/>
      <c r="BU200" s="576"/>
      <c r="BV200" s="576"/>
      <c r="BW200" s="576"/>
      <c r="BX200" s="576"/>
      <c r="BY200" s="576"/>
      <c r="BZ200" s="576"/>
      <c r="CA200" s="576"/>
      <c r="CB200" s="576"/>
      <c r="CC200" s="576"/>
      <c r="CD200" s="576"/>
      <c r="CE200" s="576"/>
      <c r="CF200" s="576"/>
      <c r="CG200" s="576"/>
      <c r="CH200" s="576"/>
      <c r="CI200" s="576"/>
      <c r="CJ200" s="576"/>
      <c r="CK200" s="576"/>
      <c r="CL200" s="576"/>
      <c r="CM200" s="576"/>
      <c r="CN200" s="576"/>
      <c r="CO200" s="576"/>
      <c r="CP200" s="576"/>
      <c r="CQ200" s="576"/>
      <c r="CR200" s="576"/>
      <c r="CS200" s="576"/>
      <c r="CT200" s="576"/>
      <c r="CU200" s="576"/>
      <c r="CV200" s="576"/>
      <c r="CW200" s="576"/>
      <c r="CX200" s="576"/>
      <c r="CY200" s="576"/>
      <c r="CZ200" s="576"/>
      <c r="DA200" s="576"/>
      <c r="DB200" s="576"/>
      <c r="DC200" s="576"/>
      <c r="DD200" s="576"/>
      <c r="DE200" s="576"/>
      <c r="DF200" s="576"/>
      <c r="DG200" s="576"/>
      <c r="DH200" s="116"/>
      <c r="DI200" s="112"/>
      <c r="DJ200">
        <f ca="1">INDIRECT(ADDRESS(ROW()+1,COLUMN(Arbeitszeit!xDay),,,"Arbeitszeit"))</f>
        <v>3</v>
      </c>
    </row>
    <row r="201" spans="1:114">
      <c r="A201" s="462">
        <f>Arbeitszeit!A202</f>
        <v>45030</v>
      </c>
      <c r="B201" s="463">
        <f t="shared" si="13"/>
        <v>45030</v>
      </c>
      <c r="C201" s="146">
        <f t="shared" si="14"/>
        <v>15</v>
      </c>
      <c r="D201" s="145">
        <f t="shared" si="15"/>
        <v>45016</v>
      </c>
      <c r="E201" s="510">
        <f>Arbeitszeit!V202*24</f>
        <v>0</v>
      </c>
      <c r="F201" s="574">
        <f t="shared" si="12"/>
        <v>0</v>
      </c>
      <c r="G201" s="113">
        <f>IF(Arbeitszeit!F202=Urlaub,B_WorkTime*24,)</f>
        <v>0</v>
      </c>
      <c r="H201" s="111"/>
      <c r="I201" s="113">
        <f>IF(Arbeitszeit!F202=Krank,B_WorkTime*24,)</f>
        <v>0</v>
      </c>
      <c r="J201" s="111"/>
      <c r="K201" s="114"/>
      <c r="L201" s="115"/>
      <c r="M201" s="498"/>
      <c r="N201" s="499"/>
      <c r="O201" s="498"/>
      <c r="P201" s="499"/>
      <c r="Q201" s="498"/>
      <c r="R201" s="499"/>
      <c r="S201" s="498"/>
      <c r="T201" s="499"/>
      <c r="U201" s="498"/>
      <c r="V201" s="499"/>
      <c r="W201" s="498"/>
      <c r="X201" s="499"/>
      <c r="Y201" s="498"/>
      <c r="Z201" s="499"/>
      <c r="AA201" s="498"/>
      <c r="AB201" s="499"/>
      <c r="AC201" s="498"/>
      <c r="AD201" s="499"/>
      <c r="AE201" s="498"/>
      <c r="AF201" s="500"/>
      <c r="AG201" s="498"/>
      <c r="AH201" s="500"/>
      <c r="AI201" s="498"/>
      <c r="AJ201" s="500"/>
      <c r="AK201" s="498"/>
      <c r="AL201" s="500"/>
      <c r="AM201" s="501"/>
      <c r="AN201" s="500"/>
      <c r="AO201" s="498"/>
      <c r="AP201" s="500"/>
      <c r="AQ201" s="501"/>
      <c r="AR201" s="500"/>
      <c r="AS201" s="500"/>
      <c r="AT201" s="500"/>
      <c r="AU201" s="501"/>
      <c r="AV201" s="500"/>
      <c r="AW201" s="500"/>
      <c r="AX201" s="500"/>
      <c r="AY201" s="576"/>
      <c r="AZ201" s="576"/>
      <c r="BA201" s="576"/>
      <c r="BB201" s="576"/>
      <c r="BC201" s="576"/>
      <c r="BD201" s="576"/>
      <c r="BE201" s="576"/>
      <c r="BF201" s="576"/>
      <c r="BG201" s="576"/>
      <c r="BH201" s="576"/>
      <c r="BI201" s="576"/>
      <c r="BJ201" s="576"/>
      <c r="BK201" s="576"/>
      <c r="BL201" s="576"/>
      <c r="BM201" s="576"/>
      <c r="BN201" s="576"/>
      <c r="BO201" s="576"/>
      <c r="BP201" s="576"/>
      <c r="BQ201" s="576"/>
      <c r="BR201" s="576"/>
      <c r="BS201" s="576"/>
      <c r="BT201" s="576"/>
      <c r="BU201" s="576"/>
      <c r="BV201" s="576"/>
      <c r="BW201" s="576"/>
      <c r="BX201" s="576"/>
      <c r="BY201" s="576"/>
      <c r="BZ201" s="576"/>
      <c r="CA201" s="576"/>
      <c r="CB201" s="576"/>
      <c r="CC201" s="576"/>
      <c r="CD201" s="576"/>
      <c r="CE201" s="576"/>
      <c r="CF201" s="576"/>
      <c r="CG201" s="576"/>
      <c r="CH201" s="576"/>
      <c r="CI201" s="576"/>
      <c r="CJ201" s="576"/>
      <c r="CK201" s="576"/>
      <c r="CL201" s="576"/>
      <c r="CM201" s="576"/>
      <c r="CN201" s="576"/>
      <c r="CO201" s="576"/>
      <c r="CP201" s="576"/>
      <c r="CQ201" s="576"/>
      <c r="CR201" s="576"/>
      <c r="CS201" s="576"/>
      <c r="CT201" s="576"/>
      <c r="CU201" s="576"/>
      <c r="CV201" s="576"/>
      <c r="CW201" s="576"/>
      <c r="CX201" s="576"/>
      <c r="CY201" s="576"/>
      <c r="CZ201" s="576"/>
      <c r="DA201" s="576"/>
      <c r="DB201" s="576"/>
      <c r="DC201" s="576"/>
      <c r="DD201" s="576"/>
      <c r="DE201" s="576"/>
      <c r="DF201" s="576"/>
      <c r="DG201" s="576"/>
      <c r="DH201" s="116"/>
      <c r="DI201" s="112"/>
      <c r="DJ201">
        <f ca="1">INDIRECT(ADDRESS(ROW()+1,COLUMN(Arbeitszeit!xDay),,,"Arbeitszeit"))</f>
        <v>4</v>
      </c>
    </row>
    <row r="202" spans="1:114">
      <c r="A202" s="462">
        <f>Arbeitszeit!A203</f>
        <v>45031</v>
      </c>
      <c r="B202" s="463">
        <f t="shared" si="13"/>
        <v>45031</v>
      </c>
      <c r="C202" s="146">
        <f t="shared" si="14"/>
        <v>15</v>
      </c>
      <c r="D202" s="145">
        <f t="shared" si="15"/>
        <v>45016</v>
      </c>
      <c r="E202" s="510">
        <f>Arbeitszeit!V203*24</f>
        <v>0</v>
      </c>
      <c r="F202" s="574">
        <f t="shared" si="12"/>
        <v>0</v>
      </c>
      <c r="G202" s="113">
        <f>IF(Arbeitszeit!F203=Urlaub,B_WorkTime*24,)</f>
        <v>0</v>
      </c>
      <c r="H202" s="111"/>
      <c r="I202" s="113">
        <f>IF(Arbeitszeit!F203=Krank,B_WorkTime*24,)</f>
        <v>0</v>
      </c>
      <c r="J202" s="111"/>
      <c r="K202" s="114"/>
      <c r="L202" s="115"/>
      <c r="M202" s="498"/>
      <c r="N202" s="499"/>
      <c r="O202" s="498"/>
      <c r="P202" s="499"/>
      <c r="Q202" s="498"/>
      <c r="R202" s="499"/>
      <c r="S202" s="498"/>
      <c r="T202" s="499"/>
      <c r="U202" s="498"/>
      <c r="V202" s="499"/>
      <c r="W202" s="498"/>
      <c r="X202" s="499"/>
      <c r="Y202" s="498"/>
      <c r="Z202" s="499"/>
      <c r="AA202" s="498"/>
      <c r="AB202" s="499"/>
      <c r="AC202" s="498"/>
      <c r="AD202" s="499"/>
      <c r="AE202" s="498"/>
      <c r="AF202" s="500"/>
      <c r="AG202" s="498"/>
      <c r="AH202" s="500"/>
      <c r="AI202" s="498"/>
      <c r="AJ202" s="500"/>
      <c r="AK202" s="498"/>
      <c r="AL202" s="500"/>
      <c r="AM202" s="501"/>
      <c r="AN202" s="500"/>
      <c r="AO202" s="498"/>
      <c r="AP202" s="500"/>
      <c r="AQ202" s="501"/>
      <c r="AR202" s="500"/>
      <c r="AS202" s="500"/>
      <c r="AT202" s="500"/>
      <c r="AU202" s="501"/>
      <c r="AV202" s="500"/>
      <c r="AW202" s="500"/>
      <c r="AX202" s="500"/>
      <c r="AY202" s="576"/>
      <c r="AZ202" s="576"/>
      <c r="BA202" s="576"/>
      <c r="BB202" s="576"/>
      <c r="BC202" s="576"/>
      <c r="BD202" s="576"/>
      <c r="BE202" s="576"/>
      <c r="BF202" s="576"/>
      <c r="BG202" s="576"/>
      <c r="BH202" s="576"/>
      <c r="BI202" s="576"/>
      <c r="BJ202" s="576"/>
      <c r="BK202" s="576"/>
      <c r="BL202" s="576"/>
      <c r="BM202" s="576"/>
      <c r="BN202" s="576"/>
      <c r="BO202" s="576"/>
      <c r="BP202" s="576"/>
      <c r="BQ202" s="576"/>
      <c r="BR202" s="576"/>
      <c r="BS202" s="576"/>
      <c r="BT202" s="576"/>
      <c r="BU202" s="576"/>
      <c r="BV202" s="576"/>
      <c r="BW202" s="576"/>
      <c r="BX202" s="576"/>
      <c r="BY202" s="576"/>
      <c r="BZ202" s="576"/>
      <c r="CA202" s="576"/>
      <c r="CB202" s="576"/>
      <c r="CC202" s="576"/>
      <c r="CD202" s="576"/>
      <c r="CE202" s="576"/>
      <c r="CF202" s="576"/>
      <c r="CG202" s="576"/>
      <c r="CH202" s="576"/>
      <c r="CI202" s="576"/>
      <c r="CJ202" s="576"/>
      <c r="CK202" s="576"/>
      <c r="CL202" s="576"/>
      <c r="CM202" s="576"/>
      <c r="CN202" s="576"/>
      <c r="CO202" s="576"/>
      <c r="CP202" s="576"/>
      <c r="CQ202" s="576"/>
      <c r="CR202" s="576"/>
      <c r="CS202" s="576"/>
      <c r="CT202" s="576"/>
      <c r="CU202" s="576"/>
      <c r="CV202" s="576"/>
      <c r="CW202" s="576"/>
      <c r="CX202" s="576"/>
      <c r="CY202" s="576"/>
      <c r="CZ202" s="576"/>
      <c r="DA202" s="576"/>
      <c r="DB202" s="576"/>
      <c r="DC202" s="576"/>
      <c r="DD202" s="576"/>
      <c r="DE202" s="576"/>
      <c r="DF202" s="576"/>
      <c r="DG202" s="576"/>
      <c r="DH202" s="116"/>
      <c r="DI202" s="112"/>
      <c r="DJ202">
        <f ca="1">INDIRECT(ADDRESS(ROW()+1,COLUMN(Arbeitszeit!xDay),,,"Arbeitszeit"))</f>
        <v>5</v>
      </c>
    </row>
    <row r="203" spans="1:114">
      <c r="A203" s="462">
        <f>Arbeitszeit!A204</f>
        <v>45032</v>
      </c>
      <c r="B203" s="463">
        <f t="shared" si="13"/>
        <v>45032</v>
      </c>
      <c r="C203" s="146">
        <f t="shared" si="14"/>
        <v>15</v>
      </c>
      <c r="D203" s="145">
        <f t="shared" si="15"/>
        <v>45016</v>
      </c>
      <c r="E203" s="510">
        <f>Arbeitszeit!V204*24</f>
        <v>0</v>
      </c>
      <c r="F203" s="574">
        <f t="shared" si="12"/>
        <v>0</v>
      </c>
      <c r="G203" s="113">
        <f>IF(Arbeitszeit!F204=Urlaub,B_WorkTime*24,)</f>
        <v>0</v>
      </c>
      <c r="H203" s="111"/>
      <c r="I203" s="113">
        <f>IF(Arbeitszeit!F204=Krank,B_WorkTime*24,)</f>
        <v>0</v>
      </c>
      <c r="J203" s="111"/>
      <c r="K203" s="114"/>
      <c r="L203" s="115"/>
      <c r="M203" s="498"/>
      <c r="N203" s="499"/>
      <c r="O203" s="498"/>
      <c r="P203" s="499"/>
      <c r="Q203" s="498"/>
      <c r="R203" s="499"/>
      <c r="S203" s="498"/>
      <c r="T203" s="499"/>
      <c r="U203" s="498"/>
      <c r="V203" s="499"/>
      <c r="W203" s="498"/>
      <c r="X203" s="499"/>
      <c r="Y203" s="498"/>
      <c r="Z203" s="499"/>
      <c r="AA203" s="498"/>
      <c r="AB203" s="499"/>
      <c r="AC203" s="498"/>
      <c r="AD203" s="499"/>
      <c r="AE203" s="498"/>
      <c r="AF203" s="500"/>
      <c r="AG203" s="498"/>
      <c r="AH203" s="500"/>
      <c r="AI203" s="498"/>
      <c r="AJ203" s="500"/>
      <c r="AK203" s="498"/>
      <c r="AL203" s="500"/>
      <c r="AM203" s="501"/>
      <c r="AN203" s="500"/>
      <c r="AO203" s="498"/>
      <c r="AP203" s="500"/>
      <c r="AQ203" s="501"/>
      <c r="AR203" s="500"/>
      <c r="AS203" s="500"/>
      <c r="AT203" s="500"/>
      <c r="AU203" s="501"/>
      <c r="AV203" s="500"/>
      <c r="AW203" s="500"/>
      <c r="AX203" s="500"/>
      <c r="AY203" s="576"/>
      <c r="AZ203" s="576"/>
      <c r="BA203" s="576"/>
      <c r="BB203" s="576"/>
      <c r="BC203" s="576"/>
      <c r="BD203" s="576"/>
      <c r="BE203" s="576"/>
      <c r="BF203" s="576"/>
      <c r="BG203" s="576"/>
      <c r="BH203" s="576"/>
      <c r="BI203" s="576"/>
      <c r="BJ203" s="576"/>
      <c r="BK203" s="576"/>
      <c r="BL203" s="576"/>
      <c r="BM203" s="576"/>
      <c r="BN203" s="576"/>
      <c r="BO203" s="576"/>
      <c r="BP203" s="576"/>
      <c r="BQ203" s="576"/>
      <c r="BR203" s="576"/>
      <c r="BS203" s="576"/>
      <c r="BT203" s="576"/>
      <c r="BU203" s="576"/>
      <c r="BV203" s="576"/>
      <c r="BW203" s="576"/>
      <c r="BX203" s="576"/>
      <c r="BY203" s="576"/>
      <c r="BZ203" s="576"/>
      <c r="CA203" s="576"/>
      <c r="CB203" s="576"/>
      <c r="CC203" s="576"/>
      <c r="CD203" s="576"/>
      <c r="CE203" s="576"/>
      <c r="CF203" s="576"/>
      <c r="CG203" s="576"/>
      <c r="CH203" s="576"/>
      <c r="CI203" s="576"/>
      <c r="CJ203" s="576"/>
      <c r="CK203" s="576"/>
      <c r="CL203" s="576"/>
      <c r="CM203" s="576"/>
      <c r="CN203" s="576"/>
      <c r="CO203" s="576"/>
      <c r="CP203" s="576"/>
      <c r="CQ203" s="576"/>
      <c r="CR203" s="576"/>
      <c r="CS203" s="576"/>
      <c r="CT203" s="576"/>
      <c r="CU203" s="576"/>
      <c r="CV203" s="576"/>
      <c r="CW203" s="576"/>
      <c r="CX203" s="576"/>
      <c r="CY203" s="576"/>
      <c r="CZ203" s="576"/>
      <c r="DA203" s="576"/>
      <c r="DB203" s="576"/>
      <c r="DC203" s="576"/>
      <c r="DD203" s="576"/>
      <c r="DE203" s="576"/>
      <c r="DF203" s="576"/>
      <c r="DG203" s="576"/>
      <c r="DH203" s="116"/>
      <c r="DI203" s="112"/>
      <c r="DJ203">
        <f ca="1">INDIRECT(ADDRESS(ROW()+1,COLUMN(Arbeitszeit!xDay),,,"Arbeitszeit"))</f>
        <v>6</v>
      </c>
    </row>
    <row r="204" spans="1:114">
      <c r="A204" s="462">
        <f>Arbeitszeit!A205</f>
        <v>45033</v>
      </c>
      <c r="B204" s="463">
        <f t="shared" si="13"/>
        <v>45033</v>
      </c>
      <c r="C204" s="146">
        <f t="shared" si="14"/>
        <v>15</v>
      </c>
      <c r="D204" s="145">
        <f t="shared" si="15"/>
        <v>45016</v>
      </c>
      <c r="E204" s="510">
        <f>Arbeitszeit!V205*24</f>
        <v>0</v>
      </c>
      <c r="F204" s="574">
        <f t="shared" si="12"/>
        <v>0</v>
      </c>
      <c r="G204" s="113">
        <f>IF(Arbeitszeit!F205=Urlaub,B_WorkTime*24,)</f>
        <v>0</v>
      </c>
      <c r="H204" s="111"/>
      <c r="I204" s="113">
        <f>IF(Arbeitszeit!F205=Krank,B_WorkTime*24,)</f>
        <v>0</v>
      </c>
      <c r="J204" s="111"/>
      <c r="K204" s="114"/>
      <c r="L204" s="115"/>
      <c r="M204" s="498"/>
      <c r="N204" s="499"/>
      <c r="O204" s="498"/>
      <c r="P204" s="499"/>
      <c r="Q204" s="498"/>
      <c r="R204" s="499"/>
      <c r="S204" s="498"/>
      <c r="T204" s="499"/>
      <c r="U204" s="498"/>
      <c r="V204" s="499"/>
      <c r="W204" s="498"/>
      <c r="X204" s="499"/>
      <c r="Y204" s="498"/>
      <c r="Z204" s="499"/>
      <c r="AA204" s="498"/>
      <c r="AB204" s="499"/>
      <c r="AC204" s="498"/>
      <c r="AD204" s="499"/>
      <c r="AE204" s="498"/>
      <c r="AF204" s="500"/>
      <c r="AG204" s="498"/>
      <c r="AH204" s="500"/>
      <c r="AI204" s="498"/>
      <c r="AJ204" s="500"/>
      <c r="AK204" s="498"/>
      <c r="AL204" s="500"/>
      <c r="AM204" s="501"/>
      <c r="AN204" s="500"/>
      <c r="AO204" s="498"/>
      <c r="AP204" s="500"/>
      <c r="AQ204" s="501"/>
      <c r="AR204" s="500"/>
      <c r="AS204" s="500"/>
      <c r="AT204" s="500"/>
      <c r="AU204" s="501"/>
      <c r="AV204" s="500"/>
      <c r="AW204" s="500"/>
      <c r="AX204" s="500"/>
      <c r="AY204" s="576"/>
      <c r="AZ204" s="576"/>
      <c r="BA204" s="576"/>
      <c r="BB204" s="576"/>
      <c r="BC204" s="576"/>
      <c r="BD204" s="576"/>
      <c r="BE204" s="576"/>
      <c r="BF204" s="576"/>
      <c r="BG204" s="576"/>
      <c r="BH204" s="576"/>
      <c r="BI204" s="576"/>
      <c r="BJ204" s="576"/>
      <c r="BK204" s="576"/>
      <c r="BL204" s="576"/>
      <c r="BM204" s="576"/>
      <c r="BN204" s="576"/>
      <c r="BO204" s="576"/>
      <c r="BP204" s="576"/>
      <c r="BQ204" s="576"/>
      <c r="BR204" s="576"/>
      <c r="BS204" s="576"/>
      <c r="BT204" s="576"/>
      <c r="BU204" s="576"/>
      <c r="BV204" s="576"/>
      <c r="BW204" s="576"/>
      <c r="BX204" s="576"/>
      <c r="BY204" s="576"/>
      <c r="BZ204" s="576"/>
      <c r="CA204" s="576"/>
      <c r="CB204" s="576"/>
      <c r="CC204" s="576"/>
      <c r="CD204" s="576"/>
      <c r="CE204" s="576"/>
      <c r="CF204" s="576"/>
      <c r="CG204" s="576"/>
      <c r="CH204" s="576"/>
      <c r="CI204" s="576"/>
      <c r="CJ204" s="576"/>
      <c r="CK204" s="576"/>
      <c r="CL204" s="576"/>
      <c r="CM204" s="576"/>
      <c r="CN204" s="576"/>
      <c r="CO204" s="576"/>
      <c r="CP204" s="576"/>
      <c r="CQ204" s="576"/>
      <c r="CR204" s="576"/>
      <c r="CS204" s="576"/>
      <c r="CT204" s="576"/>
      <c r="CU204" s="576"/>
      <c r="CV204" s="576"/>
      <c r="CW204" s="576"/>
      <c r="CX204" s="576"/>
      <c r="CY204" s="576"/>
      <c r="CZ204" s="576"/>
      <c r="DA204" s="576"/>
      <c r="DB204" s="576"/>
      <c r="DC204" s="576"/>
      <c r="DD204" s="576"/>
      <c r="DE204" s="576"/>
      <c r="DF204" s="576"/>
      <c r="DG204" s="576"/>
      <c r="DH204" s="116"/>
      <c r="DI204" s="112"/>
      <c r="DJ204">
        <f ca="1">INDIRECT(ADDRESS(ROW()+1,COLUMN(Arbeitszeit!xDay),,,"Arbeitszeit"))</f>
        <v>7</v>
      </c>
    </row>
    <row r="205" spans="1:114">
      <c r="A205" s="462">
        <f>Arbeitszeit!A206</f>
        <v>45034</v>
      </c>
      <c r="B205" s="463">
        <f t="shared" si="13"/>
        <v>45034</v>
      </c>
      <c r="C205" s="146">
        <f t="shared" si="14"/>
        <v>16</v>
      </c>
      <c r="D205" s="145">
        <f t="shared" si="15"/>
        <v>45016</v>
      </c>
      <c r="E205" s="510">
        <f>Arbeitszeit!V206*24</f>
        <v>0</v>
      </c>
      <c r="F205" s="574">
        <f t="shared" si="12"/>
        <v>0</v>
      </c>
      <c r="G205" s="113">
        <f>IF(Arbeitszeit!F206=Urlaub,B_WorkTime*24,)</f>
        <v>0</v>
      </c>
      <c r="H205" s="111"/>
      <c r="I205" s="113">
        <f>IF(Arbeitszeit!F206=Krank,B_WorkTime*24,)</f>
        <v>0</v>
      </c>
      <c r="J205" s="111"/>
      <c r="K205" s="114"/>
      <c r="L205" s="115"/>
      <c r="M205" s="498"/>
      <c r="N205" s="499"/>
      <c r="O205" s="498"/>
      <c r="P205" s="499"/>
      <c r="Q205" s="498"/>
      <c r="R205" s="499"/>
      <c r="S205" s="498"/>
      <c r="T205" s="499"/>
      <c r="U205" s="498"/>
      <c r="V205" s="499"/>
      <c r="W205" s="498"/>
      <c r="X205" s="499"/>
      <c r="Y205" s="498"/>
      <c r="Z205" s="499"/>
      <c r="AA205" s="498"/>
      <c r="AB205" s="499"/>
      <c r="AC205" s="498"/>
      <c r="AD205" s="499"/>
      <c r="AE205" s="498"/>
      <c r="AF205" s="500"/>
      <c r="AG205" s="498"/>
      <c r="AH205" s="500"/>
      <c r="AI205" s="498"/>
      <c r="AJ205" s="500"/>
      <c r="AK205" s="498"/>
      <c r="AL205" s="500"/>
      <c r="AM205" s="501"/>
      <c r="AN205" s="500"/>
      <c r="AO205" s="498"/>
      <c r="AP205" s="500"/>
      <c r="AQ205" s="501"/>
      <c r="AR205" s="500"/>
      <c r="AS205" s="500"/>
      <c r="AT205" s="500"/>
      <c r="AU205" s="501"/>
      <c r="AV205" s="500"/>
      <c r="AW205" s="500"/>
      <c r="AX205" s="500"/>
      <c r="AY205" s="576"/>
      <c r="AZ205" s="576"/>
      <c r="BA205" s="576"/>
      <c r="BB205" s="576"/>
      <c r="BC205" s="576"/>
      <c r="BD205" s="576"/>
      <c r="BE205" s="576"/>
      <c r="BF205" s="576"/>
      <c r="BG205" s="576"/>
      <c r="BH205" s="576"/>
      <c r="BI205" s="576"/>
      <c r="BJ205" s="576"/>
      <c r="BK205" s="576"/>
      <c r="BL205" s="576"/>
      <c r="BM205" s="576"/>
      <c r="BN205" s="576"/>
      <c r="BO205" s="576"/>
      <c r="BP205" s="576"/>
      <c r="BQ205" s="576"/>
      <c r="BR205" s="576"/>
      <c r="BS205" s="576"/>
      <c r="BT205" s="576"/>
      <c r="BU205" s="576"/>
      <c r="BV205" s="576"/>
      <c r="BW205" s="576"/>
      <c r="BX205" s="576"/>
      <c r="BY205" s="576"/>
      <c r="BZ205" s="576"/>
      <c r="CA205" s="576"/>
      <c r="CB205" s="576"/>
      <c r="CC205" s="576"/>
      <c r="CD205" s="576"/>
      <c r="CE205" s="576"/>
      <c r="CF205" s="576"/>
      <c r="CG205" s="576"/>
      <c r="CH205" s="576"/>
      <c r="CI205" s="576"/>
      <c r="CJ205" s="576"/>
      <c r="CK205" s="576"/>
      <c r="CL205" s="576"/>
      <c r="CM205" s="576"/>
      <c r="CN205" s="576"/>
      <c r="CO205" s="576"/>
      <c r="CP205" s="576"/>
      <c r="CQ205" s="576"/>
      <c r="CR205" s="576"/>
      <c r="CS205" s="576"/>
      <c r="CT205" s="576"/>
      <c r="CU205" s="576"/>
      <c r="CV205" s="576"/>
      <c r="CW205" s="576"/>
      <c r="CX205" s="576"/>
      <c r="CY205" s="576"/>
      <c r="CZ205" s="576"/>
      <c r="DA205" s="576"/>
      <c r="DB205" s="576"/>
      <c r="DC205" s="576"/>
      <c r="DD205" s="576"/>
      <c r="DE205" s="576"/>
      <c r="DF205" s="576"/>
      <c r="DG205" s="576"/>
      <c r="DH205" s="116"/>
      <c r="DI205" s="112"/>
      <c r="DJ205">
        <f ca="1">INDIRECT(ADDRESS(ROW()+1,COLUMN(Arbeitszeit!xDay),,,"Arbeitszeit"))</f>
        <v>1</v>
      </c>
    </row>
    <row r="206" spans="1:114">
      <c r="A206" s="462">
        <f>Arbeitszeit!A207</f>
        <v>45035</v>
      </c>
      <c r="B206" s="463">
        <f t="shared" si="13"/>
        <v>45035</v>
      </c>
      <c r="C206" s="146">
        <f t="shared" si="14"/>
        <v>16</v>
      </c>
      <c r="D206" s="145">
        <f t="shared" si="15"/>
        <v>45016</v>
      </c>
      <c r="E206" s="510">
        <f>Arbeitszeit!V207*24</f>
        <v>0</v>
      </c>
      <c r="F206" s="574">
        <f t="shared" si="12"/>
        <v>0</v>
      </c>
      <c r="G206" s="113">
        <f>IF(Arbeitszeit!F207=Urlaub,B_WorkTime*24,)</f>
        <v>0</v>
      </c>
      <c r="H206" s="111"/>
      <c r="I206" s="113">
        <f>IF(Arbeitszeit!F207=Krank,B_WorkTime*24,)</f>
        <v>0</v>
      </c>
      <c r="J206" s="111"/>
      <c r="K206" s="114"/>
      <c r="L206" s="115"/>
      <c r="M206" s="498"/>
      <c r="N206" s="499"/>
      <c r="O206" s="498"/>
      <c r="P206" s="499"/>
      <c r="Q206" s="498"/>
      <c r="R206" s="499"/>
      <c r="S206" s="498"/>
      <c r="T206" s="499"/>
      <c r="U206" s="498"/>
      <c r="V206" s="499"/>
      <c r="W206" s="498"/>
      <c r="X206" s="499"/>
      <c r="Y206" s="498"/>
      <c r="Z206" s="499"/>
      <c r="AA206" s="498"/>
      <c r="AB206" s="499"/>
      <c r="AC206" s="498"/>
      <c r="AD206" s="499"/>
      <c r="AE206" s="498"/>
      <c r="AF206" s="500"/>
      <c r="AG206" s="498"/>
      <c r="AH206" s="500"/>
      <c r="AI206" s="498"/>
      <c r="AJ206" s="500"/>
      <c r="AK206" s="498"/>
      <c r="AL206" s="500"/>
      <c r="AM206" s="501"/>
      <c r="AN206" s="500"/>
      <c r="AO206" s="498"/>
      <c r="AP206" s="500"/>
      <c r="AQ206" s="501"/>
      <c r="AR206" s="500"/>
      <c r="AS206" s="500"/>
      <c r="AT206" s="500"/>
      <c r="AU206" s="501"/>
      <c r="AV206" s="500"/>
      <c r="AW206" s="500"/>
      <c r="AX206" s="500"/>
      <c r="AY206" s="576"/>
      <c r="AZ206" s="576"/>
      <c r="BA206" s="576"/>
      <c r="BB206" s="576"/>
      <c r="BC206" s="576"/>
      <c r="BD206" s="576"/>
      <c r="BE206" s="576"/>
      <c r="BF206" s="576"/>
      <c r="BG206" s="576"/>
      <c r="BH206" s="576"/>
      <c r="BI206" s="576"/>
      <c r="BJ206" s="576"/>
      <c r="BK206" s="576"/>
      <c r="BL206" s="576"/>
      <c r="BM206" s="576"/>
      <c r="BN206" s="576"/>
      <c r="BO206" s="576"/>
      <c r="BP206" s="576"/>
      <c r="BQ206" s="576"/>
      <c r="BR206" s="576"/>
      <c r="BS206" s="576"/>
      <c r="BT206" s="576"/>
      <c r="BU206" s="576"/>
      <c r="BV206" s="576"/>
      <c r="BW206" s="576"/>
      <c r="BX206" s="576"/>
      <c r="BY206" s="576"/>
      <c r="BZ206" s="576"/>
      <c r="CA206" s="576"/>
      <c r="CB206" s="576"/>
      <c r="CC206" s="576"/>
      <c r="CD206" s="576"/>
      <c r="CE206" s="576"/>
      <c r="CF206" s="576"/>
      <c r="CG206" s="576"/>
      <c r="CH206" s="576"/>
      <c r="CI206" s="576"/>
      <c r="CJ206" s="576"/>
      <c r="CK206" s="576"/>
      <c r="CL206" s="576"/>
      <c r="CM206" s="576"/>
      <c r="CN206" s="576"/>
      <c r="CO206" s="576"/>
      <c r="CP206" s="576"/>
      <c r="CQ206" s="576"/>
      <c r="CR206" s="576"/>
      <c r="CS206" s="576"/>
      <c r="CT206" s="576"/>
      <c r="CU206" s="576"/>
      <c r="CV206" s="576"/>
      <c r="CW206" s="576"/>
      <c r="CX206" s="576"/>
      <c r="CY206" s="576"/>
      <c r="CZ206" s="576"/>
      <c r="DA206" s="576"/>
      <c r="DB206" s="576"/>
      <c r="DC206" s="576"/>
      <c r="DD206" s="576"/>
      <c r="DE206" s="576"/>
      <c r="DF206" s="576"/>
      <c r="DG206" s="576"/>
      <c r="DH206" s="116"/>
      <c r="DI206" s="112"/>
      <c r="DJ206">
        <f ca="1">INDIRECT(ADDRESS(ROW()+1,COLUMN(Arbeitszeit!xDay),,,"Arbeitszeit"))</f>
        <v>2</v>
      </c>
    </row>
    <row r="207" spans="1:114">
      <c r="A207" s="462">
        <f>Arbeitszeit!A208</f>
        <v>45036</v>
      </c>
      <c r="B207" s="463">
        <f t="shared" si="13"/>
        <v>45036</v>
      </c>
      <c r="C207" s="146">
        <f t="shared" si="14"/>
        <v>16</v>
      </c>
      <c r="D207" s="145">
        <f t="shared" si="15"/>
        <v>45016</v>
      </c>
      <c r="E207" s="510">
        <f>Arbeitszeit!V208*24</f>
        <v>0</v>
      </c>
      <c r="F207" s="574">
        <f t="shared" si="12"/>
        <v>0</v>
      </c>
      <c r="G207" s="113">
        <f>IF(Arbeitszeit!F208=Urlaub,B_WorkTime*24,)</f>
        <v>0</v>
      </c>
      <c r="H207" s="111"/>
      <c r="I207" s="113">
        <f>IF(Arbeitszeit!F208=Krank,B_WorkTime*24,)</f>
        <v>0</v>
      </c>
      <c r="J207" s="111"/>
      <c r="K207" s="114"/>
      <c r="L207" s="115"/>
      <c r="M207" s="498"/>
      <c r="N207" s="499"/>
      <c r="O207" s="498"/>
      <c r="P207" s="499"/>
      <c r="Q207" s="498"/>
      <c r="R207" s="499"/>
      <c r="S207" s="498"/>
      <c r="T207" s="499"/>
      <c r="U207" s="498"/>
      <c r="V207" s="499"/>
      <c r="W207" s="498"/>
      <c r="X207" s="499"/>
      <c r="Y207" s="498"/>
      <c r="Z207" s="499"/>
      <c r="AA207" s="498"/>
      <c r="AB207" s="499"/>
      <c r="AC207" s="498"/>
      <c r="AD207" s="499"/>
      <c r="AE207" s="498"/>
      <c r="AF207" s="500"/>
      <c r="AG207" s="498"/>
      <c r="AH207" s="500"/>
      <c r="AI207" s="498"/>
      <c r="AJ207" s="500"/>
      <c r="AK207" s="498"/>
      <c r="AL207" s="500"/>
      <c r="AM207" s="501"/>
      <c r="AN207" s="500"/>
      <c r="AO207" s="498"/>
      <c r="AP207" s="500"/>
      <c r="AQ207" s="501"/>
      <c r="AR207" s="500"/>
      <c r="AS207" s="500"/>
      <c r="AT207" s="500"/>
      <c r="AU207" s="501"/>
      <c r="AV207" s="500"/>
      <c r="AW207" s="500"/>
      <c r="AX207" s="500"/>
      <c r="AY207" s="576"/>
      <c r="AZ207" s="576"/>
      <c r="BA207" s="576"/>
      <c r="BB207" s="576"/>
      <c r="BC207" s="576"/>
      <c r="BD207" s="576"/>
      <c r="BE207" s="576"/>
      <c r="BF207" s="576"/>
      <c r="BG207" s="576"/>
      <c r="BH207" s="576"/>
      <c r="BI207" s="576"/>
      <c r="BJ207" s="576"/>
      <c r="BK207" s="576"/>
      <c r="BL207" s="576"/>
      <c r="BM207" s="576"/>
      <c r="BN207" s="576"/>
      <c r="BO207" s="576"/>
      <c r="BP207" s="576"/>
      <c r="BQ207" s="576"/>
      <c r="BR207" s="576"/>
      <c r="BS207" s="576"/>
      <c r="BT207" s="576"/>
      <c r="BU207" s="576"/>
      <c r="BV207" s="576"/>
      <c r="BW207" s="576"/>
      <c r="BX207" s="576"/>
      <c r="BY207" s="576"/>
      <c r="BZ207" s="576"/>
      <c r="CA207" s="576"/>
      <c r="CB207" s="576"/>
      <c r="CC207" s="576"/>
      <c r="CD207" s="576"/>
      <c r="CE207" s="576"/>
      <c r="CF207" s="576"/>
      <c r="CG207" s="576"/>
      <c r="CH207" s="576"/>
      <c r="CI207" s="576"/>
      <c r="CJ207" s="576"/>
      <c r="CK207" s="576"/>
      <c r="CL207" s="576"/>
      <c r="CM207" s="576"/>
      <c r="CN207" s="576"/>
      <c r="CO207" s="576"/>
      <c r="CP207" s="576"/>
      <c r="CQ207" s="576"/>
      <c r="CR207" s="576"/>
      <c r="CS207" s="576"/>
      <c r="CT207" s="576"/>
      <c r="CU207" s="576"/>
      <c r="CV207" s="576"/>
      <c r="CW207" s="576"/>
      <c r="CX207" s="576"/>
      <c r="CY207" s="576"/>
      <c r="CZ207" s="576"/>
      <c r="DA207" s="576"/>
      <c r="DB207" s="576"/>
      <c r="DC207" s="576"/>
      <c r="DD207" s="576"/>
      <c r="DE207" s="576"/>
      <c r="DF207" s="576"/>
      <c r="DG207" s="576"/>
      <c r="DH207" s="116"/>
      <c r="DI207" s="112"/>
      <c r="DJ207">
        <f ca="1">INDIRECT(ADDRESS(ROW()+1,COLUMN(Arbeitszeit!xDay),,,"Arbeitszeit"))</f>
        <v>3</v>
      </c>
    </row>
    <row r="208" spans="1:114">
      <c r="A208" s="462">
        <f>Arbeitszeit!A209</f>
        <v>45037</v>
      </c>
      <c r="B208" s="463">
        <f t="shared" si="13"/>
        <v>45037</v>
      </c>
      <c r="C208" s="146">
        <f t="shared" si="14"/>
        <v>16</v>
      </c>
      <c r="D208" s="145">
        <f t="shared" si="15"/>
        <v>45016</v>
      </c>
      <c r="E208" s="510">
        <f>Arbeitszeit!V209*24</f>
        <v>0</v>
      </c>
      <c r="F208" s="574">
        <f t="shared" si="12"/>
        <v>0</v>
      </c>
      <c r="G208" s="113">
        <f>IF(Arbeitszeit!F209=Urlaub,B_WorkTime*24,)</f>
        <v>0</v>
      </c>
      <c r="H208" s="111"/>
      <c r="I208" s="113">
        <f>IF(Arbeitszeit!F209=Krank,B_WorkTime*24,)</f>
        <v>0</v>
      </c>
      <c r="J208" s="111"/>
      <c r="K208" s="114"/>
      <c r="L208" s="115"/>
      <c r="M208" s="498"/>
      <c r="N208" s="499"/>
      <c r="O208" s="498"/>
      <c r="P208" s="499"/>
      <c r="Q208" s="498"/>
      <c r="R208" s="499"/>
      <c r="S208" s="498"/>
      <c r="T208" s="499"/>
      <c r="U208" s="498"/>
      <c r="V208" s="499"/>
      <c r="W208" s="498"/>
      <c r="X208" s="499"/>
      <c r="Y208" s="498"/>
      <c r="Z208" s="499"/>
      <c r="AA208" s="498"/>
      <c r="AB208" s="499"/>
      <c r="AC208" s="498"/>
      <c r="AD208" s="499"/>
      <c r="AE208" s="498"/>
      <c r="AF208" s="500"/>
      <c r="AG208" s="498"/>
      <c r="AH208" s="500"/>
      <c r="AI208" s="498"/>
      <c r="AJ208" s="500"/>
      <c r="AK208" s="498"/>
      <c r="AL208" s="500"/>
      <c r="AM208" s="501"/>
      <c r="AN208" s="500"/>
      <c r="AO208" s="498"/>
      <c r="AP208" s="500"/>
      <c r="AQ208" s="501"/>
      <c r="AR208" s="500"/>
      <c r="AS208" s="500"/>
      <c r="AT208" s="500"/>
      <c r="AU208" s="501"/>
      <c r="AV208" s="500"/>
      <c r="AW208" s="500"/>
      <c r="AX208" s="500"/>
      <c r="AY208" s="576"/>
      <c r="AZ208" s="576"/>
      <c r="BA208" s="576"/>
      <c r="BB208" s="576"/>
      <c r="BC208" s="576"/>
      <c r="BD208" s="576"/>
      <c r="BE208" s="576"/>
      <c r="BF208" s="576"/>
      <c r="BG208" s="576"/>
      <c r="BH208" s="576"/>
      <c r="BI208" s="576"/>
      <c r="BJ208" s="576"/>
      <c r="BK208" s="576"/>
      <c r="BL208" s="576"/>
      <c r="BM208" s="576"/>
      <c r="BN208" s="576"/>
      <c r="BO208" s="576"/>
      <c r="BP208" s="576"/>
      <c r="BQ208" s="576"/>
      <c r="BR208" s="576"/>
      <c r="BS208" s="576"/>
      <c r="BT208" s="576"/>
      <c r="BU208" s="576"/>
      <c r="BV208" s="576"/>
      <c r="BW208" s="576"/>
      <c r="BX208" s="576"/>
      <c r="BY208" s="576"/>
      <c r="BZ208" s="576"/>
      <c r="CA208" s="576"/>
      <c r="CB208" s="576"/>
      <c r="CC208" s="576"/>
      <c r="CD208" s="576"/>
      <c r="CE208" s="576"/>
      <c r="CF208" s="576"/>
      <c r="CG208" s="576"/>
      <c r="CH208" s="576"/>
      <c r="CI208" s="576"/>
      <c r="CJ208" s="576"/>
      <c r="CK208" s="576"/>
      <c r="CL208" s="576"/>
      <c r="CM208" s="576"/>
      <c r="CN208" s="576"/>
      <c r="CO208" s="576"/>
      <c r="CP208" s="576"/>
      <c r="CQ208" s="576"/>
      <c r="CR208" s="576"/>
      <c r="CS208" s="576"/>
      <c r="CT208" s="576"/>
      <c r="CU208" s="576"/>
      <c r="CV208" s="576"/>
      <c r="CW208" s="576"/>
      <c r="CX208" s="576"/>
      <c r="CY208" s="576"/>
      <c r="CZ208" s="576"/>
      <c r="DA208" s="576"/>
      <c r="DB208" s="576"/>
      <c r="DC208" s="576"/>
      <c r="DD208" s="576"/>
      <c r="DE208" s="576"/>
      <c r="DF208" s="576"/>
      <c r="DG208" s="576"/>
      <c r="DH208" s="116"/>
      <c r="DI208" s="112"/>
      <c r="DJ208">
        <f ca="1">INDIRECT(ADDRESS(ROW()+1,COLUMN(Arbeitszeit!xDay),,,"Arbeitszeit"))</f>
        <v>4</v>
      </c>
    </row>
    <row r="209" spans="1:114">
      <c r="A209" s="462">
        <f>Arbeitszeit!A210</f>
        <v>45038</v>
      </c>
      <c r="B209" s="463">
        <f t="shared" si="13"/>
        <v>45038</v>
      </c>
      <c r="C209" s="146">
        <f t="shared" si="14"/>
        <v>16</v>
      </c>
      <c r="D209" s="145">
        <f t="shared" si="15"/>
        <v>45016</v>
      </c>
      <c r="E209" s="510">
        <f>Arbeitszeit!V210*24</f>
        <v>0</v>
      </c>
      <c r="F209" s="574">
        <f t="shared" si="12"/>
        <v>0</v>
      </c>
      <c r="G209" s="113">
        <f>IF(Arbeitszeit!F210=Urlaub,B_WorkTime*24,)</f>
        <v>0</v>
      </c>
      <c r="H209" s="111"/>
      <c r="I209" s="113">
        <f>IF(Arbeitszeit!F210=Krank,B_WorkTime*24,)</f>
        <v>0</v>
      </c>
      <c r="J209" s="111"/>
      <c r="K209" s="114"/>
      <c r="L209" s="115"/>
      <c r="M209" s="498"/>
      <c r="N209" s="499"/>
      <c r="O209" s="498"/>
      <c r="P209" s="499"/>
      <c r="Q209" s="498"/>
      <c r="R209" s="499"/>
      <c r="S209" s="498"/>
      <c r="T209" s="499"/>
      <c r="U209" s="498"/>
      <c r="V209" s="499"/>
      <c r="W209" s="498"/>
      <c r="X209" s="499"/>
      <c r="Y209" s="498"/>
      <c r="Z209" s="499"/>
      <c r="AA209" s="498"/>
      <c r="AB209" s="499"/>
      <c r="AC209" s="498"/>
      <c r="AD209" s="499"/>
      <c r="AE209" s="498"/>
      <c r="AF209" s="500"/>
      <c r="AG209" s="498"/>
      <c r="AH209" s="500"/>
      <c r="AI209" s="498"/>
      <c r="AJ209" s="500"/>
      <c r="AK209" s="498"/>
      <c r="AL209" s="500"/>
      <c r="AM209" s="501"/>
      <c r="AN209" s="500"/>
      <c r="AO209" s="498"/>
      <c r="AP209" s="500"/>
      <c r="AQ209" s="501"/>
      <c r="AR209" s="500"/>
      <c r="AS209" s="500"/>
      <c r="AT209" s="500"/>
      <c r="AU209" s="501"/>
      <c r="AV209" s="500"/>
      <c r="AW209" s="500"/>
      <c r="AX209" s="500"/>
      <c r="AY209" s="576"/>
      <c r="AZ209" s="576"/>
      <c r="BA209" s="576"/>
      <c r="BB209" s="576"/>
      <c r="BC209" s="576"/>
      <c r="BD209" s="576"/>
      <c r="BE209" s="576"/>
      <c r="BF209" s="576"/>
      <c r="BG209" s="576"/>
      <c r="BH209" s="576"/>
      <c r="BI209" s="576"/>
      <c r="BJ209" s="576"/>
      <c r="BK209" s="576"/>
      <c r="BL209" s="576"/>
      <c r="BM209" s="576"/>
      <c r="BN209" s="576"/>
      <c r="BO209" s="576"/>
      <c r="BP209" s="576"/>
      <c r="BQ209" s="576"/>
      <c r="BR209" s="576"/>
      <c r="BS209" s="576"/>
      <c r="BT209" s="576"/>
      <c r="BU209" s="576"/>
      <c r="BV209" s="576"/>
      <c r="BW209" s="576"/>
      <c r="BX209" s="576"/>
      <c r="BY209" s="576"/>
      <c r="BZ209" s="576"/>
      <c r="CA209" s="576"/>
      <c r="CB209" s="576"/>
      <c r="CC209" s="576"/>
      <c r="CD209" s="576"/>
      <c r="CE209" s="576"/>
      <c r="CF209" s="576"/>
      <c r="CG209" s="576"/>
      <c r="CH209" s="576"/>
      <c r="CI209" s="576"/>
      <c r="CJ209" s="576"/>
      <c r="CK209" s="576"/>
      <c r="CL209" s="576"/>
      <c r="CM209" s="576"/>
      <c r="CN209" s="576"/>
      <c r="CO209" s="576"/>
      <c r="CP209" s="576"/>
      <c r="CQ209" s="576"/>
      <c r="CR209" s="576"/>
      <c r="CS209" s="576"/>
      <c r="CT209" s="576"/>
      <c r="CU209" s="576"/>
      <c r="CV209" s="576"/>
      <c r="CW209" s="576"/>
      <c r="CX209" s="576"/>
      <c r="CY209" s="576"/>
      <c r="CZ209" s="576"/>
      <c r="DA209" s="576"/>
      <c r="DB209" s="576"/>
      <c r="DC209" s="576"/>
      <c r="DD209" s="576"/>
      <c r="DE209" s="576"/>
      <c r="DF209" s="576"/>
      <c r="DG209" s="576"/>
      <c r="DH209" s="116"/>
      <c r="DI209" s="112"/>
      <c r="DJ209">
        <f ca="1">INDIRECT(ADDRESS(ROW()+1,COLUMN(Arbeitszeit!xDay),,,"Arbeitszeit"))</f>
        <v>5</v>
      </c>
    </row>
    <row r="210" spans="1:114">
      <c r="A210" s="462">
        <f>Arbeitszeit!A211</f>
        <v>45039</v>
      </c>
      <c r="B210" s="463">
        <f t="shared" si="13"/>
        <v>45039</v>
      </c>
      <c r="C210" s="146">
        <f t="shared" si="14"/>
        <v>16</v>
      </c>
      <c r="D210" s="145">
        <f t="shared" si="15"/>
        <v>45016</v>
      </c>
      <c r="E210" s="510">
        <f>Arbeitszeit!V211*24</f>
        <v>0</v>
      </c>
      <c r="F210" s="574">
        <f t="shared" si="12"/>
        <v>0</v>
      </c>
      <c r="G210" s="113">
        <f>IF(Arbeitszeit!F211=Urlaub,B_WorkTime*24,)</f>
        <v>0</v>
      </c>
      <c r="H210" s="111"/>
      <c r="I210" s="113">
        <f>IF(Arbeitszeit!F211=Krank,B_WorkTime*24,)</f>
        <v>0</v>
      </c>
      <c r="J210" s="111"/>
      <c r="K210" s="114"/>
      <c r="L210" s="115"/>
      <c r="M210" s="498"/>
      <c r="N210" s="499"/>
      <c r="O210" s="498"/>
      <c r="P210" s="499"/>
      <c r="Q210" s="498"/>
      <c r="R210" s="499"/>
      <c r="S210" s="498"/>
      <c r="T210" s="499"/>
      <c r="U210" s="498"/>
      <c r="V210" s="499"/>
      <c r="W210" s="498"/>
      <c r="X210" s="499"/>
      <c r="Y210" s="498"/>
      <c r="Z210" s="499"/>
      <c r="AA210" s="498"/>
      <c r="AB210" s="499"/>
      <c r="AC210" s="498"/>
      <c r="AD210" s="499"/>
      <c r="AE210" s="498"/>
      <c r="AF210" s="500"/>
      <c r="AG210" s="498"/>
      <c r="AH210" s="500"/>
      <c r="AI210" s="498"/>
      <c r="AJ210" s="500"/>
      <c r="AK210" s="498"/>
      <c r="AL210" s="500"/>
      <c r="AM210" s="501"/>
      <c r="AN210" s="500"/>
      <c r="AO210" s="498"/>
      <c r="AP210" s="500"/>
      <c r="AQ210" s="501"/>
      <c r="AR210" s="500"/>
      <c r="AS210" s="500"/>
      <c r="AT210" s="500"/>
      <c r="AU210" s="501"/>
      <c r="AV210" s="500"/>
      <c r="AW210" s="500"/>
      <c r="AX210" s="500"/>
      <c r="AY210" s="576"/>
      <c r="AZ210" s="576"/>
      <c r="BA210" s="576"/>
      <c r="BB210" s="576"/>
      <c r="BC210" s="576"/>
      <c r="BD210" s="576"/>
      <c r="BE210" s="576"/>
      <c r="BF210" s="576"/>
      <c r="BG210" s="576"/>
      <c r="BH210" s="576"/>
      <c r="BI210" s="576"/>
      <c r="BJ210" s="576"/>
      <c r="BK210" s="576"/>
      <c r="BL210" s="576"/>
      <c r="BM210" s="576"/>
      <c r="BN210" s="576"/>
      <c r="BO210" s="576"/>
      <c r="BP210" s="576"/>
      <c r="BQ210" s="576"/>
      <c r="BR210" s="576"/>
      <c r="BS210" s="576"/>
      <c r="BT210" s="576"/>
      <c r="BU210" s="576"/>
      <c r="BV210" s="576"/>
      <c r="BW210" s="576"/>
      <c r="BX210" s="576"/>
      <c r="BY210" s="576"/>
      <c r="BZ210" s="576"/>
      <c r="CA210" s="576"/>
      <c r="CB210" s="576"/>
      <c r="CC210" s="576"/>
      <c r="CD210" s="576"/>
      <c r="CE210" s="576"/>
      <c r="CF210" s="576"/>
      <c r="CG210" s="576"/>
      <c r="CH210" s="576"/>
      <c r="CI210" s="576"/>
      <c r="CJ210" s="576"/>
      <c r="CK210" s="576"/>
      <c r="CL210" s="576"/>
      <c r="CM210" s="576"/>
      <c r="CN210" s="576"/>
      <c r="CO210" s="576"/>
      <c r="CP210" s="576"/>
      <c r="CQ210" s="576"/>
      <c r="CR210" s="576"/>
      <c r="CS210" s="576"/>
      <c r="CT210" s="576"/>
      <c r="CU210" s="576"/>
      <c r="CV210" s="576"/>
      <c r="CW210" s="576"/>
      <c r="CX210" s="576"/>
      <c r="CY210" s="576"/>
      <c r="CZ210" s="576"/>
      <c r="DA210" s="576"/>
      <c r="DB210" s="576"/>
      <c r="DC210" s="576"/>
      <c r="DD210" s="576"/>
      <c r="DE210" s="576"/>
      <c r="DF210" s="576"/>
      <c r="DG210" s="576"/>
      <c r="DH210" s="116"/>
      <c r="DI210" s="112"/>
      <c r="DJ210">
        <f ca="1">INDIRECT(ADDRESS(ROW()+1,COLUMN(Arbeitszeit!xDay),,,"Arbeitszeit"))</f>
        <v>6</v>
      </c>
    </row>
    <row r="211" spans="1:114">
      <c r="A211" s="462">
        <f>Arbeitszeit!A212</f>
        <v>45040</v>
      </c>
      <c r="B211" s="463">
        <f t="shared" si="13"/>
        <v>45040</v>
      </c>
      <c r="C211" s="146">
        <f t="shared" si="14"/>
        <v>16</v>
      </c>
      <c r="D211" s="145">
        <f t="shared" si="15"/>
        <v>45016</v>
      </c>
      <c r="E211" s="510">
        <f>Arbeitszeit!V212*24</f>
        <v>0</v>
      </c>
      <c r="F211" s="574">
        <f t="shared" si="12"/>
        <v>0</v>
      </c>
      <c r="G211" s="113">
        <f>IF(Arbeitszeit!F212=Urlaub,B_WorkTime*24,)</f>
        <v>0</v>
      </c>
      <c r="H211" s="111"/>
      <c r="I211" s="113">
        <f>IF(Arbeitszeit!F212=Krank,B_WorkTime*24,)</f>
        <v>0</v>
      </c>
      <c r="J211" s="111"/>
      <c r="K211" s="114"/>
      <c r="L211" s="115"/>
      <c r="M211" s="498"/>
      <c r="N211" s="499"/>
      <c r="O211" s="498"/>
      <c r="P211" s="499"/>
      <c r="Q211" s="498"/>
      <c r="R211" s="499"/>
      <c r="S211" s="498"/>
      <c r="T211" s="499"/>
      <c r="U211" s="498"/>
      <c r="V211" s="499"/>
      <c r="W211" s="498"/>
      <c r="X211" s="499"/>
      <c r="Y211" s="498"/>
      <c r="Z211" s="499"/>
      <c r="AA211" s="498"/>
      <c r="AB211" s="499"/>
      <c r="AC211" s="498"/>
      <c r="AD211" s="499"/>
      <c r="AE211" s="498"/>
      <c r="AF211" s="500"/>
      <c r="AG211" s="498"/>
      <c r="AH211" s="500"/>
      <c r="AI211" s="498"/>
      <c r="AJ211" s="500"/>
      <c r="AK211" s="498"/>
      <c r="AL211" s="500"/>
      <c r="AM211" s="501"/>
      <c r="AN211" s="500"/>
      <c r="AO211" s="498"/>
      <c r="AP211" s="500"/>
      <c r="AQ211" s="501"/>
      <c r="AR211" s="500"/>
      <c r="AS211" s="500"/>
      <c r="AT211" s="500"/>
      <c r="AU211" s="501"/>
      <c r="AV211" s="500"/>
      <c r="AW211" s="500"/>
      <c r="AX211" s="500"/>
      <c r="AY211" s="576"/>
      <c r="AZ211" s="576"/>
      <c r="BA211" s="576"/>
      <c r="BB211" s="576"/>
      <c r="BC211" s="576"/>
      <c r="BD211" s="576"/>
      <c r="BE211" s="576"/>
      <c r="BF211" s="576"/>
      <c r="BG211" s="576"/>
      <c r="BH211" s="576"/>
      <c r="BI211" s="576"/>
      <c r="BJ211" s="576"/>
      <c r="BK211" s="576"/>
      <c r="BL211" s="576"/>
      <c r="BM211" s="576"/>
      <c r="BN211" s="576"/>
      <c r="BO211" s="576"/>
      <c r="BP211" s="576"/>
      <c r="BQ211" s="576"/>
      <c r="BR211" s="576"/>
      <c r="BS211" s="576"/>
      <c r="BT211" s="576"/>
      <c r="BU211" s="576"/>
      <c r="BV211" s="576"/>
      <c r="BW211" s="576"/>
      <c r="BX211" s="576"/>
      <c r="BY211" s="576"/>
      <c r="BZ211" s="576"/>
      <c r="CA211" s="576"/>
      <c r="CB211" s="576"/>
      <c r="CC211" s="576"/>
      <c r="CD211" s="576"/>
      <c r="CE211" s="576"/>
      <c r="CF211" s="576"/>
      <c r="CG211" s="576"/>
      <c r="CH211" s="576"/>
      <c r="CI211" s="576"/>
      <c r="CJ211" s="576"/>
      <c r="CK211" s="576"/>
      <c r="CL211" s="576"/>
      <c r="CM211" s="576"/>
      <c r="CN211" s="576"/>
      <c r="CO211" s="576"/>
      <c r="CP211" s="576"/>
      <c r="CQ211" s="576"/>
      <c r="CR211" s="576"/>
      <c r="CS211" s="576"/>
      <c r="CT211" s="576"/>
      <c r="CU211" s="576"/>
      <c r="CV211" s="576"/>
      <c r="CW211" s="576"/>
      <c r="CX211" s="576"/>
      <c r="CY211" s="576"/>
      <c r="CZ211" s="576"/>
      <c r="DA211" s="576"/>
      <c r="DB211" s="576"/>
      <c r="DC211" s="576"/>
      <c r="DD211" s="576"/>
      <c r="DE211" s="576"/>
      <c r="DF211" s="576"/>
      <c r="DG211" s="576"/>
      <c r="DH211" s="116"/>
      <c r="DI211" s="112"/>
      <c r="DJ211">
        <f ca="1">INDIRECT(ADDRESS(ROW()+1,COLUMN(Arbeitszeit!xDay),,,"Arbeitszeit"))</f>
        <v>7</v>
      </c>
    </row>
    <row r="212" spans="1:114">
      <c r="A212" s="462">
        <f>Arbeitszeit!A213</f>
        <v>45041</v>
      </c>
      <c r="B212" s="463">
        <f t="shared" si="13"/>
        <v>45041</v>
      </c>
      <c r="C212" s="146">
        <f t="shared" si="14"/>
        <v>17</v>
      </c>
      <c r="D212" s="145">
        <f t="shared" si="15"/>
        <v>45016</v>
      </c>
      <c r="E212" s="510">
        <f>Arbeitszeit!V213*24</f>
        <v>0</v>
      </c>
      <c r="F212" s="574">
        <f t="shared" si="12"/>
        <v>0</v>
      </c>
      <c r="G212" s="113">
        <f>IF(Arbeitszeit!F213=Urlaub,B_WorkTime*24,)</f>
        <v>0</v>
      </c>
      <c r="H212" s="111"/>
      <c r="I212" s="113">
        <f>IF(Arbeitszeit!F213=Krank,B_WorkTime*24,)</f>
        <v>0</v>
      </c>
      <c r="J212" s="111"/>
      <c r="K212" s="114"/>
      <c r="L212" s="115"/>
      <c r="M212" s="498"/>
      <c r="N212" s="499"/>
      <c r="O212" s="498"/>
      <c r="P212" s="499"/>
      <c r="Q212" s="498"/>
      <c r="R212" s="499"/>
      <c r="S212" s="498"/>
      <c r="T212" s="499"/>
      <c r="U212" s="498"/>
      <c r="V212" s="499"/>
      <c r="W212" s="498"/>
      <c r="X212" s="499"/>
      <c r="Y212" s="498"/>
      <c r="Z212" s="499"/>
      <c r="AA212" s="498"/>
      <c r="AB212" s="499"/>
      <c r="AC212" s="498"/>
      <c r="AD212" s="499"/>
      <c r="AE212" s="498"/>
      <c r="AF212" s="500"/>
      <c r="AG212" s="498"/>
      <c r="AH212" s="500"/>
      <c r="AI212" s="498"/>
      <c r="AJ212" s="500"/>
      <c r="AK212" s="498"/>
      <c r="AL212" s="500"/>
      <c r="AM212" s="501"/>
      <c r="AN212" s="500"/>
      <c r="AO212" s="498"/>
      <c r="AP212" s="500"/>
      <c r="AQ212" s="501"/>
      <c r="AR212" s="500"/>
      <c r="AS212" s="500"/>
      <c r="AT212" s="500"/>
      <c r="AU212" s="501"/>
      <c r="AV212" s="500"/>
      <c r="AW212" s="500"/>
      <c r="AX212" s="500"/>
      <c r="AY212" s="576"/>
      <c r="AZ212" s="576"/>
      <c r="BA212" s="576"/>
      <c r="BB212" s="576"/>
      <c r="BC212" s="576"/>
      <c r="BD212" s="576"/>
      <c r="BE212" s="576"/>
      <c r="BF212" s="576"/>
      <c r="BG212" s="576"/>
      <c r="BH212" s="576"/>
      <c r="BI212" s="576"/>
      <c r="BJ212" s="576"/>
      <c r="BK212" s="576"/>
      <c r="BL212" s="576"/>
      <c r="BM212" s="576"/>
      <c r="BN212" s="576"/>
      <c r="BO212" s="576"/>
      <c r="BP212" s="576"/>
      <c r="BQ212" s="576"/>
      <c r="BR212" s="576"/>
      <c r="BS212" s="576"/>
      <c r="BT212" s="576"/>
      <c r="BU212" s="576"/>
      <c r="BV212" s="576"/>
      <c r="BW212" s="576"/>
      <c r="BX212" s="576"/>
      <c r="BY212" s="576"/>
      <c r="BZ212" s="576"/>
      <c r="CA212" s="576"/>
      <c r="CB212" s="576"/>
      <c r="CC212" s="576"/>
      <c r="CD212" s="576"/>
      <c r="CE212" s="576"/>
      <c r="CF212" s="576"/>
      <c r="CG212" s="576"/>
      <c r="CH212" s="576"/>
      <c r="CI212" s="576"/>
      <c r="CJ212" s="576"/>
      <c r="CK212" s="576"/>
      <c r="CL212" s="576"/>
      <c r="CM212" s="576"/>
      <c r="CN212" s="576"/>
      <c r="CO212" s="576"/>
      <c r="CP212" s="576"/>
      <c r="CQ212" s="576"/>
      <c r="CR212" s="576"/>
      <c r="CS212" s="576"/>
      <c r="CT212" s="576"/>
      <c r="CU212" s="576"/>
      <c r="CV212" s="576"/>
      <c r="CW212" s="576"/>
      <c r="CX212" s="576"/>
      <c r="CY212" s="576"/>
      <c r="CZ212" s="576"/>
      <c r="DA212" s="576"/>
      <c r="DB212" s="576"/>
      <c r="DC212" s="576"/>
      <c r="DD212" s="576"/>
      <c r="DE212" s="576"/>
      <c r="DF212" s="576"/>
      <c r="DG212" s="576"/>
      <c r="DH212" s="116"/>
      <c r="DI212" s="112"/>
      <c r="DJ212">
        <f ca="1">INDIRECT(ADDRESS(ROW()+1,COLUMN(Arbeitszeit!xDay),,,"Arbeitszeit"))</f>
        <v>1</v>
      </c>
    </row>
    <row r="213" spans="1:114">
      <c r="A213" s="462">
        <f>Arbeitszeit!A214</f>
        <v>45042</v>
      </c>
      <c r="B213" s="463">
        <f t="shared" si="13"/>
        <v>45042</v>
      </c>
      <c r="C213" s="146">
        <f t="shared" si="14"/>
        <v>17</v>
      </c>
      <c r="D213" s="145">
        <f t="shared" si="15"/>
        <v>45016</v>
      </c>
      <c r="E213" s="510">
        <f>Arbeitszeit!V214*24</f>
        <v>0</v>
      </c>
      <c r="F213" s="574">
        <f t="shared" si="12"/>
        <v>0</v>
      </c>
      <c r="G213" s="113">
        <f>IF(Arbeitszeit!F214=Urlaub,B_WorkTime*24,)</f>
        <v>0</v>
      </c>
      <c r="H213" s="111"/>
      <c r="I213" s="113">
        <f>IF(Arbeitszeit!F214=Krank,B_WorkTime*24,)</f>
        <v>0</v>
      </c>
      <c r="J213" s="111"/>
      <c r="K213" s="114"/>
      <c r="L213" s="115"/>
      <c r="M213" s="498"/>
      <c r="N213" s="499"/>
      <c r="O213" s="498"/>
      <c r="P213" s="499"/>
      <c r="Q213" s="498"/>
      <c r="R213" s="499"/>
      <c r="S213" s="498"/>
      <c r="T213" s="499"/>
      <c r="U213" s="498"/>
      <c r="V213" s="499"/>
      <c r="W213" s="498"/>
      <c r="X213" s="499"/>
      <c r="Y213" s="498"/>
      <c r="Z213" s="499"/>
      <c r="AA213" s="498"/>
      <c r="AB213" s="499"/>
      <c r="AC213" s="498"/>
      <c r="AD213" s="499"/>
      <c r="AE213" s="498"/>
      <c r="AF213" s="500"/>
      <c r="AG213" s="498"/>
      <c r="AH213" s="500"/>
      <c r="AI213" s="498"/>
      <c r="AJ213" s="500"/>
      <c r="AK213" s="498"/>
      <c r="AL213" s="500"/>
      <c r="AM213" s="501"/>
      <c r="AN213" s="500"/>
      <c r="AO213" s="498"/>
      <c r="AP213" s="500"/>
      <c r="AQ213" s="501"/>
      <c r="AR213" s="500"/>
      <c r="AS213" s="500"/>
      <c r="AT213" s="500"/>
      <c r="AU213" s="501"/>
      <c r="AV213" s="500"/>
      <c r="AW213" s="500"/>
      <c r="AX213" s="500"/>
      <c r="AY213" s="576"/>
      <c r="AZ213" s="576"/>
      <c r="BA213" s="576"/>
      <c r="BB213" s="576"/>
      <c r="BC213" s="576"/>
      <c r="BD213" s="576"/>
      <c r="BE213" s="576"/>
      <c r="BF213" s="576"/>
      <c r="BG213" s="576"/>
      <c r="BH213" s="576"/>
      <c r="BI213" s="576"/>
      <c r="BJ213" s="576"/>
      <c r="BK213" s="576"/>
      <c r="BL213" s="576"/>
      <c r="BM213" s="576"/>
      <c r="BN213" s="576"/>
      <c r="BO213" s="576"/>
      <c r="BP213" s="576"/>
      <c r="BQ213" s="576"/>
      <c r="BR213" s="576"/>
      <c r="BS213" s="576"/>
      <c r="BT213" s="576"/>
      <c r="BU213" s="576"/>
      <c r="BV213" s="576"/>
      <c r="BW213" s="576"/>
      <c r="BX213" s="576"/>
      <c r="BY213" s="576"/>
      <c r="BZ213" s="576"/>
      <c r="CA213" s="576"/>
      <c r="CB213" s="576"/>
      <c r="CC213" s="576"/>
      <c r="CD213" s="576"/>
      <c r="CE213" s="576"/>
      <c r="CF213" s="576"/>
      <c r="CG213" s="576"/>
      <c r="CH213" s="576"/>
      <c r="CI213" s="576"/>
      <c r="CJ213" s="576"/>
      <c r="CK213" s="576"/>
      <c r="CL213" s="576"/>
      <c r="CM213" s="576"/>
      <c r="CN213" s="576"/>
      <c r="CO213" s="576"/>
      <c r="CP213" s="576"/>
      <c r="CQ213" s="576"/>
      <c r="CR213" s="576"/>
      <c r="CS213" s="576"/>
      <c r="CT213" s="576"/>
      <c r="CU213" s="576"/>
      <c r="CV213" s="576"/>
      <c r="CW213" s="576"/>
      <c r="CX213" s="576"/>
      <c r="CY213" s="576"/>
      <c r="CZ213" s="576"/>
      <c r="DA213" s="576"/>
      <c r="DB213" s="576"/>
      <c r="DC213" s="576"/>
      <c r="DD213" s="576"/>
      <c r="DE213" s="576"/>
      <c r="DF213" s="576"/>
      <c r="DG213" s="576"/>
      <c r="DH213" s="116"/>
      <c r="DI213" s="112"/>
      <c r="DJ213">
        <f ca="1">INDIRECT(ADDRESS(ROW()+1,COLUMN(Arbeitszeit!xDay),,,"Arbeitszeit"))</f>
        <v>2</v>
      </c>
    </row>
    <row r="214" spans="1:114">
      <c r="A214" s="462">
        <f>Arbeitszeit!A215</f>
        <v>45043</v>
      </c>
      <c r="B214" s="463">
        <f t="shared" si="13"/>
        <v>45043</v>
      </c>
      <c r="C214" s="146">
        <f t="shared" si="14"/>
        <v>17</v>
      </c>
      <c r="D214" s="145">
        <f t="shared" si="15"/>
        <v>45016</v>
      </c>
      <c r="E214" s="510">
        <f>Arbeitszeit!V215*24</f>
        <v>0</v>
      </c>
      <c r="F214" s="574">
        <f t="shared" si="12"/>
        <v>0</v>
      </c>
      <c r="G214" s="113">
        <f>IF(Arbeitszeit!F215=Urlaub,B_WorkTime*24,)</f>
        <v>0</v>
      </c>
      <c r="H214" s="111"/>
      <c r="I214" s="113">
        <f>IF(Arbeitszeit!F215=Krank,B_WorkTime*24,)</f>
        <v>0</v>
      </c>
      <c r="J214" s="111"/>
      <c r="K214" s="114"/>
      <c r="L214" s="115"/>
      <c r="M214" s="498"/>
      <c r="N214" s="499"/>
      <c r="O214" s="498"/>
      <c r="P214" s="499"/>
      <c r="Q214" s="498"/>
      <c r="R214" s="499"/>
      <c r="S214" s="498"/>
      <c r="T214" s="499"/>
      <c r="U214" s="498"/>
      <c r="V214" s="499"/>
      <c r="W214" s="498"/>
      <c r="X214" s="499"/>
      <c r="Y214" s="498"/>
      <c r="Z214" s="499"/>
      <c r="AA214" s="498"/>
      <c r="AB214" s="499"/>
      <c r="AC214" s="498"/>
      <c r="AD214" s="499"/>
      <c r="AE214" s="498"/>
      <c r="AF214" s="500"/>
      <c r="AG214" s="498"/>
      <c r="AH214" s="500"/>
      <c r="AI214" s="498"/>
      <c r="AJ214" s="500"/>
      <c r="AK214" s="498"/>
      <c r="AL214" s="500"/>
      <c r="AM214" s="501"/>
      <c r="AN214" s="500"/>
      <c r="AO214" s="498"/>
      <c r="AP214" s="500"/>
      <c r="AQ214" s="501"/>
      <c r="AR214" s="500"/>
      <c r="AS214" s="500"/>
      <c r="AT214" s="500"/>
      <c r="AU214" s="501"/>
      <c r="AV214" s="500"/>
      <c r="AW214" s="500"/>
      <c r="AX214" s="500"/>
      <c r="AY214" s="576"/>
      <c r="AZ214" s="576"/>
      <c r="BA214" s="576"/>
      <c r="BB214" s="576"/>
      <c r="BC214" s="576"/>
      <c r="BD214" s="576"/>
      <c r="BE214" s="576"/>
      <c r="BF214" s="576"/>
      <c r="BG214" s="576"/>
      <c r="BH214" s="576"/>
      <c r="BI214" s="576"/>
      <c r="BJ214" s="576"/>
      <c r="BK214" s="576"/>
      <c r="BL214" s="576"/>
      <c r="BM214" s="576"/>
      <c r="BN214" s="576"/>
      <c r="BO214" s="576"/>
      <c r="BP214" s="576"/>
      <c r="BQ214" s="576"/>
      <c r="BR214" s="576"/>
      <c r="BS214" s="576"/>
      <c r="BT214" s="576"/>
      <c r="BU214" s="576"/>
      <c r="BV214" s="576"/>
      <c r="BW214" s="576"/>
      <c r="BX214" s="576"/>
      <c r="BY214" s="576"/>
      <c r="BZ214" s="576"/>
      <c r="CA214" s="576"/>
      <c r="CB214" s="576"/>
      <c r="CC214" s="576"/>
      <c r="CD214" s="576"/>
      <c r="CE214" s="576"/>
      <c r="CF214" s="576"/>
      <c r="CG214" s="576"/>
      <c r="CH214" s="576"/>
      <c r="CI214" s="576"/>
      <c r="CJ214" s="576"/>
      <c r="CK214" s="576"/>
      <c r="CL214" s="576"/>
      <c r="CM214" s="576"/>
      <c r="CN214" s="576"/>
      <c r="CO214" s="576"/>
      <c r="CP214" s="576"/>
      <c r="CQ214" s="576"/>
      <c r="CR214" s="576"/>
      <c r="CS214" s="576"/>
      <c r="CT214" s="576"/>
      <c r="CU214" s="576"/>
      <c r="CV214" s="576"/>
      <c r="CW214" s="576"/>
      <c r="CX214" s="576"/>
      <c r="CY214" s="576"/>
      <c r="CZ214" s="576"/>
      <c r="DA214" s="576"/>
      <c r="DB214" s="576"/>
      <c r="DC214" s="576"/>
      <c r="DD214" s="576"/>
      <c r="DE214" s="576"/>
      <c r="DF214" s="576"/>
      <c r="DG214" s="576"/>
      <c r="DH214" s="116"/>
      <c r="DI214" s="112"/>
      <c r="DJ214">
        <f ca="1">INDIRECT(ADDRESS(ROW()+1,COLUMN(Arbeitszeit!xDay),,,"Arbeitszeit"))</f>
        <v>3</v>
      </c>
    </row>
    <row r="215" spans="1:114">
      <c r="A215" s="462">
        <f>Arbeitszeit!A216</f>
        <v>45044</v>
      </c>
      <c r="B215" s="463">
        <f t="shared" si="13"/>
        <v>45044</v>
      </c>
      <c r="C215" s="146">
        <f t="shared" si="14"/>
        <v>17</v>
      </c>
      <c r="D215" s="145">
        <f t="shared" si="15"/>
        <v>45016</v>
      </c>
      <c r="E215" s="510">
        <f>Arbeitszeit!V216*24</f>
        <v>0</v>
      </c>
      <c r="F215" s="574">
        <f t="shared" si="12"/>
        <v>0</v>
      </c>
      <c r="G215" s="113">
        <f>IF(Arbeitszeit!F216=Urlaub,B_WorkTime*24,)</f>
        <v>0</v>
      </c>
      <c r="H215" s="111"/>
      <c r="I215" s="113">
        <f>IF(Arbeitszeit!F216=Krank,B_WorkTime*24,)</f>
        <v>0</v>
      </c>
      <c r="J215" s="111"/>
      <c r="K215" s="114"/>
      <c r="L215" s="115"/>
      <c r="M215" s="498"/>
      <c r="N215" s="499"/>
      <c r="O215" s="498"/>
      <c r="P215" s="499"/>
      <c r="Q215" s="498"/>
      <c r="R215" s="499"/>
      <c r="S215" s="498"/>
      <c r="T215" s="499"/>
      <c r="U215" s="498"/>
      <c r="V215" s="499"/>
      <c r="W215" s="498"/>
      <c r="X215" s="499"/>
      <c r="Y215" s="498"/>
      <c r="Z215" s="499"/>
      <c r="AA215" s="498"/>
      <c r="AB215" s="499"/>
      <c r="AC215" s="498"/>
      <c r="AD215" s="499"/>
      <c r="AE215" s="498"/>
      <c r="AF215" s="500"/>
      <c r="AG215" s="498"/>
      <c r="AH215" s="500"/>
      <c r="AI215" s="498"/>
      <c r="AJ215" s="500"/>
      <c r="AK215" s="498"/>
      <c r="AL215" s="500"/>
      <c r="AM215" s="501"/>
      <c r="AN215" s="500"/>
      <c r="AO215" s="498"/>
      <c r="AP215" s="500"/>
      <c r="AQ215" s="501"/>
      <c r="AR215" s="500"/>
      <c r="AS215" s="500"/>
      <c r="AT215" s="500"/>
      <c r="AU215" s="501"/>
      <c r="AV215" s="500"/>
      <c r="AW215" s="500"/>
      <c r="AX215" s="500"/>
      <c r="AY215" s="576"/>
      <c r="AZ215" s="576"/>
      <c r="BA215" s="576"/>
      <c r="BB215" s="576"/>
      <c r="BC215" s="576"/>
      <c r="BD215" s="576"/>
      <c r="BE215" s="576"/>
      <c r="BF215" s="576"/>
      <c r="BG215" s="576"/>
      <c r="BH215" s="576"/>
      <c r="BI215" s="576"/>
      <c r="BJ215" s="576"/>
      <c r="BK215" s="576"/>
      <c r="BL215" s="576"/>
      <c r="BM215" s="576"/>
      <c r="BN215" s="576"/>
      <c r="BO215" s="576"/>
      <c r="BP215" s="576"/>
      <c r="BQ215" s="576"/>
      <c r="BR215" s="576"/>
      <c r="BS215" s="576"/>
      <c r="BT215" s="576"/>
      <c r="BU215" s="576"/>
      <c r="BV215" s="576"/>
      <c r="BW215" s="576"/>
      <c r="BX215" s="576"/>
      <c r="BY215" s="576"/>
      <c r="BZ215" s="576"/>
      <c r="CA215" s="576"/>
      <c r="CB215" s="576"/>
      <c r="CC215" s="576"/>
      <c r="CD215" s="576"/>
      <c r="CE215" s="576"/>
      <c r="CF215" s="576"/>
      <c r="CG215" s="576"/>
      <c r="CH215" s="576"/>
      <c r="CI215" s="576"/>
      <c r="CJ215" s="576"/>
      <c r="CK215" s="576"/>
      <c r="CL215" s="576"/>
      <c r="CM215" s="576"/>
      <c r="CN215" s="576"/>
      <c r="CO215" s="576"/>
      <c r="CP215" s="576"/>
      <c r="CQ215" s="576"/>
      <c r="CR215" s="576"/>
      <c r="CS215" s="576"/>
      <c r="CT215" s="576"/>
      <c r="CU215" s="576"/>
      <c r="CV215" s="576"/>
      <c r="CW215" s="576"/>
      <c r="CX215" s="576"/>
      <c r="CY215" s="576"/>
      <c r="CZ215" s="576"/>
      <c r="DA215" s="576"/>
      <c r="DB215" s="576"/>
      <c r="DC215" s="576"/>
      <c r="DD215" s="576"/>
      <c r="DE215" s="576"/>
      <c r="DF215" s="576"/>
      <c r="DG215" s="576"/>
      <c r="DH215" s="116"/>
      <c r="DI215" s="112"/>
      <c r="DJ215">
        <f ca="1">INDIRECT(ADDRESS(ROW()+1,COLUMN(Arbeitszeit!xDay),,,"Arbeitszeit"))</f>
        <v>4</v>
      </c>
    </row>
    <row r="216" spans="1:114">
      <c r="A216" s="462">
        <f>Arbeitszeit!A217</f>
        <v>45045</v>
      </c>
      <c r="B216" s="463">
        <f t="shared" si="13"/>
        <v>45045</v>
      </c>
      <c r="C216" s="146">
        <f t="shared" si="14"/>
        <v>17</v>
      </c>
      <c r="D216" s="145">
        <f t="shared" si="15"/>
        <v>45016</v>
      </c>
      <c r="E216" s="510">
        <f>Arbeitszeit!V217*24</f>
        <v>0</v>
      </c>
      <c r="F216" s="574">
        <f t="shared" si="12"/>
        <v>0</v>
      </c>
      <c r="G216" s="113">
        <f>IF(Arbeitszeit!F217=Urlaub,B_WorkTime*24,)</f>
        <v>0</v>
      </c>
      <c r="H216" s="111"/>
      <c r="I216" s="113">
        <f>IF(Arbeitszeit!F217=Krank,B_WorkTime*24,)</f>
        <v>0</v>
      </c>
      <c r="J216" s="111"/>
      <c r="K216" s="114"/>
      <c r="L216" s="115"/>
      <c r="M216" s="498"/>
      <c r="N216" s="499"/>
      <c r="O216" s="498"/>
      <c r="P216" s="499"/>
      <c r="Q216" s="498"/>
      <c r="R216" s="499"/>
      <c r="S216" s="498"/>
      <c r="T216" s="499"/>
      <c r="U216" s="498"/>
      <c r="V216" s="499"/>
      <c r="W216" s="498"/>
      <c r="X216" s="499"/>
      <c r="Y216" s="498"/>
      <c r="Z216" s="499"/>
      <c r="AA216" s="498"/>
      <c r="AB216" s="499"/>
      <c r="AC216" s="498"/>
      <c r="AD216" s="499"/>
      <c r="AE216" s="498"/>
      <c r="AF216" s="500"/>
      <c r="AG216" s="498"/>
      <c r="AH216" s="500"/>
      <c r="AI216" s="498"/>
      <c r="AJ216" s="500"/>
      <c r="AK216" s="498"/>
      <c r="AL216" s="500"/>
      <c r="AM216" s="501"/>
      <c r="AN216" s="500"/>
      <c r="AO216" s="498"/>
      <c r="AP216" s="500"/>
      <c r="AQ216" s="501"/>
      <c r="AR216" s="500"/>
      <c r="AS216" s="500"/>
      <c r="AT216" s="500"/>
      <c r="AU216" s="501"/>
      <c r="AV216" s="500"/>
      <c r="AW216" s="500"/>
      <c r="AX216" s="500"/>
      <c r="AY216" s="576"/>
      <c r="AZ216" s="576"/>
      <c r="BA216" s="576"/>
      <c r="BB216" s="576"/>
      <c r="BC216" s="576"/>
      <c r="BD216" s="576"/>
      <c r="BE216" s="576"/>
      <c r="BF216" s="576"/>
      <c r="BG216" s="576"/>
      <c r="BH216" s="576"/>
      <c r="BI216" s="576"/>
      <c r="BJ216" s="576"/>
      <c r="BK216" s="576"/>
      <c r="BL216" s="576"/>
      <c r="BM216" s="576"/>
      <c r="BN216" s="576"/>
      <c r="BO216" s="576"/>
      <c r="BP216" s="576"/>
      <c r="BQ216" s="576"/>
      <c r="BR216" s="576"/>
      <c r="BS216" s="576"/>
      <c r="BT216" s="576"/>
      <c r="BU216" s="576"/>
      <c r="BV216" s="576"/>
      <c r="BW216" s="576"/>
      <c r="BX216" s="576"/>
      <c r="BY216" s="576"/>
      <c r="BZ216" s="576"/>
      <c r="CA216" s="576"/>
      <c r="CB216" s="576"/>
      <c r="CC216" s="576"/>
      <c r="CD216" s="576"/>
      <c r="CE216" s="576"/>
      <c r="CF216" s="576"/>
      <c r="CG216" s="576"/>
      <c r="CH216" s="576"/>
      <c r="CI216" s="576"/>
      <c r="CJ216" s="576"/>
      <c r="CK216" s="576"/>
      <c r="CL216" s="576"/>
      <c r="CM216" s="576"/>
      <c r="CN216" s="576"/>
      <c r="CO216" s="576"/>
      <c r="CP216" s="576"/>
      <c r="CQ216" s="576"/>
      <c r="CR216" s="576"/>
      <c r="CS216" s="576"/>
      <c r="CT216" s="576"/>
      <c r="CU216" s="576"/>
      <c r="CV216" s="576"/>
      <c r="CW216" s="576"/>
      <c r="CX216" s="576"/>
      <c r="CY216" s="576"/>
      <c r="CZ216" s="576"/>
      <c r="DA216" s="576"/>
      <c r="DB216" s="576"/>
      <c r="DC216" s="576"/>
      <c r="DD216" s="576"/>
      <c r="DE216" s="576"/>
      <c r="DF216" s="576"/>
      <c r="DG216" s="576"/>
      <c r="DH216" s="116"/>
      <c r="DI216" s="112"/>
      <c r="DJ216">
        <f ca="1">INDIRECT(ADDRESS(ROW()+1,COLUMN(Arbeitszeit!xDay),,,"Arbeitszeit"))</f>
        <v>5</v>
      </c>
    </row>
    <row r="217" spans="1:114">
      <c r="A217" s="462">
        <f>Arbeitszeit!A218</f>
        <v>45046</v>
      </c>
      <c r="B217" s="463">
        <f t="shared" si="13"/>
        <v>45046</v>
      </c>
      <c r="C217" s="146">
        <f t="shared" si="14"/>
        <v>17</v>
      </c>
      <c r="D217" s="145">
        <f t="shared" si="15"/>
        <v>45046</v>
      </c>
      <c r="E217" s="510">
        <f>Arbeitszeit!V218*24</f>
        <v>0</v>
      </c>
      <c r="F217" s="574">
        <f t="shared" si="12"/>
        <v>0</v>
      </c>
      <c r="G217" s="113">
        <f>IF(Arbeitszeit!F218=Urlaub,B_WorkTime*24,)</f>
        <v>0</v>
      </c>
      <c r="H217" s="111"/>
      <c r="I217" s="113">
        <f>IF(Arbeitszeit!F218=Krank,B_WorkTime*24,)</f>
        <v>0</v>
      </c>
      <c r="J217" s="111"/>
      <c r="K217" s="114"/>
      <c r="L217" s="115"/>
      <c r="M217" s="498"/>
      <c r="N217" s="499"/>
      <c r="O217" s="498"/>
      <c r="P217" s="499"/>
      <c r="Q217" s="498"/>
      <c r="R217" s="499"/>
      <c r="S217" s="498"/>
      <c r="T217" s="499"/>
      <c r="U217" s="498"/>
      <c r="V217" s="499"/>
      <c r="W217" s="498"/>
      <c r="X217" s="499"/>
      <c r="Y217" s="498"/>
      <c r="Z217" s="499"/>
      <c r="AA217" s="498"/>
      <c r="AB217" s="499"/>
      <c r="AC217" s="498"/>
      <c r="AD217" s="499"/>
      <c r="AE217" s="498"/>
      <c r="AF217" s="500"/>
      <c r="AG217" s="498"/>
      <c r="AH217" s="500"/>
      <c r="AI217" s="498"/>
      <c r="AJ217" s="500"/>
      <c r="AK217" s="498"/>
      <c r="AL217" s="500"/>
      <c r="AM217" s="501"/>
      <c r="AN217" s="500"/>
      <c r="AO217" s="498"/>
      <c r="AP217" s="500"/>
      <c r="AQ217" s="501"/>
      <c r="AR217" s="500"/>
      <c r="AS217" s="500"/>
      <c r="AT217" s="500"/>
      <c r="AU217" s="501"/>
      <c r="AV217" s="500"/>
      <c r="AW217" s="500"/>
      <c r="AX217" s="500"/>
      <c r="AY217" s="576"/>
      <c r="AZ217" s="576"/>
      <c r="BA217" s="576"/>
      <c r="BB217" s="576"/>
      <c r="BC217" s="576"/>
      <c r="BD217" s="576"/>
      <c r="BE217" s="576"/>
      <c r="BF217" s="576"/>
      <c r="BG217" s="576"/>
      <c r="BH217" s="576"/>
      <c r="BI217" s="576"/>
      <c r="BJ217" s="576"/>
      <c r="BK217" s="576"/>
      <c r="BL217" s="576"/>
      <c r="BM217" s="576"/>
      <c r="BN217" s="576"/>
      <c r="BO217" s="576"/>
      <c r="BP217" s="576"/>
      <c r="BQ217" s="576"/>
      <c r="BR217" s="576"/>
      <c r="BS217" s="576"/>
      <c r="BT217" s="576"/>
      <c r="BU217" s="576"/>
      <c r="BV217" s="576"/>
      <c r="BW217" s="576"/>
      <c r="BX217" s="576"/>
      <c r="BY217" s="576"/>
      <c r="BZ217" s="576"/>
      <c r="CA217" s="576"/>
      <c r="CB217" s="576"/>
      <c r="CC217" s="576"/>
      <c r="CD217" s="576"/>
      <c r="CE217" s="576"/>
      <c r="CF217" s="576"/>
      <c r="CG217" s="576"/>
      <c r="CH217" s="576"/>
      <c r="CI217" s="576"/>
      <c r="CJ217" s="576"/>
      <c r="CK217" s="576"/>
      <c r="CL217" s="576"/>
      <c r="CM217" s="576"/>
      <c r="CN217" s="576"/>
      <c r="CO217" s="576"/>
      <c r="CP217" s="576"/>
      <c r="CQ217" s="576"/>
      <c r="CR217" s="576"/>
      <c r="CS217" s="576"/>
      <c r="CT217" s="576"/>
      <c r="CU217" s="576"/>
      <c r="CV217" s="576"/>
      <c r="CW217" s="576"/>
      <c r="CX217" s="576"/>
      <c r="CY217" s="576"/>
      <c r="CZ217" s="576"/>
      <c r="DA217" s="576"/>
      <c r="DB217" s="576"/>
      <c r="DC217" s="576"/>
      <c r="DD217" s="576"/>
      <c r="DE217" s="576"/>
      <c r="DF217" s="576"/>
      <c r="DG217" s="576"/>
      <c r="DH217" s="116"/>
      <c r="DI217" s="112"/>
      <c r="DJ217">
        <f ca="1">INDIRECT(ADDRESS(ROW()+1,COLUMN(Arbeitszeit!xDay),,,"Arbeitszeit"))</f>
        <v>8</v>
      </c>
    </row>
    <row r="218" spans="1:114">
      <c r="A218" s="462">
        <f>Arbeitszeit!A219</f>
        <v>45047</v>
      </c>
      <c r="B218" s="463">
        <f t="shared" si="13"/>
        <v>45047</v>
      </c>
      <c r="C218" s="146">
        <f t="shared" si="14"/>
        <v>17</v>
      </c>
      <c r="D218" s="145">
        <f t="shared" si="15"/>
        <v>45046</v>
      </c>
      <c r="E218" s="510">
        <f>Arbeitszeit!V219*24</f>
        <v>0</v>
      </c>
      <c r="F218" s="574">
        <f t="shared" si="12"/>
        <v>0</v>
      </c>
      <c r="G218" s="113">
        <f>IF(Arbeitszeit!F219=Urlaub,B_WorkTime*24,)</f>
        <v>0</v>
      </c>
      <c r="H218" s="111"/>
      <c r="I218" s="113">
        <f>IF(Arbeitszeit!F219=Krank,B_WorkTime*24,)</f>
        <v>0</v>
      </c>
      <c r="J218" s="111"/>
      <c r="K218" s="114"/>
      <c r="L218" s="115"/>
      <c r="M218" s="498"/>
      <c r="N218" s="499"/>
      <c r="O218" s="498"/>
      <c r="P218" s="499"/>
      <c r="Q218" s="498"/>
      <c r="R218" s="499"/>
      <c r="S218" s="498"/>
      <c r="T218" s="499"/>
      <c r="U218" s="498"/>
      <c r="V218" s="499"/>
      <c r="W218" s="498"/>
      <c r="X218" s="499"/>
      <c r="Y218" s="498"/>
      <c r="Z218" s="499"/>
      <c r="AA218" s="498"/>
      <c r="AB218" s="499"/>
      <c r="AC218" s="498"/>
      <c r="AD218" s="499"/>
      <c r="AE218" s="498"/>
      <c r="AF218" s="500"/>
      <c r="AG218" s="498"/>
      <c r="AH218" s="500"/>
      <c r="AI218" s="498"/>
      <c r="AJ218" s="500"/>
      <c r="AK218" s="498"/>
      <c r="AL218" s="500"/>
      <c r="AM218" s="501"/>
      <c r="AN218" s="500"/>
      <c r="AO218" s="498"/>
      <c r="AP218" s="500"/>
      <c r="AQ218" s="501"/>
      <c r="AR218" s="500"/>
      <c r="AS218" s="500"/>
      <c r="AT218" s="500"/>
      <c r="AU218" s="501"/>
      <c r="AV218" s="500"/>
      <c r="AW218" s="500"/>
      <c r="AX218" s="500"/>
      <c r="AY218" s="576"/>
      <c r="AZ218" s="576"/>
      <c r="BA218" s="576"/>
      <c r="BB218" s="576"/>
      <c r="BC218" s="576"/>
      <c r="BD218" s="576"/>
      <c r="BE218" s="576"/>
      <c r="BF218" s="576"/>
      <c r="BG218" s="576"/>
      <c r="BH218" s="576"/>
      <c r="BI218" s="576"/>
      <c r="BJ218" s="576"/>
      <c r="BK218" s="576"/>
      <c r="BL218" s="576"/>
      <c r="BM218" s="576"/>
      <c r="BN218" s="576"/>
      <c r="BO218" s="576"/>
      <c r="BP218" s="576"/>
      <c r="BQ218" s="576"/>
      <c r="BR218" s="576"/>
      <c r="BS218" s="576"/>
      <c r="BT218" s="576"/>
      <c r="BU218" s="576"/>
      <c r="BV218" s="576"/>
      <c r="BW218" s="576"/>
      <c r="BX218" s="576"/>
      <c r="BY218" s="576"/>
      <c r="BZ218" s="576"/>
      <c r="CA218" s="576"/>
      <c r="CB218" s="576"/>
      <c r="CC218" s="576"/>
      <c r="CD218" s="576"/>
      <c r="CE218" s="576"/>
      <c r="CF218" s="576"/>
      <c r="CG218" s="576"/>
      <c r="CH218" s="576"/>
      <c r="CI218" s="576"/>
      <c r="CJ218" s="576"/>
      <c r="CK218" s="576"/>
      <c r="CL218" s="576"/>
      <c r="CM218" s="576"/>
      <c r="CN218" s="576"/>
      <c r="CO218" s="576"/>
      <c r="CP218" s="576"/>
      <c r="CQ218" s="576"/>
      <c r="CR218" s="576"/>
      <c r="CS218" s="576"/>
      <c r="CT218" s="576"/>
      <c r="CU218" s="576"/>
      <c r="CV218" s="576"/>
      <c r="CW218" s="576"/>
      <c r="CX218" s="576"/>
      <c r="CY218" s="576"/>
      <c r="CZ218" s="576"/>
      <c r="DA218" s="576"/>
      <c r="DB218" s="576"/>
      <c r="DC218" s="576"/>
      <c r="DD218" s="576"/>
      <c r="DE218" s="576"/>
      <c r="DF218" s="576"/>
      <c r="DG218" s="576"/>
      <c r="DH218" s="116"/>
      <c r="DI218" s="112"/>
      <c r="DJ218">
        <f ca="1">INDIRECT(ADDRESS(ROW()+1,COLUMN(Arbeitszeit!xDay),,,"Arbeitszeit"))</f>
        <v>7</v>
      </c>
    </row>
    <row r="219" spans="1:114">
      <c r="A219" s="462">
        <f>Arbeitszeit!A220</f>
        <v>45048</v>
      </c>
      <c r="B219" s="463">
        <f t="shared" si="13"/>
        <v>45048</v>
      </c>
      <c r="C219" s="146">
        <f t="shared" si="14"/>
        <v>18</v>
      </c>
      <c r="D219" s="145">
        <f t="shared" si="15"/>
        <v>45046</v>
      </c>
      <c r="E219" s="510">
        <f>Arbeitszeit!V220*24</f>
        <v>0</v>
      </c>
      <c r="F219" s="574">
        <f t="shared" si="12"/>
        <v>0</v>
      </c>
      <c r="G219" s="113">
        <f>IF(Arbeitszeit!F220=Urlaub,B_WorkTime*24,)</f>
        <v>0</v>
      </c>
      <c r="H219" s="111"/>
      <c r="I219" s="113">
        <f>IF(Arbeitszeit!F220=Krank,B_WorkTime*24,)</f>
        <v>0</v>
      </c>
      <c r="J219" s="111"/>
      <c r="K219" s="114"/>
      <c r="L219" s="115"/>
      <c r="M219" s="498"/>
      <c r="N219" s="499"/>
      <c r="O219" s="498"/>
      <c r="P219" s="499"/>
      <c r="Q219" s="498"/>
      <c r="R219" s="499"/>
      <c r="S219" s="498"/>
      <c r="T219" s="499"/>
      <c r="U219" s="498"/>
      <c r="V219" s="499"/>
      <c r="W219" s="498"/>
      <c r="X219" s="499"/>
      <c r="Y219" s="498"/>
      <c r="Z219" s="499"/>
      <c r="AA219" s="498"/>
      <c r="AB219" s="499"/>
      <c r="AC219" s="498"/>
      <c r="AD219" s="499"/>
      <c r="AE219" s="498"/>
      <c r="AF219" s="500"/>
      <c r="AG219" s="498"/>
      <c r="AH219" s="500"/>
      <c r="AI219" s="498"/>
      <c r="AJ219" s="500"/>
      <c r="AK219" s="498"/>
      <c r="AL219" s="500"/>
      <c r="AM219" s="501"/>
      <c r="AN219" s="500"/>
      <c r="AO219" s="498"/>
      <c r="AP219" s="500"/>
      <c r="AQ219" s="501"/>
      <c r="AR219" s="500"/>
      <c r="AS219" s="500"/>
      <c r="AT219" s="500"/>
      <c r="AU219" s="501"/>
      <c r="AV219" s="500"/>
      <c r="AW219" s="500"/>
      <c r="AX219" s="500"/>
      <c r="AY219" s="576"/>
      <c r="AZ219" s="576"/>
      <c r="BA219" s="576"/>
      <c r="BB219" s="576"/>
      <c r="BC219" s="576"/>
      <c r="BD219" s="576"/>
      <c r="BE219" s="576"/>
      <c r="BF219" s="576"/>
      <c r="BG219" s="576"/>
      <c r="BH219" s="576"/>
      <c r="BI219" s="576"/>
      <c r="BJ219" s="576"/>
      <c r="BK219" s="576"/>
      <c r="BL219" s="576"/>
      <c r="BM219" s="576"/>
      <c r="BN219" s="576"/>
      <c r="BO219" s="576"/>
      <c r="BP219" s="576"/>
      <c r="BQ219" s="576"/>
      <c r="BR219" s="576"/>
      <c r="BS219" s="576"/>
      <c r="BT219" s="576"/>
      <c r="BU219" s="576"/>
      <c r="BV219" s="576"/>
      <c r="BW219" s="576"/>
      <c r="BX219" s="576"/>
      <c r="BY219" s="576"/>
      <c r="BZ219" s="576"/>
      <c r="CA219" s="576"/>
      <c r="CB219" s="576"/>
      <c r="CC219" s="576"/>
      <c r="CD219" s="576"/>
      <c r="CE219" s="576"/>
      <c r="CF219" s="576"/>
      <c r="CG219" s="576"/>
      <c r="CH219" s="576"/>
      <c r="CI219" s="576"/>
      <c r="CJ219" s="576"/>
      <c r="CK219" s="576"/>
      <c r="CL219" s="576"/>
      <c r="CM219" s="576"/>
      <c r="CN219" s="576"/>
      <c r="CO219" s="576"/>
      <c r="CP219" s="576"/>
      <c r="CQ219" s="576"/>
      <c r="CR219" s="576"/>
      <c r="CS219" s="576"/>
      <c r="CT219" s="576"/>
      <c r="CU219" s="576"/>
      <c r="CV219" s="576"/>
      <c r="CW219" s="576"/>
      <c r="CX219" s="576"/>
      <c r="CY219" s="576"/>
      <c r="CZ219" s="576"/>
      <c r="DA219" s="576"/>
      <c r="DB219" s="576"/>
      <c r="DC219" s="576"/>
      <c r="DD219" s="576"/>
      <c r="DE219" s="576"/>
      <c r="DF219" s="576"/>
      <c r="DG219" s="576"/>
      <c r="DH219" s="116"/>
      <c r="DI219" s="112"/>
      <c r="DJ219">
        <f ca="1">INDIRECT(ADDRESS(ROW()+1,COLUMN(Arbeitszeit!xDay),,,"Arbeitszeit"))</f>
        <v>1</v>
      </c>
    </row>
    <row r="220" spans="1:114">
      <c r="A220" s="462">
        <f>Arbeitszeit!A221</f>
        <v>45049</v>
      </c>
      <c r="B220" s="463">
        <f t="shared" si="13"/>
        <v>45049</v>
      </c>
      <c r="C220" s="146">
        <f t="shared" si="14"/>
        <v>18</v>
      </c>
      <c r="D220" s="145">
        <f t="shared" si="15"/>
        <v>45046</v>
      </c>
      <c r="E220" s="510">
        <f>Arbeitszeit!V221*24</f>
        <v>0</v>
      </c>
      <c r="F220" s="574">
        <f t="shared" si="12"/>
        <v>0</v>
      </c>
      <c r="G220" s="113">
        <f>IF(Arbeitszeit!F221=Urlaub,B_WorkTime*24,)</f>
        <v>0</v>
      </c>
      <c r="H220" s="111"/>
      <c r="I220" s="113">
        <f>IF(Arbeitszeit!F221=Krank,B_WorkTime*24,)</f>
        <v>0</v>
      </c>
      <c r="J220" s="111"/>
      <c r="K220" s="114"/>
      <c r="L220" s="115"/>
      <c r="M220" s="498"/>
      <c r="N220" s="499"/>
      <c r="O220" s="498"/>
      <c r="P220" s="499"/>
      <c r="Q220" s="498"/>
      <c r="R220" s="499"/>
      <c r="S220" s="498"/>
      <c r="T220" s="499"/>
      <c r="U220" s="498"/>
      <c r="V220" s="499"/>
      <c r="W220" s="498"/>
      <c r="X220" s="499"/>
      <c r="Y220" s="498"/>
      <c r="Z220" s="499"/>
      <c r="AA220" s="498"/>
      <c r="AB220" s="499"/>
      <c r="AC220" s="498"/>
      <c r="AD220" s="499"/>
      <c r="AE220" s="498"/>
      <c r="AF220" s="500"/>
      <c r="AG220" s="498"/>
      <c r="AH220" s="500"/>
      <c r="AI220" s="498"/>
      <c r="AJ220" s="500"/>
      <c r="AK220" s="498"/>
      <c r="AL220" s="500"/>
      <c r="AM220" s="501"/>
      <c r="AN220" s="500"/>
      <c r="AO220" s="498"/>
      <c r="AP220" s="500"/>
      <c r="AQ220" s="501"/>
      <c r="AR220" s="500"/>
      <c r="AS220" s="500"/>
      <c r="AT220" s="500"/>
      <c r="AU220" s="501"/>
      <c r="AV220" s="500"/>
      <c r="AW220" s="500"/>
      <c r="AX220" s="500"/>
      <c r="AY220" s="576"/>
      <c r="AZ220" s="576"/>
      <c r="BA220" s="576"/>
      <c r="BB220" s="576"/>
      <c r="BC220" s="576"/>
      <c r="BD220" s="576"/>
      <c r="BE220" s="576"/>
      <c r="BF220" s="576"/>
      <c r="BG220" s="576"/>
      <c r="BH220" s="576"/>
      <c r="BI220" s="576"/>
      <c r="BJ220" s="576"/>
      <c r="BK220" s="576"/>
      <c r="BL220" s="576"/>
      <c r="BM220" s="576"/>
      <c r="BN220" s="576"/>
      <c r="BO220" s="576"/>
      <c r="BP220" s="576"/>
      <c r="BQ220" s="576"/>
      <c r="BR220" s="576"/>
      <c r="BS220" s="576"/>
      <c r="BT220" s="576"/>
      <c r="BU220" s="576"/>
      <c r="BV220" s="576"/>
      <c r="BW220" s="576"/>
      <c r="BX220" s="576"/>
      <c r="BY220" s="576"/>
      <c r="BZ220" s="576"/>
      <c r="CA220" s="576"/>
      <c r="CB220" s="576"/>
      <c r="CC220" s="576"/>
      <c r="CD220" s="576"/>
      <c r="CE220" s="576"/>
      <c r="CF220" s="576"/>
      <c r="CG220" s="576"/>
      <c r="CH220" s="576"/>
      <c r="CI220" s="576"/>
      <c r="CJ220" s="576"/>
      <c r="CK220" s="576"/>
      <c r="CL220" s="576"/>
      <c r="CM220" s="576"/>
      <c r="CN220" s="576"/>
      <c r="CO220" s="576"/>
      <c r="CP220" s="576"/>
      <c r="CQ220" s="576"/>
      <c r="CR220" s="576"/>
      <c r="CS220" s="576"/>
      <c r="CT220" s="576"/>
      <c r="CU220" s="576"/>
      <c r="CV220" s="576"/>
      <c r="CW220" s="576"/>
      <c r="CX220" s="576"/>
      <c r="CY220" s="576"/>
      <c r="CZ220" s="576"/>
      <c r="DA220" s="576"/>
      <c r="DB220" s="576"/>
      <c r="DC220" s="576"/>
      <c r="DD220" s="576"/>
      <c r="DE220" s="576"/>
      <c r="DF220" s="576"/>
      <c r="DG220" s="576"/>
      <c r="DH220" s="116"/>
      <c r="DI220" s="112"/>
      <c r="DJ220">
        <f ca="1">INDIRECT(ADDRESS(ROW()+1,COLUMN(Arbeitszeit!xDay),,,"Arbeitszeit"))</f>
        <v>2</v>
      </c>
    </row>
    <row r="221" spans="1:114">
      <c r="A221" s="462">
        <f>Arbeitszeit!A222</f>
        <v>45050</v>
      </c>
      <c r="B221" s="463">
        <f t="shared" si="13"/>
        <v>45050</v>
      </c>
      <c r="C221" s="146">
        <f t="shared" si="14"/>
        <v>18</v>
      </c>
      <c r="D221" s="145">
        <f t="shared" si="15"/>
        <v>45046</v>
      </c>
      <c r="E221" s="510">
        <f>Arbeitszeit!V222*24</f>
        <v>0</v>
      </c>
      <c r="F221" s="574">
        <f t="shared" si="12"/>
        <v>0</v>
      </c>
      <c r="G221" s="113">
        <f>IF(Arbeitszeit!F222=Urlaub,B_WorkTime*24,)</f>
        <v>0</v>
      </c>
      <c r="H221" s="111"/>
      <c r="I221" s="113">
        <f>IF(Arbeitszeit!F222=Krank,B_WorkTime*24,)</f>
        <v>0</v>
      </c>
      <c r="J221" s="111"/>
      <c r="K221" s="114"/>
      <c r="L221" s="115"/>
      <c r="M221" s="498"/>
      <c r="N221" s="499"/>
      <c r="O221" s="498"/>
      <c r="P221" s="499"/>
      <c r="Q221" s="498"/>
      <c r="R221" s="499"/>
      <c r="S221" s="498"/>
      <c r="T221" s="499"/>
      <c r="U221" s="498"/>
      <c r="V221" s="499"/>
      <c r="W221" s="498"/>
      <c r="X221" s="499"/>
      <c r="Y221" s="498"/>
      <c r="Z221" s="499"/>
      <c r="AA221" s="498"/>
      <c r="AB221" s="499"/>
      <c r="AC221" s="498"/>
      <c r="AD221" s="499"/>
      <c r="AE221" s="498"/>
      <c r="AF221" s="500"/>
      <c r="AG221" s="498"/>
      <c r="AH221" s="500"/>
      <c r="AI221" s="498"/>
      <c r="AJ221" s="500"/>
      <c r="AK221" s="498"/>
      <c r="AL221" s="500"/>
      <c r="AM221" s="501"/>
      <c r="AN221" s="500"/>
      <c r="AO221" s="498"/>
      <c r="AP221" s="500"/>
      <c r="AQ221" s="501"/>
      <c r="AR221" s="500"/>
      <c r="AS221" s="500"/>
      <c r="AT221" s="500"/>
      <c r="AU221" s="501"/>
      <c r="AV221" s="500"/>
      <c r="AW221" s="500"/>
      <c r="AX221" s="500"/>
      <c r="AY221" s="576"/>
      <c r="AZ221" s="576"/>
      <c r="BA221" s="576"/>
      <c r="BB221" s="576"/>
      <c r="BC221" s="576"/>
      <c r="BD221" s="576"/>
      <c r="BE221" s="576"/>
      <c r="BF221" s="576"/>
      <c r="BG221" s="576"/>
      <c r="BH221" s="576"/>
      <c r="BI221" s="576"/>
      <c r="BJ221" s="576"/>
      <c r="BK221" s="576"/>
      <c r="BL221" s="576"/>
      <c r="BM221" s="576"/>
      <c r="BN221" s="576"/>
      <c r="BO221" s="576"/>
      <c r="BP221" s="576"/>
      <c r="BQ221" s="576"/>
      <c r="BR221" s="576"/>
      <c r="BS221" s="576"/>
      <c r="BT221" s="576"/>
      <c r="BU221" s="576"/>
      <c r="BV221" s="576"/>
      <c r="BW221" s="576"/>
      <c r="BX221" s="576"/>
      <c r="BY221" s="576"/>
      <c r="BZ221" s="576"/>
      <c r="CA221" s="576"/>
      <c r="CB221" s="576"/>
      <c r="CC221" s="576"/>
      <c r="CD221" s="576"/>
      <c r="CE221" s="576"/>
      <c r="CF221" s="576"/>
      <c r="CG221" s="576"/>
      <c r="CH221" s="576"/>
      <c r="CI221" s="576"/>
      <c r="CJ221" s="576"/>
      <c r="CK221" s="576"/>
      <c r="CL221" s="576"/>
      <c r="CM221" s="576"/>
      <c r="CN221" s="576"/>
      <c r="CO221" s="576"/>
      <c r="CP221" s="576"/>
      <c r="CQ221" s="576"/>
      <c r="CR221" s="576"/>
      <c r="CS221" s="576"/>
      <c r="CT221" s="576"/>
      <c r="CU221" s="576"/>
      <c r="CV221" s="576"/>
      <c r="CW221" s="576"/>
      <c r="CX221" s="576"/>
      <c r="CY221" s="576"/>
      <c r="CZ221" s="576"/>
      <c r="DA221" s="576"/>
      <c r="DB221" s="576"/>
      <c r="DC221" s="576"/>
      <c r="DD221" s="576"/>
      <c r="DE221" s="576"/>
      <c r="DF221" s="576"/>
      <c r="DG221" s="576"/>
      <c r="DH221" s="116"/>
      <c r="DI221" s="112"/>
      <c r="DJ221">
        <f ca="1">INDIRECT(ADDRESS(ROW()+1,COLUMN(Arbeitszeit!xDay),,,"Arbeitszeit"))</f>
        <v>3</v>
      </c>
    </row>
    <row r="222" spans="1:114">
      <c r="A222" s="462">
        <f>Arbeitszeit!A223</f>
        <v>45051</v>
      </c>
      <c r="B222" s="463">
        <f t="shared" si="13"/>
        <v>45051</v>
      </c>
      <c r="C222" s="146">
        <f t="shared" si="14"/>
        <v>18</v>
      </c>
      <c r="D222" s="145">
        <f t="shared" si="15"/>
        <v>45046</v>
      </c>
      <c r="E222" s="510">
        <f>Arbeitszeit!V223*24</f>
        <v>0</v>
      </c>
      <c r="F222" s="574">
        <f t="shared" si="12"/>
        <v>0</v>
      </c>
      <c r="G222" s="113">
        <f>IF(Arbeitszeit!F223=Urlaub,B_WorkTime*24,)</f>
        <v>0</v>
      </c>
      <c r="H222" s="111"/>
      <c r="I222" s="113">
        <f>IF(Arbeitszeit!F223=Krank,B_WorkTime*24,)</f>
        <v>0</v>
      </c>
      <c r="J222" s="111"/>
      <c r="K222" s="114"/>
      <c r="L222" s="115"/>
      <c r="M222" s="498"/>
      <c r="N222" s="499"/>
      <c r="O222" s="498"/>
      <c r="P222" s="499"/>
      <c r="Q222" s="498"/>
      <c r="R222" s="499"/>
      <c r="S222" s="498"/>
      <c r="T222" s="499"/>
      <c r="U222" s="498"/>
      <c r="V222" s="499"/>
      <c r="W222" s="498"/>
      <c r="X222" s="499"/>
      <c r="Y222" s="498"/>
      <c r="Z222" s="499"/>
      <c r="AA222" s="498"/>
      <c r="AB222" s="499"/>
      <c r="AC222" s="498"/>
      <c r="AD222" s="499"/>
      <c r="AE222" s="498"/>
      <c r="AF222" s="500"/>
      <c r="AG222" s="498"/>
      <c r="AH222" s="500"/>
      <c r="AI222" s="498"/>
      <c r="AJ222" s="500"/>
      <c r="AK222" s="498"/>
      <c r="AL222" s="500"/>
      <c r="AM222" s="501"/>
      <c r="AN222" s="500"/>
      <c r="AO222" s="498"/>
      <c r="AP222" s="500"/>
      <c r="AQ222" s="501"/>
      <c r="AR222" s="500"/>
      <c r="AS222" s="500"/>
      <c r="AT222" s="500"/>
      <c r="AU222" s="501"/>
      <c r="AV222" s="500"/>
      <c r="AW222" s="500"/>
      <c r="AX222" s="500"/>
      <c r="AY222" s="576"/>
      <c r="AZ222" s="576"/>
      <c r="BA222" s="576"/>
      <c r="BB222" s="576"/>
      <c r="BC222" s="576"/>
      <c r="BD222" s="576"/>
      <c r="BE222" s="576"/>
      <c r="BF222" s="576"/>
      <c r="BG222" s="576"/>
      <c r="BH222" s="576"/>
      <c r="BI222" s="576"/>
      <c r="BJ222" s="576"/>
      <c r="BK222" s="576"/>
      <c r="BL222" s="576"/>
      <c r="BM222" s="576"/>
      <c r="BN222" s="576"/>
      <c r="BO222" s="576"/>
      <c r="BP222" s="576"/>
      <c r="BQ222" s="576"/>
      <c r="BR222" s="576"/>
      <c r="BS222" s="576"/>
      <c r="BT222" s="576"/>
      <c r="BU222" s="576"/>
      <c r="BV222" s="576"/>
      <c r="BW222" s="576"/>
      <c r="BX222" s="576"/>
      <c r="BY222" s="576"/>
      <c r="BZ222" s="576"/>
      <c r="CA222" s="576"/>
      <c r="CB222" s="576"/>
      <c r="CC222" s="576"/>
      <c r="CD222" s="576"/>
      <c r="CE222" s="576"/>
      <c r="CF222" s="576"/>
      <c r="CG222" s="576"/>
      <c r="CH222" s="576"/>
      <c r="CI222" s="576"/>
      <c r="CJ222" s="576"/>
      <c r="CK222" s="576"/>
      <c r="CL222" s="576"/>
      <c r="CM222" s="576"/>
      <c r="CN222" s="576"/>
      <c r="CO222" s="576"/>
      <c r="CP222" s="576"/>
      <c r="CQ222" s="576"/>
      <c r="CR222" s="576"/>
      <c r="CS222" s="576"/>
      <c r="CT222" s="576"/>
      <c r="CU222" s="576"/>
      <c r="CV222" s="576"/>
      <c r="CW222" s="576"/>
      <c r="CX222" s="576"/>
      <c r="CY222" s="576"/>
      <c r="CZ222" s="576"/>
      <c r="DA222" s="576"/>
      <c r="DB222" s="576"/>
      <c r="DC222" s="576"/>
      <c r="DD222" s="576"/>
      <c r="DE222" s="576"/>
      <c r="DF222" s="576"/>
      <c r="DG222" s="576"/>
      <c r="DH222" s="116"/>
      <c r="DI222" s="112"/>
      <c r="DJ222">
        <f ca="1">INDIRECT(ADDRESS(ROW()+1,COLUMN(Arbeitszeit!xDay),,,"Arbeitszeit"))</f>
        <v>8</v>
      </c>
    </row>
    <row r="223" spans="1:114">
      <c r="A223" s="462">
        <f>Arbeitszeit!A224</f>
        <v>45052</v>
      </c>
      <c r="B223" s="463">
        <f t="shared" si="13"/>
        <v>45052</v>
      </c>
      <c r="C223" s="146">
        <f t="shared" si="14"/>
        <v>18</v>
      </c>
      <c r="D223" s="145">
        <f t="shared" si="15"/>
        <v>45046</v>
      </c>
      <c r="E223" s="510">
        <f>Arbeitszeit!V224*24</f>
        <v>0</v>
      </c>
      <c r="F223" s="574">
        <f t="shared" si="12"/>
        <v>0</v>
      </c>
      <c r="G223" s="113">
        <f>IF(Arbeitszeit!F224=Urlaub,B_WorkTime*24,)</f>
        <v>0</v>
      </c>
      <c r="H223" s="111"/>
      <c r="I223" s="113">
        <f>IF(Arbeitszeit!F224=Krank,B_WorkTime*24,)</f>
        <v>0</v>
      </c>
      <c r="J223" s="111"/>
      <c r="K223" s="114"/>
      <c r="L223" s="115"/>
      <c r="M223" s="498"/>
      <c r="N223" s="499"/>
      <c r="O223" s="498"/>
      <c r="P223" s="499"/>
      <c r="Q223" s="498"/>
      <c r="R223" s="499"/>
      <c r="S223" s="498"/>
      <c r="T223" s="499"/>
      <c r="U223" s="498"/>
      <c r="V223" s="499"/>
      <c r="W223" s="498"/>
      <c r="X223" s="499"/>
      <c r="Y223" s="498"/>
      <c r="Z223" s="499"/>
      <c r="AA223" s="498"/>
      <c r="AB223" s="499"/>
      <c r="AC223" s="498"/>
      <c r="AD223" s="499"/>
      <c r="AE223" s="498"/>
      <c r="AF223" s="500"/>
      <c r="AG223" s="498"/>
      <c r="AH223" s="500"/>
      <c r="AI223" s="498"/>
      <c r="AJ223" s="500"/>
      <c r="AK223" s="498"/>
      <c r="AL223" s="500"/>
      <c r="AM223" s="501"/>
      <c r="AN223" s="500"/>
      <c r="AO223" s="498"/>
      <c r="AP223" s="500"/>
      <c r="AQ223" s="501"/>
      <c r="AR223" s="500"/>
      <c r="AS223" s="500"/>
      <c r="AT223" s="500"/>
      <c r="AU223" s="501"/>
      <c r="AV223" s="500"/>
      <c r="AW223" s="500"/>
      <c r="AX223" s="500"/>
      <c r="AY223" s="576"/>
      <c r="AZ223" s="576"/>
      <c r="BA223" s="576"/>
      <c r="BB223" s="576"/>
      <c r="BC223" s="576"/>
      <c r="BD223" s="576"/>
      <c r="BE223" s="576"/>
      <c r="BF223" s="576"/>
      <c r="BG223" s="576"/>
      <c r="BH223" s="576"/>
      <c r="BI223" s="576"/>
      <c r="BJ223" s="576"/>
      <c r="BK223" s="576"/>
      <c r="BL223" s="576"/>
      <c r="BM223" s="576"/>
      <c r="BN223" s="576"/>
      <c r="BO223" s="576"/>
      <c r="BP223" s="576"/>
      <c r="BQ223" s="576"/>
      <c r="BR223" s="576"/>
      <c r="BS223" s="576"/>
      <c r="BT223" s="576"/>
      <c r="BU223" s="576"/>
      <c r="BV223" s="576"/>
      <c r="BW223" s="576"/>
      <c r="BX223" s="576"/>
      <c r="BY223" s="576"/>
      <c r="BZ223" s="576"/>
      <c r="CA223" s="576"/>
      <c r="CB223" s="576"/>
      <c r="CC223" s="576"/>
      <c r="CD223" s="576"/>
      <c r="CE223" s="576"/>
      <c r="CF223" s="576"/>
      <c r="CG223" s="576"/>
      <c r="CH223" s="576"/>
      <c r="CI223" s="576"/>
      <c r="CJ223" s="576"/>
      <c r="CK223" s="576"/>
      <c r="CL223" s="576"/>
      <c r="CM223" s="576"/>
      <c r="CN223" s="576"/>
      <c r="CO223" s="576"/>
      <c r="CP223" s="576"/>
      <c r="CQ223" s="576"/>
      <c r="CR223" s="576"/>
      <c r="CS223" s="576"/>
      <c r="CT223" s="576"/>
      <c r="CU223" s="576"/>
      <c r="CV223" s="576"/>
      <c r="CW223" s="576"/>
      <c r="CX223" s="576"/>
      <c r="CY223" s="576"/>
      <c r="CZ223" s="576"/>
      <c r="DA223" s="576"/>
      <c r="DB223" s="576"/>
      <c r="DC223" s="576"/>
      <c r="DD223" s="576"/>
      <c r="DE223" s="576"/>
      <c r="DF223" s="576"/>
      <c r="DG223" s="576"/>
      <c r="DH223" s="116"/>
      <c r="DI223" s="112"/>
      <c r="DJ223">
        <f ca="1">INDIRECT(ADDRESS(ROW()+1,COLUMN(Arbeitszeit!xDay),,,"Arbeitszeit"))</f>
        <v>5</v>
      </c>
    </row>
    <row r="224" spans="1:114">
      <c r="A224" s="462">
        <f>Arbeitszeit!A225</f>
        <v>45053</v>
      </c>
      <c r="B224" s="463">
        <f t="shared" si="13"/>
        <v>45053</v>
      </c>
      <c r="C224" s="146">
        <f t="shared" si="14"/>
        <v>18</v>
      </c>
      <c r="D224" s="145">
        <f t="shared" si="15"/>
        <v>45046</v>
      </c>
      <c r="E224" s="510">
        <f>Arbeitszeit!V225*24</f>
        <v>0</v>
      </c>
      <c r="F224" s="574">
        <f t="shared" si="12"/>
        <v>0</v>
      </c>
      <c r="G224" s="113">
        <f>IF(Arbeitszeit!F225=Urlaub,B_WorkTime*24,)</f>
        <v>0</v>
      </c>
      <c r="H224" s="111"/>
      <c r="I224" s="113">
        <f>IF(Arbeitszeit!F225=Krank,B_WorkTime*24,)</f>
        <v>0</v>
      </c>
      <c r="J224" s="111"/>
      <c r="K224" s="114"/>
      <c r="L224" s="115"/>
      <c r="M224" s="498"/>
      <c r="N224" s="499"/>
      <c r="O224" s="498"/>
      <c r="P224" s="499"/>
      <c r="Q224" s="498"/>
      <c r="R224" s="499"/>
      <c r="S224" s="498"/>
      <c r="T224" s="499"/>
      <c r="U224" s="498"/>
      <c r="V224" s="499"/>
      <c r="W224" s="498"/>
      <c r="X224" s="499"/>
      <c r="Y224" s="498"/>
      <c r="Z224" s="499"/>
      <c r="AA224" s="498"/>
      <c r="AB224" s="499"/>
      <c r="AC224" s="498"/>
      <c r="AD224" s="499"/>
      <c r="AE224" s="498"/>
      <c r="AF224" s="500"/>
      <c r="AG224" s="498"/>
      <c r="AH224" s="500"/>
      <c r="AI224" s="498"/>
      <c r="AJ224" s="500"/>
      <c r="AK224" s="498"/>
      <c r="AL224" s="500"/>
      <c r="AM224" s="501"/>
      <c r="AN224" s="500"/>
      <c r="AO224" s="498"/>
      <c r="AP224" s="500"/>
      <c r="AQ224" s="501"/>
      <c r="AR224" s="500"/>
      <c r="AS224" s="500"/>
      <c r="AT224" s="500"/>
      <c r="AU224" s="501"/>
      <c r="AV224" s="500"/>
      <c r="AW224" s="500"/>
      <c r="AX224" s="500"/>
      <c r="AY224" s="576"/>
      <c r="AZ224" s="576"/>
      <c r="BA224" s="576"/>
      <c r="BB224" s="576"/>
      <c r="BC224" s="576"/>
      <c r="BD224" s="576"/>
      <c r="BE224" s="576"/>
      <c r="BF224" s="576"/>
      <c r="BG224" s="576"/>
      <c r="BH224" s="576"/>
      <c r="BI224" s="576"/>
      <c r="BJ224" s="576"/>
      <c r="BK224" s="576"/>
      <c r="BL224" s="576"/>
      <c r="BM224" s="576"/>
      <c r="BN224" s="576"/>
      <c r="BO224" s="576"/>
      <c r="BP224" s="576"/>
      <c r="BQ224" s="576"/>
      <c r="BR224" s="576"/>
      <c r="BS224" s="576"/>
      <c r="BT224" s="576"/>
      <c r="BU224" s="576"/>
      <c r="BV224" s="576"/>
      <c r="BW224" s="576"/>
      <c r="BX224" s="576"/>
      <c r="BY224" s="576"/>
      <c r="BZ224" s="576"/>
      <c r="CA224" s="576"/>
      <c r="CB224" s="576"/>
      <c r="CC224" s="576"/>
      <c r="CD224" s="576"/>
      <c r="CE224" s="576"/>
      <c r="CF224" s="576"/>
      <c r="CG224" s="576"/>
      <c r="CH224" s="576"/>
      <c r="CI224" s="576"/>
      <c r="CJ224" s="576"/>
      <c r="CK224" s="576"/>
      <c r="CL224" s="576"/>
      <c r="CM224" s="576"/>
      <c r="CN224" s="576"/>
      <c r="CO224" s="576"/>
      <c r="CP224" s="576"/>
      <c r="CQ224" s="576"/>
      <c r="CR224" s="576"/>
      <c r="CS224" s="576"/>
      <c r="CT224" s="576"/>
      <c r="CU224" s="576"/>
      <c r="CV224" s="576"/>
      <c r="CW224" s="576"/>
      <c r="CX224" s="576"/>
      <c r="CY224" s="576"/>
      <c r="CZ224" s="576"/>
      <c r="DA224" s="576"/>
      <c r="DB224" s="576"/>
      <c r="DC224" s="576"/>
      <c r="DD224" s="576"/>
      <c r="DE224" s="576"/>
      <c r="DF224" s="576"/>
      <c r="DG224" s="576"/>
      <c r="DH224" s="116"/>
      <c r="DI224" s="112"/>
      <c r="DJ224">
        <f ca="1">INDIRECT(ADDRESS(ROW()+1,COLUMN(Arbeitszeit!xDay),,,"Arbeitszeit"))</f>
        <v>6</v>
      </c>
    </row>
    <row r="225" spans="1:114">
      <c r="A225" s="462">
        <f>Arbeitszeit!A226</f>
        <v>45054</v>
      </c>
      <c r="B225" s="463">
        <f t="shared" si="13"/>
        <v>45054</v>
      </c>
      <c r="C225" s="146">
        <f t="shared" si="14"/>
        <v>18</v>
      </c>
      <c r="D225" s="145">
        <f t="shared" si="15"/>
        <v>45046</v>
      </c>
      <c r="E225" s="510">
        <f>Arbeitszeit!V226*24</f>
        <v>0</v>
      </c>
      <c r="F225" s="574">
        <f t="shared" si="12"/>
        <v>0</v>
      </c>
      <c r="G225" s="113">
        <f>IF(Arbeitszeit!F226=Urlaub,B_WorkTime*24,)</f>
        <v>0</v>
      </c>
      <c r="H225" s="111"/>
      <c r="I225" s="113">
        <f>IF(Arbeitszeit!F226=Krank,B_WorkTime*24,)</f>
        <v>0</v>
      </c>
      <c r="J225" s="111"/>
      <c r="K225" s="114"/>
      <c r="L225" s="115"/>
      <c r="M225" s="498"/>
      <c r="N225" s="499"/>
      <c r="O225" s="498"/>
      <c r="P225" s="499"/>
      <c r="Q225" s="498"/>
      <c r="R225" s="499"/>
      <c r="S225" s="498"/>
      <c r="T225" s="499"/>
      <c r="U225" s="498"/>
      <c r="V225" s="499"/>
      <c r="W225" s="498"/>
      <c r="X225" s="499"/>
      <c r="Y225" s="498"/>
      <c r="Z225" s="499"/>
      <c r="AA225" s="498"/>
      <c r="AB225" s="499"/>
      <c r="AC225" s="498"/>
      <c r="AD225" s="499"/>
      <c r="AE225" s="498"/>
      <c r="AF225" s="500"/>
      <c r="AG225" s="498"/>
      <c r="AH225" s="500"/>
      <c r="AI225" s="498"/>
      <c r="AJ225" s="500"/>
      <c r="AK225" s="498"/>
      <c r="AL225" s="500"/>
      <c r="AM225" s="501"/>
      <c r="AN225" s="500"/>
      <c r="AO225" s="498"/>
      <c r="AP225" s="500"/>
      <c r="AQ225" s="501"/>
      <c r="AR225" s="500"/>
      <c r="AS225" s="500"/>
      <c r="AT225" s="500"/>
      <c r="AU225" s="501"/>
      <c r="AV225" s="500"/>
      <c r="AW225" s="500"/>
      <c r="AX225" s="500"/>
      <c r="AY225" s="576"/>
      <c r="AZ225" s="576"/>
      <c r="BA225" s="576"/>
      <c r="BB225" s="576"/>
      <c r="BC225" s="576"/>
      <c r="BD225" s="576"/>
      <c r="BE225" s="576"/>
      <c r="BF225" s="576"/>
      <c r="BG225" s="576"/>
      <c r="BH225" s="576"/>
      <c r="BI225" s="576"/>
      <c r="BJ225" s="576"/>
      <c r="BK225" s="576"/>
      <c r="BL225" s="576"/>
      <c r="BM225" s="576"/>
      <c r="BN225" s="576"/>
      <c r="BO225" s="576"/>
      <c r="BP225" s="576"/>
      <c r="BQ225" s="576"/>
      <c r="BR225" s="576"/>
      <c r="BS225" s="576"/>
      <c r="BT225" s="576"/>
      <c r="BU225" s="576"/>
      <c r="BV225" s="576"/>
      <c r="BW225" s="576"/>
      <c r="BX225" s="576"/>
      <c r="BY225" s="576"/>
      <c r="BZ225" s="576"/>
      <c r="CA225" s="576"/>
      <c r="CB225" s="576"/>
      <c r="CC225" s="576"/>
      <c r="CD225" s="576"/>
      <c r="CE225" s="576"/>
      <c r="CF225" s="576"/>
      <c r="CG225" s="576"/>
      <c r="CH225" s="576"/>
      <c r="CI225" s="576"/>
      <c r="CJ225" s="576"/>
      <c r="CK225" s="576"/>
      <c r="CL225" s="576"/>
      <c r="CM225" s="576"/>
      <c r="CN225" s="576"/>
      <c r="CO225" s="576"/>
      <c r="CP225" s="576"/>
      <c r="CQ225" s="576"/>
      <c r="CR225" s="576"/>
      <c r="CS225" s="576"/>
      <c r="CT225" s="576"/>
      <c r="CU225" s="576"/>
      <c r="CV225" s="576"/>
      <c r="CW225" s="576"/>
      <c r="CX225" s="576"/>
      <c r="CY225" s="576"/>
      <c r="CZ225" s="576"/>
      <c r="DA225" s="576"/>
      <c r="DB225" s="576"/>
      <c r="DC225" s="576"/>
      <c r="DD225" s="576"/>
      <c r="DE225" s="576"/>
      <c r="DF225" s="576"/>
      <c r="DG225" s="576"/>
      <c r="DH225" s="116"/>
      <c r="DI225" s="112"/>
      <c r="DJ225">
        <f ca="1">INDIRECT(ADDRESS(ROW()+1,COLUMN(Arbeitszeit!xDay),,,"Arbeitszeit"))</f>
        <v>7</v>
      </c>
    </row>
    <row r="226" spans="1:114">
      <c r="A226" s="462">
        <f>Arbeitszeit!A227</f>
        <v>45055</v>
      </c>
      <c r="B226" s="463">
        <f t="shared" si="13"/>
        <v>45055</v>
      </c>
      <c r="C226" s="146">
        <f t="shared" si="14"/>
        <v>19</v>
      </c>
      <c r="D226" s="145">
        <f t="shared" si="15"/>
        <v>45046</v>
      </c>
      <c r="E226" s="510">
        <f>Arbeitszeit!V227*24</f>
        <v>0</v>
      </c>
      <c r="F226" s="574">
        <f t="shared" si="12"/>
        <v>0</v>
      </c>
      <c r="G226" s="113">
        <f>IF(Arbeitszeit!F227=Urlaub,B_WorkTime*24,)</f>
        <v>0</v>
      </c>
      <c r="H226" s="111"/>
      <c r="I226" s="113">
        <f>IF(Arbeitszeit!F227=Krank,B_WorkTime*24,)</f>
        <v>0</v>
      </c>
      <c r="J226" s="111"/>
      <c r="K226" s="114"/>
      <c r="L226" s="115"/>
      <c r="M226" s="498"/>
      <c r="N226" s="499"/>
      <c r="O226" s="498"/>
      <c r="P226" s="499"/>
      <c r="Q226" s="498"/>
      <c r="R226" s="499"/>
      <c r="S226" s="498"/>
      <c r="T226" s="499"/>
      <c r="U226" s="498"/>
      <c r="V226" s="499"/>
      <c r="W226" s="498"/>
      <c r="X226" s="499"/>
      <c r="Y226" s="498"/>
      <c r="Z226" s="499"/>
      <c r="AA226" s="498"/>
      <c r="AB226" s="499"/>
      <c r="AC226" s="498"/>
      <c r="AD226" s="499"/>
      <c r="AE226" s="498"/>
      <c r="AF226" s="500"/>
      <c r="AG226" s="498"/>
      <c r="AH226" s="500"/>
      <c r="AI226" s="498"/>
      <c r="AJ226" s="500"/>
      <c r="AK226" s="498"/>
      <c r="AL226" s="500"/>
      <c r="AM226" s="501"/>
      <c r="AN226" s="500"/>
      <c r="AO226" s="498"/>
      <c r="AP226" s="500"/>
      <c r="AQ226" s="501"/>
      <c r="AR226" s="500"/>
      <c r="AS226" s="500"/>
      <c r="AT226" s="500"/>
      <c r="AU226" s="501"/>
      <c r="AV226" s="500"/>
      <c r="AW226" s="500"/>
      <c r="AX226" s="500"/>
      <c r="AY226" s="576"/>
      <c r="AZ226" s="576"/>
      <c r="BA226" s="576"/>
      <c r="BB226" s="576"/>
      <c r="BC226" s="576"/>
      <c r="BD226" s="576"/>
      <c r="BE226" s="576"/>
      <c r="BF226" s="576"/>
      <c r="BG226" s="576"/>
      <c r="BH226" s="576"/>
      <c r="BI226" s="576"/>
      <c r="BJ226" s="576"/>
      <c r="BK226" s="576"/>
      <c r="BL226" s="576"/>
      <c r="BM226" s="576"/>
      <c r="BN226" s="576"/>
      <c r="BO226" s="576"/>
      <c r="BP226" s="576"/>
      <c r="BQ226" s="576"/>
      <c r="BR226" s="576"/>
      <c r="BS226" s="576"/>
      <c r="BT226" s="576"/>
      <c r="BU226" s="576"/>
      <c r="BV226" s="576"/>
      <c r="BW226" s="576"/>
      <c r="BX226" s="576"/>
      <c r="BY226" s="576"/>
      <c r="BZ226" s="576"/>
      <c r="CA226" s="576"/>
      <c r="CB226" s="576"/>
      <c r="CC226" s="576"/>
      <c r="CD226" s="576"/>
      <c r="CE226" s="576"/>
      <c r="CF226" s="576"/>
      <c r="CG226" s="576"/>
      <c r="CH226" s="576"/>
      <c r="CI226" s="576"/>
      <c r="CJ226" s="576"/>
      <c r="CK226" s="576"/>
      <c r="CL226" s="576"/>
      <c r="CM226" s="576"/>
      <c r="CN226" s="576"/>
      <c r="CO226" s="576"/>
      <c r="CP226" s="576"/>
      <c r="CQ226" s="576"/>
      <c r="CR226" s="576"/>
      <c r="CS226" s="576"/>
      <c r="CT226" s="576"/>
      <c r="CU226" s="576"/>
      <c r="CV226" s="576"/>
      <c r="CW226" s="576"/>
      <c r="CX226" s="576"/>
      <c r="CY226" s="576"/>
      <c r="CZ226" s="576"/>
      <c r="DA226" s="576"/>
      <c r="DB226" s="576"/>
      <c r="DC226" s="576"/>
      <c r="DD226" s="576"/>
      <c r="DE226" s="576"/>
      <c r="DF226" s="576"/>
      <c r="DG226" s="576"/>
      <c r="DH226" s="116"/>
      <c r="DI226" s="112"/>
      <c r="DJ226">
        <f ca="1">INDIRECT(ADDRESS(ROW()+1,COLUMN(Arbeitszeit!xDay),,,"Arbeitszeit"))</f>
        <v>1</v>
      </c>
    </row>
    <row r="227" spans="1:114">
      <c r="A227" s="462">
        <f>Arbeitszeit!A228</f>
        <v>45056</v>
      </c>
      <c r="B227" s="463">
        <f t="shared" si="13"/>
        <v>45056</v>
      </c>
      <c r="C227" s="146">
        <f t="shared" si="14"/>
        <v>19</v>
      </c>
      <c r="D227" s="145">
        <f t="shared" si="15"/>
        <v>45046</v>
      </c>
      <c r="E227" s="510">
        <f>Arbeitszeit!V228*24</f>
        <v>0</v>
      </c>
      <c r="F227" s="574">
        <f t="shared" si="12"/>
        <v>0</v>
      </c>
      <c r="G227" s="113">
        <f>IF(Arbeitszeit!F228=Urlaub,B_WorkTime*24,)</f>
        <v>0</v>
      </c>
      <c r="H227" s="111"/>
      <c r="I227" s="113">
        <f>IF(Arbeitszeit!F228=Krank,B_WorkTime*24,)</f>
        <v>0</v>
      </c>
      <c r="J227" s="111"/>
      <c r="K227" s="114"/>
      <c r="L227" s="115"/>
      <c r="M227" s="498"/>
      <c r="N227" s="499"/>
      <c r="O227" s="498"/>
      <c r="P227" s="499"/>
      <c r="Q227" s="498"/>
      <c r="R227" s="499"/>
      <c r="S227" s="498"/>
      <c r="T227" s="499"/>
      <c r="U227" s="498"/>
      <c r="V227" s="499"/>
      <c r="W227" s="498"/>
      <c r="X227" s="499"/>
      <c r="Y227" s="498"/>
      <c r="Z227" s="499"/>
      <c r="AA227" s="498"/>
      <c r="AB227" s="499"/>
      <c r="AC227" s="498"/>
      <c r="AD227" s="499"/>
      <c r="AE227" s="498"/>
      <c r="AF227" s="500"/>
      <c r="AG227" s="498"/>
      <c r="AH227" s="500"/>
      <c r="AI227" s="498"/>
      <c r="AJ227" s="500"/>
      <c r="AK227" s="498"/>
      <c r="AL227" s="500"/>
      <c r="AM227" s="501"/>
      <c r="AN227" s="500"/>
      <c r="AO227" s="498"/>
      <c r="AP227" s="500"/>
      <c r="AQ227" s="501"/>
      <c r="AR227" s="500"/>
      <c r="AS227" s="500"/>
      <c r="AT227" s="500"/>
      <c r="AU227" s="501"/>
      <c r="AV227" s="500"/>
      <c r="AW227" s="500"/>
      <c r="AX227" s="500"/>
      <c r="AY227" s="576"/>
      <c r="AZ227" s="576"/>
      <c r="BA227" s="576"/>
      <c r="BB227" s="576"/>
      <c r="BC227" s="576"/>
      <c r="BD227" s="576"/>
      <c r="BE227" s="576"/>
      <c r="BF227" s="576"/>
      <c r="BG227" s="576"/>
      <c r="BH227" s="576"/>
      <c r="BI227" s="576"/>
      <c r="BJ227" s="576"/>
      <c r="BK227" s="576"/>
      <c r="BL227" s="576"/>
      <c r="BM227" s="576"/>
      <c r="BN227" s="576"/>
      <c r="BO227" s="576"/>
      <c r="BP227" s="576"/>
      <c r="BQ227" s="576"/>
      <c r="BR227" s="576"/>
      <c r="BS227" s="576"/>
      <c r="BT227" s="576"/>
      <c r="BU227" s="576"/>
      <c r="BV227" s="576"/>
      <c r="BW227" s="576"/>
      <c r="BX227" s="576"/>
      <c r="BY227" s="576"/>
      <c r="BZ227" s="576"/>
      <c r="CA227" s="576"/>
      <c r="CB227" s="576"/>
      <c r="CC227" s="576"/>
      <c r="CD227" s="576"/>
      <c r="CE227" s="576"/>
      <c r="CF227" s="576"/>
      <c r="CG227" s="576"/>
      <c r="CH227" s="576"/>
      <c r="CI227" s="576"/>
      <c r="CJ227" s="576"/>
      <c r="CK227" s="576"/>
      <c r="CL227" s="576"/>
      <c r="CM227" s="576"/>
      <c r="CN227" s="576"/>
      <c r="CO227" s="576"/>
      <c r="CP227" s="576"/>
      <c r="CQ227" s="576"/>
      <c r="CR227" s="576"/>
      <c r="CS227" s="576"/>
      <c r="CT227" s="576"/>
      <c r="CU227" s="576"/>
      <c r="CV227" s="576"/>
      <c r="CW227" s="576"/>
      <c r="CX227" s="576"/>
      <c r="CY227" s="576"/>
      <c r="CZ227" s="576"/>
      <c r="DA227" s="576"/>
      <c r="DB227" s="576"/>
      <c r="DC227" s="576"/>
      <c r="DD227" s="576"/>
      <c r="DE227" s="576"/>
      <c r="DF227" s="576"/>
      <c r="DG227" s="576"/>
      <c r="DH227" s="116"/>
      <c r="DI227" s="112"/>
      <c r="DJ227">
        <f ca="1">INDIRECT(ADDRESS(ROW()+1,COLUMN(Arbeitszeit!xDay),,,"Arbeitszeit"))</f>
        <v>2</v>
      </c>
    </row>
    <row r="228" spans="1:114">
      <c r="A228" s="462">
        <f>Arbeitszeit!A229</f>
        <v>45057</v>
      </c>
      <c r="B228" s="463">
        <f t="shared" si="13"/>
        <v>45057</v>
      </c>
      <c r="C228" s="146">
        <f t="shared" si="14"/>
        <v>19</v>
      </c>
      <c r="D228" s="145">
        <f t="shared" si="15"/>
        <v>45046</v>
      </c>
      <c r="E228" s="510">
        <f>Arbeitszeit!V229*24</f>
        <v>0</v>
      </c>
      <c r="F228" s="574">
        <f t="shared" si="12"/>
        <v>0</v>
      </c>
      <c r="G228" s="113">
        <f>IF(Arbeitszeit!F229=Urlaub,B_WorkTime*24,)</f>
        <v>0</v>
      </c>
      <c r="H228" s="111"/>
      <c r="I228" s="113">
        <f>IF(Arbeitszeit!F229=Krank,B_WorkTime*24,)</f>
        <v>0</v>
      </c>
      <c r="J228" s="111"/>
      <c r="K228" s="114"/>
      <c r="L228" s="115"/>
      <c r="M228" s="498"/>
      <c r="N228" s="499"/>
      <c r="O228" s="498"/>
      <c r="P228" s="499"/>
      <c r="Q228" s="498"/>
      <c r="R228" s="499"/>
      <c r="S228" s="498"/>
      <c r="T228" s="499"/>
      <c r="U228" s="498"/>
      <c r="V228" s="499"/>
      <c r="W228" s="498"/>
      <c r="X228" s="499"/>
      <c r="Y228" s="498"/>
      <c r="Z228" s="499"/>
      <c r="AA228" s="498"/>
      <c r="AB228" s="499"/>
      <c r="AC228" s="498"/>
      <c r="AD228" s="499"/>
      <c r="AE228" s="498"/>
      <c r="AF228" s="500"/>
      <c r="AG228" s="498"/>
      <c r="AH228" s="500"/>
      <c r="AI228" s="498"/>
      <c r="AJ228" s="500"/>
      <c r="AK228" s="498"/>
      <c r="AL228" s="500"/>
      <c r="AM228" s="501"/>
      <c r="AN228" s="500"/>
      <c r="AO228" s="498"/>
      <c r="AP228" s="500"/>
      <c r="AQ228" s="501"/>
      <c r="AR228" s="500"/>
      <c r="AS228" s="500"/>
      <c r="AT228" s="500"/>
      <c r="AU228" s="501"/>
      <c r="AV228" s="500"/>
      <c r="AW228" s="500"/>
      <c r="AX228" s="500"/>
      <c r="AY228" s="576"/>
      <c r="AZ228" s="576"/>
      <c r="BA228" s="576"/>
      <c r="BB228" s="576"/>
      <c r="BC228" s="576"/>
      <c r="BD228" s="576"/>
      <c r="BE228" s="576"/>
      <c r="BF228" s="576"/>
      <c r="BG228" s="576"/>
      <c r="BH228" s="576"/>
      <c r="BI228" s="576"/>
      <c r="BJ228" s="576"/>
      <c r="BK228" s="576"/>
      <c r="BL228" s="576"/>
      <c r="BM228" s="576"/>
      <c r="BN228" s="576"/>
      <c r="BO228" s="576"/>
      <c r="BP228" s="576"/>
      <c r="BQ228" s="576"/>
      <c r="BR228" s="576"/>
      <c r="BS228" s="576"/>
      <c r="BT228" s="576"/>
      <c r="BU228" s="576"/>
      <c r="BV228" s="576"/>
      <c r="BW228" s="576"/>
      <c r="BX228" s="576"/>
      <c r="BY228" s="576"/>
      <c r="BZ228" s="576"/>
      <c r="CA228" s="576"/>
      <c r="CB228" s="576"/>
      <c r="CC228" s="576"/>
      <c r="CD228" s="576"/>
      <c r="CE228" s="576"/>
      <c r="CF228" s="576"/>
      <c r="CG228" s="576"/>
      <c r="CH228" s="576"/>
      <c r="CI228" s="576"/>
      <c r="CJ228" s="576"/>
      <c r="CK228" s="576"/>
      <c r="CL228" s="576"/>
      <c r="CM228" s="576"/>
      <c r="CN228" s="576"/>
      <c r="CO228" s="576"/>
      <c r="CP228" s="576"/>
      <c r="CQ228" s="576"/>
      <c r="CR228" s="576"/>
      <c r="CS228" s="576"/>
      <c r="CT228" s="576"/>
      <c r="CU228" s="576"/>
      <c r="CV228" s="576"/>
      <c r="CW228" s="576"/>
      <c r="CX228" s="576"/>
      <c r="CY228" s="576"/>
      <c r="CZ228" s="576"/>
      <c r="DA228" s="576"/>
      <c r="DB228" s="576"/>
      <c r="DC228" s="576"/>
      <c r="DD228" s="576"/>
      <c r="DE228" s="576"/>
      <c r="DF228" s="576"/>
      <c r="DG228" s="576"/>
      <c r="DH228" s="116"/>
      <c r="DI228" s="112"/>
      <c r="DJ228">
        <f ca="1">INDIRECT(ADDRESS(ROW()+1,COLUMN(Arbeitszeit!xDay),,,"Arbeitszeit"))</f>
        <v>3</v>
      </c>
    </row>
    <row r="229" spans="1:114">
      <c r="A229" s="462">
        <f>Arbeitszeit!A230</f>
        <v>45058</v>
      </c>
      <c r="B229" s="463">
        <f t="shared" si="13"/>
        <v>45058</v>
      </c>
      <c r="C229" s="146">
        <f t="shared" si="14"/>
        <v>19</v>
      </c>
      <c r="D229" s="145">
        <f t="shared" si="15"/>
        <v>45046</v>
      </c>
      <c r="E229" s="510">
        <f>Arbeitszeit!V230*24</f>
        <v>0</v>
      </c>
      <c r="F229" s="574">
        <f t="shared" si="12"/>
        <v>0</v>
      </c>
      <c r="G229" s="113">
        <f>IF(Arbeitszeit!F230=Urlaub,B_WorkTime*24,)</f>
        <v>0</v>
      </c>
      <c r="H229" s="111"/>
      <c r="I229" s="113">
        <f>IF(Arbeitszeit!F230=Krank,B_WorkTime*24,)</f>
        <v>0</v>
      </c>
      <c r="J229" s="111"/>
      <c r="K229" s="114"/>
      <c r="L229" s="115"/>
      <c r="M229" s="498"/>
      <c r="N229" s="499"/>
      <c r="O229" s="498"/>
      <c r="P229" s="499"/>
      <c r="Q229" s="498"/>
      <c r="R229" s="499"/>
      <c r="S229" s="498"/>
      <c r="T229" s="499"/>
      <c r="U229" s="498"/>
      <c r="V229" s="499"/>
      <c r="W229" s="498"/>
      <c r="X229" s="499"/>
      <c r="Y229" s="498"/>
      <c r="Z229" s="499"/>
      <c r="AA229" s="498"/>
      <c r="AB229" s="499"/>
      <c r="AC229" s="498"/>
      <c r="AD229" s="499"/>
      <c r="AE229" s="498"/>
      <c r="AF229" s="500"/>
      <c r="AG229" s="498"/>
      <c r="AH229" s="500"/>
      <c r="AI229" s="498"/>
      <c r="AJ229" s="500"/>
      <c r="AK229" s="498"/>
      <c r="AL229" s="500"/>
      <c r="AM229" s="501"/>
      <c r="AN229" s="500"/>
      <c r="AO229" s="498"/>
      <c r="AP229" s="500"/>
      <c r="AQ229" s="501"/>
      <c r="AR229" s="500"/>
      <c r="AS229" s="500"/>
      <c r="AT229" s="500"/>
      <c r="AU229" s="501"/>
      <c r="AV229" s="500"/>
      <c r="AW229" s="500"/>
      <c r="AX229" s="500"/>
      <c r="AY229" s="576"/>
      <c r="AZ229" s="576"/>
      <c r="BA229" s="576"/>
      <c r="BB229" s="576"/>
      <c r="BC229" s="576"/>
      <c r="BD229" s="576"/>
      <c r="BE229" s="576"/>
      <c r="BF229" s="576"/>
      <c r="BG229" s="576"/>
      <c r="BH229" s="576"/>
      <c r="BI229" s="576"/>
      <c r="BJ229" s="576"/>
      <c r="BK229" s="576"/>
      <c r="BL229" s="576"/>
      <c r="BM229" s="576"/>
      <c r="BN229" s="576"/>
      <c r="BO229" s="576"/>
      <c r="BP229" s="576"/>
      <c r="BQ229" s="576"/>
      <c r="BR229" s="576"/>
      <c r="BS229" s="576"/>
      <c r="BT229" s="576"/>
      <c r="BU229" s="576"/>
      <c r="BV229" s="576"/>
      <c r="BW229" s="576"/>
      <c r="BX229" s="576"/>
      <c r="BY229" s="576"/>
      <c r="BZ229" s="576"/>
      <c r="CA229" s="576"/>
      <c r="CB229" s="576"/>
      <c r="CC229" s="576"/>
      <c r="CD229" s="576"/>
      <c r="CE229" s="576"/>
      <c r="CF229" s="576"/>
      <c r="CG229" s="576"/>
      <c r="CH229" s="576"/>
      <c r="CI229" s="576"/>
      <c r="CJ229" s="576"/>
      <c r="CK229" s="576"/>
      <c r="CL229" s="576"/>
      <c r="CM229" s="576"/>
      <c r="CN229" s="576"/>
      <c r="CO229" s="576"/>
      <c r="CP229" s="576"/>
      <c r="CQ229" s="576"/>
      <c r="CR229" s="576"/>
      <c r="CS229" s="576"/>
      <c r="CT229" s="576"/>
      <c r="CU229" s="576"/>
      <c r="CV229" s="576"/>
      <c r="CW229" s="576"/>
      <c r="CX229" s="576"/>
      <c r="CY229" s="576"/>
      <c r="CZ229" s="576"/>
      <c r="DA229" s="576"/>
      <c r="DB229" s="576"/>
      <c r="DC229" s="576"/>
      <c r="DD229" s="576"/>
      <c r="DE229" s="576"/>
      <c r="DF229" s="576"/>
      <c r="DG229" s="576"/>
      <c r="DH229" s="116"/>
      <c r="DI229" s="112"/>
      <c r="DJ229">
        <f ca="1">INDIRECT(ADDRESS(ROW()+1,COLUMN(Arbeitszeit!xDay),,,"Arbeitszeit"))</f>
        <v>4</v>
      </c>
    </row>
    <row r="230" spans="1:114">
      <c r="A230" s="462">
        <f>Arbeitszeit!A231</f>
        <v>45059</v>
      </c>
      <c r="B230" s="463">
        <f t="shared" si="13"/>
        <v>45059</v>
      </c>
      <c r="C230" s="146">
        <f t="shared" si="14"/>
        <v>19</v>
      </c>
      <c r="D230" s="145">
        <f t="shared" si="15"/>
        <v>45046</v>
      </c>
      <c r="E230" s="510">
        <f>Arbeitszeit!V231*24</f>
        <v>0</v>
      </c>
      <c r="F230" s="574">
        <f t="shared" si="12"/>
        <v>0</v>
      </c>
      <c r="G230" s="113">
        <f>IF(Arbeitszeit!F231=Urlaub,B_WorkTime*24,)</f>
        <v>0</v>
      </c>
      <c r="H230" s="111"/>
      <c r="I230" s="113">
        <f>IF(Arbeitszeit!F231=Krank,B_WorkTime*24,)</f>
        <v>0</v>
      </c>
      <c r="J230" s="111"/>
      <c r="K230" s="114"/>
      <c r="L230" s="115"/>
      <c r="M230" s="498"/>
      <c r="N230" s="499"/>
      <c r="O230" s="498"/>
      <c r="P230" s="499"/>
      <c r="Q230" s="498"/>
      <c r="R230" s="499"/>
      <c r="S230" s="498"/>
      <c r="T230" s="499"/>
      <c r="U230" s="498"/>
      <c r="V230" s="499"/>
      <c r="W230" s="498"/>
      <c r="X230" s="499"/>
      <c r="Y230" s="498"/>
      <c r="Z230" s="499"/>
      <c r="AA230" s="498"/>
      <c r="AB230" s="499"/>
      <c r="AC230" s="498"/>
      <c r="AD230" s="499"/>
      <c r="AE230" s="498"/>
      <c r="AF230" s="500"/>
      <c r="AG230" s="498"/>
      <c r="AH230" s="500"/>
      <c r="AI230" s="498"/>
      <c r="AJ230" s="500"/>
      <c r="AK230" s="498"/>
      <c r="AL230" s="500"/>
      <c r="AM230" s="501"/>
      <c r="AN230" s="500"/>
      <c r="AO230" s="498"/>
      <c r="AP230" s="500"/>
      <c r="AQ230" s="501"/>
      <c r="AR230" s="500"/>
      <c r="AS230" s="500"/>
      <c r="AT230" s="500"/>
      <c r="AU230" s="501"/>
      <c r="AV230" s="500"/>
      <c r="AW230" s="500"/>
      <c r="AX230" s="500"/>
      <c r="AY230" s="576"/>
      <c r="AZ230" s="576"/>
      <c r="BA230" s="576"/>
      <c r="BB230" s="576"/>
      <c r="BC230" s="576"/>
      <c r="BD230" s="576"/>
      <c r="BE230" s="576"/>
      <c r="BF230" s="576"/>
      <c r="BG230" s="576"/>
      <c r="BH230" s="576"/>
      <c r="BI230" s="576"/>
      <c r="BJ230" s="576"/>
      <c r="BK230" s="576"/>
      <c r="BL230" s="576"/>
      <c r="BM230" s="576"/>
      <c r="BN230" s="576"/>
      <c r="BO230" s="576"/>
      <c r="BP230" s="576"/>
      <c r="BQ230" s="576"/>
      <c r="BR230" s="576"/>
      <c r="BS230" s="576"/>
      <c r="BT230" s="576"/>
      <c r="BU230" s="576"/>
      <c r="BV230" s="576"/>
      <c r="BW230" s="576"/>
      <c r="BX230" s="576"/>
      <c r="BY230" s="576"/>
      <c r="BZ230" s="576"/>
      <c r="CA230" s="576"/>
      <c r="CB230" s="576"/>
      <c r="CC230" s="576"/>
      <c r="CD230" s="576"/>
      <c r="CE230" s="576"/>
      <c r="CF230" s="576"/>
      <c r="CG230" s="576"/>
      <c r="CH230" s="576"/>
      <c r="CI230" s="576"/>
      <c r="CJ230" s="576"/>
      <c r="CK230" s="576"/>
      <c r="CL230" s="576"/>
      <c r="CM230" s="576"/>
      <c r="CN230" s="576"/>
      <c r="CO230" s="576"/>
      <c r="CP230" s="576"/>
      <c r="CQ230" s="576"/>
      <c r="CR230" s="576"/>
      <c r="CS230" s="576"/>
      <c r="CT230" s="576"/>
      <c r="CU230" s="576"/>
      <c r="CV230" s="576"/>
      <c r="CW230" s="576"/>
      <c r="CX230" s="576"/>
      <c r="CY230" s="576"/>
      <c r="CZ230" s="576"/>
      <c r="DA230" s="576"/>
      <c r="DB230" s="576"/>
      <c r="DC230" s="576"/>
      <c r="DD230" s="576"/>
      <c r="DE230" s="576"/>
      <c r="DF230" s="576"/>
      <c r="DG230" s="576"/>
      <c r="DH230" s="116"/>
      <c r="DI230" s="112"/>
      <c r="DJ230">
        <f ca="1">INDIRECT(ADDRESS(ROW()+1,COLUMN(Arbeitszeit!xDay),,,"Arbeitszeit"))</f>
        <v>5</v>
      </c>
    </row>
    <row r="231" spans="1:114">
      <c r="A231" s="462">
        <f>Arbeitszeit!A232</f>
        <v>45060</v>
      </c>
      <c r="B231" s="463">
        <f t="shared" si="13"/>
        <v>45060</v>
      </c>
      <c r="C231" s="146">
        <f t="shared" si="14"/>
        <v>19</v>
      </c>
      <c r="D231" s="145">
        <f t="shared" si="15"/>
        <v>45046</v>
      </c>
      <c r="E231" s="510">
        <f>Arbeitszeit!V232*24</f>
        <v>0</v>
      </c>
      <c r="F231" s="574">
        <f t="shared" si="12"/>
        <v>0</v>
      </c>
      <c r="G231" s="113">
        <f>IF(Arbeitszeit!F232=Urlaub,B_WorkTime*24,)</f>
        <v>0</v>
      </c>
      <c r="H231" s="111"/>
      <c r="I231" s="113">
        <f>IF(Arbeitszeit!F232=Krank,B_WorkTime*24,)</f>
        <v>0</v>
      </c>
      <c r="J231" s="111"/>
      <c r="K231" s="114"/>
      <c r="L231" s="115"/>
      <c r="M231" s="498"/>
      <c r="N231" s="499"/>
      <c r="O231" s="498"/>
      <c r="P231" s="499"/>
      <c r="Q231" s="498"/>
      <c r="R231" s="499"/>
      <c r="S231" s="498"/>
      <c r="T231" s="499"/>
      <c r="U231" s="498"/>
      <c r="V231" s="499"/>
      <c r="W231" s="498"/>
      <c r="X231" s="499"/>
      <c r="Y231" s="498"/>
      <c r="Z231" s="499"/>
      <c r="AA231" s="498"/>
      <c r="AB231" s="499"/>
      <c r="AC231" s="498"/>
      <c r="AD231" s="499"/>
      <c r="AE231" s="498"/>
      <c r="AF231" s="500"/>
      <c r="AG231" s="498"/>
      <c r="AH231" s="500"/>
      <c r="AI231" s="498"/>
      <c r="AJ231" s="500"/>
      <c r="AK231" s="498"/>
      <c r="AL231" s="500"/>
      <c r="AM231" s="501"/>
      <c r="AN231" s="500"/>
      <c r="AO231" s="498"/>
      <c r="AP231" s="500"/>
      <c r="AQ231" s="501"/>
      <c r="AR231" s="500"/>
      <c r="AS231" s="500"/>
      <c r="AT231" s="500"/>
      <c r="AU231" s="501"/>
      <c r="AV231" s="500"/>
      <c r="AW231" s="500"/>
      <c r="AX231" s="500"/>
      <c r="AY231" s="576"/>
      <c r="AZ231" s="576"/>
      <c r="BA231" s="576"/>
      <c r="BB231" s="576"/>
      <c r="BC231" s="576"/>
      <c r="BD231" s="576"/>
      <c r="BE231" s="576"/>
      <c r="BF231" s="576"/>
      <c r="BG231" s="576"/>
      <c r="BH231" s="576"/>
      <c r="BI231" s="576"/>
      <c r="BJ231" s="576"/>
      <c r="BK231" s="576"/>
      <c r="BL231" s="576"/>
      <c r="BM231" s="576"/>
      <c r="BN231" s="576"/>
      <c r="BO231" s="576"/>
      <c r="BP231" s="576"/>
      <c r="BQ231" s="576"/>
      <c r="BR231" s="576"/>
      <c r="BS231" s="576"/>
      <c r="BT231" s="576"/>
      <c r="BU231" s="576"/>
      <c r="BV231" s="576"/>
      <c r="BW231" s="576"/>
      <c r="BX231" s="576"/>
      <c r="BY231" s="576"/>
      <c r="BZ231" s="576"/>
      <c r="CA231" s="576"/>
      <c r="CB231" s="576"/>
      <c r="CC231" s="576"/>
      <c r="CD231" s="576"/>
      <c r="CE231" s="576"/>
      <c r="CF231" s="576"/>
      <c r="CG231" s="576"/>
      <c r="CH231" s="576"/>
      <c r="CI231" s="576"/>
      <c r="CJ231" s="576"/>
      <c r="CK231" s="576"/>
      <c r="CL231" s="576"/>
      <c r="CM231" s="576"/>
      <c r="CN231" s="576"/>
      <c r="CO231" s="576"/>
      <c r="CP231" s="576"/>
      <c r="CQ231" s="576"/>
      <c r="CR231" s="576"/>
      <c r="CS231" s="576"/>
      <c r="CT231" s="576"/>
      <c r="CU231" s="576"/>
      <c r="CV231" s="576"/>
      <c r="CW231" s="576"/>
      <c r="CX231" s="576"/>
      <c r="CY231" s="576"/>
      <c r="CZ231" s="576"/>
      <c r="DA231" s="576"/>
      <c r="DB231" s="576"/>
      <c r="DC231" s="576"/>
      <c r="DD231" s="576"/>
      <c r="DE231" s="576"/>
      <c r="DF231" s="576"/>
      <c r="DG231" s="576"/>
      <c r="DH231" s="116"/>
      <c r="DI231" s="112"/>
      <c r="DJ231">
        <f ca="1">INDIRECT(ADDRESS(ROW()+1,COLUMN(Arbeitszeit!xDay),,,"Arbeitszeit"))</f>
        <v>6</v>
      </c>
    </row>
    <row r="232" spans="1:114">
      <c r="A232" s="462">
        <f>Arbeitszeit!A233</f>
        <v>45061</v>
      </c>
      <c r="B232" s="463">
        <f t="shared" si="13"/>
        <v>45061</v>
      </c>
      <c r="C232" s="146">
        <f t="shared" si="14"/>
        <v>19</v>
      </c>
      <c r="D232" s="145">
        <f t="shared" si="15"/>
        <v>45046</v>
      </c>
      <c r="E232" s="510">
        <f>Arbeitszeit!V233*24</f>
        <v>0</v>
      </c>
      <c r="F232" s="574">
        <f t="shared" si="12"/>
        <v>0</v>
      </c>
      <c r="G232" s="113">
        <f>IF(Arbeitszeit!F233=Urlaub,B_WorkTime*24,)</f>
        <v>0</v>
      </c>
      <c r="H232" s="111"/>
      <c r="I232" s="113">
        <f>IF(Arbeitszeit!F233=Krank,B_WorkTime*24,)</f>
        <v>0</v>
      </c>
      <c r="J232" s="111"/>
      <c r="K232" s="114"/>
      <c r="L232" s="115"/>
      <c r="M232" s="498"/>
      <c r="N232" s="499"/>
      <c r="O232" s="498"/>
      <c r="P232" s="499"/>
      <c r="Q232" s="498"/>
      <c r="R232" s="499"/>
      <c r="S232" s="498"/>
      <c r="T232" s="499"/>
      <c r="U232" s="498"/>
      <c r="V232" s="499"/>
      <c r="W232" s="498"/>
      <c r="X232" s="499"/>
      <c r="Y232" s="498"/>
      <c r="Z232" s="499"/>
      <c r="AA232" s="498"/>
      <c r="AB232" s="499"/>
      <c r="AC232" s="498"/>
      <c r="AD232" s="499"/>
      <c r="AE232" s="498"/>
      <c r="AF232" s="500"/>
      <c r="AG232" s="498"/>
      <c r="AH232" s="500"/>
      <c r="AI232" s="498"/>
      <c r="AJ232" s="500"/>
      <c r="AK232" s="498"/>
      <c r="AL232" s="500"/>
      <c r="AM232" s="501"/>
      <c r="AN232" s="500"/>
      <c r="AO232" s="498"/>
      <c r="AP232" s="500"/>
      <c r="AQ232" s="501"/>
      <c r="AR232" s="500"/>
      <c r="AS232" s="500"/>
      <c r="AT232" s="500"/>
      <c r="AU232" s="501"/>
      <c r="AV232" s="500"/>
      <c r="AW232" s="500"/>
      <c r="AX232" s="500"/>
      <c r="AY232" s="576"/>
      <c r="AZ232" s="576"/>
      <c r="BA232" s="576"/>
      <c r="BB232" s="576"/>
      <c r="BC232" s="576"/>
      <c r="BD232" s="576"/>
      <c r="BE232" s="576"/>
      <c r="BF232" s="576"/>
      <c r="BG232" s="576"/>
      <c r="BH232" s="576"/>
      <c r="BI232" s="576"/>
      <c r="BJ232" s="576"/>
      <c r="BK232" s="576"/>
      <c r="BL232" s="576"/>
      <c r="BM232" s="576"/>
      <c r="BN232" s="576"/>
      <c r="BO232" s="576"/>
      <c r="BP232" s="576"/>
      <c r="BQ232" s="576"/>
      <c r="BR232" s="576"/>
      <c r="BS232" s="576"/>
      <c r="BT232" s="576"/>
      <c r="BU232" s="576"/>
      <c r="BV232" s="576"/>
      <c r="BW232" s="576"/>
      <c r="BX232" s="576"/>
      <c r="BY232" s="576"/>
      <c r="BZ232" s="576"/>
      <c r="CA232" s="576"/>
      <c r="CB232" s="576"/>
      <c r="CC232" s="576"/>
      <c r="CD232" s="576"/>
      <c r="CE232" s="576"/>
      <c r="CF232" s="576"/>
      <c r="CG232" s="576"/>
      <c r="CH232" s="576"/>
      <c r="CI232" s="576"/>
      <c r="CJ232" s="576"/>
      <c r="CK232" s="576"/>
      <c r="CL232" s="576"/>
      <c r="CM232" s="576"/>
      <c r="CN232" s="576"/>
      <c r="CO232" s="576"/>
      <c r="CP232" s="576"/>
      <c r="CQ232" s="576"/>
      <c r="CR232" s="576"/>
      <c r="CS232" s="576"/>
      <c r="CT232" s="576"/>
      <c r="CU232" s="576"/>
      <c r="CV232" s="576"/>
      <c r="CW232" s="576"/>
      <c r="CX232" s="576"/>
      <c r="CY232" s="576"/>
      <c r="CZ232" s="576"/>
      <c r="DA232" s="576"/>
      <c r="DB232" s="576"/>
      <c r="DC232" s="576"/>
      <c r="DD232" s="576"/>
      <c r="DE232" s="576"/>
      <c r="DF232" s="576"/>
      <c r="DG232" s="576"/>
      <c r="DH232" s="116"/>
      <c r="DI232" s="112"/>
      <c r="DJ232">
        <f ca="1">INDIRECT(ADDRESS(ROW()+1,COLUMN(Arbeitszeit!xDay),,,"Arbeitszeit"))</f>
        <v>8</v>
      </c>
    </row>
    <row r="233" spans="1:114">
      <c r="A233" s="462">
        <f>Arbeitszeit!A234</f>
        <v>45062</v>
      </c>
      <c r="B233" s="463">
        <f t="shared" si="13"/>
        <v>45062</v>
      </c>
      <c r="C233" s="146">
        <f t="shared" si="14"/>
        <v>20</v>
      </c>
      <c r="D233" s="145">
        <f t="shared" si="15"/>
        <v>45046</v>
      </c>
      <c r="E233" s="510">
        <f>Arbeitszeit!V234*24</f>
        <v>0</v>
      </c>
      <c r="F233" s="574">
        <f t="shared" si="12"/>
        <v>0</v>
      </c>
      <c r="G233" s="113">
        <f>IF(Arbeitszeit!F234=Urlaub,B_WorkTime*24,)</f>
        <v>0</v>
      </c>
      <c r="H233" s="111"/>
      <c r="I233" s="113">
        <f>IF(Arbeitszeit!F234=Krank,B_WorkTime*24,)</f>
        <v>0</v>
      </c>
      <c r="J233" s="111"/>
      <c r="K233" s="114"/>
      <c r="L233" s="115"/>
      <c r="M233" s="498"/>
      <c r="N233" s="499"/>
      <c r="O233" s="498"/>
      <c r="P233" s="499"/>
      <c r="Q233" s="498"/>
      <c r="R233" s="499"/>
      <c r="S233" s="498"/>
      <c r="T233" s="499"/>
      <c r="U233" s="498"/>
      <c r="V233" s="499"/>
      <c r="W233" s="498"/>
      <c r="X233" s="499"/>
      <c r="Y233" s="498"/>
      <c r="Z233" s="499"/>
      <c r="AA233" s="498"/>
      <c r="AB233" s="499"/>
      <c r="AC233" s="498"/>
      <c r="AD233" s="499"/>
      <c r="AE233" s="498"/>
      <c r="AF233" s="500"/>
      <c r="AG233" s="498"/>
      <c r="AH233" s="500"/>
      <c r="AI233" s="498"/>
      <c r="AJ233" s="500"/>
      <c r="AK233" s="498"/>
      <c r="AL233" s="500"/>
      <c r="AM233" s="501"/>
      <c r="AN233" s="500"/>
      <c r="AO233" s="498"/>
      <c r="AP233" s="500"/>
      <c r="AQ233" s="501"/>
      <c r="AR233" s="500"/>
      <c r="AS233" s="500"/>
      <c r="AT233" s="500"/>
      <c r="AU233" s="501"/>
      <c r="AV233" s="500"/>
      <c r="AW233" s="500"/>
      <c r="AX233" s="500"/>
      <c r="AY233" s="576"/>
      <c r="AZ233" s="576"/>
      <c r="BA233" s="576"/>
      <c r="BB233" s="576"/>
      <c r="BC233" s="576"/>
      <c r="BD233" s="576"/>
      <c r="BE233" s="576"/>
      <c r="BF233" s="576"/>
      <c r="BG233" s="576"/>
      <c r="BH233" s="576"/>
      <c r="BI233" s="576"/>
      <c r="BJ233" s="576"/>
      <c r="BK233" s="576"/>
      <c r="BL233" s="576"/>
      <c r="BM233" s="576"/>
      <c r="BN233" s="576"/>
      <c r="BO233" s="576"/>
      <c r="BP233" s="576"/>
      <c r="BQ233" s="576"/>
      <c r="BR233" s="576"/>
      <c r="BS233" s="576"/>
      <c r="BT233" s="576"/>
      <c r="BU233" s="576"/>
      <c r="BV233" s="576"/>
      <c r="BW233" s="576"/>
      <c r="BX233" s="576"/>
      <c r="BY233" s="576"/>
      <c r="BZ233" s="576"/>
      <c r="CA233" s="576"/>
      <c r="CB233" s="576"/>
      <c r="CC233" s="576"/>
      <c r="CD233" s="576"/>
      <c r="CE233" s="576"/>
      <c r="CF233" s="576"/>
      <c r="CG233" s="576"/>
      <c r="CH233" s="576"/>
      <c r="CI233" s="576"/>
      <c r="CJ233" s="576"/>
      <c r="CK233" s="576"/>
      <c r="CL233" s="576"/>
      <c r="CM233" s="576"/>
      <c r="CN233" s="576"/>
      <c r="CO233" s="576"/>
      <c r="CP233" s="576"/>
      <c r="CQ233" s="576"/>
      <c r="CR233" s="576"/>
      <c r="CS233" s="576"/>
      <c r="CT233" s="576"/>
      <c r="CU233" s="576"/>
      <c r="CV233" s="576"/>
      <c r="CW233" s="576"/>
      <c r="CX233" s="576"/>
      <c r="CY233" s="576"/>
      <c r="CZ233" s="576"/>
      <c r="DA233" s="576"/>
      <c r="DB233" s="576"/>
      <c r="DC233" s="576"/>
      <c r="DD233" s="576"/>
      <c r="DE233" s="576"/>
      <c r="DF233" s="576"/>
      <c r="DG233" s="576"/>
      <c r="DH233" s="116"/>
      <c r="DI233" s="112"/>
      <c r="DJ233">
        <f ca="1">INDIRECT(ADDRESS(ROW()+1,COLUMN(Arbeitszeit!xDay),,,"Arbeitszeit"))</f>
        <v>8</v>
      </c>
    </row>
    <row r="234" spans="1:114">
      <c r="A234" s="462">
        <f>Arbeitszeit!A235</f>
        <v>45063</v>
      </c>
      <c r="B234" s="463">
        <f t="shared" si="13"/>
        <v>45063</v>
      </c>
      <c r="C234" s="146">
        <f t="shared" si="14"/>
        <v>20</v>
      </c>
      <c r="D234" s="145">
        <f t="shared" si="15"/>
        <v>45046</v>
      </c>
      <c r="E234" s="510">
        <f>Arbeitszeit!V235*24</f>
        <v>0</v>
      </c>
      <c r="F234" s="574">
        <f t="shared" si="12"/>
        <v>0</v>
      </c>
      <c r="G234" s="113">
        <f>IF(Arbeitszeit!F235=Urlaub,B_WorkTime*24,)</f>
        <v>0</v>
      </c>
      <c r="H234" s="111"/>
      <c r="I234" s="113">
        <f>IF(Arbeitszeit!F235=Krank,B_WorkTime*24,)</f>
        <v>0</v>
      </c>
      <c r="J234" s="111"/>
      <c r="K234" s="114"/>
      <c r="L234" s="115"/>
      <c r="M234" s="498"/>
      <c r="N234" s="499"/>
      <c r="O234" s="498"/>
      <c r="P234" s="499"/>
      <c r="Q234" s="498"/>
      <c r="R234" s="499"/>
      <c r="S234" s="498"/>
      <c r="T234" s="499"/>
      <c r="U234" s="498"/>
      <c r="V234" s="499"/>
      <c r="W234" s="498"/>
      <c r="X234" s="499"/>
      <c r="Y234" s="498"/>
      <c r="Z234" s="499"/>
      <c r="AA234" s="498"/>
      <c r="AB234" s="499"/>
      <c r="AC234" s="498"/>
      <c r="AD234" s="499"/>
      <c r="AE234" s="498"/>
      <c r="AF234" s="500"/>
      <c r="AG234" s="498"/>
      <c r="AH234" s="500"/>
      <c r="AI234" s="498"/>
      <c r="AJ234" s="500"/>
      <c r="AK234" s="498"/>
      <c r="AL234" s="500"/>
      <c r="AM234" s="501"/>
      <c r="AN234" s="500"/>
      <c r="AO234" s="498"/>
      <c r="AP234" s="500"/>
      <c r="AQ234" s="501"/>
      <c r="AR234" s="500"/>
      <c r="AS234" s="500"/>
      <c r="AT234" s="500"/>
      <c r="AU234" s="501"/>
      <c r="AV234" s="500"/>
      <c r="AW234" s="500"/>
      <c r="AX234" s="500"/>
      <c r="AY234" s="576"/>
      <c r="AZ234" s="576"/>
      <c r="BA234" s="576"/>
      <c r="BB234" s="576"/>
      <c r="BC234" s="576"/>
      <c r="BD234" s="576"/>
      <c r="BE234" s="576"/>
      <c r="BF234" s="576"/>
      <c r="BG234" s="576"/>
      <c r="BH234" s="576"/>
      <c r="BI234" s="576"/>
      <c r="BJ234" s="576"/>
      <c r="BK234" s="576"/>
      <c r="BL234" s="576"/>
      <c r="BM234" s="576"/>
      <c r="BN234" s="576"/>
      <c r="BO234" s="576"/>
      <c r="BP234" s="576"/>
      <c r="BQ234" s="576"/>
      <c r="BR234" s="576"/>
      <c r="BS234" s="576"/>
      <c r="BT234" s="576"/>
      <c r="BU234" s="576"/>
      <c r="BV234" s="576"/>
      <c r="BW234" s="576"/>
      <c r="BX234" s="576"/>
      <c r="BY234" s="576"/>
      <c r="BZ234" s="576"/>
      <c r="CA234" s="576"/>
      <c r="CB234" s="576"/>
      <c r="CC234" s="576"/>
      <c r="CD234" s="576"/>
      <c r="CE234" s="576"/>
      <c r="CF234" s="576"/>
      <c r="CG234" s="576"/>
      <c r="CH234" s="576"/>
      <c r="CI234" s="576"/>
      <c r="CJ234" s="576"/>
      <c r="CK234" s="576"/>
      <c r="CL234" s="576"/>
      <c r="CM234" s="576"/>
      <c r="CN234" s="576"/>
      <c r="CO234" s="576"/>
      <c r="CP234" s="576"/>
      <c r="CQ234" s="576"/>
      <c r="CR234" s="576"/>
      <c r="CS234" s="576"/>
      <c r="CT234" s="576"/>
      <c r="CU234" s="576"/>
      <c r="CV234" s="576"/>
      <c r="CW234" s="576"/>
      <c r="CX234" s="576"/>
      <c r="CY234" s="576"/>
      <c r="CZ234" s="576"/>
      <c r="DA234" s="576"/>
      <c r="DB234" s="576"/>
      <c r="DC234" s="576"/>
      <c r="DD234" s="576"/>
      <c r="DE234" s="576"/>
      <c r="DF234" s="576"/>
      <c r="DG234" s="576"/>
      <c r="DH234" s="116"/>
      <c r="DI234" s="112"/>
      <c r="DJ234">
        <f ca="1">INDIRECT(ADDRESS(ROW()+1,COLUMN(Arbeitszeit!xDay),,,"Arbeitszeit"))</f>
        <v>2</v>
      </c>
    </row>
    <row r="235" spans="1:114">
      <c r="A235" s="462">
        <f>Arbeitszeit!A236</f>
        <v>45064</v>
      </c>
      <c r="B235" s="463">
        <f t="shared" si="13"/>
        <v>45064</v>
      </c>
      <c r="C235" s="146">
        <f t="shared" si="14"/>
        <v>20</v>
      </c>
      <c r="D235" s="145">
        <f t="shared" si="15"/>
        <v>45046</v>
      </c>
      <c r="E235" s="510">
        <f>Arbeitszeit!V236*24</f>
        <v>0</v>
      </c>
      <c r="F235" s="574">
        <f t="shared" si="12"/>
        <v>0</v>
      </c>
      <c r="G235" s="113">
        <f>IF(Arbeitszeit!F236=Urlaub,B_WorkTime*24,)</f>
        <v>0</v>
      </c>
      <c r="H235" s="111"/>
      <c r="I235" s="113">
        <f>IF(Arbeitszeit!F236=Krank,B_WorkTime*24,)</f>
        <v>0</v>
      </c>
      <c r="J235" s="111"/>
      <c r="K235" s="114"/>
      <c r="L235" s="115"/>
      <c r="M235" s="498"/>
      <c r="N235" s="499"/>
      <c r="O235" s="498"/>
      <c r="P235" s="499"/>
      <c r="Q235" s="498"/>
      <c r="R235" s="499"/>
      <c r="S235" s="498"/>
      <c r="T235" s="499"/>
      <c r="U235" s="498"/>
      <c r="V235" s="499"/>
      <c r="W235" s="498"/>
      <c r="X235" s="499"/>
      <c r="Y235" s="498"/>
      <c r="Z235" s="499"/>
      <c r="AA235" s="498"/>
      <c r="AB235" s="499"/>
      <c r="AC235" s="498"/>
      <c r="AD235" s="499"/>
      <c r="AE235" s="498"/>
      <c r="AF235" s="500"/>
      <c r="AG235" s="498"/>
      <c r="AH235" s="500"/>
      <c r="AI235" s="498"/>
      <c r="AJ235" s="500"/>
      <c r="AK235" s="498"/>
      <c r="AL235" s="500"/>
      <c r="AM235" s="501"/>
      <c r="AN235" s="500"/>
      <c r="AO235" s="498"/>
      <c r="AP235" s="500"/>
      <c r="AQ235" s="501"/>
      <c r="AR235" s="500"/>
      <c r="AS235" s="500"/>
      <c r="AT235" s="500"/>
      <c r="AU235" s="501"/>
      <c r="AV235" s="500"/>
      <c r="AW235" s="500"/>
      <c r="AX235" s="500"/>
      <c r="AY235" s="576"/>
      <c r="AZ235" s="576"/>
      <c r="BA235" s="576"/>
      <c r="BB235" s="576"/>
      <c r="BC235" s="576"/>
      <c r="BD235" s="576"/>
      <c r="BE235" s="576"/>
      <c r="BF235" s="576"/>
      <c r="BG235" s="576"/>
      <c r="BH235" s="576"/>
      <c r="BI235" s="576"/>
      <c r="BJ235" s="576"/>
      <c r="BK235" s="576"/>
      <c r="BL235" s="576"/>
      <c r="BM235" s="576"/>
      <c r="BN235" s="576"/>
      <c r="BO235" s="576"/>
      <c r="BP235" s="576"/>
      <c r="BQ235" s="576"/>
      <c r="BR235" s="576"/>
      <c r="BS235" s="576"/>
      <c r="BT235" s="576"/>
      <c r="BU235" s="576"/>
      <c r="BV235" s="576"/>
      <c r="BW235" s="576"/>
      <c r="BX235" s="576"/>
      <c r="BY235" s="576"/>
      <c r="BZ235" s="576"/>
      <c r="CA235" s="576"/>
      <c r="CB235" s="576"/>
      <c r="CC235" s="576"/>
      <c r="CD235" s="576"/>
      <c r="CE235" s="576"/>
      <c r="CF235" s="576"/>
      <c r="CG235" s="576"/>
      <c r="CH235" s="576"/>
      <c r="CI235" s="576"/>
      <c r="CJ235" s="576"/>
      <c r="CK235" s="576"/>
      <c r="CL235" s="576"/>
      <c r="CM235" s="576"/>
      <c r="CN235" s="576"/>
      <c r="CO235" s="576"/>
      <c r="CP235" s="576"/>
      <c r="CQ235" s="576"/>
      <c r="CR235" s="576"/>
      <c r="CS235" s="576"/>
      <c r="CT235" s="576"/>
      <c r="CU235" s="576"/>
      <c r="CV235" s="576"/>
      <c r="CW235" s="576"/>
      <c r="CX235" s="576"/>
      <c r="CY235" s="576"/>
      <c r="CZ235" s="576"/>
      <c r="DA235" s="576"/>
      <c r="DB235" s="576"/>
      <c r="DC235" s="576"/>
      <c r="DD235" s="576"/>
      <c r="DE235" s="576"/>
      <c r="DF235" s="576"/>
      <c r="DG235" s="576"/>
      <c r="DH235" s="116"/>
      <c r="DI235" s="112"/>
      <c r="DJ235">
        <f ca="1">INDIRECT(ADDRESS(ROW()+1,COLUMN(Arbeitszeit!xDay),,,"Arbeitszeit"))</f>
        <v>3</v>
      </c>
    </row>
    <row r="236" spans="1:114">
      <c r="A236" s="462">
        <f>Arbeitszeit!A237</f>
        <v>45065</v>
      </c>
      <c r="B236" s="463">
        <f t="shared" si="13"/>
        <v>45065</v>
      </c>
      <c r="C236" s="146">
        <f t="shared" si="14"/>
        <v>20</v>
      </c>
      <c r="D236" s="145">
        <f t="shared" si="15"/>
        <v>45046</v>
      </c>
      <c r="E236" s="510">
        <f>Arbeitszeit!V237*24</f>
        <v>0</v>
      </c>
      <c r="F236" s="574">
        <f t="shared" si="12"/>
        <v>0</v>
      </c>
      <c r="G236" s="113">
        <f>IF(Arbeitszeit!F237=Urlaub,B_WorkTime*24,)</f>
        <v>0</v>
      </c>
      <c r="H236" s="111"/>
      <c r="I236" s="113">
        <f>IF(Arbeitszeit!F237=Krank,B_WorkTime*24,)</f>
        <v>0</v>
      </c>
      <c r="J236" s="111"/>
      <c r="K236" s="114"/>
      <c r="L236" s="115"/>
      <c r="M236" s="498"/>
      <c r="N236" s="499"/>
      <c r="O236" s="498"/>
      <c r="P236" s="499"/>
      <c r="Q236" s="498"/>
      <c r="R236" s="499"/>
      <c r="S236" s="498"/>
      <c r="T236" s="499"/>
      <c r="U236" s="498"/>
      <c r="V236" s="499"/>
      <c r="W236" s="498"/>
      <c r="X236" s="499"/>
      <c r="Y236" s="498"/>
      <c r="Z236" s="499"/>
      <c r="AA236" s="498"/>
      <c r="AB236" s="499"/>
      <c r="AC236" s="498"/>
      <c r="AD236" s="499"/>
      <c r="AE236" s="498"/>
      <c r="AF236" s="500"/>
      <c r="AG236" s="498"/>
      <c r="AH236" s="500"/>
      <c r="AI236" s="498"/>
      <c r="AJ236" s="500"/>
      <c r="AK236" s="498"/>
      <c r="AL236" s="500"/>
      <c r="AM236" s="501"/>
      <c r="AN236" s="500"/>
      <c r="AO236" s="498"/>
      <c r="AP236" s="500"/>
      <c r="AQ236" s="501"/>
      <c r="AR236" s="500"/>
      <c r="AS236" s="500"/>
      <c r="AT236" s="500"/>
      <c r="AU236" s="501"/>
      <c r="AV236" s="500"/>
      <c r="AW236" s="500"/>
      <c r="AX236" s="500"/>
      <c r="AY236" s="576"/>
      <c r="AZ236" s="576"/>
      <c r="BA236" s="576"/>
      <c r="BB236" s="576"/>
      <c r="BC236" s="576"/>
      <c r="BD236" s="576"/>
      <c r="BE236" s="576"/>
      <c r="BF236" s="576"/>
      <c r="BG236" s="576"/>
      <c r="BH236" s="576"/>
      <c r="BI236" s="576"/>
      <c r="BJ236" s="576"/>
      <c r="BK236" s="576"/>
      <c r="BL236" s="576"/>
      <c r="BM236" s="576"/>
      <c r="BN236" s="576"/>
      <c r="BO236" s="576"/>
      <c r="BP236" s="576"/>
      <c r="BQ236" s="576"/>
      <c r="BR236" s="576"/>
      <c r="BS236" s="576"/>
      <c r="BT236" s="576"/>
      <c r="BU236" s="576"/>
      <c r="BV236" s="576"/>
      <c r="BW236" s="576"/>
      <c r="BX236" s="576"/>
      <c r="BY236" s="576"/>
      <c r="BZ236" s="576"/>
      <c r="CA236" s="576"/>
      <c r="CB236" s="576"/>
      <c r="CC236" s="576"/>
      <c r="CD236" s="576"/>
      <c r="CE236" s="576"/>
      <c r="CF236" s="576"/>
      <c r="CG236" s="576"/>
      <c r="CH236" s="576"/>
      <c r="CI236" s="576"/>
      <c r="CJ236" s="576"/>
      <c r="CK236" s="576"/>
      <c r="CL236" s="576"/>
      <c r="CM236" s="576"/>
      <c r="CN236" s="576"/>
      <c r="CO236" s="576"/>
      <c r="CP236" s="576"/>
      <c r="CQ236" s="576"/>
      <c r="CR236" s="576"/>
      <c r="CS236" s="576"/>
      <c r="CT236" s="576"/>
      <c r="CU236" s="576"/>
      <c r="CV236" s="576"/>
      <c r="CW236" s="576"/>
      <c r="CX236" s="576"/>
      <c r="CY236" s="576"/>
      <c r="CZ236" s="576"/>
      <c r="DA236" s="576"/>
      <c r="DB236" s="576"/>
      <c r="DC236" s="576"/>
      <c r="DD236" s="576"/>
      <c r="DE236" s="576"/>
      <c r="DF236" s="576"/>
      <c r="DG236" s="576"/>
      <c r="DH236" s="116"/>
      <c r="DI236" s="112"/>
      <c r="DJ236">
        <f ca="1">INDIRECT(ADDRESS(ROW()+1,COLUMN(Arbeitszeit!xDay),,,"Arbeitszeit"))</f>
        <v>4</v>
      </c>
    </row>
    <row r="237" spans="1:114">
      <c r="A237" s="462">
        <f>Arbeitszeit!A238</f>
        <v>45066</v>
      </c>
      <c r="B237" s="463">
        <f t="shared" si="13"/>
        <v>45066</v>
      </c>
      <c r="C237" s="146">
        <f t="shared" si="14"/>
        <v>20</v>
      </c>
      <c r="D237" s="145">
        <f t="shared" si="15"/>
        <v>45046</v>
      </c>
      <c r="E237" s="510">
        <f>Arbeitszeit!V238*24</f>
        <v>0</v>
      </c>
      <c r="F237" s="574">
        <f t="shared" si="12"/>
        <v>0</v>
      </c>
      <c r="G237" s="113">
        <f>IF(Arbeitszeit!F238=Urlaub,B_WorkTime*24,)</f>
        <v>0</v>
      </c>
      <c r="H237" s="111"/>
      <c r="I237" s="113">
        <f>IF(Arbeitszeit!F238=Krank,B_WorkTime*24,)</f>
        <v>0</v>
      </c>
      <c r="J237" s="111"/>
      <c r="K237" s="114"/>
      <c r="L237" s="115"/>
      <c r="M237" s="498"/>
      <c r="N237" s="499"/>
      <c r="O237" s="498"/>
      <c r="P237" s="499"/>
      <c r="Q237" s="498"/>
      <c r="R237" s="499"/>
      <c r="S237" s="498"/>
      <c r="T237" s="499"/>
      <c r="U237" s="498"/>
      <c r="V237" s="499"/>
      <c r="W237" s="498"/>
      <c r="X237" s="499"/>
      <c r="Y237" s="498"/>
      <c r="Z237" s="499"/>
      <c r="AA237" s="498"/>
      <c r="AB237" s="499"/>
      <c r="AC237" s="498"/>
      <c r="AD237" s="499"/>
      <c r="AE237" s="498"/>
      <c r="AF237" s="500"/>
      <c r="AG237" s="498"/>
      <c r="AH237" s="500"/>
      <c r="AI237" s="498"/>
      <c r="AJ237" s="500"/>
      <c r="AK237" s="498"/>
      <c r="AL237" s="500"/>
      <c r="AM237" s="501"/>
      <c r="AN237" s="500"/>
      <c r="AO237" s="498"/>
      <c r="AP237" s="500"/>
      <c r="AQ237" s="501"/>
      <c r="AR237" s="500"/>
      <c r="AS237" s="500"/>
      <c r="AT237" s="500"/>
      <c r="AU237" s="501"/>
      <c r="AV237" s="500"/>
      <c r="AW237" s="500"/>
      <c r="AX237" s="500"/>
      <c r="AY237" s="576"/>
      <c r="AZ237" s="576"/>
      <c r="BA237" s="576"/>
      <c r="BB237" s="576"/>
      <c r="BC237" s="576"/>
      <c r="BD237" s="576"/>
      <c r="BE237" s="576"/>
      <c r="BF237" s="576"/>
      <c r="BG237" s="576"/>
      <c r="BH237" s="576"/>
      <c r="BI237" s="576"/>
      <c r="BJ237" s="576"/>
      <c r="BK237" s="576"/>
      <c r="BL237" s="576"/>
      <c r="BM237" s="576"/>
      <c r="BN237" s="576"/>
      <c r="BO237" s="576"/>
      <c r="BP237" s="576"/>
      <c r="BQ237" s="576"/>
      <c r="BR237" s="576"/>
      <c r="BS237" s="576"/>
      <c r="BT237" s="576"/>
      <c r="BU237" s="576"/>
      <c r="BV237" s="576"/>
      <c r="BW237" s="576"/>
      <c r="BX237" s="576"/>
      <c r="BY237" s="576"/>
      <c r="BZ237" s="576"/>
      <c r="CA237" s="576"/>
      <c r="CB237" s="576"/>
      <c r="CC237" s="576"/>
      <c r="CD237" s="576"/>
      <c r="CE237" s="576"/>
      <c r="CF237" s="576"/>
      <c r="CG237" s="576"/>
      <c r="CH237" s="576"/>
      <c r="CI237" s="576"/>
      <c r="CJ237" s="576"/>
      <c r="CK237" s="576"/>
      <c r="CL237" s="576"/>
      <c r="CM237" s="576"/>
      <c r="CN237" s="576"/>
      <c r="CO237" s="576"/>
      <c r="CP237" s="576"/>
      <c r="CQ237" s="576"/>
      <c r="CR237" s="576"/>
      <c r="CS237" s="576"/>
      <c r="CT237" s="576"/>
      <c r="CU237" s="576"/>
      <c r="CV237" s="576"/>
      <c r="CW237" s="576"/>
      <c r="CX237" s="576"/>
      <c r="CY237" s="576"/>
      <c r="CZ237" s="576"/>
      <c r="DA237" s="576"/>
      <c r="DB237" s="576"/>
      <c r="DC237" s="576"/>
      <c r="DD237" s="576"/>
      <c r="DE237" s="576"/>
      <c r="DF237" s="576"/>
      <c r="DG237" s="576"/>
      <c r="DH237" s="116"/>
      <c r="DI237" s="112"/>
      <c r="DJ237">
        <f ca="1">INDIRECT(ADDRESS(ROW()+1,COLUMN(Arbeitszeit!xDay),,,"Arbeitszeit"))</f>
        <v>5</v>
      </c>
    </row>
    <row r="238" spans="1:114">
      <c r="A238" s="462">
        <f>Arbeitszeit!A239</f>
        <v>45067</v>
      </c>
      <c r="B238" s="463">
        <f t="shared" si="13"/>
        <v>45067</v>
      </c>
      <c r="C238" s="146">
        <f t="shared" si="14"/>
        <v>20</v>
      </c>
      <c r="D238" s="145">
        <f t="shared" si="15"/>
        <v>45046</v>
      </c>
      <c r="E238" s="510">
        <f>Arbeitszeit!V239*24</f>
        <v>0</v>
      </c>
      <c r="F238" s="574">
        <f t="shared" si="12"/>
        <v>0</v>
      </c>
      <c r="G238" s="113">
        <f>IF(Arbeitszeit!F239=Urlaub,B_WorkTime*24,)</f>
        <v>0</v>
      </c>
      <c r="H238" s="111"/>
      <c r="I238" s="113">
        <f>IF(Arbeitszeit!F239=Krank,B_WorkTime*24,)</f>
        <v>0</v>
      </c>
      <c r="J238" s="111"/>
      <c r="K238" s="114"/>
      <c r="L238" s="115"/>
      <c r="M238" s="498"/>
      <c r="N238" s="499"/>
      <c r="O238" s="498"/>
      <c r="P238" s="499"/>
      <c r="Q238" s="498"/>
      <c r="R238" s="499"/>
      <c r="S238" s="498"/>
      <c r="T238" s="499"/>
      <c r="U238" s="498"/>
      <c r="V238" s="499"/>
      <c r="W238" s="498"/>
      <c r="X238" s="499"/>
      <c r="Y238" s="498"/>
      <c r="Z238" s="499"/>
      <c r="AA238" s="498"/>
      <c r="AB238" s="499"/>
      <c r="AC238" s="498"/>
      <c r="AD238" s="499"/>
      <c r="AE238" s="498"/>
      <c r="AF238" s="500"/>
      <c r="AG238" s="498"/>
      <c r="AH238" s="500"/>
      <c r="AI238" s="498"/>
      <c r="AJ238" s="500"/>
      <c r="AK238" s="498"/>
      <c r="AL238" s="500"/>
      <c r="AM238" s="501"/>
      <c r="AN238" s="500"/>
      <c r="AO238" s="498"/>
      <c r="AP238" s="500"/>
      <c r="AQ238" s="501"/>
      <c r="AR238" s="500"/>
      <c r="AS238" s="500"/>
      <c r="AT238" s="500"/>
      <c r="AU238" s="501"/>
      <c r="AV238" s="500"/>
      <c r="AW238" s="500"/>
      <c r="AX238" s="500"/>
      <c r="AY238" s="576"/>
      <c r="AZ238" s="576"/>
      <c r="BA238" s="576"/>
      <c r="BB238" s="576"/>
      <c r="BC238" s="576"/>
      <c r="BD238" s="576"/>
      <c r="BE238" s="576"/>
      <c r="BF238" s="576"/>
      <c r="BG238" s="576"/>
      <c r="BH238" s="576"/>
      <c r="BI238" s="576"/>
      <c r="BJ238" s="576"/>
      <c r="BK238" s="576"/>
      <c r="BL238" s="576"/>
      <c r="BM238" s="576"/>
      <c r="BN238" s="576"/>
      <c r="BO238" s="576"/>
      <c r="BP238" s="576"/>
      <c r="BQ238" s="576"/>
      <c r="BR238" s="576"/>
      <c r="BS238" s="576"/>
      <c r="BT238" s="576"/>
      <c r="BU238" s="576"/>
      <c r="BV238" s="576"/>
      <c r="BW238" s="576"/>
      <c r="BX238" s="576"/>
      <c r="BY238" s="576"/>
      <c r="BZ238" s="576"/>
      <c r="CA238" s="576"/>
      <c r="CB238" s="576"/>
      <c r="CC238" s="576"/>
      <c r="CD238" s="576"/>
      <c r="CE238" s="576"/>
      <c r="CF238" s="576"/>
      <c r="CG238" s="576"/>
      <c r="CH238" s="576"/>
      <c r="CI238" s="576"/>
      <c r="CJ238" s="576"/>
      <c r="CK238" s="576"/>
      <c r="CL238" s="576"/>
      <c r="CM238" s="576"/>
      <c r="CN238" s="576"/>
      <c r="CO238" s="576"/>
      <c r="CP238" s="576"/>
      <c r="CQ238" s="576"/>
      <c r="CR238" s="576"/>
      <c r="CS238" s="576"/>
      <c r="CT238" s="576"/>
      <c r="CU238" s="576"/>
      <c r="CV238" s="576"/>
      <c r="CW238" s="576"/>
      <c r="CX238" s="576"/>
      <c r="CY238" s="576"/>
      <c r="CZ238" s="576"/>
      <c r="DA238" s="576"/>
      <c r="DB238" s="576"/>
      <c r="DC238" s="576"/>
      <c r="DD238" s="576"/>
      <c r="DE238" s="576"/>
      <c r="DF238" s="576"/>
      <c r="DG238" s="576"/>
      <c r="DH238" s="116"/>
      <c r="DI238" s="112"/>
      <c r="DJ238">
        <f ca="1">INDIRECT(ADDRESS(ROW()+1,COLUMN(Arbeitszeit!xDay),,,"Arbeitszeit"))</f>
        <v>6</v>
      </c>
    </row>
    <row r="239" spans="1:114">
      <c r="A239" s="462">
        <f>Arbeitszeit!A240</f>
        <v>45068</v>
      </c>
      <c r="B239" s="463">
        <f t="shared" si="13"/>
        <v>45068</v>
      </c>
      <c r="C239" s="146">
        <f t="shared" si="14"/>
        <v>20</v>
      </c>
      <c r="D239" s="145">
        <f t="shared" si="15"/>
        <v>45046</v>
      </c>
      <c r="E239" s="510">
        <f>Arbeitszeit!V240*24</f>
        <v>0</v>
      </c>
      <c r="F239" s="574">
        <f t="shared" si="12"/>
        <v>0</v>
      </c>
      <c r="G239" s="113">
        <f>IF(Arbeitszeit!F240=Urlaub,B_WorkTime*24,)</f>
        <v>0</v>
      </c>
      <c r="H239" s="111"/>
      <c r="I239" s="113">
        <f>IF(Arbeitszeit!F240=Krank,B_WorkTime*24,)</f>
        <v>0</v>
      </c>
      <c r="J239" s="111"/>
      <c r="K239" s="114"/>
      <c r="L239" s="115"/>
      <c r="M239" s="498"/>
      <c r="N239" s="499"/>
      <c r="O239" s="498"/>
      <c r="P239" s="499"/>
      <c r="Q239" s="498"/>
      <c r="R239" s="499"/>
      <c r="S239" s="498"/>
      <c r="T239" s="499"/>
      <c r="U239" s="498"/>
      <c r="V239" s="499"/>
      <c r="W239" s="498"/>
      <c r="X239" s="499"/>
      <c r="Y239" s="498"/>
      <c r="Z239" s="499"/>
      <c r="AA239" s="498"/>
      <c r="AB239" s="499"/>
      <c r="AC239" s="498"/>
      <c r="AD239" s="499"/>
      <c r="AE239" s="498"/>
      <c r="AF239" s="500"/>
      <c r="AG239" s="498"/>
      <c r="AH239" s="500"/>
      <c r="AI239" s="498"/>
      <c r="AJ239" s="500"/>
      <c r="AK239" s="498"/>
      <c r="AL239" s="500"/>
      <c r="AM239" s="501"/>
      <c r="AN239" s="500"/>
      <c r="AO239" s="498"/>
      <c r="AP239" s="500"/>
      <c r="AQ239" s="501"/>
      <c r="AR239" s="500"/>
      <c r="AS239" s="500"/>
      <c r="AT239" s="500"/>
      <c r="AU239" s="501"/>
      <c r="AV239" s="500"/>
      <c r="AW239" s="500"/>
      <c r="AX239" s="500"/>
      <c r="AY239" s="576"/>
      <c r="AZ239" s="576"/>
      <c r="BA239" s="576"/>
      <c r="BB239" s="576"/>
      <c r="BC239" s="576"/>
      <c r="BD239" s="576"/>
      <c r="BE239" s="576"/>
      <c r="BF239" s="576"/>
      <c r="BG239" s="576"/>
      <c r="BH239" s="576"/>
      <c r="BI239" s="576"/>
      <c r="BJ239" s="576"/>
      <c r="BK239" s="576"/>
      <c r="BL239" s="576"/>
      <c r="BM239" s="576"/>
      <c r="BN239" s="576"/>
      <c r="BO239" s="576"/>
      <c r="BP239" s="576"/>
      <c r="BQ239" s="576"/>
      <c r="BR239" s="576"/>
      <c r="BS239" s="576"/>
      <c r="BT239" s="576"/>
      <c r="BU239" s="576"/>
      <c r="BV239" s="576"/>
      <c r="BW239" s="576"/>
      <c r="BX239" s="576"/>
      <c r="BY239" s="576"/>
      <c r="BZ239" s="576"/>
      <c r="CA239" s="576"/>
      <c r="CB239" s="576"/>
      <c r="CC239" s="576"/>
      <c r="CD239" s="576"/>
      <c r="CE239" s="576"/>
      <c r="CF239" s="576"/>
      <c r="CG239" s="576"/>
      <c r="CH239" s="576"/>
      <c r="CI239" s="576"/>
      <c r="CJ239" s="576"/>
      <c r="CK239" s="576"/>
      <c r="CL239" s="576"/>
      <c r="CM239" s="576"/>
      <c r="CN239" s="576"/>
      <c r="CO239" s="576"/>
      <c r="CP239" s="576"/>
      <c r="CQ239" s="576"/>
      <c r="CR239" s="576"/>
      <c r="CS239" s="576"/>
      <c r="CT239" s="576"/>
      <c r="CU239" s="576"/>
      <c r="CV239" s="576"/>
      <c r="CW239" s="576"/>
      <c r="CX239" s="576"/>
      <c r="CY239" s="576"/>
      <c r="CZ239" s="576"/>
      <c r="DA239" s="576"/>
      <c r="DB239" s="576"/>
      <c r="DC239" s="576"/>
      <c r="DD239" s="576"/>
      <c r="DE239" s="576"/>
      <c r="DF239" s="576"/>
      <c r="DG239" s="576"/>
      <c r="DH239" s="116"/>
      <c r="DI239" s="112"/>
      <c r="DJ239">
        <f ca="1">INDIRECT(ADDRESS(ROW()+1,COLUMN(Arbeitszeit!xDay),,,"Arbeitszeit"))</f>
        <v>7</v>
      </c>
    </row>
    <row r="240" spans="1:114">
      <c r="A240" s="462">
        <f>Arbeitszeit!A241</f>
        <v>45069</v>
      </c>
      <c r="B240" s="463">
        <f t="shared" si="13"/>
        <v>45069</v>
      </c>
      <c r="C240" s="146">
        <f t="shared" si="14"/>
        <v>21</v>
      </c>
      <c r="D240" s="145">
        <f t="shared" si="15"/>
        <v>45046</v>
      </c>
      <c r="E240" s="510">
        <f>Arbeitszeit!V241*24</f>
        <v>0</v>
      </c>
      <c r="F240" s="574">
        <f t="shared" si="12"/>
        <v>0</v>
      </c>
      <c r="G240" s="113">
        <f>IF(Arbeitszeit!F241=Urlaub,B_WorkTime*24,)</f>
        <v>0</v>
      </c>
      <c r="H240" s="111"/>
      <c r="I240" s="113">
        <f>IF(Arbeitszeit!F241=Krank,B_WorkTime*24,)</f>
        <v>0</v>
      </c>
      <c r="J240" s="111"/>
      <c r="K240" s="114"/>
      <c r="L240" s="115"/>
      <c r="M240" s="498"/>
      <c r="N240" s="499"/>
      <c r="O240" s="498"/>
      <c r="P240" s="499"/>
      <c r="Q240" s="498"/>
      <c r="R240" s="499"/>
      <c r="S240" s="498"/>
      <c r="T240" s="499"/>
      <c r="U240" s="498"/>
      <c r="V240" s="499"/>
      <c r="W240" s="498"/>
      <c r="X240" s="499"/>
      <c r="Y240" s="498"/>
      <c r="Z240" s="499"/>
      <c r="AA240" s="498"/>
      <c r="AB240" s="499"/>
      <c r="AC240" s="498"/>
      <c r="AD240" s="499"/>
      <c r="AE240" s="498"/>
      <c r="AF240" s="500"/>
      <c r="AG240" s="498"/>
      <c r="AH240" s="500"/>
      <c r="AI240" s="498"/>
      <c r="AJ240" s="500"/>
      <c r="AK240" s="498"/>
      <c r="AL240" s="500"/>
      <c r="AM240" s="501"/>
      <c r="AN240" s="500"/>
      <c r="AO240" s="498"/>
      <c r="AP240" s="500"/>
      <c r="AQ240" s="501"/>
      <c r="AR240" s="500"/>
      <c r="AS240" s="500"/>
      <c r="AT240" s="500"/>
      <c r="AU240" s="501"/>
      <c r="AV240" s="500"/>
      <c r="AW240" s="500"/>
      <c r="AX240" s="500"/>
      <c r="AY240" s="576"/>
      <c r="AZ240" s="576"/>
      <c r="BA240" s="576"/>
      <c r="BB240" s="576"/>
      <c r="BC240" s="576"/>
      <c r="BD240" s="576"/>
      <c r="BE240" s="576"/>
      <c r="BF240" s="576"/>
      <c r="BG240" s="576"/>
      <c r="BH240" s="576"/>
      <c r="BI240" s="576"/>
      <c r="BJ240" s="576"/>
      <c r="BK240" s="576"/>
      <c r="BL240" s="576"/>
      <c r="BM240" s="576"/>
      <c r="BN240" s="576"/>
      <c r="BO240" s="576"/>
      <c r="BP240" s="576"/>
      <c r="BQ240" s="576"/>
      <c r="BR240" s="576"/>
      <c r="BS240" s="576"/>
      <c r="BT240" s="576"/>
      <c r="BU240" s="576"/>
      <c r="BV240" s="576"/>
      <c r="BW240" s="576"/>
      <c r="BX240" s="576"/>
      <c r="BY240" s="576"/>
      <c r="BZ240" s="576"/>
      <c r="CA240" s="576"/>
      <c r="CB240" s="576"/>
      <c r="CC240" s="576"/>
      <c r="CD240" s="576"/>
      <c r="CE240" s="576"/>
      <c r="CF240" s="576"/>
      <c r="CG240" s="576"/>
      <c r="CH240" s="576"/>
      <c r="CI240" s="576"/>
      <c r="CJ240" s="576"/>
      <c r="CK240" s="576"/>
      <c r="CL240" s="576"/>
      <c r="CM240" s="576"/>
      <c r="CN240" s="576"/>
      <c r="CO240" s="576"/>
      <c r="CP240" s="576"/>
      <c r="CQ240" s="576"/>
      <c r="CR240" s="576"/>
      <c r="CS240" s="576"/>
      <c r="CT240" s="576"/>
      <c r="CU240" s="576"/>
      <c r="CV240" s="576"/>
      <c r="CW240" s="576"/>
      <c r="CX240" s="576"/>
      <c r="CY240" s="576"/>
      <c r="CZ240" s="576"/>
      <c r="DA240" s="576"/>
      <c r="DB240" s="576"/>
      <c r="DC240" s="576"/>
      <c r="DD240" s="576"/>
      <c r="DE240" s="576"/>
      <c r="DF240" s="576"/>
      <c r="DG240" s="576"/>
      <c r="DH240" s="116"/>
      <c r="DI240" s="112"/>
      <c r="DJ240">
        <f ca="1">INDIRECT(ADDRESS(ROW()+1,COLUMN(Arbeitszeit!xDay),,,"Arbeitszeit"))</f>
        <v>1</v>
      </c>
    </row>
    <row r="241" spans="1:114">
      <c r="A241" s="462">
        <f>Arbeitszeit!A242</f>
        <v>45070</v>
      </c>
      <c r="B241" s="463">
        <f t="shared" si="13"/>
        <v>45070</v>
      </c>
      <c r="C241" s="146">
        <f t="shared" si="14"/>
        <v>21</v>
      </c>
      <c r="D241" s="145">
        <f t="shared" si="15"/>
        <v>45046</v>
      </c>
      <c r="E241" s="510">
        <f>Arbeitszeit!V242*24</f>
        <v>0</v>
      </c>
      <c r="F241" s="574">
        <f t="shared" si="12"/>
        <v>0</v>
      </c>
      <c r="G241" s="113">
        <f>IF(Arbeitszeit!F242=Urlaub,B_WorkTime*24,)</f>
        <v>0</v>
      </c>
      <c r="H241" s="111"/>
      <c r="I241" s="113">
        <f>IF(Arbeitszeit!F242=Krank,B_WorkTime*24,)</f>
        <v>0</v>
      </c>
      <c r="J241" s="111"/>
      <c r="K241" s="114"/>
      <c r="L241" s="115"/>
      <c r="M241" s="498"/>
      <c r="N241" s="499"/>
      <c r="O241" s="498"/>
      <c r="P241" s="499"/>
      <c r="Q241" s="498"/>
      <c r="R241" s="499"/>
      <c r="S241" s="498"/>
      <c r="T241" s="499"/>
      <c r="U241" s="498"/>
      <c r="V241" s="499"/>
      <c r="W241" s="498"/>
      <c r="X241" s="499"/>
      <c r="Y241" s="498"/>
      <c r="Z241" s="499"/>
      <c r="AA241" s="498"/>
      <c r="AB241" s="499"/>
      <c r="AC241" s="498"/>
      <c r="AD241" s="499"/>
      <c r="AE241" s="498"/>
      <c r="AF241" s="500"/>
      <c r="AG241" s="498"/>
      <c r="AH241" s="500"/>
      <c r="AI241" s="498"/>
      <c r="AJ241" s="500"/>
      <c r="AK241" s="498"/>
      <c r="AL241" s="500"/>
      <c r="AM241" s="501"/>
      <c r="AN241" s="500"/>
      <c r="AO241" s="498"/>
      <c r="AP241" s="500"/>
      <c r="AQ241" s="501"/>
      <c r="AR241" s="500"/>
      <c r="AS241" s="500"/>
      <c r="AT241" s="500"/>
      <c r="AU241" s="501"/>
      <c r="AV241" s="500"/>
      <c r="AW241" s="500"/>
      <c r="AX241" s="500"/>
      <c r="AY241" s="576"/>
      <c r="AZ241" s="576"/>
      <c r="BA241" s="576"/>
      <c r="BB241" s="576"/>
      <c r="BC241" s="576"/>
      <c r="BD241" s="576"/>
      <c r="BE241" s="576"/>
      <c r="BF241" s="576"/>
      <c r="BG241" s="576"/>
      <c r="BH241" s="576"/>
      <c r="BI241" s="576"/>
      <c r="BJ241" s="576"/>
      <c r="BK241" s="576"/>
      <c r="BL241" s="576"/>
      <c r="BM241" s="576"/>
      <c r="BN241" s="576"/>
      <c r="BO241" s="576"/>
      <c r="BP241" s="576"/>
      <c r="BQ241" s="576"/>
      <c r="BR241" s="576"/>
      <c r="BS241" s="576"/>
      <c r="BT241" s="576"/>
      <c r="BU241" s="576"/>
      <c r="BV241" s="576"/>
      <c r="BW241" s="576"/>
      <c r="BX241" s="576"/>
      <c r="BY241" s="576"/>
      <c r="BZ241" s="576"/>
      <c r="CA241" s="576"/>
      <c r="CB241" s="576"/>
      <c r="CC241" s="576"/>
      <c r="CD241" s="576"/>
      <c r="CE241" s="576"/>
      <c r="CF241" s="576"/>
      <c r="CG241" s="576"/>
      <c r="CH241" s="576"/>
      <c r="CI241" s="576"/>
      <c r="CJ241" s="576"/>
      <c r="CK241" s="576"/>
      <c r="CL241" s="576"/>
      <c r="CM241" s="576"/>
      <c r="CN241" s="576"/>
      <c r="CO241" s="576"/>
      <c r="CP241" s="576"/>
      <c r="CQ241" s="576"/>
      <c r="CR241" s="576"/>
      <c r="CS241" s="576"/>
      <c r="CT241" s="576"/>
      <c r="CU241" s="576"/>
      <c r="CV241" s="576"/>
      <c r="CW241" s="576"/>
      <c r="CX241" s="576"/>
      <c r="CY241" s="576"/>
      <c r="CZ241" s="576"/>
      <c r="DA241" s="576"/>
      <c r="DB241" s="576"/>
      <c r="DC241" s="576"/>
      <c r="DD241" s="576"/>
      <c r="DE241" s="576"/>
      <c r="DF241" s="576"/>
      <c r="DG241" s="576"/>
      <c r="DH241" s="116"/>
      <c r="DI241" s="112"/>
      <c r="DJ241">
        <f ca="1">INDIRECT(ADDRESS(ROW()+1,COLUMN(Arbeitszeit!xDay),,,"Arbeitszeit"))</f>
        <v>2</v>
      </c>
    </row>
    <row r="242" spans="1:114">
      <c r="A242" s="462">
        <f>Arbeitszeit!A243</f>
        <v>45071</v>
      </c>
      <c r="B242" s="463">
        <f t="shared" si="13"/>
        <v>45071</v>
      </c>
      <c r="C242" s="146">
        <f t="shared" si="14"/>
        <v>21</v>
      </c>
      <c r="D242" s="145">
        <f t="shared" si="15"/>
        <v>45046</v>
      </c>
      <c r="E242" s="510">
        <f>Arbeitszeit!V243*24</f>
        <v>0</v>
      </c>
      <c r="F242" s="574">
        <f t="shared" si="12"/>
        <v>0</v>
      </c>
      <c r="G242" s="113">
        <f>IF(Arbeitszeit!F243=Urlaub,B_WorkTime*24,)</f>
        <v>0</v>
      </c>
      <c r="H242" s="111"/>
      <c r="I242" s="113">
        <f>IF(Arbeitszeit!F243=Krank,B_WorkTime*24,)</f>
        <v>0</v>
      </c>
      <c r="J242" s="111"/>
      <c r="K242" s="114"/>
      <c r="L242" s="115"/>
      <c r="M242" s="498"/>
      <c r="N242" s="499"/>
      <c r="O242" s="498"/>
      <c r="P242" s="499"/>
      <c r="Q242" s="498"/>
      <c r="R242" s="499"/>
      <c r="S242" s="498"/>
      <c r="T242" s="499"/>
      <c r="U242" s="498"/>
      <c r="V242" s="499"/>
      <c r="W242" s="498"/>
      <c r="X242" s="499"/>
      <c r="Y242" s="498"/>
      <c r="Z242" s="499"/>
      <c r="AA242" s="498"/>
      <c r="AB242" s="499"/>
      <c r="AC242" s="498"/>
      <c r="AD242" s="499"/>
      <c r="AE242" s="498"/>
      <c r="AF242" s="500"/>
      <c r="AG242" s="498"/>
      <c r="AH242" s="500"/>
      <c r="AI242" s="498"/>
      <c r="AJ242" s="500"/>
      <c r="AK242" s="498"/>
      <c r="AL242" s="500"/>
      <c r="AM242" s="501"/>
      <c r="AN242" s="500"/>
      <c r="AO242" s="498"/>
      <c r="AP242" s="500"/>
      <c r="AQ242" s="501"/>
      <c r="AR242" s="500"/>
      <c r="AS242" s="500"/>
      <c r="AT242" s="500"/>
      <c r="AU242" s="501"/>
      <c r="AV242" s="500"/>
      <c r="AW242" s="500"/>
      <c r="AX242" s="500"/>
      <c r="AY242" s="576"/>
      <c r="AZ242" s="576"/>
      <c r="BA242" s="576"/>
      <c r="BB242" s="576"/>
      <c r="BC242" s="576"/>
      <c r="BD242" s="576"/>
      <c r="BE242" s="576"/>
      <c r="BF242" s="576"/>
      <c r="BG242" s="576"/>
      <c r="BH242" s="576"/>
      <c r="BI242" s="576"/>
      <c r="BJ242" s="576"/>
      <c r="BK242" s="576"/>
      <c r="BL242" s="576"/>
      <c r="BM242" s="576"/>
      <c r="BN242" s="576"/>
      <c r="BO242" s="576"/>
      <c r="BP242" s="576"/>
      <c r="BQ242" s="576"/>
      <c r="BR242" s="576"/>
      <c r="BS242" s="576"/>
      <c r="BT242" s="576"/>
      <c r="BU242" s="576"/>
      <c r="BV242" s="576"/>
      <c r="BW242" s="576"/>
      <c r="BX242" s="576"/>
      <c r="BY242" s="576"/>
      <c r="BZ242" s="576"/>
      <c r="CA242" s="576"/>
      <c r="CB242" s="576"/>
      <c r="CC242" s="576"/>
      <c r="CD242" s="576"/>
      <c r="CE242" s="576"/>
      <c r="CF242" s="576"/>
      <c r="CG242" s="576"/>
      <c r="CH242" s="576"/>
      <c r="CI242" s="576"/>
      <c r="CJ242" s="576"/>
      <c r="CK242" s="576"/>
      <c r="CL242" s="576"/>
      <c r="CM242" s="576"/>
      <c r="CN242" s="576"/>
      <c r="CO242" s="576"/>
      <c r="CP242" s="576"/>
      <c r="CQ242" s="576"/>
      <c r="CR242" s="576"/>
      <c r="CS242" s="576"/>
      <c r="CT242" s="576"/>
      <c r="CU242" s="576"/>
      <c r="CV242" s="576"/>
      <c r="CW242" s="576"/>
      <c r="CX242" s="576"/>
      <c r="CY242" s="576"/>
      <c r="CZ242" s="576"/>
      <c r="DA242" s="576"/>
      <c r="DB242" s="576"/>
      <c r="DC242" s="576"/>
      <c r="DD242" s="576"/>
      <c r="DE242" s="576"/>
      <c r="DF242" s="576"/>
      <c r="DG242" s="576"/>
      <c r="DH242" s="116"/>
      <c r="DI242" s="112"/>
      <c r="DJ242">
        <f ca="1">INDIRECT(ADDRESS(ROW()+1,COLUMN(Arbeitszeit!xDay),,,"Arbeitszeit"))</f>
        <v>3</v>
      </c>
    </row>
    <row r="243" spans="1:114">
      <c r="A243" s="462">
        <f>Arbeitszeit!A244</f>
        <v>45072</v>
      </c>
      <c r="B243" s="463">
        <f t="shared" si="13"/>
        <v>45072</v>
      </c>
      <c r="C243" s="146">
        <f t="shared" si="14"/>
        <v>21</v>
      </c>
      <c r="D243" s="145">
        <f t="shared" si="15"/>
        <v>45046</v>
      </c>
      <c r="E243" s="510">
        <f>Arbeitszeit!V244*24</f>
        <v>0</v>
      </c>
      <c r="F243" s="574">
        <f t="shared" si="12"/>
        <v>0</v>
      </c>
      <c r="G243" s="113">
        <f>IF(Arbeitszeit!F244=Urlaub,B_WorkTime*24,)</f>
        <v>0</v>
      </c>
      <c r="H243" s="111"/>
      <c r="I243" s="113">
        <f>IF(Arbeitszeit!F244=Krank,B_WorkTime*24,)</f>
        <v>0</v>
      </c>
      <c r="J243" s="111"/>
      <c r="K243" s="114"/>
      <c r="L243" s="115"/>
      <c r="M243" s="498"/>
      <c r="N243" s="499"/>
      <c r="O243" s="498"/>
      <c r="P243" s="499"/>
      <c r="Q243" s="498"/>
      <c r="R243" s="499"/>
      <c r="S243" s="498"/>
      <c r="T243" s="499"/>
      <c r="U243" s="498"/>
      <c r="V243" s="499"/>
      <c r="W243" s="498"/>
      <c r="X243" s="499"/>
      <c r="Y243" s="498"/>
      <c r="Z243" s="499"/>
      <c r="AA243" s="498"/>
      <c r="AB243" s="499"/>
      <c r="AC243" s="498"/>
      <c r="AD243" s="499"/>
      <c r="AE243" s="498"/>
      <c r="AF243" s="500"/>
      <c r="AG243" s="498"/>
      <c r="AH243" s="500"/>
      <c r="AI243" s="498"/>
      <c r="AJ243" s="500"/>
      <c r="AK243" s="498"/>
      <c r="AL243" s="500"/>
      <c r="AM243" s="501"/>
      <c r="AN243" s="500"/>
      <c r="AO243" s="498"/>
      <c r="AP243" s="500"/>
      <c r="AQ243" s="501"/>
      <c r="AR243" s="500"/>
      <c r="AS243" s="500"/>
      <c r="AT243" s="500"/>
      <c r="AU243" s="501"/>
      <c r="AV243" s="500"/>
      <c r="AW243" s="500"/>
      <c r="AX243" s="500"/>
      <c r="AY243" s="576"/>
      <c r="AZ243" s="576"/>
      <c r="BA243" s="576"/>
      <c r="BB243" s="576"/>
      <c r="BC243" s="576"/>
      <c r="BD243" s="576"/>
      <c r="BE243" s="576"/>
      <c r="BF243" s="576"/>
      <c r="BG243" s="576"/>
      <c r="BH243" s="576"/>
      <c r="BI243" s="576"/>
      <c r="BJ243" s="576"/>
      <c r="BK243" s="576"/>
      <c r="BL243" s="576"/>
      <c r="BM243" s="576"/>
      <c r="BN243" s="576"/>
      <c r="BO243" s="576"/>
      <c r="BP243" s="576"/>
      <c r="BQ243" s="576"/>
      <c r="BR243" s="576"/>
      <c r="BS243" s="576"/>
      <c r="BT243" s="576"/>
      <c r="BU243" s="576"/>
      <c r="BV243" s="576"/>
      <c r="BW243" s="576"/>
      <c r="BX243" s="576"/>
      <c r="BY243" s="576"/>
      <c r="BZ243" s="576"/>
      <c r="CA243" s="576"/>
      <c r="CB243" s="576"/>
      <c r="CC243" s="576"/>
      <c r="CD243" s="576"/>
      <c r="CE243" s="576"/>
      <c r="CF243" s="576"/>
      <c r="CG243" s="576"/>
      <c r="CH243" s="576"/>
      <c r="CI243" s="576"/>
      <c r="CJ243" s="576"/>
      <c r="CK243" s="576"/>
      <c r="CL243" s="576"/>
      <c r="CM243" s="576"/>
      <c r="CN243" s="576"/>
      <c r="CO243" s="576"/>
      <c r="CP243" s="576"/>
      <c r="CQ243" s="576"/>
      <c r="CR243" s="576"/>
      <c r="CS243" s="576"/>
      <c r="CT243" s="576"/>
      <c r="CU243" s="576"/>
      <c r="CV243" s="576"/>
      <c r="CW243" s="576"/>
      <c r="CX243" s="576"/>
      <c r="CY243" s="576"/>
      <c r="CZ243" s="576"/>
      <c r="DA243" s="576"/>
      <c r="DB243" s="576"/>
      <c r="DC243" s="576"/>
      <c r="DD243" s="576"/>
      <c r="DE243" s="576"/>
      <c r="DF243" s="576"/>
      <c r="DG243" s="576"/>
      <c r="DH243" s="116"/>
      <c r="DI243" s="112"/>
      <c r="DJ243">
        <f ca="1">INDIRECT(ADDRESS(ROW()+1,COLUMN(Arbeitszeit!xDay),,,"Arbeitszeit"))</f>
        <v>8</v>
      </c>
    </row>
    <row r="244" spans="1:114">
      <c r="A244" s="462">
        <f>Arbeitszeit!A245</f>
        <v>45073</v>
      </c>
      <c r="B244" s="463">
        <f t="shared" si="13"/>
        <v>45073</v>
      </c>
      <c r="C244" s="146">
        <f t="shared" si="14"/>
        <v>21</v>
      </c>
      <c r="D244" s="145">
        <f t="shared" si="15"/>
        <v>45046</v>
      </c>
      <c r="E244" s="510">
        <f>Arbeitszeit!V245*24</f>
        <v>0</v>
      </c>
      <c r="F244" s="574">
        <f t="shared" si="12"/>
        <v>0</v>
      </c>
      <c r="G244" s="113">
        <f>IF(Arbeitszeit!F245=Urlaub,B_WorkTime*24,)</f>
        <v>0</v>
      </c>
      <c r="H244" s="111"/>
      <c r="I244" s="113">
        <f>IF(Arbeitszeit!F245=Krank,B_WorkTime*24,)</f>
        <v>0</v>
      </c>
      <c r="J244" s="111"/>
      <c r="K244" s="114"/>
      <c r="L244" s="115"/>
      <c r="M244" s="498"/>
      <c r="N244" s="499"/>
      <c r="O244" s="498"/>
      <c r="P244" s="499"/>
      <c r="Q244" s="498"/>
      <c r="R244" s="499"/>
      <c r="S244" s="498"/>
      <c r="T244" s="499"/>
      <c r="U244" s="498"/>
      <c r="V244" s="499"/>
      <c r="W244" s="498"/>
      <c r="X244" s="499"/>
      <c r="Y244" s="498"/>
      <c r="Z244" s="499"/>
      <c r="AA244" s="498"/>
      <c r="AB244" s="499"/>
      <c r="AC244" s="498"/>
      <c r="AD244" s="499"/>
      <c r="AE244" s="498"/>
      <c r="AF244" s="500"/>
      <c r="AG244" s="498"/>
      <c r="AH244" s="500"/>
      <c r="AI244" s="498"/>
      <c r="AJ244" s="500"/>
      <c r="AK244" s="498"/>
      <c r="AL244" s="500"/>
      <c r="AM244" s="501"/>
      <c r="AN244" s="500"/>
      <c r="AO244" s="498"/>
      <c r="AP244" s="500"/>
      <c r="AQ244" s="501"/>
      <c r="AR244" s="500"/>
      <c r="AS244" s="500"/>
      <c r="AT244" s="500"/>
      <c r="AU244" s="501"/>
      <c r="AV244" s="500"/>
      <c r="AW244" s="500"/>
      <c r="AX244" s="500"/>
      <c r="AY244" s="576"/>
      <c r="AZ244" s="576"/>
      <c r="BA244" s="576"/>
      <c r="BB244" s="576"/>
      <c r="BC244" s="576"/>
      <c r="BD244" s="576"/>
      <c r="BE244" s="576"/>
      <c r="BF244" s="576"/>
      <c r="BG244" s="576"/>
      <c r="BH244" s="576"/>
      <c r="BI244" s="576"/>
      <c r="BJ244" s="576"/>
      <c r="BK244" s="576"/>
      <c r="BL244" s="576"/>
      <c r="BM244" s="576"/>
      <c r="BN244" s="576"/>
      <c r="BO244" s="576"/>
      <c r="BP244" s="576"/>
      <c r="BQ244" s="576"/>
      <c r="BR244" s="576"/>
      <c r="BS244" s="576"/>
      <c r="BT244" s="576"/>
      <c r="BU244" s="576"/>
      <c r="BV244" s="576"/>
      <c r="BW244" s="576"/>
      <c r="BX244" s="576"/>
      <c r="BY244" s="576"/>
      <c r="BZ244" s="576"/>
      <c r="CA244" s="576"/>
      <c r="CB244" s="576"/>
      <c r="CC244" s="576"/>
      <c r="CD244" s="576"/>
      <c r="CE244" s="576"/>
      <c r="CF244" s="576"/>
      <c r="CG244" s="576"/>
      <c r="CH244" s="576"/>
      <c r="CI244" s="576"/>
      <c r="CJ244" s="576"/>
      <c r="CK244" s="576"/>
      <c r="CL244" s="576"/>
      <c r="CM244" s="576"/>
      <c r="CN244" s="576"/>
      <c r="CO244" s="576"/>
      <c r="CP244" s="576"/>
      <c r="CQ244" s="576"/>
      <c r="CR244" s="576"/>
      <c r="CS244" s="576"/>
      <c r="CT244" s="576"/>
      <c r="CU244" s="576"/>
      <c r="CV244" s="576"/>
      <c r="CW244" s="576"/>
      <c r="CX244" s="576"/>
      <c r="CY244" s="576"/>
      <c r="CZ244" s="576"/>
      <c r="DA244" s="576"/>
      <c r="DB244" s="576"/>
      <c r="DC244" s="576"/>
      <c r="DD244" s="576"/>
      <c r="DE244" s="576"/>
      <c r="DF244" s="576"/>
      <c r="DG244" s="576"/>
      <c r="DH244" s="116"/>
      <c r="DI244" s="112"/>
      <c r="DJ244">
        <f ca="1">INDIRECT(ADDRESS(ROW()+1,COLUMN(Arbeitszeit!xDay),,,"Arbeitszeit"))</f>
        <v>5</v>
      </c>
    </row>
    <row r="245" spans="1:114">
      <c r="A245" s="462">
        <f>Arbeitszeit!A246</f>
        <v>45074</v>
      </c>
      <c r="B245" s="463">
        <f t="shared" si="13"/>
        <v>45074</v>
      </c>
      <c r="C245" s="146">
        <f t="shared" si="14"/>
        <v>21</v>
      </c>
      <c r="D245" s="145">
        <f t="shared" si="15"/>
        <v>45046</v>
      </c>
      <c r="E245" s="510">
        <f>Arbeitszeit!V246*24</f>
        <v>0</v>
      </c>
      <c r="F245" s="574">
        <f t="shared" si="12"/>
        <v>0</v>
      </c>
      <c r="G245" s="113">
        <f>IF(Arbeitszeit!F246=Urlaub,B_WorkTime*24,)</f>
        <v>0</v>
      </c>
      <c r="H245" s="111"/>
      <c r="I245" s="113">
        <f>IF(Arbeitszeit!F246=Krank,B_WorkTime*24,)</f>
        <v>0</v>
      </c>
      <c r="J245" s="111"/>
      <c r="K245" s="114"/>
      <c r="L245" s="115"/>
      <c r="M245" s="498"/>
      <c r="N245" s="499"/>
      <c r="O245" s="498"/>
      <c r="P245" s="499"/>
      <c r="Q245" s="498"/>
      <c r="R245" s="499"/>
      <c r="S245" s="498"/>
      <c r="T245" s="499"/>
      <c r="U245" s="498"/>
      <c r="V245" s="499"/>
      <c r="W245" s="498"/>
      <c r="X245" s="499"/>
      <c r="Y245" s="498"/>
      <c r="Z245" s="499"/>
      <c r="AA245" s="498"/>
      <c r="AB245" s="499"/>
      <c r="AC245" s="498"/>
      <c r="AD245" s="499"/>
      <c r="AE245" s="498"/>
      <c r="AF245" s="500"/>
      <c r="AG245" s="498"/>
      <c r="AH245" s="500"/>
      <c r="AI245" s="498"/>
      <c r="AJ245" s="500"/>
      <c r="AK245" s="498"/>
      <c r="AL245" s="500"/>
      <c r="AM245" s="501"/>
      <c r="AN245" s="500"/>
      <c r="AO245" s="498"/>
      <c r="AP245" s="500"/>
      <c r="AQ245" s="501"/>
      <c r="AR245" s="500"/>
      <c r="AS245" s="500"/>
      <c r="AT245" s="500"/>
      <c r="AU245" s="501"/>
      <c r="AV245" s="500"/>
      <c r="AW245" s="500"/>
      <c r="AX245" s="500"/>
      <c r="AY245" s="576"/>
      <c r="AZ245" s="576"/>
      <c r="BA245" s="576"/>
      <c r="BB245" s="576"/>
      <c r="BC245" s="576"/>
      <c r="BD245" s="576"/>
      <c r="BE245" s="576"/>
      <c r="BF245" s="576"/>
      <c r="BG245" s="576"/>
      <c r="BH245" s="576"/>
      <c r="BI245" s="576"/>
      <c r="BJ245" s="576"/>
      <c r="BK245" s="576"/>
      <c r="BL245" s="576"/>
      <c r="BM245" s="576"/>
      <c r="BN245" s="576"/>
      <c r="BO245" s="576"/>
      <c r="BP245" s="576"/>
      <c r="BQ245" s="576"/>
      <c r="BR245" s="576"/>
      <c r="BS245" s="576"/>
      <c r="BT245" s="576"/>
      <c r="BU245" s="576"/>
      <c r="BV245" s="576"/>
      <c r="BW245" s="576"/>
      <c r="BX245" s="576"/>
      <c r="BY245" s="576"/>
      <c r="BZ245" s="576"/>
      <c r="CA245" s="576"/>
      <c r="CB245" s="576"/>
      <c r="CC245" s="576"/>
      <c r="CD245" s="576"/>
      <c r="CE245" s="576"/>
      <c r="CF245" s="576"/>
      <c r="CG245" s="576"/>
      <c r="CH245" s="576"/>
      <c r="CI245" s="576"/>
      <c r="CJ245" s="576"/>
      <c r="CK245" s="576"/>
      <c r="CL245" s="576"/>
      <c r="CM245" s="576"/>
      <c r="CN245" s="576"/>
      <c r="CO245" s="576"/>
      <c r="CP245" s="576"/>
      <c r="CQ245" s="576"/>
      <c r="CR245" s="576"/>
      <c r="CS245" s="576"/>
      <c r="CT245" s="576"/>
      <c r="CU245" s="576"/>
      <c r="CV245" s="576"/>
      <c r="CW245" s="576"/>
      <c r="CX245" s="576"/>
      <c r="CY245" s="576"/>
      <c r="CZ245" s="576"/>
      <c r="DA245" s="576"/>
      <c r="DB245" s="576"/>
      <c r="DC245" s="576"/>
      <c r="DD245" s="576"/>
      <c r="DE245" s="576"/>
      <c r="DF245" s="576"/>
      <c r="DG245" s="576"/>
      <c r="DH245" s="116"/>
      <c r="DI245" s="112"/>
      <c r="DJ245">
        <f ca="1">INDIRECT(ADDRESS(ROW()+1,COLUMN(Arbeitszeit!xDay),,,"Arbeitszeit"))</f>
        <v>6</v>
      </c>
    </row>
    <row r="246" spans="1:114">
      <c r="A246" s="462">
        <f>Arbeitszeit!A247</f>
        <v>45075</v>
      </c>
      <c r="B246" s="463">
        <f t="shared" si="13"/>
        <v>45075</v>
      </c>
      <c r="C246" s="146">
        <f t="shared" si="14"/>
        <v>21</v>
      </c>
      <c r="D246" s="145">
        <f t="shared" si="15"/>
        <v>45046</v>
      </c>
      <c r="E246" s="510">
        <f>Arbeitszeit!V247*24</f>
        <v>0</v>
      </c>
      <c r="F246" s="574">
        <f t="shared" si="12"/>
        <v>0</v>
      </c>
      <c r="G246" s="113">
        <f>IF(Arbeitszeit!F247=Urlaub,B_WorkTime*24,)</f>
        <v>0</v>
      </c>
      <c r="H246" s="111"/>
      <c r="I246" s="113">
        <f>IF(Arbeitszeit!F247=Krank,B_WorkTime*24,)</f>
        <v>0</v>
      </c>
      <c r="J246" s="111"/>
      <c r="K246" s="114"/>
      <c r="L246" s="115"/>
      <c r="M246" s="498"/>
      <c r="N246" s="499"/>
      <c r="O246" s="498"/>
      <c r="P246" s="499"/>
      <c r="Q246" s="498"/>
      <c r="R246" s="499"/>
      <c r="S246" s="498"/>
      <c r="T246" s="499"/>
      <c r="U246" s="498"/>
      <c r="V246" s="499"/>
      <c r="W246" s="498"/>
      <c r="X246" s="499"/>
      <c r="Y246" s="498"/>
      <c r="Z246" s="499"/>
      <c r="AA246" s="498"/>
      <c r="AB246" s="499"/>
      <c r="AC246" s="498"/>
      <c r="AD246" s="499"/>
      <c r="AE246" s="498"/>
      <c r="AF246" s="500"/>
      <c r="AG246" s="498"/>
      <c r="AH246" s="500"/>
      <c r="AI246" s="498"/>
      <c r="AJ246" s="500"/>
      <c r="AK246" s="498"/>
      <c r="AL246" s="500"/>
      <c r="AM246" s="501"/>
      <c r="AN246" s="500"/>
      <c r="AO246" s="498"/>
      <c r="AP246" s="500"/>
      <c r="AQ246" s="501"/>
      <c r="AR246" s="500"/>
      <c r="AS246" s="500"/>
      <c r="AT246" s="500"/>
      <c r="AU246" s="501"/>
      <c r="AV246" s="500"/>
      <c r="AW246" s="500"/>
      <c r="AX246" s="500"/>
      <c r="AY246" s="576"/>
      <c r="AZ246" s="576"/>
      <c r="BA246" s="576"/>
      <c r="BB246" s="576"/>
      <c r="BC246" s="576"/>
      <c r="BD246" s="576"/>
      <c r="BE246" s="576"/>
      <c r="BF246" s="576"/>
      <c r="BG246" s="576"/>
      <c r="BH246" s="576"/>
      <c r="BI246" s="576"/>
      <c r="BJ246" s="576"/>
      <c r="BK246" s="576"/>
      <c r="BL246" s="576"/>
      <c r="BM246" s="576"/>
      <c r="BN246" s="576"/>
      <c r="BO246" s="576"/>
      <c r="BP246" s="576"/>
      <c r="BQ246" s="576"/>
      <c r="BR246" s="576"/>
      <c r="BS246" s="576"/>
      <c r="BT246" s="576"/>
      <c r="BU246" s="576"/>
      <c r="BV246" s="576"/>
      <c r="BW246" s="576"/>
      <c r="BX246" s="576"/>
      <c r="BY246" s="576"/>
      <c r="BZ246" s="576"/>
      <c r="CA246" s="576"/>
      <c r="CB246" s="576"/>
      <c r="CC246" s="576"/>
      <c r="CD246" s="576"/>
      <c r="CE246" s="576"/>
      <c r="CF246" s="576"/>
      <c r="CG246" s="576"/>
      <c r="CH246" s="576"/>
      <c r="CI246" s="576"/>
      <c r="CJ246" s="576"/>
      <c r="CK246" s="576"/>
      <c r="CL246" s="576"/>
      <c r="CM246" s="576"/>
      <c r="CN246" s="576"/>
      <c r="CO246" s="576"/>
      <c r="CP246" s="576"/>
      <c r="CQ246" s="576"/>
      <c r="CR246" s="576"/>
      <c r="CS246" s="576"/>
      <c r="CT246" s="576"/>
      <c r="CU246" s="576"/>
      <c r="CV246" s="576"/>
      <c r="CW246" s="576"/>
      <c r="CX246" s="576"/>
      <c r="CY246" s="576"/>
      <c r="CZ246" s="576"/>
      <c r="DA246" s="576"/>
      <c r="DB246" s="576"/>
      <c r="DC246" s="576"/>
      <c r="DD246" s="576"/>
      <c r="DE246" s="576"/>
      <c r="DF246" s="576"/>
      <c r="DG246" s="576"/>
      <c r="DH246" s="116"/>
      <c r="DI246" s="112"/>
      <c r="DJ246">
        <f ca="1">INDIRECT(ADDRESS(ROW()+1,COLUMN(Arbeitszeit!xDay),,,"Arbeitszeit"))</f>
        <v>7</v>
      </c>
    </row>
    <row r="247" spans="1:114">
      <c r="A247" s="462">
        <f>Arbeitszeit!A248</f>
        <v>45076</v>
      </c>
      <c r="B247" s="463">
        <f t="shared" si="13"/>
        <v>45076</v>
      </c>
      <c r="C247" s="146">
        <f t="shared" si="14"/>
        <v>22</v>
      </c>
      <c r="D247" s="145">
        <f t="shared" si="15"/>
        <v>45046</v>
      </c>
      <c r="E247" s="510">
        <f>Arbeitszeit!V248*24</f>
        <v>0</v>
      </c>
      <c r="F247" s="574">
        <f t="shared" si="12"/>
        <v>0</v>
      </c>
      <c r="G247" s="113">
        <f>IF(Arbeitszeit!F248=Urlaub,B_WorkTime*24,)</f>
        <v>0</v>
      </c>
      <c r="H247" s="111"/>
      <c r="I247" s="113">
        <f>IF(Arbeitszeit!F248=Krank,B_WorkTime*24,)</f>
        <v>0</v>
      </c>
      <c r="J247" s="111"/>
      <c r="K247" s="114"/>
      <c r="L247" s="115"/>
      <c r="M247" s="498"/>
      <c r="N247" s="499"/>
      <c r="O247" s="498"/>
      <c r="P247" s="499"/>
      <c r="Q247" s="498"/>
      <c r="R247" s="499"/>
      <c r="S247" s="498"/>
      <c r="T247" s="499"/>
      <c r="U247" s="498"/>
      <c r="V247" s="499"/>
      <c r="W247" s="498"/>
      <c r="X247" s="499"/>
      <c r="Y247" s="498"/>
      <c r="Z247" s="499"/>
      <c r="AA247" s="498"/>
      <c r="AB247" s="499"/>
      <c r="AC247" s="498"/>
      <c r="AD247" s="499"/>
      <c r="AE247" s="498"/>
      <c r="AF247" s="500"/>
      <c r="AG247" s="498"/>
      <c r="AH247" s="500"/>
      <c r="AI247" s="498"/>
      <c r="AJ247" s="500"/>
      <c r="AK247" s="498"/>
      <c r="AL247" s="500"/>
      <c r="AM247" s="501"/>
      <c r="AN247" s="500"/>
      <c r="AO247" s="498"/>
      <c r="AP247" s="500"/>
      <c r="AQ247" s="501"/>
      <c r="AR247" s="500"/>
      <c r="AS247" s="500"/>
      <c r="AT247" s="500"/>
      <c r="AU247" s="501"/>
      <c r="AV247" s="500"/>
      <c r="AW247" s="500"/>
      <c r="AX247" s="500"/>
      <c r="AY247" s="576"/>
      <c r="AZ247" s="576"/>
      <c r="BA247" s="576"/>
      <c r="BB247" s="576"/>
      <c r="BC247" s="576"/>
      <c r="BD247" s="576"/>
      <c r="BE247" s="576"/>
      <c r="BF247" s="576"/>
      <c r="BG247" s="576"/>
      <c r="BH247" s="576"/>
      <c r="BI247" s="576"/>
      <c r="BJ247" s="576"/>
      <c r="BK247" s="576"/>
      <c r="BL247" s="576"/>
      <c r="BM247" s="576"/>
      <c r="BN247" s="576"/>
      <c r="BO247" s="576"/>
      <c r="BP247" s="576"/>
      <c r="BQ247" s="576"/>
      <c r="BR247" s="576"/>
      <c r="BS247" s="576"/>
      <c r="BT247" s="576"/>
      <c r="BU247" s="576"/>
      <c r="BV247" s="576"/>
      <c r="BW247" s="576"/>
      <c r="BX247" s="576"/>
      <c r="BY247" s="576"/>
      <c r="BZ247" s="576"/>
      <c r="CA247" s="576"/>
      <c r="CB247" s="576"/>
      <c r="CC247" s="576"/>
      <c r="CD247" s="576"/>
      <c r="CE247" s="576"/>
      <c r="CF247" s="576"/>
      <c r="CG247" s="576"/>
      <c r="CH247" s="576"/>
      <c r="CI247" s="576"/>
      <c r="CJ247" s="576"/>
      <c r="CK247" s="576"/>
      <c r="CL247" s="576"/>
      <c r="CM247" s="576"/>
      <c r="CN247" s="576"/>
      <c r="CO247" s="576"/>
      <c r="CP247" s="576"/>
      <c r="CQ247" s="576"/>
      <c r="CR247" s="576"/>
      <c r="CS247" s="576"/>
      <c r="CT247" s="576"/>
      <c r="CU247" s="576"/>
      <c r="CV247" s="576"/>
      <c r="CW247" s="576"/>
      <c r="CX247" s="576"/>
      <c r="CY247" s="576"/>
      <c r="CZ247" s="576"/>
      <c r="DA247" s="576"/>
      <c r="DB247" s="576"/>
      <c r="DC247" s="576"/>
      <c r="DD247" s="576"/>
      <c r="DE247" s="576"/>
      <c r="DF247" s="576"/>
      <c r="DG247" s="576"/>
      <c r="DH247" s="116"/>
      <c r="DI247" s="112"/>
      <c r="DJ247">
        <f ca="1">INDIRECT(ADDRESS(ROW()+1,COLUMN(Arbeitszeit!xDay),,,"Arbeitszeit"))</f>
        <v>1</v>
      </c>
    </row>
    <row r="248" spans="1:114">
      <c r="A248" s="462">
        <f>Arbeitszeit!A249</f>
        <v>45077</v>
      </c>
      <c r="B248" s="463">
        <f t="shared" si="13"/>
        <v>45077</v>
      </c>
      <c r="C248" s="146">
        <f t="shared" si="14"/>
        <v>22</v>
      </c>
      <c r="D248" s="145">
        <f t="shared" si="15"/>
        <v>45077</v>
      </c>
      <c r="E248" s="510">
        <f>Arbeitszeit!V249*24</f>
        <v>0</v>
      </c>
      <c r="F248" s="574">
        <f t="shared" si="12"/>
        <v>0</v>
      </c>
      <c r="G248" s="113">
        <f>IF(Arbeitszeit!F249=Urlaub,B_WorkTime*24,)</f>
        <v>0</v>
      </c>
      <c r="H248" s="111"/>
      <c r="I248" s="113">
        <f>IF(Arbeitszeit!F249=Krank,B_WorkTime*24,)</f>
        <v>0</v>
      </c>
      <c r="J248" s="111"/>
      <c r="K248" s="114"/>
      <c r="L248" s="115"/>
      <c r="M248" s="498"/>
      <c r="N248" s="499"/>
      <c r="O248" s="498"/>
      <c r="P248" s="499"/>
      <c r="Q248" s="498"/>
      <c r="R248" s="499"/>
      <c r="S248" s="498"/>
      <c r="T248" s="499"/>
      <c r="U248" s="498"/>
      <c r="V248" s="499"/>
      <c r="W248" s="498"/>
      <c r="X248" s="499"/>
      <c r="Y248" s="498"/>
      <c r="Z248" s="499"/>
      <c r="AA248" s="498"/>
      <c r="AB248" s="499"/>
      <c r="AC248" s="498"/>
      <c r="AD248" s="499"/>
      <c r="AE248" s="498"/>
      <c r="AF248" s="500"/>
      <c r="AG248" s="498"/>
      <c r="AH248" s="500"/>
      <c r="AI248" s="498"/>
      <c r="AJ248" s="500"/>
      <c r="AK248" s="498"/>
      <c r="AL248" s="500"/>
      <c r="AM248" s="501"/>
      <c r="AN248" s="500"/>
      <c r="AO248" s="498"/>
      <c r="AP248" s="500"/>
      <c r="AQ248" s="501"/>
      <c r="AR248" s="500"/>
      <c r="AS248" s="500"/>
      <c r="AT248" s="500"/>
      <c r="AU248" s="501"/>
      <c r="AV248" s="500"/>
      <c r="AW248" s="500"/>
      <c r="AX248" s="500"/>
      <c r="AY248" s="576"/>
      <c r="AZ248" s="576"/>
      <c r="BA248" s="576"/>
      <c r="BB248" s="576"/>
      <c r="BC248" s="576"/>
      <c r="BD248" s="576"/>
      <c r="BE248" s="576"/>
      <c r="BF248" s="576"/>
      <c r="BG248" s="576"/>
      <c r="BH248" s="576"/>
      <c r="BI248" s="576"/>
      <c r="BJ248" s="576"/>
      <c r="BK248" s="576"/>
      <c r="BL248" s="576"/>
      <c r="BM248" s="576"/>
      <c r="BN248" s="576"/>
      <c r="BO248" s="576"/>
      <c r="BP248" s="576"/>
      <c r="BQ248" s="576"/>
      <c r="BR248" s="576"/>
      <c r="BS248" s="576"/>
      <c r="BT248" s="576"/>
      <c r="BU248" s="576"/>
      <c r="BV248" s="576"/>
      <c r="BW248" s="576"/>
      <c r="BX248" s="576"/>
      <c r="BY248" s="576"/>
      <c r="BZ248" s="576"/>
      <c r="CA248" s="576"/>
      <c r="CB248" s="576"/>
      <c r="CC248" s="576"/>
      <c r="CD248" s="576"/>
      <c r="CE248" s="576"/>
      <c r="CF248" s="576"/>
      <c r="CG248" s="576"/>
      <c r="CH248" s="576"/>
      <c r="CI248" s="576"/>
      <c r="CJ248" s="576"/>
      <c r="CK248" s="576"/>
      <c r="CL248" s="576"/>
      <c r="CM248" s="576"/>
      <c r="CN248" s="576"/>
      <c r="CO248" s="576"/>
      <c r="CP248" s="576"/>
      <c r="CQ248" s="576"/>
      <c r="CR248" s="576"/>
      <c r="CS248" s="576"/>
      <c r="CT248" s="576"/>
      <c r="CU248" s="576"/>
      <c r="CV248" s="576"/>
      <c r="CW248" s="576"/>
      <c r="CX248" s="576"/>
      <c r="CY248" s="576"/>
      <c r="CZ248" s="576"/>
      <c r="DA248" s="576"/>
      <c r="DB248" s="576"/>
      <c r="DC248" s="576"/>
      <c r="DD248" s="576"/>
      <c r="DE248" s="576"/>
      <c r="DF248" s="576"/>
      <c r="DG248" s="576"/>
      <c r="DH248" s="116"/>
      <c r="DI248" s="112"/>
      <c r="DJ248">
        <f ca="1">INDIRECT(ADDRESS(ROW()+1,COLUMN(Arbeitszeit!xDay),,,"Arbeitszeit"))</f>
        <v>2</v>
      </c>
    </row>
    <row r="249" spans="1:114">
      <c r="A249" s="462">
        <f>Arbeitszeit!A250</f>
        <v>45078</v>
      </c>
      <c r="B249" s="463">
        <f t="shared" si="13"/>
        <v>45078</v>
      </c>
      <c r="C249" s="146">
        <f t="shared" si="14"/>
        <v>22</v>
      </c>
      <c r="D249" s="145">
        <f t="shared" si="15"/>
        <v>45077</v>
      </c>
      <c r="E249" s="510">
        <f>Arbeitszeit!V250*24</f>
        <v>0</v>
      </c>
      <c r="F249" s="574">
        <f t="shared" si="12"/>
        <v>0</v>
      </c>
      <c r="G249" s="113">
        <f>IF(Arbeitszeit!F250=Urlaub,B_WorkTime*24,)</f>
        <v>0</v>
      </c>
      <c r="H249" s="111"/>
      <c r="I249" s="113">
        <f>IF(Arbeitszeit!F250=Krank,B_WorkTime*24,)</f>
        <v>0</v>
      </c>
      <c r="J249" s="111"/>
      <c r="K249" s="114"/>
      <c r="L249" s="115"/>
      <c r="M249" s="498"/>
      <c r="N249" s="499"/>
      <c r="O249" s="498"/>
      <c r="P249" s="499"/>
      <c r="Q249" s="498"/>
      <c r="R249" s="499"/>
      <c r="S249" s="498"/>
      <c r="T249" s="499"/>
      <c r="U249" s="498"/>
      <c r="V249" s="499"/>
      <c r="W249" s="498"/>
      <c r="X249" s="499"/>
      <c r="Y249" s="498"/>
      <c r="Z249" s="499"/>
      <c r="AA249" s="498"/>
      <c r="AB249" s="499"/>
      <c r="AC249" s="498"/>
      <c r="AD249" s="499"/>
      <c r="AE249" s="498"/>
      <c r="AF249" s="500"/>
      <c r="AG249" s="498"/>
      <c r="AH249" s="500"/>
      <c r="AI249" s="498"/>
      <c r="AJ249" s="500"/>
      <c r="AK249" s="498"/>
      <c r="AL249" s="500"/>
      <c r="AM249" s="501"/>
      <c r="AN249" s="500"/>
      <c r="AO249" s="498"/>
      <c r="AP249" s="500"/>
      <c r="AQ249" s="501"/>
      <c r="AR249" s="500"/>
      <c r="AS249" s="500"/>
      <c r="AT249" s="500"/>
      <c r="AU249" s="501"/>
      <c r="AV249" s="500"/>
      <c r="AW249" s="500"/>
      <c r="AX249" s="500"/>
      <c r="AY249" s="576"/>
      <c r="AZ249" s="576"/>
      <c r="BA249" s="576"/>
      <c r="BB249" s="576"/>
      <c r="BC249" s="576"/>
      <c r="BD249" s="576"/>
      <c r="BE249" s="576"/>
      <c r="BF249" s="576"/>
      <c r="BG249" s="576"/>
      <c r="BH249" s="576"/>
      <c r="BI249" s="576"/>
      <c r="BJ249" s="576"/>
      <c r="BK249" s="576"/>
      <c r="BL249" s="576"/>
      <c r="BM249" s="576"/>
      <c r="BN249" s="576"/>
      <c r="BO249" s="576"/>
      <c r="BP249" s="576"/>
      <c r="BQ249" s="576"/>
      <c r="BR249" s="576"/>
      <c r="BS249" s="576"/>
      <c r="BT249" s="576"/>
      <c r="BU249" s="576"/>
      <c r="BV249" s="576"/>
      <c r="BW249" s="576"/>
      <c r="BX249" s="576"/>
      <c r="BY249" s="576"/>
      <c r="BZ249" s="576"/>
      <c r="CA249" s="576"/>
      <c r="CB249" s="576"/>
      <c r="CC249" s="576"/>
      <c r="CD249" s="576"/>
      <c r="CE249" s="576"/>
      <c r="CF249" s="576"/>
      <c r="CG249" s="576"/>
      <c r="CH249" s="576"/>
      <c r="CI249" s="576"/>
      <c r="CJ249" s="576"/>
      <c r="CK249" s="576"/>
      <c r="CL249" s="576"/>
      <c r="CM249" s="576"/>
      <c r="CN249" s="576"/>
      <c r="CO249" s="576"/>
      <c r="CP249" s="576"/>
      <c r="CQ249" s="576"/>
      <c r="CR249" s="576"/>
      <c r="CS249" s="576"/>
      <c r="CT249" s="576"/>
      <c r="CU249" s="576"/>
      <c r="CV249" s="576"/>
      <c r="CW249" s="576"/>
      <c r="CX249" s="576"/>
      <c r="CY249" s="576"/>
      <c r="CZ249" s="576"/>
      <c r="DA249" s="576"/>
      <c r="DB249" s="576"/>
      <c r="DC249" s="576"/>
      <c r="DD249" s="576"/>
      <c r="DE249" s="576"/>
      <c r="DF249" s="576"/>
      <c r="DG249" s="576"/>
      <c r="DH249" s="116"/>
      <c r="DI249" s="112"/>
      <c r="DJ249">
        <f ca="1">INDIRECT(ADDRESS(ROW()+1,COLUMN(Arbeitszeit!xDay),,,"Arbeitszeit"))</f>
        <v>3</v>
      </c>
    </row>
    <row r="250" spans="1:114">
      <c r="A250" s="462">
        <f>Arbeitszeit!A251</f>
        <v>45079</v>
      </c>
      <c r="B250" s="463">
        <f t="shared" si="13"/>
        <v>45079</v>
      </c>
      <c r="C250" s="146">
        <f t="shared" si="14"/>
        <v>22</v>
      </c>
      <c r="D250" s="145">
        <f t="shared" si="15"/>
        <v>45077</v>
      </c>
      <c r="E250" s="510">
        <f>Arbeitszeit!V251*24</f>
        <v>0</v>
      </c>
      <c r="F250" s="574">
        <f t="shared" si="12"/>
        <v>0</v>
      </c>
      <c r="G250" s="113">
        <f>IF(Arbeitszeit!F251=Urlaub,B_WorkTime*24,)</f>
        <v>0</v>
      </c>
      <c r="H250" s="111"/>
      <c r="I250" s="113">
        <f>IF(Arbeitszeit!F251=Krank,B_WorkTime*24,)</f>
        <v>0</v>
      </c>
      <c r="J250" s="111"/>
      <c r="K250" s="114"/>
      <c r="L250" s="115"/>
      <c r="M250" s="498"/>
      <c r="N250" s="499"/>
      <c r="O250" s="498"/>
      <c r="P250" s="499"/>
      <c r="Q250" s="498"/>
      <c r="R250" s="499"/>
      <c r="S250" s="498"/>
      <c r="T250" s="502"/>
      <c r="U250" s="498"/>
      <c r="V250" s="499"/>
      <c r="W250" s="498"/>
      <c r="X250" s="499"/>
      <c r="Y250" s="498"/>
      <c r="Z250" s="499"/>
      <c r="AA250" s="498"/>
      <c r="AB250" s="499"/>
      <c r="AC250" s="498"/>
      <c r="AD250" s="499"/>
      <c r="AE250" s="498"/>
      <c r="AF250" s="500"/>
      <c r="AG250" s="498"/>
      <c r="AH250" s="500"/>
      <c r="AI250" s="498"/>
      <c r="AJ250" s="500"/>
      <c r="AK250" s="498"/>
      <c r="AL250" s="500"/>
      <c r="AM250" s="501"/>
      <c r="AN250" s="500"/>
      <c r="AO250" s="498"/>
      <c r="AP250" s="500"/>
      <c r="AQ250" s="501"/>
      <c r="AR250" s="500"/>
      <c r="AS250" s="500"/>
      <c r="AT250" s="500"/>
      <c r="AU250" s="501"/>
      <c r="AV250" s="500"/>
      <c r="AW250" s="500"/>
      <c r="AX250" s="500"/>
      <c r="AY250" s="576"/>
      <c r="AZ250" s="576"/>
      <c r="BA250" s="576"/>
      <c r="BB250" s="576"/>
      <c r="BC250" s="576"/>
      <c r="BD250" s="576"/>
      <c r="BE250" s="576"/>
      <c r="BF250" s="576"/>
      <c r="BG250" s="576"/>
      <c r="BH250" s="576"/>
      <c r="BI250" s="576"/>
      <c r="BJ250" s="576"/>
      <c r="BK250" s="576"/>
      <c r="BL250" s="576"/>
      <c r="BM250" s="576"/>
      <c r="BN250" s="576"/>
      <c r="BO250" s="576"/>
      <c r="BP250" s="576"/>
      <c r="BQ250" s="576"/>
      <c r="BR250" s="576"/>
      <c r="BS250" s="576"/>
      <c r="BT250" s="576"/>
      <c r="BU250" s="576"/>
      <c r="BV250" s="576"/>
      <c r="BW250" s="576"/>
      <c r="BX250" s="576"/>
      <c r="BY250" s="576"/>
      <c r="BZ250" s="576"/>
      <c r="CA250" s="576"/>
      <c r="CB250" s="576"/>
      <c r="CC250" s="576"/>
      <c r="CD250" s="576"/>
      <c r="CE250" s="576"/>
      <c r="CF250" s="576"/>
      <c r="CG250" s="576"/>
      <c r="CH250" s="576"/>
      <c r="CI250" s="576"/>
      <c r="CJ250" s="576"/>
      <c r="CK250" s="576"/>
      <c r="CL250" s="576"/>
      <c r="CM250" s="576"/>
      <c r="CN250" s="576"/>
      <c r="CO250" s="576"/>
      <c r="CP250" s="576"/>
      <c r="CQ250" s="576"/>
      <c r="CR250" s="576"/>
      <c r="CS250" s="576"/>
      <c r="CT250" s="576"/>
      <c r="CU250" s="576"/>
      <c r="CV250" s="576"/>
      <c r="CW250" s="576"/>
      <c r="CX250" s="576"/>
      <c r="CY250" s="576"/>
      <c r="CZ250" s="576"/>
      <c r="DA250" s="576"/>
      <c r="DB250" s="576"/>
      <c r="DC250" s="576"/>
      <c r="DD250" s="576"/>
      <c r="DE250" s="576"/>
      <c r="DF250" s="576"/>
      <c r="DG250" s="576"/>
      <c r="DH250" s="116"/>
      <c r="DI250" s="112"/>
      <c r="DJ250">
        <f ca="1">INDIRECT(ADDRESS(ROW()+1,COLUMN(Arbeitszeit!xDay),,,"Arbeitszeit"))</f>
        <v>4</v>
      </c>
    </row>
    <row r="251" spans="1:114">
      <c r="A251" s="462">
        <f>Arbeitszeit!A252</f>
        <v>45080</v>
      </c>
      <c r="B251" s="463">
        <f t="shared" si="13"/>
        <v>45080</v>
      </c>
      <c r="C251" s="146">
        <f t="shared" si="14"/>
        <v>22</v>
      </c>
      <c r="D251" s="145">
        <f t="shared" si="15"/>
        <v>45077</v>
      </c>
      <c r="E251" s="510">
        <f>Arbeitszeit!V252*24</f>
        <v>0</v>
      </c>
      <c r="F251" s="574">
        <f t="shared" si="12"/>
        <v>0</v>
      </c>
      <c r="G251" s="113">
        <f>IF(Arbeitszeit!F252=Urlaub,B_WorkTime*24,)</f>
        <v>0</v>
      </c>
      <c r="H251" s="111"/>
      <c r="I251" s="113">
        <f>IF(Arbeitszeit!F252=Krank,B_WorkTime*24,)</f>
        <v>0</v>
      </c>
      <c r="J251" s="111"/>
      <c r="K251" s="114"/>
      <c r="L251" s="115"/>
      <c r="M251" s="498"/>
      <c r="N251" s="499"/>
      <c r="O251" s="498"/>
      <c r="P251" s="499"/>
      <c r="Q251" s="498"/>
      <c r="R251" s="499"/>
      <c r="S251" s="498"/>
      <c r="T251" s="499"/>
      <c r="U251" s="498"/>
      <c r="V251" s="499"/>
      <c r="W251" s="498"/>
      <c r="X251" s="499"/>
      <c r="Y251" s="498"/>
      <c r="Z251" s="499"/>
      <c r="AA251" s="498"/>
      <c r="AB251" s="499"/>
      <c r="AC251" s="498"/>
      <c r="AD251" s="499"/>
      <c r="AE251" s="498"/>
      <c r="AF251" s="500"/>
      <c r="AG251" s="498"/>
      <c r="AH251" s="500"/>
      <c r="AI251" s="498"/>
      <c r="AJ251" s="500"/>
      <c r="AK251" s="498"/>
      <c r="AL251" s="500"/>
      <c r="AM251" s="501"/>
      <c r="AN251" s="500"/>
      <c r="AO251" s="498"/>
      <c r="AP251" s="500"/>
      <c r="AQ251" s="501"/>
      <c r="AR251" s="500"/>
      <c r="AS251" s="500"/>
      <c r="AT251" s="500"/>
      <c r="AU251" s="501"/>
      <c r="AV251" s="500"/>
      <c r="AW251" s="500"/>
      <c r="AX251" s="500"/>
      <c r="AY251" s="576"/>
      <c r="AZ251" s="576"/>
      <c r="BA251" s="576"/>
      <c r="BB251" s="576"/>
      <c r="BC251" s="576"/>
      <c r="BD251" s="576"/>
      <c r="BE251" s="576"/>
      <c r="BF251" s="576"/>
      <c r="BG251" s="576"/>
      <c r="BH251" s="576"/>
      <c r="BI251" s="576"/>
      <c r="BJ251" s="576"/>
      <c r="BK251" s="576"/>
      <c r="BL251" s="576"/>
      <c r="BM251" s="576"/>
      <c r="BN251" s="576"/>
      <c r="BO251" s="576"/>
      <c r="BP251" s="576"/>
      <c r="BQ251" s="576"/>
      <c r="BR251" s="576"/>
      <c r="BS251" s="576"/>
      <c r="BT251" s="576"/>
      <c r="BU251" s="576"/>
      <c r="BV251" s="576"/>
      <c r="BW251" s="576"/>
      <c r="BX251" s="576"/>
      <c r="BY251" s="576"/>
      <c r="BZ251" s="576"/>
      <c r="CA251" s="576"/>
      <c r="CB251" s="576"/>
      <c r="CC251" s="576"/>
      <c r="CD251" s="576"/>
      <c r="CE251" s="576"/>
      <c r="CF251" s="576"/>
      <c r="CG251" s="576"/>
      <c r="CH251" s="576"/>
      <c r="CI251" s="576"/>
      <c r="CJ251" s="576"/>
      <c r="CK251" s="576"/>
      <c r="CL251" s="576"/>
      <c r="CM251" s="576"/>
      <c r="CN251" s="576"/>
      <c r="CO251" s="576"/>
      <c r="CP251" s="576"/>
      <c r="CQ251" s="576"/>
      <c r="CR251" s="576"/>
      <c r="CS251" s="576"/>
      <c r="CT251" s="576"/>
      <c r="CU251" s="576"/>
      <c r="CV251" s="576"/>
      <c r="CW251" s="576"/>
      <c r="CX251" s="576"/>
      <c r="CY251" s="576"/>
      <c r="CZ251" s="576"/>
      <c r="DA251" s="576"/>
      <c r="DB251" s="576"/>
      <c r="DC251" s="576"/>
      <c r="DD251" s="576"/>
      <c r="DE251" s="576"/>
      <c r="DF251" s="576"/>
      <c r="DG251" s="576"/>
      <c r="DH251" s="116"/>
      <c r="DI251" s="112"/>
      <c r="DJ251">
        <f ca="1">INDIRECT(ADDRESS(ROW()+1,COLUMN(Arbeitszeit!xDay),,,"Arbeitszeit"))</f>
        <v>5</v>
      </c>
    </row>
    <row r="252" spans="1:114">
      <c r="A252" s="462">
        <f>Arbeitszeit!A253</f>
        <v>45081</v>
      </c>
      <c r="B252" s="463">
        <f t="shared" si="13"/>
        <v>45081</v>
      </c>
      <c r="C252" s="146">
        <f t="shared" si="14"/>
        <v>22</v>
      </c>
      <c r="D252" s="145">
        <f t="shared" si="15"/>
        <v>45077</v>
      </c>
      <c r="E252" s="510">
        <f>Arbeitszeit!V253*24</f>
        <v>0</v>
      </c>
      <c r="F252" s="574">
        <f t="shared" si="12"/>
        <v>0</v>
      </c>
      <c r="G252" s="113">
        <f>IF(Arbeitszeit!F253=Urlaub,B_WorkTime*24,)</f>
        <v>0</v>
      </c>
      <c r="H252" s="111"/>
      <c r="I252" s="113">
        <f>IF(Arbeitszeit!F253=Krank,B_WorkTime*24,)</f>
        <v>0</v>
      </c>
      <c r="J252" s="111"/>
      <c r="K252" s="114"/>
      <c r="L252" s="115"/>
      <c r="M252" s="498"/>
      <c r="N252" s="499"/>
      <c r="O252" s="498"/>
      <c r="P252" s="499"/>
      <c r="Q252" s="498"/>
      <c r="R252" s="499"/>
      <c r="S252" s="498"/>
      <c r="T252" s="499"/>
      <c r="U252" s="498"/>
      <c r="V252" s="499"/>
      <c r="W252" s="498"/>
      <c r="X252" s="499"/>
      <c r="Y252" s="498"/>
      <c r="Z252" s="499"/>
      <c r="AA252" s="498"/>
      <c r="AB252" s="499"/>
      <c r="AC252" s="498"/>
      <c r="AD252" s="499"/>
      <c r="AE252" s="498"/>
      <c r="AF252" s="500"/>
      <c r="AG252" s="498"/>
      <c r="AH252" s="500"/>
      <c r="AI252" s="498"/>
      <c r="AJ252" s="500"/>
      <c r="AK252" s="498"/>
      <c r="AL252" s="500"/>
      <c r="AM252" s="501"/>
      <c r="AN252" s="500"/>
      <c r="AO252" s="498"/>
      <c r="AP252" s="500"/>
      <c r="AQ252" s="501"/>
      <c r="AR252" s="500"/>
      <c r="AS252" s="500"/>
      <c r="AT252" s="500"/>
      <c r="AU252" s="501"/>
      <c r="AV252" s="500"/>
      <c r="AW252" s="500"/>
      <c r="AX252" s="500"/>
      <c r="AY252" s="576"/>
      <c r="AZ252" s="576"/>
      <c r="BA252" s="576"/>
      <c r="BB252" s="576"/>
      <c r="BC252" s="576"/>
      <c r="BD252" s="576"/>
      <c r="BE252" s="576"/>
      <c r="BF252" s="576"/>
      <c r="BG252" s="576"/>
      <c r="BH252" s="576"/>
      <c r="BI252" s="576"/>
      <c r="BJ252" s="576"/>
      <c r="BK252" s="576"/>
      <c r="BL252" s="576"/>
      <c r="BM252" s="576"/>
      <c r="BN252" s="576"/>
      <c r="BO252" s="576"/>
      <c r="BP252" s="576"/>
      <c r="BQ252" s="576"/>
      <c r="BR252" s="576"/>
      <c r="BS252" s="576"/>
      <c r="BT252" s="576"/>
      <c r="BU252" s="576"/>
      <c r="BV252" s="576"/>
      <c r="BW252" s="576"/>
      <c r="BX252" s="576"/>
      <c r="BY252" s="576"/>
      <c r="BZ252" s="576"/>
      <c r="CA252" s="576"/>
      <c r="CB252" s="576"/>
      <c r="CC252" s="576"/>
      <c r="CD252" s="576"/>
      <c r="CE252" s="576"/>
      <c r="CF252" s="576"/>
      <c r="CG252" s="576"/>
      <c r="CH252" s="576"/>
      <c r="CI252" s="576"/>
      <c r="CJ252" s="576"/>
      <c r="CK252" s="576"/>
      <c r="CL252" s="576"/>
      <c r="CM252" s="576"/>
      <c r="CN252" s="576"/>
      <c r="CO252" s="576"/>
      <c r="CP252" s="576"/>
      <c r="CQ252" s="576"/>
      <c r="CR252" s="576"/>
      <c r="CS252" s="576"/>
      <c r="CT252" s="576"/>
      <c r="CU252" s="576"/>
      <c r="CV252" s="576"/>
      <c r="CW252" s="576"/>
      <c r="CX252" s="576"/>
      <c r="CY252" s="576"/>
      <c r="CZ252" s="576"/>
      <c r="DA252" s="576"/>
      <c r="DB252" s="576"/>
      <c r="DC252" s="576"/>
      <c r="DD252" s="576"/>
      <c r="DE252" s="576"/>
      <c r="DF252" s="576"/>
      <c r="DG252" s="576"/>
      <c r="DH252" s="116"/>
      <c r="DI252" s="112"/>
      <c r="DJ252">
        <f ca="1">INDIRECT(ADDRESS(ROW()+1,COLUMN(Arbeitszeit!xDay),,,"Arbeitszeit"))</f>
        <v>6</v>
      </c>
    </row>
    <row r="253" spans="1:114">
      <c r="A253" s="462">
        <f>Arbeitszeit!A254</f>
        <v>45082</v>
      </c>
      <c r="B253" s="463">
        <f t="shared" si="13"/>
        <v>45082</v>
      </c>
      <c r="C253" s="146">
        <f t="shared" si="14"/>
        <v>22</v>
      </c>
      <c r="D253" s="145">
        <f t="shared" si="15"/>
        <v>45077</v>
      </c>
      <c r="E253" s="510">
        <f>Arbeitszeit!V254*24</f>
        <v>0</v>
      </c>
      <c r="F253" s="574">
        <f t="shared" si="12"/>
        <v>0</v>
      </c>
      <c r="G253" s="113">
        <f>IF(Arbeitszeit!F254=Urlaub,B_WorkTime*24,)</f>
        <v>0</v>
      </c>
      <c r="H253" s="111"/>
      <c r="I253" s="113">
        <f>IF(Arbeitszeit!F254=Krank,B_WorkTime*24,)</f>
        <v>0</v>
      </c>
      <c r="J253" s="111"/>
      <c r="K253" s="114"/>
      <c r="L253" s="115"/>
      <c r="M253" s="498"/>
      <c r="N253" s="499"/>
      <c r="O253" s="498"/>
      <c r="P253" s="499"/>
      <c r="Q253" s="498"/>
      <c r="R253" s="499"/>
      <c r="S253" s="498"/>
      <c r="T253" s="499"/>
      <c r="U253" s="498"/>
      <c r="V253" s="499"/>
      <c r="W253" s="498"/>
      <c r="X253" s="499"/>
      <c r="Y253" s="498"/>
      <c r="Z253" s="499"/>
      <c r="AA253" s="498"/>
      <c r="AB253" s="499"/>
      <c r="AC253" s="498"/>
      <c r="AD253" s="499"/>
      <c r="AE253" s="498"/>
      <c r="AF253" s="500"/>
      <c r="AG253" s="498"/>
      <c r="AH253" s="500"/>
      <c r="AI253" s="498"/>
      <c r="AJ253" s="500"/>
      <c r="AK253" s="498"/>
      <c r="AL253" s="500"/>
      <c r="AM253" s="501"/>
      <c r="AN253" s="500"/>
      <c r="AO253" s="498"/>
      <c r="AP253" s="500"/>
      <c r="AQ253" s="501"/>
      <c r="AR253" s="500"/>
      <c r="AS253" s="500"/>
      <c r="AT253" s="500"/>
      <c r="AU253" s="501"/>
      <c r="AV253" s="500"/>
      <c r="AW253" s="500"/>
      <c r="AX253" s="500"/>
      <c r="AY253" s="576"/>
      <c r="AZ253" s="576"/>
      <c r="BA253" s="576"/>
      <c r="BB253" s="576"/>
      <c r="BC253" s="576"/>
      <c r="BD253" s="576"/>
      <c r="BE253" s="576"/>
      <c r="BF253" s="576"/>
      <c r="BG253" s="576"/>
      <c r="BH253" s="576"/>
      <c r="BI253" s="576"/>
      <c r="BJ253" s="576"/>
      <c r="BK253" s="576"/>
      <c r="BL253" s="576"/>
      <c r="BM253" s="576"/>
      <c r="BN253" s="576"/>
      <c r="BO253" s="576"/>
      <c r="BP253" s="576"/>
      <c r="BQ253" s="576"/>
      <c r="BR253" s="576"/>
      <c r="BS253" s="576"/>
      <c r="BT253" s="576"/>
      <c r="BU253" s="576"/>
      <c r="BV253" s="576"/>
      <c r="BW253" s="576"/>
      <c r="BX253" s="576"/>
      <c r="BY253" s="576"/>
      <c r="BZ253" s="576"/>
      <c r="CA253" s="576"/>
      <c r="CB253" s="576"/>
      <c r="CC253" s="576"/>
      <c r="CD253" s="576"/>
      <c r="CE253" s="576"/>
      <c r="CF253" s="576"/>
      <c r="CG253" s="576"/>
      <c r="CH253" s="576"/>
      <c r="CI253" s="576"/>
      <c r="CJ253" s="576"/>
      <c r="CK253" s="576"/>
      <c r="CL253" s="576"/>
      <c r="CM253" s="576"/>
      <c r="CN253" s="576"/>
      <c r="CO253" s="576"/>
      <c r="CP253" s="576"/>
      <c r="CQ253" s="576"/>
      <c r="CR253" s="576"/>
      <c r="CS253" s="576"/>
      <c r="CT253" s="576"/>
      <c r="CU253" s="576"/>
      <c r="CV253" s="576"/>
      <c r="CW253" s="576"/>
      <c r="CX253" s="576"/>
      <c r="CY253" s="576"/>
      <c r="CZ253" s="576"/>
      <c r="DA253" s="576"/>
      <c r="DB253" s="576"/>
      <c r="DC253" s="576"/>
      <c r="DD253" s="576"/>
      <c r="DE253" s="576"/>
      <c r="DF253" s="576"/>
      <c r="DG253" s="576"/>
      <c r="DH253" s="116"/>
      <c r="DI253" s="112"/>
      <c r="DJ253">
        <f ca="1">INDIRECT(ADDRESS(ROW()+1,COLUMN(Arbeitszeit!xDay),,,"Arbeitszeit"))</f>
        <v>7</v>
      </c>
    </row>
    <row r="254" spans="1:114">
      <c r="A254" s="462">
        <f>Arbeitszeit!A255</f>
        <v>45083</v>
      </c>
      <c r="B254" s="463">
        <f t="shared" si="13"/>
        <v>45083</v>
      </c>
      <c r="C254" s="146">
        <f t="shared" si="14"/>
        <v>23</v>
      </c>
      <c r="D254" s="145">
        <f t="shared" si="15"/>
        <v>45077</v>
      </c>
      <c r="E254" s="510">
        <f>Arbeitszeit!V255*24</f>
        <v>0</v>
      </c>
      <c r="F254" s="574">
        <f t="shared" si="12"/>
        <v>0</v>
      </c>
      <c r="G254" s="113">
        <f>IF(Arbeitszeit!F255=Urlaub,B_WorkTime*24,)</f>
        <v>0</v>
      </c>
      <c r="H254" s="111"/>
      <c r="I254" s="113">
        <f>IF(Arbeitszeit!F255=Krank,B_WorkTime*24,)</f>
        <v>0</v>
      </c>
      <c r="J254" s="111"/>
      <c r="K254" s="114"/>
      <c r="L254" s="115"/>
      <c r="M254" s="498"/>
      <c r="N254" s="499"/>
      <c r="O254" s="498"/>
      <c r="P254" s="499"/>
      <c r="Q254" s="498"/>
      <c r="R254" s="499"/>
      <c r="S254" s="498"/>
      <c r="T254" s="499"/>
      <c r="U254" s="498"/>
      <c r="V254" s="499"/>
      <c r="W254" s="498"/>
      <c r="X254" s="499"/>
      <c r="Y254" s="498"/>
      <c r="Z254" s="499"/>
      <c r="AA254" s="498"/>
      <c r="AB254" s="499"/>
      <c r="AC254" s="498"/>
      <c r="AD254" s="499"/>
      <c r="AE254" s="498"/>
      <c r="AF254" s="500"/>
      <c r="AG254" s="498"/>
      <c r="AH254" s="500"/>
      <c r="AI254" s="498"/>
      <c r="AJ254" s="500"/>
      <c r="AK254" s="498"/>
      <c r="AL254" s="500"/>
      <c r="AM254" s="501"/>
      <c r="AN254" s="500"/>
      <c r="AO254" s="498"/>
      <c r="AP254" s="500"/>
      <c r="AQ254" s="501"/>
      <c r="AR254" s="500"/>
      <c r="AS254" s="500"/>
      <c r="AT254" s="500"/>
      <c r="AU254" s="501"/>
      <c r="AV254" s="500"/>
      <c r="AW254" s="500"/>
      <c r="AX254" s="500"/>
      <c r="AY254" s="576"/>
      <c r="AZ254" s="576"/>
      <c r="BA254" s="576"/>
      <c r="BB254" s="576"/>
      <c r="BC254" s="576"/>
      <c r="BD254" s="576"/>
      <c r="BE254" s="576"/>
      <c r="BF254" s="576"/>
      <c r="BG254" s="576"/>
      <c r="BH254" s="576"/>
      <c r="BI254" s="576"/>
      <c r="BJ254" s="576"/>
      <c r="BK254" s="576"/>
      <c r="BL254" s="576"/>
      <c r="BM254" s="576"/>
      <c r="BN254" s="576"/>
      <c r="BO254" s="576"/>
      <c r="BP254" s="576"/>
      <c r="BQ254" s="576"/>
      <c r="BR254" s="576"/>
      <c r="BS254" s="576"/>
      <c r="BT254" s="576"/>
      <c r="BU254" s="576"/>
      <c r="BV254" s="576"/>
      <c r="BW254" s="576"/>
      <c r="BX254" s="576"/>
      <c r="BY254" s="576"/>
      <c r="BZ254" s="576"/>
      <c r="CA254" s="576"/>
      <c r="CB254" s="576"/>
      <c r="CC254" s="576"/>
      <c r="CD254" s="576"/>
      <c r="CE254" s="576"/>
      <c r="CF254" s="576"/>
      <c r="CG254" s="576"/>
      <c r="CH254" s="576"/>
      <c r="CI254" s="576"/>
      <c r="CJ254" s="576"/>
      <c r="CK254" s="576"/>
      <c r="CL254" s="576"/>
      <c r="CM254" s="576"/>
      <c r="CN254" s="576"/>
      <c r="CO254" s="576"/>
      <c r="CP254" s="576"/>
      <c r="CQ254" s="576"/>
      <c r="CR254" s="576"/>
      <c r="CS254" s="576"/>
      <c r="CT254" s="576"/>
      <c r="CU254" s="576"/>
      <c r="CV254" s="576"/>
      <c r="CW254" s="576"/>
      <c r="CX254" s="576"/>
      <c r="CY254" s="576"/>
      <c r="CZ254" s="576"/>
      <c r="DA254" s="576"/>
      <c r="DB254" s="576"/>
      <c r="DC254" s="576"/>
      <c r="DD254" s="576"/>
      <c r="DE254" s="576"/>
      <c r="DF254" s="576"/>
      <c r="DG254" s="576"/>
      <c r="DH254" s="116"/>
      <c r="DI254" s="112"/>
      <c r="DJ254">
        <f ca="1">INDIRECT(ADDRESS(ROW()+1,COLUMN(Arbeitszeit!xDay),,,"Arbeitszeit"))</f>
        <v>1</v>
      </c>
    </row>
    <row r="255" spans="1:114">
      <c r="A255" s="462">
        <f>Arbeitszeit!A256</f>
        <v>45084</v>
      </c>
      <c r="B255" s="463">
        <f t="shared" si="13"/>
        <v>45084</v>
      </c>
      <c r="C255" s="146">
        <f t="shared" si="14"/>
        <v>23</v>
      </c>
      <c r="D255" s="145">
        <f t="shared" si="15"/>
        <v>45077</v>
      </c>
      <c r="E255" s="510">
        <f>Arbeitszeit!V256*24</f>
        <v>0</v>
      </c>
      <c r="F255" s="574">
        <f t="shared" si="12"/>
        <v>0</v>
      </c>
      <c r="G255" s="113">
        <f>IF(Arbeitszeit!F256=Urlaub,B_WorkTime*24,)</f>
        <v>0</v>
      </c>
      <c r="H255" s="111"/>
      <c r="I255" s="113">
        <f>IF(Arbeitszeit!F256=Krank,B_WorkTime*24,)</f>
        <v>0</v>
      </c>
      <c r="J255" s="111"/>
      <c r="K255" s="114"/>
      <c r="L255" s="115"/>
      <c r="M255" s="498"/>
      <c r="N255" s="499"/>
      <c r="O255" s="498"/>
      <c r="P255" s="499"/>
      <c r="Q255" s="498"/>
      <c r="R255" s="499"/>
      <c r="S255" s="498"/>
      <c r="T255" s="499"/>
      <c r="U255" s="498"/>
      <c r="V255" s="499"/>
      <c r="W255" s="498"/>
      <c r="X255" s="499"/>
      <c r="Y255" s="498"/>
      <c r="Z255" s="499"/>
      <c r="AA255" s="498"/>
      <c r="AB255" s="499"/>
      <c r="AC255" s="498"/>
      <c r="AD255" s="499"/>
      <c r="AE255" s="498"/>
      <c r="AF255" s="500"/>
      <c r="AG255" s="498"/>
      <c r="AH255" s="500"/>
      <c r="AI255" s="498"/>
      <c r="AJ255" s="500"/>
      <c r="AK255" s="498"/>
      <c r="AL255" s="500"/>
      <c r="AM255" s="501"/>
      <c r="AN255" s="500"/>
      <c r="AO255" s="498"/>
      <c r="AP255" s="500"/>
      <c r="AQ255" s="501"/>
      <c r="AR255" s="500"/>
      <c r="AS255" s="500"/>
      <c r="AT255" s="500"/>
      <c r="AU255" s="501"/>
      <c r="AV255" s="500"/>
      <c r="AW255" s="500"/>
      <c r="AX255" s="500"/>
      <c r="AY255" s="576"/>
      <c r="AZ255" s="576"/>
      <c r="BA255" s="576"/>
      <c r="BB255" s="576"/>
      <c r="BC255" s="576"/>
      <c r="BD255" s="576"/>
      <c r="BE255" s="576"/>
      <c r="BF255" s="576"/>
      <c r="BG255" s="576"/>
      <c r="BH255" s="576"/>
      <c r="BI255" s="576"/>
      <c r="BJ255" s="576"/>
      <c r="BK255" s="576"/>
      <c r="BL255" s="576"/>
      <c r="BM255" s="576"/>
      <c r="BN255" s="576"/>
      <c r="BO255" s="576"/>
      <c r="BP255" s="576"/>
      <c r="BQ255" s="576"/>
      <c r="BR255" s="576"/>
      <c r="BS255" s="576"/>
      <c r="BT255" s="576"/>
      <c r="BU255" s="576"/>
      <c r="BV255" s="576"/>
      <c r="BW255" s="576"/>
      <c r="BX255" s="576"/>
      <c r="BY255" s="576"/>
      <c r="BZ255" s="576"/>
      <c r="CA255" s="576"/>
      <c r="CB255" s="576"/>
      <c r="CC255" s="576"/>
      <c r="CD255" s="576"/>
      <c r="CE255" s="576"/>
      <c r="CF255" s="576"/>
      <c r="CG255" s="576"/>
      <c r="CH255" s="576"/>
      <c r="CI255" s="576"/>
      <c r="CJ255" s="576"/>
      <c r="CK255" s="576"/>
      <c r="CL255" s="576"/>
      <c r="CM255" s="576"/>
      <c r="CN255" s="576"/>
      <c r="CO255" s="576"/>
      <c r="CP255" s="576"/>
      <c r="CQ255" s="576"/>
      <c r="CR255" s="576"/>
      <c r="CS255" s="576"/>
      <c r="CT255" s="576"/>
      <c r="CU255" s="576"/>
      <c r="CV255" s="576"/>
      <c r="CW255" s="576"/>
      <c r="CX255" s="576"/>
      <c r="CY255" s="576"/>
      <c r="CZ255" s="576"/>
      <c r="DA255" s="576"/>
      <c r="DB255" s="576"/>
      <c r="DC255" s="576"/>
      <c r="DD255" s="576"/>
      <c r="DE255" s="576"/>
      <c r="DF255" s="576"/>
      <c r="DG255" s="576"/>
      <c r="DH255" s="116"/>
      <c r="DI255" s="112"/>
      <c r="DJ255">
        <f ca="1">INDIRECT(ADDRESS(ROW()+1,COLUMN(Arbeitszeit!xDay),,,"Arbeitszeit"))</f>
        <v>2</v>
      </c>
    </row>
    <row r="256" spans="1:114">
      <c r="A256" s="462">
        <f>Arbeitszeit!A257</f>
        <v>45085</v>
      </c>
      <c r="B256" s="463">
        <f t="shared" si="13"/>
        <v>45085</v>
      </c>
      <c r="C256" s="146">
        <f t="shared" si="14"/>
        <v>23</v>
      </c>
      <c r="D256" s="145">
        <f t="shared" si="15"/>
        <v>45077</v>
      </c>
      <c r="E256" s="510">
        <f>Arbeitszeit!V257*24</f>
        <v>0</v>
      </c>
      <c r="F256" s="574">
        <f t="shared" si="12"/>
        <v>0</v>
      </c>
      <c r="G256" s="113">
        <f>IF(Arbeitszeit!F257=Urlaub,B_WorkTime*24,)</f>
        <v>0</v>
      </c>
      <c r="H256" s="111"/>
      <c r="I256" s="113">
        <f>IF(Arbeitszeit!F257=Krank,B_WorkTime*24,)</f>
        <v>0</v>
      </c>
      <c r="J256" s="111"/>
      <c r="K256" s="114"/>
      <c r="L256" s="115"/>
      <c r="M256" s="498"/>
      <c r="N256" s="499"/>
      <c r="O256" s="498"/>
      <c r="P256" s="499"/>
      <c r="Q256" s="498"/>
      <c r="R256" s="499"/>
      <c r="S256" s="498"/>
      <c r="T256" s="499"/>
      <c r="U256" s="498"/>
      <c r="V256" s="499"/>
      <c r="W256" s="498"/>
      <c r="X256" s="499"/>
      <c r="Y256" s="498"/>
      <c r="Z256" s="499"/>
      <c r="AA256" s="498"/>
      <c r="AB256" s="499"/>
      <c r="AC256" s="498"/>
      <c r="AD256" s="499"/>
      <c r="AE256" s="498"/>
      <c r="AF256" s="500"/>
      <c r="AG256" s="498"/>
      <c r="AH256" s="500"/>
      <c r="AI256" s="498"/>
      <c r="AJ256" s="500"/>
      <c r="AK256" s="498"/>
      <c r="AL256" s="500"/>
      <c r="AM256" s="501"/>
      <c r="AN256" s="500"/>
      <c r="AO256" s="498"/>
      <c r="AP256" s="500"/>
      <c r="AQ256" s="501"/>
      <c r="AR256" s="500"/>
      <c r="AS256" s="500"/>
      <c r="AT256" s="500"/>
      <c r="AU256" s="501"/>
      <c r="AV256" s="500"/>
      <c r="AW256" s="500"/>
      <c r="AX256" s="500"/>
      <c r="AY256" s="576"/>
      <c r="AZ256" s="576"/>
      <c r="BA256" s="576"/>
      <c r="BB256" s="576"/>
      <c r="BC256" s="576"/>
      <c r="BD256" s="576"/>
      <c r="BE256" s="576"/>
      <c r="BF256" s="576"/>
      <c r="BG256" s="576"/>
      <c r="BH256" s="576"/>
      <c r="BI256" s="576"/>
      <c r="BJ256" s="576"/>
      <c r="BK256" s="576"/>
      <c r="BL256" s="576"/>
      <c r="BM256" s="576"/>
      <c r="BN256" s="576"/>
      <c r="BO256" s="576"/>
      <c r="BP256" s="576"/>
      <c r="BQ256" s="576"/>
      <c r="BR256" s="576"/>
      <c r="BS256" s="576"/>
      <c r="BT256" s="576"/>
      <c r="BU256" s="576"/>
      <c r="BV256" s="576"/>
      <c r="BW256" s="576"/>
      <c r="BX256" s="576"/>
      <c r="BY256" s="576"/>
      <c r="BZ256" s="576"/>
      <c r="CA256" s="576"/>
      <c r="CB256" s="576"/>
      <c r="CC256" s="576"/>
      <c r="CD256" s="576"/>
      <c r="CE256" s="576"/>
      <c r="CF256" s="576"/>
      <c r="CG256" s="576"/>
      <c r="CH256" s="576"/>
      <c r="CI256" s="576"/>
      <c r="CJ256" s="576"/>
      <c r="CK256" s="576"/>
      <c r="CL256" s="576"/>
      <c r="CM256" s="576"/>
      <c r="CN256" s="576"/>
      <c r="CO256" s="576"/>
      <c r="CP256" s="576"/>
      <c r="CQ256" s="576"/>
      <c r="CR256" s="576"/>
      <c r="CS256" s="576"/>
      <c r="CT256" s="576"/>
      <c r="CU256" s="576"/>
      <c r="CV256" s="576"/>
      <c r="CW256" s="576"/>
      <c r="CX256" s="576"/>
      <c r="CY256" s="576"/>
      <c r="CZ256" s="576"/>
      <c r="DA256" s="576"/>
      <c r="DB256" s="576"/>
      <c r="DC256" s="576"/>
      <c r="DD256" s="576"/>
      <c r="DE256" s="576"/>
      <c r="DF256" s="576"/>
      <c r="DG256" s="576"/>
      <c r="DH256" s="116"/>
      <c r="DI256" s="112"/>
      <c r="DJ256">
        <f ca="1">INDIRECT(ADDRESS(ROW()+1,COLUMN(Arbeitszeit!xDay),,,"Arbeitszeit"))</f>
        <v>3</v>
      </c>
    </row>
    <row r="257" spans="1:114">
      <c r="A257" s="462">
        <f>Arbeitszeit!A258</f>
        <v>45086</v>
      </c>
      <c r="B257" s="463">
        <f t="shared" si="13"/>
        <v>45086</v>
      </c>
      <c r="C257" s="146">
        <f t="shared" si="14"/>
        <v>23</v>
      </c>
      <c r="D257" s="145">
        <f t="shared" si="15"/>
        <v>45077</v>
      </c>
      <c r="E257" s="510">
        <f>Arbeitszeit!V258*24</f>
        <v>0</v>
      </c>
      <c r="F257" s="574">
        <f t="shared" si="12"/>
        <v>0</v>
      </c>
      <c r="G257" s="113">
        <f>IF(Arbeitszeit!F258=Urlaub,B_WorkTime*24,)</f>
        <v>0</v>
      </c>
      <c r="H257" s="111"/>
      <c r="I257" s="113">
        <f>IF(Arbeitszeit!F258=Krank,B_WorkTime*24,)</f>
        <v>0</v>
      </c>
      <c r="J257" s="111"/>
      <c r="K257" s="114"/>
      <c r="L257" s="115"/>
      <c r="M257" s="498"/>
      <c r="N257" s="499"/>
      <c r="O257" s="498"/>
      <c r="P257" s="499"/>
      <c r="Q257" s="498"/>
      <c r="R257" s="499"/>
      <c r="S257" s="498"/>
      <c r="T257" s="499"/>
      <c r="U257" s="498"/>
      <c r="V257" s="499"/>
      <c r="W257" s="498"/>
      <c r="X257" s="499"/>
      <c r="Y257" s="498"/>
      <c r="Z257" s="499"/>
      <c r="AA257" s="498"/>
      <c r="AB257" s="499"/>
      <c r="AC257" s="498"/>
      <c r="AD257" s="499"/>
      <c r="AE257" s="498"/>
      <c r="AF257" s="500"/>
      <c r="AG257" s="498"/>
      <c r="AH257" s="500"/>
      <c r="AI257" s="498"/>
      <c r="AJ257" s="500"/>
      <c r="AK257" s="498"/>
      <c r="AL257" s="500"/>
      <c r="AM257" s="501"/>
      <c r="AN257" s="500"/>
      <c r="AO257" s="498"/>
      <c r="AP257" s="500"/>
      <c r="AQ257" s="501"/>
      <c r="AR257" s="500"/>
      <c r="AS257" s="500"/>
      <c r="AT257" s="500"/>
      <c r="AU257" s="501"/>
      <c r="AV257" s="500"/>
      <c r="AW257" s="500"/>
      <c r="AX257" s="500"/>
      <c r="AY257" s="576"/>
      <c r="AZ257" s="576"/>
      <c r="BA257" s="576"/>
      <c r="BB257" s="576"/>
      <c r="BC257" s="576"/>
      <c r="BD257" s="576"/>
      <c r="BE257" s="576"/>
      <c r="BF257" s="576"/>
      <c r="BG257" s="576"/>
      <c r="BH257" s="576"/>
      <c r="BI257" s="576"/>
      <c r="BJ257" s="576"/>
      <c r="BK257" s="576"/>
      <c r="BL257" s="576"/>
      <c r="BM257" s="576"/>
      <c r="BN257" s="576"/>
      <c r="BO257" s="576"/>
      <c r="BP257" s="576"/>
      <c r="BQ257" s="576"/>
      <c r="BR257" s="576"/>
      <c r="BS257" s="576"/>
      <c r="BT257" s="576"/>
      <c r="BU257" s="576"/>
      <c r="BV257" s="576"/>
      <c r="BW257" s="576"/>
      <c r="BX257" s="576"/>
      <c r="BY257" s="576"/>
      <c r="BZ257" s="576"/>
      <c r="CA257" s="576"/>
      <c r="CB257" s="576"/>
      <c r="CC257" s="576"/>
      <c r="CD257" s="576"/>
      <c r="CE257" s="576"/>
      <c r="CF257" s="576"/>
      <c r="CG257" s="576"/>
      <c r="CH257" s="576"/>
      <c r="CI257" s="576"/>
      <c r="CJ257" s="576"/>
      <c r="CK257" s="576"/>
      <c r="CL257" s="576"/>
      <c r="CM257" s="576"/>
      <c r="CN257" s="576"/>
      <c r="CO257" s="576"/>
      <c r="CP257" s="576"/>
      <c r="CQ257" s="576"/>
      <c r="CR257" s="576"/>
      <c r="CS257" s="576"/>
      <c r="CT257" s="576"/>
      <c r="CU257" s="576"/>
      <c r="CV257" s="576"/>
      <c r="CW257" s="576"/>
      <c r="CX257" s="576"/>
      <c r="CY257" s="576"/>
      <c r="CZ257" s="576"/>
      <c r="DA257" s="576"/>
      <c r="DB257" s="576"/>
      <c r="DC257" s="576"/>
      <c r="DD257" s="576"/>
      <c r="DE257" s="576"/>
      <c r="DF257" s="576"/>
      <c r="DG257" s="576"/>
      <c r="DH257" s="116"/>
      <c r="DI257" s="112"/>
      <c r="DJ257">
        <f ca="1">INDIRECT(ADDRESS(ROW()+1,COLUMN(Arbeitszeit!xDay),,,"Arbeitszeit"))</f>
        <v>4</v>
      </c>
    </row>
    <row r="258" spans="1:114">
      <c r="A258" s="462">
        <f>Arbeitszeit!A259</f>
        <v>45087</v>
      </c>
      <c r="B258" s="463">
        <f t="shared" si="13"/>
        <v>45087</v>
      </c>
      <c r="C258" s="146">
        <f t="shared" si="14"/>
        <v>23</v>
      </c>
      <c r="D258" s="145">
        <f t="shared" si="15"/>
        <v>45077</v>
      </c>
      <c r="E258" s="510">
        <f>Arbeitszeit!V259*24</f>
        <v>0</v>
      </c>
      <c r="F258" s="574">
        <f t="shared" si="12"/>
        <v>0</v>
      </c>
      <c r="G258" s="113">
        <f>IF(Arbeitszeit!F259=Urlaub,B_WorkTime*24,)</f>
        <v>0</v>
      </c>
      <c r="H258" s="111"/>
      <c r="I258" s="113">
        <f>IF(Arbeitszeit!F259=Krank,B_WorkTime*24,)</f>
        <v>0</v>
      </c>
      <c r="J258" s="111"/>
      <c r="K258" s="114"/>
      <c r="L258" s="115"/>
      <c r="M258" s="498"/>
      <c r="N258" s="499"/>
      <c r="O258" s="498"/>
      <c r="P258" s="499"/>
      <c r="Q258" s="498"/>
      <c r="R258" s="499"/>
      <c r="S258" s="498"/>
      <c r="T258" s="499"/>
      <c r="U258" s="498"/>
      <c r="V258" s="499"/>
      <c r="W258" s="498"/>
      <c r="X258" s="499"/>
      <c r="Y258" s="498"/>
      <c r="Z258" s="499"/>
      <c r="AA258" s="498"/>
      <c r="AB258" s="499"/>
      <c r="AC258" s="498"/>
      <c r="AD258" s="499"/>
      <c r="AE258" s="498"/>
      <c r="AF258" s="500"/>
      <c r="AG258" s="498"/>
      <c r="AH258" s="500"/>
      <c r="AI258" s="498"/>
      <c r="AJ258" s="500"/>
      <c r="AK258" s="498"/>
      <c r="AL258" s="500"/>
      <c r="AM258" s="501"/>
      <c r="AN258" s="500"/>
      <c r="AO258" s="498"/>
      <c r="AP258" s="500"/>
      <c r="AQ258" s="501"/>
      <c r="AR258" s="500"/>
      <c r="AS258" s="500"/>
      <c r="AT258" s="500"/>
      <c r="AU258" s="501"/>
      <c r="AV258" s="500"/>
      <c r="AW258" s="500"/>
      <c r="AX258" s="500"/>
      <c r="AY258" s="576"/>
      <c r="AZ258" s="576"/>
      <c r="BA258" s="576"/>
      <c r="BB258" s="576"/>
      <c r="BC258" s="576"/>
      <c r="BD258" s="576"/>
      <c r="BE258" s="576"/>
      <c r="BF258" s="576"/>
      <c r="BG258" s="576"/>
      <c r="BH258" s="576"/>
      <c r="BI258" s="576"/>
      <c r="BJ258" s="576"/>
      <c r="BK258" s="576"/>
      <c r="BL258" s="576"/>
      <c r="BM258" s="576"/>
      <c r="BN258" s="576"/>
      <c r="BO258" s="576"/>
      <c r="BP258" s="576"/>
      <c r="BQ258" s="576"/>
      <c r="BR258" s="576"/>
      <c r="BS258" s="576"/>
      <c r="BT258" s="576"/>
      <c r="BU258" s="576"/>
      <c r="BV258" s="576"/>
      <c r="BW258" s="576"/>
      <c r="BX258" s="576"/>
      <c r="BY258" s="576"/>
      <c r="BZ258" s="576"/>
      <c r="CA258" s="576"/>
      <c r="CB258" s="576"/>
      <c r="CC258" s="576"/>
      <c r="CD258" s="576"/>
      <c r="CE258" s="576"/>
      <c r="CF258" s="576"/>
      <c r="CG258" s="576"/>
      <c r="CH258" s="576"/>
      <c r="CI258" s="576"/>
      <c r="CJ258" s="576"/>
      <c r="CK258" s="576"/>
      <c r="CL258" s="576"/>
      <c r="CM258" s="576"/>
      <c r="CN258" s="576"/>
      <c r="CO258" s="576"/>
      <c r="CP258" s="576"/>
      <c r="CQ258" s="576"/>
      <c r="CR258" s="576"/>
      <c r="CS258" s="576"/>
      <c r="CT258" s="576"/>
      <c r="CU258" s="576"/>
      <c r="CV258" s="576"/>
      <c r="CW258" s="576"/>
      <c r="CX258" s="576"/>
      <c r="CY258" s="576"/>
      <c r="CZ258" s="576"/>
      <c r="DA258" s="576"/>
      <c r="DB258" s="576"/>
      <c r="DC258" s="576"/>
      <c r="DD258" s="576"/>
      <c r="DE258" s="576"/>
      <c r="DF258" s="576"/>
      <c r="DG258" s="576"/>
      <c r="DH258" s="116"/>
      <c r="DI258" s="112"/>
      <c r="DJ258">
        <f ca="1">INDIRECT(ADDRESS(ROW()+1,COLUMN(Arbeitszeit!xDay),,,"Arbeitszeit"))</f>
        <v>5</v>
      </c>
    </row>
    <row r="259" spans="1:114">
      <c r="A259" s="462">
        <f>Arbeitszeit!A260</f>
        <v>45088</v>
      </c>
      <c r="B259" s="463">
        <f t="shared" si="13"/>
        <v>45088</v>
      </c>
      <c r="C259" s="146">
        <f t="shared" si="14"/>
        <v>23</v>
      </c>
      <c r="D259" s="145">
        <f t="shared" si="15"/>
        <v>45077</v>
      </c>
      <c r="E259" s="510">
        <f>Arbeitszeit!V260*24</f>
        <v>0</v>
      </c>
      <c r="F259" s="574">
        <f t="shared" si="12"/>
        <v>0</v>
      </c>
      <c r="G259" s="113">
        <f>IF(Arbeitszeit!F260=Urlaub,B_WorkTime*24,)</f>
        <v>0</v>
      </c>
      <c r="H259" s="111"/>
      <c r="I259" s="113">
        <f>IF(Arbeitszeit!F260=Krank,B_WorkTime*24,)</f>
        <v>0</v>
      </c>
      <c r="J259" s="111"/>
      <c r="K259" s="114"/>
      <c r="L259" s="115"/>
      <c r="M259" s="498"/>
      <c r="N259" s="499"/>
      <c r="O259" s="498"/>
      <c r="P259" s="499"/>
      <c r="Q259" s="498"/>
      <c r="R259" s="499"/>
      <c r="S259" s="498"/>
      <c r="T259" s="499"/>
      <c r="U259" s="498"/>
      <c r="V259" s="499"/>
      <c r="W259" s="498"/>
      <c r="X259" s="499"/>
      <c r="Y259" s="498"/>
      <c r="Z259" s="499"/>
      <c r="AA259" s="498"/>
      <c r="AB259" s="499"/>
      <c r="AC259" s="498"/>
      <c r="AD259" s="499"/>
      <c r="AE259" s="498"/>
      <c r="AF259" s="500"/>
      <c r="AG259" s="498"/>
      <c r="AH259" s="500"/>
      <c r="AI259" s="498"/>
      <c r="AJ259" s="500"/>
      <c r="AK259" s="498"/>
      <c r="AL259" s="500"/>
      <c r="AM259" s="501"/>
      <c r="AN259" s="500"/>
      <c r="AO259" s="498"/>
      <c r="AP259" s="500"/>
      <c r="AQ259" s="501"/>
      <c r="AR259" s="500"/>
      <c r="AS259" s="500"/>
      <c r="AT259" s="500"/>
      <c r="AU259" s="501"/>
      <c r="AV259" s="500"/>
      <c r="AW259" s="500"/>
      <c r="AX259" s="500"/>
      <c r="AY259" s="576"/>
      <c r="AZ259" s="576"/>
      <c r="BA259" s="576"/>
      <c r="BB259" s="576"/>
      <c r="BC259" s="576"/>
      <c r="BD259" s="576"/>
      <c r="BE259" s="576"/>
      <c r="BF259" s="576"/>
      <c r="BG259" s="576"/>
      <c r="BH259" s="576"/>
      <c r="BI259" s="576"/>
      <c r="BJ259" s="576"/>
      <c r="BK259" s="576"/>
      <c r="BL259" s="576"/>
      <c r="BM259" s="576"/>
      <c r="BN259" s="576"/>
      <c r="BO259" s="576"/>
      <c r="BP259" s="576"/>
      <c r="BQ259" s="576"/>
      <c r="BR259" s="576"/>
      <c r="BS259" s="576"/>
      <c r="BT259" s="576"/>
      <c r="BU259" s="576"/>
      <c r="BV259" s="576"/>
      <c r="BW259" s="576"/>
      <c r="BX259" s="576"/>
      <c r="BY259" s="576"/>
      <c r="BZ259" s="576"/>
      <c r="CA259" s="576"/>
      <c r="CB259" s="576"/>
      <c r="CC259" s="576"/>
      <c r="CD259" s="576"/>
      <c r="CE259" s="576"/>
      <c r="CF259" s="576"/>
      <c r="CG259" s="576"/>
      <c r="CH259" s="576"/>
      <c r="CI259" s="576"/>
      <c r="CJ259" s="576"/>
      <c r="CK259" s="576"/>
      <c r="CL259" s="576"/>
      <c r="CM259" s="576"/>
      <c r="CN259" s="576"/>
      <c r="CO259" s="576"/>
      <c r="CP259" s="576"/>
      <c r="CQ259" s="576"/>
      <c r="CR259" s="576"/>
      <c r="CS259" s="576"/>
      <c r="CT259" s="576"/>
      <c r="CU259" s="576"/>
      <c r="CV259" s="576"/>
      <c r="CW259" s="576"/>
      <c r="CX259" s="576"/>
      <c r="CY259" s="576"/>
      <c r="CZ259" s="576"/>
      <c r="DA259" s="576"/>
      <c r="DB259" s="576"/>
      <c r="DC259" s="576"/>
      <c r="DD259" s="576"/>
      <c r="DE259" s="576"/>
      <c r="DF259" s="576"/>
      <c r="DG259" s="576"/>
      <c r="DH259" s="116"/>
      <c r="DI259" s="112"/>
      <c r="DJ259">
        <f ca="1">INDIRECT(ADDRESS(ROW()+1,COLUMN(Arbeitszeit!xDay),,,"Arbeitszeit"))</f>
        <v>6</v>
      </c>
    </row>
    <row r="260" spans="1:114">
      <c r="A260" s="462">
        <f>Arbeitszeit!A261</f>
        <v>45089</v>
      </c>
      <c r="B260" s="463">
        <f t="shared" si="13"/>
        <v>45089</v>
      </c>
      <c r="C260" s="146">
        <f t="shared" si="14"/>
        <v>23</v>
      </c>
      <c r="D260" s="145">
        <f t="shared" si="15"/>
        <v>45077</v>
      </c>
      <c r="E260" s="510">
        <f>Arbeitszeit!V261*24</f>
        <v>0</v>
      </c>
      <c r="F260" s="574">
        <f t="shared" si="12"/>
        <v>0</v>
      </c>
      <c r="G260" s="113">
        <f>IF(Arbeitszeit!F261=Urlaub,B_WorkTime*24,)</f>
        <v>0</v>
      </c>
      <c r="H260" s="111"/>
      <c r="I260" s="113">
        <f>IF(Arbeitszeit!F261=Krank,B_WorkTime*24,)</f>
        <v>0</v>
      </c>
      <c r="J260" s="111"/>
      <c r="K260" s="114"/>
      <c r="L260" s="115"/>
      <c r="M260" s="498"/>
      <c r="N260" s="499"/>
      <c r="O260" s="498"/>
      <c r="P260" s="499"/>
      <c r="Q260" s="498"/>
      <c r="R260" s="499"/>
      <c r="S260" s="498"/>
      <c r="T260" s="499"/>
      <c r="U260" s="498"/>
      <c r="V260" s="499"/>
      <c r="W260" s="498"/>
      <c r="X260" s="499"/>
      <c r="Y260" s="498"/>
      <c r="Z260" s="499"/>
      <c r="AA260" s="498"/>
      <c r="AB260" s="499"/>
      <c r="AC260" s="498"/>
      <c r="AD260" s="499"/>
      <c r="AE260" s="498"/>
      <c r="AF260" s="500"/>
      <c r="AG260" s="498"/>
      <c r="AH260" s="500"/>
      <c r="AI260" s="498"/>
      <c r="AJ260" s="500"/>
      <c r="AK260" s="498"/>
      <c r="AL260" s="500"/>
      <c r="AM260" s="501"/>
      <c r="AN260" s="500"/>
      <c r="AO260" s="498"/>
      <c r="AP260" s="500"/>
      <c r="AQ260" s="501"/>
      <c r="AR260" s="500"/>
      <c r="AS260" s="500"/>
      <c r="AT260" s="500"/>
      <c r="AU260" s="501"/>
      <c r="AV260" s="500"/>
      <c r="AW260" s="500"/>
      <c r="AX260" s="500"/>
      <c r="AY260" s="576"/>
      <c r="AZ260" s="576"/>
      <c r="BA260" s="576"/>
      <c r="BB260" s="576"/>
      <c r="BC260" s="576"/>
      <c r="BD260" s="576"/>
      <c r="BE260" s="576"/>
      <c r="BF260" s="576"/>
      <c r="BG260" s="576"/>
      <c r="BH260" s="576"/>
      <c r="BI260" s="576"/>
      <c r="BJ260" s="576"/>
      <c r="BK260" s="576"/>
      <c r="BL260" s="576"/>
      <c r="BM260" s="576"/>
      <c r="BN260" s="576"/>
      <c r="BO260" s="576"/>
      <c r="BP260" s="576"/>
      <c r="BQ260" s="576"/>
      <c r="BR260" s="576"/>
      <c r="BS260" s="576"/>
      <c r="BT260" s="576"/>
      <c r="BU260" s="576"/>
      <c r="BV260" s="576"/>
      <c r="BW260" s="576"/>
      <c r="BX260" s="576"/>
      <c r="BY260" s="576"/>
      <c r="BZ260" s="576"/>
      <c r="CA260" s="576"/>
      <c r="CB260" s="576"/>
      <c r="CC260" s="576"/>
      <c r="CD260" s="576"/>
      <c r="CE260" s="576"/>
      <c r="CF260" s="576"/>
      <c r="CG260" s="576"/>
      <c r="CH260" s="576"/>
      <c r="CI260" s="576"/>
      <c r="CJ260" s="576"/>
      <c r="CK260" s="576"/>
      <c r="CL260" s="576"/>
      <c r="CM260" s="576"/>
      <c r="CN260" s="576"/>
      <c r="CO260" s="576"/>
      <c r="CP260" s="576"/>
      <c r="CQ260" s="576"/>
      <c r="CR260" s="576"/>
      <c r="CS260" s="576"/>
      <c r="CT260" s="576"/>
      <c r="CU260" s="576"/>
      <c r="CV260" s="576"/>
      <c r="CW260" s="576"/>
      <c r="CX260" s="576"/>
      <c r="CY260" s="576"/>
      <c r="CZ260" s="576"/>
      <c r="DA260" s="576"/>
      <c r="DB260" s="576"/>
      <c r="DC260" s="576"/>
      <c r="DD260" s="576"/>
      <c r="DE260" s="576"/>
      <c r="DF260" s="576"/>
      <c r="DG260" s="576"/>
      <c r="DH260" s="116"/>
      <c r="DI260" s="112"/>
      <c r="DJ260">
        <f ca="1">INDIRECT(ADDRESS(ROW()+1,COLUMN(Arbeitszeit!xDay),,,"Arbeitszeit"))</f>
        <v>7</v>
      </c>
    </row>
    <row r="261" spans="1:114">
      <c r="A261" s="462">
        <f>Arbeitszeit!A262</f>
        <v>45090</v>
      </c>
      <c r="B261" s="463">
        <f t="shared" si="13"/>
        <v>45090</v>
      </c>
      <c r="C261" s="146">
        <f t="shared" si="14"/>
        <v>24</v>
      </c>
      <c r="D261" s="145">
        <f t="shared" si="15"/>
        <v>45077</v>
      </c>
      <c r="E261" s="510">
        <f>Arbeitszeit!V262*24</f>
        <v>0</v>
      </c>
      <c r="F261" s="574">
        <f t="shared" ref="F261:F324" si="16">ROUND(E261-SUM(K261:DG261),2)</f>
        <v>0</v>
      </c>
      <c r="G261" s="113">
        <f>IF(Arbeitszeit!F262=Urlaub,B_WorkTime*24,)</f>
        <v>0</v>
      </c>
      <c r="H261" s="111"/>
      <c r="I261" s="113">
        <f>IF(Arbeitszeit!F262=Krank,B_WorkTime*24,)</f>
        <v>0</v>
      </c>
      <c r="J261" s="111"/>
      <c r="K261" s="114"/>
      <c r="L261" s="115"/>
      <c r="M261" s="498"/>
      <c r="N261" s="499"/>
      <c r="O261" s="498"/>
      <c r="P261" s="499"/>
      <c r="Q261" s="498"/>
      <c r="R261" s="499"/>
      <c r="S261" s="498"/>
      <c r="T261" s="499"/>
      <c r="U261" s="498"/>
      <c r="V261" s="499"/>
      <c r="W261" s="498"/>
      <c r="X261" s="499"/>
      <c r="Y261" s="498"/>
      <c r="Z261" s="499"/>
      <c r="AA261" s="498"/>
      <c r="AB261" s="499"/>
      <c r="AC261" s="498"/>
      <c r="AD261" s="499"/>
      <c r="AE261" s="498"/>
      <c r="AF261" s="500"/>
      <c r="AG261" s="498"/>
      <c r="AH261" s="500"/>
      <c r="AI261" s="498"/>
      <c r="AJ261" s="500"/>
      <c r="AK261" s="498"/>
      <c r="AL261" s="500"/>
      <c r="AM261" s="501"/>
      <c r="AN261" s="500"/>
      <c r="AO261" s="498"/>
      <c r="AP261" s="500"/>
      <c r="AQ261" s="501"/>
      <c r="AR261" s="500"/>
      <c r="AS261" s="500"/>
      <c r="AT261" s="500"/>
      <c r="AU261" s="501"/>
      <c r="AV261" s="500"/>
      <c r="AW261" s="500"/>
      <c r="AX261" s="500"/>
      <c r="AY261" s="576"/>
      <c r="AZ261" s="576"/>
      <c r="BA261" s="576"/>
      <c r="BB261" s="576"/>
      <c r="BC261" s="576"/>
      <c r="BD261" s="576"/>
      <c r="BE261" s="576"/>
      <c r="BF261" s="576"/>
      <c r="BG261" s="576"/>
      <c r="BH261" s="576"/>
      <c r="BI261" s="576"/>
      <c r="BJ261" s="576"/>
      <c r="BK261" s="576"/>
      <c r="BL261" s="576"/>
      <c r="BM261" s="576"/>
      <c r="BN261" s="576"/>
      <c r="BO261" s="576"/>
      <c r="BP261" s="576"/>
      <c r="BQ261" s="576"/>
      <c r="BR261" s="576"/>
      <c r="BS261" s="576"/>
      <c r="BT261" s="576"/>
      <c r="BU261" s="576"/>
      <c r="BV261" s="576"/>
      <c r="BW261" s="576"/>
      <c r="BX261" s="576"/>
      <c r="BY261" s="576"/>
      <c r="BZ261" s="576"/>
      <c r="CA261" s="576"/>
      <c r="CB261" s="576"/>
      <c r="CC261" s="576"/>
      <c r="CD261" s="576"/>
      <c r="CE261" s="576"/>
      <c r="CF261" s="576"/>
      <c r="CG261" s="576"/>
      <c r="CH261" s="576"/>
      <c r="CI261" s="576"/>
      <c r="CJ261" s="576"/>
      <c r="CK261" s="576"/>
      <c r="CL261" s="576"/>
      <c r="CM261" s="576"/>
      <c r="CN261" s="576"/>
      <c r="CO261" s="576"/>
      <c r="CP261" s="576"/>
      <c r="CQ261" s="576"/>
      <c r="CR261" s="576"/>
      <c r="CS261" s="576"/>
      <c r="CT261" s="576"/>
      <c r="CU261" s="576"/>
      <c r="CV261" s="576"/>
      <c r="CW261" s="576"/>
      <c r="CX261" s="576"/>
      <c r="CY261" s="576"/>
      <c r="CZ261" s="576"/>
      <c r="DA261" s="576"/>
      <c r="DB261" s="576"/>
      <c r="DC261" s="576"/>
      <c r="DD261" s="576"/>
      <c r="DE261" s="576"/>
      <c r="DF261" s="576"/>
      <c r="DG261" s="576"/>
      <c r="DH261" s="116"/>
      <c r="DI261" s="112"/>
      <c r="DJ261">
        <f ca="1">INDIRECT(ADDRESS(ROW()+1,COLUMN(Arbeitszeit!xDay),,,"Arbeitszeit"))</f>
        <v>1</v>
      </c>
    </row>
    <row r="262" spans="1:114">
      <c r="A262" s="462">
        <f>Arbeitszeit!A263</f>
        <v>45091</v>
      </c>
      <c r="B262" s="463">
        <f t="shared" ref="B262:B325" si="17">IF(A262="","",A262)</f>
        <v>45091</v>
      </c>
      <c r="C262" s="146">
        <f t="shared" si="14"/>
        <v>24</v>
      </c>
      <c r="D262" s="145">
        <f t="shared" si="15"/>
        <v>45077</v>
      </c>
      <c r="E262" s="510">
        <f>Arbeitszeit!V263*24</f>
        <v>0</v>
      </c>
      <c r="F262" s="574">
        <f t="shared" si="16"/>
        <v>0</v>
      </c>
      <c r="G262" s="113">
        <f>IF(Arbeitszeit!F263=Urlaub,B_WorkTime*24,)</f>
        <v>0</v>
      </c>
      <c r="H262" s="111"/>
      <c r="I262" s="113">
        <f>IF(Arbeitszeit!F263=Krank,B_WorkTime*24,)</f>
        <v>0</v>
      </c>
      <c r="J262" s="111"/>
      <c r="K262" s="114"/>
      <c r="L262" s="115"/>
      <c r="M262" s="498"/>
      <c r="N262" s="499"/>
      <c r="O262" s="498"/>
      <c r="P262" s="499"/>
      <c r="Q262" s="498"/>
      <c r="R262" s="499"/>
      <c r="S262" s="498"/>
      <c r="T262" s="499"/>
      <c r="U262" s="498"/>
      <c r="V262" s="499"/>
      <c r="W262" s="498"/>
      <c r="X262" s="499"/>
      <c r="Y262" s="498"/>
      <c r="Z262" s="499"/>
      <c r="AA262" s="498"/>
      <c r="AB262" s="499"/>
      <c r="AC262" s="498"/>
      <c r="AD262" s="499"/>
      <c r="AE262" s="498"/>
      <c r="AF262" s="500"/>
      <c r="AG262" s="498"/>
      <c r="AH262" s="500"/>
      <c r="AI262" s="498"/>
      <c r="AJ262" s="500"/>
      <c r="AK262" s="498"/>
      <c r="AL262" s="500"/>
      <c r="AM262" s="501"/>
      <c r="AN262" s="500"/>
      <c r="AO262" s="498"/>
      <c r="AP262" s="500"/>
      <c r="AQ262" s="501"/>
      <c r="AR262" s="500"/>
      <c r="AS262" s="500"/>
      <c r="AT262" s="500"/>
      <c r="AU262" s="501"/>
      <c r="AV262" s="500"/>
      <c r="AW262" s="500"/>
      <c r="AX262" s="500"/>
      <c r="AY262" s="576"/>
      <c r="AZ262" s="576"/>
      <c r="BA262" s="576"/>
      <c r="BB262" s="576"/>
      <c r="BC262" s="576"/>
      <c r="BD262" s="576"/>
      <c r="BE262" s="576"/>
      <c r="BF262" s="576"/>
      <c r="BG262" s="576"/>
      <c r="BH262" s="576"/>
      <c r="BI262" s="576"/>
      <c r="BJ262" s="576"/>
      <c r="BK262" s="576"/>
      <c r="BL262" s="576"/>
      <c r="BM262" s="576"/>
      <c r="BN262" s="576"/>
      <c r="BO262" s="576"/>
      <c r="BP262" s="576"/>
      <c r="BQ262" s="576"/>
      <c r="BR262" s="576"/>
      <c r="BS262" s="576"/>
      <c r="BT262" s="576"/>
      <c r="BU262" s="576"/>
      <c r="BV262" s="576"/>
      <c r="BW262" s="576"/>
      <c r="BX262" s="576"/>
      <c r="BY262" s="576"/>
      <c r="BZ262" s="576"/>
      <c r="CA262" s="576"/>
      <c r="CB262" s="576"/>
      <c r="CC262" s="576"/>
      <c r="CD262" s="576"/>
      <c r="CE262" s="576"/>
      <c r="CF262" s="576"/>
      <c r="CG262" s="576"/>
      <c r="CH262" s="576"/>
      <c r="CI262" s="576"/>
      <c r="CJ262" s="576"/>
      <c r="CK262" s="576"/>
      <c r="CL262" s="576"/>
      <c r="CM262" s="576"/>
      <c r="CN262" s="576"/>
      <c r="CO262" s="576"/>
      <c r="CP262" s="576"/>
      <c r="CQ262" s="576"/>
      <c r="CR262" s="576"/>
      <c r="CS262" s="576"/>
      <c r="CT262" s="576"/>
      <c r="CU262" s="576"/>
      <c r="CV262" s="576"/>
      <c r="CW262" s="576"/>
      <c r="CX262" s="576"/>
      <c r="CY262" s="576"/>
      <c r="CZ262" s="576"/>
      <c r="DA262" s="576"/>
      <c r="DB262" s="576"/>
      <c r="DC262" s="576"/>
      <c r="DD262" s="576"/>
      <c r="DE262" s="576"/>
      <c r="DF262" s="576"/>
      <c r="DG262" s="576"/>
      <c r="DH262" s="116"/>
      <c r="DI262" s="112"/>
      <c r="DJ262">
        <f ca="1">INDIRECT(ADDRESS(ROW()+1,COLUMN(Arbeitszeit!xDay),,,"Arbeitszeit"))</f>
        <v>2</v>
      </c>
    </row>
    <row r="263" spans="1:114">
      <c r="A263" s="462">
        <f>Arbeitszeit!A264</f>
        <v>45092</v>
      </c>
      <c r="B263" s="463">
        <f t="shared" si="17"/>
        <v>45092</v>
      </c>
      <c r="C263" s="146">
        <f t="shared" ref="C263:C326" si="18">IF(A263="","",NumberOfWeek(A263))</f>
        <v>24</v>
      </c>
      <c r="D263" s="145">
        <f t="shared" ref="D263:D326" si="19">IF(A263="","",DATE(YEAR(A263),MONTH(A263),1))</f>
        <v>45077</v>
      </c>
      <c r="E263" s="510">
        <f>Arbeitszeit!V264*24</f>
        <v>0</v>
      </c>
      <c r="F263" s="574">
        <f t="shared" si="16"/>
        <v>0</v>
      </c>
      <c r="G263" s="113">
        <f>IF(Arbeitszeit!F264=Urlaub,B_WorkTime*24,)</f>
        <v>0</v>
      </c>
      <c r="H263" s="111"/>
      <c r="I263" s="113">
        <f>IF(Arbeitszeit!F264=Krank,B_WorkTime*24,)</f>
        <v>0</v>
      </c>
      <c r="J263" s="111"/>
      <c r="K263" s="114"/>
      <c r="L263" s="115"/>
      <c r="M263" s="498"/>
      <c r="N263" s="499"/>
      <c r="O263" s="498"/>
      <c r="P263" s="499"/>
      <c r="Q263" s="498"/>
      <c r="R263" s="499"/>
      <c r="S263" s="498"/>
      <c r="T263" s="499"/>
      <c r="U263" s="498"/>
      <c r="V263" s="499"/>
      <c r="W263" s="498"/>
      <c r="X263" s="499"/>
      <c r="Y263" s="498"/>
      <c r="Z263" s="499"/>
      <c r="AA263" s="498"/>
      <c r="AB263" s="499"/>
      <c r="AC263" s="498"/>
      <c r="AD263" s="499"/>
      <c r="AE263" s="498"/>
      <c r="AF263" s="500"/>
      <c r="AG263" s="498"/>
      <c r="AH263" s="500"/>
      <c r="AI263" s="498"/>
      <c r="AJ263" s="500"/>
      <c r="AK263" s="498"/>
      <c r="AL263" s="500"/>
      <c r="AM263" s="501"/>
      <c r="AN263" s="500"/>
      <c r="AO263" s="498"/>
      <c r="AP263" s="500"/>
      <c r="AQ263" s="501"/>
      <c r="AR263" s="500"/>
      <c r="AS263" s="500"/>
      <c r="AT263" s="500"/>
      <c r="AU263" s="501"/>
      <c r="AV263" s="500"/>
      <c r="AW263" s="500"/>
      <c r="AX263" s="500"/>
      <c r="AY263" s="576"/>
      <c r="AZ263" s="576"/>
      <c r="BA263" s="576"/>
      <c r="BB263" s="576"/>
      <c r="BC263" s="576"/>
      <c r="BD263" s="576"/>
      <c r="BE263" s="576"/>
      <c r="BF263" s="576"/>
      <c r="BG263" s="576"/>
      <c r="BH263" s="576"/>
      <c r="BI263" s="576"/>
      <c r="BJ263" s="576"/>
      <c r="BK263" s="576"/>
      <c r="BL263" s="576"/>
      <c r="BM263" s="576"/>
      <c r="BN263" s="576"/>
      <c r="BO263" s="576"/>
      <c r="BP263" s="576"/>
      <c r="BQ263" s="576"/>
      <c r="BR263" s="576"/>
      <c r="BS263" s="576"/>
      <c r="BT263" s="576"/>
      <c r="BU263" s="576"/>
      <c r="BV263" s="576"/>
      <c r="BW263" s="576"/>
      <c r="BX263" s="576"/>
      <c r="BY263" s="576"/>
      <c r="BZ263" s="576"/>
      <c r="CA263" s="576"/>
      <c r="CB263" s="576"/>
      <c r="CC263" s="576"/>
      <c r="CD263" s="576"/>
      <c r="CE263" s="576"/>
      <c r="CF263" s="576"/>
      <c r="CG263" s="576"/>
      <c r="CH263" s="576"/>
      <c r="CI263" s="576"/>
      <c r="CJ263" s="576"/>
      <c r="CK263" s="576"/>
      <c r="CL263" s="576"/>
      <c r="CM263" s="576"/>
      <c r="CN263" s="576"/>
      <c r="CO263" s="576"/>
      <c r="CP263" s="576"/>
      <c r="CQ263" s="576"/>
      <c r="CR263" s="576"/>
      <c r="CS263" s="576"/>
      <c r="CT263" s="576"/>
      <c r="CU263" s="576"/>
      <c r="CV263" s="576"/>
      <c r="CW263" s="576"/>
      <c r="CX263" s="576"/>
      <c r="CY263" s="576"/>
      <c r="CZ263" s="576"/>
      <c r="DA263" s="576"/>
      <c r="DB263" s="576"/>
      <c r="DC263" s="576"/>
      <c r="DD263" s="576"/>
      <c r="DE263" s="576"/>
      <c r="DF263" s="576"/>
      <c r="DG263" s="576"/>
      <c r="DH263" s="116"/>
      <c r="DI263" s="112"/>
      <c r="DJ263">
        <f ca="1">INDIRECT(ADDRESS(ROW()+1,COLUMN(Arbeitszeit!xDay),,,"Arbeitszeit"))</f>
        <v>3</v>
      </c>
    </row>
    <row r="264" spans="1:114">
      <c r="A264" s="462">
        <f>Arbeitszeit!A265</f>
        <v>45093</v>
      </c>
      <c r="B264" s="463">
        <f t="shared" si="17"/>
        <v>45093</v>
      </c>
      <c r="C264" s="146">
        <f t="shared" si="18"/>
        <v>24</v>
      </c>
      <c r="D264" s="145">
        <f t="shared" si="19"/>
        <v>45077</v>
      </c>
      <c r="E264" s="510">
        <f>Arbeitszeit!V265*24</f>
        <v>0</v>
      </c>
      <c r="F264" s="574">
        <f t="shared" si="16"/>
        <v>0</v>
      </c>
      <c r="G264" s="113">
        <f>IF(Arbeitszeit!F265=Urlaub,B_WorkTime*24,)</f>
        <v>0</v>
      </c>
      <c r="H264" s="111"/>
      <c r="I264" s="113">
        <f>IF(Arbeitszeit!F265=Krank,B_WorkTime*24,)</f>
        <v>0</v>
      </c>
      <c r="J264" s="111"/>
      <c r="K264" s="114"/>
      <c r="L264" s="115"/>
      <c r="M264" s="498"/>
      <c r="N264" s="499"/>
      <c r="O264" s="498"/>
      <c r="P264" s="499"/>
      <c r="Q264" s="498"/>
      <c r="R264" s="499"/>
      <c r="S264" s="498"/>
      <c r="T264" s="499"/>
      <c r="U264" s="498"/>
      <c r="V264" s="499"/>
      <c r="W264" s="498"/>
      <c r="X264" s="499"/>
      <c r="Y264" s="498"/>
      <c r="Z264" s="499"/>
      <c r="AA264" s="498"/>
      <c r="AB264" s="499"/>
      <c r="AC264" s="498"/>
      <c r="AD264" s="499"/>
      <c r="AE264" s="498"/>
      <c r="AF264" s="500"/>
      <c r="AG264" s="498"/>
      <c r="AH264" s="500"/>
      <c r="AI264" s="498"/>
      <c r="AJ264" s="500"/>
      <c r="AK264" s="498"/>
      <c r="AL264" s="500"/>
      <c r="AM264" s="501"/>
      <c r="AN264" s="500"/>
      <c r="AO264" s="498"/>
      <c r="AP264" s="500"/>
      <c r="AQ264" s="501"/>
      <c r="AR264" s="500"/>
      <c r="AS264" s="500"/>
      <c r="AT264" s="500"/>
      <c r="AU264" s="501"/>
      <c r="AV264" s="500"/>
      <c r="AW264" s="500"/>
      <c r="AX264" s="500"/>
      <c r="AY264" s="576"/>
      <c r="AZ264" s="576"/>
      <c r="BA264" s="576"/>
      <c r="BB264" s="576"/>
      <c r="BC264" s="576"/>
      <c r="BD264" s="576"/>
      <c r="BE264" s="576"/>
      <c r="BF264" s="576"/>
      <c r="BG264" s="576"/>
      <c r="BH264" s="576"/>
      <c r="BI264" s="576"/>
      <c r="BJ264" s="576"/>
      <c r="BK264" s="576"/>
      <c r="BL264" s="576"/>
      <c r="BM264" s="576"/>
      <c r="BN264" s="576"/>
      <c r="BO264" s="576"/>
      <c r="BP264" s="576"/>
      <c r="BQ264" s="576"/>
      <c r="BR264" s="576"/>
      <c r="BS264" s="576"/>
      <c r="BT264" s="576"/>
      <c r="BU264" s="576"/>
      <c r="BV264" s="576"/>
      <c r="BW264" s="576"/>
      <c r="BX264" s="576"/>
      <c r="BY264" s="576"/>
      <c r="BZ264" s="576"/>
      <c r="CA264" s="576"/>
      <c r="CB264" s="576"/>
      <c r="CC264" s="576"/>
      <c r="CD264" s="576"/>
      <c r="CE264" s="576"/>
      <c r="CF264" s="576"/>
      <c r="CG264" s="576"/>
      <c r="CH264" s="576"/>
      <c r="CI264" s="576"/>
      <c r="CJ264" s="576"/>
      <c r="CK264" s="576"/>
      <c r="CL264" s="576"/>
      <c r="CM264" s="576"/>
      <c r="CN264" s="576"/>
      <c r="CO264" s="576"/>
      <c r="CP264" s="576"/>
      <c r="CQ264" s="576"/>
      <c r="CR264" s="576"/>
      <c r="CS264" s="576"/>
      <c r="CT264" s="576"/>
      <c r="CU264" s="576"/>
      <c r="CV264" s="576"/>
      <c r="CW264" s="576"/>
      <c r="CX264" s="576"/>
      <c r="CY264" s="576"/>
      <c r="CZ264" s="576"/>
      <c r="DA264" s="576"/>
      <c r="DB264" s="576"/>
      <c r="DC264" s="576"/>
      <c r="DD264" s="576"/>
      <c r="DE264" s="576"/>
      <c r="DF264" s="576"/>
      <c r="DG264" s="576"/>
      <c r="DH264" s="116"/>
      <c r="DI264" s="112"/>
      <c r="DJ264">
        <f ca="1">INDIRECT(ADDRESS(ROW()+1,COLUMN(Arbeitszeit!xDay),,,"Arbeitszeit"))</f>
        <v>4</v>
      </c>
    </row>
    <row r="265" spans="1:114">
      <c r="A265" s="462">
        <f>Arbeitszeit!A266</f>
        <v>45094</v>
      </c>
      <c r="B265" s="463">
        <f t="shared" si="17"/>
        <v>45094</v>
      </c>
      <c r="C265" s="146">
        <f t="shared" si="18"/>
        <v>24</v>
      </c>
      <c r="D265" s="145">
        <f t="shared" si="19"/>
        <v>45077</v>
      </c>
      <c r="E265" s="510">
        <f>Arbeitszeit!V266*24</f>
        <v>0</v>
      </c>
      <c r="F265" s="574">
        <f t="shared" si="16"/>
        <v>0</v>
      </c>
      <c r="G265" s="113">
        <f>IF(Arbeitszeit!F266=Urlaub,B_WorkTime*24,)</f>
        <v>0</v>
      </c>
      <c r="H265" s="111"/>
      <c r="I265" s="113">
        <f>IF(Arbeitszeit!F266=Krank,B_WorkTime*24,)</f>
        <v>0</v>
      </c>
      <c r="J265" s="111"/>
      <c r="K265" s="114"/>
      <c r="L265" s="115"/>
      <c r="M265" s="498"/>
      <c r="N265" s="499"/>
      <c r="O265" s="498"/>
      <c r="P265" s="499"/>
      <c r="Q265" s="498"/>
      <c r="R265" s="499"/>
      <c r="S265" s="498"/>
      <c r="T265" s="499"/>
      <c r="U265" s="498"/>
      <c r="V265" s="499"/>
      <c r="W265" s="498"/>
      <c r="X265" s="499"/>
      <c r="Y265" s="498"/>
      <c r="Z265" s="499"/>
      <c r="AA265" s="498"/>
      <c r="AB265" s="499"/>
      <c r="AC265" s="498"/>
      <c r="AD265" s="499"/>
      <c r="AE265" s="498"/>
      <c r="AF265" s="500"/>
      <c r="AG265" s="498"/>
      <c r="AH265" s="500"/>
      <c r="AI265" s="498"/>
      <c r="AJ265" s="500"/>
      <c r="AK265" s="498"/>
      <c r="AL265" s="500"/>
      <c r="AM265" s="501"/>
      <c r="AN265" s="500"/>
      <c r="AO265" s="498"/>
      <c r="AP265" s="500"/>
      <c r="AQ265" s="501"/>
      <c r="AR265" s="500"/>
      <c r="AS265" s="500"/>
      <c r="AT265" s="500"/>
      <c r="AU265" s="501"/>
      <c r="AV265" s="500"/>
      <c r="AW265" s="500"/>
      <c r="AX265" s="500"/>
      <c r="AY265" s="576"/>
      <c r="AZ265" s="576"/>
      <c r="BA265" s="576"/>
      <c r="BB265" s="576"/>
      <c r="BC265" s="576"/>
      <c r="BD265" s="576"/>
      <c r="BE265" s="576"/>
      <c r="BF265" s="576"/>
      <c r="BG265" s="576"/>
      <c r="BH265" s="576"/>
      <c r="BI265" s="576"/>
      <c r="BJ265" s="576"/>
      <c r="BK265" s="576"/>
      <c r="BL265" s="576"/>
      <c r="BM265" s="576"/>
      <c r="BN265" s="576"/>
      <c r="BO265" s="576"/>
      <c r="BP265" s="576"/>
      <c r="BQ265" s="576"/>
      <c r="BR265" s="576"/>
      <c r="BS265" s="576"/>
      <c r="BT265" s="576"/>
      <c r="BU265" s="576"/>
      <c r="BV265" s="576"/>
      <c r="BW265" s="576"/>
      <c r="BX265" s="576"/>
      <c r="BY265" s="576"/>
      <c r="BZ265" s="576"/>
      <c r="CA265" s="576"/>
      <c r="CB265" s="576"/>
      <c r="CC265" s="576"/>
      <c r="CD265" s="576"/>
      <c r="CE265" s="576"/>
      <c r="CF265" s="576"/>
      <c r="CG265" s="576"/>
      <c r="CH265" s="576"/>
      <c r="CI265" s="576"/>
      <c r="CJ265" s="576"/>
      <c r="CK265" s="576"/>
      <c r="CL265" s="576"/>
      <c r="CM265" s="576"/>
      <c r="CN265" s="576"/>
      <c r="CO265" s="576"/>
      <c r="CP265" s="576"/>
      <c r="CQ265" s="576"/>
      <c r="CR265" s="576"/>
      <c r="CS265" s="576"/>
      <c r="CT265" s="576"/>
      <c r="CU265" s="576"/>
      <c r="CV265" s="576"/>
      <c r="CW265" s="576"/>
      <c r="CX265" s="576"/>
      <c r="CY265" s="576"/>
      <c r="CZ265" s="576"/>
      <c r="DA265" s="576"/>
      <c r="DB265" s="576"/>
      <c r="DC265" s="576"/>
      <c r="DD265" s="576"/>
      <c r="DE265" s="576"/>
      <c r="DF265" s="576"/>
      <c r="DG265" s="576"/>
      <c r="DH265" s="116"/>
      <c r="DI265" s="112"/>
      <c r="DJ265">
        <f ca="1">INDIRECT(ADDRESS(ROW()+1,COLUMN(Arbeitszeit!xDay),,,"Arbeitszeit"))</f>
        <v>5</v>
      </c>
    </row>
    <row r="266" spans="1:114">
      <c r="A266" s="462">
        <f>Arbeitszeit!A267</f>
        <v>45095</v>
      </c>
      <c r="B266" s="463">
        <f t="shared" si="17"/>
        <v>45095</v>
      </c>
      <c r="C266" s="146">
        <f t="shared" si="18"/>
        <v>24</v>
      </c>
      <c r="D266" s="145">
        <f t="shared" si="19"/>
        <v>45077</v>
      </c>
      <c r="E266" s="510">
        <f>Arbeitszeit!V267*24</f>
        <v>0</v>
      </c>
      <c r="F266" s="574">
        <f t="shared" si="16"/>
        <v>0</v>
      </c>
      <c r="G266" s="113">
        <f>IF(Arbeitszeit!F267=Urlaub,B_WorkTime*24,)</f>
        <v>0</v>
      </c>
      <c r="H266" s="111"/>
      <c r="I266" s="113">
        <f>IF(Arbeitszeit!F267=Krank,B_WorkTime*24,)</f>
        <v>0</v>
      </c>
      <c r="J266" s="111"/>
      <c r="K266" s="114"/>
      <c r="L266" s="115"/>
      <c r="M266" s="498"/>
      <c r="N266" s="499"/>
      <c r="O266" s="498"/>
      <c r="P266" s="499"/>
      <c r="Q266" s="498"/>
      <c r="R266" s="499"/>
      <c r="S266" s="498"/>
      <c r="T266" s="499"/>
      <c r="U266" s="498"/>
      <c r="V266" s="499"/>
      <c r="W266" s="498"/>
      <c r="X266" s="499"/>
      <c r="Y266" s="498"/>
      <c r="Z266" s="499"/>
      <c r="AA266" s="498"/>
      <c r="AB266" s="499"/>
      <c r="AC266" s="498"/>
      <c r="AD266" s="499"/>
      <c r="AE266" s="498"/>
      <c r="AF266" s="500"/>
      <c r="AG266" s="498"/>
      <c r="AH266" s="500"/>
      <c r="AI266" s="498"/>
      <c r="AJ266" s="500"/>
      <c r="AK266" s="498"/>
      <c r="AL266" s="500"/>
      <c r="AM266" s="501"/>
      <c r="AN266" s="500"/>
      <c r="AO266" s="498"/>
      <c r="AP266" s="500"/>
      <c r="AQ266" s="501"/>
      <c r="AR266" s="500"/>
      <c r="AS266" s="500"/>
      <c r="AT266" s="500"/>
      <c r="AU266" s="501"/>
      <c r="AV266" s="500"/>
      <c r="AW266" s="500"/>
      <c r="AX266" s="500"/>
      <c r="AY266" s="576"/>
      <c r="AZ266" s="576"/>
      <c r="BA266" s="576"/>
      <c r="BB266" s="576"/>
      <c r="BC266" s="576"/>
      <c r="BD266" s="576"/>
      <c r="BE266" s="576"/>
      <c r="BF266" s="576"/>
      <c r="BG266" s="576"/>
      <c r="BH266" s="576"/>
      <c r="BI266" s="576"/>
      <c r="BJ266" s="576"/>
      <c r="BK266" s="576"/>
      <c r="BL266" s="576"/>
      <c r="BM266" s="576"/>
      <c r="BN266" s="576"/>
      <c r="BO266" s="576"/>
      <c r="BP266" s="576"/>
      <c r="BQ266" s="576"/>
      <c r="BR266" s="576"/>
      <c r="BS266" s="576"/>
      <c r="BT266" s="576"/>
      <c r="BU266" s="576"/>
      <c r="BV266" s="576"/>
      <c r="BW266" s="576"/>
      <c r="BX266" s="576"/>
      <c r="BY266" s="576"/>
      <c r="BZ266" s="576"/>
      <c r="CA266" s="576"/>
      <c r="CB266" s="576"/>
      <c r="CC266" s="576"/>
      <c r="CD266" s="576"/>
      <c r="CE266" s="576"/>
      <c r="CF266" s="576"/>
      <c r="CG266" s="576"/>
      <c r="CH266" s="576"/>
      <c r="CI266" s="576"/>
      <c r="CJ266" s="576"/>
      <c r="CK266" s="576"/>
      <c r="CL266" s="576"/>
      <c r="CM266" s="576"/>
      <c r="CN266" s="576"/>
      <c r="CO266" s="576"/>
      <c r="CP266" s="576"/>
      <c r="CQ266" s="576"/>
      <c r="CR266" s="576"/>
      <c r="CS266" s="576"/>
      <c r="CT266" s="576"/>
      <c r="CU266" s="576"/>
      <c r="CV266" s="576"/>
      <c r="CW266" s="576"/>
      <c r="CX266" s="576"/>
      <c r="CY266" s="576"/>
      <c r="CZ266" s="576"/>
      <c r="DA266" s="576"/>
      <c r="DB266" s="576"/>
      <c r="DC266" s="576"/>
      <c r="DD266" s="576"/>
      <c r="DE266" s="576"/>
      <c r="DF266" s="576"/>
      <c r="DG266" s="576"/>
      <c r="DH266" s="116"/>
      <c r="DI266" s="112"/>
      <c r="DJ266">
        <f ca="1">INDIRECT(ADDRESS(ROW()+1,COLUMN(Arbeitszeit!xDay),,,"Arbeitszeit"))</f>
        <v>6</v>
      </c>
    </row>
    <row r="267" spans="1:114">
      <c r="A267" s="462">
        <f>Arbeitszeit!A268</f>
        <v>45096</v>
      </c>
      <c r="B267" s="463">
        <f t="shared" si="17"/>
        <v>45096</v>
      </c>
      <c r="C267" s="146">
        <f t="shared" si="18"/>
        <v>24</v>
      </c>
      <c r="D267" s="145">
        <f t="shared" si="19"/>
        <v>45077</v>
      </c>
      <c r="E267" s="510">
        <f>Arbeitszeit!V268*24</f>
        <v>0</v>
      </c>
      <c r="F267" s="574">
        <f t="shared" si="16"/>
        <v>0</v>
      </c>
      <c r="G267" s="113">
        <f>IF(Arbeitszeit!F268=Urlaub,B_WorkTime*24,)</f>
        <v>0</v>
      </c>
      <c r="H267" s="111"/>
      <c r="I267" s="113">
        <f>IF(Arbeitszeit!F268=Krank,B_WorkTime*24,)</f>
        <v>0</v>
      </c>
      <c r="J267" s="111"/>
      <c r="K267" s="114"/>
      <c r="L267" s="115"/>
      <c r="M267" s="498"/>
      <c r="N267" s="499"/>
      <c r="O267" s="498"/>
      <c r="P267" s="499"/>
      <c r="Q267" s="498"/>
      <c r="R267" s="499"/>
      <c r="S267" s="498"/>
      <c r="T267" s="499"/>
      <c r="U267" s="498"/>
      <c r="V267" s="499"/>
      <c r="W267" s="498"/>
      <c r="X267" s="499"/>
      <c r="Y267" s="498"/>
      <c r="Z267" s="499"/>
      <c r="AA267" s="498"/>
      <c r="AB267" s="499"/>
      <c r="AC267" s="498"/>
      <c r="AD267" s="499"/>
      <c r="AE267" s="498"/>
      <c r="AF267" s="500"/>
      <c r="AG267" s="498"/>
      <c r="AH267" s="500"/>
      <c r="AI267" s="498"/>
      <c r="AJ267" s="500"/>
      <c r="AK267" s="498"/>
      <c r="AL267" s="500"/>
      <c r="AM267" s="501"/>
      <c r="AN267" s="500"/>
      <c r="AO267" s="498"/>
      <c r="AP267" s="500"/>
      <c r="AQ267" s="501"/>
      <c r="AR267" s="500"/>
      <c r="AS267" s="500"/>
      <c r="AT267" s="500"/>
      <c r="AU267" s="501"/>
      <c r="AV267" s="500"/>
      <c r="AW267" s="500"/>
      <c r="AX267" s="500"/>
      <c r="AY267" s="576"/>
      <c r="AZ267" s="576"/>
      <c r="BA267" s="576"/>
      <c r="BB267" s="576"/>
      <c r="BC267" s="576"/>
      <c r="BD267" s="576"/>
      <c r="BE267" s="576"/>
      <c r="BF267" s="576"/>
      <c r="BG267" s="576"/>
      <c r="BH267" s="576"/>
      <c r="BI267" s="576"/>
      <c r="BJ267" s="576"/>
      <c r="BK267" s="576"/>
      <c r="BL267" s="576"/>
      <c r="BM267" s="576"/>
      <c r="BN267" s="576"/>
      <c r="BO267" s="576"/>
      <c r="BP267" s="576"/>
      <c r="BQ267" s="576"/>
      <c r="BR267" s="576"/>
      <c r="BS267" s="576"/>
      <c r="BT267" s="576"/>
      <c r="BU267" s="576"/>
      <c r="BV267" s="576"/>
      <c r="BW267" s="576"/>
      <c r="BX267" s="576"/>
      <c r="BY267" s="576"/>
      <c r="BZ267" s="576"/>
      <c r="CA267" s="576"/>
      <c r="CB267" s="576"/>
      <c r="CC267" s="576"/>
      <c r="CD267" s="576"/>
      <c r="CE267" s="576"/>
      <c r="CF267" s="576"/>
      <c r="CG267" s="576"/>
      <c r="CH267" s="576"/>
      <c r="CI267" s="576"/>
      <c r="CJ267" s="576"/>
      <c r="CK267" s="576"/>
      <c r="CL267" s="576"/>
      <c r="CM267" s="576"/>
      <c r="CN267" s="576"/>
      <c r="CO267" s="576"/>
      <c r="CP267" s="576"/>
      <c r="CQ267" s="576"/>
      <c r="CR267" s="576"/>
      <c r="CS267" s="576"/>
      <c r="CT267" s="576"/>
      <c r="CU267" s="576"/>
      <c r="CV267" s="576"/>
      <c r="CW267" s="576"/>
      <c r="CX267" s="576"/>
      <c r="CY267" s="576"/>
      <c r="CZ267" s="576"/>
      <c r="DA267" s="576"/>
      <c r="DB267" s="576"/>
      <c r="DC267" s="576"/>
      <c r="DD267" s="576"/>
      <c r="DE267" s="576"/>
      <c r="DF267" s="576"/>
      <c r="DG267" s="576"/>
      <c r="DH267" s="116"/>
      <c r="DI267" s="112"/>
      <c r="DJ267">
        <f ca="1">INDIRECT(ADDRESS(ROW()+1,COLUMN(Arbeitszeit!xDay),,,"Arbeitszeit"))</f>
        <v>7</v>
      </c>
    </row>
    <row r="268" spans="1:114">
      <c r="A268" s="462">
        <f>Arbeitszeit!A269</f>
        <v>45097</v>
      </c>
      <c r="B268" s="463">
        <f t="shared" si="17"/>
        <v>45097</v>
      </c>
      <c r="C268" s="146">
        <f t="shared" si="18"/>
        <v>25</v>
      </c>
      <c r="D268" s="145">
        <f t="shared" si="19"/>
        <v>45077</v>
      </c>
      <c r="E268" s="510">
        <f>Arbeitszeit!V269*24</f>
        <v>0</v>
      </c>
      <c r="F268" s="574">
        <f t="shared" si="16"/>
        <v>0</v>
      </c>
      <c r="G268" s="113">
        <f>IF(Arbeitszeit!F269=Urlaub,B_WorkTime*24,)</f>
        <v>0</v>
      </c>
      <c r="H268" s="111"/>
      <c r="I268" s="113">
        <f>IF(Arbeitszeit!F269=Krank,B_WorkTime*24,)</f>
        <v>0</v>
      </c>
      <c r="J268" s="111"/>
      <c r="K268" s="114"/>
      <c r="L268" s="115"/>
      <c r="M268" s="498"/>
      <c r="N268" s="499"/>
      <c r="O268" s="498"/>
      <c r="P268" s="499"/>
      <c r="Q268" s="498"/>
      <c r="R268" s="499"/>
      <c r="S268" s="498"/>
      <c r="T268" s="499"/>
      <c r="U268" s="498"/>
      <c r="V268" s="499"/>
      <c r="W268" s="498"/>
      <c r="X268" s="499"/>
      <c r="Y268" s="498"/>
      <c r="Z268" s="499"/>
      <c r="AA268" s="498"/>
      <c r="AB268" s="499"/>
      <c r="AC268" s="498"/>
      <c r="AD268" s="499"/>
      <c r="AE268" s="498"/>
      <c r="AF268" s="500"/>
      <c r="AG268" s="498"/>
      <c r="AH268" s="500"/>
      <c r="AI268" s="498"/>
      <c r="AJ268" s="500"/>
      <c r="AK268" s="498"/>
      <c r="AL268" s="500"/>
      <c r="AM268" s="501"/>
      <c r="AN268" s="500"/>
      <c r="AO268" s="498"/>
      <c r="AP268" s="500"/>
      <c r="AQ268" s="501"/>
      <c r="AR268" s="500"/>
      <c r="AS268" s="500"/>
      <c r="AT268" s="500"/>
      <c r="AU268" s="501"/>
      <c r="AV268" s="500"/>
      <c r="AW268" s="500"/>
      <c r="AX268" s="500"/>
      <c r="AY268" s="576"/>
      <c r="AZ268" s="576"/>
      <c r="BA268" s="576"/>
      <c r="BB268" s="576"/>
      <c r="BC268" s="576"/>
      <c r="BD268" s="576"/>
      <c r="BE268" s="576"/>
      <c r="BF268" s="576"/>
      <c r="BG268" s="576"/>
      <c r="BH268" s="576"/>
      <c r="BI268" s="576"/>
      <c r="BJ268" s="576"/>
      <c r="BK268" s="576"/>
      <c r="BL268" s="576"/>
      <c r="BM268" s="576"/>
      <c r="BN268" s="576"/>
      <c r="BO268" s="576"/>
      <c r="BP268" s="576"/>
      <c r="BQ268" s="576"/>
      <c r="BR268" s="576"/>
      <c r="BS268" s="576"/>
      <c r="BT268" s="576"/>
      <c r="BU268" s="576"/>
      <c r="BV268" s="576"/>
      <c r="BW268" s="576"/>
      <c r="BX268" s="576"/>
      <c r="BY268" s="576"/>
      <c r="BZ268" s="576"/>
      <c r="CA268" s="576"/>
      <c r="CB268" s="576"/>
      <c r="CC268" s="576"/>
      <c r="CD268" s="576"/>
      <c r="CE268" s="576"/>
      <c r="CF268" s="576"/>
      <c r="CG268" s="576"/>
      <c r="CH268" s="576"/>
      <c r="CI268" s="576"/>
      <c r="CJ268" s="576"/>
      <c r="CK268" s="576"/>
      <c r="CL268" s="576"/>
      <c r="CM268" s="576"/>
      <c r="CN268" s="576"/>
      <c r="CO268" s="576"/>
      <c r="CP268" s="576"/>
      <c r="CQ268" s="576"/>
      <c r="CR268" s="576"/>
      <c r="CS268" s="576"/>
      <c r="CT268" s="576"/>
      <c r="CU268" s="576"/>
      <c r="CV268" s="576"/>
      <c r="CW268" s="576"/>
      <c r="CX268" s="576"/>
      <c r="CY268" s="576"/>
      <c r="CZ268" s="576"/>
      <c r="DA268" s="576"/>
      <c r="DB268" s="576"/>
      <c r="DC268" s="576"/>
      <c r="DD268" s="576"/>
      <c r="DE268" s="576"/>
      <c r="DF268" s="576"/>
      <c r="DG268" s="576"/>
      <c r="DH268" s="116"/>
      <c r="DI268" s="112"/>
      <c r="DJ268">
        <f ca="1">INDIRECT(ADDRESS(ROW()+1,COLUMN(Arbeitszeit!xDay),,,"Arbeitszeit"))</f>
        <v>1</v>
      </c>
    </row>
    <row r="269" spans="1:114">
      <c r="A269" s="462">
        <f>Arbeitszeit!A270</f>
        <v>45098</v>
      </c>
      <c r="B269" s="463">
        <f t="shared" si="17"/>
        <v>45098</v>
      </c>
      <c r="C269" s="146">
        <f t="shared" si="18"/>
        <v>25</v>
      </c>
      <c r="D269" s="145">
        <f t="shared" si="19"/>
        <v>45077</v>
      </c>
      <c r="E269" s="510">
        <f>Arbeitszeit!V270*24</f>
        <v>0</v>
      </c>
      <c r="F269" s="574">
        <f t="shared" si="16"/>
        <v>0</v>
      </c>
      <c r="G269" s="113">
        <f>IF(Arbeitszeit!F270=Urlaub,B_WorkTime*24,)</f>
        <v>0</v>
      </c>
      <c r="H269" s="111"/>
      <c r="I269" s="113">
        <f>IF(Arbeitszeit!F270=Krank,B_WorkTime*24,)</f>
        <v>0</v>
      </c>
      <c r="J269" s="111"/>
      <c r="K269" s="114"/>
      <c r="L269" s="115"/>
      <c r="M269" s="498"/>
      <c r="N269" s="499"/>
      <c r="O269" s="498"/>
      <c r="P269" s="499"/>
      <c r="Q269" s="498"/>
      <c r="R269" s="499"/>
      <c r="S269" s="498"/>
      <c r="T269" s="499"/>
      <c r="U269" s="498"/>
      <c r="V269" s="499"/>
      <c r="W269" s="498"/>
      <c r="X269" s="499"/>
      <c r="Y269" s="498"/>
      <c r="Z269" s="499"/>
      <c r="AA269" s="498"/>
      <c r="AB269" s="499"/>
      <c r="AC269" s="498"/>
      <c r="AD269" s="499"/>
      <c r="AE269" s="498"/>
      <c r="AF269" s="500"/>
      <c r="AG269" s="498"/>
      <c r="AH269" s="500"/>
      <c r="AI269" s="498"/>
      <c r="AJ269" s="500"/>
      <c r="AK269" s="498"/>
      <c r="AL269" s="500"/>
      <c r="AM269" s="501"/>
      <c r="AN269" s="500"/>
      <c r="AO269" s="498"/>
      <c r="AP269" s="500"/>
      <c r="AQ269" s="501"/>
      <c r="AR269" s="500"/>
      <c r="AS269" s="500"/>
      <c r="AT269" s="500"/>
      <c r="AU269" s="501"/>
      <c r="AV269" s="500"/>
      <c r="AW269" s="500"/>
      <c r="AX269" s="500"/>
      <c r="AY269" s="576"/>
      <c r="AZ269" s="576"/>
      <c r="BA269" s="576"/>
      <c r="BB269" s="576"/>
      <c r="BC269" s="576"/>
      <c r="BD269" s="576"/>
      <c r="BE269" s="576"/>
      <c r="BF269" s="576"/>
      <c r="BG269" s="576"/>
      <c r="BH269" s="576"/>
      <c r="BI269" s="576"/>
      <c r="BJ269" s="576"/>
      <c r="BK269" s="576"/>
      <c r="BL269" s="576"/>
      <c r="BM269" s="576"/>
      <c r="BN269" s="576"/>
      <c r="BO269" s="576"/>
      <c r="BP269" s="576"/>
      <c r="BQ269" s="576"/>
      <c r="BR269" s="576"/>
      <c r="BS269" s="576"/>
      <c r="BT269" s="576"/>
      <c r="BU269" s="576"/>
      <c r="BV269" s="576"/>
      <c r="BW269" s="576"/>
      <c r="BX269" s="576"/>
      <c r="BY269" s="576"/>
      <c r="BZ269" s="576"/>
      <c r="CA269" s="576"/>
      <c r="CB269" s="576"/>
      <c r="CC269" s="576"/>
      <c r="CD269" s="576"/>
      <c r="CE269" s="576"/>
      <c r="CF269" s="576"/>
      <c r="CG269" s="576"/>
      <c r="CH269" s="576"/>
      <c r="CI269" s="576"/>
      <c r="CJ269" s="576"/>
      <c r="CK269" s="576"/>
      <c r="CL269" s="576"/>
      <c r="CM269" s="576"/>
      <c r="CN269" s="576"/>
      <c r="CO269" s="576"/>
      <c r="CP269" s="576"/>
      <c r="CQ269" s="576"/>
      <c r="CR269" s="576"/>
      <c r="CS269" s="576"/>
      <c r="CT269" s="576"/>
      <c r="CU269" s="576"/>
      <c r="CV269" s="576"/>
      <c r="CW269" s="576"/>
      <c r="CX269" s="576"/>
      <c r="CY269" s="576"/>
      <c r="CZ269" s="576"/>
      <c r="DA269" s="576"/>
      <c r="DB269" s="576"/>
      <c r="DC269" s="576"/>
      <c r="DD269" s="576"/>
      <c r="DE269" s="576"/>
      <c r="DF269" s="576"/>
      <c r="DG269" s="576"/>
      <c r="DH269" s="116"/>
      <c r="DI269" s="112"/>
      <c r="DJ269">
        <f ca="1">INDIRECT(ADDRESS(ROW()+1,COLUMN(Arbeitszeit!xDay),,,"Arbeitszeit"))</f>
        <v>2</v>
      </c>
    </row>
    <row r="270" spans="1:114">
      <c r="A270" s="462">
        <f>Arbeitszeit!A271</f>
        <v>45099</v>
      </c>
      <c r="B270" s="463">
        <f t="shared" si="17"/>
        <v>45099</v>
      </c>
      <c r="C270" s="146">
        <f t="shared" si="18"/>
        <v>25</v>
      </c>
      <c r="D270" s="145">
        <f t="shared" si="19"/>
        <v>45077</v>
      </c>
      <c r="E270" s="510">
        <f>Arbeitszeit!V271*24</f>
        <v>0</v>
      </c>
      <c r="F270" s="574">
        <f t="shared" si="16"/>
        <v>0</v>
      </c>
      <c r="G270" s="113">
        <f>IF(Arbeitszeit!F271=Urlaub,B_WorkTime*24,)</f>
        <v>0</v>
      </c>
      <c r="H270" s="111"/>
      <c r="I270" s="113">
        <f>IF(Arbeitszeit!F271=Krank,B_WorkTime*24,)</f>
        <v>0</v>
      </c>
      <c r="J270" s="111"/>
      <c r="K270" s="114"/>
      <c r="L270" s="115"/>
      <c r="M270" s="498"/>
      <c r="N270" s="499"/>
      <c r="O270" s="498"/>
      <c r="P270" s="499"/>
      <c r="Q270" s="498"/>
      <c r="R270" s="499"/>
      <c r="S270" s="498"/>
      <c r="T270" s="499"/>
      <c r="U270" s="498"/>
      <c r="V270" s="499"/>
      <c r="W270" s="498"/>
      <c r="X270" s="499"/>
      <c r="Y270" s="498"/>
      <c r="Z270" s="499"/>
      <c r="AA270" s="498"/>
      <c r="AB270" s="499"/>
      <c r="AC270" s="498"/>
      <c r="AD270" s="499"/>
      <c r="AE270" s="498"/>
      <c r="AF270" s="500"/>
      <c r="AG270" s="498"/>
      <c r="AH270" s="500"/>
      <c r="AI270" s="498"/>
      <c r="AJ270" s="500"/>
      <c r="AK270" s="498"/>
      <c r="AL270" s="500"/>
      <c r="AM270" s="501"/>
      <c r="AN270" s="500"/>
      <c r="AO270" s="498"/>
      <c r="AP270" s="500"/>
      <c r="AQ270" s="501"/>
      <c r="AR270" s="500"/>
      <c r="AS270" s="500"/>
      <c r="AT270" s="500"/>
      <c r="AU270" s="501"/>
      <c r="AV270" s="500"/>
      <c r="AW270" s="500"/>
      <c r="AX270" s="500"/>
      <c r="AY270" s="576"/>
      <c r="AZ270" s="576"/>
      <c r="BA270" s="576"/>
      <c r="BB270" s="576"/>
      <c r="BC270" s="576"/>
      <c r="BD270" s="576"/>
      <c r="BE270" s="576"/>
      <c r="BF270" s="576"/>
      <c r="BG270" s="576"/>
      <c r="BH270" s="576"/>
      <c r="BI270" s="576"/>
      <c r="BJ270" s="576"/>
      <c r="BK270" s="576"/>
      <c r="BL270" s="576"/>
      <c r="BM270" s="576"/>
      <c r="BN270" s="576"/>
      <c r="BO270" s="576"/>
      <c r="BP270" s="576"/>
      <c r="BQ270" s="576"/>
      <c r="BR270" s="576"/>
      <c r="BS270" s="576"/>
      <c r="BT270" s="576"/>
      <c r="BU270" s="576"/>
      <c r="BV270" s="576"/>
      <c r="BW270" s="576"/>
      <c r="BX270" s="576"/>
      <c r="BY270" s="576"/>
      <c r="BZ270" s="576"/>
      <c r="CA270" s="576"/>
      <c r="CB270" s="576"/>
      <c r="CC270" s="576"/>
      <c r="CD270" s="576"/>
      <c r="CE270" s="576"/>
      <c r="CF270" s="576"/>
      <c r="CG270" s="576"/>
      <c r="CH270" s="576"/>
      <c r="CI270" s="576"/>
      <c r="CJ270" s="576"/>
      <c r="CK270" s="576"/>
      <c r="CL270" s="576"/>
      <c r="CM270" s="576"/>
      <c r="CN270" s="576"/>
      <c r="CO270" s="576"/>
      <c r="CP270" s="576"/>
      <c r="CQ270" s="576"/>
      <c r="CR270" s="576"/>
      <c r="CS270" s="576"/>
      <c r="CT270" s="576"/>
      <c r="CU270" s="576"/>
      <c r="CV270" s="576"/>
      <c r="CW270" s="576"/>
      <c r="CX270" s="576"/>
      <c r="CY270" s="576"/>
      <c r="CZ270" s="576"/>
      <c r="DA270" s="576"/>
      <c r="DB270" s="576"/>
      <c r="DC270" s="576"/>
      <c r="DD270" s="576"/>
      <c r="DE270" s="576"/>
      <c r="DF270" s="576"/>
      <c r="DG270" s="576"/>
      <c r="DH270" s="116"/>
      <c r="DI270" s="112"/>
      <c r="DJ270">
        <f ca="1">INDIRECT(ADDRESS(ROW()+1,COLUMN(Arbeitszeit!xDay),,,"Arbeitszeit"))</f>
        <v>3</v>
      </c>
    </row>
    <row r="271" spans="1:114">
      <c r="A271" s="462">
        <f>Arbeitszeit!A272</f>
        <v>45100</v>
      </c>
      <c r="B271" s="463">
        <f t="shared" si="17"/>
        <v>45100</v>
      </c>
      <c r="C271" s="146">
        <f t="shared" si="18"/>
        <v>25</v>
      </c>
      <c r="D271" s="145">
        <f t="shared" si="19"/>
        <v>45077</v>
      </c>
      <c r="E271" s="510">
        <f>Arbeitszeit!V272*24</f>
        <v>0</v>
      </c>
      <c r="F271" s="574">
        <f t="shared" si="16"/>
        <v>0</v>
      </c>
      <c r="G271" s="113">
        <f>IF(Arbeitszeit!F272=Urlaub,B_WorkTime*24,)</f>
        <v>0</v>
      </c>
      <c r="H271" s="111"/>
      <c r="I271" s="113">
        <f>IF(Arbeitszeit!F272=Krank,B_WorkTime*24,)</f>
        <v>0</v>
      </c>
      <c r="J271" s="111"/>
      <c r="K271" s="114"/>
      <c r="L271" s="115"/>
      <c r="M271" s="498"/>
      <c r="N271" s="499"/>
      <c r="O271" s="498"/>
      <c r="P271" s="499"/>
      <c r="Q271" s="498"/>
      <c r="R271" s="499"/>
      <c r="S271" s="498"/>
      <c r="T271" s="499"/>
      <c r="U271" s="498"/>
      <c r="V271" s="499"/>
      <c r="W271" s="498"/>
      <c r="X271" s="499"/>
      <c r="Y271" s="498"/>
      <c r="Z271" s="499"/>
      <c r="AA271" s="498"/>
      <c r="AB271" s="499"/>
      <c r="AC271" s="498"/>
      <c r="AD271" s="499"/>
      <c r="AE271" s="498"/>
      <c r="AF271" s="500"/>
      <c r="AG271" s="498"/>
      <c r="AH271" s="500"/>
      <c r="AI271" s="498"/>
      <c r="AJ271" s="500"/>
      <c r="AK271" s="498"/>
      <c r="AL271" s="500"/>
      <c r="AM271" s="501"/>
      <c r="AN271" s="500"/>
      <c r="AO271" s="498"/>
      <c r="AP271" s="500"/>
      <c r="AQ271" s="501"/>
      <c r="AR271" s="500"/>
      <c r="AS271" s="500"/>
      <c r="AT271" s="500"/>
      <c r="AU271" s="501"/>
      <c r="AV271" s="500"/>
      <c r="AW271" s="500"/>
      <c r="AX271" s="500"/>
      <c r="AY271" s="576"/>
      <c r="AZ271" s="576"/>
      <c r="BA271" s="576"/>
      <c r="BB271" s="576"/>
      <c r="BC271" s="576"/>
      <c r="BD271" s="576"/>
      <c r="BE271" s="576"/>
      <c r="BF271" s="576"/>
      <c r="BG271" s="576"/>
      <c r="BH271" s="576"/>
      <c r="BI271" s="576"/>
      <c r="BJ271" s="576"/>
      <c r="BK271" s="576"/>
      <c r="BL271" s="576"/>
      <c r="BM271" s="576"/>
      <c r="BN271" s="576"/>
      <c r="BO271" s="576"/>
      <c r="BP271" s="576"/>
      <c r="BQ271" s="576"/>
      <c r="BR271" s="576"/>
      <c r="BS271" s="576"/>
      <c r="BT271" s="576"/>
      <c r="BU271" s="576"/>
      <c r="BV271" s="576"/>
      <c r="BW271" s="576"/>
      <c r="BX271" s="576"/>
      <c r="BY271" s="576"/>
      <c r="BZ271" s="576"/>
      <c r="CA271" s="576"/>
      <c r="CB271" s="576"/>
      <c r="CC271" s="576"/>
      <c r="CD271" s="576"/>
      <c r="CE271" s="576"/>
      <c r="CF271" s="576"/>
      <c r="CG271" s="576"/>
      <c r="CH271" s="576"/>
      <c r="CI271" s="576"/>
      <c r="CJ271" s="576"/>
      <c r="CK271" s="576"/>
      <c r="CL271" s="576"/>
      <c r="CM271" s="576"/>
      <c r="CN271" s="576"/>
      <c r="CO271" s="576"/>
      <c r="CP271" s="576"/>
      <c r="CQ271" s="576"/>
      <c r="CR271" s="576"/>
      <c r="CS271" s="576"/>
      <c r="CT271" s="576"/>
      <c r="CU271" s="576"/>
      <c r="CV271" s="576"/>
      <c r="CW271" s="576"/>
      <c r="CX271" s="576"/>
      <c r="CY271" s="576"/>
      <c r="CZ271" s="576"/>
      <c r="DA271" s="576"/>
      <c r="DB271" s="576"/>
      <c r="DC271" s="576"/>
      <c r="DD271" s="576"/>
      <c r="DE271" s="576"/>
      <c r="DF271" s="576"/>
      <c r="DG271" s="576"/>
      <c r="DH271" s="116"/>
      <c r="DI271" s="112"/>
      <c r="DJ271">
        <f ca="1">INDIRECT(ADDRESS(ROW()+1,COLUMN(Arbeitszeit!xDay),,,"Arbeitszeit"))</f>
        <v>4</v>
      </c>
    </row>
    <row r="272" spans="1:114">
      <c r="A272" s="462">
        <f>Arbeitszeit!A273</f>
        <v>45101</v>
      </c>
      <c r="B272" s="463">
        <f t="shared" si="17"/>
        <v>45101</v>
      </c>
      <c r="C272" s="146">
        <f t="shared" si="18"/>
        <v>25</v>
      </c>
      <c r="D272" s="145">
        <f t="shared" si="19"/>
        <v>45077</v>
      </c>
      <c r="E272" s="510">
        <f>Arbeitszeit!V273*24</f>
        <v>0</v>
      </c>
      <c r="F272" s="574">
        <f t="shared" si="16"/>
        <v>0</v>
      </c>
      <c r="G272" s="113">
        <f>IF(Arbeitszeit!F273=Urlaub,B_WorkTime*24,)</f>
        <v>0</v>
      </c>
      <c r="H272" s="111"/>
      <c r="I272" s="113">
        <f>IF(Arbeitszeit!F273=Krank,B_WorkTime*24,)</f>
        <v>0</v>
      </c>
      <c r="J272" s="111"/>
      <c r="K272" s="114"/>
      <c r="L272" s="115"/>
      <c r="M272" s="498"/>
      <c r="N272" s="499"/>
      <c r="O272" s="498"/>
      <c r="P272" s="499"/>
      <c r="Q272" s="498"/>
      <c r="R272" s="499"/>
      <c r="S272" s="498"/>
      <c r="T272" s="499"/>
      <c r="U272" s="498"/>
      <c r="V272" s="499"/>
      <c r="W272" s="498"/>
      <c r="X272" s="499"/>
      <c r="Y272" s="498"/>
      <c r="Z272" s="499"/>
      <c r="AA272" s="498"/>
      <c r="AB272" s="499"/>
      <c r="AC272" s="498"/>
      <c r="AD272" s="499"/>
      <c r="AE272" s="498"/>
      <c r="AF272" s="500"/>
      <c r="AG272" s="498"/>
      <c r="AH272" s="500"/>
      <c r="AI272" s="498"/>
      <c r="AJ272" s="500"/>
      <c r="AK272" s="498"/>
      <c r="AL272" s="500"/>
      <c r="AM272" s="501"/>
      <c r="AN272" s="500"/>
      <c r="AO272" s="498"/>
      <c r="AP272" s="500"/>
      <c r="AQ272" s="501"/>
      <c r="AR272" s="500"/>
      <c r="AS272" s="500"/>
      <c r="AT272" s="500"/>
      <c r="AU272" s="501"/>
      <c r="AV272" s="500"/>
      <c r="AW272" s="500"/>
      <c r="AX272" s="500"/>
      <c r="AY272" s="576"/>
      <c r="AZ272" s="576"/>
      <c r="BA272" s="576"/>
      <c r="BB272" s="576"/>
      <c r="BC272" s="576"/>
      <c r="BD272" s="576"/>
      <c r="BE272" s="576"/>
      <c r="BF272" s="576"/>
      <c r="BG272" s="576"/>
      <c r="BH272" s="576"/>
      <c r="BI272" s="576"/>
      <c r="BJ272" s="576"/>
      <c r="BK272" s="576"/>
      <c r="BL272" s="576"/>
      <c r="BM272" s="576"/>
      <c r="BN272" s="576"/>
      <c r="BO272" s="576"/>
      <c r="BP272" s="576"/>
      <c r="BQ272" s="576"/>
      <c r="BR272" s="576"/>
      <c r="BS272" s="576"/>
      <c r="BT272" s="576"/>
      <c r="BU272" s="576"/>
      <c r="BV272" s="576"/>
      <c r="BW272" s="576"/>
      <c r="BX272" s="576"/>
      <c r="BY272" s="576"/>
      <c r="BZ272" s="576"/>
      <c r="CA272" s="576"/>
      <c r="CB272" s="576"/>
      <c r="CC272" s="576"/>
      <c r="CD272" s="576"/>
      <c r="CE272" s="576"/>
      <c r="CF272" s="576"/>
      <c r="CG272" s="576"/>
      <c r="CH272" s="576"/>
      <c r="CI272" s="576"/>
      <c r="CJ272" s="576"/>
      <c r="CK272" s="576"/>
      <c r="CL272" s="576"/>
      <c r="CM272" s="576"/>
      <c r="CN272" s="576"/>
      <c r="CO272" s="576"/>
      <c r="CP272" s="576"/>
      <c r="CQ272" s="576"/>
      <c r="CR272" s="576"/>
      <c r="CS272" s="576"/>
      <c r="CT272" s="576"/>
      <c r="CU272" s="576"/>
      <c r="CV272" s="576"/>
      <c r="CW272" s="576"/>
      <c r="CX272" s="576"/>
      <c r="CY272" s="576"/>
      <c r="CZ272" s="576"/>
      <c r="DA272" s="576"/>
      <c r="DB272" s="576"/>
      <c r="DC272" s="576"/>
      <c r="DD272" s="576"/>
      <c r="DE272" s="576"/>
      <c r="DF272" s="576"/>
      <c r="DG272" s="576"/>
      <c r="DH272" s="116"/>
      <c r="DI272" s="112"/>
      <c r="DJ272">
        <f ca="1">INDIRECT(ADDRESS(ROW()+1,COLUMN(Arbeitszeit!xDay),,,"Arbeitszeit"))</f>
        <v>5</v>
      </c>
    </row>
    <row r="273" spans="1:114">
      <c r="A273" s="462">
        <f>Arbeitszeit!A274</f>
        <v>45102</v>
      </c>
      <c r="B273" s="463">
        <f t="shared" si="17"/>
        <v>45102</v>
      </c>
      <c r="C273" s="146">
        <f t="shared" si="18"/>
        <v>25</v>
      </c>
      <c r="D273" s="145">
        <f t="shared" si="19"/>
        <v>45077</v>
      </c>
      <c r="E273" s="510">
        <f>Arbeitszeit!V274*24</f>
        <v>0</v>
      </c>
      <c r="F273" s="574">
        <f t="shared" si="16"/>
        <v>0</v>
      </c>
      <c r="G273" s="113">
        <f>IF(Arbeitszeit!F274=Urlaub,B_WorkTime*24,)</f>
        <v>0</v>
      </c>
      <c r="H273" s="111"/>
      <c r="I273" s="113">
        <f>IF(Arbeitszeit!F274=Krank,B_WorkTime*24,)</f>
        <v>0</v>
      </c>
      <c r="J273" s="111"/>
      <c r="K273" s="114"/>
      <c r="L273" s="115"/>
      <c r="M273" s="498"/>
      <c r="N273" s="499"/>
      <c r="O273" s="498"/>
      <c r="P273" s="499"/>
      <c r="Q273" s="498"/>
      <c r="R273" s="499"/>
      <c r="S273" s="498"/>
      <c r="T273" s="499"/>
      <c r="U273" s="498"/>
      <c r="V273" s="499"/>
      <c r="W273" s="498"/>
      <c r="X273" s="499"/>
      <c r="Y273" s="498"/>
      <c r="Z273" s="499"/>
      <c r="AA273" s="498"/>
      <c r="AB273" s="499"/>
      <c r="AC273" s="498"/>
      <c r="AD273" s="499"/>
      <c r="AE273" s="498"/>
      <c r="AF273" s="500"/>
      <c r="AG273" s="498"/>
      <c r="AH273" s="500"/>
      <c r="AI273" s="498"/>
      <c r="AJ273" s="500"/>
      <c r="AK273" s="498"/>
      <c r="AL273" s="500"/>
      <c r="AM273" s="501"/>
      <c r="AN273" s="500"/>
      <c r="AO273" s="498"/>
      <c r="AP273" s="500"/>
      <c r="AQ273" s="501"/>
      <c r="AR273" s="500"/>
      <c r="AS273" s="500"/>
      <c r="AT273" s="500"/>
      <c r="AU273" s="501"/>
      <c r="AV273" s="500"/>
      <c r="AW273" s="500"/>
      <c r="AX273" s="500"/>
      <c r="AY273" s="576"/>
      <c r="AZ273" s="576"/>
      <c r="BA273" s="576"/>
      <c r="BB273" s="576"/>
      <c r="BC273" s="576"/>
      <c r="BD273" s="576"/>
      <c r="BE273" s="576"/>
      <c r="BF273" s="576"/>
      <c r="BG273" s="576"/>
      <c r="BH273" s="576"/>
      <c r="BI273" s="576"/>
      <c r="BJ273" s="576"/>
      <c r="BK273" s="576"/>
      <c r="BL273" s="576"/>
      <c r="BM273" s="576"/>
      <c r="BN273" s="576"/>
      <c r="BO273" s="576"/>
      <c r="BP273" s="576"/>
      <c r="BQ273" s="576"/>
      <c r="BR273" s="576"/>
      <c r="BS273" s="576"/>
      <c r="BT273" s="576"/>
      <c r="BU273" s="576"/>
      <c r="BV273" s="576"/>
      <c r="BW273" s="576"/>
      <c r="BX273" s="576"/>
      <c r="BY273" s="576"/>
      <c r="BZ273" s="576"/>
      <c r="CA273" s="576"/>
      <c r="CB273" s="576"/>
      <c r="CC273" s="576"/>
      <c r="CD273" s="576"/>
      <c r="CE273" s="576"/>
      <c r="CF273" s="576"/>
      <c r="CG273" s="576"/>
      <c r="CH273" s="576"/>
      <c r="CI273" s="576"/>
      <c r="CJ273" s="576"/>
      <c r="CK273" s="576"/>
      <c r="CL273" s="576"/>
      <c r="CM273" s="576"/>
      <c r="CN273" s="576"/>
      <c r="CO273" s="576"/>
      <c r="CP273" s="576"/>
      <c r="CQ273" s="576"/>
      <c r="CR273" s="576"/>
      <c r="CS273" s="576"/>
      <c r="CT273" s="576"/>
      <c r="CU273" s="576"/>
      <c r="CV273" s="576"/>
      <c r="CW273" s="576"/>
      <c r="CX273" s="576"/>
      <c r="CY273" s="576"/>
      <c r="CZ273" s="576"/>
      <c r="DA273" s="576"/>
      <c r="DB273" s="576"/>
      <c r="DC273" s="576"/>
      <c r="DD273" s="576"/>
      <c r="DE273" s="576"/>
      <c r="DF273" s="576"/>
      <c r="DG273" s="576"/>
      <c r="DH273" s="116"/>
      <c r="DI273" s="112"/>
      <c r="DJ273">
        <f ca="1">INDIRECT(ADDRESS(ROW()+1,COLUMN(Arbeitszeit!xDay),,,"Arbeitszeit"))</f>
        <v>6</v>
      </c>
    </row>
    <row r="274" spans="1:114">
      <c r="A274" s="462">
        <f>Arbeitszeit!A275</f>
        <v>45103</v>
      </c>
      <c r="B274" s="463">
        <f t="shared" si="17"/>
        <v>45103</v>
      </c>
      <c r="C274" s="146">
        <f t="shared" si="18"/>
        <v>25</v>
      </c>
      <c r="D274" s="145">
        <f t="shared" si="19"/>
        <v>45077</v>
      </c>
      <c r="E274" s="510">
        <f>Arbeitszeit!V275*24</f>
        <v>0</v>
      </c>
      <c r="F274" s="574">
        <f t="shared" si="16"/>
        <v>0</v>
      </c>
      <c r="G274" s="113">
        <f>IF(Arbeitszeit!F275=Urlaub,B_WorkTime*24,)</f>
        <v>0</v>
      </c>
      <c r="H274" s="111"/>
      <c r="I274" s="113">
        <f>IF(Arbeitszeit!F275=Krank,B_WorkTime*24,)</f>
        <v>0</v>
      </c>
      <c r="J274" s="111"/>
      <c r="K274" s="114"/>
      <c r="L274" s="115"/>
      <c r="M274" s="498"/>
      <c r="N274" s="499"/>
      <c r="O274" s="498"/>
      <c r="P274" s="499"/>
      <c r="Q274" s="498"/>
      <c r="R274" s="499"/>
      <c r="S274" s="498"/>
      <c r="T274" s="499"/>
      <c r="U274" s="498"/>
      <c r="V274" s="499"/>
      <c r="W274" s="498"/>
      <c r="X274" s="499"/>
      <c r="Y274" s="498"/>
      <c r="Z274" s="499"/>
      <c r="AA274" s="498"/>
      <c r="AB274" s="499"/>
      <c r="AC274" s="498"/>
      <c r="AD274" s="499"/>
      <c r="AE274" s="498"/>
      <c r="AF274" s="500"/>
      <c r="AG274" s="498"/>
      <c r="AH274" s="500"/>
      <c r="AI274" s="498"/>
      <c r="AJ274" s="500"/>
      <c r="AK274" s="498"/>
      <c r="AL274" s="500"/>
      <c r="AM274" s="501"/>
      <c r="AN274" s="500"/>
      <c r="AO274" s="498"/>
      <c r="AP274" s="500"/>
      <c r="AQ274" s="501"/>
      <c r="AR274" s="500"/>
      <c r="AS274" s="500"/>
      <c r="AT274" s="500"/>
      <c r="AU274" s="501"/>
      <c r="AV274" s="500"/>
      <c r="AW274" s="500"/>
      <c r="AX274" s="500"/>
      <c r="AY274" s="576"/>
      <c r="AZ274" s="576"/>
      <c r="BA274" s="576"/>
      <c r="BB274" s="576"/>
      <c r="BC274" s="576"/>
      <c r="BD274" s="576"/>
      <c r="BE274" s="576"/>
      <c r="BF274" s="576"/>
      <c r="BG274" s="576"/>
      <c r="BH274" s="576"/>
      <c r="BI274" s="576"/>
      <c r="BJ274" s="576"/>
      <c r="BK274" s="576"/>
      <c r="BL274" s="576"/>
      <c r="BM274" s="576"/>
      <c r="BN274" s="576"/>
      <c r="BO274" s="576"/>
      <c r="BP274" s="576"/>
      <c r="BQ274" s="576"/>
      <c r="BR274" s="576"/>
      <c r="BS274" s="576"/>
      <c r="BT274" s="576"/>
      <c r="BU274" s="576"/>
      <c r="BV274" s="576"/>
      <c r="BW274" s="576"/>
      <c r="BX274" s="576"/>
      <c r="BY274" s="576"/>
      <c r="BZ274" s="576"/>
      <c r="CA274" s="576"/>
      <c r="CB274" s="576"/>
      <c r="CC274" s="576"/>
      <c r="CD274" s="576"/>
      <c r="CE274" s="576"/>
      <c r="CF274" s="576"/>
      <c r="CG274" s="576"/>
      <c r="CH274" s="576"/>
      <c r="CI274" s="576"/>
      <c r="CJ274" s="576"/>
      <c r="CK274" s="576"/>
      <c r="CL274" s="576"/>
      <c r="CM274" s="576"/>
      <c r="CN274" s="576"/>
      <c r="CO274" s="576"/>
      <c r="CP274" s="576"/>
      <c r="CQ274" s="576"/>
      <c r="CR274" s="576"/>
      <c r="CS274" s="576"/>
      <c r="CT274" s="576"/>
      <c r="CU274" s="576"/>
      <c r="CV274" s="576"/>
      <c r="CW274" s="576"/>
      <c r="CX274" s="576"/>
      <c r="CY274" s="576"/>
      <c r="CZ274" s="576"/>
      <c r="DA274" s="576"/>
      <c r="DB274" s="576"/>
      <c r="DC274" s="576"/>
      <c r="DD274" s="576"/>
      <c r="DE274" s="576"/>
      <c r="DF274" s="576"/>
      <c r="DG274" s="576"/>
      <c r="DH274" s="116"/>
      <c r="DI274" s="112"/>
      <c r="DJ274">
        <f ca="1">INDIRECT(ADDRESS(ROW()+1,COLUMN(Arbeitszeit!xDay),,,"Arbeitszeit"))</f>
        <v>7</v>
      </c>
    </row>
    <row r="275" spans="1:114">
      <c r="A275" s="462">
        <f>Arbeitszeit!A276</f>
        <v>45104</v>
      </c>
      <c r="B275" s="463">
        <f t="shared" si="17"/>
        <v>45104</v>
      </c>
      <c r="C275" s="146">
        <f t="shared" si="18"/>
        <v>26</v>
      </c>
      <c r="D275" s="145">
        <f t="shared" si="19"/>
        <v>45077</v>
      </c>
      <c r="E275" s="510">
        <f>Arbeitszeit!V276*24</f>
        <v>0</v>
      </c>
      <c r="F275" s="574">
        <f t="shared" si="16"/>
        <v>0</v>
      </c>
      <c r="G275" s="113">
        <f>IF(Arbeitszeit!F276=Urlaub,B_WorkTime*24,)</f>
        <v>0</v>
      </c>
      <c r="H275" s="111"/>
      <c r="I275" s="113">
        <f>IF(Arbeitszeit!F276=Krank,B_WorkTime*24,)</f>
        <v>0</v>
      </c>
      <c r="J275" s="111"/>
      <c r="K275" s="114"/>
      <c r="L275" s="115"/>
      <c r="M275" s="498"/>
      <c r="N275" s="499"/>
      <c r="O275" s="498"/>
      <c r="P275" s="499"/>
      <c r="Q275" s="498"/>
      <c r="R275" s="499"/>
      <c r="S275" s="498"/>
      <c r="T275" s="499"/>
      <c r="U275" s="498"/>
      <c r="V275" s="499"/>
      <c r="W275" s="498"/>
      <c r="X275" s="499"/>
      <c r="Y275" s="498"/>
      <c r="Z275" s="499"/>
      <c r="AA275" s="498"/>
      <c r="AB275" s="499"/>
      <c r="AC275" s="498"/>
      <c r="AD275" s="499"/>
      <c r="AE275" s="498"/>
      <c r="AF275" s="500"/>
      <c r="AG275" s="498"/>
      <c r="AH275" s="500"/>
      <c r="AI275" s="498"/>
      <c r="AJ275" s="500"/>
      <c r="AK275" s="498"/>
      <c r="AL275" s="500"/>
      <c r="AM275" s="501"/>
      <c r="AN275" s="500"/>
      <c r="AO275" s="498"/>
      <c r="AP275" s="500"/>
      <c r="AQ275" s="501"/>
      <c r="AR275" s="500"/>
      <c r="AS275" s="500"/>
      <c r="AT275" s="500"/>
      <c r="AU275" s="501"/>
      <c r="AV275" s="500"/>
      <c r="AW275" s="500"/>
      <c r="AX275" s="500"/>
      <c r="AY275" s="576"/>
      <c r="AZ275" s="576"/>
      <c r="BA275" s="576"/>
      <c r="BB275" s="576"/>
      <c r="BC275" s="576"/>
      <c r="BD275" s="576"/>
      <c r="BE275" s="576"/>
      <c r="BF275" s="576"/>
      <c r="BG275" s="576"/>
      <c r="BH275" s="576"/>
      <c r="BI275" s="576"/>
      <c r="BJ275" s="576"/>
      <c r="BK275" s="576"/>
      <c r="BL275" s="576"/>
      <c r="BM275" s="576"/>
      <c r="BN275" s="576"/>
      <c r="BO275" s="576"/>
      <c r="BP275" s="576"/>
      <c r="BQ275" s="576"/>
      <c r="BR275" s="576"/>
      <c r="BS275" s="576"/>
      <c r="BT275" s="576"/>
      <c r="BU275" s="576"/>
      <c r="BV275" s="576"/>
      <c r="BW275" s="576"/>
      <c r="BX275" s="576"/>
      <c r="BY275" s="576"/>
      <c r="BZ275" s="576"/>
      <c r="CA275" s="576"/>
      <c r="CB275" s="576"/>
      <c r="CC275" s="576"/>
      <c r="CD275" s="576"/>
      <c r="CE275" s="576"/>
      <c r="CF275" s="576"/>
      <c r="CG275" s="576"/>
      <c r="CH275" s="576"/>
      <c r="CI275" s="576"/>
      <c r="CJ275" s="576"/>
      <c r="CK275" s="576"/>
      <c r="CL275" s="576"/>
      <c r="CM275" s="576"/>
      <c r="CN275" s="576"/>
      <c r="CO275" s="576"/>
      <c r="CP275" s="576"/>
      <c r="CQ275" s="576"/>
      <c r="CR275" s="576"/>
      <c r="CS275" s="576"/>
      <c r="CT275" s="576"/>
      <c r="CU275" s="576"/>
      <c r="CV275" s="576"/>
      <c r="CW275" s="576"/>
      <c r="CX275" s="576"/>
      <c r="CY275" s="576"/>
      <c r="CZ275" s="576"/>
      <c r="DA275" s="576"/>
      <c r="DB275" s="576"/>
      <c r="DC275" s="576"/>
      <c r="DD275" s="576"/>
      <c r="DE275" s="576"/>
      <c r="DF275" s="576"/>
      <c r="DG275" s="576"/>
      <c r="DH275" s="116"/>
      <c r="DI275" s="112"/>
      <c r="DJ275">
        <f ca="1">INDIRECT(ADDRESS(ROW()+1,COLUMN(Arbeitszeit!xDay),,,"Arbeitszeit"))</f>
        <v>1</v>
      </c>
    </row>
    <row r="276" spans="1:114">
      <c r="A276" s="462">
        <f>Arbeitszeit!A277</f>
        <v>45105</v>
      </c>
      <c r="B276" s="463">
        <f t="shared" si="17"/>
        <v>45105</v>
      </c>
      <c r="C276" s="146">
        <f t="shared" si="18"/>
        <v>26</v>
      </c>
      <c r="D276" s="145">
        <f t="shared" si="19"/>
        <v>45077</v>
      </c>
      <c r="E276" s="510">
        <f>Arbeitszeit!V277*24</f>
        <v>0</v>
      </c>
      <c r="F276" s="574">
        <f t="shared" si="16"/>
        <v>0</v>
      </c>
      <c r="G276" s="113">
        <f>IF(Arbeitszeit!F277=Urlaub,B_WorkTime*24,)</f>
        <v>0</v>
      </c>
      <c r="H276" s="111"/>
      <c r="I276" s="113">
        <f>IF(Arbeitszeit!F277=Krank,B_WorkTime*24,)</f>
        <v>0</v>
      </c>
      <c r="J276" s="111"/>
      <c r="K276" s="114"/>
      <c r="L276" s="115"/>
      <c r="M276" s="498"/>
      <c r="N276" s="499"/>
      <c r="O276" s="498"/>
      <c r="P276" s="499"/>
      <c r="Q276" s="498"/>
      <c r="R276" s="499"/>
      <c r="S276" s="498"/>
      <c r="T276" s="499"/>
      <c r="U276" s="498"/>
      <c r="V276" s="499"/>
      <c r="W276" s="498"/>
      <c r="X276" s="499"/>
      <c r="Y276" s="498"/>
      <c r="Z276" s="499"/>
      <c r="AA276" s="498"/>
      <c r="AB276" s="499"/>
      <c r="AC276" s="498"/>
      <c r="AD276" s="499"/>
      <c r="AE276" s="498"/>
      <c r="AF276" s="500"/>
      <c r="AG276" s="498"/>
      <c r="AH276" s="500"/>
      <c r="AI276" s="498"/>
      <c r="AJ276" s="500"/>
      <c r="AK276" s="498"/>
      <c r="AL276" s="500"/>
      <c r="AM276" s="501"/>
      <c r="AN276" s="500"/>
      <c r="AO276" s="498"/>
      <c r="AP276" s="500"/>
      <c r="AQ276" s="501"/>
      <c r="AR276" s="500"/>
      <c r="AS276" s="500"/>
      <c r="AT276" s="500"/>
      <c r="AU276" s="501"/>
      <c r="AV276" s="500"/>
      <c r="AW276" s="500"/>
      <c r="AX276" s="500"/>
      <c r="AY276" s="576"/>
      <c r="AZ276" s="576"/>
      <c r="BA276" s="576"/>
      <c r="BB276" s="576"/>
      <c r="BC276" s="576"/>
      <c r="BD276" s="576"/>
      <c r="BE276" s="576"/>
      <c r="BF276" s="576"/>
      <c r="BG276" s="576"/>
      <c r="BH276" s="576"/>
      <c r="BI276" s="576"/>
      <c r="BJ276" s="576"/>
      <c r="BK276" s="576"/>
      <c r="BL276" s="576"/>
      <c r="BM276" s="576"/>
      <c r="BN276" s="576"/>
      <c r="BO276" s="576"/>
      <c r="BP276" s="576"/>
      <c r="BQ276" s="576"/>
      <c r="BR276" s="576"/>
      <c r="BS276" s="576"/>
      <c r="BT276" s="576"/>
      <c r="BU276" s="576"/>
      <c r="BV276" s="576"/>
      <c r="BW276" s="576"/>
      <c r="BX276" s="576"/>
      <c r="BY276" s="576"/>
      <c r="BZ276" s="576"/>
      <c r="CA276" s="576"/>
      <c r="CB276" s="576"/>
      <c r="CC276" s="576"/>
      <c r="CD276" s="576"/>
      <c r="CE276" s="576"/>
      <c r="CF276" s="576"/>
      <c r="CG276" s="576"/>
      <c r="CH276" s="576"/>
      <c r="CI276" s="576"/>
      <c r="CJ276" s="576"/>
      <c r="CK276" s="576"/>
      <c r="CL276" s="576"/>
      <c r="CM276" s="576"/>
      <c r="CN276" s="576"/>
      <c r="CO276" s="576"/>
      <c r="CP276" s="576"/>
      <c r="CQ276" s="576"/>
      <c r="CR276" s="576"/>
      <c r="CS276" s="576"/>
      <c r="CT276" s="576"/>
      <c r="CU276" s="576"/>
      <c r="CV276" s="576"/>
      <c r="CW276" s="576"/>
      <c r="CX276" s="576"/>
      <c r="CY276" s="576"/>
      <c r="CZ276" s="576"/>
      <c r="DA276" s="576"/>
      <c r="DB276" s="576"/>
      <c r="DC276" s="576"/>
      <c r="DD276" s="576"/>
      <c r="DE276" s="576"/>
      <c r="DF276" s="576"/>
      <c r="DG276" s="576"/>
      <c r="DH276" s="116"/>
      <c r="DI276" s="112"/>
      <c r="DJ276">
        <f ca="1">INDIRECT(ADDRESS(ROW()+1,COLUMN(Arbeitszeit!xDay),,,"Arbeitszeit"))</f>
        <v>2</v>
      </c>
    </row>
    <row r="277" spans="1:114">
      <c r="A277" s="462">
        <f>Arbeitszeit!A278</f>
        <v>45106</v>
      </c>
      <c r="B277" s="463">
        <f t="shared" si="17"/>
        <v>45106</v>
      </c>
      <c r="C277" s="146">
        <f t="shared" si="18"/>
        <v>26</v>
      </c>
      <c r="D277" s="145">
        <f t="shared" si="19"/>
        <v>45077</v>
      </c>
      <c r="E277" s="510">
        <f>Arbeitszeit!V278*24</f>
        <v>0</v>
      </c>
      <c r="F277" s="574">
        <f t="shared" si="16"/>
        <v>0</v>
      </c>
      <c r="G277" s="113">
        <f>IF(Arbeitszeit!F278=Urlaub,B_WorkTime*24,)</f>
        <v>0</v>
      </c>
      <c r="H277" s="111"/>
      <c r="I277" s="113">
        <f>IF(Arbeitszeit!F278=Krank,B_WorkTime*24,)</f>
        <v>0</v>
      </c>
      <c r="J277" s="111"/>
      <c r="K277" s="114"/>
      <c r="L277" s="115"/>
      <c r="M277" s="498"/>
      <c r="N277" s="499"/>
      <c r="O277" s="498"/>
      <c r="P277" s="499"/>
      <c r="Q277" s="498"/>
      <c r="R277" s="499"/>
      <c r="S277" s="498"/>
      <c r="T277" s="499"/>
      <c r="U277" s="498"/>
      <c r="V277" s="499"/>
      <c r="W277" s="498"/>
      <c r="X277" s="499"/>
      <c r="Y277" s="498"/>
      <c r="Z277" s="499"/>
      <c r="AA277" s="498"/>
      <c r="AB277" s="499"/>
      <c r="AC277" s="498"/>
      <c r="AD277" s="499"/>
      <c r="AE277" s="498"/>
      <c r="AF277" s="500"/>
      <c r="AG277" s="498"/>
      <c r="AH277" s="500"/>
      <c r="AI277" s="498"/>
      <c r="AJ277" s="500"/>
      <c r="AK277" s="498"/>
      <c r="AL277" s="500"/>
      <c r="AM277" s="501"/>
      <c r="AN277" s="500"/>
      <c r="AO277" s="498"/>
      <c r="AP277" s="500"/>
      <c r="AQ277" s="501"/>
      <c r="AR277" s="500"/>
      <c r="AS277" s="500"/>
      <c r="AT277" s="500"/>
      <c r="AU277" s="501"/>
      <c r="AV277" s="500"/>
      <c r="AW277" s="500"/>
      <c r="AX277" s="500"/>
      <c r="AY277" s="576"/>
      <c r="AZ277" s="576"/>
      <c r="BA277" s="576"/>
      <c r="BB277" s="576"/>
      <c r="BC277" s="576"/>
      <c r="BD277" s="576"/>
      <c r="BE277" s="576"/>
      <c r="BF277" s="576"/>
      <c r="BG277" s="576"/>
      <c r="BH277" s="576"/>
      <c r="BI277" s="576"/>
      <c r="BJ277" s="576"/>
      <c r="BK277" s="576"/>
      <c r="BL277" s="576"/>
      <c r="BM277" s="576"/>
      <c r="BN277" s="576"/>
      <c r="BO277" s="576"/>
      <c r="BP277" s="576"/>
      <c r="BQ277" s="576"/>
      <c r="BR277" s="576"/>
      <c r="BS277" s="576"/>
      <c r="BT277" s="576"/>
      <c r="BU277" s="576"/>
      <c r="BV277" s="576"/>
      <c r="BW277" s="576"/>
      <c r="BX277" s="576"/>
      <c r="BY277" s="576"/>
      <c r="BZ277" s="576"/>
      <c r="CA277" s="576"/>
      <c r="CB277" s="576"/>
      <c r="CC277" s="576"/>
      <c r="CD277" s="576"/>
      <c r="CE277" s="576"/>
      <c r="CF277" s="576"/>
      <c r="CG277" s="576"/>
      <c r="CH277" s="576"/>
      <c r="CI277" s="576"/>
      <c r="CJ277" s="576"/>
      <c r="CK277" s="576"/>
      <c r="CL277" s="576"/>
      <c r="CM277" s="576"/>
      <c r="CN277" s="576"/>
      <c r="CO277" s="576"/>
      <c r="CP277" s="576"/>
      <c r="CQ277" s="576"/>
      <c r="CR277" s="576"/>
      <c r="CS277" s="576"/>
      <c r="CT277" s="576"/>
      <c r="CU277" s="576"/>
      <c r="CV277" s="576"/>
      <c r="CW277" s="576"/>
      <c r="CX277" s="576"/>
      <c r="CY277" s="576"/>
      <c r="CZ277" s="576"/>
      <c r="DA277" s="576"/>
      <c r="DB277" s="576"/>
      <c r="DC277" s="576"/>
      <c r="DD277" s="576"/>
      <c r="DE277" s="576"/>
      <c r="DF277" s="576"/>
      <c r="DG277" s="576"/>
      <c r="DH277" s="116"/>
      <c r="DI277" s="112"/>
      <c r="DJ277">
        <f ca="1">INDIRECT(ADDRESS(ROW()+1,COLUMN(Arbeitszeit!xDay),,,"Arbeitszeit"))</f>
        <v>3</v>
      </c>
    </row>
    <row r="278" spans="1:114">
      <c r="A278" s="462">
        <f>Arbeitszeit!A279</f>
        <v>45107</v>
      </c>
      <c r="B278" s="463">
        <f t="shared" si="17"/>
        <v>45107</v>
      </c>
      <c r="C278" s="146">
        <f t="shared" si="18"/>
        <v>26</v>
      </c>
      <c r="D278" s="145">
        <f t="shared" si="19"/>
        <v>45107</v>
      </c>
      <c r="E278" s="510">
        <f>Arbeitszeit!V279*24</f>
        <v>0</v>
      </c>
      <c r="F278" s="574">
        <f t="shared" si="16"/>
        <v>0</v>
      </c>
      <c r="G278" s="113">
        <f>IF(Arbeitszeit!F279=Urlaub,B_WorkTime*24,)</f>
        <v>0</v>
      </c>
      <c r="H278" s="111"/>
      <c r="I278" s="113">
        <f>IF(Arbeitszeit!F279=Krank,B_WorkTime*24,)</f>
        <v>0</v>
      </c>
      <c r="J278" s="111"/>
      <c r="K278" s="114"/>
      <c r="L278" s="115"/>
      <c r="M278" s="498"/>
      <c r="N278" s="499"/>
      <c r="O278" s="498"/>
      <c r="P278" s="499"/>
      <c r="Q278" s="498"/>
      <c r="R278" s="499"/>
      <c r="S278" s="498"/>
      <c r="T278" s="499"/>
      <c r="U278" s="498"/>
      <c r="V278" s="499"/>
      <c r="W278" s="498"/>
      <c r="X278" s="499"/>
      <c r="Y278" s="498"/>
      <c r="Z278" s="499"/>
      <c r="AA278" s="498"/>
      <c r="AB278" s="499"/>
      <c r="AC278" s="498"/>
      <c r="AD278" s="499"/>
      <c r="AE278" s="498"/>
      <c r="AF278" s="500"/>
      <c r="AG278" s="498"/>
      <c r="AH278" s="500"/>
      <c r="AI278" s="498"/>
      <c r="AJ278" s="500"/>
      <c r="AK278" s="498"/>
      <c r="AL278" s="500"/>
      <c r="AM278" s="501"/>
      <c r="AN278" s="500"/>
      <c r="AO278" s="498"/>
      <c r="AP278" s="500"/>
      <c r="AQ278" s="501"/>
      <c r="AR278" s="500"/>
      <c r="AS278" s="500"/>
      <c r="AT278" s="500"/>
      <c r="AU278" s="501"/>
      <c r="AV278" s="500"/>
      <c r="AW278" s="500"/>
      <c r="AX278" s="500"/>
      <c r="AY278" s="576"/>
      <c r="AZ278" s="576"/>
      <c r="BA278" s="576"/>
      <c r="BB278" s="576"/>
      <c r="BC278" s="576"/>
      <c r="BD278" s="576"/>
      <c r="BE278" s="576"/>
      <c r="BF278" s="576"/>
      <c r="BG278" s="576"/>
      <c r="BH278" s="576"/>
      <c r="BI278" s="576"/>
      <c r="BJ278" s="576"/>
      <c r="BK278" s="576"/>
      <c r="BL278" s="576"/>
      <c r="BM278" s="576"/>
      <c r="BN278" s="576"/>
      <c r="BO278" s="576"/>
      <c r="BP278" s="576"/>
      <c r="BQ278" s="576"/>
      <c r="BR278" s="576"/>
      <c r="BS278" s="576"/>
      <c r="BT278" s="576"/>
      <c r="BU278" s="576"/>
      <c r="BV278" s="576"/>
      <c r="BW278" s="576"/>
      <c r="BX278" s="576"/>
      <c r="BY278" s="576"/>
      <c r="BZ278" s="576"/>
      <c r="CA278" s="576"/>
      <c r="CB278" s="576"/>
      <c r="CC278" s="576"/>
      <c r="CD278" s="576"/>
      <c r="CE278" s="576"/>
      <c r="CF278" s="576"/>
      <c r="CG278" s="576"/>
      <c r="CH278" s="576"/>
      <c r="CI278" s="576"/>
      <c r="CJ278" s="576"/>
      <c r="CK278" s="576"/>
      <c r="CL278" s="576"/>
      <c r="CM278" s="576"/>
      <c r="CN278" s="576"/>
      <c r="CO278" s="576"/>
      <c r="CP278" s="576"/>
      <c r="CQ278" s="576"/>
      <c r="CR278" s="576"/>
      <c r="CS278" s="576"/>
      <c r="CT278" s="576"/>
      <c r="CU278" s="576"/>
      <c r="CV278" s="576"/>
      <c r="CW278" s="576"/>
      <c r="CX278" s="576"/>
      <c r="CY278" s="576"/>
      <c r="CZ278" s="576"/>
      <c r="DA278" s="576"/>
      <c r="DB278" s="576"/>
      <c r="DC278" s="576"/>
      <c r="DD278" s="576"/>
      <c r="DE278" s="576"/>
      <c r="DF278" s="576"/>
      <c r="DG278" s="576"/>
      <c r="DH278" s="116"/>
      <c r="DI278" s="112"/>
      <c r="DJ278">
        <f ca="1">INDIRECT(ADDRESS(ROW()+1,COLUMN(Arbeitszeit!xDay),,,"Arbeitszeit"))</f>
        <v>4</v>
      </c>
    </row>
    <row r="279" spans="1:114">
      <c r="A279" s="462">
        <f>Arbeitszeit!A280</f>
        <v>45108</v>
      </c>
      <c r="B279" s="463">
        <f t="shared" si="17"/>
        <v>45108</v>
      </c>
      <c r="C279" s="146">
        <f t="shared" si="18"/>
        <v>26</v>
      </c>
      <c r="D279" s="145">
        <f t="shared" si="19"/>
        <v>45107</v>
      </c>
      <c r="E279" s="510">
        <f>Arbeitszeit!V280*24</f>
        <v>0</v>
      </c>
      <c r="F279" s="574">
        <f t="shared" si="16"/>
        <v>0</v>
      </c>
      <c r="G279" s="113">
        <f>IF(Arbeitszeit!F280=Urlaub,B_WorkTime*24,)</f>
        <v>0</v>
      </c>
      <c r="H279" s="111"/>
      <c r="I279" s="113">
        <f>IF(Arbeitszeit!F280=Krank,B_WorkTime*24,)</f>
        <v>0</v>
      </c>
      <c r="J279" s="111"/>
      <c r="K279" s="114"/>
      <c r="L279" s="115"/>
      <c r="M279" s="498"/>
      <c r="N279" s="499"/>
      <c r="O279" s="498"/>
      <c r="P279" s="499"/>
      <c r="Q279" s="498"/>
      <c r="R279" s="499"/>
      <c r="S279" s="498"/>
      <c r="T279" s="499"/>
      <c r="U279" s="498"/>
      <c r="V279" s="499"/>
      <c r="W279" s="498"/>
      <c r="X279" s="499"/>
      <c r="Y279" s="498"/>
      <c r="Z279" s="499"/>
      <c r="AA279" s="498"/>
      <c r="AB279" s="499"/>
      <c r="AC279" s="498"/>
      <c r="AD279" s="499"/>
      <c r="AE279" s="498"/>
      <c r="AF279" s="500"/>
      <c r="AG279" s="498"/>
      <c r="AH279" s="500"/>
      <c r="AI279" s="498"/>
      <c r="AJ279" s="500"/>
      <c r="AK279" s="498"/>
      <c r="AL279" s="500"/>
      <c r="AM279" s="501"/>
      <c r="AN279" s="500"/>
      <c r="AO279" s="498"/>
      <c r="AP279" s="500"/>
      <c r="AQ279" s="501"/>
      <c r="AR279" s="500"/>
      <c r="AS279" s="500"/>
      <c r="AT279" s="500"/>
      <c r="AU279" s="501"/>
      <c r="AV279" s="500"/>
      <c r="AW279" s="500"/>
      <c r="AX279" s="500"/>
      <c r="AY279" s="576"/>
      <c r="AZ279" s="576"/>
      <c r="BA279" s="576"/>
      <c r="BB279" s="576"/>
      <c r="BC279" s="576"/>
      <c r="BD279" s="576"/>
      <c r="BE279" s="576"/>
      <c r="BF279" s="576"/>
      <c r="BG279" s="576"/>
      <c r="BH279" s="576"/>
      <c r="BI279" s="576"/>
      <c r="BJ279" s="576"/>
      <c r="BK279" s="576"/>
      <c r="BL279" s="576"/>
      <c r="BM279" s="576"/>
      <c r="BN279" s="576"/>
      <c r="BO279" s="576"/>
      <c r="BP279" s="576"/>
      <c r="BQ279" s="576"/>
      <c r="BR279" s="576"/>
      <c r="BS279" s="576"/>
      <c r="BT279" s="576"/>
      <c r="BU279" s="576"/>
      <c r="BV279" s="576"/>
      <c r="BW279" s="576"/>
      <c r="BX279" s="576"/>
      <c r="BY279" s="576"/>
      <c r="BZ279" s="576"/>
      <c r="CA279" s="576"/>
      <c r="CB279" s="576"/>
      <c r="CC279" s="576"/>
      <c r="CD279" s="576"/>
      <c r="CE279" s="576"/>
      <c r="CF279" s="576"/>
      <c r="CG279" s="576"/>
      <c r="CH279" s="576"/>
      <c r="CI279" s="576"/>
      <c r="CJ279" s="576"/>
      <c r="CK279" s="576"/>
      <c r="CL279" s="576"/>
      <c r="CM279" s="576"/>
      <c r="CN279" s="576"/>
      <c r="CO279" s="576"/>
      <c r="CP279" s="576"/>
      <c r="CQ279" s="576"/>
      <c r="CR279" s="576"/>
      <c r="CS279" s="576"/>
      <c r="CT279" s="576"/>
      <c r="CU279" s="576"/>
      <c r="CV279" s="576"/>
      <c r="CW279" s="576"/>
      <c r="CX279" s="576"/>
      <c r="CY279" s="576"/>
      <c r="CZ279" s="576"/>
      <c r="DA279" s="576"/>
      <c r="DB279" s="576"/>
      <c r="DC279" s="576"/>
      <c r="DD279" s="576"/>
      <c r="DE279" s="576"/>
      <c r="DF279" s="576"/>
      <c r="DG279" s="576"/>
      <c r="DH279" s="116"/>
      <c r="DI279" s="112"/>
      <c r="DJ279">
        <f ca="1">INDIRECT(ADDRESS(ROW()+1,COLUMN(Arbeitszeit!xDay),,,"Arbeitszeit"))</f>
        <v>5</v>
      </c>
    </row>
    <row r="280" spans="1:114">
      <c r="A280" s="462">
        <f>Arbeitszeit!A281</f>
        <v>45109</v>
      </c>
      <c r="B280" s="463">
        <f t="shared" si="17"/>
        <v>45109</v>
      </c>
      <c r="C280" s="146">
        <f t="shared" si="18"/>
        <v>26</v>
      </c>
      <c r="D280" s="145">
        <f t="shared" si="19"/>
        <v>45107</v>
      </c>
      <c r="E280" s="510">
        <f>Arbeitszeit!V281*24</f>
        <v>0</v>
      </c>
      <c r="F280" s="574">
        <f t="shared" si="16"/>
        <v>0</v>
      </c>
      <c r="G280" s="113">
        <f>IF(Arbeitszeit!F281=Urlaub,B_WorkTime*24,)</f>
        <v>0</v>
      </c>
      <c r="H280" s="111"/>
      <c r="I280" s="113">
        <f>IF(Arbeitszeit!F281=Krank,B_WorkTime*24,)</f>
        <v>0</v>
      </c>
      <c r="J280" s="111"/>
      <c r="K280" s="114"/>
      <c r="L280" s="115"/>
      <c r="M280" s="498"/>
      <c r="N280" s="499"/>
      <c r="O280" s="498"/>
      <c r="P280" s="499"/>
      <c r="Q280" s="498"/>
      <c r="R280" s="499"/>
      <c r="S280" s="498"/>
      <c r="T280" s="499"/>
      <c r="U280" s="498"/>
      <c r="V280" s="499"/>
      <c r="W280" s="498"/>
      <c r="X280" s="499"/>
      <c r="Y280" s="498"/>
      <c r="Z280" s="499"/>
      <c r="AA280" s="498"/>
      <c r="AB280" s="499"/>
      <c r="AC280" s="498"/>
      <c r="AD280" s="499"/>
      <c r="AE280" s="498"/>
      <c r="AF280" s="500"/>
      <c r="AG280" s="498"/>
      <c r="AH280" s="500"/>
      <c r="AI280" s="498"/>
      <c r="AJ280" s="500"/>
      <c r="AK280" s="498"/>
      <c r="AL280" s="500"/>
      <c r="AM280" s="501"/>
      <c r="AN280" s="500"/>
      <c r="AO280" s="498"/>
      <c r="AP280" s="500"/>
      <c r="AQ280" s="501"/>
      <c r="AR280" s="500"/>
      <c r="AS280" s="500"/>
      <c r="AT280" s="500"/>
      <c r="AU280" s="501"/>
      <c r="AV280" s="500"/>
      <c r="AW280" s="500"/>
      <c r="AX280" s="500"/>
      <c r="AY280" s="576"/>
      <c r="AZ280" s="576"/>
      <c r="BA280" s="576"/>
      <c r="BB280" s="576"/>
      <c r="BC280" s="576"/>
      <c r="BD280" s="576"/>
      <c r="BE280" s="576"/>
      <c r="BF280" s="576"/>
      <c r="BG280" s="576"/>
      <c r="BH280" s="576"/>
      <c r="BI280" s="576"/>
      <c r="BJ280" s="576"/>
      <c r="BK280" s="576"/>
      <c r="BL280" s="576"/>
      <c r="BM280" s="576"/>
      <c r="BN280" s="576"/>
      <c r="BO280" s="576"/>
      <c r="BP280" s="576"/>
      <c r="BQ280" s="576"/>
      <c r="BR280" s="576"/>
      <c r="BS280" s="576"/>
      <c r="BT280" s="576"/>
      <c r="BU280" s="576"/>
      <c r="BV280" s="576"/>
      <c r="BW280" s="576"/>
      <c r="BX280" s="576"/>
      <c r="BY280" s="576"/>
      <c r="BZ280" s="576"/>
      <c r="CA280" s="576"/>
      <c r="CB280" s="576"/>
      <c r="CC280" s="576"/>
      <c r="CD280" s="576"/>
      <c r="CE280" s="576"/>
      <c r="CF280" s="576"/>
      <c r="CG280" s="576"/>
      <c r="CH280" s="576"/>
      <c r="CI280" s="576"/>
      <c r="CJ280" s="576"/>
      <c r="CK280" s="576"/>
      <c r="CL280" s="576"/>
      <c r="CM280" s="576"/>
      <c r="CN280" s="576"/>
      <c r="CO280" s="576"/>
      <c r="CP280" s="576"/>
      <c r="CQ280" s="576"/>
      <c r="CR280" s="576"/>
      <c r="CS280" s="576"/>
      <c r="CT280" s="576"/>
      <c r="CU280" s="576"/>
      <c r="CV280" s="576"/>
      <c r="CW280" s="576"/>
      <c r="CX280" s="576"/>
      <c r="CY280" s="576"/>
      <c r="CZ280" s="576"/>
      <c r="DA280" s="576"/>
      <c r="DB280" s="576"/>
      <c r="DC280" s="576"/>
      <c r="DD280" s="576"/>
      <c r="DE280" s="576"/>
      <c r="DF280" s="576"/>
      <c r="DG280" s="576"/>
      <c r="DH280" s="116"/>
      <c r="DI280" s="112"/>
      <c r="DJ280">
        <f ca="1">INDIRECT(ADDRESS(ROW()+1,COLUMN(Arbeitszeit!xDay),,,"Arbeitszeit"))</f>
        <v>6</v>
      </c>
    </row>
    <row r="281" spans="1:114">
      <c r="A281" s="462">
        <f>Arbeitszeit!A282</f>
        <v>45110</v>
      </c>
      <c r="B281" s="463">
        <f t="shared" si="17"/>
        <v>45110</v>
      </c>
      <c r="C281" s="146">
        <f t="shared" si="18"/>
        <v>26</v>
      </c>
      <c r="D281" s="145">
        <f t="shared" si="19"/>
        <v>45107</v>
      </c>
      <c r="E281" s="510">
        <f>Arbeitszeit!V282*24</f>
        <v>0</v>
      </c>
      <c r="F281" s="574">
        <f t="shared" si="16"/>
        <v>0</v>
      </c>
      <c r="G281" s="113">
        <f>IF(Arbeitszeit!F282=Urlaub,B_WorkTime*24,)</f>
        <v>0</v>
      </c>
      <c r="H281" s="111"/>
      <c r="I281" s="113">
        <f>IF(Arbeitszeit!F282=Krank,B_WorkTime*24,)</f>
        <v>0</v>
      </c>
      <c r="J281" s="111"/>
      <c r="K281" s="114"/>
      <c r="L281" s="115"/>
      <c r="M281" s="498"/>
      <c r="N281" s="499"/>
      <c r="O281" s="498"/>
      <c r="P281" s="499"/>
      <c r="Q281" s="498"/>
      <c r="R281" s="499"/>
      <c r="S281" s="498"/>
      <c r="T281" s="499"/>
      <c r="U281" s="498"/>
      <c r="V281" s="499"/>
      <c r="W281" s="498"/>
      <c r="X281" s="499"/>
      <c r="Y281" s="498"/>
      <c r="Z281" s="499"/>
      <c r="AA281" s="498"/>
      <c r="AB281" s="499"/>
      <c r="AC281" s="498"/>
      <c r="AD281" s="499"/>
      <c r="AE281" s="498"/>
      <c r="AF281" s="500"/>
      <c r="AG281" s="498"/>
      <c r="AH281" s="500"/>
      <c r="AI281" s="498"/>
      <c r="AJ281" s="500"/>
      <c r="AK281" s="498"/>
      <c r="AL281" s="500"/>
      <c r="AM281" s="501"/>
      <c r="AN281" s="500"/>
      <c r="AO281" s="498"/>
      <c r="AP281" s="500"/>
      <c r="AQ281" s="501"/>
      <c r="AR281" s="500"/>
      <c r="AS281" s="500"/>
      <c r="AT281" s="500"/>
      <c r="AU281" s="501"/>
      <c r="AV281" s="500"/>
      <c r="AW281" s="500"/>
      <c r="AX281" s="500"/>
      <c r="AY281" s="576"/>
      <c r="AZ281" s="576"/>
      <c r="BA281" s="576"/>
      <c r="BB281" s="576"/>
      <c r="BC281" s="576"/>
      <c r="BD281" s="576"/>
      <c r="BE281" s="576"/>
      <c r="BF281" s="576"/>
      <c r="BG281" s="576"/>
      <c r="BH281" s="576"/>
      <c r="BI281" s="576"/>
      <c r="BJ281" s="576"/>
      <c r="BK281" s="576"/>
      <c r="BL281" s="576"/>
      <c r="BM281" s="576"/>
      <c r="BN281" s="576"/>
      <c r="BO281" s="576"/>
      <c r="BP281" s="576"/>
      <c r="BQ281" s="576"/>
      <c r="BR281" s="576"/>
      <c r="BS281" s="576"/>
      <c r="BT281" s="576"/>
      <c r="BU281" s="576"/>
      <c r="BV281" s="576"/>
      <c r="BW281" s="576"/>
      <c r="BX281" s="576"/>
      <c r="BY281" s="576"/>
      <c r="BZ281" s="576"/>
      <c r="CA281" s="576"/>
      <c r="CB281" s="576"/>
      <c r="CC281" s="576"/>
      <c r="CD281" s="576"/>
      <c r="CE281" s="576"/>
      <c r="CF281" s="576"/>
      <c r="CG281" s="576"/>
      <c r="CH281" s="576"/>
      <c r="CI281" s="576"/>
      <c r="CJ281" s="576"/>
      <c r="CK281" s="576"/>
      <c r="CL281" s="576"/>
      <c r="CM281" s="576"/>
      <c r="CN281" s="576"/>
      <c r="CO281" s="576"/>
      <c r="CP281" s="576"/>
      <c r="CQ281" s="576"/>
      <c r="CR281" s="576"/>
      <c r="CS281" s="576"/>
      <c r="CT281" s="576"/>
      <c r="CU281" s="576"/>
      <c r="CV281" s="576"/>
      <c r="CW281" s="576"/>
      <c r="CX281" s="576"/>
      <c r="CY281" s="576"/>
      <c r="CZ281" s="576"/>
      <c r="DA281" s="576"/>
      <c r="DB281" s="576"/>
      <c r="DC281" s="576"/>
      <c r="DD281" s="576"/>
      <c r="DE281" s="576"/>
      <c r="DF281" s="576"/>
      <c r="DG281" s="576"/>
      <c r="DH281" s="116"/>
      <c r="DI281" s="112"/>
      <c r="DJ281">
        <f ca="1">INDIRECT(ADDRESS(ROW()+1,COLUMN(Arbeitszeit!xDay),,,"Arbeitszeit"))</f>
        <v>7</v>
      </c>
    </row>
    <row r="282" spans="1:114">
      <c r="A282" s="462">
        <f>Arbeitszeit!A283</f>
        <v>45111</v>
      </c>
      <c r="B282" s="463">
        <f t="shared" si="17"/>
        <v>45111</v>
      </c>
      <c r="C282" s="146">
        <f t="shared" si="18"/>
        <v>27</v>
      </c>
      <c r="D282" s="145">
        <f t="shared" si="19"/>
        <v>45107</v>
      </c>
      <c r="E282" s="510">
        <f>Arbeitszeit!V283*24</f>
        <v>0</v>
      </c>
      <c r="F282" s="574">
        <f t="shared" si="16"/>
        <v>0</v>
      </c>
      <c r="G282" s="113">
        <f>IF(Arbeitszeit!F283=Urlaub,B_WorkTime*24,)</f>
        <v>0</v>
      </c>
      <c r="H282" s="111"/>
      <c r="I282" s="113">
        <f>IF(Arbeitszeit!F283=Krank,B_WorkTime*24,)</f>
        <v>0</v>
      </c>
      <c r="J282" s="111"/>
      <c r="K282" s="114"/>
      <c r="L282" s="115"/>
      <c r="M282" s="498"/>
      <c r="N282" s="499"/>
      <c r="O282" s="498"/>
      <c r="P282" s="499"/>
      <c r="Q282" s="498"/>
      <c r="R282" s="499"/>
      <c r="S282" s="498"/>
      <c r="T282" s="499"/>
      <c r="U282" s="498"/>
      <c r="V282" s="499"/>
      <c r="W282" s="498"/>
      <c r="X282" s="499"/>
      <c r="Y282" s="498"/>
      <c r="Z282" s="499"/>
      <c r="AA282" s="498"/>
      <c r="AB282" s="499"/>
      <c r="AC282" s="498"/>
      <c r="AD282" s="499"/>
      <c r="AE282" s="498"/>
      <c r="AF282" s="500"/>
      <c r="AG282" s="498"/>
      <c r="AH282" s="500"/>
      <c r="AI282" s="498"/>
      <c r="AJ282" s="500"/>
      <c r="AK282" s="498"/>
      <c r="AL282" s="500"/>
      <c r="AM282" s="501"/>
      <c r="AN282" s="500"/>
      <c r="AO282" s="498"/>
      <c r="AP282" s="500"/>
      <c r="AQ282" s="501"/>
      <c r="AR282" s="500"/>
      <c r="AS282" s="500"/>
      <c r="AT282" s="500"/>
      <c r="AU282" s="501"/>
      <c r="AV282" s="500"/>
      <c r="AW282" s="500"/>
      <c r="AX282" s="500"/>
      <c r="AY282" s="576"/>
      <c r="AZ282" s="576"/>
      <c r="BA282" s="576"/>
      <c r="BB282" s="576"/>
      <c r="BC282" s="576"/>
      <c r="BD282" s="576"/>
      <c r="BE282" s="576"/>
      <c r="BF282" s="576"/>
      <c r="BG282" s="576"/>
      <c r="BH282" s="576"/>
      <c r="BI282" s="576"/>
      <c r="BJ282" s="576"/>
      <c r="BK282" s="576"/>
      <c r="BL282" s="576"/>
      <c r="BM282" s="576"/>
      <c r="BN282" s="576"/>
      <c r="BO282" s="576"/>
      <c r="BP282" s="576"/>
      <c r="BQ282" s="576"/>
      <c r="BR282" s="576"/>
      <c r="BS282" s="576"/>
      <c r="BT282" s="576"/>
      <c r="BU282" s="576"/>
      <c r="BV282" s="576"/>
      <c r="BW282" s="576"/>
      <c r="BX282" s="576"/>
      <c r="BY282" s="576"/>
      <c r="BZ282" s="576"/>
      <c r="CA282" s="576"/>
      <c r="CB282" s="576"/>
      <c r="CC282" s="576"/>
      <c r="CD282" s="576"/>
      <c r="CE282" s="576"/>
      <c r="CF282" s="576"/>
      <c r="CG282" s="576"/>
      <c r="CH282" s="576"/>
      <c r="CI282" s="576"/>
      <c r="CJ282" s="576"/>
      <c r="CK282" s="576"/>
      <c r="CL282" s="576"/>
      <c r="CM282" s="576"/>
      <c r="CN282" s="576"/>
      <c r="CO282" s="576"/>
      <c r="CP282" s="576"/>
      <c r="CQ282" s="576"/>
      <c r="CR282" s="576"/>
      <c r="CS282" s="576"/>
      <c r="CT282" s="576"/>
      <c r="CU282" s="576"/>
      <c r="CV282" s="576"/>
      <c r="CW282" s="576"/>
      <c r="CX282" s="576"/>
      <c r="CY282" s="576"/>
      <c r="CZ282" s="576"/>
      <c r="DA282" s="576"/>
      <c r="DB282" s="576"/>
      <c r="DC282" s="576"/>
      <c r="DD282" s="576"/>
      <c r="DE282" s="576"/>
      <c r="DF282" s="576"/>
      <c r="DG282" s="576"/>
      <c r="DH282" s="116"/>
      <c r="DI282" s="112"/>
      <c r="DJ282">
        <f ca="1">INDIRECT(ADDRESS(ROW()+1,COLUMN(Arbeitszeit!xDay),,,"Arbeitszeit"))</f>
        <v>1</v>
      </c>
    </row>
    <row r="283" spans="1:114">
      <c r="A283" s="462">
        <f>Arbeitszeit!A284</f>
        <v>45112</v>
      </c>
      <c r="B283" s="463">
        <f t="shared" si="17"/>
        <v>45112</v>
      </c>
      <c r="C283" s="146">
        <f t="shared" si="18"/>
        <v>27</v>
      </c>
      <c r="D283" s="145">
        <f t="shared" si="19"/>
        <v>45107</v>
      </c>
      <c r="E283" s="510">
        <f>Arbeitszeit!V284*24</f>
        <v>0</v>
      </c>
      <c r="F283" s="574">
        <f t="shared" si="16"/>
        <v>0</v>
      </c>
      <c r="G283" s="113">
        <f>IF(Arbeitszeit!F284=Urlaub,B_WorkTime*24,)</f>
        <v>0</v>
      </c>
      <c r="H283" s="111"/>
      <c r="I283" s="113">
        <f>IF(Arbeitszeit!F284=Krank,B_WorkTime*24,)</f>
        <v>0</v>
      </c>
      <c r="J283" s="111"/>
      <c r="K283" s="114"/>
      <c r="L283" s="115"/>
      <c r="M283" s="498"/>
      <c r="N283" s="499"/>
      <c r="O283" s="498"/>
      <c r="P283" s="499"/>
      <c r="Q283" s="498"/>
      <c r="R283" s="499"/>
      <c r="S283" s="498"/>
      <c r="T283" s="499"/>
      <c r="U283" s="498"/>
      <c r="V283" s="499"/>
      <c r="W283" s="498"/>
      <c r="X283" s="499"/>
      <c r="Y283" s="498"/>
      <c r="Z283" s="499"/>
      <c r="AA283" s="498"/>
      <c r="AB283" s="499"/>
      <c r="AC283" s="498"/>
      <c r="AD283" s="499"/>
      <c r="AE283" s="498"/>
      <c r="AF283" s="500"/>
      <c r="AG283" s="498"/>
      <c r="AH283" s="500"/>
      <c r="AI283" s="498"/>
      <c r="AJ283" s="500"/>
      <c r="AK283" s="498"/>
      <c r="AL283" s="500"/>
      <c r="AM283" s="501"/>
      <c r="AN283" s="500"/>
      <c r="AO283" s="498"/>
      <c r="AP283" s="500"/>
      <c r="AQ283" s="501"/>
      <c r="AR283" s="500"/>
      <c r="AS283" s="500"/>
      <c r="AT283" s="500"/>
      <c r="AU283" s="501"/>
      <c r="AV283" s="500"/>
      <c r="AW283" s="500"/>
      <c r="AX283" s="500"/>
      <c r="AY283" s="576"/>
      <c r="AZ283" s="576"/>
      <c r="BA283" s="576"/>
      <c r="BB283" s="576"/>
      <c r="BC283" s="576"/>
      <c r="BD283" s="576"/>
      <c r="BE283" s="576"/>
      <c r="BF283" s="576"/>
      <c r="BG283" s="576"/>
      <c r="BH283" s="576"/>
      <c r="BI283" s="576"/>
      <c r="BJ283" s="576"/>
      <c r="BK283" s="576"/>
      <c r="BL283" s="576"/>
      <c r="BM283" s="576"/>
      <c r="BN283" s="576"/>
      <c r="BO283" s="576"/>
      <c r="BP283" s="576"/>
      <c r="BQ283" s="576"/>
      <c r="BR283" s="576"/>
      <c r="BS283" s="576"/>
      <c r="BT283" s="576"/>
      <c r="BU283" s="576"/>
      <c r="BV283" s="576"/>
      <c r="BW283" s="576"/>
      <c r="BX283" s="576"/>
      <c r="BY283" s="576"/>
      <c r="BZ283" s="576"/>
      <c r="CA283" s="576"/>
      <c r="CB283" s="576"/>
      <c r="CC283" s="576"/>
      <c r="CD283" s="576"/>
      <c r="CE283" s="576"/>
      <c r="CF283" s="576"/>
      <c r="CG283" s="576"/>
      <c r="CH283" s="576"/>
      <c r="CI283" s="576"/>
      <c r="CJ283" s="576"/>
      <c r="CK283" s="576"/>
      <c r="CL283" s="576"/>
      <c r="CM283" s="576"/>
      <c r="CN283" s="576"/>
      <c r="CO283" s="576"/>
      <c r="CP283" s="576"/>
      <c r="CQ283" s="576"/>
      <c r="CR283" s="576"/>
      <c r="CS283" s="576"/>
      <c r="CT283" s="576"/>
      <c r="CU283" s="576"/>
      <c r="CV283" s="576"/>
      <c r="CW283" s="576"/>
      <c r="CX283" s="576"/>
      <c r="CY283" s="576"/>
      <c r="CZ283" s="576"/>
      <c r="DA283" s="576"/>
      <c r="DB283" s="576"/>
      <c r="DC283" s="576"/>
      <c r="DD283" s="576"/>
      <c r="DE283" s="576"/>
      <c r="DF283" s="576"/>
      <c r="DG283" s="576"/>
      <c r="DH283" s="116"/>
      <c r="DI283" s="112"/>
      <c r="DJ283">
        <f ca="1">INDIRECT(ADDRESS(ROW()+1,COLUMN(Arbeitszeit!xDay),,,"Arbeitszeit"))</f>
        <v>2</v>
      </c>
    </row>
    <row r="284" spans="1:114">
      <c r="A284" s="462">
        <f>Arbeitszeit!A285</f>
        <v>45113</v>
      </c>
      <c r="B284" s="463">
        <f t="shared" si="17"/>
        <v>45113</v>
      </c>
      <c r="C284" s="146">
        <f t="shared" si="18"/>
        <v>27</v>
      </c>
      <c r="D284" s="145">
        <f t="shared" si="19"/>
        <v>45107</v>
      </c>
      <c r="E284" s="510">
        <f>Arbeitszeit!V285*24</f>
        <v>0</v>
      </c>
      <c r="F284" s="574">
        <f t="shared" si="16"/>
        <v>0</v>
      </c>
      <c r="G284" s="113">
        <f>IF(Arbeitszeit!F285=Urlaub,B_WorkTime*24,)</f>
        <v>0</v>
      </c>
      <c r="H284" s="111"/>
      <c r="I284" s="113">
        <f>IF(Arbeitszeit!F285=Krank,B_WorkTime*24,)</f>
        <v>0</v>
      </c>
      <c r="J284" s="111"/>
      <c r="K284" s="114"/>
      <c r="L284" s="115"/>
      <c r="M284" s="498"/>
      <c r="N284" s="499"/>
      <c r="O284" s="498"/>
      <c r="P284" s="499"/>
      <c r="Q284" s="498"/>
      <c r="R284" s="499"/>
      <c r="S284" s="498"/>
      <c r="T284" s="499"/>
      <c r="U284" s="498"/>
      <c r="V284" s="499"/>
      <c r="W284" s="498"/>
      <c r="X284" s="499"/>
      <c r="Y284" s="498"/>
      <c r="Z284" s="499"/>
      <c r="AA284" s="498"/>
      <c r="AB284" s="499"/>
      <c r="AC284" s="498"/>
      <c r="AD284" s="499"/>
      <c r="AE284" s="498"/>
      <c r="AF284" s="500"/>
      <c r="AG284" s="498"/>
      <c r="AH284" s="500"/>
      <c r="AI284" s="498"/>
      <c r="AJ284" s="500"/>
      <c r="AK284" s="498"/>
      <c r="AL284" s="500"/>
      <c r="AM284" s="501"/>
      <c r="AN284" s="500"/>
      <c r="AO284" s="498"/>
      <c r="AP284" s="500"/>
      <c r="AQ284" s="501"/>
      <c r="AR284" s="500"/>
      <c r="AS284" s="500"/>
      <c r="AT284" s="500"/>
      <c r="AU284" s="501"/>
      <c r="AV284" s="500"/>
      <c r="AW284" s="500"/>
      <c r="AX284" s="500"/>
      <c r="AY284" s="576"/>
      <c r="AZ284" s="576"/>
      <c r="BA284" s="576"/>
      <c r="BB284" s="576"/>
      <c r="BC284" s="576"/>
      <c r="BD284" s="576"/>
      <c r="BE284" s="576"/>
      <c r="BF284" s="576"/>
      <c r="BG284" s="576"/>
      <c r="BH284" s="576"/>
      <c r="BI284" s="576"/>
      <c r="BJ284" s="576"/>
      <c r="BK284" s="576"/>
      <c r="BL284" s="576"/>
      <c r="BM284" s="576"/>
      <c r="BN284" s="576"/>
      <c r="BO284" s="576"/>
      <c r="BP284" s="576"/>
      <c r="BQ284" s="576"/>
      <c r="BR284" s="576"/>
      <c r="BS284" s="576"/>
      <c r="BT284" s="576"/>
      <c r="BU284" s="576"/>
      <c r="BV284" s="576"/>
      <c r="BW284" s="576"/>
      <c r="BX284" s="576"/>
      <c r="BY284" s="576"/>
      <c r="BZ284" s="576"/>
      <c r="CA284" s="576"/>
      <c r="CB284" s="576"/>
      <c r="CC284" s="576"/>
      <c r="CD284" s="576"/>
      <c r="CE284" s="576"/>
      <c r="CF284" s="576"/>
      <c r="CG284" s="576"/>
      <c r="CH284" s="576"/>
      <c r="CI284" s="576"/>
      <c r="CJ284" s="576"/>
      <c r="CK284" s="576"/>
      <c r="CL284" s="576"/>
      <c r="CM284" s="576"/>
      <c r="CN284" s="576"/>
      <c r="CO284" s="576"/>
      <c r="CP284" s="576"/>
      <c r="CQ284" s="576"/>
      <c r="CR284" s="576"/>
      <c r="CS284" s="576"/>
      <c r="CT284" s="576"/>
      <c r="CU284" s="576"/>
      <c r="CV284" s="576"/>
      <c r="CW284" s="576"/>
      <c r="CX284" s="576"/>
      <c r="CY284" s="576"/>
      <c r="CZ284" s="576"/>
      <c r="DA284" s="576"/>
      <c r="DB284" s="576"/>
      <c r="DC284" s="576"/>
      <c r="DD284" s="576"/>
      <c r="DE284" s="576"/>
      <c r="DF284" s="576"/>
      <c r="DG284" s="576"/>
      <c r="DH284" s="116"/>
      <c r="DI284" s="112"/>
      <c r="DJ284">
        <f ca="1">INDIRECT(ADDRESS(ROW()+1,COLUMN(Arbeitszeit!xDay),,,"Arbeitszeit"))</f>
        <v>3</v>
      </c>
    </row>
    <row r="285" spans="1:114">
      <c r="A285" s="462">
        <f>Arbeitszeit!A286</f>
        <v>45114</v>
      </c>
      <c r="B285" s="463">
        <f t="shared" si="17"/>
        <v>45114</v>
      </c>
      <c r="C285" s="146">
        <f t="shared" si="18"/>
        <v>27</v>
      </c>
      <c r="D285" s="145">
        <f t="shared" si="19"/>
        <v>45107</v>
      </c>
      <c r="E285" s="510">
        <f>Arbeitszeit!V286*24</f>
        <v>0</v>
      </c>
      <c r="F285" s="574">
        <f t="shared" si="16"/>
        <v>0</v>
      </c>
      <c r="G285" s="113">
        <f>IF(Arbeitszeit!F286=Urlaub,B_WorkTime*24,)</f>
        <v>0</v>
      </c>
      <c r="H285" s="111"/>
      <c r="I285" s="113">
        <f>IF(Arbeitszeit!F286=Krank,B_WorkTime*24,)</f>
        <v>0</v>
      </c>
      <c r="J285" s="111"/>
      <c r="K285" s="114"/>
      <c r="L285" s="115"/>
      <c r="M285" s="498"/>
      <c r="N285" s="499"/>
      <c r="O285" s="498"/>
      <c r="P285" s="499"/>
      <c r="Q285" s="498"/>
      <c r="R285" s="499"/>
      <c r="S285" s="498"/>
      <c r="T285" s="499"/>
      <c r="U285" s="498"/>
      <c r="V285" s="499"/>
      <c r="W285" s="498"/>
      <c r="X285" s="499"/>
      <c r="Y285" s="498"/>
      <c r="Z285" s="499"/>
      <c r="AA285" s="498"/>
      <c r="AB285" s="499"/>
      <c r="AC285" s="498"/>
      <c r="AD285" s="499"/>
      <c r="AE285" s="498"/>
      <c r="AF285" s="500"/>
      <c r="AG285" s="498"/>
      <c r="AH285" s="500"/>
      <c r="AI285" s="498"/>
      <c r="AJ285" s="500"/>
      <c r="AK285" s="498"/>
      <c r="AL285" s="500"/>
      <c r="AM285" s="501"/>
      <c r="AN285" s="500"/>
      <c r="AO285" s="498"/>
      <c r="AP285" s="500"/>
      <c r="AQ285" s="501"/>
      <c r="AR285" s="500"/>
      <c r="AS285" s="500"/>
      <c r="AT285" s="500"/>
      <c r="AU285" s="501"/>
      <c r="AV285" s="500"/>
      <c r="AW285" s="500"/>
      <c r="AX285" s="500"/>
      <c r="AY285" s="576"/>
      <c r="AZ285" s="576"/>
      <c r="BA285" s="576"/>
      <c r="BB285" s="576"/>
      <c r="BC285" s="576"/>
      <c r="BD285" s="576"/>
      <c r="BE285" s="576"/>
      <c r="BF285" s="576"/>
      <c r="BG285" s="576"/>
      <c r="BH285" s="576"/>
      <c r="BI285" s="576"/>
      <c r="BJ285" s="576"/>
      <c r="BK285" s="576"/>
      <c r="BL285" s="576"/>
      <c r="BM285" s="576"/>
      <c r="BN285" s="576"/>
      <c r="BO285" s="576"/>
      <c r="BP285" s="576"/>
      <c r="BQ285" s="576"/>
      <c r="BR285" s="576"/>
      <c r="BS285" s="576"/>
      <c r="BT285" s="576"/>
      <c r="BU285" s="576"/>
      <c r="BV285" s="576"/>
      <c r="BW285" s="576"/>
      <c r="BX285" s="576"/>
      <c r="BY285" s="576"/>
      <c r="BZ285" s="576"/>
      <c r="CA285" s="576"/>
      <c r="CB285" s="576"/>
      <c r="CC285" s="576"/>
      <c r="CD285" s="576"/>
      <c r="CE285" s="576"/>
      <c r="CF285" s="576"/>
      <c r="CG285" s="576"/>
      <c r="CH285" s="576"/>
      <c r="CI285" s="576"/>
      <c r="CJ285" s="576"/>
      <c r="CK285" s="576"/>
      <c r="CL285" s="576"/>
      <c r="CM285" s="576"/>
      <c r="CN285" s="576"/>
      <c r="CO285" s="576"/>
      <c r="CP285" s="576"/>
      <c r="CQ285" s="576"/>
      <c r="CR285" s="576"/>
      <c r="CS285" s="576"/>
      <c r="CT285" s="576"/>
      <c r="CU285" s="576"/>
      <c r="CV285" s="576"/>
      <c r="CW285" s="576"/>
      <c r="CX285" s="576"/>
      <c r="CY285" s="576"/>
      <c r="CZ285" s="576"/>
      <c r="DA285" s="576"/>
      <c r="DB285" s="576"/>
      <c r="DC285" s="576"/>
      <c r="DD285" s="576"/>
      <c r="DE285" s="576"/>
      <c r="DF285" s="576"/>
      <c r="DG285" s="576"/>
      <c r="DH285" s="116"/>
      <c r="DI285" s="112"/>
      <c r="DJ285">
        <f ca="1">INDIRECT(ADDRESS(ROW()+1,COLUMN(Arbeitszeit!xDay),,,"Arbeitszeit"))</f>
        <v>4</v>
      </c>
    </row>
    <row r="286" spans="1:114">
      <c r="A286" s="462">
        <f>Arbeitszeit!A287</f>
        <v>45115</v>
      </c>
      <c r="B286" s="463">
        <f t="shared" si="17"/>
        <v>45115</v>
      </c>
      <c r="C286" s="146">
        <f t="shared" si="18"/>
        <v>27</v>
      </c>
      <c r="D286" s="145">
        <f t="shared" si="19"/>
        <v>45107</v>
      </c>
      <c r="E286" s="510">
        <f>Arbeitszeit!V287*24</f>
        <v>0</v>
      </c>
      <c r="F286" s="574">
        <f t="shared" si="16"/>
        <v>0</v>
      </c>
      <c r="G286" s="113">
        <f>IF(Arbeitszeit!F287=Urlaub,B_WorkTime*24,)</f>
        <v>0</v>
      </c>
      <c r="H286" s="111"/>
      <c r="I286" s="113">
        <f>IF(Arbeitszeit!F287=Krank,B_WorkTime*24,)</f>
        <v>0</v>
      </c>
      <c r="J286" s="111"/>
      <c r="K286" s="114"/>
      <c r="L286" s="115"/>
      <c r="M286" s="498"/>
      <c r="N286" s="499"/>
      <c r="O286" s="498"/>
      <c r="P286" s="499"/>
      <c r="Q286" s="498"/>
      <c r="R286" s="499"/>
      <c r="S286" s="498"/>
      <c r="T286" s="499"/>
      <c r="U286" s="498"/>
      <c r="V286" s="499"/>
      <c r="W286" s="498"/>
      <c r="X286" s="499"/>
      <c r="Y286" s="498"/>
      <c r="Z286" s="499"/>
      <c r="AA286" s="498"/>
      <c r="AB286" s="499"/>
      <c r="AC286" s="498"/>
      <c r="AD286" s="499"/>
      <c r="AE286" s="498"/>
      <c r="AF286" s="500"/>
      <c r="AG286" s="498"/>
      <c r="AH286" s="500"/>
      <c r="AI286" s="498"/>
      <c r="AJ286" s="500"/>
      <c r="AK286" s="498"/>
      <c r="AL286" s="500"/>
      <c r="AM286" s="501"/>
      <c r="AN286" s="500"/>
      <c r="AO286" s="498"/>
      <c r="AP286" s="500"/>
      <c r="AQ286" s="501"/>
      <c r="AR286" s="500"/>
      <c r="AS286" s="500"/>
      <c r="AT286" s="500"/>
      <c r="AU286" s="501"/>
      <c r="AV286" s="500"/>
      <c r="AW286" s="500"/>
      <c r="AX286" s="500"/>
      <c r="AY286" s="576"/>
      <c r="AZ286" s="576"/>
      <c r="BA286" s="576"/>
      <c r="BB286" s="576"/>
      <c r="BC286" s="576"/>
      <c r="BD286" s="576"/>
      <c r="BE286" s="576"/>
      <c r="BF286" s="576"/>
      <c r="BG286" s="576"/>
      <c r="BH286" s="576"/>
      <c r="BI286" s="576"/>
      <c r="BJ286" s="576"/>
      <c r="BK286" s="576"/>
      <c r="BL286" s="576"/>
      <c r="BM286" s="576"/>
      <c r="BN286" s="576"/>
      <c r="BO286" s="576"/>
      <c r="BP286" s="576"/>
      <c r="BQ286" s="576"/>
      <c r="BR286" s="576"/>
      <c r="BS286" s="576"/>
      <c r="BT286" s="576"/>
      <c r="BU286" s="576"/>
      <c r="BV286" s="576"/>
      <c r="BW286" s="576"/>
      <c r="BX286" s="576"/>
      <c r="BY286" s="576"/>
      <c r="BZ286" s="576"/>
      <c r="CA286" s="576"/>
      <c r="CB286" s="576"/>
      <c r="CC286" s="576"/>
      <c r="CD286" s="576"/>
      <c r="CE286" s="576"/>
      <c r="CF286" s="576"/>
      <c r="CG286" s="576"/>
      <c r="CH286" s="576"/>
      <c r="CI286" s="576"/>
      <c r="CJ286" s="576"/>
      <c r="CK286" s="576"/>
      <c r="CL286" s="576"/>
      <c r="CM286" s="576"/>
      <c r="CN286" s="576"/>
      <c r="CO286" s="576"/>
      <c r="CP286" s="576"/>
      <c r="CQ286" s="576"/>
      <c r="CR286" s="576"/>
      <c r="CS286" s="576"/>
      <c r="CT286" s="576"/>
      <c r="CU286" s="576"/>
      <c r="CV286" s="576"/>
      <c r="CW286" s="576"/>
      <c r="CX286" s="576"/>
      <c r="CY286" s="576"/>
      <c r="CZ286" s="576"/>
      <c r="DA286" s="576"/>
      <c r="DB286" s="576"/>
      <c r="DC286" s="576"/>
      <c r="DD286" s="576"/>
      <c r="DE286" s="576"/>
      <c r="DF286" s="576"/>
      <c r="DG286" s="576"/>
      <c r="DH286" s="116"/>
      <c r="DI286" s="112"/>
      <c r="DJ286">
        <f ca="1">INDIRECT(ADDRESS(ROW()+1,COLUMN(Arbeitszeit!xDay),,,"Arbeitszeit"))</f>
        <v>5</v>
      </c>
    </row>
    <row r="287" spans="1:114">
      <c r="A287" s="462">
        <f>Arbeitszeit!A288</f>
        <v>45116</v>
      </c>
      <c r="B287" s="463">
        <f t="shared" si="17"/>
        <v>45116</v>
      </c>
      <c r="C287" s="146">
        <f t="shared" si="18"/>
        <v>27</v>
      </c>
      <c r="D287" s="145">
        <f t="shared" si="19"/>
        <v>45107</v>
      </c>
      <c r="E287" s="510">
        <f>Arbeitszeit!V288*24</f>
        <v>0</v>
      </c>
      <c r="F287" s="574">
        <f t="shared" si="16"/>
        <v>0</v>
      </c>
      <c r="G287" s="113">
        <f>IF(Arbeitszeit!F288=Urlaub,B_WorkTime*24,)</f>
        <v>0</v>
      </c>
      <c r="H287" s="111"/>
      <c r="I287" s="113">
        <f>IF(Arbeitszeit!F288=Krank,B_WorkTime*24,)</f>
        <v>0</v>
      </c>
      <c r="J287" s="111"/>
      <c r="K287" s="114"/>
      <c r="L287" s="115"/>
      <c r="M287" s="498"/>
      <c r="N287" s="499"/>
      <c r="O287" s="498"/>
      <c r="P287" s="499"/>
      <c r="Q287" s="498"/>
      <c r="R287" s="499"/>
      <c r="S287" s="498"/>
      <c r="T287" s="499"/>
      <c r="U287" s="498"/>
      <c r="V287" s="499"/>
      <c r="W287" s="498"/>
      <c r="X287" s="499"/>
      <c r="Y287" s="498"/>
      <c r="Z287" s="499"/>
      <c r="AA287" s="498"/>
      <c r="AB287" s="499"/>
      <c r="AC287" s="498"/>
      <c r="AD287" s="499"/>
      <c r="AE287" s="498"/>
      <c r="AF287" s="500"/>
      <c r="AG287" s="498"/>
      <c r="AH287" s="500"/>
      <c r="AI287" s="498"/>
      <c r="AJ287" s="500"/>
      <c r="AK287" s="498"/>
      <c r="AL287" s="500"/>
      <c r="AM287" s="501"/>
      <c r="AN287" s="500"/>
      <c r="AO287" s="498"/>
      <c r="AP287" s="500"/>
      <c r="AQ287" s="501"/>
      <c r="AR287" s="500"/>
      <c r="AS287" s="500"/>
      <c r="AT287" s="500"/>
      <c r="AU287" s="501"/>
      <c r="AV287" s="500"/>
      <c r="AW287" s="500"/>
      <c r="AX287" s="500"/>
      <c r="AY287" s="576"/>
      <c r="AZ287" s="576"/>
      <c r="BA287" s="576"/>
      <c r="BB287" s="576"/>
      <c r="BC287" s="576"/>
      <c r="BD287" s="576"/>
      <c r="BE287" s="576"/>
      <c r="BF287" s="576"/>
      <c r="BG287" s="576"/>
      <c r="BH287" s="576"/>
      <c r="BI287" s="576"/>
      <c r="BJ287" s="576"/>
      <c r="BK287" s="576"/>
      <c r="BL287" s="576"/>
      <c r="BM287" s="576"/>
      <c r="BN287" s="576"/>
      <c r="BO287" s="576"/>
      <c r="BP287" s="576"/>
      <c r="BQ287" s="576"/>
      <c r="BR287" s="576"/>
      <c r="BS287" s="576"/>
      <c r="BT287" s="576"/>
      <c r="BU287" s="576"/>
      <c r="BV287" s="576"/>
      <c r="BW287" s="576"/>
      <c r="BX287" s="576"/>
      <c r="BY287" s="576"/>
      <c r="BZ287" s="576"/>
      <c r="CA287" s="576"/>
      <c r="CB287" s="576"/>
      <c r="CC287" s="576"/>
      <c r="CD287" s="576"/>
      <c r="CE287" s="576"/>
      <c r="CF287" s="576"/>
      <c r="CG287" s="576"/>
      <c r="CH287" s="576"/>
      <c r="CI287" s="576"/>
      <c r="CJ287" s="576"/>
      <c r="CK287" s="576"/>
      <c r="CL287" s="576"/>
      <c r="CM287" s="576"/>
      <c r="CN287" s="576"/>
      <c r="CO287" s="576"/>
      <c r="CP287" s="576"/>
      <c r="CQ287" s="576"/>
      <c r="CR287" s="576"/>
      <c r="CS287" s="576"/>
      <c r="CT287" s="576"/>
      <c r="CU287" s="576"/>
      <c r="CV287" s="576"/>
      <c r="CW287" s="576"/>
      <c r="CX287" s="576"/>
      <c r="CY287" s="576"/>
      <c r="CZ287" s="576"/>
      <c r="DA287" s="576"/>
      <c r="DB287" s="576"/>
      <c r="DC287" s="576"/>
      <c r="DD287" s="576"/>
      <c r="DE287" s="576"/>
      <c r="DF287" s="576"/>
      <c r="DG287" s="576"/>
      <c r="DH287" s="116"/>
      <c r="DI287" s="112"/>
      <c r="DJ287">
        <f ca="1">INDIRECT(ADDRESS(ROW()+1,COLUMN(Arbeitszeit!xDay),,,"Arbeitszeit"))</f>
        <v>6</v>
      </c>
    </row>
    <row r="288" spans="1:114">
      <c r="A288" s="462">
        <f>Arbeitszeit!A289</f>
        <v>45117</v>
      </c>
      <c r="B288" s="463">
        <f t="shared" si="17"/>
        <v>45117</v>
      </c>
      <c r="C288" s="146">
        <f t="shared" si="18"/>
        <v>27</v>
      </c>
      <c r="D288" s="145">
        <f t="shared" si="19"/>
        <v>45107</v>
      </c>
      <c r="E288" s="510">
        <f>Arbeitszeit!V289*24</f>
        <v>0</v>
      </c>
      <c r="F288" s="574">
        <f t="shared" si="16"/>
        <v>0</v>
      </c>
      <c r="G288" s="113">
        <f>IF(Arbeitszeit!F289=Urlaub,B_WorkTime*24,)</f>
        <v>0</v>
      </c>
      <c r="H288" s="111"/>
      <c r="I288" s="113">
        <f>IF(Arbeitszeit!F289=Krank,B_WorkTime*24,)</f>
        <v>0</v>
      </c>
      <c r="J288" s="111"/>
      <c r="K288" s="114"/>
      <c r="L288" s="115"/>
      <c r="M288" s="498"/>
      <c r="N288" s="499"/>
      <c r="O288" s="498"/>
      <c r="P288" s="499"/>
      <c r="Q288" s="498"/>
      <c r="R288" s="499"/>
      <c r="S288" s="498"/>
      <c r="T288" s="499"/>
      <c r="U288" s="498"/>
      <c r="V288" s="499"/>
      <c r="W288" s="498"/>
      <c r="X288" s="499"/>
      <c r="Y288" s="498"/>
      <c r="Z288" s="499"/>
      <c r="AA288" s="498"/>
      <c r="AB288" s="499"/>
      <c r="AC288" s="498"/>
      <c r="AD288" s="499"/>
      <c r="AE288" s="498"/>
      <c r="AF288" s="500"/>
      <c r="AG288" s="498"/>
      <c r="AH288" s="500"/>
      <c r="AI288" s="498"/>
      <c r="AJ288" s="500"/>
      <c r="AK288" s="498"/>
      <c r="AL288" s="500"/>
      <c r="AM288" s="501"/>
      <c r="AN288" s="500"/>
      <c r="AO288" s="498"/>
      <c r="AP288" s="500"/>
      <c r="AQ288" s="501"/>
      <c r="AR288" s="500"/>
      <c r="AS288" s="500"/>
      <c r="AT288" s="500"/>
      <c r="AU288" s="501"/>
      <c r="AV288" s="500"/>
      <c r="AW288" s="500"/>
      <c r="AX288" s="500"/>
      <c r="AY288" s="576"/>
      <c r="AZ288" s="576"/>
      <c r="BA288" s="576"/>
      <c r="BB288" s="576"/>
      <c r="BC288" s="576"/>
      <c r="BD288" s="576"/>
      <c r="BE288" s="576"/>
      <c r="BF288" s="576"/>
      <c r="BG288" s="576"/>
      <c r="BH288" s="576"/>
      <c r="BI288" s="576"/>
      <c r="BJ288" s="576"/>
      <c r="BK288" s="576"/>
      <c r="BL288" s="576"/>
      <c r="BM288" s="576"/>
      <c r="BN288" s="576"/>
      <c r="BO288" s="576"/>
      <c r="BP288" s="576"/>
      <c r="BQ288" s="576"/>
      <c r="BR288" s="576"/>
      <c r="BS288" s="576"/>
      <c r="BT288" s="576"/>
      <c r="BU288" s="576"/>
      <c r="BV288" s="576"/>
      <c r="BW288" s="576"/>
      <c r="BX288" s="576"/>
      <c r="BY288" s="576"/>
      <c r="BZ288" s="576"/>
      <c r="CA288" s="576"/>
      <c r="CB288" s="576"/>
      <c r="CC288" s="576"/>
      <c r="CD288" s="576"/>
      <c r="CE288" s="576"/>
      <c r="CF288" s="576"/>
      <c r="CG288" s="576"/>
      <c r="CH288" s="576"/>
      <c r="CI288" s="576"/>
      <c r="CJ288" s="576"/>
      <c r="CK288" s="576"/>
      <c r="CL288" s="576"/>
      <c r="CM288" s="576"/>
      <c r="CN288" s="576"/>
      <c r="CO288" s="576"/>
      <c r="CP288" s="576"/>
      <c r="CQ288" s="576"/>
      <c r="CR288" s="576"/>
      <c r="CS288" s="576"/>
      <c r="CT288" s="576"/>
      <c r="CU288" s="576"/>
      <c r="CV288" s="576"/>
      <c r="CW288" s="576"/>
      <c r="CX288" s="576"/>
      <c r="CY288" s="576"/>
      <c r="CZ288" s="576"/>
      <c r="DA288" s="576"/>
      <c r="DB288" s="576"/>
      <c r="DC288" s="576"/>
      <c r="DD288" s="576"/>
      <c r="DE288" s="576"/>
      <c r="DF288" s="576"/>
      <c r="DG288" s="576"/>
      <c r="DH288" s="116"/>
      <c r="DI288" s="112"/>
      <c r="DJ288">
        <f ca="1">INDIRECT(ADDRESS(ROW()+1,COLUMN(Arbeitszeit!xDay),,,"Arbeitszeit"))</f>
        <v>7</v>
      </c>
    </row>
    <row r="289" spans="1:114">
      <c r="A289" s="462">
        <f>Arbeitszeit!A290</f>
        <v>45118</v>
      </c>
      <c r="B289" s="463">
        <f t="shared" si="17"/>
        <v>45118</v>
      </c>
      <c r="C289" s="146">
        <f t="shared" si="18"/>
        <v>28</v>
      </c>
      <c r="D289" s="145">
        <f t="shared" si="19"/>
        <v>45107</v>
      </c>
      <c r="E289" s="510">
        <f>Arbeitszeit!V290*24</f>
        <v>0</v>
      </c>
      <c r="F289" s="574">
        <f t="shared" si="16"/>
        <v>0</v>
      </c>
      <c r="G289" s="113">
        <f>IF(Arbeitszeit!F290=Urlaub,B_WorkTime*24,)</f>
        <v>0</v>
      </c>
      <c r="H289" s="111"/>
      <c r="I289" s="113">
        <f>IF(Arbeitszeit!F290=Krank,B_WorkTime*24,)</f>
        <v>0</v>
      </c>
      <c r="J289" s="111"/>
      <c r="K289" s="114"/>
      <c r="L289" s="115"/>
      <c r="M289" s="498"/>
      <c r="N289" s="499"/>
      <c r="O289" s="498"/>
      <c r="P289" s="499"/>
      <c r="Q289" s="498"/>
      <c r="R289" s="499"/>
      <c r="S289" s="498"/>
      <c r="T289" s="499"/>
      <c r="U289" s="498"/>
      <c r="V289" s="499"/>
      <c r="W289" s="498"/>
      <c r="X289" s="499"/>
      <c r="Y289" s="498"/>
      <c r="Z289" s="499"/>
      <c r="AA289" s="498"/>
      <c r="AB289" s="499"/>
      <c r="AC289" s="498"/>
      <c r="AD289" s="499"/>
      <c r="AE289" s="498"/>
      <c r="AF289" s="500"/>
      <c r="AG289" s="498"/>
      <c r="AH289" s="500"/>
      <c r="AI289" s="498"/>
      <c r="AJ289" s="500"/>
      <c r="AK289" s="498"/>
      <c r="AL289" s="500"/>
      <c r="AM289" s="501"/>
      <c r="AN289" s="500"/>
      <c r="AO289" s="498"/>
      <c r="AP289" s="500"/>
      <c r="AQ289" s="501"/>
      <c r="AR289" s="500"/>
      <c r="AS289" s="500"/>
      <c r="AT289" s="500"/>
      <c r="AU289" s="501"/>
      <c r="AV289" s="500"/>
      <c r="AW289" s="500"/>
      <c r="AX289" s="500"/>
      <c r="AY289" s="576"/>
      <c r="AZ289" s="576"/>
      <c r="BA289" s="576"/>
      <c r="BB289" s="576"/>
      <c r="BC289" s="576"/>
      <c r="BD289" s="576"/>
      <c r="BE289" s="576"/>
      <c r="BF289" s="576"/>
      <c r="BG289" s="576"/>
      <c r="BH289" s="576"/>
      <c r="BI289" s="576"/>
      <c r="BJ289" s="576"/>
      <c r="BK289" s="576"/>
      <c r="BL289" s="576"/>
      <c r="BM289" s="576"/>
      <c r="BN289" s="576"/>
      <c r="BO289" s="576"/>
      <c r="BP289" s="576"/>
      <c r="BQ289" s="576"/>
      <c r="BR289" s="576"/>
      <c r="BS289" s="576"/>
      <c r="BT289" s="576"/>
      <c r="BU289" s="576"/>
      <c r="BV289" s="576"/>
      <c r="BW289" s="576"/>
      <c r="BX289" s="576"/>
      <c r="BY289" s="576"/>
      <c r="BZ289" s="576"/>
      <c r="CA289" s="576"/>
      <c r="CB289" s="576"/>
      <c r="CC289" s="576"/>
      <c r="CD289" s="576"/>
      <c r="CE289" s="576"/>
      <c r="CF289" s="576"/>
      <c r="CG289" s="576"/>
      <c r="CH289" s="576"/>
      <c r="CI289" s="576"/>
      <c r="CJ289" s="576"/>
      <c r="CK289" s="576"/>
      <c r="CL289" s="576"/>
      <c r="CM289" s="576"/>
      <c r="CN289" s="576"/>
      <c r="CO289" s="576"/>
      <c r="CP289" s="576"/>
      <c r="CQ289" s="576"/>
      <c r="CR289" s="576"/>
      <c r="CS289" s="576"/>
      <c r="CT289" s="576"/>
      <c r="CU289" s="576"/>
      <c r="CV289" s="576"/>
      <c r="CW289" s="576"/>
      <c r="CX289" s="576"/>
      <c r="CY289" s="576"/>
      <c r="CZ289" s="576"/>
      <c r="DA289" s="576"/>
      <c r="DB289" s="576"/>
      <c r="DC289" s="576"/>
      <c r="DD289" s="576"/>
      <c r="DE289" s="576"/>
      <c r="DF289" s="576"/>
      <c r="DG289" s="576"/>
      <c r="DH289" s="116"/>
      <c r="DI289" s="112"/>
      <c r="DJ289">
        <f ca="1">INDIRECT(ADDRESS(ROW()+1,COLUMN(Arbeitszeit!xDay),,,"Arbeitszeit"))</f>
        <v>1</v>
      </c>
    </row>
    <row r="290" spans="1:114">
      <c r="A290" s="462">
        <f>Arbeitszeit!A291</f>
        <v>45119</v>
      </c>
      <c r="B290" s="463">
        <f t="shared" si="17"/>
        <v>45119</v>
      </c>
      <c r="C290" s="146">
        <f t="shared" si="18"/>
        <v>28</v>
      </c>
      <c r="D290" s="145">
        <f t="shared" si="19"/>
        <v>45107</v>
      </c>
      <c r="E290" s="510">
        <f>Arbeitszeit!V291*24</f>
        <v>0</v>
      </c>
      <c r="F290" s="574">
        <f t="shared" si="16"/>
        <v>0</v>
      </c>
      <c r="G290" s="113">
        <f>IF(Arbeitszeit!F291=Urlaub,B_WorkTime*24,)</f>
        <v>0</v>
      </c>
      <c r="H290" s="111"/>
      <c r="I290" s="113">
        <f>IF(Arbeitszeit!F291=Krank,B_WorkTime*24,)</f>
        <v>0</v>
      </c>
      <c r="J290" s="111"/>
      <c r="K290" s="114"/>
      <c r="L290" s="115"/>
      <c r="M290" s="498"/>
      <c r="N290" s="499"/>
      <c r="O290" s="498"/>
      <c r="P290" s="499"/>
      <c r="Q290" s="498"/>
      <c r="R290" s="499"/>
      <c r="S290" s="498"/>
      <c r="T290" s="499"/>
      <c r="U290" s="498"/>
      <c r="V290" s="499"/>
      <c r="W290" s="498"/>
      <c r="X290" s="499"/>
      <c r="Y290" s="498"/>
      <c r="Z290" s="499"/>
      <c r="AA290" s="498"/>
      <c r="AB290" s="499"/>
      <c r="AC290" s="498"/>
      <c r="AD290" s="499"/>
      <c r="AE290" s="498"/>
      <c r="AF290" s="500"/>
      <c r="AG290" s="498"/>
      <c r="AH290" s="500"/>
      <c r="AI290" s="498"/>
      <c r="AJ290" s="500"/>
      <c r="AK290" s="498"/>
      <c r="AL290" s="500"/>
      <c r="AM290" s="501"/>
      <c r="AN290" s="500"/>
      <c r="AO290" s="498"/>
      <c r="AP290" s="500"/>
      <c r="AQ290" s="501"/>
      <c r="AR290" s="500"/>
      <c r="AS290" s="500"/>
      <c r="AT290" s="500"/>
      <c r="AU290" s="501"/>
      <c r="AV290" s="500"/>
      <c r="AW290" s="500"/>
      <c r="AX290" s="500"/>
      <c r="AY290" s="576"/>
      <c r="AZ290" s="576"/>
      <c r="BA290" s="576"/>
      <c r="BB290" s="576"/>
      <c r="BC290" s="576"/>
      <c r="BD290" s="576"/>
      <c r="BE290" s="576"/>
      <c r="BF290" s="576"/>
      <c r="BG290" s="576"/>
      <c r="BH290" s="576"/>
      <c r="BI290" s="576"/>
      <c r="BJ290" s="576"/>
      <c r="BK290" s="576"/>
      <c r="BL290" s="576"/>
      <c r="BM290" s="576"/>
      <c r="BN290" s="576"/>
      <c r="BO290" s="576"/>
      <c r="BP290" s="576"/>
      <c r="BQ290" s="576"/>
      <c r="BR290" s="576"/>
      <c r="BS290" s="576"/>
      <c r="BT290" s="576"/>
      <c r="BU290" s="576"/>
      <c r="BV290" s="576"/>
      <c r="BW290" s="576"/>
      <c r="BX290" s="576"/>
      <c r="BY290" s="576"/>
      <c r="BZ290" s="576"/>
      <c r="CA290" s="576"/>
      <c r="CB290" s="576"/>
      <c r="CC290" s="576"/>
      <c r="CD290" s="576"/>
      <c r="CE290" s="576"/>
      <c r="CF290" s="576"/>
      <c r="CG290" s="576"/>
      <c r="CH290" s="576"/>
      <c r="CI290" s="576"/>
      <c r="CJ290" s="576"/>
      <c r="CK290" s="576"/>
      <c r="CL290" s="576"/>
      <c r="CM290" s="576"/>
      <c r="CN290" s="576"/>
      <c r="CO290" s="576"/>
      <c r="CP290" s="576"/>
      <c r="CQ290" s="576"/>
      <c r="CR290" s="576"/>
      <c r="CS290" s="576"/>
      <c r="CT290" s="576"/>
      <c r="CU290" s="576"/>
      <c r="CV290" s="576"/>
      <c r="CW290" s="576"/>
      <c r="CX290" s="576"/>
      <c r="CY290" s="576"/>
      <c r="CZ290" s="576"/>
      <c r="DA290" s="576"/>
      <c r="DB290" s="576"/>
      <c r="DC290" s="576"/>
      <c r="DD290" s="576"/>
      <c r="DE290" s="576"/>
      <c r="DF290" s="576"/>
      <c r="DG290" s="576"/>
      <c r="DH290" s="116"/>
      <c r="DI290" s="112"/>
      <c r="DJ290">
        <f ca="1">INDIRECT(ADDRESS(ROW()+1,COLUMN(Arbeitszeit!xDay),,,"Arbeitszeit"))</f>
        <v>2</v>
      </c>
    </row>
    <row r="291" spans="1:114">
      <c r="A291" s="462">
        <f>Arbeitszeit!A292</f>
        <v>45120</v>
      </c>
      <c r="B291" s="463">
        <f t="shared" si="17"/>
        <v>45120</v>
      </c>
      <c r="C291" s="146">
        <f t="shared" si="18"/>
        <v>28</v>
      </c>
      <c r="D291" s="145">
        <f t="shared" si="19"/>
        <v>45107</v>
      </c>
      <c r="E291" s="510">
        <f>Arbeitszeit!V292*24</f>
        <v>0</v>
      </c>
      <c r="F291" s="574">
        <f t="shared" si="16"/>
        <v>0</v>
      </c>
      <c r="G291" s="113">
        <f>IF(Arbeitszeit!F292=Urlaub,B_WorkTime*24,)</f>
        <v>0</v>
      </c>
      <c r="H291" s="111"/>
      <c r="I291" s="113">
        <f>IF(Arbeitszeit!F292=Krank,B_WorkTime*24,)</f>
        <v>0</v>
      </c>
      <c r="J291" s="111"/>
      <c r="K291" s="114"/>
      <c r="L291" s="115"/>
      <c r="M291" s="498"/>
      <c r="N291" s="499"/>
      <c r="O291" s="498"/>
      <c r="P291" s="499"/>
      <c r="Q291" s="498"/>
      <c r="R291" s="499"/>
      <c r="S291" s="498"/>
      <c r="T291" s="499"/>
      <c r="U291" s="498"/>
      <c r="V291" s="499"/>
      <c r="W291" s="498"/>
      <c r="X291" s="499"/>
      <c r="Y291" s="498"/>
      <c r="Z291" s="499"/>
      <c r="AA291" s="498"/>
      <c r="AB291" s="499"/>
      <c r="AC291" s="498"/>
      <c r="AD291" s="499"/>
      <c r="AE291" s="498"/>
      <c r="AF291" s="500"/>
      <c r="AG291" s="498"/>
      <c r="AH291" s="500"/>
      <c r="AI291" s="498"/>
      <c r="AJ291" s="500"/>
      <c r="AK291" s="498"/>
      <c r="AL291" s="500"/>
      <c r="AM291" s="501"/>
      <c r="AN291" s="500"/>
      <c r="AO291" s="498"/>
      <c r="AP291" s="500"/>
      <c r="AQ291" s="501"/>
      <c r="AR291" s="500"/>
      <c r="AS291" s="500"/>
      <c r="AT291" s="500"/>
      <c r="AU291" s="501"/>
      <c r="AV291" s="500"/>
      <c r="AW291" s="500"/>
      <c r="AX291" s="500"/>
      <c r="AY291" s="576"/>
      <c r="AZ291" s="576"/>
      <c r="BA291" s="576"/>
      <c r="BB291" s="576"/>
      <c r="BC291" s="576"/>
      <c r="BD291" s="576"/>
      <c r="BE291" s="576"/>
      <c r="BF291" s="576"/>
      <c r="BG291" s="576"/>
      <c r="BH291" s="576"/>
      <c r="BI291" s="576"/>
      <c r="BJ291" s="576"/>
      <c r="BK291" s="576"/>
      <c r="BL291" s="576"/>
      <c r="BM291" s="576"/>
      <c r="BN291" s="576"/>
      <c r="BO291" s="576"/>
      <c r="BP291" s="576"/>
      <c r="BQ291" s="576"/>
      <c r="BR291" s="576"/>
      <c r="BS291" s="576"/>
      <c r="BT291" s="576"/>
      <c r="BU291" s="576"/>
      <c r="BV291" s="576"/>
      <c r="BW291" s="576"/>
      <c r="BX291" s="576"/>
      <c r="BY291" s="576"/>
      <c r="BZ291" s="576"/>
      <c r="CA291" s="576"/>
      <c r="CB291" s="576"/>
      <c r="CC291" s="576"/>
      <c r="CD291" s="576"/>
      <c r="CE291" s="576"/>
      <c r="CF291" s="576"/>
      <c r="CG291" s="576"/>
      <c r="CH291" s="576"/>
      <c r="CI291" s="576"/>
      <c r="CJ291" s="576"/>
      <c r="CK291" s="576"/>
      <c r="CL291" s="576"/>
      <c r="CM291" s="576"/>
      <c r="CN291" s="576"/>
      <c r="CO291" s="576"/>
      <c r="CP291" s="576"/>
      <c r="CQ291" s="576"/>
      <c r="CR291" s="576"/>
      <c r="CS291" s="576"/>
      <c r="CT291" s="576"/>
      <c r="CU291" s="576"/>
      <c r="CV291" s="576"/>
      <c r="CW291" s="576"/>
      <c r="CX291" s="576"/>
      <c r="CY291" s="576"/>
      <c r="CZ291" s="576"/>
      <c r="DA291" s="576"/>
      <c r="DB291" s="576"/>
      <c r="DC291" s="576"/>
      <c r="DD291" s="576"/>
      <c r="DE291" s="576"/>
      <c r="DF291" s="576"/>
      <c r="DG291" s="576"/>
      <c r="DH291" s="116"/>
      <c r="DI291" s="112"/>
      <c r="DJ291">
        <f ca="1">INDIRECT(ADDRESS(ROW()+1,COLUMN(Arbeitszeit!xDay),,,"Arbeitszeit"))</f>
        <v>3</v>
      </c>
    </row>
    <row r="292" spans="1:114">
      <c r="A292" s="462">
        <f>Arbeitszeit!A293</f>
        <v>45121</v>
      </c>
      <c r="B292" s="463">
        <f t="shared" si="17"/>
        <v>45121</v>
      </c>
      <c r="C292" s="146">
        <f t="shared" si="18"/>
        <v>28</v>
      </c>
      <c r="D292" s="145">
        <f t="shared" si="19"/>
        <v>45107</v>
      </c>
      <c r="E292" s="510">
        <f>Arbeitszeit!V293*24</f>
        <v>0</v>
      </c>
      <c r="F292" s="574">
        <f t="shared" si="16"/>
        <v>0</v>
      </c>
      <c r="G292" s="113">
        <f>IF(Arbeitszeit!F293=Urlaub,B_WorkTime*24,)</f>
        <v>0</v>
      </c>
      <c r="H292" s="111"/>
      <c r="I292" s="113">
        <f>IF(Arbeitszeit!F293=Krank,B_WorkTime*24,)</f>
        <v>0</v>
      </c>
      <c r="J292" s="111"/>
      <c r="K292" s="114"/>
      <c r="L292" s="115"/>
      <c r="M292" s="498"/>
      <c r="N292" s="499"/>
      <c r="O292" s="498"/>
      <c r="P292" s="499"/>
      <c r="Q292" s="498"/>
      <c r="R292" s="499"/>
      <c r="S292" s="498"/>
      <c r="T292" s="499"/>
      <c r="U292" s="498"/>
      <c r="V292" s="499"/>
      <c r="W292" s="498"/>
      <c r="X292" s="499"/>
      <c r="Y292" s="498"/>
      <c r="Z292" s="499"/>
      <c r="AA292" s="498"/>
      <c r="AB292" s="499"/>
      <c r="AC292" s="498"/>
      <c r="AD292" s="499"/>
      <c r="AE292" s="498"/>
      <c r="AF292" s="500"/>
      <c r="AG292" s="498"/>
      <c r="AH292" s="500"/>
      <c r="AI292" s="498"/>
      <c r="AJ292" s="500"/>
      <c r="AK292" s="498"/>
      <c r="AL292" s="500"/>
      <c r="AM292" s="501"/>
      <c r="AN292" s="500"/>
      <c r="AO292" s="498"/>
      <c r="AP292" s="500"/>
      <c r="AQ292" s="501"/>
      <c r="AR292" s="500"/>
      <c r="AS292" s="500"/>
      <c r="AT292" s="500"/>
      <c r="AU292" s="501"/>
      <c r="AV292" s="500"/>
      <c r="AW292" s="500"/>
      <c r="AX292" s="500"/>
      <c r="AY292" s="576"/>
      <c r="AZ292" s="576"/>
      <c r="BA292" s="576"/>
      <c r="BB292" s="576"/>
      <c r="BC292" s="576"/>
      <c r="BD292" s="576"/>
      <c r="BE292" s="576"/>
      <c r="BF292" s="576"/>
      <c r="BG292" s="576"/>
      <c r="BH292" s="576"/>
      <c r="BI292" s="576"/>
      <c r="BJ292" s="576"/>
      <c r="BK292" s="576"/>
      <c r="BL292" s="576"/>
      <c r="BM292" s="576"/>
      <c r="BN292" s="576"/>
      <c r="BO292" s="576"/>
      <c r="BP292" s="576"/>
      <c r="BQ292" s="576"/>
      <c r="BR292" s="576"/>
      <c r="BS292" s="576"/>
      <c r="BT292" s="576"/>
      <c r="BU292" s="576"/>
      <c r="BV292" s="576"/>
      <c r="BW292" s="576"/>
      <c r="BX292" s="576"/>
      <c r="BY292" s="576"/>
      <c r="BZ292" s="576"/>
      <c r="CA292" s="576"/>
      <c r="CB292" s="576"/>
      <c r="CC292" s="576"/>
      <c r="CD292" s="576"/>
      <c r="CE292" s="576"/>
      <c r="CF292" s="576"/>
      <c r="CG292" s="576"/>
      <c r="CH292" s="576"/>
      <c r="CI292" s="576"/>
      <c r="CJ292" s="576"/>
      <c r="CK292" s="576"/>
      <c r="CL292" s="576"/>
      <c r="CM292" s="576"/>
      <c r="CN292" s="576"/>
      <c r="CO292" s="576"/>
      <c r="CP292" s="576"/>
      <c r="CQ292" s="576"/>
      <c r="CR292" s="576"/>
      <c r="CS292" s="576"/>
      <c r="CT292" s="576"/>
      <c r="CU292" s="576"/>
      <c r="CV292" s="576"/>
      <c r="CW292" s="576"/>
      <c r="CX292" s="576"/>
      <c r="CY292" s="576"/>
      <c r="CZ292" s="576"/>
      <c r="DA292" s="576"/>
      <c r="DB292" s="576"/>
      <c r="DC292" s="576"/>
      <c r="DD292" s="576"/>
      <c r="DE292" s="576"/>
      <c r="DF292" s="576"/>
      <c r="DG292" s="576"/>
      <c r="DH292" s="116"/>
      <c r="DI292" s="112"/>
      <c r="DJ292">
        <f ca="1">INDIRECT(ADDRESS(ROW()+1,COLUMN(Arbeitszeit!xDay),,,"Arbeitszeit"))</f>
        <v>4</v>
      </c>
    </row>
    <row r="293" spans="1:114">
      <c r="A293" s="462">
        <f>Arbeitszeit!A294</f>
        <v>45122</v>
      </c>
      <c r="B293" s="463">
        <f t="shared" si="17"/>
        <v>45122</v>
      </c>
      <c r="C293" s="146">
        <f t="shared" si="18"/>
        <v>28</v>
      </c>
      <c r="D293" s="145">
        <f t="shared" si="19"/>
        <v>45107</v>
      </c>
      <c r="E293" s="510">
        <f>Arbeitszeit!V294*24</f>
        <v>0</v>
      </c>
      <c r="F293" s="574">
        <f t="shared" si="16"/>
        <v>0</v>
      </c>
      <c r="G293" s="113">
        <f>IF(Arbeitszeit!F294=Urlaub,B_WorkTime*24,)</f>
        <v>0</v>
      </c>
      <c r="H293" s="111"/>
      <c r="I293" s="113">
        <f>IF(Arbeitszeit!F294=Krank,B_WorkTime*24,)</f>
        <v>0</v>
      </c>
      <c r="J293" s="111"/>
      <c r="K293" s="114"/>
      <c r="L293" s="115"/>
      <c r="M293" s="498"/>
      <c r="N293" s="499"/>
      <c r="O293" s="498"/>
      <c r="P293" s="499"/>
      <c r="Q293" s="498"/>
      <c r="R293" s="499"/>
      <c r="S293" s="498"/>
      <c r="T293" s="499"/>
      <c r="U293" s="498"/>
      <c r="V293" s="499"/>
      <c r="W293" s="498"/>
      <c r="X293" s="499"/>
      <c r="Y293" s="498"/>
      <c r="Z293" s="499"/>
      <c r="AA293" s="498"/>
      <c r="AB293" s="499"/>
      <c r="AC293" s="498"/>
      <c r="AD293" s="499"/>
      <c r="AE293" s="498"/>
      <c r="AF293" s="500"/>
      <c r="AG293" s="498"/>
      <c r="AH293" s="500"/>
      <c r="AI293" s="498"/>
      <c r="AJ293" s="500"/>
      <c r="AK293" s="498"/>
      <c r="AL293" s="500"/>
      <c r="AM293" s="501"/>
      <c r="AN293" s="500"/>
      <c r="AO293" s="498"/>
      <c r="AP293" s="500"/>
      <c r="AQ293" s="501"/>
      <c r="AR293" s="500"/>
      <c r="AS293" s="500"/>
      <c r="AT293" s="500"/>
      <c r="AU293" s="501"/>
      <c r="AV293" s="500"/>
      <c r="AW293" s="500"/>
      <c r="AX293" s="500"/>
      <c r="AY293" s="576"/>
      <c r="AZ293" s="576"/>
      <c r="BA293" s="576"/>
      <c r="BB293" s="576"/>
      <c r="BC293" s="576"/>
      <c r="BD293" s="576"/>
      <c r="BE293" s="576"/>
      <c r="BF293" s="576"/>
      <c r="BG293" s="576"/>
      <c r="BH293" s="576"/>
      <c r="BI293" s="576"/>
      <c r="BJ293" s="576"/>
      <c r="BK293" s="576"/>
      <c r="BL293" s="576"/>
      <c r="BM293" s="576"/>
      <c r="BN293" s="576"/>
      <c r="BO293" s="576"/>
      <c r="BP293" s="576"/>
      <c r="BQ293" s="576"/>
      <c r="BR293" s="576"/>
      <c r="BS293" s="576"/>
      <c r="BT293" s="576"/>
      <c r="BU293" s="576"/>
      <c r="BV293" s="576"/>
      <c r="BW293" s="576"/>
      <c r="BX293" s="576"/>
      <c r="BY293" s="576"/>
      <c r="BZ293" s="576"/>
      <c r="CA293" s="576"/>
      <c r="CB293" s="576"/>
      <c r="CC293" s="576"/>
      <c r="CD293" s="576"/>
      <c r="CE293" s="576"/>
      <c r="CF293" s="576"/>
      <c r="CG293" s="576"/>
      <c r="CH293" s="576"/>
      <c r="CI293" s="576"/>
      <c r="CJ293" s="576"/>
      <c r="CK293" s="576"/>
      <c r="CL293" s="576"/>
      <c r="CM293" s="576"/>
      <c r="CN293" s="576"/>
      <c r="CO293" s="576"/>
      <c r="CP293" s="576"/>
      <c r="CQ293" s="576"/>
      <c r="CR293" s="576"/>
      <c r="CS293" s="576"/>
      <c r="CT293" s="576"/>
      <c r="CU293" s="576"/>
      <c r="CV293" s="576"/>
      <c r="CW293" s="576"/>
      <c r="CX293" s="576"/>
      <c r="CY293" s="576"/>
      <c r="CZ293" s="576"/>
      <c r="DA293" s="576"/>
      <c r="DB293" s="576"/>
      <c r="DC293" s="576"/>
      <c r="DD293" s="576"/>
      <c r="DE293" s="576"/>
      <c r="DF293" s="576"/>
      <c r="DG293" s="576"/>
      <c r="DH293" s="116"/>
      <c r="DI293" s="112"/>
      <c r="DJ293">
        <f ca="1">INDIRECT(ADDRESS(ROW()+1,COLUMN(Arbeitszeit!xDay),,,"Arbeitszeit"))</f>
        <v>5</v>
      </c>
    </row>
    <row r="294" spans="1:114">
      <c r="A294" s="462">
        <f>Arbeitszeit!A295</f>
        <v>45123</v>
      </c>
      <c r="B294" s="463">
        <f t="shared" si="17"/>
        <v>45123</v>
      </c>
      <c r="C294" s="146">
        <f t="shared" si="18"/>
        <v>28</v>
      </c>
      <c r="D294" s="145">
        <f t="shared" si="19"/>
        <v>45107</v>
      </c>
      <c r="E294" s="510">
        <f>Arbeitszeit!V295*24</f>
        <v>0</v>
      </c>
      <c r="F294" s="574">
        <f t="shared" si="16"/>
        <v>0</v>
      </c>
      <c r="G294" s="113">
        <f>IF(Arbeitszeit!F295=Urlaub,B_WorkTime*24,)</f>
        <v>0</v>
      </c>
      <c r="H294" s="111"/>
      <c r="I294" s="113">
        <f>IF(Arbeitszeit!F295=Krank,B_WorkTime*24,)</f>
        <v>0</v>
      </c>
      <c r="J294" s="111"/>
      <c r="K294" s="114"/>
      <c r="L294" s="115"/>
      <c r="M294" s="498"/>
      <c r="N294" s="499"/>
      <c r="O294" s="498"/>
      <c r="P294" s="499"/>
      <c r="Q294" s="498"/>
      <c r="R294" s="499"/>
      <c r="S294" s="498"/>
      <c r="T294" s="499"/>
      <c r="U294" s="498"/>
      <c r="V294" s="499"/>
      <c r="W294" s="498"/>
      <c r="X294" s="499"/>
      <c r="Y294" s="498"/>
      <c r="Z294" s="499"/>
      <c r="AA294" s="498"/>
      <c r="AB294" s="499"/>
      <c r="AC294" s="498"/>
      <c r="AD294" s="499"/>
      <c r="AE294" s="498"/>
      <c r="AF294" s="500"/>
      <c r="AG294" s="498"/>
      <c r="AH294" s="500"/>
      <c r="AI294" s="498"/>
      <c r="AJ294" s="500"/>
      <c r="AK294" s="498"/>
      <c r="AL294" s="500"/>
      <c r="AM294" s="501"/>
      <c r="AN294" s="500"/>
      <c r="AO294" s="498"/>
      <c r="AP294" s="500"/>
      <c r="AQ294" s="501"/>
      <c r="AR294" s="500"/>
      <c r="AS294" s="500"/>
      <c r="AT294" s="500"/>
      <c r="AU294" s="501"/>
      <c r="AV294" s="500"/>
      <c r="AW294" s="500"/>
      <c r="AX294" s="500"/>
      <c r="AY294" s="576"/>
      <c r="AZ294" s="576"/>
      <c r="BA294" s="576"/>
      <c r="BB294" s="576"/>
      <c r="BC294" s="576"/>
      <c r="BD294" s="576"/>
      <c r="BE294" s="576"/>
      <c r="BF294" s="576"/>
      <c r="BG294" s="576"/>
      <c r="BH294" s="576"/>
      <c r="BI294" s="576"/>
      <c r="BJ294" s="576"/>
      <c r="BK294" s="576"/>
      <c r="BL294" s="576"/>
      <c r="BM294" s="576"/>
      <c r="BN294" s="576"/>
      <c r="BO294" s="576"/>
      <c r="BP294" s="576"/>
      <c r="BQ294" s="576"/>
      <c r="BR294" s="576"/>
      <c r="BS294" s="576"/>
      <c r="BT294" s="576"/>
      <c r="BU294" s="576"/>
      <c r="BV294" s="576"/>
      <c r="BW294" s="576"/>
      <c r="BX294" s="576"/>
      <c r="BY294" s="576"/>
      <c r="BZ294" s="576"/>
      <c r="CA294" s="576"/>
      <c r="CB294" s="576"/>
      <c r="CC294" s="576"/>
      <c r="CD294" s="576"/>
      <c r="CE294" s="576"/>
      <c r="CF294" s="576"/>
      <c r="CG294" s="576"/>
      <c r="CH294" s="576"/>
      <c r="CI294" s="576"/>
      <c r="CJ294" s="576"/>
      <c r="CK294" s="576"/>
      <c r="CL294" s="576"/>
      <c r="CM294" s="576"/>
      <c r="CN294" s="576"/>
      <c r="CO294" s="576"/>
      <c r="CP294" s="576"/>
      <c r="CQ294" s="576"/>
      <c r="CR294" s="576"/>
      <c r="CS294" s="576"/>
      <c r="CT294" s="576"/>
      <c r="CU294" s="576"/>
      <c r="CV294" s="576"/>
      <c r="CW294" s="576"/>
      <c r="CX294" s="576"/>
      <c r="CY294" s="576"/>
      <c r="CZ294" s="576"/>
      <c r="DA294" s="576"/>
      <c r="DB294" s="576"/>
      <c r="DC294" s="576"/>
      <c r="DD294" s="576"/>
      <c r="DE294" s="576"/>
      <c r="DF294" s="576"/>
      <c r="DG294" s="576"/>
      <c r="DH294" s="116"/>
      <c r="DI294" s="112"/>
      <c r="DJ294">
        <f ca="1">INDIRECT(ADDRESS(ROW()+1,COLUMN(Arbeitszeit!xDay),,,"Arbeitszeit"))</f>
        <v>6</v>
      </c>
    </row>
    <row r="295" spans="1:114">
      <c r="A295" s="462">
        <f>Arbeitszeit!A296</f>
        <v>45124</v>
      </c>
      <c r="B295" s="463">
        <f t="shared" si="17"/>
        <v>45124</v>
      </c>
      <c r="C295" s="146">
        <f t="shared" si="18"/>
        <v>28</v>
      </c>
      <c r="D295" s="145">
        <f t="shared" si="19"/>
        <v>45107</v>
      </c>
      <c r="E295" s="510">
        <f>Arbeitszeit!V296*24</f>
        <v>0</v>
      </c>
      <c r="F295" s="574">
        <f t="shared" si="16"/>
        <v>0</v>
      </c>
      <c r="G295" s="113">
        <f>IF(Arbeitszeit!F296=Urlaub,B_WorkTime*24,)</f>
        <v>0</v>
      </c>
      <c r="H295" s="111"/>
      <c r="I295" s="113">
        <f>IF(Arbeitszeit!F296=Krank,B_WorkTime*24,)</f>
        <v>0</v>
      </c>
      <c r="J295" s="111"/>
      <c r="K295" s="114"/>
      <c r="L295" s="115"/>
      <c r="M295" s="498"/>
      <c r="N295" s="499"/>
      <c r="O295" s="498"/>
      <c r="P295" s="499"/>
      <c r="Q295" s="498"/>
      <c r="R295" s="499"/>
      <c r="S295" s="498"/>
      <c r="T295" s="499"/>
      <c r="U295" s="498"/>
      <c r="V295" s="499"/>
      <c r="W295" s="498"/>
      <c r="X295" s="499"/>
      <c r="Y295" s="498"/>
      <c r="Z295" s="499"/>
      <c r="AA295" s="498"/>
      <c r="AB295" s="499"/>
      <c r="AC295" s="498"/>
      <c r="AD295" s="499"/>
      <c r="AE295" s="498"/>
      <c r="AF295" s="500"/>
      <c r="AG295" s="498"/>
      <c r="AH295" s="500"/>
      <c r="AI295" s="498"/>
      <c r="AJ295" s="500"/>
      <c r="AK295" s="498"/>
      <c r="AL295" s="500"/>
      <c r="AM295" s="501"/>
      <c r="AN295" s="500"/>
      <c r="AO295" s="498"/>
      <c r="AP295" s="500"/>
      <c r="AQ295" s="501"/>
      <c r="AR295" s="500"/>
      <c r="AS295" s="500"/>
      <c r="AT295" s="500"/>
      <c r="AU295" s="501"/>
      <c r="AV295" s="500"/>
      <c r="AW295" s="500"/>
      <c r="AX295" s="500"/>
      <c r="AY295" s="576"/>
      <c r="AZ295" s="576"/>
      <c r="BA295" s="576"/>
      <c r="BB295" s="576"/>
      <c r="BC295" s="576"/>
      <c r="BD295" s="576"/>
      <c r="BE295" s="576"/>
      <c r="BF295" s="576"/>
      <c r="BG295" s="576"/>
      <c r="BH295" s="576"/>
      <c r="BI295" s="576"/>
      <c r="BJ295" s="576"/>
      <c r="BK295" s="576"/>
      <c r="BL295" s="576"/>
      <c r="BM295" s="576"/>
      <c r="BN295" s="576"/>
      <c r="BO295" s="576"/>
      <c r="BP295" s="576"/>
      <c r="BQ295" s="576"/>
      <c r="BR295" s="576"/>
      <c r="BS295" s="576"/>
      <c r="BT295" s="576"/>
      <c r="BU295" s="576"/>
      <c r="BV295" s="576"/>
      <c r="BW295" s="576"/>
      <c r="BX295" s="576"/>
      <c r="BY295" s="576"/>
      <c r="BZ295" s="576"/>
      <c r="CA295" s="576"/>
      <c r="CB295" s="576"/>
      <c r="CC295" s="576"/>
      <c r="CD295" s="576"/>
      <c r="CE295" s="576"/>
      <c r="CF295" s="576"/>
      <c r="CG295" s="576"/>
      <c r="CH295" s="576"/>
      <c r="CI295" s="576"/>
      <c r="CJ295" s="576"/>
      <c r="CK295" s="576"/>
      <c r="CL295" s="576"/>
      <c r="CM295" s="576"/>
      <c r="CN295" s="576"/>
      <c r="CO295" s="576"/>
      <c r="CP295" s="576"/>
      <c r="CQ295" s="576"/>
      <c r="CR295" s="576"/>
      <c r="CS295" s="576"/>
      <c r="CT295" s="576"/>
      <c r="CU295" s="576"/>
      <c r="CV295" s="576"/>
      <c r="CW295" s="576"/>
      <c r="CX295" s="576"/>
      <c r="CY295" s="576"/>
      <c r="CZ295" s="576"/>
      <c r="DA295" s="576"/>
      <c r="DB295" s="576"/>
      <c r="DC295" s="576"/>
      <c r="DD295" s="576"/>
      <c r="DE295" s="576"/>
      <c r="DF295" s="576"/>
      <c r="DG295" s="576"/>
      <c r="DH295" s="116"/>
      <c r="DI295" s="112"/>
      <c r="DJ295">
        <f ca="1">INDIRECT(ADDRESS(ROW()+1,COLUMN(Arbeitszeit!xDay),,,"Arbeitszeit"))</f>
        <v>7</v>
      </c>
    </row>
    <row r="296" spans="1:114">
      <c r="A296" s="462">
        <f>Arbeitszeit!A297</f>
        <v>45125</v>
      </c>
      <c r="B296" s="463">
        <f t="shared" si="17"/>
        <v>45125</v>
      </c>
      <c r="C296" s="146">
        <f t="shared" si="18"/>
        <v>29</v>
      </c>
      <c r="D296" s="145">
        <f t="shared" si="19"/>
        <v>45107</v>
      </c>
      <c r="E296" s="510">
        <f>Arbeitszeit!V297*24</f>
        <v>0</v>
      </c>
      <c r="F296" s="574">
        <f t="shared" si="16"/>
        <v>0</v>
      </c>
      <c r="G296" s="113">
        <f>IF(Arbeitszeit!F297=Urlaub,B_WorkTime*24,)</f>
        <v>0</v>
      </c>
      <c r="H296" s="111"/>
      <c r="I296" s="113">
        <f>IF(Arbeitszeit!F297=Krank,B_WorkTime*24,)</f>
        <v>0</v>
      </c>
      <c r="J296" s="111"/>
      <c r="K296" s="114"/>
      <c r="L296" s="115"/>
      <c r="M296" s="498"/>
      <c r="N296" s="499"/>
      <c r="O296" s="498"/>
      <c r="P296" s="499"/>
      <c r="Q296" s="498"/>
      <c r="R296" s="499"/>
      <c r="S296" s="498"/>
      <c r="T296" s="499"/>
      <c r="U296" s="498"/>
      <c r="V296" s="499"/>
      <c r="W296" s="498"/>
      <c r="X296" s="499"/>
      <c r="Y296" s="498"/>
      <c r="Z296" s="499"/>
      <c r="AA296" s="498"/>
      <c r="AB296" s="499"/>
      <c r="AC296" s="498"/>
      <c r="AD296" s="499"/>
      <c r="AE296" s="498"/>
      <c r="AF296" s="500"/>
      <c r="AG296" s="498"/>
      <c r="AH296" s="500"/>
      <c r="AI296" s="498"/>
      <c r="AJ296" s="500"/>
      <c r="AK296" s="498"/>
      <c r="AL296" s="500"/>
      <c r="AM296" s="501"/>
      <c r="AN296" s="500"/>
      <c r="AO296" s="498"/>
      <c r="AP296" s="500"/>
      <c r="AQ296" s="501"/>
      <c r="AR296" s="500"/>
      <c r="AS296" s="500"/>
      <c r="AT296" s="500"/>
      <c r="AU296" s="501"/>
      <c r="AV296" s="500"/>
      <c r="AW296" s="500"/>
      <c r="AX296" s="500"/>
      <c r="AY296" s="576"/>
      <c r="AZ296" s="576"/>
      <c r="BA296" s="576"/>
      <c r="BB296" s="576"/>
      <c r="BC296" s="576"/>
      <c r="BD296" s="576"/>
      <c r="BE296" s="576"/>
      <c r="BF296" s="576"/>
      <c r="BG296" s="576"/>
      <c r="BH296" s="576"/>
      <c r="BI296" s="576"/>
      <c r="BJ296" s="576"/>
      <c r="BK296" s="576"/>
      <c r="BL296" s="576"/>
      <c r="BM296" s="576"/>
      <c r="BN296" s="576"/>
      <c r="BO296" s="576"/>
      <c r="BP296" s="576"/>
      <c r="BQ296" s="576"/>
      <c r="BR296" s="576"/>
      <c r="BS296" s="576"/>
      <c r="BT296" s="576"/>
      <c r="BU296" s="576"/>
      <c r="BV296" s="576"/>
      <c r="BW296" s="576"/>
      <c r="BX296" s="576"/>
      <c r="BY296" s="576"/>
      <c r="BZ296" s="576"/>
      <c r="CA296" s="576"/>
      <c r="CB296" s="576"/>
      <c r="CC296" s="576"/>
      <c r="CD296" s="576"/>
      <c r="CE296" s="576"/>
      <c r="CF296" s="576"/>
      <c r="CG296" s="576"/>
      <c r="CH296" s="576"/>
      <c r="CI296" s="576"/>
      <c r="CJ296" s="576"/>
      <c r="CK296" s="576"/>
      <c r="CL296" s="576"/>
      <c r="CM296" s="576"/>
      <c r="CN296" s="576"/>
      <c r="CO296" s="576"/>
      <c r="CP296" s="576"/>
      <c r="CQ296" s="576"/>
      <c r="CR296" s="576"/>
      <c r="CS296" s="576"/>
      <c r="CT296" s="576"/>
      <c r="CU296" s="576"/>
      <c r="CV296" s="576"/>
      <c r="CW296" s="576"/>
      <c r="CX296" s="576"/>
      <c r="CY296" s="576"/>
      <c r="CZ296" s="576"/>
      <c r="DA296" s="576"/>
      <c r="DB296" s="576"/>
      <c r="DC296" s="576"/>
      <c r="DD296" s="576"/>
      <c r="DE296" s="576"/>
      <c r="DF296" s="576"/>
      <c r="DG296" s="576"/>
      <c r="DH296" s="116"/>
      <c r="DI296" s="112"/>
      <c r="DJ296">
        <f ca="1">INDIRECT(ADDRESS(ROW()+1,COLUMN(Arbeitszeit!xDay),,,"Arbeitszeit"))</f>
        <v>1</v>
      </c>
    </row>
    <row r="297" spans="1:114">
      <c r="A297" s="462">
        <f>Arbeitszeit!A298</f>
        <v>45126</v>
      </c>
      <c r="B297" s="463">
        <f t="shared" si="17"/>
        <v>45126</v>
      </c>
      <c r="C297" s="146">
        <f t="shared" si="18"/>
        <v>29</v>
      </c>
      <c r="D297" s="145">
        <f t="shared" si="19"/>
        <v>45107</v>
      </c>
      <c r="E297" s="510">
        <f>Arbeitszeit!V298*24</f>
        <v>0</v>
      </c>
      <c r="F297" s="574">
        <f t="shared" si="16"/>
        <v>0</v>
      </c>
      <c r="G297" s="113">
        <f>IF(Arbeitszeit!F298=Urlaub,B_WorkTime*24,)</f>
        <v>0</v>
      </c>
      <c r="H297" s="111"/>
      <c r="I297" s="113">
        <f>IF(Arbeitszeit!F298=Krank,B_WorkTime*24,)</f>
        <v>0</v>
      </c>
      <c r="J297" s="111"/>
      <c r="K297" s="114"/>
      <c r="L297" s="115"/>
      <c r="M297" s="498"/>
      <c r="N297" s="499"/>
      <c r="O297" s="498"/>
      <c r="P297" s="499"/>
      <c r="Q297" s="498"/>
      <c r="R297" s="499"/>
      <c r="S297" s="498"/>
      <c r="T297" s="499"/>
      <c r="U297" s="498"/>
      <c r="V297" s="499"/>
      <c r="W297" s="498"/>
      <c r="X297" s="499"/>
      <c r="Y297" s="498"/>
      <c r="Z297" s="499"/>
      <c r="AA297" s="498"/>
      <c r="AB297" s="499"/>
      <c r="AC297" s="498"/>
      <c r="AD297" s="499"/>
      <c r="AE297" s="498"/>
      <c r="AF297" s="500"/>
      <c r="AG297" s="498"/>
      <c r="AH297" s="500"/>
      <c r="AI297" s="498"/>
      <c r="AJ297" s="500"/>
      <c r="AK297" s="498"/>
      <c r="AL297" s="500"/>
      <c r="AM297" s="501"/>
      <c r="AN297" s="500"/>
      <c r="AO297" s="498"/>
      <c r="AP297" s="500"/>
      <c r="AQ297" s="501"/>
      <c r="AR297" s="500"/>
      <c r="AS297" s="500"/>
      <c r="AT297" s="500"/>
      <c r="AU297" s="501"/>
      <c r="AV297" s="500"/>
      <c r="AW297" s="500"/>
      <c r="AX297" s="500"/>
      <c r="AY297" s="576"/>
      <c r="AZ297" s="576"/>
      <c r="BA297" s="576"/>
      <c r="BB297" s="576"/>
      <c r="BC297" s="576"/>
      <c r="BD297" s="576"/>
      <c r="BE297" s="576"/>
      <c r="BF297" s="576"/>
      <c r="BG297" s="576"/>
      <c r="BH297" s="576"/>
      <c r="BI297" s="576"/>
      <c r="BJ297" s="576"/>
      <c r="BK297" s="576"/>
      <c r="BL297" s="576"/>
      <c r="BM297" s="576"/>
      <c r="BN297" s="576"/>
      <c r="BO297" s="576"/>
      <c r="BP297" s="576"/>
      <c r="BQ297" s="576"/>
      <c r="BR297" s="576"/>
      <c r="BS297" s="576"/>
      <c r="BT297" s="576"/>
      <c r="BU297" s="576"/>
      <c r="BV297" s="576"/>
      <c r="BW297" s="576"/>
      <c r="BX297" s="576"/>
      <c r="BY297" s="576"/>
      <c r="BZ297" s="576"/>
      <c r="CA297" s="576"/>
      <c r="CB297" s="576"/>
      <c r="CC297" s="576"/>
      <c r="CD297" s="576"/>
      <c r="CE297" s="576"/>
      <c r="CF297" s="576"/>
      <c r="CG297" s="576"/>
      <c r="CH297" s="576"/>
      <c r="CI297" s="576"/>
      <c r="CJ297" s="576"/>
      <c r="CK297" s="576"/>
      <c r="CL297" s="576"/>
      <c r="CM297" s="576"/>
      <c r="CN297" s="576"/>
      <c r="CO297" s="576"/>
      <c r="CP297" s="576"/>
      <c r="CQ297" s="576"/>
      <c r="CR297" s="576"/>
      <c r="CS297" s="576"/>
      <c r="CT297" s="576"/>
      <c r="CU297" s="576"/>
      <c r="CV297" s="576"/>
      <c r="CW297" s="576"/>
      <c r="CX297" s="576"/>
      <c r="CY297" s="576"/>
      <c r="CZ297" s="576"/>
      <c r="DA297" s="576"/>
      <c r="DB297" s="576"/>
      <c r="DC297" s="576"/>
      <c r="DD297" s="576"/>
      <c r="DE297" s="576"/>
      <c r="DF297" s="576"/>
      <c r="DG297" s="576"/>
      <c r="DH297" s="116"/>
      <c r="DI297" s="112"/>
      <c r="DJ297">
        <f ca="1">INDIRECT(ADDRESS(ROW()+1,COLUMN(Arbeitszeit!xDay),,,"Arbeitszeit"))</f>
        <v>2</v>
      </c>
    </row>
    <row r="298" spans="1:114">
      <c r="A298" s="462">
        <f>Arbeitszeit!A299</f>
        <v>45127</v>
      </c>
      <c r="B298" s="463">
        <f t="shared" si="17"/>
        <v>45127</v>
      </c>
      <c r="C298" s="146">
        <f t="shared" si="18"/>
        <v>29</v>
      </c>
      <c r="D298" s="145">
        <f t="shared" si="19"/>
        <v>45107</v>
      </c>
      <c r="E298" s="510">
        <f>Arbeitszeit!V299*24</f>
        <v>0</v>
      </c>
      <c r="F298" s="574">
        <f t="shared" si="16"/>
        <v>0</v>
      </c>
      <c r="G298" s="113">
        <f>IF(Arbeitszeit!F299=Urlaub,B_WorkTime*24,)</f>
        <v>0</v>
      </c>
      <c r="H298" s="111"/>
      <c r="I298" s="113">
        <f>IF(Arbeitszeit!F299=Krank,B_WorkTime*24,)</f>
        <v>0</v>
      </c>
      <c r="J298" s="111"/>
      <c r="K298" s="114"/>
      <c r="L298" s="115"/>
      <c r="M298" s="498"/>
      <c r="N298" s="499"/>
      <c r="O298" s="498"/>
      <c r="P298" s="499"/>
      <c r="Q298" s="498"/>
      <c r="R298" s="499"/>
      <c r="S298" s="498"/>
      <c r="T298" s="499"/>
      <c r="U298" s="498"/>
      <c r="V298" s="499"/>
      <c r="W298" s="498"/>
      <c r="X298" s="499"/>
      <c r="Y298" s="498"/>
      <c r="Z298" s="499"/>
      <c r="AA298" s="498"/>
      <c r="AB298" s="499"/>
      <c r="AC298" s="498"/>
      <c r="AD298" s="499"/>
      <c r="AE298" s="498"/>
      <c r="AF298" s="500"/>
      <c r="AG298" s="498"/>
      <c r="AH298" s="500"/>
      <c r="AI298" s="498"/>
      <c r="AJ298" s="500"/>
      <c r="AK298" s="498"/>
      <c r="AL298" s="500"/>
      <c r="AM298" s="501"/>
      <c r="AN298" s="500"/>
      <c r="AO298" s="498"/>
      <c r="AP298" s="500"/>
      <c r="AQ298" s="501"/>
      <c r="AR298" s="500"/>
      <c r="AS298" s="500"/>
      <c r="AT298" s="500"/>
      <c r="AU298" s="501"/>
      <c r="AV298" s="500"/>
      <c r="AW298" s="500"/>
      <c r="AX298" s="500"/>
      <c r="AY298" s="576"/>
      <c r="AZ298" s="576"/>
      <c r="BA298" s="576"/>
      <c r="BB298" s="576"/>
      <c r="BC298" s="576"/>
      <c r="BD298" s="576"/>
      <c r="BE298" s="576"/>
      <c r="BF298" s="576"/>
      <c r="BG298" s="576"/>
      <c r="BH298" s="576"/>
      <c r="BI298" s="576"/>
      <c r="BJ298" s="576"/>
      <c r="BK298" s="576"/>
      <c r="BL298" s="576"/>
      <c r="BM298" s="576"/>
      <c r="BN298" s="576"/>
      <c r="BO298" s="576"/>
      <c r="BP298" s="576"/>
      <c r="BQ298" s="576"/>
      <c r="BR298" s="576"/>
      <c r="BS298" s="576"/>
      <c r="BT298" s="576"/>
      <c r="BU298" s="576"/>
      <c r="BV298" s="576"/>
      <c r="BW298" s="576"/>
      <c r="BX298" s="576"/>
      <c r="BY298" s="576"/>
      <c r="BZ298" s="576"/>
      <c r="CA298" s="576"/>
      <c r="CB298" s="576"/>
      <c r="CC298" s="576"/>
      <c r="CD298" s="576"/>
      <c r="CE298" s="576"/>
      <c r="CF298" s="576"/>
      <c r="CG298" s="576"/>
      <c r="CH298" s="576"/>
      <c r="CI298" s="576"/>
      <c r="CJ298" s="576"/>
      <c r="CK298" s="576"/>
      <c r="CL298" s="576"/>
      <c r="CM298" s="576"/>
      <c r="CN298" s="576"/>
      <c r="CO298" s="576"/>
      <c r="CP298" s="576"/>
      <c r="CQ298" s="576"/>
      <c r="CR298" s="576"/>
      <c r="CS298" s="576"/>
      <c r="CT298" s="576"/>
      <c r="CU298" s="576"/>
      <c r="CV298" s="576"/>
      <c r="CW298" s="576"/>
      <c r="CX298" s="576"/>
      <c r="CY298" s="576"/>
      <c r="CZ298" s="576"/>
      <c r="DA298" s="576"/>
      <c r="DB298" s="576"/>
      <c r="DC298" s="576"/>
      <c r="DD298" s="576"/>
      <c r="DE298" s="576"/>
      <c r="DF298" s="576"/>
      <c r="DG298" s="576"/>
      <c r="DH298" s="116"/>
      <c r="DI298" s="112"/>
      <c r="DJ298">
        <f ca="1">INDIRECT(ADDRESS(ROW()+1,COLUMN(Arbeitszeit!xDay),,,"Arbeitszeit"))</f>
        <v>3</v>
      </c>
    </row>
    <row r="299" spans="1:114">
      <c r="A299" s="462">
        <f>Arbeitszeit!A300</f>
        <v>45128</v>
      </c>
      <c r="B299" s="463">
        <f t="shared" si="17"/>
        <v>45128</v>
      </c>
      <c r="C299" s="146">
        <f t="shared" si="18"/>
        <v>29</v>
      </c>
      <c r="D299" s="145">
        <f t="shared" si="19"/>
        <v>45107</v>
      </c>
      <c r="E299" s="510">
        <f>Arbeitszeit!V300*24</f>
        <v>0</v>
      </c>
      <c r="F299" s="574">
        <f t="shared" si="16"/>
        <v>0</v>
      </c>
      <c r="G299" s="113">
        <f>IF(Arbeitszeit!F300=Urlaub,B_WorkTime*24,)</f>
        <v>0</v>
      </c>
      <c r="H299" s="111"/>
      <c r="I299" s="113">
        <f>IF(Arbeitszeit!F300=Krank,B_WorkTime*24,)</f>
        <v>0</v>
      </c>
      <c r="J299" s="111"/>
      <c r="K299" s="114"/>
      <c r="L299" s="115"/>
      <c r="M299" s="498"/>
      <c r="N299" s="499"/>
      <c r="O299" s="498"/>
      <c r="P299" s="499"/>
      <c r="Q299" s="498"/>
      <c r="R299" s="499"/>
      <c r="S299" s="498"/>
      <c r="T299" s="499"/>
      <c r="U299" s="498"/>
      <c r="V299" s="499"/>
      <c r="W299" s="498"/>
      <c r="X299" s="499"/>
      <c r="Y299" s="498"/>
      <c r="Z299" s="499"/>
      <c r="AA299" s="498"/>
      <c r="AB299" s="499"/>
      <c r="AC299" s="498"/>
      <c r="AD299" s="499"/>
      <c r="AE299" s="498"/>
      <c r="AF299" s="500"/>
      <c r="AG299" s="498"/>
      <c r="AH299" s="500"/>
      <c r="AI299" s="498"/>
      <c r="AJ299" s="500"/>
      <c r="AK299" s="498"/>
      <c r="AL299" s="500"/>
      <c r="AM299" s="501"/>
      <c r="AN299" s="500"/>
      <c r="AO299" s="498"/>
      <c r="AP299" s="500"/>
      <c r="AQ299" s="501"/>
      <c r="AR299" s="500"/>
      <c r="AS299" s="500"/>
      <c r="AT299" s="500"/>
      <c r="AU299" s="501"/>
      <c r="AV299" s="500"/>
      <c r="AW299" s="500"/>
      <c r="AX299" s="500"/>
      <c r="AY299" s="576"/>
      <c r="AZ299" s="576"/>
      <c r="BA299" s="576"/>
      <c r="BB299" s="576"/>
      <c r="BC299" s="576"/>
      <c r="BD299" s="576"/>
      <c r="BE299" s="576"/>
      <c r="BF299" s="576"/>
      <c r="BG299" s="576"/>
      <c r="BH299" s="576"/>
      <c r="BI299" s="576"/>
      <c r="BJ299" s="576"/>
      <c r="BK299" s="576"/>
      <c r="BL299" s="576"/>
      <c r="BM299" s="576"/>
      <c r="BN299" s="576"/>
      <c r="BO299" s="576"/>
      <c r="BP299" s="576"/>
      <c r="BQ299" s="576"/>
      <c r="BR299" s="576"/>
      <c r="BS299" s="576"/>
      <c r="BT299" s="576"/>
      <c r="BU299" s="576"/>
      <c r="BV299" s="576"/>
      <c r="BW299" s="576"/>
      <c r="BX299" s="576"/>
      <c r="BY299" s="576"/>
      <c r="BZ299" s="576"/>
      <c r="CA299" s="576"/>
      <c r="CB299" s="576"/>
      <c r="CC299" s="576"/>
      <c r="CD299" s="576"/>
      <c r="CE299" s="576"/>
      <c r="CF299" s="576"/>
      <c r="CG299" s="576"/>
      <c r="CH299" s="576"/>
      <c r="CI299" s="576"/>
      <c r="CJ299" s="576"/>
      <c r="CK299" s="576"/>
      <c r="CL299" s="576"/>
      <c r="CM299" s="576"/>
      <c r="CN299" s="576"/>
      <c r="CO299" s="576"/>
      <c r="CP299" s="576"/>
      <c r="CQ299" s="576"/>
      <c r="CR299" s="576"/>
      <c r="CS299" s="576"/>
      <c r="CT299" s="576"/>
      <c r="CU299" s="576"/>
      <c r="CV299" s="576"/>
      <c r="CW299" s="576"/>
      <c r="CX299" s="576"/>
      <c r="CY299" s="576"/>
      <c r="CZ299" s="576"/>
      <c r="DA299" s="576"/>
      <c r="DB299" s="576"/>
      <c r="DC299" s="576"/>
      <c r="DD299" s="576"/>
      <c r="DE299" s="576"/>
      <c r="DF299" s="576"/>
      <c r="DG299" s="576"/>
      <c r="DH299" s="116"/>
      <c r="DI299" s="112"/>
      <c r="DJ299">
        <f ca="1">INDIRECT(ADDRESS(ROW()+1,COLUMN(Arbeitszeit!xDay),,,"Arbeitszeit"))</f>
        <v>4</v>
      </c>
    </row>
    <row r="300" spans="1:114">
      <c r="A300" s="462">
        <f>Arbeitszeit!A301</f>
        <v>45129</v>
      </c>
      <c r="B300" s="463">
        <f t="shared" si="17"/>
        <v>45129</v>
      </c>
      <c r="C300" s="146">
        <f t="shared" si="18"/>
        <v>29</v>
      </c>
      <c r="D300" s="145">
        <f t="shared" si="19"/>
        <v>45107</v>
      </c>
      <c r="E300" s="510">
        <f>Arbeitszeit!V301*24</f>
        <v>0</v>
      </c>
      <c r="F300" s="574">
        <f t="shared" si="16"/>
        <v>0</v>
      </c>
      <c r="G300" s="113">
        <f>IF(Arbeitszeit!F301=Urlaub,B_WorkTime*24,)</f>
        <v>0</v>
      </c>
      <c r="H300" s="111"/>
      <c r="I300" s="113">
        <f>IF(Arbeitszeit!F301=Krank,B_WorkTime*24,)</f>
        <v>0</v>
      </c>
      <c r="J300" s="111"/>
      <c r="K300" s="114"/>
      <c r="L300" s="115"/>
      <c r="M300" s="498"/>
      <c r="N300" s="499"/>
      <c r="O300" s="498"/>
      <c r="P300" s="499"/>
      <c r="Q300" s="498"/>
      <c r="R300" s="499"/>
      <c r="S300" s="498"/>
      <c r="T300" s="499"/>
      <c r="U300" s="498"/>
      <c r="V300" s="499"/>
      <c r="W300" s="498"/>
      <c r="X300" s="499"/>
      <c r="Y300" s="498"/>
      <c r="Z300" s="499"/>
      <c r="AA300" s="498"/>
      <c r="AB300" s="499"/>
      <c r="AC300" s="498"/>
      <c r="AD300" s="499"/>
      <c r="AE300" s="498"/>
      <c r="AF300" s="500"/>
      <c r="AG300" s="498"/>
      <c r="AH300" s="500"/>
      <c r="AI300" s="498"/>
      <c r="AJ300" s="500"/>
      <c r="AK300" s="498"/>
      <c r="AL300" s="500"/>
      <c r="AM300" s="501"/>
      <c r="AN300" s="500"/>
      <c r="AO300" s="498"/>
      <c r="AP300" s="500"/>
      <c r="AQ300" s="501"/>
      <c r="AR300" s="500"/>
      <c r="AS300" s="500"/>
      <c r="AT300" s="500"/>
      <c r="AU300" s="501"/>
      <c r="AV300" s="500"/>
      <c r="AW300" s="500"/>
      <c r="AX300" s="500"/>
      <c r="AY300" s="576"/>
      <c r="AZ300" s="576"/>
      <c r="BA300" s="576"/>
      <c r="BB300" s="576"/>
      <c r="BC300" s="576"/>
      <c r="BD300" s="576"/>
      <c r="BE300" s="576"/>
      <c r="BF300" s="576"/>
      <c r="BG300" s="576"/>
      <c r="BH300" s="576"/>
      <c r="BI300" s="576"/>
      <c r="BJ300" s="576"/>
      <c r="BK300" s="576"/>
      <c r="BL300" s="576"/>
      <c r="BM300" s="576"/>
      <c r="BN300" s="576"/>
      <c r="BO300" s="576"/>
      <c r="BP300" s="576"/>
      <c r="BQ300" s="576"/>
      <c r="BR300" s="576"/>
      <c r="BS300" s="576"/>
      <c r="BT300" s="576"/>
      <c r="BU300" s="576"/>
      <c r="BV300" s="576"/>
      <c r="BW300" s="576"/>
      <c r="BX300" s="576"/>
      <c r="BY300" s="576"/>
      <c r="BZ300" s="576"/>
      <c r="CA300" s="576"/>
      <c r="CB300" s="576"/>
      <c r="CC300" s="576"/>
      <c r="CD300" s="576"/>
      <c r="CE300" s="576"/>
      <c r="CF300" s="576"/>
      <c r="CG300" s="576"/>
      <c r="CH300" s="576"/>
      <c r="CI300" s="576"/>
      <c r="CJ300" s="576"/>
      <c r="CK300" s="576"/>
      <c r="CL300" s="576"/>
      <c r="CM300" s="576"/>
      <c r="CN300" s="576"/>
      <c r="CO300" s="576"/>
      <c r="CP300" s="576"/>
      <c r="CQ300" s="576"/>
      <c r="CR300" s="576"/>
      <c r="CS300" s="576"/>
      <c r="CT300" s="576"/>
      <c r="CU300" s="576"/>
      <c r="CV300" s="576"/>
      <c r="CW300" s="576"/>
      <c r="CX300" s="576"/>
      <c r="CY300" s="576"/>
      <c r="CZ300" s="576"/>
      <c r="DA300" s="576"/>
      <c r="DB300" s="576"/>
      <c r="DC300" s="576"/>
      <c r="DD300" s="576"/>
      <c r="DE300" s="576"/>
      <c r="DF300" s="576"/>
      <c r="DG300" s="576"/>
      <c r="DH300" s="116"/>
      <c r="DI300" s="112"/>
      <c r="DJ300">
        <f ca="1">INDIRECT(ADDRESS(ROW()+1,COLUMN(Arbeitszeit!xDay),,,"Arbeitszeit"))</f>
        <v>5</v>
      </c>
    </row>
    <row r="301" spans="1:114">
      <c r="A301" s="462">
        <f>Arbeitszeit!A302</f>
        <v>45130</v>
      </c>
      <c r="B301" s="463">
        <f t="shared" si="17"/>
        <v>45130</v>
      </c>
      <c r="C301" s="146">
        <f t="shared" si="18"/>
        <v>29</v>
      </c>
      <c r="D301" s="145">
        <f t="shared" si="19"/>
        <v>45107</v>
      </c>
      <c r="E301" s="510">
        <f>Arbeitszeit!V302*24</f>
        <v>0</v>
      </c>
      <c r="F301" s="574">
        <f t="shared" si="16"/>
        <v>0</v>
      </c>
      <c r="G301" s="113">
        <f>IF(Arbeitszeit!F302=Urlaub,B_WorkTime*24,)</f>
        <v>0</v>
      </c>
      <c r="H301" s="111"/>
      <c r="I301" s="113">
        <f>IF(Arbeitszeit!F302=Krank,B_WorkTime*24,)</f>
        <v>0</v>
      </c>
      <c r="J301" s="111"/>
      <c r="K301" s="114"/>
      <c r="L301" s="115"/>
      <c r="M301" s="498"/>
      <c r="N301" s="499"/>
      <c r="O301" s="498"/>
      <c r="P301" s="499"/>
      <c r="Q301" s="498"/>
      <c r="R301" s="499"/>
      <c r="S301" s="498"/>
      <c r="T301" s="499"/>
      <c r="U301" s="498"/>
      <c r="V301" s="499"/>
      <c r="W301" s="498"/>
      <c r="X301" s="499"/>
      <c r="Y301" s="498"/>
      <c r="Z301" s="499"/>
      <c r="AA301" s="498"/>
      <c r="AB301" s="499"/>
      <c r="AC301" s="498"/>
      <c r="AD301" s="499"/>
      <c r="AE301" s="498"/>
      <c r="AF301" s="500"/>
      <c r="AG301" s="498"/>
      <c r="AH301" s="500"/>
      <c r="AI301" s="498"/>
      <c r="AJ301" s="500"/>
      <c r="AK301" s="498"/>
      <c r="AL301" s="500"/>
      <c r="AM301" s="501"/>
      <c r="AN301" s="500"/>
      <c r="AO301" s="498"/>
      <c r="AP301" s="500"/>
      <c r="AQ301" s="501"/>
      <c r="AR301" s="500"/>
      <c r="AS301" s="500"/>
      <c r="AT301" s="500"/>
      <c r="AU301" s="501"/>
      <c r="AV301" s="500"/>
      <c r="AW301" s="500"/>
      <c r="AX301" s="500"/>
      <c r="AY301" s="576"/>
      <c r="AZ301" s="576"/>
      <c r="BA301" s="576"/>
      <c r="BB301" s="576"/>
      <c r="BC301" s="576"/>
      <c r="BD301" s="576"/>
      <c r="BE301" s="576"/>
      <c r="BF301" s="576"/>
      <c r="BG301" s="576"/>
      <c r="BH301" s="576"/>
      <c r="BI301" s="576"/>
      <c r="BJ301" s="576"/>
      <c r="BK301" s="576"/>
      <c r="BL301" s="576"/>
      <c r="BM301" s="576"/>
      <c r="BN301" s="576"/>
      <c r="BO301" s="576"/>
      <c r="BP301" s="576"/>
      <c r="BQ301" s="576"/>
      <c r="BR301" s="576"/>
      <c r="BS301" s="576"/>
      <c r="BT301" s="576"/>
      <c r="BU301" s="576"/>
      <c r="BV301" s="576"/>
      <c r="BW301" s="576"/>
      <c r="BX301" s="576"/>
      <c r="BY301" s="576"/>
      <c r="BZ301" s="576"/>
      <c r="CA301" s="576"/>
      <c r="CB301" s="576"/>
      <c r="CC301" s="576"/>
      <c r="CD301" s="576"/>
      <c r="CE301" s="576"/>
      <c r="CF301" s="576"/>
      <c r="CG301" s="576"/>
      <c r="CH301" s="576"/>
      <c r="CI301" s="576"/>
      <c r="CJ301" s="576"/>
      <c r="CK301" s="576"/>
      <c r="CL301" s="576"/>
      <c r="CM301" s="576"/>
      <c r="CN301" s="576"/>
      <c r="CO301" s="576"/>
      <c r="CP301" s="576"/>
      <c r="CQ301" s="576"/>
      <c r="CR301" s="576"/>
      <c r="CS301" s="576"/>
      <c r="CT301" s="576"/>
      <c r="CU301" s="576"/>
      <c r="CV301" s="576"/>
      <c r="CW301" s="576"/>
      <c r="CX301" s="576"/>
      <c r="CY301" s="576"/>
      <c r="CZ301" s="576"/>
      <c r="DA301" s="576"/>
      <c r="DB301" s="576"/>
      <c r="DC301" s="576"/>
      <c r="DD301" s="576"/>
      <c r="DE301" s="576"/>
      <c r="DF301" s="576"/>
      <c r="DG301" s="576"/>
      <c r="DH301" s="116"/>
      <c r="DI301" s="112"/>
      <c r="DJ301">
        <f ca="1">INDIRECT(ADDRESS(ROW()+1,COLUMN(Arbeitszeit!xDay),,,"Arbeitszeit"))</f>
        <v>6</v>
      </c>
    </row>
    <row r="302" spans="1:114">
      <c r="A302" s="462">
        <f>Arbeitszeit!A303</f>
        <v>45131</v>
      </c>
      <c r="B302" s="463">
        <f t="shared" si="17"/>
        <v>45131</v>
      </c>
      <c r="C302" s="146">
        <f t="shared" si="18"/>
        <v>29</v>
      </c>
      <c r="D302" s="145">
        <f t="shared" si="19"/>
        <v>45107</v>
      </c>
      <c r="E302" s="510">
        <f>Arbeitszeit!V303*24</f>
        <v>0</v>
      </c>
      <c r="F302" s="574">
        <f t="shared" si="16"/>
        <v>0</v>
      </c>
      <c r="G302" s="113">
        <f>IF(Arbeitszeit!F303=Urlaub,B_WorkTime*24,)</f>
        <v>0</v>
      </c>
      <c r="H302" s="111"/>
      <c r="I302" s="113">
        <f>IF(Arbeitszeit!F303=Krank,B_WorkTime*24,)</f>
        <v>0</v>
      </c>
      <c r="J302" s="111"/>
      <c r="K302" s="114"/>
      <c r="L302" s="115"/>
      <c r="M302" s="498"/>
      <c r="N302" s="499"/>
      <c r="O302" s="498"/>
      <c r="P302" s="499"/>
      <c r="Q302" s="498"/>
      <c r="R302" s="499"/>
      <c r="S302" s="498"/>
      <c r="T302" s="499"/>
      <c r="U302" s="498"/>
      <c r="V302" s="499"/>
      <c r="W302" s="498"/>
      <c r="X302" s="499"/>
      <c r="Y302" s="498"/>
      <c r="Z302" s="499"/>
      <c r="AA302" s="498"/>
      <c r="AB302" s="499"/>
      <c r="AC302" s="498"/>
      <c r="AD302" s="499"/>
      <c r="AE302" s="498"/>
      <c r="AF302" s="500"/>
      <c r="AG302" s="498"/>
      <c r="AH302" s="500"/>
      <c r="AI302" s="498"/>
      <c r="AJ302" s="500"/>
      <c r="AK302" s="498"/>
      <c r="AL302" s="500"/>
      <c r="AM302" s="501"/>
      <c r="AN302" s="500"/>
      <c r="AO302" s="498"/>
      <c r="AP302" s="500"/>
      <c r="AQ302" s="501"/>
      <c r="AR302" s="500"/>
      <c r="AS302" s="500"/>
      <c r="AT302" s="500"/>
      <c r="AU302" s="501"/>
      <c r="AV302" s="500"/>
      <c r="AW302" s="500"/>
      <c r="AX302" s="500"/>
      <c r="AY302" s="576"/>
      <c r="AZ302" s="576"/>
      <c r="BA302" s="576"/>
      <c r="BB302" s="576"/>
      <c r="BC302" s="576"/>
      <c r="BD302" s="576"/>
      <c r="BE302" s="576"/>
      <c r="BF302" s="576"/>
      <c r="BG302" s="576"/>
      <c r="BH302" s="576"/>
      <c r="BI302" s="576"/>
      <c r="BJ302" s="576"/>
      <c r="BK302" s="576"/>
      <c r="BL302" s="576"/>
      <c r="BM302" s="576"/>
      <c r="BN302" s="576"/>
      <c r="BO302" s="576"/>
      <c r="BP302" s="576"/>
      <c r="BQ302" s="576"/>
      <c r="BR302" s="576"/>
      <c r="BS302" s="576"/>
      <c r="BT302" s="576"/>
      <c r="BU302" s="576"/>
      <c r="BV302" s="576"/>
      <c r="BW302" s="576"/>
      <c r="BX302" s="576"/>
      <c r="BY302" s="576"/>
      <c r="BZ302" s="576"/>
      <c r="CA302" s="576"/>
      <c r="CB302" s="576"/>
      <c r="CC302" s="576"/>
      <c r="CD302" s="576"/>
      <c r="CE302" s="576"/>
      <c r="CF302" s="576"/>
      <c r="CG302" s="576"/>
      <c r="CH302" s="576"/>
      <c r="CI302" s="576"/>
      <c r="CJ302" s="576"/>
      <c r="CK302" s="576"/>
      <c r="CL302" s="576"/>
      <c r="CM302" s="576"/>
      <c r="CN302" s="576"/>
      <c r="CO302" s="576"/>
      <c r="CP302" s="576"/>
      <c r="CQ302" s="576"/>
      <c r="CR302" s="576"/>
      <c r="CS302" s="576"/>
      <c r="CT302" s="576"/>
      <c r="CU302" s="576"/>
      <c r="CV302" s="576"/>
      <c r="CW302" s="576"/>
      <c r="CX302" s="576"/>
      <c r="CY302" s="576"/>
      <c r="CZ302" s="576"/>
      <c r="DA302" s="576"/>
      <c r="DB302" s="576"/>
      <c r="DC302" s="576"/>
      <c r="DD302" s="576"/>
      <c r="DE302" s="576"/>
      <c r="DF302" s="576"/>
      <c r="DG302" s="576"/>
      <c r="DH302" s="116"/>
      <c r="DI302" s="112"/>
      <c r="DJ302">
        <f ca="1">INDIRECT(ADDRESS(ROW()+1,COLUMN(Arbeitszeit!xDay),,,"Arbeitszeit"))</f>
        <v>7</v>
      </c>
    </row>
    <row r="303" spans="1:114">
      <c r="A303" s="462">
        <f>Arbeitszeit!A304</f>
        <v>45132</v>
      </c>
      <c r="B303" s="463">
        <f t="shared" si="17"/>
        <v>45132</v>
      </c>
      <c r="C303" s="146">
        <f t="shared" si="18"/>
        <v>30</v>
      </c>
      <c r="D303" s="145">
        <f t="shared" si="19"/>
        <v>45107</v>
      </c>
      <c r="E303" s="510">
        <f>Arbeitszeit!V304*24</f>
        <v>0</v>
      </c>
      <c r="F303" s="574">
        <f t="shared" si="16"/>
        <v>0</v>
      </c>
      <c r="G303" s="113">
        <f>IF(Arbeitszeit!F304=Urlaub,B_WorkTime*24,)</f>
        <v>0</v>
      </c>
      <c r="H303" s="111"/>
      <c r="I303" s="113">
        <f>IF(Arbeitszeit!F304=Krank,B_WorkTime*24,)</f>
        <v>0</v>
      </c>
      <c r="J303" s="111"/>
      <c r="K303" s="114"/>
      <c r="L303" s="115"/>
      <c r="M303" s="498"/>
      <c r="N303" s="499"/>
      <c r="O303" s="498"/>
      <c r="P303" s="499"/>
      <c r="Q303" s="498"/>
      <c r="R303" s="499"/>
      <c r="S303" s="498"/>
      <c r="T303" s="499"/>
      <c r="U303" s="498"/>
      <c r="V303" s="499"/>
      <c r="W303" s="498"/>
      <c r="X303" s="499"/>
      <c r="Y303" s="498"/>
      <c r="Z303" s="499"/>
      <c r="AA303" s="498"/>
      <c r="AB303" s="499"/>
      <c r="AC303" s="498"/>
      <c r="AD303" s="499"/>
      <c r="AE303" s="498"/>
      <c r="AF303" s="500"/>
      <c r="AG303" s="498"/>
      <c r="AH303" s="500"/>
      <c r="AI303" s="498"/>
      <c r="AJ303" s="500"/>
      <c r="AK303" s="498"/>
      <c r="AL303" s="500"/>
      <c r="AM303" s="501"/>
      <c r="AN303" s="500"/>
      <c r="AO303" s="498"/>
      <c r="AP303" s="500"/>
      <c r="AQ303" s="501"/>
      <c r="AR303" s="500"/>
      <c r="AS303" s="500"/>
      <c r="AT303" s="500"/>
      <c r="AU303" s="501"/>
      <c r="AV303" s="500"/>
      <c r="AW303" s="500"/>
      <c r="AX303" s="500"/>
      <c r="AY303" s="576"/>
      <c r="AZ303" s="576"/>
      <c r="BA303" s="576"/>
      <c r="BB303" s="576"/>
      <c r="BC303" s="576"/>
      <c r="BD303" s="576"/>
      <c r="BE303" s="576"/>
      <c r="BF303" s="576"/>
      <c r="BG303" s="576"/>
      <c r="BH303" s="576"/>
      <c r="BI303" s="576"/>
      <c r="BJ303" s="576"/>
      <c r="BK303" s="576"/>
      <c r="BL303" s="576"/>
      <c r="BM303" s="576"/>
      <c r="BN303" s="576"/>
      <c r="BO303" s="576"/>
      <c r="BP303" s="576"/>
      <c r="BQ303" s="576"/>
      <c r="BR303" s="576"/>
      <c r="BS303" s="576"/>
      <c r="BT303" s="576"/>
      <c r="BU303" s="576"/>
      <c r="BV303" s="576"/>
      <c r="BW303" s="576"/>
      <c r="BX303" s="576"/>
      <c r="BY303" s="576"/>
      <c r="BZ303" s="576"/>
      <c r="CA303" s="576"/>
      <c r="CB303" s="576"/>
      <c r="CC303" s="576"/>
      <c r="CD303" s="576"/>
      <c r="CE303" s="576"/>
      <c r="CF303" s="576"/>
      <c r="CG303" s="576"/>
      <c r="CH303" s="576"/>
      <c r="CI303" s="576"/>
      <c r="CJ303" s="576"/>
      <c r="CK303" s="576"/>
      <c r="CL303" s="576"/>
      <c r="CM303" s="576"/>
      <c r="CN303" s="576"/>
      <c r="CO303" s="576"/>
      <c r="CP303" s="576"/>
      <c r="CQ303" s="576"/>
      <c r="CR303" s="576"/>
      <c r="CS303" s="576"/>
      <c r="CT303" s="576"/>
      <c r="CU303" s="576"/>
      <c r="CV303" s="576"/>
      <c r="CW303" s="576"/>
      <c r="CX303" s="576"/>
      <c r="CY303" s="576"/>
      <c r="CZ303" s="576"/>
      <c r="DA303" s="576"/>
      <c r="DB303" s="576"/>
      <c r="DC303" s="576"/>
      <c r="DD303" s="576"/>
      <c r="DE303" s="576"/>
      <c r="DF303" s="576"/>
      <c r="DG303" s="576"/>
      <c r="DH303" s="116"/>
      <c r="DI303" s="112"/>
      <c r="DJ303">
        <f ca="1">INDIRECT(ADDRESS(ROW()+1,COLUMN(Arbeitszeit!xDay),,,"Arbeitszeit"))</f>
        <v>1</v>
      </c>
    </row>
    <row r="304" spans="1:114">
      <c r="A304" s="462">
        <f>Arbeitszeit!A305</f>
        <v>45133</v>
      </c>
      <c r="B304" s="463">
        <f t="shared" si="17"/>
        <v>45133</v>
      </c>
      <c r="C304" s="146">
        <f t="shared" si="18"/>
        <v>30</v>
      </c>
      <c r="D304" s="145">
        <f t="shared" si="19"/>
        <v>45107</v>
      </c>
      <c r="E304" s="510">
        <f>Arbeitszeit!V305*24</f>
        <v>0</v>
      </c>
      <c r="F304" s="574">
        <f t="shared" si="16"/>
        <v>0</v>
      </c>
      <c r="G304" s="113">
        <f>IF(Arbeitszeit!F305=Urlaub,B_WorkTime*24,)</f>
        <v>0</v>
      </c>
      <c r="H304" s="111"/>
      <c r="I304" s="113">
        <f>IF(Arbeitszeit!F305=Krank,B_WorkTime*24,)</f>
        <v>0</v>
      </c>
      <c r="J304" s="111"/>
      <c r="K304" s="114"/>
      <c r="L304" s="115"/>
      <c r="M304" s="498"/>
      <c r="N304" s="499"/>
      <c r="O304" s="498"/>
      <c r="P304" s="499"/>
      <c r="Q304" s="498"/>
      <c r="R304" s="499"/>
      <c r="S304" s="498"/>
      <c r="T304" s="499"/>
      <c r="U304" s="498"/>
      <c r="V304" s="499"/>
      <c r="W304" s="498"/>
      <c r="X304" s="499"/>
      <c r="Y304" s="498"/>
      <c r="Z304" s="499"/>
      <c r="AA304" s="498"/>
      <c r="AB304" s="499"/>
      <c r="AC304" s="498"/>
      <c r="AD304" s="499"/>
      <c r="AE304" s="498"/>
      <c r="AF304" s="500"/>
      <c r="AG304" s="498"/>
      <c r="AH304" s="500"/>
      <c r="AI304" s="498"/>
      <c r="AJ304" s="500"/>
      <c r="AK304" s="498"/>
      <c r="AL304" s="500"/>
      <c r="AM304" s="501"/>
      <c r="AN304" s="500"/>
      <c r="AO304" s="498"/>
      <c r="AP304" s="500"/>
      <c r="AQ304" s="501"/>
      <c r="AR304" s="500"/>
      <c r="AS304" s="500"/>
      <c r="AT304" s="500"/>
      <c r="AU304" s="501"/>
      <c r="AV304" s="500"/>
      <c r="AW304" s="500"/>
      <c r="AX304" s="500"/>
      <c r="AY304" s="576"/>
      <c r="AZ304" s="576"/>
      <c r="BA304" s="576"/>
      <c r="BB304" s="576"/>
      <c r="BC304" s="576"/>
      <c r="BD304" s="576"/>
      <c r="BE304" s="576"/>
      <c r="BF304" s="576"/>
      <c r="BG304" s="576"/>
      <c r="BH304" s="576"/>
      <c r="BI304" s="576"/>
      <c r="BJ304" s="576"/>
      <c r="BK304" s="576"/>
      <c r="BL304" s="576"/>
      <c r="BM304" s="576"/>
      <c r="BN304" s="576"/>
      <c r="BO304" s="576"/>
      <c r="BP304" s="576"/>
      <c r="BQ304" s="576"/>
      <c r="BR304" s="576"/>
      <c r="BS304" s="576"/>
      <c r="BT304" s="576"/>
      <c r="BU304" s="576"/>
      <c r="BV304" s="576"/>
      <c r="BW304" s="576"/>
      <c r="BX304" s="576"/>
      <c r="BY304" s="576"/>
      <c r="BZ304" s="576"/>
      <c r="CA304" s="576"/>
      <c r="CB304" s="576"/>
      <c r="CC304" s="576"/>
      <c r="CD304" s="576"/>
      <c r="CE304" s="576"/>
      <c r="CF304" s="576"/>
      <c r="CG304" s="576"/>
      <c r="CH304" s="576"/>
      <c r="CI304" s="576"/>
      <c r="CJ304" s="576"/>
      <c r="CK304" s="576"/>
      <c r="CL304" s="576"/>
      <c r="CM304" s="576"/>
      <c r="CN304" s="576"/>
      <c r="CO304" s="576"/>
      <c r="CP304" s="576"/>
      <c r="CQ304" s="576"/>
      <c r="CR304" s="576"/>
      <c r="CS304" s="576"/>
      <c r="CT304" s="576"/>
      <c r="CU304" s="576"/>
      <c r="CV304" s="576"/>
      <c r="CW304" s="576"/>
      <c r="CX304" s="576"/>
      <c r="CY304" s="576"/>
      <c r="CZ304" s="576"/>
      <c r="DA304" s="576"/>
      <c r="DB304" s="576"/>
      <c r="DC304" s="576"/>
      <c r="DD304" s="576"/>
      <c r="DE304" s="576"/>
      <c r="DF304" s="576"/>
      <c r="DG304" s="576"/>
      <c r="DH304" s="116"/>
      <c r="DI304" s="112"/>
      <c r="DJ304">
        <f ca="1">INDIRECT(ADDRESS(ROW()+1,COLUMN(Arbeitszeit!xDay),,,"Arbeitszeit"))</f>
        <v>2</v>
      </c>
    </row>
    <row r="305" spans="1:114">
      <c r="A305" s="462">
        <f>Arbeitszeit!A306</f>
        <v>45134</v>
      </c>
      <c r="B305" s="463">
        <f t="shared" si="17"/>
        <v>45134</v>
      </c>
      <c r="C305" s="146">
        <f t="shared" si="18"/>
        <v>30</v>
      </c>
      <c r="D305" s="145">
        <f t="shared" si="19"/>
        <v>45107</v>
      </c>
      <c r="E305" s="510">
        <f>Arbeitszeit!V306*24</f>
        <v>0</v>
      </c>
      <c r="F305" s="574">
        <f t="shared" si="16"/>
        <v>0</v>
      </c>
      <c r="G305" s="113">
        <f>IF(Arbeitszeit!F306=Urlaub,B_WorkTime*24,)</f>
        <v>0</v>
      </c>
      <c r="H305" s="111"/>
      <c r="I305" s="113">
        <f>IF(Arbeitszeit!F306=Krank,B_WorkTime*24,)</f>
        <v>0</v>
      </c>
      <c r="J305" s="111"/>
      <c r="K305" s="114"/>
      <c r="L305" s="115"/>
      <c r="M305" s="498"/>
      <c r="N305" s="49"/>
      <c r="O305" s="498"/>
      <c r="P305" s="499"/>
      <c r="Q305" s="498"/>
      <c r="R305" s="499"/>
      <c r="S305" s="498"/>
      <c r="T305" s="499"/>
      <c r="U305" s="498"/>
      <c r="V305" s="499"/>
      <c r="W305" s="498"/>
      <c r="X305" s="499"/>
      <c r="Y305" s="498"/>
      <c r="Z305" s="499"/>
      <c r="AA305" s="498"/>
      <c r="AB305" s="499"/>
      <c r="AC305" s="498"/>
      <c r="AD305" s="499"/>
      <c r="AE305" s="498"/>
      <c r="AF305" s="500"/>
      <c r="AG305" s="498"/>
      <c r="AH305" s="500"/>
      <c r="AI305" s="498"/>
      <c r="AJ305" s="500"/>
      <c r="AK305" s="498"/>
      <c r="AL305" s="500"/>
      <c r="AM305" s="501"/>
      <c r="AN305" s="500"/>
      <c r="AO305" s="498"/>
      <c r="AP305" s="500"/>
      <c r="AQ305" s="501"/>
      <c r="AR305" s="500"/>
      <c r="AS305" s="500"/>
      <c r="AT305" s="500"/>
      <c r="AU305" s="501"/>
      <c r="AV305" s="500"/>
      <c r="AW305" s="500"/>
      <c r="AX305" s="500"/>
      <c r="AY305" s="576"/>
      <c r="AZ305" s="576"/>
      <c r="BA305" s="576"/>
      <c r="BB305" s="576"/>
      <c r="BC305" s="576"/>
      <c r="BD305" s="576"/>
      <c r="BE305" s="576"/>
      <c r="BF305" s="576"/>
      <c r="BG305" s="576"/>
      <c r="BH305" s="576"/>
      <c r="BI305" s="576"/>
      <c r="BJ305" s="576"/>
      <c r="BK305" s="576"/>
      <c r="BL305" s="576"/>
      <c r="BM305" s="576"/>
      <c r="BN305" s="576"/>
      <c r="BO305" s="576"/>
      <c r="BP305" s="576"/>
      <c r="BQ305" s="576"/>
      <c r="BR305" s="576"/>
      <c r="BS305" s="576"/>
      <c r="BT305" s="576"/>
      <c r="BU305" s="576"/>
      <c r="BV305" s="576"/>
      <c r="BW305" s="576"/>
      <c r="BX305" s="576"/>
      <c r="BY305" s="576"/>
      <c r="BZ305" s="576"/>
      <c r="CA305" s="576"/>
      <c r="CB305" s="576"/>
      <c r="CC305" s="576"/>
      <c r="CD305" s="576"/>
      <c r="CE305" s="576"/>
      <c r="CF305" s="576"/>
      <c r="CG305" s="576"/>
      <c r="CH305" s="576"/>
      <c r="CI305" s="576"/>
      <c r="CJ305" s="576"/>
      <c r="CK305" s="576"/>
      <c r="CL305" s="576"/>
      <c r="CM305" s="576"/>
      <c r="CN305" s="576"/>
      <c r="CO305" s="576"/>
      <c r="CP305" s="576"/>
      <c r="CQ305" s="576"/>
      <c r="CR305" s="576"/>
      <c r="CS305" s="576"/>
      <c r="CT305" s="576"/>
      <c r="CU305" s="576"/>
      <c r="CV305" s="576"/>
      <c r="CW305" s="576"/>
      <c r="CX305" s="576"/>
      <c r="CY305" s="576"/>
      <c r="CZ305" s="576"/>
      <c r="DA305" s="576"/>
      <c r="DB305" s="576"/>
      <c r="DC305" s="576"/>
      <c r="DD305" s="576"/>
      <c r="DE305" s="576"/>
      <c r="DF305" s="576"/>
      <c r="DG305" s="576"/>
      <c r="DH305" s="116"/>
      <c r="DI305" s="112"/>
      <c r="DJ305">
        <f ca="1">INDIRECT(ADDRESS(ROW()+1,COLUMN(Arbeitszeit!xDay),,,"Arbeitszeit"))</f>
        <v>3</v>
      </c>
    </row>
    <row r="306" spans="1:114">
      <c r="A306" s="462">
        <f>Arbeitszeit!A307</f>
        <v>45135</v>
      </c>
      <c r="B306" s="463">
        <f t="shared" si="17"/>
        <v>45135</v>
      </c>
      <c r="C306" s="146">
        <f t="shared" si="18"/>
        <v>30</v>
      </c>
      <c r="D306" s="145">
        <f t="shared" si="19"/>
        <v>45107</v>
      </c>
      <c r="E306" s="510">
        <f>Arbeitszeit!V307*24</f>
        <v>0</v>
      </c>
      <c r="F306" s="574">
        <f t="shared" si="16"/>
        <v>0</v>
      </c>
      <c r="G306" s="113">
        <f>IF(Arbeitszeit!F307=Urlaub,B_WorkTime*24,)</f>
        <v>0</v>
      </c>
      <c r="H306" s="111"/>
      <c r="I306" s="113">
        <f>IF(Arbeitszeit!F307=Krank,B_WorkTime*24,)</f>
        <v>0</v>
      </c>
      <c r="J306" s="111"/>
      <c r="K306" s="114"/>
      <c r="L306" s="115"/>
      <c r="M306" s="498"/>
      <c r="N306" s="499"/>
      <c r="O306" s="498"/>
      <c r="P306" s="499"/>
      <c r="Q306" s="498"/>
      <c r="R306" s="499"/>
      <c r="S306" s="498"/>
      <c r="T306" s="499"/>
      <c r="U306" s="498"/>
      <c r="V306" s="499"/>
      <c r="W306" s="498"/>
      <c r="X306" s="499"/>
      <c r="Y306" s="498"/>
      <c r="Z306" s="499"/>
      <c r="AA306" s="498"/>
      <c r="AB306" s="499"/>
      <c r="AC306" s="498"/>
      <c r="AD306" s="499"/>
      <c r="AE306" s="498"/>
      <c r="AF306" s="500"/>
      <c r="AG306" s="498"/>
      <c r="AH306" s="500"/>
      <c r="AI306" s="498"/>
      <c r="AJ306" s="500"/>
      <c r="AK306" s="498"/>
      <c r="AL306" s="500"/>
      <c r="AM306" s="501"/>
      <c r="AN306" s="500"/>
      <c r="AO306" s="498"/>
      <c r="AP306" s="500"/>
      <c r="AQ306" s="501"/>
      <c r="AR306" s="500"/>
      <c r="AS306" s="500"/>
      <c r="AT306" s="500"/>
      <c r="AU306" s="501"/>
      <c r="AV306" s="500"/>
      <c r="AW306" s="500"/>
      <c r="AX306" s="500"/>
      <c r="AY306" s="576"/>
      <c r="AZ306" s="576"/>
      <c r="BA306" s="576"/>
      <c r="BB306" s="576"/>
      <c r="BC306" s="576"/>
      <c r="BD306" s="576"/>
      <c r="BE306" s="576"/>
      <c r="BF306" s="576"/>
      <c r="BG306" s="576"/>
      <c r="BH306" s="576"/>
      <c r="BI306" s="576"/>
      <c r="BJ306" s="576"/>
      <c r="BK306" s="576"/>
      <c r="BL306" s="576"/>
      <c r="BM306" s="576"/>
      <c r="BN306" s="576"/>
      <c r="BO306" s="576"/>
      <c r="BP306" s="576"/>
      <c r="BQ306" s="576"/>
      <c r="BR306" s="576"/>
      <c r="BS306" s="576"/>
      <c r="BT306" s="576"/>
      <c r="BU306" s="576"/>
      <c r="BV306" s="576"/>
      <c r="BW306" s="576"/>
      <c r="BX306" s="576"/>
      <c r="BY306" s="576"/>
      <c r="BZ306" s="576"/>
      <c r="CA306" s="576"/>
      <c r="CB306" s="576"/>
      <c r="CC306" s="576"/>
      <c r="CD306" s="576"/>
      <c r="CE306" s="576"/>
      <c r="CF306" s="576"/>
      <c r="CG306" s="576"/>
      <c r="CH306" s="576"/>
      <c r="CI306" s="576"/>
      <c r="CJ306" s="576"/>
      <c r="CK306" s="576"/>
      <c r="CL306" s="576"/>
      <c r="CM306" s="576"/>
      <c r="CN306" s="576"/>
      <c r="CO306" s="576"/>
      <c r="CP306" s="576"/>
      <c r="CQ306" s="576"/>
      <c r="CR306" s="576"/>
      <c r="CS306" s="576"/>
      <c r="CT306" s="576"/>
      <c r="CU306" s="576"/>
      <c r="CV306" s="576"/>
      <c r="CW306" s="576"/>
      <c r="CX306" s="576"/>
      <c r="CY306" s="576"/>
      <c r="CZ306" s="576"/>
      <c r="DA306" s="576"/>
      <c r="DB306" s="576"/>
      <c r="DC306" s="576"/>
      <c r="DD306" s="576"/>
      <c r="DE306" s="576"/>
      <c r="DF306" s="576"/>
      <c r="DG306" s="576"/>
      <c r="DH306" s="116"/>
      <c r="DI306" s="112"/>
      <c r="DJ306">
        <f ca="1">INDIRECT(ADDRESS(ROW()+1,COLUMN(Arbeitszeit!xDay),,,"Arbeitszeit"))</f>
        <v>4</v>
      </c>
    </row>
    <row r="307" spans="1:114">
      <c r="A307" s="462">
        <f>Arbeitszeit!A308</f>
        <v>45136</v>
      </c>
      <c r="B307" s="463">
        <f t="shared" si="17"/>
        <v>45136</v>
      </c>
      <c r="C307" s="146">
        <f t="shared" si="18"/>
        <v>30</v>
      </c>
      <c r="D307" s="145">
        <f t="shared" si="19"/>
        <v>45107</v>
      </c>
      <c r="E307" s="510">
        <f>Arbeitszeit!V308*24</f>
        <v>0</v>
      </c>
      <c r="F307" s="574">
        <f t="shared" si="16"/>
        <v>0</v>
      </c>
      <c r="G307" s="113">
        <f>IF(Arbeitszeit!F308=Urlaub,B_WorkTime*24,)</f>
        <v>0</v>
      </c>
      <c r="H307" s="111"/>
      <c r="I307" s="113">
        <f>IF(Arbeitszeit!F308=Krank,B_WorkTime*24,)</f>
        <v>0</v>
      </c>
      <c r="J307" s="111"/>
      <c r="K307" s="114"/>
      <c r="L307" s="115"/>
      <c r="M307" s="498"/>
      <c r="N307" s="499"/>
      <c r="O307" s="498"/>
      <c r="P307" s="499"/>
      <c r="Q307" s="498"/>
      <c r="R307" s="499"/>
      <c r="S307" s="498"/>
      <c r="T307" s="499"/>
      <c r="U307" s="498"/>
      <c r="V307" s="499"/>
      <c r="W307" s="498"/>
      <c r="X307" s="499"/>
      <c r="Y307" s="498"/>
      <c r="Z307" s="499"/>
      <c r="AA307" s="498"/>
      <c r="AB307" s="499"/>
      <c r="AC307" s="498"/>
      <c r="AD307" s="499"/>
      <c r="AE307" s="498"/>
      <c r="AF307" s="500"/>
      <c r="AG307" s="498"/>
      <c r="AH307" s="500"/>
      <c r="AI307" s="498"/>
      <c r="AJ307" s="500"/>
      <c r="AK307" s="498"/>
      <c r="AL307" s="500"/>
      <c r="AM307" s="501"/>
      <c r="AN307" s="500"/>
      <c r="AO307" s="498"/>
      <c r="AP307" s="500"/>
      <c r="AQ307" s="501"/>
      <c r="AR307" s="500"/>
      <c r="AS307" s="500"/>
      <c r="AT307" s="500"/>
      <c r="AU307" s="501"/>
      <c r="AV307" s="500"/>
      <c r="AW307" s="500"/>
      <c r="AX307" s="500"/>
      <c r="AY307" s="576"/>
      <c r="AZ307" s="576"/>
      <c r="BA307" s="576"/>
      <c r="BB307" s="576"/>
      <c r="BC307" s="576"/>
      <c r="BD307" s="576"/>
      <c r="BE307" s="576"/>
      <c r="BF307" s="576"/>
      <c r="BG307" s="576"/>
      <c r="BH307" s="576"/>
      <c r="BI307" s="576"/>
      <c r="BJ307" s="576"/>
      <c r="BK307" s="576"/>
      <c r="BL307" s="576"/>
      <c r="BM307" s="576"/>
      <c r="BN307" s="576"/>
      <c r="BO307" s="576"/>
      <c r="BP307" s="576"/>
      <c r="BQ307" s="576"/>
      <c r="BR307" s="576"/>
      <c r="BS307" s="576"/>
      <c r="BT307" s="576"/>
      <c r="BU307" s="576"/>
      <c r="BV307" s="576"/>
      <c r="BW307" s="576"/>
      <c r="BX307" s="576"/>
      <c r="BY307" s="576"/>
      <c r="BZ307" s="576"/>
      <c r="CA307" s="576"/>
      <c r="CB307" s="576"/>
      <c r="CC307" s="576"/>
      <c r="CD307" s="576"/>
      <c r="CE307" s="576"/>
      <c r="CF307" s="576"/>
      <c r="CG307" s="576"/>
      <c r="CH307" s="576"/>
      <c r="CI307" s="576"/>
      <c r="CJ307" s="576"/>
      <c r="CK307" s="576"/>
      <c r="CL307" s="576"/>
      <c r="CM307" s="576"/>
      <c r="CN307" s="576"/>
      <c r="CO307" s="576"/>
      <c r="CP307" s="576"/>
      <c r="CQ307" s="576"/>
      <c r="CR307" s="576"/>
      <c r="CS307" s="576"/>
      <c r="CT307" s="576"/>
      <c r="CU307" s="576"/>
      <c r="CV307" s="576"/>
      <c r="CW307" s="576"/>
      <c r="CX307" s="576"/>
      <c r="CY307" s="576"/>
      <c r="CZ307" s="576"/>
      <c r="DA307" s="576"/>
      <c r="DB307" s="576"/>
      <c r="DC307" s="576"/>
      <c r="DD307" s="576"/>
      <c r="DE307" s="576"/>
      <c r="DF307" s="576"/>
      <c r="DG307" s="576"/>
      <c r="DH307" s="116"/>
      <c r="DI307" s="112"/>
      <c r="DJ307">
        <f ca="1">INDIRECT(ADDRESS(ROW()+1,COLUMN(Arbeitszeit!xDay),,,"Arbeitszeit"))</f>
        <v>5</v>
      </c>
    </row>
    <row r="308" spans="1:114">
      <c r="A308" s="462">
        <f>Arbeitszeit!A309</f>
        <v>45137</v>
      </c>
      <c r="B308" s="463">
        <f t="shared" si="17"/>
        <v>45137</v>
      </c>
      <c r="C308" s="146">
        <f t="shared" si="18"/>
        <v>30</v>
      </c>
      <c r="D308" s="145">
        <f t="shared" si="19"/>
        <v>45107</v>
      </c>
      <c r="E308" s="510">
        <f>Arbeitszeit!V309*24</f>
        <v>0</v>
      </c>
      <c r="F308" s="574">
        <f t="shared" si="16"/>
        <v>0</v>
      </c>
      <c r="G308" s="113">
        <f>IF(Arbeitszeit!F309=Urlaub,B_WorkTime*24,)</f>
        <v>0</v>
      </c>
      <c r="H308" s="111"/>
      <c r="I308" s="113">
        <f>IF(Arbeitszeit!F309=Krank,B_WorkTime*24,)</f>
        <v>0</v>
      </c>
      <c r="J308" s="111"/>
      <c r="K308" s="114"/>
      <c r="L308" s="115"/>
      <c r="M308" s="498"/>
      <c r="N308" s="499"/>
      <c r="O308" s="498"/>
      <c r="P308" s="499"/>
      <c r="Q308" s="498"/>
      <c r="R308" s="499"/>
      <c r="S308" s="498"/>
      <c r="T308" s="499"/>
      <c r="U308" s="498"/>
      <c r="V308" s="499"/>
      <c r="W308" s="498"/>
      <c r="X308" s="499"/>
      <c r="Y308" s="498"/>
      <c r="Z308" s="499"/>
      <c r="AA308" s="498"/>
      <c r="AB308" s="499"/>
      <c r="AC308" s="498"/>
      <c r="AD308" s="499"/>
      <c r="AE308" s="498"/>
      <c r="AF308" s="500"/>
      <c r="AG308" s="498"/>
      <c r="AH308" s="500"/>
      <c r="AI308" s="498"/>
      <c r="AJ308" s="500"/>
      <c r="AK308" s="498"/>
      <c r="AL308" s="500"/>
      <c r="AM308" s="501"/>
      <c r="AN308" s="500"/>
      <c r="AO308" s="498"/>
      <c r="AP308" s="500"/>
      <c r="AQ308" s="501"/>
      <c r="AR308" s="500"/>
      <c r="AS308" s="500"/>
      <c r="AT308" s="500"/>
      <c r="AU308" s="501"/>
      <c r="AV308" s="500"/>
      <c r="AW308" s="500"/>
      <c r="AX308" s="500"/>
      <c r="AY308" s="576"/>
      <c r="AZ308" s="576"/>
      <c r="BA308" s="576"/>
      <c r="BB308" s="576"/>
      <c r="BC308" s="576"/>
      <c r="BD308" s="576"/>
      <c r="BE308" s="576"/>
      <c r="BF308" s="576"/>
      <c r="BG308" s="576"/>
      <c r="BH308" s="576"/>
      <c r="BI308" s="576"/>
      <c r="BJ308" s="576"/>
      <c r="BK308" s="576"/>
      <c r="BL308" s="576"/>
      <c r="BM308" s="576"/>
      <c r="BN308" s="576"/>
      <c r="BO308" s="576"/>
      <c r="BP308" s="576"/>
      <c r="BQ308" s="576"/>
      <c r="BR308" s="576"/>
      <c r="BS308" s="576"/>
      <c r="BT308" s="576"/>
      <c r="BU308" s="576"/>
      <c r="BV308" s="576"/>
      <c r="BW308" s="576"/>
      <c r="BX308" s="576"/>
      <c r="BY308" s="576"/>
      <c r="BZ308" s="576"/>
      <c r="CA308" s="576"/>
      <c r="CB308" s="576"/>
      <c r="CC308" s="576"/>
      <c r="CD308" s="576"/>
      <c r="CE308" s="576"/>
      <c r="CF308" s="576"/>
      <c r="CG308" s="576"/>
      <c r="CH308" s="576"/>
      <c r="CI308" s="576"/>
      <c r="CJ308" s="576"/>
      <c r="CK308" s="576"/>
      <c r="CL308" s="576"/>
      <c r="CM308" s="576"/>
      <c r="CN308" s="576"/>
      <c r="CO308" s="576"/>
      <c r="CP308" s="576"/>
      <c r="CQ308" s="576"/>
      <c r="CR308" s="576"/>
      <c r="CS308" s="576"/>
      <c r="CT308" s="576"/>
      <c r="CU308" s="576"/>
      <c r="CV308" s="576"/>
      <c r="CW308" s="576"/>
      <c r="CX308" s="576"/>
      <c r="CY308" s="576"/>
      <c r="CZ308" s="576"/>
      <c r="DA308" s="576"/>
      <c r="DB308" s="576"/>
      <c r="DC308" s="576"/>
      <c r="DD308" s="576"/>
      <c r="DE308" s="576"/>
      <c r="DF308" s="576"/>
      <c r="DG308" s="576"/>
      <c r="DH308" s="116"/>
      <c r="DI308" s="112"/>
      <c r="DJ308">
        <f ca="1">INDIRECT(ADDRESS(ROW()+1,COLUMN(Arbeitszeit!xDay),,,"Arbeitszeit"))</f>
        <v>6</v>
      </c>
    </row>
    <row r="309" spans="1:114">
      <c r="A309" s="462">
        <f>Arbeitszeit!A310</f>
        <v>45138</v>
      </c>
      <c r="B309" s="463">
        <f t="shared" si="17"/>
        <v>45138</v>
      </c>
      <c r="C309" s="146">
        <f t="shared" si="18"/>
        <v>30</v>
      </c>
      <c r="D309" s="145">
        <f t="shared" si="19"/>
        <v>45138</v>
      </c>
      <c r="E309" s="510">
        <f>Arbeitszeit!V310*24</f>
        <v>0</v>
      </c>
      <c r="F309" s="574">
        <f t="shared" si="16"/>
        <v>0</v>
      </c>
      <c r="G309" s="113">
        <f>IF(Arbeitszeit!F310=Urlaub,B_WorkTime*24,)</f>
        <v>0</v>
      </c>
      <c r="H309" s="111"/>
      <c r="I309" s="113">
        <f>IF(Arbeitszeit!F310=Krank,B_WorkTime*24,)</f>
        <v>0</v>
      </c>
      <c r="J309" s="111"/>
      <c r="K309" s="114"/>
      <c r="L309" s="115"/>
      <c r="M309" s="498"/>
      <c r="N309" s="499"/>
      <c r="O309" s="498"/>
      <c r="P309" s="499"/>
      <c r="Q309" s="498"/>
      <c r="R309" s="499"/>
      <c r="S309" s="498"/>
      <c r="T309" s="499"/>
      <c r="U309" s="498"/>
      <c r="V309" s="499"/>
      <c r="W309" s="498"/>
      <c r="X309" s="499"/>
      <c r="Y309" s="498"/>
      <c r="Z309" s="499"/>
      <c r="AA309" s="498"/>
      <c r="AB309" s="499"/>
      <c r="AC309" s="498"/>
      <c r="AD309" s="499"/>
      <c r="AE309" s="498"/>
      <c r="AF309" s="500"/>
      <c r="AG309" s="498"/>
      <c r="AH309" s="500"/>
      <c r="AI309" s="498"/>
      <c r="AJ309" s="500"/>
      <c r="AK309" s="498"/>
      <c r="AL309" s="500"/>
      <c r="AM309" s="501"/>
      <c r="AN309" s="500"/>
      <c r="AO309" s="498"/>
      <c r="AP309" s="500"/>
      <c r="AQ309" s="501"/>
      <c r="AR309" s="500"/>
      <c r="AS309" s="500"/>
      <c r="AT309" s="500"/>
      <c r="AU309" s="501"/>
      <c r="AV309" s="500"/>
      <c r="AW309" s="500"/>
      <c r="AX309" s="500"/>
      <c r="AY309" s="576"/>
      <c r="AZ309" s="576"/>
      <c r="BA309" s="576"/>
      <c r="BB309" s="576"/>
      <c r="BC309" s="576"/>
      <c r="BD309" s="576"/>
      <c r="BE309" s="576"/>
      <c r="BF309" s="576"/>
      <c r="BG309" s="576"/>
      <c r="BH309" s="576"/>
      <c r="BI309" s="576"/>
      <c r="BJ309" s="576"/>
      <c r="BK309" s="576"/>
      <c r="BL309" s="576"/>
      <c r="BM309" s="576"/>
      <c r="BN309" s="576"/>
      <c r="BO309" s="576"/>
      <c r="BP309" s="576"/>
      <c r="BQ309" s="576"/>
      <c r="BR309" s="576"/>
      <c r="BS309" s="576"/>
      <c r="BT309" s="576"/>
      <c r="BU309" s="576"/>
      <c r="BV309" s="576"/>
      <c r="BW309" s="576"/>
      <c r="BX309" s="576"/>
      <c r="BY309" s="576"/>
      <c r="BZ309" s="576"/>
      <c r="CA309" s="576"/>
      <c r="CB309" s="576"/>
      <c r="CC309" s="576"/>
      <c r="CD309" s="576"/>
      <c r="CE309" s="576"/>
      <c r="CF309" s="576"/>
      <c r="CG309" s="576"/>
      <c r="CH309" s="576"/>
      <c r="CI309" s="576"/>
      <c r="CJ309" s="576"/>
      <c r="CK309" s="576"/>
      <c r="CL309" s="576"/>
      <c r="CM309" s="576"/>
      <c r="CN309" s="576"/>
      <c r="CO309" s="576"/>
      <c r="CP309" s="576"/>
      <c r="CQ309" s="576"/>
      <c r="CR309" s="576"/>
      <c r="CS309" s="576"/>
      <c r="CT309" s="576"/>
      <c r="CU309" s="576"/>
      <c r="CV309" s="576"/>
      <c r="CW309" s="576"/>
      <c r="CX309" s="576"/>
      <c r="CY309" s="576"/>
      <c r="CZ309" s="576"/>
      <c r="DA309" s="576"/>
      <c r="DB309" s="576"/>
      <c r="DC309" s="576"/>
      <c r="DD309" s="576"/>
      <c r="DE309" s="576"/>
      <c r="DF309" s="576"/>
      <c r="DG309" s="576"/>
      <c r="DH309" s="116"/>
      <c r="DI309" s="112"/>
      <c r="DJ309">
        <f ca="1">INDIRECT(ADDRESS(ROW()+1,COLUMN(Arbeitszeit!xDay),,,"Arbeitszeit"))</f>
        <v>7</v>
      </c>
    </row>
    <row r="310" spans="1:114">
      <c r="A310" s="462">
        <f>Arbeitszeit!A311</f>
        <v>45139</v>
      </c>
      <c r="B310" s="463">
        <f t="shared" si="17"/>
        <v>45139</v>
      </c>
      <c r="C310" s="146">
        <f t="shared" si="18"/>
        <v>31</v>
      </c>
      <c r="D310" s="145">
        <f t="shared" si="19"/>
        <v>45138</v>
      </c>
      <c r="E310" s="510">
        <f>Arbeitszeit!V311*24</f>
        <v>0</v>
      </c>
      <c r="F310" s="574">
        <f t="shared" si="16"/>
        <v>0</v>
      </c>
      <c r="G310" s="113">
        <f>IF(Arbeitszeit!F311=Urlaub,B_WorkTime*24,)</f>
        <v>0</v>
      </c>
      <c r="H310" s="111"/>
      <c r="I310" s="113">
        <f>IF(Arbeitszeit!F311=Krank,B_WorkTime*24,)</f>
        <v>0</v>
      </c>
      <c r="J310" s="111"/>
      <c r="K310" s="114"/>
      <c r="L310" s="115"/>
      <c r="M310" s="498"/>
      <c r="N310" s="499"/>
      <c r="O310" s="498"/>
      <c r="P310" s="499"/>
      <c r="Q310" s="498"/>
      <c r="R310" s="499"/>
      <c r="S310" s="498"/>
      <c r="T310" s="499"/>
      <c r="U310" s="498"/>
      <c r="V310" s="499"/>
      <c r="W310" s="498"/>
      <c r="X310" s="499"/>
      <c r="Y310" s="498"/>
      <c r="Z310" s="499"/>
      <c r="AA310" s="498"/>
      <c r="AB310" s="499"/>
      <c r="AC310" s="498"/>
      <c r="AD310" s="499"/>
      <c r="AE310" s="498"/>
      <c r="AF310" s="500"/>
      <c r="AG310" s="498"/>
      <c r="AH310" s="500"/>
      <c r="AI310" s="498"/>
      <c r="AJ310" s="500"/>
      <c r="AK310" s="498"/>
      <c r="AL310" s="500"/>
      <c r="AM310" s="501"/>
      <c r="AN310" s="500"/>
      <c r="AO310" s="498"/>
      <c r="AP310" s="500"/>
      <c r="AQ310" s="501"/>
      <c r="AR310" s="500"/>
      <c r="AS310" s="500"/>
      <c r="AT310" s="500"/>
      <c r="AU310" s="501"/>
      <c r="AV310" s="500"/>
      <c r="AW310" s="500"/>
      <c r="AX310" s="500"/>
      <c r="AY310" s="576"/>
      <c r="AZ310" s="576"/>
      <c r="BA310" s="576"/>
      <c r="BB310" s="576"/>
      <c r="BC310" s="576"/>
      <c r="BD310" s="576"/>
      <c r="BE310" s="576"/>
      <c r="BF310" s="576"/>
      <c r="BG310" s="576"/>
      <c r="BH310" s="576"/>
      <c r="BI310" s="576"/>
      <c r="BJ310" s="576"/>
      <c r="BK310" s="576"/>
      <c r="BL310" s="576"/>
      <c r="BM310" s="576"/>
      <c r="BN310" s="576"/>
      <c r="BO310" s="576"/>
      <c r="BP310" s="576"/>
      <c r="BQ310" s="576"/>
      <c r="BR310" s="576"/>
      <c r="BS310" s="576"/>
      <c r="BT310" s="576"/>
      <c r="BU310" s="576"/>
      <c r="BV310" s="576"/>
      <c r="BW310" s="576"/>
      <c r="BX310" s="576"/>
      <c r="BY310" s="576"/>
      <c r="BZ310" s="576"/>
      <c r="CA310" s="576"/>
      <c r="CB310" s="576"/>
      <c r="CC310" s="576"/>
      <c r="CD310" s="576"/>
      <c r="CE310" s="576"/>
      <c r="CF310" s="576"/>
      <c r="CG310" s="576"/>
      <c r="CH310" s="576"/>
      <c r="CI310" s="576"/>
      <c r="CJ310" s="576"/>
      <c r="CK310" s="576"/>
      <c r="CL310" s="576"/>
      <c r="CM310" s="576"/>
      <c r="CN310" s="576"/>
      <c r="CO310" s="576"/>
      <c r="CP310" s="576"/>
      <c r="CQ310" s="576"/>
      <c r="CR310" s="576"/>
      <c r="CS310" s="576"/>
      <c r="CT310" s="576"/>
      <c r="CU310" s="576"/>
      <c r="CV310" s="576"/>
      <c r="CW310" s="576"/>
      <c r="CX310" s="576"/>
      <c r="CY310" s="576"/>
      <c r="CZ310" s="576"/>
      <c r="DA310" s="576"/>
      <c r="DB310" s="576"/>
      <c r="DC310" s="576"/>
      <c r="DD310" s="576"/>
      <c r="DE310" s="576"/>
      <c r="DF310" s="576"/>
      <c r="DG310" s="576"/>
      <c r="DH310" s="116"/>
      <c r="DI310" s="112"/>
      <c r="DJ310">
        <f ca="1">INDIRECT(ADDRESS(ROW()+1,COLUMN(Arbeitszeit!xDay),,,"Arbeitszeit"))</f>
        <v>1</v>
      </c>
    </row>
    <row r="311" spans="1:114">
      <c r="A311" s="462">
        <f>Arbeitszeit!A312</f>
        <v>45140</v>
      </c>
      <c r="B311" s="463">
        <f t="shared" si="17"/>
        <v>45140</v>
      </c>
      <c r="C311" s="146">
        <f t="shared" si="18"/>
        <v>31</v>
      </c>
      <c r="D311" s="145">
        <f t="shared" si="19"/>
        <v>45138</v>
      </c>
      <c r="E311" s="510">
        <f>Arbeitszeit!V312*24</f>
        <v>0</v>
      </c>
      <c r="F311" s="574">
        <f t="shared" si="16"/>
        <v>0</v>
      </c>
      <c r="G311" s="113">
        <f>IF(Arbeitszeit!F312=Urlaub,B_WorkTime*24,)</f>
        <v>0</v>
      </c>
      <c r="H311" s="111"/>
      <c r="I311" s="113">
        <f>IF(Arbeitszeit!F312=Krank,B_WorkTime*24,)</f>
        <v>0</v>
      </c>
      <c r="J311" s="111"/>
      <c r="K311" s="114"/>
      <c r="L311" s="115"/>
      <c r="M311" s="498"/>
      <c r="N311" s="499"/>
      <c r="O311" s="498"/>
      <c r="P311" s="499"/>
      <c r="Q311" s="498"/>
      <c r="R311" s="499"/>
      <c r="S311" s="498"/>
      <c r="T311" s="499"/>
      <c r="U311" s="498"/>
      <c r="V311" s="499"/>
      <c r="W311" s="498"/>
      <c r="X311" s="499"/>
      <c r="Y311" s="498"/>
      <c r="Z311" s="499"/>
      <c r="AA311" s="498"/>
      <c r="AB311" s="499"/>
      <c r="AC311" s="498"/>
      <c r="AD311" s="499"/>
      <c r="AE311" s="498"/>
      <c r="AF311" s="500"/>
      <c r="AG311" s="498"/>
      <c r="AH311" s="500"/>
      <c r="AI311" s="498"/>
      <c r="AJ311" s="500"/>
      <c r="AK311" s="498"/>
      <c r="AL311" s="500"/>
      <c r="AM311" s="501"/>
      <c r="AN311" s="500"/>
      <c r="AO311" s="498"/>
      <c r="AP311" s="500"/>
      <c r="AQ311" s="501"/>
      <c r="AR311" s="500"/>
      <c r="AS311" s="500"/>
      <c r="AT311" s="500"/>
      <c r="AU311" s="501"/>
      <c r="AV311" s="500"/>
      <c r="AW311" s="500"/>
      <c r="AX311" s="500"/>
      <c r="AY311" s="576"/>
      <c r="AZ311" s="576"/>
      <c r="BA311" s="576"/>
      <c r="BB311" s="576"/>
      <c r="BC311" s="576"/>
      <c r="BD311" s="576"/>
      <c r="BE311" s="576"/>
      <c r="BF311" s="576"/>
      <c r="BG311" s="576"/>
      <c r="BH311" s="576"/>
      <c r="BI311" s="576"/>
      <c r="BJ311" s="576"/>
      <c r="BK311" s="576"/>
      <c r="BL311" s="576"/>
      <c r="BM311" s="576"/>
      <c r="BN311" s="576"/>
      <c r="BO311" s="576"/>
      <c r="BP311" s="576"/>
      <c r="BQ311" s="576"/>
      <c r="BR311" s="576"/>
      <c r="BS311" s="576"/>
      <c r="BT311" s="576"/>
      <c r="BU311" s="576"/>
      <c r="BV311" s="576"/>
      <c r="BW311" s="576"/>
      <c r="BX311" s="576"/>
      <c r="BY311" s="576"/>
      <c r="BZ311" s="576"/>
      <c r="CA311" s="576"/>
      <c r="CB311" s="576"/>
      <c r="CC311" s="576"/>
      <c r="CD311" s="576"/>
      <c r="CE311" s="576"/>
      <c r="CF311" s="576"/>
      <c r="CG311" s="576"/>
      <c r="CH311" s="576"/>
      <c r="CI311" s="576"/>
      <c r="CJ311" s="576"/>
      <c r="CK311" s="576"/>
      <c r="CL311" s="576"/>
      <c r="CM311" s="576"/>
      <c r="CN311" s="576"/>
      <c r="CO311" s="576"/>
      <c r="CP311" s="576"/>
      <c r="CQ311" s="576"/>
      <c r="CR311" s="576"/>
      <c r="CS311" s="576"/>
      <c r="CT311" s="576"/>
      <c r="CU311" s="576"/>
      <c r="CV311" s="576"/>
      <c r="CW311" s="576"/>
      <c r="CX311" s="576"/>
      <c r="CY311" s="576"/>
      <c r="CZ311" s="576"/>
      <c r="DA311" s="576"/>
      <c r="DB311" s="576"/>
      <c r="DC311" s="576"/>
      <c r="DD311" s="576"/>
      <c r="DE311" s="576"/>
      <c r="DF311" s="576"/>
      <c r="DG311" s="576"/>
      <c r="DH311" s="116"/>
      <c r="DI311" s="112"/>
      <c r="DJ311">
        <f ca="1">INDIRECT(ADDRESS(ROW()+1,COLUMN(Arbeitszeit!xDay),,,"Arbeitszeit"))</f>
        <v>2</v>
      </c>
    </row>
    <row r="312" spans="1:114">
      <c r="A312" s="462">
        <f>Arbeitszeit!A313</f>
        <v>45141</v>
      </c>
      <c r="B312" s="463">
        <f t="shared" si="17"/>
        <v>45141</v>
      </c>
      <c r="C312" s="146">
        <f t="shared" si="18"/>
        <v>31</v>
      </c>
      <c r="D312" s="145">
        <f t="shared" si="19"/>
        <v>45138</v>
      </c>
      <c r="E312" s="510">
        <f>Arbeitszeit!V313*24</f>
        <v>0</v>
      </c>
      <c r="F312" s="574">
        <f t="shared" si="16"/>
        <v>0</v>
      </c>
      <c r="G312" s="113">
        <f>IF(Arbeitszeit!F313=Urlaub,B_WorkTime*24,)</f>
        <v>0</v>
      </c>
      <c r="H312" s="111"/>
      <c r="I312" s="113">
        <f>IF(Arbeitszeit!F313=Krank,B_WorkTime*24,)</f>
        <v>0</v>
      </c>
      <c r="J312" s="111"/>
      <c r="K312" s="114"/>
      <c r="L312" s="115"/>
      <c r="M312" s="498"/>
      <c r="N312" s="499"/>
      <c r="O312" s="498"/>
      <c r="P312" s="499"/>
      <c r="Q312" s="498"/>
      <c r="R312" s="499"/>
      <c r="S312" s="498"/>
      <c r="T312" s="499"/>
      <c r="U312" s="498"/>
      <c r="V312" s="499"/>
      <c r="W312" s="498"/>
      <c r="X312" s="499"/>
      <c r="Y312" s="498"/>
      <c r="Z312" s="499"/>
      <c r="AA312" s="498"/>
      <c r="AB312" s="499"/>
      <c r="AC312" s="498"/>
      <c r="AD312" s="499"/>
      <c r="AE312" s="498"/>
      <c r="AF312" s="500"/>
      <c r="AG312" s="498"/>
      <c r="AH312" s="500"/>
      <c r="AI312" s="498"/>
      <c r="AJ312" s="500"/>
      <c r="AK312" s="498"/>
      <c r="AL312" s="500"/>
      <c r="AM312" s="501"/>
      <c r="AN312" s="500"/>
      <c r="AO312" s="498"/>
      <c r="AP312" s="500"/>
      <c r="AQ312" s="501"/>
      <c r="AR312" s="500"/>
      <c r="AS312" s="500"/>
      <c r="AT312" s="500"/>
      <c r="AU312" s="501"/>
      <c r="AV312" s="500"/>
      <c r="AW312" s="500"/>
      <c r="AX312" s="500"/>
      <c r="AY312" s="576"/>
      <c r="AZ312" s="576"/>
      <c r="BA312" s="576"/>
      <c r="BB312" s="576"/>
      <c r="BC312" s="576"/>
      <c r="BD312" s="576"/>
      <c r="BE312" s="576"/>
      <c r="BF312" s="576"/>
      <c r="BG312" s="576"/>
      <c r="BH312" s="576"/>
      <c r="BI312" s="576"/>
      <c r="BJ312" s="576"/>
      <c r="BK312" s="576"/>
      <c r="BL312" s="576"/>
      <c r="BM312" s="576"/>
      <c r="BN312" s="576"/>
      <c r="BO312" s="576"/>
      <c r="BP312" s="576"/>
      <c r="BQ312" s="576"/>
      <c r="BR312" s="576"/>
      <c r="BS312" s="576"/>
      <c r="BT312" s="576"/>
      <c r="BU312" s="576"/>
      <c r="BV312" s="576"/>
      <c r="BW312" s="576"/>
      <c r="BX312" s="576"/>
      <c r="BY312" s="576"/>
      <c r="BZ312" s="576"/>
      <c r="CA312" s="576"/>
      <c r="CB312" s="576"/>
      <c r="CC312" s="576"/>
      <c r="CD312" s="576"/>
      <c r="CE312" s="576"/>
      <c r="CF312" s="576"/>
      <c r="CG312" s="576"/>
      <c r="CH312" s="576"/>
      <c r="CI312" s="576"/>
      <c r="CJ312" s="576"/>
      <c r="CK312" s="576"/>
      <c r="CL312" s="576"/>
      <c r="CM312" s="576"/>
      <c r="CN312" s="576"/>
      <c r="CO312" s="576"/>
      <c r="CP312" s="576"/>
      <c r="CQ312" s="576"/>
      <c r="CR312" s="576"/>
      <c r="CS312" s="576"/>
      <c r="CT312" s="576"/>
      <c r="CU312" s="576"/>
      <c r="CV312" s="576"/>
      <c r="CW312" s="576"/>
      <c r="CX312" s="576"/>
      <c r="CY312" s="576"/>
      <c r="CZ312" s="576"/>
      <c r="DA312" s="576"/>
      <c r="DB312" s="576"/>
      <c r="DC312" s="576"/>
      <c r="DD312" s="576"/>
      <c r="DE312" s="576"/>
      <c r="DF312" s="576"/>
      <c r="DG312" s="576"/>
      <c r="DH312" s="116"/>
      <c r="DI312" s="112"/>
      <c r="DJ312">
        <f ca="1">INDIRECT(ADDRESS(ROW()+1,COLUMN(Arbeitszeit!xDay),,,"Arbeitszeit"))</f>
        <v>3</v>
      </c>
    </row>
    <row r="313" spans="1:114">
      <c r="A313" s="462">
        <f>Arbeitszeit!A314</f>
        <v>45142</v>
      </c>
      <c r="B313" s="463">
        <f t="shared" si="17"/>
        <v>45142</v>
      </c>
      <c r="C313" s="146">
        <f t="shared" si="18"/>
        <v>31</v>
      </c>
      <c r="D313" s="145">
        <f t="shared" si="19"/>
        <v>45138</v>
      </c>
      <c r="E313" s="510">
        <f>Arbeitszeit!V314*24</f>
        <v>0</v>
      </c>
      <c r="F313" s="574">
        <f t="shared" si="16"/>
        <v>0</v>
      </c>
      <c r="G313" s="113">
        <f>IF(Arbeitszeit!F314=Urlaub,B_WorkTime*24,)</f>
        <v>0</v>
      </c>
      <c r="H313" s="111"/>
      <c r="I313" s="113">
        <f>IF(Arbeitszeit!F314=Krank,B_WorkTime*24,)</f>
        <v>0</v>
      </c>
      <c r="J313" s="111"/>
      <c r="K313" s="114"/>
      <c r="L313" s="115"/>
      <c r="M313" s="498"/>
      <c r="N313" s="499"/>
      <c r="O313" s="498"/>
      <c r="P313" s="499"/>
      <c r="Q313" s="498"/>
      <c r="R313" s="499"/>
      <c r="S313" s="498"/>
      <c r="T313" s="499"/>
      <c r="U313" s="498"/>
      <c r="V313" s="499"/>
      <c r="W313" s="498"/>
      <c r="X313" s="499"/>
      <c r="Y313" s="498"/>
      <c r="Z313" s="499"/>
      <c r="AA313" s="498"/>
      <c r="AB313" s="499"/>
      <c r="AC313" s="498"/>
      <c r="AD313" s="499"/>
      <c r="AE313" s="498"/>
      <c r="AF313" s="500"/>
      <c r="AG313" s="498"/>
      <c r="AH313" s="500"/>
      <c r="AI313" s="498"/>
      <c r="AJ313" s="500"/>
      <c r="AK313" s="498"/>
      <c r="AL313" s="500"/>
      <c r="AM313" s="501"/>
      <c r="AN313" s="500"/>
      <c r="AO313" s="498"/>
      <c r="AP313" s="500"/>
      <c r="AQ313" s="501"/>
      <c r="AR313" s="500"/>
      <c r="AS313" s="500"/>
      <c r="AT313" s="500"/>
      <c r="AU313" s="501"/>
      <c r="AV313" s="500"/>
      <c r="AW313" s="500"/>
      <c r="AX313" s="500"/>
      <c r="AY313" s="576"/>
      <c r="AZ313" s="576"/>
      <c r="BA313" s="576"/>
      <c r="BB313" s="576"/>
      <c r="BC313" s="576"/>
      <c r="BD313" s="576"/>
      <c r="BE313" s="576"/>
      <c r="BF313" s="576"/>
      <c r="BG313" s="576"/>
      <c r="BH313" s="576"/>
      <c r="BI313" s="576"/>
      <c r="BJ313" s="576"/>
      <c r="BK313" s="576"/>
      <c r="BL313" s="576"/>
      <c r="BM313" s="576"/>
      <c r="BN313" s="576"/>
      <c r="BO313" s="576"/>
      <c r="BP313" s="576"/>
      <c r="BQ313" s="576"/>
      <c r="BR313" s="576"/>
      <c r="BS313" s="576"/>
      <c r="BT313" s="576"/>
      <c r="BU313" s="576"/>
      <c r="BV313" s="576"/>
      <c r="BW313" s="576"/>
      <c r="BX313" s="576"/>
      <c r="BY313" s="576"/>
      <c r="BZ313" s="576"/>
      <c r="CA313" s="576"/>
      <c r="CB313" s="576"/>
      <c r="CC313" s="576"/>
      <c r="CD313" s="576"/>
      <c r="CE313" s="576"/>
      <c r="CF313" s="576"/>
      <c r="CG313" s="576"/>
      <c r="CH313" s="576"/>
      <c r="CI313" s="576"/>
      <c r="CJ313" s="576"/>
      <c r="CK313" s="576"/>
      <c r="CL313" s="576"/>
      <c r="CM313" s="576"/>
      <c r="CN313" s="576"/>
      <c r="CO313" s="576"/>
      <c r="CP313" s="576"/>
      <c r="CQ313" s="576"/>
      <c r="CR313" s="576"/>
      <c r="CS313" s="576"/>
      <c r="CT313" s="576"/>
      <c r="CU313" s="576"/>
      <c r="CV313" s="576"/>
      <c r="CW313" s="576"/>
      <c r="CX313" s="576"/>
      <c r="CY313" s="576"/>
      <c r="CZ313" s="576"/>
      <c r="DA313" s="576"/>
      <c r="DB313" s="576"/>
      <c r="DC313" s="576"/>
      <c r="DD313" s="576"/>
      <c r="DE313" s="576"/>
      <c r="DF313" s="576"/>
      <c r="DG313" s="576"/>
      <c r="DH313" s="116"/>
      <c r="DI313" s="112"/>
      <c r="DJ313">
        <f ca="1">INDIRECT(ADDRESS(ROW()+1,COLUMN(Arbeitszeit!xDay),,,"Arbeitszeit"))</f>
        <v>4</v>
      </c>
    </row>
    <row r="314" spans="1:114">
      <c r="A314" s="462">
        <f>Arbeitszeit!A315</f>
        <v>45143</v>
      </c>
      <c r="B314" s="463">
        <f t="shared" si="17"/>
        <v>45143</v>
      </c>
      <c r="C314" s="146">
        <f t="shared" si="18"/>
        <v>31</v>
      </c>
      <c r="D314" s="145">
        <f t="shared" si="19"/>
        <v>45138</v>
      </c>
      <c r="E314" s="510">
        <f>Arbeitszeit!V315*24</f>
        <v>0</v>
      </c>
      <c r="F314" s="574">
        <f t="shared" si="16"/>
        <v>0</v>
      </c>
      <c r="G314" s="113">
        <f>IF(Arbeitszeit!F315=Urlaub,B_WorkTime*24,)</f>
        <v>0</v>
      </c>
      <c r="H314" s="111"/>
      <c r="I314" s="113">
        <f>IF(Arbeitszeit!F315=Krank,B_WorkTime*24,)</f>
        <v>0</v>
      </c>
      <c r="J314" s="111"/>
      <c r="K314" s="114"/>
      <c r="L314" s="115"/>
      <c r="M314" s="498"/>
      <c r="N314" s="499"/>
      <c r="O314" s="498"/>
      <c r="P314" s="499"/>
      <c r="Q314" s="498"/>
      <c r="R314" s="499"/>
      <c r="S314" s="498"/>
      <c r="T314" s="499"/>
      <c r="U314" s="498"/>
      <c r="V314" s="499"/>
      <c r="W314" s="498"/>
      <c r="X314" s="499"/>
      <c r="Y314" s="498"/>
      <c r="Z314" s="499"/>
      <c r="AA314" s="498"/>
      <c r="AB314" s="499"/>
      <c r="AC314" s="498"/>
      <c r="AD314" s="499"/>
      <c r="AE314" s="498"/>
      <c r="AF314" s="500"/>
      <c r="AG314" s="498"/>
      <c r="AH314" s="500"/>
      <c r="AI314" s="498"/>
      <c r="AJ314" s="500"/>
      <c r="AK314" s="498"/>
      <c r="AL314" s="500"/>
      <c r="AM314" s="501"/>
      <c r="AN314" s="500"/>
      <c r="AO314" s="498"/>
      <c r="AP314" s="500"/>
      <c r="AQ314" s="501"/>
      <c r="AR314" s="500"/>
      <c r="AS314" s="500"/>
      <c r="AT314" s="500"/>
      <c r="AU314" s="501"/>
      <c r="AV314" s="500"/>
      <c r="AW314" s="500"/>
      <c r="AX314" s="500"/>
      <c r="AY314" s="576"/>
      <c r="AZ314" s="576"/>
      <c r="BA314" s="576"/>
      <c r="BB314" s="576"/>
      <c r="BC314" s="576"/>
      <c r="BD314" s="576"/>
      <c r="BE314" s="576"/>
      <c r="BF314" s="576"/>
      <c r="BG314" s="576"/>
      <c r="BH314" s="576"/>
      <c r="BI314" s="576"/>
      <c r="BJ314" s="576"/>
      <c r="BK314" s="576"/>
      <c r="BL314" s="576"/>
      <c r="BM314" s="576"/>
      <c r="BN314" s="576"/>
      <c r="BO314" s="576"/>
      <c r="BP314" s="576"/>
      <c r="BQ314" s="576"/>
      <c r="BR314" s="576"/>
      <c r="BS314" s="576"/>
      <c r="BT314" s="576"/>
      <c r="BU314" s="576"/>
      <c r="BV314" s="576"/>
      <c r="BW314" s="576"/>
      <c r="BX314" s="576"/>
      <c r="BY314" s="576"/>
      <c r="BZ314" s="576"/>
      <c r="CA314" s="576"/>
      <c r="CB314" s="576"/>
      <c r="CC314" s="576"/>
      <c r="CD314" s="576"/>
      <c r="CE314" s="576"/>
      <c r="CF314" s="576"/>
      <c r="CG314" s="576"/>
      <c r="CH314" s="576"/>
      <c r="CI314" s="576"/>
      <c r="CJ314" s="576"/>
      <c r="CK314" s="576"/>
      <c r="CL314" s="576"/>
      <c r="CM314" s="576"/>
      <c r="CN314" s="576"/>
      <c r="CO314" s="576"/>
      <c r="CP314" s="576"/>
      <c r="CQ314" s="576"/>
      <c r="CR314" s="576"/>
      <c r="CS314" s="576"/>
      <c r="CT314" s="576"/>
      <c r="CU314" s="576"/>
      <c r="CV314" s="576"/>
      <c r="CW314" s="576"/>
      <c r="CX314" s="576"/>
      <c r="CY314" s="576"/>
      <c r="CZ314" s="576"/>
      <c r="DA314" s="576"/>
      <c r="DB314" s="576"/>
      <c r="DC314" s="576"/>
      <c r="DD314" s="576"/>
      <c r="DE314" s="576"/>
      <c r="DF314" s="576"/>
      <c r="DG314" s="576"/>
      <c r="DH314" s="116"/>
      <c r="DI314" s="112"/>
      <c r="DJ314">
        <f ca="1">INDIRECT(ADDRESS(ROW()+1,COLUMN(Arbeitszeit!xDay),,,"Arbeitszeit"))</f>
        <v>5</v>
      </c>
    </row>
    <row r="315" spans="1:114">
      <c r="A315" s="462">
        <f>Arbeitszeit!A316</f>
        <v>45144</v>
      </c>
      <c r="B315" s="463">
        <f t="shared" si="17"/>
        <v>45144</v>
      </c>
      <c r="C315" s="146">
        <f t="shared" si="18"/>
        <v>31</v>
      </c>
      <c r="D315" s="145">
        <f t="shared" si="19"/>
        <v>45138</v>
      </c>
      <c r="E315" s="510">
        <f>Arbeitszeit!V316*24</f>
        <v>0</v>
      </c>
      <c r="F315" s="574">
        <f t="shared" si="16"/>
        <v>0</v>
      </c>
      <c r="G315" s="113">
        <f>IF(Arbeitszeit!F316=Urlaub,B_WorkTime*24,)</f>
        <v>0</v>
      </c>
      <c r="H315" s="111"/>
      <c r="I315" s="113">
        <f>IF(Arbeitszeit!F316=Krank,B_WorkTime*24,)</f>
        <v>0</v>
      </c>
      <c r="J315" s="111"/>
      <c r="K315" s="114"/>
      <c r="L315" s="115"/>
      <c r="M315" s="498"/>
      <c r="N315" s="499"/>
      <c r="O315" s="498"/>
      <c r="P315" s="499"/>
      <c r="Q315" s="498"/>
      <c r="R315" s="499"/>
      <c r="S315" s="498"/>
      <c r="T315" s="499"/>
      <c r="U315" s="498"/>
      <c r="V315" s="499"/>
      <c r="W315" s="498"/>
      <c r="X315" s="499"/>
      <c r="Y315" s="498"/>
      <c r="Z315" s="499"/>
      <c r="AA315" s="498"/>
      <c r="AB315" s="499"/>
      <c r="AC315" s="498"/>
      <c r="AD315" s="499"/>
      <c r="AE315" s="498"/>
      <c r="AF315" s="500"/>
      <c r="AG315" s="498"/>
      <c r="AH315" s="500"/>
      <c r="AI315" s="498"/>
      <c r="AJ315" s="500"/>
      <c r="AK315" s="498"/>
      <c r="AL315" s="500"/>
      <c r="AM315" s="501"/>
      <c r="AN315" s="500"/>
      <c r="AO315" s="498"/>
      <c r="AP315" s="500"/>
      <c r="AQ315" s="501"/>
      <c r="AR315" s="500"/>
      <c r="AS315" s="500"/>
      <c r="AT315" s="500"/>
      <c r="AU315" s="501"/>
      <c r="AV315" s="500"/>
      <c r="AW315" s="500"/>
      <c r="AX315" s="500"/>
      <c r="AY315" s="576"/>
      <c r="AZ315" s="576"/>
      <c r="BA315" s="576"/>
      <c r="BB315" s="576"/>
      <c r="BC315" s="576"/>
      <c r="BD315" s="576"/>
      <c r="BE315" s="576"/>
      <c r="BF315" s="576"/>
      <c r="BG315" s="576"/>
      <c r="BH315" s="576"/>
      <c r="BI315" s="576"/>
      <c r="BJ315" s="576"/>
      <c r="BK315" s="576"/>
      <c r="BL315" s="576"/>
      <c r="BM315" s="576"/>
      <c r="BN315" s="576"/>
      <c r="BO315" s="576"/>
      <c r="BP315" s="576"/>
      <c r="BQ315" s="576"/>
      <c r="BR315" s="576"/>
      <c r="BS315" s="576"/>
      <c r="BT315" s="576"/>
      <c r="BU315" s="576"/>
      <c r="BV315" s="576"/>
      <c r="BW315" s="576"/>
      <c r="BX315" s="576"/>
      <c r="BY315" s="576"/>
      <c r="BZ315" s="576"/>
      <c r="CA315" s="576"/>
      <c r="CB315" s="576"/>
      <c r="CC315" s="576"/>
      <c r="CD315" s="576"/>
      <c r="CE315" s="576"/>
      <c r="CF315" s="576"/>
      <c r="CG315" s="576"/>
      <c r="CH315" s="576"/>
      <c r="CI315" s="576"/>
      <c r="CJ315" s="576"/>
      <c r="CK315" s="576"/>
      <c r="CL315" s="576"/>
      <c r="CM315" s="576"/>
      <c r="CN315" s="576"/>
      <c r="CO315" s="576"/>
      <c r="CP315" s="576"/>
      <c r="CQ315" s="576"/>
      <c r="CR315" s="576"/>
      <c r="CS315" s="576"/>
      <c r="CT315" s="576"/>
      <c r="CU315" s="576"/>
      <c r="CV315" s="576"/>
      <c r="CW315" s="576"/>
      <c r="CX315" s="576"/>
      <c r="CY315" s="576"/>
      <c r="CZ315" s="576"/>
      <c r="DA315" s="576"/>
      <c r="DB315" s="576"/>
      <c r="DC315" s="576"/>
      <c r="DD315" s="576"/>
      <c r="DE315" s="576"/>
      <c r="DF315" s="576"/>
      <c r="DG315" s="576"/>
      <c r="DH315" s="116"/>
      <c r="DI315" s="112"/>
      <c r="DJ315">
        <f ca="1">INDIRECT(ADDRESS(ROW()+1,COLUMN(Arbeitszeit!xDay),,,"Arbeitszeit"))</f>
        <v>6</v>
      </c>
    </row>
    <row r="316" spans="1:114">
      <c r="A316" s="462">
        <f>Arbeitszeit!A317</f>
        <v>45145</v>
      </c>
      <c r="B316" s="463">
        <f t="shared" si="17"/>
        <v>45145</v>
      </c>
      <c r="C316" s="146">
        <f t="shared" si="18"/>
        <v>31</v>
      </c>
      <c r="D316" s="145">
        <f t="shared" si="19"/>
        <v>45138</v>
      </c>
      <c r="E316" s="510">
        <f>Arbeitszeit!V317*24</f>
        <v>0</v>
      </c>
      <c r="F316" s="574">
        <f t="shared" si="16"/>
        <v>0</v>
      </c>
      <c r="G316" s="113">
        <f>IF(Arbeitszeit!F317=Urlaub,B_WorkTime*24,)</f>
        <v>0</v>
      </c>
      <c r="H316" s="111"/>
      <c r="I316" s="113">
        <f>IF(Arbeitszeit!F317=Krank,B_WorkTime*24,)</f>
        <v>0</v>
      </c>
      <c r="J316" s="111"/>
      <c r="K316" s="114"/>
      <c r="L316" s="115"/>
      <c r="M316" s="498"/>
      <c r="N316" s="499"/>
      <c r="O316" s="498"/>
      <c r="P316" s="499"/>
      <c r="Q316" s="498"/>
      <c r="R316" s="499"/>
      <c r="S316" s="498"/>
      <c r="T316" s="499"/>
      <c r="U316" s="498"/>
      <c r="V316" s="499"/>
      <c r="W316" s="498"/>
      <c r="X316" s="499"/>
      <c r="Y316" s="498"/>
      <c r="Z316" s="499"/>
      <c r="AA316" s="498"/>
      <c r="AB316" s="499"/>
      <c r="AC316" s="498"/>
      <c r="AD316" s="499"/>
      <c r="AE316" s="498"/>
      <c r="AF316" s="500"/>
      <c r="AG316" s="498"/>
      <c r="AH316" s="500"/>
      <c r="AI316" s="498"/>
      <c r="AJ316" s="500"/>
      <c r="AK316" s="498"/>
      <c r="AL316" s="500"/>
      <c r="AM316" s="501"/>
      <c r="AN316" s="500"/>
      <c r="AO316" s="498"/>
      <c r="AP316" s="500"/>
      <c r="AQ316" s="501"/>
      <c r="AR316" s="500"/>
      <c r="AS316" s="500"/>
      <c r="AT316" s="500"/>
      <c r="AU316" s="501"/>
      <c r="AV316" s="500"/>
      <c r="AW316" s="500"/>
      <c r="AX316" s="500"/>
      <c r="AY316" s="576"/>
      <c r="AZ316" s="576"/>
      <c r="BA316" s="576"/>
      <c r="BB316" s="576"/>
      <c r="BC316" s="576"/>
      <c r="BD316" s="576"/>
      <c r="BE316" s="576"/>
      <c r="BF316" s="576"/>
      <c r="BG316" s="576"/>
      <c r="BH316" s="576"/>
      <c r="BI316" s="576"/>
      <c r="BJ316" s="576"/>
      <c r="BK316" s="576"/>
      <c r="BL316" s="576"/>
      <c r="BM316" s="576"/>
      <c r="BN316" s="576"/>
      <c r="BO316" s="576"/>
      <c r="BP316" s="576"/>
      <c r="BQ316" s="576"/>
      <c r="BR316" s="576"/>
      <c r="BS316" s="576"/>
      <c r="BT316" s="576"/>
      <c r="BU316" s="576"/>
      <c r="BV316" s="576"/>
      <c r="BW316" s="576"/>
      <c r="BX316" s="576"/>
      <c r="BY316" s="576"/>
      <c r="BZ316" s="576"/>
      <c r="CA316" s="576"/>
      <c r="CB316" s="576"/>
      <c r="CC316" s="576"/>
      <c r="CD316" s="576"/>
      <c r="CE316" s="576"/>
      <c r="CF316" s="576"/>
      <c r="CG316" s="576"/>
      <c r="CH316" s="576"/>
      <c r="CI316" s="576"/>
      <c r="CJ316" s="576"/>
      <c r="CK316" s="576"/>
      <c r="CL316" s="576"/>
      <c r="CM316" s="576"/>
      <c r="CN316" s="576"/>
      <c r="CO316" s="576"/>
      <c r="CP316" s="576"/>
      <c r="CQ316" s="576"/>
      <c r="CR316" s="576"/>
      <c r="CS316" s="576"/>
      <c r="CT316" s="576"/>
      <c r="CU316" s="576"/>
      <c r="CV316" s="576"/>
      <c r="CW316" s="576"/>
      <c r="CX316" s="576"/>
      <c r="CY316" s="576"/>
      <c r="CZ316" s="576"/>
      <c r="DA316" s="576"/>
      <c r="DB316" s="576"/>
      <c r="DC316" s="576"/>
      <c r="DD316" s="576"/>
      <c r="DE316" s="576"/>
      <c r="DF316" s="576"/>
      <c r="DG316" s="576"/>
      <c r="DH316" s="116"/>
      <c r="DI316" s="112"/>
      <c r="DJ316">
        <f ca="1">INDIRECT(ADDRESS(ROW()+1,COLUMN(Arbeitszeit!xDay),,,"Arbeitszeit"))</f>
        <v>7</v>
      </c>
    </row>
    <row r="317" spans="1:114">
      <c r="A317" s="462">
        <f>Arbeitszeit!A318</f>
        <v>45146</v>
      </c>
      <c r="B317" s="463">
        <f t="shared" si="17"/>
        <v>45146</v>
      </c>
      <c r="C317" s="146">
        <f t="shared" si="18"/>
        <v>32</v>
      </c>
      <c r="D317" s="145">
        <f t="shared" si="19"/>
        <v>45138</v>
      </c>
      <c r="E317" s="510">
        <f>Arbeitszeit!V318*24</f>
        <v>0</v>
      </c>
      <c r="F317" s="574">
        <f t="shared" si="16"/>
        <v>0</v>
      </c>
      <c r="G317" s="113">
        <f>IF(Arbeitszeit!F318=Urlaub,B_WorkTime*24,)</f>
        <v>0</v>
      </c>
      <c r="H317" s="111"/>
      <c r="I317" s="113">
        <f>IF(Arbeitszeit!F318=Krank,B_WorkTime*24,)</f>
        <v>0</v>
      </c>
      <c r="J317" s="111"/>
      <c r="K317" s="114"/>
      <c r="L317" s="115"/>
      <c r="M317" s="498"/>
      <c r="N317" s="499"/>
      <c r="O317" s="498"/>
      <c r="P317" s="499"/>
      <c r="Q317" s="498"/>
      <c r="R317" s="499"/>
      <c r="S317" s="498"/>
      <c r="T317" s="499"/>
      <c r="U317" s="498"/>
      <c r="V317" s="499"/>
      <c r="W317" s="498"/>
      <c r="X317" s="499"/>
      <c r="Y317" s="498"/>
      <c r="Z317" s="499"/>
      <c r="AA317" s="498"/>
      <c r="AB317" s="499"/>
      <c r="AC317" s="498"/>
      <c r="AD317" s="499"/>
      <c r="AE317" s="498"/>
      <c r="AF317" s="500"/>
      <c r="AG317" s="498"/>
      <c r="AH317" s="500"/>
      <c r="AI317" s="498"/>
      <c r="AJ317" s="500"/>
      <c r="AK317" s="498"/>
      <c r="AL317" s="500"/>
      <c r="AM317" s="501"/>
      <c r="AN317" s="500"/>
      <c r="AO317" s="498"/>
      <c r="AP317" s="500"/>
      <c r="AQ317" s="501"/>
      <c r="AR317" s="500"/>
      <c r="AS317" s="500"/>
      <c r="AT317" s="500"/>
      <c r="AU317" s="501"/>
      <c r="AV317" s="500"/>
      <c r="AW317" s="500"/>
      <c r="AX317" s="500"/>
      <c r="AY317" s="576"/>
      <c r="AZ317" s="576"/>
      <c r="BA317" s="576"/>
      <c r="BB317" s="576"/>
      <c r="BC317" s="576"/>
      <c r="BD317" s="576"/>
      <c r="BE317" s="576"/>
      <c r="BF317" s="576"/>
      <c r="BG317" s="576"/>
      <c r="BH317" s="576"/>
      <c r="BI317" s="576"/>
      <c r="BJ317" s="576"/>
      <c r="BK317" s="576"/>
      <c r="BL317" s="576"/>
      <c r="BM317" s="576"/>
      <c r="BN317" s="576"/>
      <c r="BO317" s="576"/>
      <c r="BP317" s="576"/>
      <c r="BQ317" s="576"/>
      <c r="BR317" s="576"/>
      <c r="BS317" s="576"/>
      <c r="BT317" s="576"/>
      <c r="BU317" s="576"/>
      <c r="BV317" s="576"/>
      <c r="BW317" s="576"/>
      <c r="BX317" s="576"/>
      <c r="BY317" s="576"/>
      <c r="BZ317" s="576"/>
      <c r="CA317" s="576"/>
      <c r="CB317" s="576"/>
      <c r="CC317" s="576"/>
      <c r="CD317" s="576"/>
      <c r="CE317" s="576"/>
      <c r="CF317" s="576"/>
      <c r="CG317" s="576"/>
      <c r="CH317" s="576"/>
      <c r="CI317" s="576"/>
      <c r="CJ317" s="576"/>
      <c r="CK317" s="576"/>
      <c r="CL317" s="576"/>
      <c r="CM317" s="576"/>
      <c r="CN317" s="576"/>
      <c r="CO317" s="576"/>
      <c r="CP317" s="576"/>
      <c r="CQ317" s="576"/>
      <c r="CR317" s="576"/>
      <c r="CS317" s="576"/>
      <c r="CT317" s="576"/>
      <c r="CU317" s="576"/>
      <c r="CV317" s="576"/>
      <c r="CW317" s="576"/>
      <c r="CX317" s="576"/>
      <c r="CY317" s="576"/>
      <c r="CZ317" s="576"/>
      <c r="DA317" s="576"/>
      <c r="DB317" s="576"/>
      <c r="DC317" s="576"/>
      <c r="DD317" s="576"/>
      <c r="DE317" s="576"/>
      <c r="DF317" s="576"/>
      <c r="DG317" s="576"/>
      <c r="DH317" s="116"/>
      <c r="DI317" s="112"/>
      <c r="DJ317">
        <f ca="1">INDIRECT(ADDRESS(ROW()+1,COLUMN(Arbeitszeit!xDay),,,"Arbeitszeit"))</f>
        <v>1</v>
      </c>
    </row>
    <row r="318" spans="1:114">
      <c r="A318" s="462">
        <f>Arbeitszeit!A319</f>
        <v>45147</v>
      </c>
      <c r="B318" s="463">
        <f t="shared" si="17"/>
        <v>45147</v>
      </c>
      <c r="C318" s="146">
        <f t="shared" si="18"/>
        <v>32</v>
      </c>
      <c r="D318" s="145">
        <f t="shared" si="19"/>
        <v>45138</v>
      </c>
      <c r="E318" s="510">
        <f>Arbeitszeit!V319*24</f>
        <v>0</v>
      </c>
      <c r="F318" s="574">
        <f t="shared" si="16"/>
        <v>0</v>
      </c>
      <c r="G318" s="113">
        <f>IF(Arbeitszeit!F319=Urlaub,B_WorkTime*24,)</f>
        <v>0</v>
      </c>
      <c r="H318" s="111"/>
      <c r="I318" s="113">
        <f>IF(Arbeitszeit!F319=Krank,B_WorkTime*24,)</f>
        <v>0</v>
      </c>
      <c r="J318" s="111"/>
      <c r="K318" s="114"/>
      <c r="L318" s="115"/>
      <c r="M318" s="498"/>
      <c r="N318" s="499"/>
      <c r="O318" s="498"/>
      <c r="P318" s="499"/>
      <c r="Q318" s="498"/>
      <c r="R318" s="499"/>
      <c r="S318" s="498"/>
      <c r="T318" s="503"/>
      <c r="U318" s="498"/>
      <c r="V318" s="499"/>
      <c r="W318" s="498"/>
      <c r="X318" s="499"/>
      <c r="Y318" s="498"/>
      <c r="Z318" s="499"/>
      <c r="AA318" s="498"/>
      <c r="AB318" s="499"/>
      <c r="AC318" s="498"/>
      <c r="AD318" s="499"/>
      <c r="AE318" s="498"/>
      <c r="AF318" s="500"/>
      <c r="AG318" s="498"/>
      <c r="AH318" s="500"/>
      <c r="AI318" s="498"/>
      <c r="AJ318" s="500"/>
      <c r="AK318" s="498"/>
      <c r="AL318" s="500"/>
      <c r="AM318" s="501"/>
      <c r="AN318" s="500"/>
      <c r="AO318" s="498"/>
      <c r="AP318" s="500"/>
      <c r="AQ318" s="501"/>
      <c r="AR318" s="500"/>
      <c r="AS318" s="500"/>
      <c r="AT318" s="500"/>
      <c r="AU318" s="501"/>
      <c r="AV318" s="500"/>
      <c r="AW318" s="500"/>
      <c r="AX318" s="500"/>
      <c r="AY318" s="576"/>
      <c r="AZ318" s="576"/>
      <c r="BA318" s="576"/>
      <c r="BB318" s="576"/>
      <c r="BC318" s="576"/>
      <c r="BD318" s="576"/>
      <c r="BE318" s="576"/>
      <c r="BF318" s="576"/>
      <c r="BG318" s="576"/>
      <c r="BH318" s="576"/>
      <c r="BI318" s="576"/>
      <c r="BJ318" s="576"/>
      <c r="BK318" s="576"/>
      <c r="BL318" s="576"/>
      <c r="BM318" s="576"/>
      <c r="BN318" s="576"/>
      <c r="BO318" s="576"/>
      <c r="BP318" s="576"/>
      <c r="BQ318" s="576"/>
      <c r="BR318" s="576"/>
      <c r="BS318" s="576"/>
      <c r="BT318" s="576"/>
      <c r="BU318" s="576"/>
      <c r="BV318" s="576"/>
      <c r="BW318" s="576"/>
      <c r="BX318" s="576"/>
      <c r="BY318" s="576"/>
      <c r="BZ318" s="576"/>
      <c r="CA318" s="576"/>
      <c r="CB318" s="576"/>
      <c r="CC318" s="576"/>
      <c r="CD318" s="576"/>
      <c r="CE318" s="576"/>
      <c r="CF318" s="576"/>
      <c r="CG318" s="576"/>
      <c r="CH318" s="576"/>
      <c r="CI318" s="576"/>
      <c r="CJ318" s="576"/>
      <c r="CK318" s="576"/>
      <c r="CL318" s="576"/>
      <c r="CM318" s="576"/>
      <c r="CN318" s="576"/>
      <c r="CO318" s="576"/>
      <c r="CP318" s="576"/>
      <c r="CQ318" s="576"/>
      <c r="CR318" s="576"/>
      <c r="CS318" s="576"/>
      <c r="CT318" s="576"/>
      <c r="CU318" s="576"/>
      <c r="CV318" s="576"/>
      <c r="CW318" s="576"/>
      <c r="CX318" s="576"/>
      <c r="CY318" s="576"/>
      <c r="CZ318" s="576"/>
      <c r="DA318" s="576"/>
      <c r="DB318" s="576"/>
      <c r="DC318" s="576"/>
      <c r="DD318" s="576"/>
      <c r="DE318" s="576"/>
      <c r="DF318" s="576"/>
      <c r="DG318" s="576"/>
      <c r="DH318" s="116"/>
      <c r="DI318" s="112"/>
      <c r="DJ318">
        <f ca="1">INDIRECT(ADDRESS(ROW()+1,COLUMN(Arbeitszeit!xDay),,,"Arbeitszeit"))</f>
        <v>2</v>
      </c>
    </row>
    <row r="319" spans="1:114">
      <c r="A319" s="462">
        <f>Arbeitszeit!A320</f>
        <v>45148</v>
      </c>
      <c r="B319" s="463">
        <f t="shared" si="17"/>
        <v>45148</v>
      </c>
      <c r="C319" s="146">
        <f t="shared" si="18"/>
        <v>32</v>
      </c>
      <c r="D319" s="145">
        <f t="shared" si="19"/>
        <v>45138</v>
      </c>
      <c r="E319" s="510">
        <f>Arbeitszeit!V320*24</f>
        <v>0</v>
      </c>
      <c r="F319" s="574">
        <f t="shared" si="16"/>
        <v>0</v>
      </c>
      <c r="G319" s="113">
        <f>IF(Arbeitszeit!F320=Urlaub,B_WorkTime*24,)</f>
        <v>0</v>
      </c>
      <c r="H319" s="111"/>
      <c r="I319" s="113">
        <f>IF(Arbeitszeit!F320=Krank,B_WorkTime*24,)</f>
        <v>0</v>
      </c>
      <c r="J319" s="111"/>
      <c r="K319" s="114"/>
      <c r="L319" s="115"/>
      <c r="M319" s="498"/>
      <c r="N319" s="499"/>
      <c r="O319" s="498"/>
      <c r="P319" s="499"/>
      <c r="Q319" s="498"/>
      <c r="R319" s="499"/>
      <c r="S319" s="498"/>
      <c r="T319" s="499"/>
      <c r="U319" s="498"/>
      <c r="V319" s="499"/>
      <c r="W319" s="498"/>
      <c r="X319" s="499"/>
      <c r="Y319" s="498"/>
      <c r="Z319" s="499"/>
      <c r="AA319" s="498"/>
      <c r="AB319" s="499"/>
      <c r="AC319" s="498"/>
      <c r="AD319" s="499"/>
      <c r="AE319" s="498"/>
      <c r="AF319" s="500"/>
      <c r="AG319" s="498"/>
      <c r="AH319" s="500"/>
      <c r="AI319" s="498"/>
      <c r="AJ319" s="500"/>
      <c r="AK319" s="498"/>
      <c r="AL319" s="500"/>
      <c r="AM319" s="501"/>
      <c r="AN319" s="500"/>
      <c r="AO319" s="498"/>
      <c r="AP319" s="500"/>
      <c r="AQ319" s="501"/>
      <c r="AR319" s="500"/>
      <c r="AS319" s="500"/>
      <c r="AT319" s="500"/>
      <c r="AU319" s="501"/>
      <c r="AV319" s="500"/>
      <c r="AW319" s="500"/>
      <c r="AX319" s="500"/>
      <c r="AY319" s="576"/>
      <c r="AZ319" s="576"/>
      <c r="BA319" s="576"/>
      <c r="BB319" s="576"/>
      <c r="BC319" s="576"/>
      <c r="BD319" s="576"/>
      <c r="BE319" s="576"/>
      <c r="BF319" s="576"/>
      <c r="BG319" s="576"/>
      <c r="BH319" s="576"/>
      <c r="BI319" s="576"/>
      <c r="BJ319" s="576"/>
      <c r="BK319" s="576"/>
      <c r="BL319" s="576"/>
      <c r="BM319" s="576"/>
      <c r="BN319" s="576"/>
      <c r="BO319" s="576"/>
      <c r="BP319" s="576"/>
      <c r="BQ319" s="576"/>
      <c r="BR319" s="576"/>
      <c r="BS319" s="576"/>
      <c r="BT319" s="576"/>
      <c r="BU319" s="576"/>
      <c r="BV319" s="576"/>
      <c r="BW319" s="576"/>
      <c r="BX319" s="576"/>
      <c r="BY319" s="576"/>
      <c r="BZ319" s="576"/>
      <c r="CA319" s="576"/>
      <c r="CB319" s="576"/>
      <c r="CC319" s="576"/>
      <c r="CD319" s="576"/>
      <c r="CE319" s="576"/>
      <c r="CF319" s="576"/>
      <c r="CG319" s="576"/>
      <c r="CH319" s="576"/>
      <c r="CI319" s="576"/>
      <c r="CJ319" s="576"/>
      <c r="CK319" s="576"/>
      <c r="CL319" s="576"/>
      <c r="CM319" s="576"/>
      <c r="CN319" s="576"/>
      <c r="CO319" s="576"/>
      <c r="CP319" s="576"/>
      <c r="CQ319" s="576"/>
      <c r="CR319" s="576"/>
      <c r="CS319" s="576"/>
      <c r="CT319" s="576"/>
      <c r="CU319" s="576"/>
      <c r="CV319" s="576"/>
      <c r="CW319" s="576"/>
      <c r="CX319" s="576"/>
      <c r="CY319" s="576"/>
      <c r="CZ319" s="576"/>
      <c r="DA319" s="576"/>
      <c r="DB319" s="576"/>
      <c r="DC319" s="576"/>
      <c r="DD319" s="576"/>
      <c r="DE319" s="576"/>
      <c r="DF319" s="576"/>
      <c r="DG319" s="576"/>
      <c r="DH319" s="116"/>
      <c r="DI319" s="112"/>
      <c r="DJ319">
        <f ca="1">INDIRECT(ADDRESS(ROW()+1,COLUMN(Arbeitszeit!xDay),,,"Arbeitszeit"))</f>
        <v>3</v>
      </c>
    </row>
    <row r="320" spans="1:114">
      <c r="A320" s="462">
        <f>Arbeitszeit!A321</f>
        <v>45149</v>
      </c>
      <c r="B320" s="463">
        <f t="shared" si="17"/>
        <v>45149</v>
      </c>
      <c r="C320" s="146">
        <f t="shared" si="18"/>
        <v>32</v>
      </c>
      <c r="D320" s="145">
        <f t="shared" si="19"/>
        <v>45138</v>
      </c>
      <c r="E320" s="510">
        <f>Arbeitszeit!V321*24</f>
        <v>0</v>
      </c>
      <c r="F320" s="574">
        <f t="shared" si="16"/>
        <v>0</v>
      </c>
      <c r="G320" s="113">
        <f>IF(Arbeitszeit!F321=Urlaub,B_WorkTime*24,)</f>
        <v>0</v>
      </c>
      <c r="H320" s="111"/>
      <c r="I320" s="113">
        <f>IF(Arbeitszeit!F321=Krank,B_WorkTime*24,)</f>
        <v>0</v>
      </c>
      <c r="J320" s="111"/>
      <c r="K320" s="114"/>
      <c r="L320" s="115"/>
      <c r="M320" s="498"/>
      <c r="N320" s="499"/>
      <c r="O320" s="498"/>
      <c r="P320" s="499"/>
      <c r="Q320" s="498"/>
      <c r="R320" s="499"/>
      <c r="S320" s="498"/>
      <c r="T320" s="499"/>
      <c r="U320" s="498"/>
      <c r="V320" s="499"/>
      <c r="W320" s="498"/>
      <c r="X320" s="499"/>
      <c r="Y320" s="498"/>
      <c r="Z320" s="499"/>
      <c r="AA320" s="498"/>
      <c r="AB320" s="499"/>
      <c r="AC320" s="498"/>
      <c r="AD320" s="499"/>
      <c r="AE320" s="498"/>
      <c r="AF320" s="500"/>
      <c r="AG320" s="498"/>
      <c r="AH320" s="500"/>
      <c r="AI320" s="498"/>
      <c r="AJ320" s="500"/>
      <c r="AK320" s="498"/>
      <c r="AL320" s="500"/>
      <c r="AM320" s="501"/>
      <c r="AN320" s="500"/>
      <c r="AO320" s="498"/>
      <c r="AP320" s="500"/>
      <c r="AQ320" s="501"/>
      <c r="AR320" s="500"/>
      <c r="AS320" s="500"/>
      <c r="AT320" s="500"/>
      <c r="AU320" s="501"/>
      <c r="AV320" s="500"/>
      <c r="AW320" s="500"/>
      <c r="AX320" s="500"/>
      <c r="AY320" s="576"/>
      <c r="AZ320" s="576"/>
      <c r="BA320" s="576"/>
      <c r="BB320" s="576"/>
      <c r="BC320" s="576"/>
      <c r="BD320" s="576"/>
      <c r="BE320" s="576"/>
      <c r="BF320" s="576"/>
      <c r="BG320" s="576"/>
      <c r="BH320" s="576"/>
      <c r="BI320" s="576"/>
      <c r="BJ320" s="576"/>
      <c r="BK320" s="576"/>
      <c r="BL320" s="576"/>
      <c r="BM320" s="576"/>
      <c r="BN320" s="576"/>
      <c r="BO320" s="576"/>
      <c r="BP320" s="576"/>
      <c r="BQ320" s="576"/>
      <c r="BR320" s="576"/>
      <c r="BS320" s="576"/>
      <c r="BT320" s="576"/>
      <c r="BU320" s="576"/>
      <c r="BV320" s="576"/>
      <c r="BW320" s="576"/>
      <c r="BX320" s="576"/>
      <c r="BY320" s="576"/>
      <c r="BZ320" s="576"/>
      <c r="CA320" s="576"/>
      <c r="CB320" s="576"/>
      <c r="CC320" s="576"/>
      <c r="CD320" s="576"/>
      <c r="CE320" s="576"/>
      <c r="CF320" s="576"/>
      <c r="CG320" s="576"/>
      <c r="CH320" s="576"/>
      <c r="CI320" s="576"/>
      <c r="CJ320" s="576"/>
      <c r="CK320" s="576"/>
      <c r="CL320" s="576"/>
      <c r="CM320" s="576"/>
      <c r="CN320" s="576"/>
      <c r="CO320" s="576"/>
      <c r="CP320" s="576"/>
      <c r="CQ320" s="576"/>
      <c r="CR320" s="576"/>
      <c r="CS320" s="576"/>
      <c r="CT320" s="576"/>
      <c r="CU320" s="576"/>
      <c r="CV320" s="576"/>
      <c r="CW320" s="576"/>
      <c r="CX320" s="576"/>
      <c r="CY320" s="576"/>
      <c r="CZ320" s="576"/>
      <c r="DA320" s="576"/>
      <c r="DB320" s="576"/>
      <c r="DC320" s="576"/>
      <c r="DD320" s="576"/>
      <c r="DE320" s="576"/>
      <c r="DF320" s="576"/>
      <c r="DG320" s="576"/>
      <c r="DH320" s="116"/>
      <c r="DI320" s="112"/>
      <c r="DJ320">
        <f ca="1">INDIRECT(ADDRESS(ROW()+1,COLUMN(Arbeitszeit!xDay),,,"Arbeitszeit"))</f>
        <v>4</v>
      </c>
    </row>
    <row r="321" spans="1:114">
      <c r="A321" s="462">
        <f>Arbeitszeit!A322</f>
        <v>45150</v>
      </c>
      <c r="B321" s="463">
        <f t="shared" si="17"/>
        <v>45150</v>
      </c>
      <c r="C321" s="146">
        <f t="shared" si="18"/>
        <v>32</v>
      </c>
      <c r="D321" s="145">
        <f t="shared" si="19"/>
        <v>45138</v>
      </c>
      <c r="E321" s="510">
        <f>Arbeitszeit!V322*24</f>
        <v>0</v>
      </c>
      <c r="F321" s="574">
        <f t="shared" si="16"/>
        <v>0</v>
      </c>
      <c r="G321" s="113">
        <f>IF(Arbeitszeit!F322=Urlaub,B_WorkTime*24,)</f>
        <v>0</v>
      </c>
      <c r="H321" s="111"/>
      <c r="I321" s="113">
        <f>IF(Arbeitszeit!F322=Krank,B_WorkTime*24,)</f>
        <v>0</v>
      </c>
      <c r="J321" s="111"/>
      <c r="K321" s="114"/>
      <c r="L321" s="115"/>
      <c r="M321" s="498"/>
      <c r="N321" s="499"/>
      <c r="O321" s="498"/>
      <c r="P321" s="499"/>
      <c r="Q321" s="498"/>
      <c r="R321" s="499"/>
      <c r="S321" s="498"/>
      <c r="T321" s="499"/>
      <c r="U321" s="498"/>
      <c r="V321" s="499"/>
      <c r="W321" s="498"/>
      <c r="X321" s="499"/>
      <c r="Y321" s="498"/>
      <c r="Z321" s="499"/>
      <c r="AA321" s="498"/>
      <c r="AB321" s="499"/>
      <c r="AC321" s="498"/>
      <c r="AD321" s="499"/>
      <c r="AE321" s="498"/>
      <c r="AF321" s="500"/>
      <c r="AG321" s="498"/>
      <c r="AH321" s="500"/>
      <c r="AI321" s="498"/>
      <c r="AJ321" s="500"/>
      <c r="AK321" s="498"/>
      <c r="AL321" s="500"/>
      <c r="AM321" s="501"/>
      <c r="AN321" s="500"/>
      <c r="AO321" s="498"/>
      <c r="AP321" s="500"/>
      <c r="AQ321" s="501"/>
      <c r="AR321" s="500"/>
      <c r="AS321" s="500"/>
      <c r="AT321" s="500"/>
      <c r="AU321" s="501"/>
      <c r="AV321" s="500"/>
      <c r="AW321" s="500"/>
      <c r="AX321" s="500"/>
      <c r="AY321" s="576"/>
      <c r="AZ321" s="576"/>
      <c r="BA321" s="576"/>
      <c r="BB321" s="576"/>
      <c r="BC321" s="576"/>
      <c r="BD321" s="576"/>
      <c r="BE321" s="576"/>
      <c r="BF321" s="576"/>
      <c r="BG321" s="576"/>
      <c r="BH321" s="576"/>
      <c r="BI321" s="576"/>
      <c r="BJ321" s="576"/>
      <c r="BK321" s="576"/>
      <c r="BL321" s="576"/>
      <c r="BM321" s="576"/>
      <c r="BN321" s="576"/>
      <c r="BO321" s="576"/>
      <c r="BP321" s="576"/>
      <c r="BQ321" s="576"/>
      <c r="BR321" s="576"/>
      <c r="BS321" s="576"/>
      <c r="BT321" s="576"/>
      <c r="BU321" s="576"/>
      <c r="BV321" s="576"/>
      <c r="BW321" s="576"/>
      <c r="BX321" s="576"/>
      <c r="BY321" s="576"/>
      <c r="BZ321" s="576"/>
      <c r="CA321" s="576"/>
      <c r="CB321" s="576"/>
      <c r="CC321" s="576"/>
      <c r="CD321" s="576"/>
      <c r="CE321" s="576"/>
      <c r="CF321" s="576"/>
      <c r="CG321" s="576"/>
      <c r="CH321" s="576"/>
      <c r="CI321" s="576"/>
      <c r="CJ321" s="576"/>
      <c r="CK321" s="576"/>
      <c r="CL321" s="576"/>
      <c r="CM321" s="576"/>
      <c r="CN321" s="576"/>
      <c r="CO321" s="576"/>
      <c r="CP321" s="576"/>
      <c r="CQ321" s="576"/>
      <c r="CR321" s="576"/>
      <c r="CS321" s="576"/>
      <c r="CT321" s="576"/>
      <c r="CU321" s="576"/>
      <c r="CV321" s="576"/>
      <c r="CW321" s="576"/>
      <c r="CX321" s="576"/>
      <c r="CY321" s="576"/>
      <c r="CZ321" s="576"/>
      <c r="DA321" s="576"/>
      <c r="DB321" s="576"/>
      <c r="DC321" s="576"/>
      <c r="DD321" s="576"/>
      <c r="DE321" s="576"/>
      <c r="DF321" s="576"/>
      <c r="DG321" s="576"/>
      <c r="DH321" s="116"/>
      <c r="DI321" s="112"/>
      <c r="DJ321">
        <f ca="1">INDIRECT(ADDRESS(ROW()+1,COLUMN(Arbeitszeit!xDay),,,"Arbeitszeit"))</f>
        <v>5</v>
      </c>
    </row>
    <row r="322" spans="1:114">
      <c r="A322" s="462">
        <f>Arbeitszeit!A323</f>
        <v>45151</v>
      </c>
      <c r="B322" s="463">
        <f t="shared" si="17"/>
        <v>45151</v>
      </c>
      <c r="C322" s="146">
        <f t="shared" si="18"/>
        <v>32</v>
      </c>
      <c r="D322" s="145">
        <f t="shared" si="19"/>
        <v>45138</v>
      </c>
      <c r="E322" s="510">
        <f>Arbeitszeit!V323*24</f>
        <v>0</v>
      </c>
      <c r="F322" s="574">
        <f t="shared" si="16"/>
        <v>0</v>
      </c>
      <c r="G322" s="113">
        <f>IF(Arbeitszeit!F323=Urlaub,B_WorkTime*24,)</f>
        <v>0</v>
      </c>
      <c r="H322" s="111"/>
      <c r="I322" s="113">
        <f>IF(Arbeitszeit!F323=Krank,B_WorkTime*24,)</f>
        <v>0</v>
      </c>
      <c r="J322" s="111"/>
      <c r="K322" s="114"/>
      <c r="L322" s="115"/>
      <c r="M322" s="498"/>
      <c r="N322" s="499"/>
      <c r="O322" s="498"/>
      <c r="P322" s="499"/>
      <c r="Q322" s="498"/>
      <c r="R322" s="499"/>
      <c r="S322" s="498"/>
      <c r="T322" s="499"/>
      <c r="U322" s="498"/>
      <c r="V322" s="499"/>
      <c r="W322" s="498"/>
      <c r="X322" s="499"/>
      <c r="Y322" s="498"/>
      <c r="Z322" s="499"/>
      <c r="AA322" s="498"/>
      <c r="AB322" s="499"/>
      <c r="AC322" s="498"/>
      <c r="AD322" s="499"/>
      <c r="AE322" s="498"/>
      <c r="AF322" s="500"/>
      <c r="AG322" s="498"/>
      <c r="AH322" s="500"/>
      <c r="AI322" s="498"/>
      <c r="AJ322" s="500"/>
      <c r="AK322" s="498"/>
      <c r="AL322" s="500"/>
      <c r="AM322" s="501"/>
      <c r="AN322" s="500"/>
      <c r="AO322" s="498"/>
      <c r="AP322" s="500"/>
      <c r="AQ322" s="501"/>
      <c r="AR322" s="500"/>
      <c r="AS322" s="500"/>
      <c r="AT322" s="500"/>
      <c r="AU322" s="501"/>
      <c r="AV322" s="500"/>
      <c r="AW322" s="500"/>
      <c r="AX322" s="500"/>
      <c r="AY322" s="576"/>
      <c r="AZ322" s="576"/>
      <c r="BA322" s="576"/>
      <c r="BB322" s="576"/>
      <c r="BC322" s="576"/>
      <c r="BD322" s="576"/>
      <c r="BE322" s="576"/>
      <c r="BF322" s="576"/>
      <c r="BG322" s="576"/>
      <c r="BH322" s="576"/>
      <c r="BI322" s="576"/>
      <c r="BJ322" s="576"/>
      <c r="BK322" s="576"/>
      <c r="BL322" s="576"/>
      <c r="BM322" s="576"/>
      <c r="BN322" s="576"/>
      <c r="BO322" s="576"/>
      <c r="BP322" s="576"/>
      <c r="BQ322" s="576"/>
      <c r="BR322" s="576"/>
      <c r="BS322" s="576"/>
      <c r="BT322" s="576"/>
      <c r="BU322" s="576"/>
      <c r="BV322" s="576"/>
      <c r="BW322" s="576"/>
      <c r="BX322" s="576"/>
      <c r="BY322" s="576"/>
      <c r="BZ322" s="576"/>
      <c r="CA322" s="576"/>
      <c r="CB322" s="576"/>
      <c r="CC322" s="576"/>
      <c r="CD322" s="576"/>
      <c r="CE322" s="576"/>
      <c r="CF322" s="576"/>
      <c r="CG322" s="576"/>
      <c r="CH322" s="576"/>
      <c r="CI322" s="576"/>
      <c r="CJ322" s="576"/>
      <c r="CK322" s="576"/>
      <c r="CL322" s="576"/>
      <c r="CM322" s="576"/>
      <c r="CN322" s="576"/>
      <c r="CO322" s="576"/>
      <c r="CP322" s="576"/>
      <c r="CQ322" s="576"/>
      <c r="CR322" s="576"/>
      <c r="CS322" s="576"/>
      <c r="CT322" s="576"/>
      <c r="CU322" s="576"/>
      <c r="CV322" s="576"/>
      <c r="CW322" s="576"/>
      <c r="CX322" s="576"/>
      <c r="CY322" s="576"/>
      <c r="CZ322" s="576"/>
      <c r="DA322" s="576"/>
      <c r="DB322" s="576"/>
      <c r="DC322" s="576"/>
      <c r="DD322" s="576"/>
      <c r="DE322" s="576"/>
      <c r="DF322" s="576"/>
      <c r="DG322" s="576"/>
      <c r="DH322" s="116"/>
      <c r="DI322" s="112"/>
      <c r="DJ322">
        <f ca="1">INDIRECT(ADDRESS(ROW()+1,COLUMN(Arbeitszeit!xDay),,,"Arbeitszeit"))</f>
        <v>6</v>
      </c>
    </row>
    <row r="323" spans="1:114">
      <c r="A323" s="462">
        <f>Arbeitszeit!A324</f>
        <v>45152</v>
      </c>
      <c r="B323" s="463">
        <f t="shared" si="17"/>
        <v>45152</v>
      </c>
      <c r="C323" s="146">
        <f t="shared" si="18"/>
        <v>32</v>
      </c>
      <c r="D323" s="145">
        <f t="shared" si="19"/>
        <v>45138</v>
      </c>
      <c r="E323" s="510">
        <f>Arbeitszeit!V324*24</f>
        <v>0</v>
      </c>
      <c r="F323" s="574">
        <f t="shared" si="16"/>
        <v>0</v>
      </c>
      <c r="G323" s="113">
        <f>IF(Arbeitszeit!F324=Urlaub,B_WorkTime*24,)</f>
        <v>0</v>
      </c>
      <c r="H323" s="111"/>
      <c r="I323" s="113">
        <f>IF(Arbeitszeit!F324=Krank,B_WorkTime*24,)</f>
        <v>0</v>
      </c>
      <c r="J323" s="111"/>
      <c r="K323" s="114"/>
      <c r="L323" s="115"/>
      <c r="M323" s="498"/>
      <c r="N323" s="499"/>
      <c r="O323" s="498"/>
      <c r="P323" s="499"/>
      <c r="Q323" s="498"/>
      <c r="R323" s="499"/>
      <c r="S323" s="498"/>
      <c r="T323" s="499"/>
      <c r="U323" s="498"/>
      <c r="V323" s="499"/>
      <c r="W323" s="498"/>
      <c r="X323" s="499"/>
      <c r="Y323" s="498"/>
      <c r="Z323" s="499"/>
      <c r="AA323" s="498"/>
      <c r="AB323" s="499"/>
      <c r="AC323" s="498"/>
      <c r="AD323" s="499"/>
      <c r="AE323" s="498"/>
      <c r="AF323" s="500"/>
      <c r="AG323" s="498"/>
      <c r="AH323" s="500"/>
      <c r="AI323" s="498"/>
      <c r="AJ323" s="500"/>
      <c r="AK323" s="498"/>
      <c r="AL323" s="500"/>
      <c r="AM323" s="501"/>
      <c r="AN323" s="500"/>
      <c r="AO323" s="498"/>
      <c r="AP323" s="500"/>
      <c r="AQ323" s="501"/>
      <c r="AR323" s="500"/>
      <c r="AS323" s="500"/>
      <c r="AT323" s="500"/>
      <c r="AU323" s="501"/>
      <c r="AV323" s="500"/>
      <c r="AW323" s="500"/>
      <c r="AX323" s="500"/>
      <c r="AY323" s="576"/>
      <c r="AZ323" s="576"/>
      <c r="BA323" s="576"/>
      <c r="BB323" s="576"/>
      <c r="BC323" s="576"/>
      <c r="BD323" s="576"/>
      <c r="BE323" s="576"/>
      <c r="BF323" s="576"/>
      <c r="BG323" s="576"/>
      <c r="BH323" s="576"/>
      <c r="BI323" s="576"/>
      <c r="BJ323" s="576"/>
      <c r="BK323" s="576"/>
      <c r="BL323" s="576"/>
      <c r="BM323" s="576"/>
      <c r="BN323" s="576"/>
      <c r="BO323" s="576"/>
      <c r="BP323" s="576"/>
      <c r="BQ323" s="576"/>
      <c r="BR323" s="576"/>
      <c r="BS323" s="576"/>
      <c r="BT323" s="576"/>
      <c r="BU323" s="576"/>
      <c r="BV323" s="576"/>
      <c r="BW323" s="576"/>
      <c r="BX323" s="576"/>
      <c r="BY323" s="576"/>
      <c r="BZ323" s="576"/>
      <c r="CA323" s="576"/>
      <c r="CB323" s="576"/>
      <c r="CC323" s="576"/>
      <c r="CD323" s="576"/>
      <c r="CE323" s="576"/>
      <c r="CF323" s="576"/>
      <c r="CG323" s="576"/>
      <c r="CH323" s="576"/>
      <c r="CI323" s="576"/>
      <c r="CJ323" s="576"/>
      <c r="CK323" s="576"/>
      <c r="CL323" s="576"/>
      <c r="CM323" s="576"/>
      <c r="CN323" s="576"/>
      <c r="CO323" s="576"/>
      <c r="CP323" s="576"/>
      <c r="CQ323" s="576"/>
      <c r="CR323" s="576"/>
      <c r="CS323" s="576"/>
      <c r="CT323" s="576"/>
      <c r="CU323" s="576"/>
      <c r="CV323" s="576"/>
      <c r="CW323" s="576"/>
      <c r="CX323" s="576"/>
      <c r="CY323" s="576"/>
      <c r="CZ323" s="576"/>
      <c r="DA323" s="576"/>
      <c r="DB323" s="576"/>
      <c r="DC323" s="576"/>
      <c r="DD323" s="576"/>
      <c r="DE323" s="576"/>
      <c r="DF323" s="576"/>
      <c r="DG323" s="576"/>
      <c r="DH323" s="116"/>
      <c r="DI323" s="112"/>
      <c r="DJ323">
        <f ca="1">INDIRECT(ADDRESS(ROW()+1,COLUMN(Arbeitszeit!xDay),,,"Arbeitszeit"))</f>
        <v>7</v>
      </c>
    </row>
    <row r="324" spans="1:114">
      <c r="A324" s="462">
        <f>Arbeitszeit!A325</f>
        <v>45153</v>
      </c>
      <c r="B324" s="463">
        <f t="shared" si="17"/>
        <v>45153</v>
      </c>
      <c r="C324" s="146">
        <f t="shared" si="18"/>
        <v>33</v>
      </c>
      <c r="D324" s="145">
        <f t="shared" si="19"/>
        <v>45138</v>
      </c>
      <c r="E324" s="510">
        <f>Arbeitszeit!V325*24</f>
        <v>0</v>
      </c>
      <c r="F324" s="574">
        <f t="shared" si="16"/>
        <v>0</v>
      </c>
      <c r="G324" s="113">
        <f>IF(Arbeitszeit!F325=Urlaub,B_WorkTime*24,)</f>
        <v>0</v>
      </c>
      <c r="H324" s="111"/>
      <c r="I324" s="113">
        <f>IF(Arbeitszeit!F325=Krank,B_WorkTime*24,)</f>
        <v>0</v>
      </c>
      <c r="J324" s="111"/>
      <c r="K324" s="114"/>
      <c r="L324" s="115"/>
      <c r="M324" s="498"/>
      <c r="N324" s="499"/>
      <c r="O324" s="498"/>
      <c r="P324" s="499"/>
      <c r="Q324" s="498"/>
      <c r="R324" s="499"/>
      <c r="S324" s="498"/>
      <c r="T324" s="499"/>
      <c r="U324" s="498"/>
      <c r="V324" s="499"/>
      <c r="W324" s="498"/>
      <c r="X324" s="499"/>
      <c r="Y324" s="498"/>
      <c r="Z324" s="499"/>
      <c r="AA324" s="498"/>
      <c r="AB324" s="499"/>
      <c r="AC324" s="498"/>
      <c r="AD324" s="499"/>
      <c r="AE324" s="498"/>
      <c r="AF324" s="500"/>
      <c r="AG324" s="498"/>
      <c r="AH324" s="500"/>
      <c r="AI324" s="498"/>
      <c r="AJ324" s="500"/>
      <c r="AK324" s="498"/>
      <c r="AL324" s="500"/>
      <c r="AM324" s="501"/>
      <c r="AN324" s="500"/>
      <c r="AO324" s="498"/>
      <c r="AP324" s="500"/>
      <c r="AQ324" s="501"/>
      <c r="AR324" s="500"/>
      <c r="AS324" s="500"/>
      <c r="AT324" s="500"/>
      <c r="AU324" s="501"/>
      <c r="AV324" s="500"/>
      <c r="AW324" s="500"/>
      <c r="AX324" s="500"/>
      <c r="AY324" s="576"/>
      <c r="AZ324" s="576"/>
      <c r="BA324" s="576"/>
      <c r="BB324" s="576"/>
      <c r="BC324" s="576"/>
      <c r="BD324" s="576"/>
      <c r="BE324" s="576"/>
      <c r="BF324" s="576"/>
      <c r="BG324" s="576"/>
      <c r="BH324" s="576"/>
      <c r="BI324" s="576"/>
      <c r="BJ324" s="576"/>
      <c r="BK324" s="576"/>
      <c r="BL324" s="576"/>
      <c r="BM324" s="576"/>
      <c r="BN324" s="576"/>
      <c r="BO324" s="576"/>
      <c r="BP324" s="576"/>
      <c r="BQ324" s="576"/>
      <c r="BR324" s="576"/>
      <c r="BS324" s="576"/>
      <c r="BT324" s="576"/>
      <c r="BU324" s="576"/>
      <c r="BV324" s="576"/>
      <c r="BW324" s="576"/>
      <c r="BX324" s="576"/>
      <c r="BY324" s="576"/>
      <c r="BZ324" s="576"/>
      <c r="CA324" s="576"/>
      <c r="CB324" s="576"/>
      <c r="CC324" s="576"/>
      <c r="CD324" s="576"/>
      <c r="CE324" s="576"/>
      <c r="CF324" s="576"/>
      <c r="CG324" s="576"/>
      <c r="CH324" s="576"/>
      <c r="CI324" s="576"/>
      <c r="CJ324" s="576"/>
      <c r="CK324" s="576"/>
      <c r="CL324" s="576"/>
      <c r="CM324" s="576"/>
      <c r="CN324" s="576"/>
      <c r="CO324" s="576"/>
      <c r="CP324" s="576"/>
      <c r="CQ324" s="576"/>
      <c r="CR324" s="576"/>
      <c r="CS324" s="576"/>
      <c r="CT324" s="576"/>
      <c r="CU324" s="576"/>
      <c r="CV324" s="576"/>
      <c r="CW324" s="576"/>
      <c r="CX324" s="576"/>
      <c r="CY324" s="576"/>
      <c r="CZ324" s="576"/>
      <c r="DA324" s="576"/>
      <c r="DB324" s="576"/>
      <c r="DC324" s="576"/>
      <c r="DD324" s="576"/>
      <c r="DE324" s="576"/>
      <c r="DF324" s="576"/>
      <c r="DG324" s="576"/>
      <c r="DH324" s="116"/>
      <c r="DI324" s="112"/>
      <c r="DJ324">
        <f ca="1">INDIRECT(ADDRESS(ROW()+1,COLUMN(Arbeitszeit!xDay),,,"Arbeitszeit"))</f>
        <v>1</v>
      </c>
    </row>
    <row r="325" spans="1:114">
      <c r="A325" s="462">
        <f>Arbeitszeit!A326</f>
        <v>45154</v>
      </c>
      <c r="B325" s="463">
        <f t="shared" si="17"/>
        <v>45154</v>
      </c>
      <c r="C325" s="146">
        <f t="shared" si="18"/>
        <v>33</v>
      </c>
      <c r="D325" s="145">
        <f t="shared" si="19"/>
        <v>45138</v>
      </c>
      <c r="E325" s="510">
        <f>Arbeitszeit!V326*24</f>
        <v>0</v>
      </c>
      <c r="F325" s="574">
        <f t="shared" ref="F325:F372" si="20">ROUND(E325-SUM(K325:DG325),2)</f>
        <v>0</v>
      </c>
      <c r="G325" s="113">
        <f>IF(Arbeitszeit!F326=Urlaub,B_WorkTime*24,)</f>
        <v>0</v>
      </c>
      <c r="H325" s="111"/>
      <c r="I325" s="113">
        <f>IF(Arbeitszeit!F326=Krank,B_WorkTime*24,)</f>
        <v>0</v>
      </c>
      <c r="J325" s="111"/>
      <c r="K325" s="114"/>
      <c r="L325" s="115"/>
      <c r="M325" s="498"/>
      <c r="N325" s="499"/>
      <c r="O325" s="498"/>
      <c r="P325" s="499"/>
      <c r="Q325" s="498"/>
      <c r="R325" s="499"/>
      <c r="S325" s="498"/>
      <c r="T325" s="499"/>
      <c r="U325" s="498"/>
      <c r="V325" s="499"/>
      <c r="W325" s="498"/>
      <c r="X325" s="499"/>
      <c r="Y325" s="498"/>
      <c r="Z325" s="499"/>
      <c r="AA325" s="498"/>
      <c r="AB325" s="499"/>
      <c r="AC325" s="498"/>
      <c r="AD325" s="499"/>
      <c r="AE325" s="498"/>
      <c r="AF325" s="500"/>
      <c r="AG325" s="498"/>
      <c r="AH325" s="500"/>
      <c r="AI325" s="498"/>
      <c r="AJ325" s="500"/>
      <c r="AK325" s="498"/>
      <c r="AL325" s="500"/>
      <c r="AM325" s="501"/>
      <c r="AN325" s="500"/>
      <c r="AO325" s="498"/>
      <c r="AP325" s="500"/>
      <c r="AQ325" s="501"/>
      <c r="AR325" s="500"/>
      <c r="AS325" s="500"/>
      <c r="AT325" s="500"/>
      <c r="AU325" s="501"/>
      <c r="AV325" s="500"/>
      <c r="AW325" s="500"/>
      <c r="AX325" s="500"/>
      <c r="AY325" s="576"/>
      <c r="AZ325" s="576"/>
      <c r="BA325" s="576"/>
      <c r="BB325" s="576"/>
      <c r="BC325" s="576"/>
      <c r="BD325" s="576"/>
      <c r="BE325" s="576"/>
      <c r="BF325" s="576"/>
      <c r="BG325" s="576"/>
      <c r="BH325" s="576"/>
      <c r="BI325" s="576"/>
      <c r="BJ325" s="576"/>
      <c r="BK325" s="576"/>
      <c r="BL325" s="576"/>
      <c r="BM325" s="576"/>
      <c r="BN325" s="576"/>
      <c r="BO325" s="576"/>
      <c r="BP325" s="576"/>
      <c r="BQ325" s="576"/>
      <c r="BR325" s="576"/>
      <c r="BS325" s="576"/>
      <c r="BT325" s="576"/>
      <c r="BU325" s="576"/>
      <c r="BV325" s="576"/>
      <c r="BW325" s="576"/>
      <c r="BX325" s="576"/>
      <c r="BY325" s="576"/>
      <c r="BZ325" s="576"/>
      <c r="CA325" s="576"/>
      <c r="CB325" s="576"/>
      <c r="CC325" s="576"/>
      <c r="CD325" s="576"/>
      <c r="CE325" s="576"/>
      <c r="CF325" s="576"/>
      <c r="CG325" s="576"/>
      <c r="CH325" s="576"/>
      <c r="CI325" s="576"/>
      <c r="CJ325" s="576"/>
      <c r="CK325" s="576"/>
      <c r="CL325" s="576"/>
      <c r="CM325" s="576"/>
      <c r="CN325" s="576"/>
      <c r="CO325" s="576"/>
      <c r="CP325" s="576"/>
      <c r="CQ325" s="576"/>
      <c r="CR325" s="576"/>
      <c r="CS325" s="576"/>
      <c r="CT325" s="576"/>
      <c r="CU325" s="576"/>
      <c r="CV325" s="576"/>
      <c r="CW325" s="576"/>
      <c r="CX325" s="576"/>
      <c r="CY325" s="576"/>
      <c r="CZ325" s="576"/>
      <c r="DA325" s="576"/>
      <c r="DB325" s="576"/>
      <c r="DC325" s="576"/>
      <c r="DD325" s="576"/>
      <c r="DE325" s="576"/>
      <c r="DF325" s="576"/>
      <c r="DG325" s="576"/>
      <c r="DH325" s="116"/>
      <c r="DI325" s="112"/>
      <c r="DJ325">
        <f ca="1">INDIRECT(ADDRESS(ROW()+1,COLUMN(Arbeitszeit!xDay),,,"Arbeitszeit"))</f>
        <v>2</v>
      </c>
    </row>
    <row r="326" spans="1:114">
      <c r="A326" s="462">
        <f>Arbeitszeit!A327</f>
        <v>45155</v>
      </c>
      <c r="B326" s="463">
        <f t="shared" ref="B326:B372" si="21">IF(A326="","",A326)</f>
        <v>45155</v>
      </c>
      <c r="C326" s="146">
        <f t="shared" si="18"/>
        <v>33</v>
      </c>
      <c r="D326" s="145">
        <f t="shared" si="19"/>
        <v>45138</v>
      </c>
      <c r="E326" s="510">
        <f>Arbeitszeit!V327*24</f>
        <v>0</v>
      </c>
      <c r="F326" s="574">
        <f t="shared" si="20"/>
        <v>0</v>
      </c>
      <c r="G326" s="113">
        <f>IF(Arbeitszeit!F327=Urlaub,B_WorkTime*24,)</f>
        <v>0</v>
      </c>
      <c r="H326" s="111"/>
      <c r="I326" s="113">
        <f>IF(Arbeitszeit!F327=Krank,B_WorkTime*24,)</f>
        <v>0</v>
      </c>
      <c r="J326" s="111"/>
      <c r="K326" s="114"/>
      <c r="L326" s="115"/>
      <c r="M326" s="498"/>
      <c r="N326" s="499"/>
      <c r="O326" s="498"/>
      <c r="P326" s="499"/>
      <c r="Q326" s="498"/>
      <c r="R326" s="499"/>
      <c r="S326" s="498"/>
      <c r="T326" s="499"/>
      <c r="U326" s="498"/>
      <c r="V326" s="499"/>
      <c r="W326" s="498"/>
      <c r="X326" s="499"/>
      <c r="Y326" s="498"/>
      <c r="Z326" s="499"/>
      <c r="AA326" s="498"/>
      <c r="AB326" s="499"/>
      <c r="AC326" s="498"/>
      <c r="AD326" s="499"/>
      <c r="AE326" s="498"/>
      <c r="AF326" s="500"/>
      <c r="AG326" s="498"/>
      <c r="AH326" s="500"/>
      <c r="AI326" s="498"/>
      <c r="AJ326" s="500"/>
      <c r="AK326" s="498"/>
      <c r="AL326" s="500"/>
      <c r="AM326" s="501"/>
      <c r="AN326" s="500"/>
      <c r="AO326" s="498"/>
      <c r="AP326" s="500"/>
      <c r="AQ326" s="501"/>
      <c r="AR326" s="500"/>
      <c r="AS326" s="500"/>
      <c r="AT326" s="500"/>
      <c r="AU326" s="501"/>
      <c r="AV326" s="500"/>
      <c r="AW326" s="500"/>
      <c r="AX326" s="500"/>
      <c r="AY326" s="576"/>
      <c r="AZ326" s="576"/>
      <c r="BA326" s="576"/>
      <c r="BB326" s="576"/>
      <c r="BC326" s="576"/>
      <c r="BD326" s="576"/>
      <c r="BE326" s="576"/>
      <c r="BF326" s="576"/>
      <c r="BG326" s="576"/>
      <c r="BH326" s="576"/>
      <c r="BI326" s="576"/>
      <c r="BJ326" s="576"/>
      <c r="BK326" s="576"/>
      <c r="BL326" s="576"/>
      <c r="BM326" s="576"/>
      <c r="BN326" s="576"/>
      <c r="BO326" s="576"/>
      <c r="BP326" s="576"/>
      <c r="BQ326" s="576"/>
      <c r="BR326" s="576"/>
      <c r="BS326" s="576"/>
      <c r="BT326" s="576"/>
      <c r="BU326" s="576"/>
      <c r="BV326" s="576"/>
      <c r="BW326" s="576"/>
      <c r="BX326" s="576"/>
      <c r="BY326" s="576"/>
      <c r="BZ326" s="576"/>
      <c r="CA326" s="576"/>
      <c r="CB326" s="576"/>
      <c r="CC326" s="576"/>
      <c r="CD326" s="576"/>
      <c r="CE326" s="576"/>
      <c r="CF326" s="576"/>
      <c r="CG326" s="576"/>
      <c r="CH326" s="576"/>
      <c r="CI326" s="576"/>
      <c r="CJ326" s="576"/>
      <c r="CK326" s="576"/>
      <c r="CL326" s="576"/>
      <c r="CM326" s="576"/>
      <c r="CN326" s="576"/>
      <c r="CO326" s="576"/>
      <c r="CP326" s="576"/>
      <c r="CQ326" s="576"/>
      <c r="CR326" s="576"/>
      <c r="CS326" s="576"/>
      <c r="CT326" s="576"/>
      <c r="CU326" s="576"/>
      <c r="CV326" s="576"/>
      <c r="CW326" s="576"/>
      <c r="CX326" s="576"/>
      <c r="CY326" s="576"/>
      <c r="CZ326" s="576"/>
      <c r="DA326" s="576"/>
      <c r="DB326" s="576"/>
      <c r="DC326" s="576"/>
      <c r="DD326" s="576"/>
      <c r="DE326" s="576"/>
      <c r="DF326" s="576"/>
      <c r="DG326" s="576"/>
      <c r="DH326" s="116"/>
      <c r="DI326" s="112"/>
      <c r="DJ326">
        <f ca="1">INDIRECT(ADDRESS(ROW()+1,COLUMN(Arbeitszeit!xDay),,,"Arbeitszeit"))</f>
        <v>3</v>
      </c>
    </row>
    <row r="327" spans="1:114">
      <c r="A327" s="462">
        <f>Arbeitszeit!A328</f>
        <v>45156</v>
      </c>
      <c r="B327" s="463">
        <f t="shared" si="21"/>
        <v>45156</v>
      </c>
      <c r="C327" s="146">
        <f t="shared" ref="C327:C372" si="22">IF(A327="","",NumberOfWeek(A327))</f>
        <v>33</v>
      </c>
      <c r="D327" s="145">
        <f t="shared" ref="D327:D372" si="23">IF(A327="","",DATE(YEAR(A327),MONTH(A327),1))</f>
        <v>45138</v>
      </c>
      <c r="E327" s="510">
        <f>Arbeitszeit!V328*24</f>
        <v>0</v>
      </c>
      <c r="F327" s="574">
        <f t="shared" si="20"/>
        <v>0</v>
      </c>
      <c r="G327" s="113">
        <f>IF(Arbeitszeit!F328=Urlaub,B_WorkTime*24,)</f>
        <v>0</v>
      </c>
      <c r="H327" s="111"/>
      <c r="I327" s="113">
        <f>IF(Arbeitszeit!F328=Krank,B_WorkTime*24,)</f>
        <v>0</v>
      </c>
      <c r="J327" s="111"/>
      <c r="K327" s="114"/>
      <c r="L327" s="115"/>
      <c r="M327" s="498"/>
      <c r="N327" s="499"/>
      <c r="O327" s="498"/>
      <c r="P327" s="499"/>
      <c r="Q327" s="498"/>
      <c r="R327" s="499"/>
      <c r="S327" s="498"/>
      <c r="T327" s="499"/>
      <c r="U327" s="498"/>
      <c r="V327" s="499"/>
      <c r="W327" s="498"/>
      <c r="X327" s="499"/>
      <c r="Y327" s="498"/>
      <c r="Z327" s="499"/>
      <c r="AA327" s="498"/>
      <c r="AB327" s="499"/>
      <c r="AC327" s="498"/>
      <c r="AD327" s="499"/>
      <c r="AE327" s="498"/>
      <c r="AF327" s="500"/>
      <c r="AG327" s="498"/>
      <c r="AH327" s="500"/>
      <c r="AI327" s="498"/>
      <c r="AJ327" s="500"/>
      <c r="AK327" s="498"/>
      <c r="AL327" s="500"/>
      <c r="AM327" s="501"/>
      <c r="AN327" s="500"/>
      <c r="AO327" s="498"/>
      <c r="AP327" s="500"/>
      <c r="AQ327" s="501"/>
      <c r="AR327" s="500"/>
      <c r="AS327" s="500"/>
      <c r="AT327" s="500"/>
      <c r="AU327" s="501"/>
      <c r="AV327" s="500"/>
      <c r="AW327" s="500"/>
      <c r="AX327" s="500"/>
      <c r="AY327" s="576"/>
      <c r="AZ327" s="576"/>
      <c r="BA327" s="576"/>
      <c r="BB327" s="576"/>
      <c r="BC327" s="576"/>
      <c r="BD327" s="576"/>
      <c r="BE327" s="576"/>
      <c r="BF327" s="576"/>
      <c r="BG327" s="576"/>
      <c r="BH327" s="576"/>
      <c r="BI327" s="576"/>
      <c r="BJ327" s="576"/>
      <c r="BK327" s="576"/>
      <c r="BL327" s="576"/>
      <c r="BM327" s="576"/>
      <c r="BN327" s="576"/>
      <c r="BO327" s="576"/>
      <c r="BP327" s="576"/>
      <c r="BQ327" s="576"/>
      <c r="BR327" s="576"/>
      <c r="BS327" s="576"/>
      <c r="BT327" s="576"/>
      <c r="BU327" s="576"/>
      <c r="BV327" s="576"/>
      <c r="BW327" s="576"/>
      <c r="BX327" s="576"/>
      <c r="BY327" s="576"/>
      <c r="BZ327" s="576"/>
      <c r="CA327" s="576"/>
      <c r="CB327" s="576"/>
      <c r="CC327" s="576"/>
      <c r="CD327" s="576"/>
      <c r="CE327" s="576"/>
      <c r="CF327" s="576"/>
      <c r="CG327" s="576"/>
      <c r="CH327" s="576"/>
      <c r="CI327" s="576"/>
      <c r="CJ327" s="576"/>
      <c r="CK327" s="576"/>
      <c r="CL327" s="576"/>
      <c r="CM327" s="576"/>
      <c r="CN327" s="576"/>
      <c r="CO327" s="576"/>
      <c r="CP327" s="576"/>
      <c r="CQ327" s="576"/>
      <c r="CR327" s="576"/>
      <c r="CS327" s="576"/>
      <c r="CT327" s="576"/>
      <c r="CU327" s="576"/>
      <c r="CV327" s="576"/>
      <c r="CW327" s="576"/>
      <c r="CX327" s="576"/>
      <c r="CY327" s="576"/>
      <c r="CZ327" s="576"/>
      <c r="DA327" s="576"/>
      <c r="DB327" s="576"/>
      <c r="DC327" s="576"/>
      <c r="DD327" s="576"/>
      <c r="DE327" s="576"/>
      <c r="DF327" s="576"/>
      <c r="DG327" s="576"/>
      <c r="DH327" s="116"/>
      <c r="DI327" s="112"/>
      <c r="DJ327">
        <f ca="1">INDIRECT(ADDRESS(ROW()+1,COLUMN(Arbeitszeit!xDay),,,"Arbeitszeit"))</f>
        <v>4</v>
      </c>
    </row>
    <row r="328" spans="1:114">
      <c r="A328" s="462">
        <f>Arbeitszeit!A329</f>
        <v>45157</v>
      </c>
      <c r="B328" s="463">
        <f t="shared" si="21"/>
        <v>45157</v>
      </c>
      <c r="C328" s="146">
        <f t="shared" si="22"/>
        <v>33</v>
      </c>
      <c r="D328" s="145">
        <f t="shared" si="23"/>
        <v>45138</v>
      </c>
      <c r="E328" s="510">
        <f>Arbeitszeit!V329*24</f>
        <v>0</v>
      </c>
      <c r="F328" s="574">
        <f t="shared" si="20"/>
        <v>0</v>
      </c>
      <c r="G328" s="113">
        <f>IF(Arbeitszeit!F329=Urlaub,B_WorkTime*24,)</f>
        <v>0</v>
      </c>
      <c r="H328" s="111"/>
      <c r="I328" s="113">
        <f>IF(Arbeitszeit!F329=Krank,B_WorkTime*24,)</f>
        <v>0</v>
      </c>
      <c r="J328" s="111"/>
      <c r="K328" s="114"/>
      <c r="L328" s="115"/>
      <c r="M328" s="498"/>
      <c r="N328" s="499"/>
      <c r="O328" s="498"/>
      <c r="P328" s="499"/>
      <c r="Q328" s="498"/>
      <c r="R328" s="499"/>
      <c r="S328" s="498"/>
      <c r="T328" s="499"/>
      <c r="U328" s="498"/>
      <c r="V328" s="499"/>
      <c r="W328" s="498"/>
      <c r="X328" s="499"/>
      <c r="Y328" s="498"/>
      <c r="Z328" s="499"/>
      <c r="AA328" s="498"/>
      <c r="AB328" s="499"/>
      <c r="AC328" s="498"/>
      <c r="AD328" s="499"/>
      <c r="AE328" s="498"/>
      <c r="AF328" s="500"/>
      <c r="AG328" s="498"/>
      <c r="AH328" s="500"/>
      <c r="AI328" s="498"/>
      <c r="AJ328" s="500"/>
      <c r="AK328" s="498"/>
      <c r="AL328" s="500"/>
      <c r="AM328" s="501"/>
      <c r="AN328" s="500"/>
      <c r="AO328" s="498"/>
      <c r="AP328" s="500"/>
      <c r="AQ328" s="501"/>
      <c r="AR328" s="500"/>
      <c r="AS328" s="500"/>
      <c r="AT328" s="500"/>
      <c r="AU328" s="501"/>
      <c r="AV328" s="500"/>
      <c r="AW328" s="500"/>
      <c r="AX328" s="500"/>
      <c r="AY328" s="576"/>
      <c r="AZ328" s="576"/>
      <c r="BA328" s="576"/>
      <c r="BB328" s="576"/>
      <c r="BC328" s="576"/>
      <c r="BD328" s="576"/>
      <c r="BE328" s="576"/>
      <c r="BF328" s="576"/>
      <c r="BG328" s="576"/>
      <c r="BH328" s="576"/>
      <c r="BI328" s="576"/>
      <c r="BJ328" s="576"/>
      <c r="BK328" s="576"/>
      <c r="BL328" s="576"/>
      <c r="BM328" s="576"/>
      <c r="BN328" s="576"/>
      <c r="BO328" s="576"/>
      <c r="BP328" s="576"/>
      <c r="BQ328" s="576"/>
      <c r="BR328" s="576"/>
      <c r="BS328" s="576"/>
      <c r="BT328" s="576"/>
      <c r="BU328" s="576"/>
      <c r="BV328" s="576"/>
      <c r="BW328" s="576"/>
      <c r="BX328" s="576"/>
      <c r="BY328" s="576"/>
      <c r="BZ328" s="576"/>
      <c r="CA328" s="576"/>
      <c r="CB328" s="576"/>
      <c r="CC328" s="576"/>
      <c r="CD328" s="576"/>
      <c r="CE328" s="576"/>
      <c r="CF328" s="576"/>
      <c r="CG328" s="576"/>
      <c r="CH328" s="576"/>
      <c r="CI328" s="576"/>
      <c r="CJ328" s="576"/>
      <c r="CK328" s="576"/>
      <c r="CL328" s="576"/>
      <c r="CM328" s="576"/>
      <c r="CN328" s="576"/>
      <c r="CO328" s="576"/>
      <c r="CP328" s="576"/>
      <c r="CQ328" s="576"/>
      <c r="CR328" s="576"/>
      <c r="CS328" s="576"/>
      <c r="CT328" s="576"/>
      <c r="CU328" s="576"/>
      <c r="CV328" s="576"/>
      <c r="CW328" s="576"/>
      <c r="CX328" s="576"/>
      <c r="CY328" s="576"/>
      <c r="CZ328" s="576"/>
      <c r="DA328" s="576"/>
      <c r="DB328" s="576"/>
      <c r="DC328" s="576"/>
      <c r="DD328" s="576"/>
      <c r="DE328" s="576"/>
      <c r="DF328" s="576"/>
      <c r="DG328" s="576"/>
      <c r="DH328" s="116"/>
      <c r="DI328" s="112"/>
      <c r="DJ328">
        <f ca="1">INDIRECT(ADDRESS(ROW()+1,COLUMN(Arbeitszeit!xDay),,,"Arbeitszeit"))</f>
        <v>5</v>
      </c>
    </row>
    <row r="329" spans="1:114">
      <c r="A329" s="462">
        <f>Arbeitszeit!A330</f>
        <v>45158</v>
      </c>
      <c r="B329" s="463">
        <f t="shared" si="21"/>
        <v>45158</v>
      </c>
      <c r="C329" s="146">
        <f t="shared" si="22"/>
        <v>33</v>
      </c>
      <c r="D329" s="145">
        <f t="shared" si="23"/>
        <v>45138</v>
      </c>
      <c r="E329" s="510">
        <f>Arbeitszeit!V330*24</f>
        <v>0</v>
      </c>
      <c r="F329" s="574">
        <f t="shared" si="20"/>
        <v>0</v>
      </c>
      <c r="G329" s="113">
        <f>IF(Arbeitszeit!F330=Urlaub,B_WorkTime*24,)</f>
        <v>0</v>
      </c>
      <c r="H329" s="111"/>
      <c r="I329" s="113">
        <f>IF(Arbeitszeit!F330=Krank,B_WorkTime*24,)</f>
        <v>0</v>
      </c>
      <c r="J329" s="111"/>
      <c r="K329" s="114"/>
      <c r="L329" s="115"/>
      <c r="M329" s="498"/>
      <c r="N329" s="499"/>
      <c r="O329" s="498"/>
      <c r="P329" s="499"/>
      <c r="Q329" s="498"/>
      <c r="R329" s="499"/>
      <c r="S329" s="498"/>
      <c r="T329" s="499"/>
      <c r="U329" s="498"/>
      <c r="V329" s="499"/>
      <c r="W329" s="498"/>
      <c r="X329" s="499"/>
      <c r="Y329" s="498"/>
      <c r="Z329" s="499"/>
      <c r="AA329" s="498"/>
      <c r="AB329" s="499"/>
      <c r="AC329" s="498"/>
      <c r="AD329" s="499"/>
      <c r="AE329" s="498"/>
      <c r="AF329" s="500"/>
      <c r="AG329" s="498"/>
      <c r="AH329" s="500"/>
      <c r="AI329" s="498"/>
      <c r="AJ329" s="500"/>
      <c r="AK329" s="498"/>
      <c r="AL329" s="500"/>
      <c r="AM329" s="501"/>
      <c r="AN329" s="500"/>
      <c r="AO329" s="498"/>
      <c r="AP329" s="500"/>
      <c r="AQ329" s="501"/>
      <c r="AR329" s="500"/>
      <c r="AS329" s="500"/>
      <c r="AT329" s="500"/>
      <c r="AU329" s="501"/>
      <c r="AV329" s="500"/>
      <c r="AW329" s="500"/>
      <c r="AX329" s="500"/>
      <c r="AY329" s="576"/>
      <c r="AZ329" s="576"/>
      <c r="BA329" s="576"/>
      <c r="BB329" s="576"/>
      <c r="BC329" s="576"/>
      <c r="BD329" s="576"/>
      <c r="BE329" s="576"/>
      <c r="BF329" s="576"/>
      <c r="BG329" s="576"/>
      <c r="BH329" s="576"/>
      <c r="BI329" s="576"/>
      <c r="BJ329" s="576"/>
      <c r="BK329" s="576"/>
      <c r="BL329" s="576"/>
      <c r="BM329" s="576"/>
      <c r="BN329" s="576"/>
      <c r="BO329" s="576"/>
      <c r="BP329" s="576"/>
      <c r="BQ329" s="576"/>
      <c r="BR329" s="576"/>
      <c r="BS329" s="576"/>
      <c r="BT329" s="576"/>
      <c r="BU329" s="576"/>
      <c r="BV329" s="576"/>
      <c r="BW329" s="576"/>
      <c r="BX329" s="576"/>
      <c r="BY329" s="576"/>
      <c r="BZ329" s="576"/>
      <c r="CA329" s="576"/>
      <c r="CB329" s="576"/>
      <c r="CC329" s="576"/>
      <c r="CD329" s="576"/>
      <c r="CE329" s="576"/>
      <c r="CF329" s="576"/>
      <c r="CG329" s="576"/>
      <c r="CH329" s="576"/>
      <c r="CI329" s="576"/>
      <c r="CJ329" s="576"/>
      <c r="CK329" s="576"/>
      <c r="CL329" s="576"/>
      <c r="CM329" s="576"/>
      <c r="CN329" s="576"/>
      <c r="CO329" s="576"/>
      <c r="CP329" s="576"/>
      <c r="CQ329" s="576"/>
      <c r="CR329" s="576"/>
      <c r="CS329" s="576"/>
      <c r="CT329" s="576"/>
      <c r="CU329" s="576"/>
      <c r="CV329" s="576"/>
      <c r="CW329" s="576"/>
      <c r="CX329" s="576"/>
      <c r="CY329" s="576"/>
      <c r="CZ329" s="576"/>
      <c r="DA329" s="576"/>
      <c r="DB329" s="576"/>
      <c r="DC329" s="576"/>
      <c r="DD329" s="576"/>
      <c r="DE329" s="576"/>
      <c r="DF329" s="576"/>
      <c r="DG329" s="576"/>
      <c r="DH329" s="116"/>
      <c r="DI329" s="112"/>
      <c r="DJ329">
        <f ca="1">INDIRECT(ADDRESS(ROW()+1,COLUMN(Arbeitszeit!xDay),,,"Arbeitszeit"))</f>
        <v>6</v>
      </c>
    </row>
    <row r="330" spans="1:114">
      <c r="A330" s="462">
        <f>Arbeitszeit!A331</f>
        <v>45159</v>
      </c>
      <c r="B330" s="463">
        <f t="shared" si="21"/>
        <v>45159</v>
      </c>
      <c r="C330" s="146">
        <f t="shared" si="22"/>
        <v>33</v>
      </c>
      <c r="D330" s="145">
        <f t="shared" si="23"/>
        <v>45138</v>
      </c>
      <c r="E330" s="510">
        <f>Arbeitszeit!V331*24</f>
        <v>0</v>
      </c>
      <c r="F330" s="574">
        <f t="shared" si="20"/>
        <v>0</v>
      </c>
      <c r="G330" s="113">
        <f>IF(Arbeitszeit!F331=Urlaub,B_WorkTime*24,)</f>
        <v>0</v>
      </c>
      <c r="H330" s="111"/>
      <c r="I330" s="113">
        <f>IF(Arbeitszeit!F331=Krank,B_WorkTime*24,)</f>
        <v>0</v>
      </c>
      <c r="J330" s="111"/>
      <c r="K330" s="114"/>
      <c r="L330" s="115"/>
      <c r="M330" s="498"/>
      <c r="N330" s="499"/>
      <c r="O330" s="498"/>
      <c r="P330" s="499"/>
      <c r="Q330" s="498"/>
      <c r="R330" s="499"/>
      <c r="S330" s="498"/>
      <c r="T330" s="499"/>
      <c r="U330" s="498"/>
      <c r="V330" s="499"/>
      <c r="W330" s="498"/>
      <c r="X330" s="499"/>
      <c r="Y330" s="498"/>
      <c r="Z330" s="499"/>
      <c r="AA330" s="498"/>
      <c r="AB330" s="499"/>
      <c r="AC330" s="498"/>
      <c r="AD330" s="499"/>
      <c r="AE330" s="498"/>
      <c r="AF330" s="500"/>
      <c r="AG330" s="498"/>
      <c r="AH330" s="500"/>
      <c r="AI330" s="498"/>
      <c r="AJ330" s="500"/>
      <c r="AK330" s="498"/>
      <c r="AL330" s="500"/>
      <c r="AM330" s="501"/>
      <c r="AN330" s="500"/>
      <c r="AO330" s="498"/>
      <c r="AP330" s="500"/>
      <c r="AQ330" s="501"/>
      <c r="AR330" s="500"/>
      <c r="AS330" s="500"/>
      <c r="AT330" s="500"/>
      <c r="AU330" s="501"/>
      <c r="AV330" s="500"/>
      <c r="AW330" s="500"/>
      <c r="AX330" s="500"/>
      <c r="AY330" s="576"/>
      <c r="AZ330" s="576"/>
      <c r="BA330" s="576"/>
      <c r="BB330" s="576"/>
      <c r="BC330" s="576"/>
      <c r="BD330" s="576"/>
      <c r="BE330" s="576"/>
      <c r="BF330" s="576"/>
      <c r="BG330" s="576"/>
      <c r="BH330" s="576"/>
      <c r="BI330" s="576"/>
      <c r="BJ330" s="576"/>
      <c r="BK330" s="576"/>
      <c r="BL330" s="576"/>
      <c r="BM330" s="576"/>
      <c r="BN330" s="576"/>
      <c r="BO330" s="576"/>
      <c r="BP330" s="576"/>
      <c r="BQ330" s="576"/>
      <c r="BR330" s="576"/>
      <c r="BS330" s="576"/>
      <c r="BT330" s="576"/>
      <c r="BU330" s="576"/>
      <c r="BV330" s="576"/>
      <c r="BW330" s="576"/>
      <c r="BX330" s="576"/>
      <c r="BY330" s="576"/>
      <c r="BZ330" s="576"/>
      <c r="CA330" s="576"/>
      <c r="CB330" s="576"/>
      <c r="CC330" s="576"/>
      <c r="CD330" s="576"/>
      <c r="CE330" s="576"/>
      <c r="CF330" s="576"/>
      <c r="CG330" s="576"/>
      <c r="CH330" s="576"/>
      <c r="CI330" s="576"/>
      <c r="CJ330" s="576"/>
      <c r="CK330" s="576"/>
      <c r="CL330" s="576"/>
      <c r="CM330" s="576"/>
      <c r="CN330" s="576"/>
      <c r="CO330" s="576"/>
      <c r="CP330" s="576"/>
      <c r="CQ330" s="576"/>
      <c r="CR330" s="576"/>
      <c r="CS330" s="576"/>
      <c r="CT330" s="576"/>
      <c r="CU330" s="576"/>
      <c r="CV330" s="576"/>
      <c r="CW330" s="576"/>
      <c r="CX330" s="576"/>
      <c r="CY330" s="576"/>
      <c r="CZ330" s="576"/>
      <c r="DA330" s="576"/>
      <c r="DB330" s="576"/>
      <c r="DC330" s="576"/>
      <c r="DD330" s="576"/>
      <c r="DE330" s="576"/>
      <c r="DF330" s="576"/>
      <c r="DG330" s="576"/>
      <c r="DH330" s="116"/>
      <c r="DI330" s="112"/>
      <c r="DJ330">
        <f ca="1">INDIRECT(ADDRESS(ROW()+1,COLUMN(Arbeitszeit!xDay),,,"Arbeitszeit"))</f>
        <v>7</v>
      </c>
    </row>
    <row r="331" spans="1:114">
      <c r="A331" s="462">
        <f>Arbeitszeit!A332</f>
        <v>45160</v>
      </c>
      <c r="B331" s="463">
        <f t="shared" si="21"/>
        <v>45160</v>
      </c>
      <c r="C331" s="146">
        <f t="shared" si="22"/>
        <v>34</v>
      </c>
      <c r="D331" s="145">
        <f t="shared" si="23"/>
        <v>45138</v>
      </c>
      <c r="E331" s="510">
        <f>Arbeitszeit!V332*24</f>
        <v>0</v>
      </c>
      <c r="F331" s="574">
        <f t="shared" si="20"/>
        <v>0</v>
      </c>
      <c r="G331" s="113">
        <f>IF(Arbeitszeit!F332=Urlaub,B_WorkTime*24,)</f>
        <v>0</v>
      </c>
      <c r="H331" s="111"/>
      <c r="I331" s="113">
        <f>IF(Arbeitszeit!F332=Krank,B_WorkTime*24,)</f>
        <v>0</v>
      </c>
      <c r="J331" s="111"/>
      <c r="K331" s="114"/>
      <c r="L331" s="115"/>
      <c r="M331" s="498"/>
      <c r="N331" s="499"/>
      <c r="O331" s="498"/>
      <c r="P331" s="499"/>
      <c r="Q331" s="498"/>
      <c r="R331" s="499"/>
      <c r="S331" s="498"/>
      <c r="T331" s="499"/>
      <c r="U331" s="498"/>
      <c r="V331" s="499"/>
      <c r="W331" s="498"/>
      <c r="X331" s="499"/>
      <c r="Y331" s="498"/>
      <c r="Z331" s="499"/>
      <c r="AA331" s="498"/>
      <c r="AB331" s="499"/>
      <c r="AC331" s="498"/>
      <c r="AD331" s="499"/>
      <c r="AE331" s="498"/>
      <c r="AF331" s="500"/>
      <c r="AG331" s="498"/>
      <c r="AH331" s="500"/>
      <c r="AI331" s="498"/>
      <c r="AJ331" s="500"/>
      <c r="AK331" s="498"/>
      <c r="AL331" s="500"/>
      <c r="AM331" s="501"/>
      <c r="AN331" s="500"/>
      <c r="AO331" s="498"/>
      <c r="AP331" s="500"/>
      <c r="AQ331" s="501"/>
      <c r="AR331" s="500"/>
      <c r="AS331" s="500"/>
      <c r="AT331" s="500"/>
      <c r="AU331" s="501"/>
      <c r="AV331" s="500"/>
      <c r="AW331" s="500"/>
      <c r="AX331" s="500"/>
      <c r="AY331" s="576"/>
      <c r="AZ331" s="576"/>
      <c r="BA331" s="576"/>
      <c r="BB331" s="576"/>
      <c r="BC331" s="576"/>
      <c r="BD331" s="576"/>
      <c r="BE331" s="576"/>
      <c r="BF331" s="576"/>
      <c r="BG331" s="576"/>
      <c r="BH331" s="576"/>
      <c r="BI331" s="576"/>
      <c r="BJ331" s="576"/>
      <c r="BK331" s="576"/>
      <c r="BL331" s="576"/>
      <c r="BM331" s="576"/>
      <c r="BN331" s="576"/>
      <c r="BO331" s="576"/>
      <c r="BP331" s="576"/>
      <c r="BQ331" s="576"/>
      <c r="BR331" s="576"/>
      <c r="BS331" s="576"/>
      <c r="BT331" s="576"/>
      <c r="BU331" s="576"/>
      <c r="BV331" s="576"/>
      <c r="BW331" s="576"/>
      <c r="BX331" s="576"/>
      <c r="BY331" s="576"/>
      <c r="BZ331" s="576"/>
      <c r="CA331" s="576"/>
      <c r="CB331" s="576"/>
      <c r="CC331" s="576"/>
      <c r="CD331" s="576"/>
      <c r="CE331" s="576"/>
      <c r="CF331" s="576"/>
      <c r="CG331" s="576"/>
      <c r="CH331" s="576"/>
      <c r="CI331" s="576"/>
      <c r="CJ331" s="576"/>
      <c r="CK331" s="576"/>
      <c r="CL331" s="576"/>
      <c r="CM331" s="576"/>
      <c r="CN331" s="576"/>
      <c r="CO331" s="576"/>
      <c r="CP331" s="576"/>
      <c r="CQ331" s="576"/>
      <c r="CR331" s="576"/>
      <c r="CS331" s="576"/>
      <c r="CT331" s="576"/>
      <c r="CU331" s="576"/>
      <c r="CV331" s="576"/>
      <c r="CW331" s="576"/>
      <c r="CX331" s="576"/>
      <c r="CY331" s="576"/>
      <c r="CZ331" s="576"/>
      <c r="DA331" s="576"/>
      <c r="DB331" s="576"/>
      <c r="DC331" s="576"/>
      <c r="DD331" s="576"/>
      <c r="DE331" s="576"/>
      <c r="DF331" s="576"/>
      <c r="DG331" s="576"/>
      <c r="DH331" s="116"/>
      <c r="DI331" s="112"/>
      <c r="DJ331">
        <f ca="1">INDIRECT(ADDRESS(ROW()+1,COLUMN(Arbeitszeit!xDay),,,"Arbeitszeit"))</f>
        <v>1</v>
      </c>
    </row>
    <row r="332" spans="1:114">
      <c r="A332" s="462">
        <f>Arbeitszeit!A333</f>
        <v>45161</v>
      </c>
      <c r="B332" s="463">
        <f t="shared" si="21"/>
        <v>45161</v>
      </c>
      <c r="C332" s="146">
        <f t="shared" si="22"/>
        <v>34</v>
      </c>
      <c r="D332" s="145">
        <f t="shared" si="23"/>
        <v>45138</v>
      </c>
      <c r="E332" s="510">
        <f>Arbeitszeit!V333*24</f>
        <v>0</v>
      </c>
      <c r="F332" s="574">
        <f t="shared" si="20"/>
        <v>0</v>
      </c>
      <c r="G332" s="113">
        <f>IF(Arbeitszeit!F333=Urlaub,B_WorkTime*24,)</f>
        <v>0</v>
      </c>
      <c r="H332" s="111"/>
      <c r="I332" s="113">
        <f>IF(Arbeitszeit!F333=Krank,B_WorkTime*24,)</f>
        <v>0</v>
      </c>
      <c r="J332" s="111"/>
      <c r="K332" s="114"/>
      <c r="L332" s="115"/>
      <c r="M332" s="498"/>
      <c r="N332" s="499"/>
      <c r="O332" s="498"/>
      <c r="P332" s="499"/>
      <c r="Q332" s="498"/>
      <c r="R332" s="499"/>
      <c r="S332" s="498"/>
      <c r="T332" s="499"/>
      <c r="U332" s="498"/>
      <c r="V332" s="499"/>
      <c r="W332" s="498"/>
      <c r="X332" s="499"/>
      <c r="Y332" s="498"/>
      <c r="Z332" s="499"/>
      <c r="AA332" s="498"/>
      <c r="AB332" s="499"/>
      <c r="AC332" s="498"/>
      <c r="AD332" s="499"/>
      <c r="AE332" s="498"/>
      <c r="AF332" s="500"/>
      <c r="AG332" s="498"/>
      <c r="AH332" s="500"/>
      <c r="AI332" s="498"/>
      <c r="AJ332" s="500"/>
      <c r="AK332" s="498"/>
      <c r="AL332" s="500"/>
      <c r="AM332" s="501"/>
      <c r="AN332" s="500"/>
      <c r="AO332" s="498"/>
      <c r="AP332" s="500"/>
      <c r="AQ332" s="501"/>
      <c r="AR332" s="500"/>
      <c r="AS332" s="500"/>
      <c r="AT332" s="500"/>
      <c r="AU332" s="501"/>
      <c r="AV332" s="500"/>
      <c r="AW332" s="500"/>
      <c r="AX332" s="500"/>
      <c r="AY332" s="576"/>
      <c r="AZ332" s="576"/>
      <c r="BA332" s="576"/>
      <c r="BB332" s="576"/>
      <c r="BC332" s="576"/>
      <c r="BD332" s="576"/>
      <c r="BE332" s="576"/>
      <c r="BF332" s="576"/>
      <c r="BG332" s="576"/>
      <c r="BH332" s="576"/>
      <c r="BI332" s="576"/>
      <c r="BJ332" s="576"/>
      <c r="BK332" s="576"/>
      <c r="BL332" s="576"/>
      <c r="BM332" s="576"/>
      <c r="BN332" s="576"/>
      <c r="BO332" s="576"/>
      <c r="BP332" s="576"/>
      <c r="BQ332" s="576"/>
      <c r="BR332" s="576"/>
      <c r="BS332" s="576"/>
      <c r="BT332" s="576"/>
      <c r="BU332" s="576"/>
      <c r="BV332" s="576"/>
      <c r="BW332" s="576"/>
      <c r="BX332" s="576"/>
      <c r="BY332" s="576"/>
      <c r="BZ332" s="576"/>
      <c r="CA332" s="576"/>
      <c r="CB332" s="576"/>
      <c r="CC332" s="576"/>
      <c r="CD332" s="576"/>
      <c r="CE332" s="576"/>
      <c r="CF332" s="576"/>
      <c r="CG332" s="576"/>
      <c r="CH332" s="576"/>
      <c r="CI332" s="576"/>
      <c r="CJ332" s="576"/>
      <c r="CK332" s="576"/>
      <c r="CL332" s="576"/>
      <c r="CM332" s="576"/>
      <c r="CN332" s="576"/>
      <c r="CO332" s="576"/>
      <c r="CP332" s="576"/>
      <c r="CQ332" s="576"/>
      <c r="CR332" s="576"/>
      <c r="CS332" s="576"/>
      <c r="CT332" s="576"/>
      <c r="CU332" s="576"/>
      <c r="CV332" s="576"/>
      <c r="CW332" s="576"/>
      <c r="CX332" s="576"/>
      <c r="CY332" s="576"/>
      <c r="CZ332" s="576"/>
      <c r="DA332" s="576"/>
      <c r="DB332" s="576"/>
      <c r="DC332" s="576"/>
      <c r="DD332" s="576"/>
      <c r="DE332" s="576"/>
      <c r="DF332" s="576"/>
      <c r="DG332" s="576"/>
      <c r="DH332" s="116"/>
      <c r="DI332" s="112"/>
      <c r="DJ332">
        <f ca="1">INDIRECT(ADDRESS(ROW()+1,COLUMN(Arbeitszeit!xDay),,,"Arbeitszeit"))</f>
        <v>2</v>
      </c>
    </row>
    <row r="333" spans="1:114">
      <c r="A333" s="462">
        <f>Arbeitszeit!A334</f>
        <v>45162</v>
      </c>
      <c r="B333" s="463">
        <f t="shared" si="21"/>
        <v>45162</v>
      </c>
      <c r="C333" s="146">
        <f t="shared" si="22"/>
        <v>34</v>
      </c>
      <c r="D333" s="145">
        <f t="shared" si="23"/>
        <v>45138</v>
      </c>
      <c r="E333" s="510">
        <f>Arbeitszeit!V334*24</f>
        <v>0</v>
      </c>
      <c r="F333" s="574">
        <f t="shared" si="20"/>
        <v>0</v>
      </c>
      <c r="G333" s="113">
        <f>IF(Arbeitszeit!F334=Urlaub,B_WorkTime*24,)</f>
        <v>0</v>
      </c>
      <c r="H333" s="111"/>
      <c r="I333" s="113">
        <f>IF(Arbeitszeit!F334=Krank,B_WorkTime*24,)</f>
        <v>0</v>
      </c>
      <c r="J333" s="111"/>
      <c r="K333" s="114"/>
      <c r="L333" s="115"/>
      <c r="M333" s="498"/>
      <c r="N333" s="499"/>
      <c r="O333" s="498"/>
      <c r="P333" s="499"/>
      <c r="Q333" s="498"/>
      <c r="R333" s="499"/>
      <c r="S333" s="498"/>
      <c r="T333" s="499"/>
      <c r="U333" s="498"/>
      <c r="V333" s="499"/>
      <c r="W333" s="498"/>
      <c r="X333" s="499"/>
      <c r="Y333" s="498"/>
      <c r="Z333" s="499"/>
      <c r="AA333" s="498"/>
      <c r="AB333" s="499"/>
      <c r="AC333" s="498"/>
      <c r="AD333" s="499"/>
      <c r="AE333" s="498"/>
      <c r="AF333" s="500"/>
      <c r="AG333" s="498"/>
      <c r="AH333" s="500"/>
      <c r="AI333" s="498"/>
      <c r="AJ333" s="500"/>
      <c r="AK333" s="498"/>
      <c r="AL333" s="500"/>
      <c r="AM333" s="501"/>
      <c r="AN333" s="500"/>
      <c r="AO333" s="498"/>
      <c r="AP333" s="500"/>
      <c r="AQ333" s="501"/>
      <c r="AR333" s="500"/>
      <c r="AS333" s="500"/>
      <c r="AT333" s="500"/>
      <c r="AU333" s="501"/>
      <c r="AV333" s="500"/>
      <c r="AW333" s="500"/>
      <c r="AX333" s="500"/>
      <c r="AY333" s="576"/>
      <c r="AZ333" s="576"/>
      <c r="BA333" s="576"/>
      <c r="BB333" s="576"/>
      <c r="BC333" s="576"/>
      <c r="BD333" s="576"/>
      <c r="BE333" s="576"/>
      <c r="BF333" s="576"/>
      <c r="BG333" s="576"/>
      <c r="BH333" s="576"/>
      <c r="BI333" s="576"/>
      <c r="BJ333" s="576"/>
      <c r="BK333" s="576"/>
      <c r="BL333" s="576"/>
      <c r="BM333" s="576"/>
      <c r="BN333" s="576"/>
      <c r="BO333" s="576"/>
      <c r="BP333" s="576"/>
      <c r="BQ333" s="576"/>
      <c r="BR333" s="576"/>
      <c r="BS333" s="576"/>
      <c r="BT333" s="576"/>
      <c r="BU333" s="576"/>
      <c r="BV333" s="576"/>
      <c r="BW333" s="576"/>
      <c r="BX333" s="576"/>
      <c r="BY333" s="576"/>
      <c r="BZ333" s="576"/>
      <c r="CA333" s="576"/>
      <c r="CB333" s="576"/>
      <c r="CC333" s="576"/>
      <c r="CD333" s="576"/>
      <c r="CE333" s="576"/>
      <c r="CF333" s="576"/>
      <c r="CG333" s="576"/>
      <c r="CH333" s="576"/>
      <c r="CI333" s="576"/>
      <c r="CJ333" s="576"/>
      <c r="CK333" s="576"/>
      <c r="CL333" s="576"/>
      <c r="CM333" s="576"/>
      <c r="CN333" s="576"/>
      <c r="CO333" s="576"/>
      <c r="CP333" s="576"/>
      <c r="CQ333" s="576"/>
      <c r="CR333" s="576"/>
      <c r="CS333" s="576"/>
      <c r="CT333" s="576"/>
      <c r="CU333" s="576"/>
      <c r="CV333" s="576"/>
      <c r="CW333" s="576"/>
      <c r="CX333" s="576"/>
      <c r="CY333" s="576"/>
      <c r="CZ333" s="576"/>
      <c r="DA333" s="576"/>
      <c r="DB333" s="576"/>
      <c r="DC333" s="576"/>
      <c r="DD333" s="576"/>
      <c r="DE333" s="576"/>
      <c r="DF333" s="576"/>
      <c r="DG333" s="576"/>
      <c r="DH333" s="116"/>
      <c r="DI333" s="112"/>
      <c r="DJ333">
        <f ca="1">INDIRECT(ADDRESS(ROW()+1,COLUMN(Arbeitszeit!xDay),,,"Arbeitszeit"))</f>
        <v>3</v>
      </c>
    </row>
    <row r="334" spans="1:114">
      <c r="A334" s="462">
        <f>Arbeitszeit!A335</f>
        <v>45163</v>
      </c>
      <c r="B334" s="463">
        <f t="shared" si="21"/>
        <v>45163</v>
      </c>
      <c r="C334" s="146">
        <f t="shared" si="22"/>
        <v>34</v>
      </c>
      <c r="D334" s="145">
        <f t="shared" si="23"/>
        <v>45138</v>
      </c>
      <c r="E334" s="510">
        <f>Arbeitszeit!V335*24</f>
        <v>0</v>
      </c>
      <c r="F334" s="574">
        <f t="shared" si="20"/>
        <v>0</v>
      </c>
      <c r="G334" s="113">
        <f>IF(Arbeitszeit!F335=Urlaub,B_WorkTime*24,)</f>
        <v>0</v>
      </c>
      <c r="H334" s="111"/>
      <c r="I334" s="113">
        <f>IF(Arbeitszeit!F335=Krank,B_WorkTime*24,)</f>
        <v>0</v>
      </c>
      <c r="J334" s="111"/>
      <c r="K334" s="114"/>
      <c r="L334" s="115"/>
      <c r="M334" s="498"/>
      <c r="N334" s="499"/>
      <c r="O334" s="498"/>
      <c r="P334" s="499"/>
      <c r="Q334" s="498"/>
      <c r="R334" s="499"/>
      <c r="S334" s="498"/>
      <c r="T334" s="499"/>
      <c r="U334" s="498"/>
      <c r="V334" s="499"/>
      <c r="W334" s="498"/>
      <c r="X334" s="499"/>
      <c r="Y334" s="498"/>
      <c r="Z334" s="499"/>
      <c r="AA334" s="498"/>
      <c r="AB334" s="499"/>
      <c r="AC334" s="498"/>
      <c r="AD334" s="499"/>
      <c r="AE334" s="498"/>
      <c r="AF334" s="500"/>
      <c r="AG334" s="498"/>
      <c r="AH334" s="500"/>
      <c r="AI334" s="498"/>
      <c r="AJ334" s="500"/>
      <c r="AK334" s="498"/>
      <c r="AL334" s="500"/>
      <c r="AM334" s="501"/>
      <c r="AN334" s="500"/>
      <c r="AO334" s="498"/>
      <c r="AP334" s="500"/>
      <c r="AQ334" s="501"/>
      <c r="AR334" s="500"/>
      <c r="AS334" s="500"/>
      <c r="AT334" s="500"/>
      <c r="AU334" s="501"/>
      <c r="AV334" s="500"/>
      <c r="AW334" s="500"/>
      <c r="AX334" s="500"/>
      <c r="AY334" s="576"/>
      <c r="AZ334" s="576"/>
      <c r="BA334" s="576"/>
      <c r="BB334" s="576"/>
      <c r="BC334" s="576"/>
      <c r="BD334" s="576"/>
      <c r="BE334" s="576"/>
      <c r="BF334" s="576"/>
      <c r="BG334" s="576"/>
      <c r="BH334" s="576"/>
      <c r="BI334" s="576"/>
      <c r="BJ334" s="576"/>
      <c r="BK334" s="576"/>
      <c r="BL334" s="576"/>
      <c r="BM334" s="576"/>
      <c r="BN334" s="576"/>
      <c r="BO334" s="576"/>
      <c r="BP334" s="576"/>
      <c r="BQ334" s="576"/>
      <c r="BR334" s="576"/>
      <c r="BS334" s="576"/>
      <c r="BT334" s="576"/>
      <c r="BU334" s="576"/>
      <c r="BV334" s="576"/>
      <c r="BW334" s="576"/>
      <c r="BX334" s="576"/>
      <c r="BY334" s="576"/>
      <c r="BZ334" s="576"/>
      <c r="CA334" s="576"/>
      <c r="CB334" s="576"/>
      <c r="CC334" s="576"/>
      <c r="CD334" s="576"/>
      <c r="CE334" s="576"/>
      <c r="CF334" s="576"/>
      <c r="CG334" s="576"/>
      <c r="CH334" s="576"/>
      <c r="CI334" s="576"/>
      <c r="CJ334" s="576"/>
      <c r="CK334" s="576"/>
      <c r="CL334" s="576"/>
      <c r="CM334" s="576"/>
      <c r="CN334" s="576"/>
      <c r="CO334" s="576"/>
      <c r="CP334" s="576"/>
      <c r="CQ334" s="576"/>
      <c r="CR334" s="576"/>
      <c r="CS334" s="576"/>
      <c r="CT334" s="576"/>
      <c r="CU334" s="576"/>
      <c r="CV334" s="576"/>
      <c r="CW334" s="576"/>
      <c r="CX334" s="576"/>
      <c r="CY334" s="576"/>
      <c r="CZ334" s="576"/>
      <c r="DA334" s="576"/>
      <c r="DB334" s="576"/>
      <c r="DC334" s="576"/>
      <c r="DD334" s="576"/>
      <c r="DE334" s="576"/>
      <c r="DF334" s="576"/>
      <c r="DG334" s="576"/>
      <c r="DH334" s="116"/>
      <c r="DI334" s="112"/>
      <c r="DJ334">
        <f ca="1">INDIRECT(ADDRESS(ROW()+1,COLUMN(Arbeitszeit!xDay),,,"Arbeitszeit"))</f>
        <v>4</v>
      </c>
    </row>
    <row r="335" spans="1:114">
      <c r="A335" s="462">
        <f>Arbeitszeit!A336</f>
        <v>45164</v>
      </c>
      <c r="B335" s="463">
        <f t="shared" si="21"/>
        <v>45164</v>
      </c>
      <c r="C335" s="146">
        <f t="shared" si="22"/>
        <v>34</v>
      </c>
      <c r="D335" s="145">
        <f t="shared" si="23"/>
        <v>45138</v>
      </c>
      <c r="E335" s="510">
        <f>Arbeitszeit!V336*24</f>
        <v>0</v>
      </c>
      <c r="F335" s="574">
        <f t="shared" si="20"/>
        <v>0</v>
      </c>
      <c r="G335" s="113">
        <f>IF(Arbeitszeit!F336=Urlaub,B_WorkTime*24,)</f>
        <v>0</v>
      </c>
      <c r="H335" s="111"/>
      <c r="I335" s="113">
        <f>IF(Arbeitszeit!F336=Krank,B_WorkTime*24,)</f>
        <v>0</v>
      </c>
      <c r="J335" s="111"/>
      <c r="K335" s="114"/>
      <c r="L335" s="115"/>
      <c r="M335" s="498"/>
      <c r="N335" s="499"/>
      <c r="O335" s="498"/>
      <c r="P335" s="499"/>
      <c r="Q335" s="498"/>
      <c r="R335" s="499"/>
      <c r="S335" s="498"/>
      <c r="T335" s="499"/>
      <c r="U335" s="498"/>
      <c r="V335" s="499"/>
      <c r="W335" s="498"/>
      <c r="X335" s="499"/>
      <c r="Y335" s="498"/>
      <c r="Z335" s="499"/>
      <c r="AA335" s="498"/>
      <c r="AB335" s="499"/>
      <c r="AC335" s="498"/>
      <c r="AD335" s="499"/>
      <c r="AE335" s="498"/>
      <c r="AF335" s="500"/>
      <c r="AG335" s="498"/>
      <c r="AH335" s="500"/>
      <c r="AI335" s="498"/>
      <c r="AJ335" s="500"/>
      <c r="AK335" s="498"/>
      <c r="AL335" s="500"/>
      <c r="AM335" s="501"/>
      <c r="AN335" s="500"/>
      <c r="AO335" s="498"/>
      <c r="AP335" s="500"/>
      <c r="AQ335" s="501"/>
      <c r="AR335" s="500"/>
      <c r="AS335" s="500"/>
      <c r="AT335" s="500"/>
      <c r="AU335" s="501"/>
      <c r="AV335" s="500"/>
      <c r="AW335" s="500"/>
      <c r="AX335" s="500"/>
      <c r="AY335" s="576"/>
      <c r="AZ335" s="576"/>
      <c r="BA335" s="576"/>
      <c r="BB335" s="576"/>
      <c r="BC335" s="576"/>
      <c r="BD335" s="576"/>
      <c r="BE335" s="576"/>
      <c r="BF335" s="576"/>
      <c r="BG335" s="576"/>
      <c r="BH335" s="576"/>
      <c r="BI335" s="576"/>
      <c r="BJ335" s="576"/>
      <c r="BK335" s="576"/>
      <c r="BL335" s="576"/>
      <c r="BM335" s="576"/>
      <c r="BN335" s="576"/>
      <c r="BO335" s="576"/>
      <c r="BP335" s="576"/>
      <c r="BQ335" s="576"/>
      <c r="BR335" s="576"/>
      <c r="BS335" s="576"/>
      <c r="BT335" s="576"/>
      <c r="BU335" s="576"/>
      <c r="BV335" s="576"/>
      <c r="BW335" s="576"/>
      <c r="BX335" s="576"/>
      <c r="BY335" s="576"/>
      <c r="BZ335" s="576"/>
      <c r="CA335" s="576"/>
      <c r="CB335" s="576"/>
      <c r="CC335" s="576"/>
      <c r="CD335" s="576"/>
      <c r="CE335" s="576"/>
      <c r="CF335" s="576"/>
      <c r="CG335" s="576"/>
      <c r="CH335" s="576"/>
      <c r="CI335" s="576"/>
      <c r="CJ335" s="576"/>
      <c r="CK335" s="576"/>
      <c r="CL335" s="576"/>
      <c r="CM335" s="576"/>
      <c r="CN335" s="576"/>
      <c r="CO335" s="576"/>
      <c r="CP335" s="576"/>
      <c r="CQ335" s="576"/>
      <c r="CR335" s="576"/>
      <c r="CS335" s="576"/>
      <c r="CT335" s="576"/>
      <c r="CU335" s="576"/>
      <c r="CV335" s="576"/>
      <c r="CW335" s="576"/>
      <c r="CX335" s="576"/>
      <c r="CY335" s="576"/>
      <c r="CZ335" s="576"/>
      <c r="DA335" s="576"/>
      <c r="DB335" s="576"/>
      <c r="DC335" s="576"/>
      <c r="DD335" s="576"/>
      <c r="DE335" s="576"/>
      <c r="DF335" s="576"/>
      <c r="DG335" s="576"/>
      <c r="DH335" s="116"/>
      <c r="DI335" s="112"/>
      <c r="DJ335">
        <f ca="1">INDIRECT(ADDRESS(ROW()+1,COLUMN(Arbeitszeit!xDay),,,"Arbeitszeit"))</f>
        <v>5</v>
      </c>
    </row>
    <row r="336" spans="1:114">
      <c r="A336" s="462">
        <f>Arbeitszeit!A337</f>
        <v>45165</v>
      </c>
      <c r="B336" s="463">
        <f t="shared" si="21"/>
        <v>45165</v>
      </c>
      <c r="C336" s="146">
        <f t="shared" si="22"/>
        <v>34</v>
      </c>
      <c r="D336" s="145">
        <f t="shared" si="23"/>
        <v>45138</v>
      </c>
      <c r="E336" s="510">
        <f>Arbeitszeit!V337*24</f>
        <v>0</v>
      </c>
      <c r="F336" s="574">
        <f t="shared" si="20"/>
        <v>0</v>
      </c>
      <c r="G336" s="113">
        <f>IF(Arbeitszeit!F337=Urlaub,B_WorkTime*24,)</f>
        <v>0</v>
      </c>
      <c r="H336" s="111"/>
      <c r="I336" s="113">
        <f>IF(Arbeitszeit!F337=Krank,B_WorkTime*24,)</f>
        <v>0</v>
      </c>
      <c r="J336" s="111"/>
      <c r="K336" s="114"/>
      <c r="L336" s="115"/>
      <c r="M336" s="498"/>
      <c r="N336" s="499"/>
      <c r="O336" s="498"/>
      <c r="P336" s="499"/>
      <c r="Q336" s="498"/>
      <c r="R336" s="499"/>
      <c r="S336" s="498"/>
      <c r="T336" s="499"/>
      <c r="U336" s="498"/>
      <c r="V336" s="499"/>
      <c r="W336" s="498"/>
      <c r="X336" s="499"/>
      <c r="Y336" s="498"/>
      <c r="Z336" s="499"/>
      <c r="AA336" s="498"/>
      <c r="AB336" s="499"/>
      <c r="AC336" s="498"/>
      <c r="AD336" s="499"/>
      <c r="AE336" s="498"/>
      <c r="AF336" s="500"/>
      <c r="AG336" s="498"/>
      <c r="AH336" s="500"/>
      <c r="AI336" s="498"/>
      <c r="AJ336" s="500"/>
      <c r="AK336" s="498"/>
      <c r="AL336" s="500"/>
      <c r="AM336" s="501"/>
      <c r="AN336" s="500"/>
      <c r="AO336" s="498"/>
      <c r="AP336" s="500"/>
      <c r="AQ336" s="501"/>
      <c r="AR336" s="500"/>
      <c r="AS336" s="500"/>
      <c r="AT336" s="500"/>
      <c r="AU336" s="501"/>
      <c r="AV336" s="500"/>
      <c r="AW336" s="500"/>
      <c r="AX336" s="500"/>
      <c r="AY336" s="576"/>
      <c r="AZ336" s="576"/>
      <c r="BA336" s="576"/>
      <c r="BB336" s="576"/>
      <c r="BC336" s="576"/>
      <c r="BD336" s="576"/>
      <c r="BE336" s="576"/>
      <c r="BF336" s="576"/>
      <c r="BG336" s="576"/>
      <c r="BH336" s="576"/>
      <c r="BI336" s="576"/>
      <c r="BJ336" s="576"/>
      <c r="BK336" s="576"/>
      <c r="BL336" s="576"/>
      <c r="BM336" s="576"/>
      <c r="BN336" s="576"/>
      <c r="BO336" s="576"/>
      <c r="BP336" s="576"/>
      <c r="BQ336" s="576"/>
      <c r="BR336" s="576"/>
      <c r="BS336" s="576"/>
      <c r="BT336" s="576"/>
      <c r="BU336" s="576"/>
      <c r="BV336" s="576"/>
      <c r="BW336" s="576"/>
      <c r="BX336" s="576"/>
      <c r="BY336" s="576"/>
      <c r="BZ336" s="576"/>
      <c r="CA336" s="576"/>
      <c r="CB336" s="576"/>
      <c r="CC336" s="576"/>
      <c r="CD336" s="576"/>
      <c r="CE336" s="576"/>
      <c r="CF336" s="576"/>
      <c r="CG336" s="576"/>
      <c r="CH336" s="576"/>
      <c r="CI336" s="576"/>
      <c r="CJ336" s="576"/>
      <c r="CK336" s="576"/>
      <c r="CL336" s="576"/>
      <c r="CM336" s="576"/>
      <c r="CN336" s="576"/>
      <c r="CO336" s="576"/>
      <c r="CP336" s="576"/>
      <c r="CQ336" s="576"/>
      <c r="CR336" s="576"/>
      <c r="CS336" s="576"/>
      <c r="CT336" s="576"/>
      <c r="CU336" s="576"/>
      <c r="CV336" s="576"/>
      <c r="CW336" s="576"/>
      <c r="CX336" s="576"/>
      <c r="CY336" s="576"/>
      <c r="CZ336" s="576"/>
      <c r="DA336" s="576"/>
      <c r="DB336" s="576"/>
      <c r="DC336" s="576"/>
      <c r="DD336" s="576"/>
      <c r="DE336" s="576"/>
      <c r="DF336" s="576"/>
      <c r="DG336" s="576"/>
      <c r="DH336" s="116"/>
      <c r="DI336" s="112"/>
      <c r="DJ336">
        <f ca="1">INDIRECT(ADDRESS(ROW()+1,COLUMN(Arbeitszeit!xDay),,,"Arbeitszeit"))</f>
        <v>6</v>
      </c>
    </row>
    <row r="337" spans="1:114">
      <c r="A337" s="462">
        <f>Arbeitszeit!A338</f>
        <v>45166</v>
      </c>
      <c r="B337" s="463">
        <f t="shared" si="21"/>
        <v>45166</v>
      </c>
      <c r="C337" s="146">
        <f t="shared" si="22"/>
        <v>34</v>
      </c>
      <c r="D337" s="145">
        <f t="shared" si="23"/>
        <v>45138</v>
      </c>
      <c r="E337" s="510">
        <f>Arbeitszeit!V338*24</f>
        <v>0</v>
      </c>
      <c r="F337" s="574">
        <f t="shared" si="20"/>
        <v>0</v>
      </c>
      <c r="G337" s="113">
        <f>IF(Arbeitszeit!F338=Urlaub,B_WorkTime*24,)</f>
        <v>0</v>
      </c>
      <c r="H337" s="111"/>
      <c r="I337" s="113">
        <f>IF(Arbeitszeit!F338=Krank,B_WorkTime*24,)</f>
        <v>0</v>
      </c>
      <c r="J337" s="111"/>
      <c r="K337" s="114"/>
      <c r="L337" s="115"/>
      <c r="M337" s="498"/>
      <c r="N337" s="499"/>
      <c r="O337" s="498"/>
      <c r="P337" s="499"/>
      <c r="Q337" s="498"/>
      <c r="R337" s="499"/>
      <c r="S337" s="498"/>
      <c r="T337" s="499"/>
      <c r="U337" s="498"/>
      <c r="V337" s="499"/>
      <c r="W337" s="498"/>
      <c r="X337" s="499"/>
      <c r="Y337" s="498"/>
      <c r="Z337" s="499"/>
      <c r="AA337" s="498"/>
      <c r="AB337" s="499"/>
      <c r="AC337" s="498"/>
      <c r="AD337" s="499"/>
      <c r="AE337" s="498"/>
      <c r="AF337" s="500"/>
      <c r="AG337" s="498"/>
      <c r="AH337" s="500"/>
      <c r="AI337" s="498"/>
      <c r="AJ337" s="500"/>
      <c r="AK337" s="498"/>
      <c r="AL337" s="500"/>
      <c r="AM337" s="501"/>
      <c r="AN337" s="500"/>
      <c r="AO337" s="498"/>
      <c r="AP337" s="500"/>
      <c r="AQ337" s="501"/>
      <c r="AR337" s="500"/>
      <c r="AS337" s="500"/>
      <c r="AT337" s="500"/>
      <c r="AU337" s="501"/>
      <c r="AV337" s="500"/>
      <c r="AW337" s="500"/>
      <c r="AX337" s="500"/>
      <c r="AY337" s="576"/>
      <c r="AZ337" s="576"/>
      <c r="BA337" s="576"/>
      <c r="BB337" s="576"/>
      <c r="BC337" s="576"/>
      <c r="BD337" s="576"/>
      <c r="BE337" s="576"/>
      <c r="BF337" s="576"/>
      <c r="BG337" s="576"/>
      <c r="BH337" s="576"/>
      <c r="BI337" s="576"/>
      <c r="BJ337" s="576"/>
      <c r="BK337" s="576"/>
      <c r="BL337" s="576"/>
      <c r="BM337" s="576"/>
      <c r="BN337" s="576"/>
      <c r="BO337" s="576"/>
      <c r="BP337" s="576"/>
      <c r="BQ337" s="576"/>
      <c r="BR337" s="576"/>
      <c r="BS337" s="576"/>
      <c r="BT337" s="576"/>
      <c r="BU337" s="576"/>
      <c r="BV337" s="576"/>
      <c r="BW337" s="576"/>
      <c r="BX337" s="576"/>
      <c r="BY337" s="576"/>
      <c r="BZ337" s="576"/>
      <c r="CA337" s="576"/>
      <c r="CB337" s="576"/>
      <c r="CC337" s="576"/>
      <c r="CD337" s="576"/>
      <c r="CE337" s="576"/>
      <c r="CF337" s="576"/>
      <c r="CG337" s="576"/>
      <c r="CH337" s="576"/>
      <c r="CI337" s="576"/>
      <c r="CJ337" s="576"/>
      <c r="CK337" s="576"/>
      <c r="CL337" s="576"/>
      <c r="CM337" s="576"/>
      <c r="CN337" s="576"/>
      <c r="CO337" s="576"/>
      <c r="CP337" s="576"/>
      <c r="CQ337" s="576"/>
      <c r="CR337" s="576"/>
      <c r="CS337" s="576"/>
      <c r="CT337" s="576"/>
      <c r="CU337" s="576"/>
      <c r="CV337" s="576"/>
      <c r="CW337" s="576"/>
      <c r="CX337" s="576"/>
      <c r="CY337" s="576"/>
      <c r="CZ337" s="576"/>
      <c r="DA337" s="576"/>
      <c r="DB337" s="576"/>
      <c r="DC337" s="576"/>
      <c r="DD337" s="576"/>
      <c r="DE337" s="576"/>
      <c r="DF337" s="576"/>
      <c r="DG337" s="576"/>
      <c r="DH337" s="116"/>
      <c r="DI337" s="112"/>
      <c r="DJ337">
        <f ca="1">INDIRECT(ADDRESS(ROW()+1,COLUMN(Arbeitszeit!xDay),,,"Arbeitszeit"))</f>
        <v>7</v>
      </c>
    </row>
    <row r="338" spans="1:114">
      <c r="A338" s="462">
        <f>Arbeitszeit!A339</f>
        <v>45167</v>
      </c>
      <c r="B338" s="463">
        <f t="shared" si="21"/>
        <v>45167</v>
      </c>
      <c r="C338" s="146">
        <f t="shared" si="22"/>
        <v>35</v>
      </c>
      <c r="D338" s="145">
        <f t="shared" si="23"/>
        <v>45138</v>
      </c>
      <c r="E338" s="510">
        <f>Arbeitszeit!V339*24</f>
        <v>0</v>
      </c>
      <c r="F338" s="574">
        <f t="shared" si="20"/>
        <v>0</v>
      </c>
      <c r="G338" s="113">
        <f>IF(Arbeitszeit!F339=Urlaub,B_WorkTime*24,)</f>
        <v>0</v>
      </c>
      <c r="H338" s="111"/>
      <c r="I338" s="113">
        <f>IF(Arbeitszeit!F339=Krank,B_WorkTime*24,)</f>
        <v>0</v>
      </c>
      <c r="J338" s="111"/>
      <c r="K338" s="114"/>
      <c r="L338" s="115"/>
      <c r="M338" s="498"/>
      <c r="N338" s="499"/>
      <c r="O338" s="498"/>
      <c r="P338" s="499"/>
      <c r="Q338" s="498"/>
      <c r="R338" s="499"/>
      <c r="S338" s="498"/>
      <c r="T338" s="499"/>
      <c r="U338" s="498"/>
      <c r="V338" s="499"/>
      <c r="W338" s="498"/>
      <c r="X338" s="499"/>
      <c r="Y338" s="498"/>
      <c r="Z338" s="499"/>
      <c r="AA338" s="498"/>
      <c r="AB338" s="499"/>
      <c r="AC338" s="498"/>
      <c r="AD338" s="499"/>
      <c r="AE338" s="498"/>
      <c r="AF338" s="500"/>
      <c r="AG338" s="498"/>
      <c r="AH338" s="500"/>
      <c r="AI338" s="498"/>
      <c r="AJ338" s="500"/>
      <c r="AK338" s="498"/>
      <c r="AL338" s="500"/>
      <c r="AM338" s="501"/>
      <c r="AN338" s="500"/>
      <c r="AO338" s="498"/>
      <c r="AP338" s="500"/>
      <c r="AQ338" s="501"/>
      <c r="AR338" s="500"/>
      <c r="AS338" s="500"/>
      <c r="AT338" s="500"/>
      <c r="AU338" s="501"/>
      <c r="AV338" s="500"/>
      <c r="AW338" s="500"/>
      <c r="AX338" s="500"/>
      <c r="AY338" s="576"/>
      <c r="AZ338" s="576"/>
      <c r="BA338" s="576"/>
      <c r="BB338" s="576"/>
      <c r="BC338" s="576"/>
      <c r="BD338" s="576"/>
      <c r="BE338" s="576"/>
      <c r="BF338" s="576"/>
      <c r="BG338" s="576"/>
      <c r="BH338" s="576"/>
      <c r="BI338" s="576"/>
      <c r="BJ338" s="576"/>
      <c r="BK338" s="576"/>
      <c r="BL338" s="576"/>
      <c r="BM338" s="576"/>
      <c r="BN338" s="576"/>
      <c r="BO338" s="576"/>
      <c r="BP338" s="576"/>
      <c r="BQ338" s="576"/>
      <c r="BR338" s="576"/>
      <c r="BS338" s="576"/>
      <c r="BT338" s="576"/>
      <c r="BU338" s="576"/>
      <c r="BV338" s="576"/>
      <c r="BW338" s="576"/>
      <c r="BX338" s="576"/>
      <c r="BY338" s="576"/>
      <c r="BZ338" s="576"/>
      <c r="CA338" s="576"/>
      <c r="CB338" s="576"/>
      <c r="CC338" s="576"/>
      <c r="CD338" s="576"/>
      <c r="CE338" s="576"/>
      <c r="CF338" s="576"/>
      <c r="CG338" s="576"/>
      <c r="CH338" s="576"/>
      <c r="CI338" s="576"/>
      <c r="CJ338" s="576"/>
      <c r="CK338" s="576"/>
      <c r="CL338" s="576"/>
      <c r="CM338" s="576"/>
      <c r="CN338" s="576"/>
      <c r="CO338" s="576"/>
      <c r="CP338" s="576"/>
      <c r="CQ338" s="576"/>
      <c r="CR338" s="576"/>
      <c r="CS338" s="576"/>
      <c r="CT338" s="576"/>
      <c r="CU338" s="576"/>
      <c r="CV338" s="576"/>
      <c r="CW338" s="576"/>
      <c r="CX338" s="576"/>
      <c r="CY338" s="576"/>
      <c r="CZ338" s="576"/>
      <c r="DA338" s="576"/>
      <c r="DB338" s="576"/>
      <c r="DC338" s="576"/>
      <c r="DD338" s="576"/>
      <c r="DE338" s="576"/>
      <c r="DF338" s="576"/>
      <c r="DG338" s="576"/>
      <c r="DH338" s="116"/>
      <c r="DI338" s="112"/>
      <c r="DJ338">
        <f ca="1">INDIRECT(ADDRESS(ROW()+1,COLUMN(Arbeitszeit!xDay),,,"Arbeitszeit"))</f>
        <v>1</v>
      </c>
    </row>
    <row r="339" spans="1:114">
      <c r="A339" s="462">
        <f>Arbeitszeit!A340</f>
        <v>45168</v>
      </c>
      <c r="B339" s="463">
        <f t="shared" si="21"/>
        <v>45168</v>
      </c>
      <c r="C339" s="146">
        <f t="shared" si="22"/>
        <v>35</v>
      </c>
      <c r="D339" s="145">
        <f t="shared" si="23"/>
        <v>45138</v>
      </c>
      <c r="E339" s="510">
        <f>Arbeitszeit!V340*24</f>
        <v>0</v>
      </c>
      <c r="F339" s="574">
        <f t="shared" si="20"/>
        <v>0</v>
      </c>
      <c r="G339" s="113">
        <f>IF(Arbeitszeit!F340=Urlaub,B_WorkTime*24,)</f>
        <v>0</v>
      </c>
      <c r="H339" s="111"/>
      <c r="I339" s="113">
        <f>IF(Arbeitszeit!F340=Krank,B_WorkTime*24,)</f>
        <v>0</v>
      </c>
      <c r="J339" s="111"/>
      <c r="K339" s="114"/>
      <c r="L339" s="115"/>
      <c r="M339" s="498"/>
      <c r="N339" s="499"/>
      <c r="O339" s="498"/>
      <c r="P339" s="499"/>
      <c r="Q339" s="498"/>
      <c r="R339" s="499"/>
      <c r="S339" s="498"/>
      <c r="T339" s="499"/>
      <c r="U339" s="498"/>
      <c r="V339" s="499"/>
      <c r="W339" s="498"/>
      <c r="X339" s="499"/>
      <c r="Y339" s="498"/>
      <c r="Z339" s="499"/>
      <c r="AA339" s="498"/>
      <c r="AB339" s="499"/>
      <c r="AC339" s="498"/>
      <c r="AD339" s="499"/>
      <c r="AE339" s="498"/>
      <c r="AF339" s="500"/>
      <c r="AG339" s="498"/>
      <c r="AH339" s="500"/>
      <c r="AI339" s="498"/>
      <c r="AJ339" s="500"/>
      <c r="AK339" s="498"/>
      <c r="AL339" s="500"/>
      <c r="AM339" s="501"/>
      <c r="AN339" s="500"/>
      <c r="AO339" s="498"/>
      <c r="AP339" s="500"/>
      <c r="AQ339" s="501"/>
      <c r="AR339" s="500"/>
      <c r="AS339" s="500"/>
      <c r="AT339" s="500"/>
      <c r="AU339" s="501"/>
      <c r="AV339" s="500"/>
      <c r="AW339" s="500"/>
      <c r="AX339" s="500"/>
      <c r="AY339" s="576"/>
      <c r="AZ339" s="576"/>
      <c r="BA339" s="576"/>
      <c r="BB339" s="576"/>
      <c r="BC339" s="576"/>
      <c r="BD339" s="576"/>
      <c r="BE339" s="576"/>
      <c r="BF339" s="576"/>
      <c r="BG339" s="576"/>
      <c r="BH339" s="576"/>
      <c r="BI339" s="576"/>
      <c r="BJ339" s="576"/>
      <c r="BK339" s="576"/>
      <c r="BL339" s="576"/>
      <c r="BM339" s="576"/>
      <c r="BN339" s="576"/>
      <c r="BO339" s="576"/>
      <c r="BP339" s="576"/>
      <c r="BQ339" s="576"/>
      <c r="BR339" s="576"/>
      <c r="BS339" s="576"/>
      <c r="BT339" s="576"/>
      <c r="BU339" s="576"/>
      <c r="BV339" s="576"/>
      <c r="BW339" s="576"/>
      <c r="BX339" s="576"/>
      <c r="BY339" s="576"/>
      <c r="BZ339" s="576"/>
      <c r="CA339" s="576"/>
      <c r="CB339" s="576"/>
      <c r="CC339" s="576"/>
      <c r="CD339" s="576"/>
      <c r="CE339" s="576"/>
      <c r="CF339" s="576"/>
      <c r="CG339" s="576"/>
      <c r="CH339" s="576"/>
      <c r="CI339" s="576"/>
      <c r="CJ339" s="576"/>
      <c r="CK339" s="576"/>
      <c r="CL339" s="576"/>
      <c r="CM339" s="576"/>
      <c r="CN339" s="576"/>
      <c r="CO339" s="576"/>
      <c r="CP339" s="576"/>
      <c r="CQ339" s="576"/>
      <c r="CR339" s="576"/>
      <c r="CS339" s="576"/>
      <c r="CT339" s="576"/>
      <c r="CU339" s="576"/>
      <c r="CV339" s="576"/>
      <c r="CW339" s="576"/>
      <c r="CX339" s="576"/>
      <c r="CY339" s="576"/>
      <c r="CZ339" s="576"/>
      <c r="DA339" s="576"/>
      <c r="DB339" s="576"/>
      <c r="DC339" s="576"/>
      <c r="DD339" s="576"/>
      <c r="DE339" s="576"/>
      <c r="DF339" s="576"/>
      <c r="DG339" s="576"/>
      <c r="DH339" s="116"/>
      <c r="DI339" s="112"/>
      <c r="DJ339">
        <f ca="1">INDIRECT(ADDRESS(ROW()+1,COLUMN(Arbeitszeit!xDay),,,"Arbeitszeit"))</f>
        <v>2</v>
      </c>
    </row>
    <row r="340" spans="1:114">
      <c r="A340" s="462">
        <f>Arbeitszeit!A341</f>
        <v>45169</v>
      </c>
      <c r="B340" s="463">
        <f t="shared" si="21"/>
        <v>45169</v>
      </c>
      <c r="C340" s="146">
        <f t="shared" si="22"/>
        <v>35</v>
      </c>
      <c r="D340" s="145">
        <f t="shared" si="23"/>
        <v>45169</v>
      </c>
      <c r="E340" s="510">
        <f>Arbeitszeit!V341*24</f>
        <v>0</v>
      </c>
      <c r="F340" s="574">
        <f t="shared" si="20"/>
        <v>0</v>
      </c>
      <c r="G340" s="113">
        <f>IF(Arbeitszeit!F341=Urlaub,B_WorkTime*24,)</f>
        <v>0</v>
      </c>
      <c r="H340" s="111"/>
      <c r="I340" s="113">
        <f>IF(Arbeitszeit!F341=Krank,B_WorkTime*24,)</f>
        <v>0</v>
      </c>
      <c r="J340" s="111"/>
      <c r="K340" s="114"/>
      <c r="L340" s="115"/>
      <c r="M340" s="498"/>
      <c r="N340" s="499"/>
      <c r="O340" s="498"/>
      <c r="P340" s="499"/>
      <c r="Q340" s="498"/>
      <c r="R340" s="499"/>
      <c r="S340" s="498"/>
      <c r="T340" s="499"/>
      <c r="U340" s="498"/>
      <c r="V340" s="499"/>
      <c r="W340" s="498"/>
      <c r="X340" s="499"/>
      <c r="Y340" s="498"/>
      <c r="Z340" s="499"/>
      <c r="AA340" s="498"/>
      <c r="AB340" s="499"/>
      <c r="AC340" s="498"/>
      <c r="AD340" s="499"/>
      <c r="AE340" s="498"/>
      <c r="AF340" s="500"/>
      <c r="AG340" s="498"/>
      <c r="AH340" s="500"/>
      <c r="AI340" s="498"/>
      <c r="AJ340" s="500"/>
      <c r="AK340" s="498"/>
      <c r="AL340" s="500"/>
      <c r="AM340" s="501"/>
      <c r="AN340" s="500"/>
      <c r="AO340" s="498"/>
      <c r="AP340" s="500"/>
      <c r="AQ340" s="501"/>
      <c r="AR340" s="500"/>
      <c r="AS340" s="500"/>
      <c r="AT340" s="500"/>
      <c r="AU340" s="501"/>
      <c r="AV340" s="500"/>
      <c r="AW340" s="500"/>
      <c r="AX340" s="500"/>
      <c r="AY340" s="576"/>
      <c r="AZ340" s="576"/>
      <c r="BA340" s="576"/>
      <c r="BB340" s="576"/>
      <c r="BC340" s="576"/>
      <c r="BD340" s="576"/>
      <c r="BE340" s="576"/>
      <c r="BF340" s="576"/>
      <c r="BG340" s="576"/>
      <c r="BH340" s="576"/>
      <c r="BI340" s="576"/>
      <c r="BJ340" s="576"/>
      <c r="BK340" s="576"/>
      <c r="BL340" s="576"/>
      <c r="BM340" s="576"/>
      <c r="BN340" s="576"/>
      <c r="BO340" s="576"/>
      <c r="BP340" s="576"/>
      <c r="BQ340" s="576"/>
      <c r="BR340" s="576"/>
      <c r="BS340" s="576"/>
      <c r="BT340" s="576"/>
      <c r="BU340" s="576"/>
      <c r="BV340" s="576"/>
      <c r="BW340" s="576"/>
      <c r="BX340" s="576"/>
      <c r="BY340" s="576"/>
      <c r="BZ340" s="576"/>
      <c r="CA340" s="576"/>
      <c r="CB340" s="576"/>
      <c r="CC340" s="576"/>
      <c r="CD340" s="576"/>
      <c r="CE340" s="576"/>
      <c r="CF340" s="576"/>
      <c r="CG340" s="576"/>
      <c r="CH340" s="576"/>
      <c r="CI340" s="576"/>
      <c r="CJ340" s="576"/>
      <c r="CK340" s="576"/>
      <c r="CL340" s="576"/>
      <c r="CM340" s="576"/>
      <c r="CN340" s="576"/>
      <c r="CO340" s="576"/>
      <c r="CP340" s="576"/>
      <c r="CQ340" s="576"/>
      <c r="CR340" s="576"/>
      <c r="CS340" s="576"/>
      <c r="CT340" s="576"/>
      <c r="CU340" s="576"/>
      <c r="CV340" s="576"/>
      <c r="CW340" s="576"/>
      <c r="CX340" s="576"/>
      <c r="CY340" s="576"/>
      <c r="CZ340" s="576"/>
      <c r="DA340" s="576"/>
      <c r="DB340" s="576"/>
      <c r="DC340" s="576"/>
      <c r="DD340" s="576"/>
      <c r="DE340" s="576"/>
      <c r="DF340" s="576"/>
      <c r="DG340" s="576"/>
      <c r="DH340" s="116"/>
      <c r="DI340" s="112"/>
      <c r="DJ340">
        <f ca="1">INDIRECT(ADDRESS(ROW()+1,COLUMN(Arbeitszeit!xDay),,,"Arbeitszeit"))</f>
        <v>3</v>
      </c>
    </row>
    <row r="341" spans="1:114">
      <c r="A341" s="462">
        <f>Arbeitszeit!A342</f>
        <v>45170</v>
      </c>
      <c r="B341" s="463">
        <f t="shared" si="21"/>
        <v>45170</v>
      </c>
      <c r="C341" s="146">
        <f t="shared" si="22"/>
        <v>35</v>
      </c>
      <c r="D341" s="145">
        <f t="shared" si="23"/>
        <v>45169</v>
      </c>
      <c r="E341" s="510">
        <f>Arbeitszeit!V342*24</f>
        <v>0</v>
      </c>
      <c r="F341" s="574">
        <f t="shared" si="20"/>
        <v>0</v>
      </c>
      <c r="G341" s="113">
        <f>IF(Arbeitszeit!F342=Urlaub,B_WorkTime*24,)</f>
        <v>0</v>
      </c>
      <c r="H341" s="111"/>
      <c r="I341" s="113">
        <f>IF(Arbeitszeit!F342=Krank,B_WorkTime*24,)</f>
        <v>0</v>
      </c>
      <c r="J341" s="111"/>
      <c r="K341" s="114"/>
      <c r="L341" s="115"/>
      <c r="M341" s="498"/>
      <c r="N341" s="499"/>
      <c r="O341" s="498"/>
      <c r="P341" s="499"/>
      <c r="Q341" s="498"/>
      <c r="R341" s="499"/>
      <c r="S341" s="498"/>
      <c r="T341" s="499"/>
      <c r="U341" s="498"/>
      <c r="V341" s="499"/>
      <c r="W341" s="498"/>
      <c r="X341" s="499"/>
      <c r="Y341" s="498"/>
      <c r="Z341" s="499"/>
      <c r="AA341" s="498"/>
      <c r="AB341" s="499"/>
      <c r="AC341" s="498"/>
      <c r="AD341" s="499"/>
      <c r="AE341" s="498"/>
      <c r="AF341" s="500"/>
      <c r="AG341" s="498"/>
      <c r="AH341" s="500"/>
      <c r="AI341" s="498"/>
      <c r="AJ341" s="500"/>
      <c r="AK341" s="498"/>
      <c r="AL341" s="500"/>
      <c r="AM341" s="501"/>
      <c r="AN341" s="500"/>
      <c r="AO341" s="498"/>
      <c r="AP341" s="500"/>
      <c r="AQ341" s="501"/>
      <c r="AR341" s="500"/>
      <c r="AS341" s="500"/>
      <c r="AT341" s="500"/>
      <c r="AU341" s="501"/>
      <c r="AV341" s="500"/>
      <c r="AW341" s="500"/>
      <c r="AX341" s="500"/>
      <c r="AY341" s="576"/>
      <c r="AZ341" s="576"/>
      <c r="BA341" s="576"/>
      <c r="BB341" s="576"/>
      <c r="BC341" s="576"/>
      <c r="BD341" s="576"/>
      <c r="BE341" s="576"/>
      <c r="BF341" s="576"/>
      <c r="BG341" s="576"/>
      <c r="BH341" s="576"/>
      <c r="BI341" s="576"/>
      <c r="BJ341" s="576"/>
      <c r="BK341" s="576"/>
      <c r="BL341" s="576"/>
      <c r="BM341" s="576"/>
      <c r="BN341" s="576"/>
      <c r="BO341" s="576"/>
      <c r="BP341" s="576"/>
      <c r="BQ341" s="576"/>
      <c r="BR341" s="576"/>
      <c r="BS341" s="576"/>
      <c r="BT341" s="576"/>
      <c r="BU341" s="576"/>
      <c r="BV341" s="576"/>
      <c r="BW341" s="576"/>
      <c r="BX341" s="576"/>
      <c r="BY341" s="576"/>
      <c r="BZ341" s="576"/>
      <c r="CA341" s="576"/>
      <c r="CB341" s="576"/>
      <c r="CC341" s="576"/>
      <c r="CD341" s="576"/>
      <c r="CE341" s="576"/>
      <c r="CF341" s="576"/>
      <c r="CG341" s="576"/>
      <c r="CH341" s="576"/>
      <c r="CI341" s="576"/>
      <c r="CJ341" s="576"/>
      <c r="CK341" s="576"/>
      <c r="CL341" s="576"/>
      <c r="CM341" s="576"/>
      <c r="CN341" s="576"/>
      <c r="CO341" s="576"/>
      <c r="CP341" s="576"/>
      <c r="CQ341" s="576"/>
      <c r="CR341" s="576"/>
      <c r="CS341" s="576"/>
      <c r="CT341" s="576"/>
      <c r="CU341" s="576"/>
      <c r="CV341" s="576"/>
      <c r="CW341" s="576"/>
      <c r="CX341" s="576"/>
      <c r="CY341" s="576"/>
      <c r="CZ341" s="576"/>
      <c r="DA341" s="576"/>
      <c r="DB341" s="576"/>
      <c r="DC341" s="576"/>
      <c r="DD341" s="576"/>
      <c r="DE341" s="576"/>
      <c r="DF341" s="576"/>
      <c r="DG341" s="576"/>
      <c r="DH341" s="116"/>
      <c r="DI341" s="112"/>
      <c r="DJ341">
        <f ca="1">INDIRECT(ADDRESS(ROW()+1,COLUMN(Arbeitszeit!xDay),,,"Arbeitszeit"))</f>
        <v>4</v>
      </c>
    </row>
    <row r="342" spans="1:114">
      <c r="A342" s="462">
        <f>Arbeitszeit!A343</f>
        <v>45171</v>
      </c>
      <c r="B342" s="463">
        <f t="shared" si="21"/>
        <v>45171</v>
      </c>
      <c r="C342" s="146">
        <f t="shared" si="22"/>
        <v>35</v>
      </c>
      <c r="D342" s="145">
        <f t="shared" si="23"/>
        <v>45169</v>
      </c>
      <c r="E342" s="510">
        <f>Arbeitszeit!V343*24</f>
        <v>0</v>
      </c>
      <c r="F342" s="574">
        <f t="shared" si="20"/>
        <v>0</v>
      </c>
      <c r="G342" s="113">
        <f>IF(Arbeitszeit!F343=Urlaub,B_WorkTime*24,)</f>
        <v>0</v>
      </c>
      <c r="H342" s="111"/>
      <c r="I342" s="113">
        <f>IF(Arbeitszeit!F343=Krank,B_WorkTime*24,)</f>
        <v>0</v>
      </c>
      <c r="J342" s="111"/>
      <c r="K342" s="114"/>
      <c r="L342" s="115"/>
      <c r="M342" s="498"/>
      <c r="N342" s="499"/>
      <c r="O342" s="498"/>
      <c r="P342" s="499"/>
      <c r="Q342" s="498"/>
      <c r="R342" s="499"/>
      <c r="S342" s="498"/>
      <c r="T342" s="499"/>
      <c r="U342" s="498"/>
      <c r="V342" s="499"/>
      <c r="W342" s="498"/>
      <c r="X342" s="499"/>
      <c r="Y342" s="498"/>
      <c r="Z342" s="499"/>
      <c r="AA342" s="498"/>
      <c r="AB342" s="499"/>
      <c r="AC342" s="498"/>
      <c r="AD342" s="499"/>
      <c r="AE342" s="498"/>
      <c r="AF342" s="500"/>
      <c r="AG342" s="498"/>
      <c r="AH342" s="500"/>
      <c r="AI342" s="498"/>
      <c r="AJ342" s="500"/>
      <c r="AK342" s="498"/>
      <c r="AL342" s="500"/>
      <c r="AM342" s="501"/>
      <c r="AN342" s="500"/>
      <c r="AO342" s="498"/>
      <c r="AP342" s="500"/>
      <c r="AQ342" s="501"/>
      <c r="AR342" s="500"/>
      <c r="AS342" s="500"/>
      <c r="AT342" s="500"/>
      <c r="AU342" s="501"/>
      <c r="AV342" s="500"/>
      <c r="AW342" s="500"/>
      <c r="AX342" s="500"/>
      <c r="AY342" s="576"/>
      <c r="AZ342" s="576"/>
      <c r="BA342" s="576"/>
      <c r="BB342" s="576"/>
      <c r="BC342" s="576"/>
      <c r="BD342" s="576"/>
      <c r="BE342" s="576"/>
      <c r="BF342" s="576"/>
      <c r="BG342" s="576"/>
      <c r="BH342" s="576"/>
      <c r="BI342" s="576"/>
      <c r="BJ342" s="576"/>
      <c r="BK342" s="576"/>
      <c r="BL342" s="576"/>
      <c r="BM342" s="576"/>
      <c r="BN342" s="576"/>
      <c r="BO342" s="576"/>
      <c r="BP342" s="576"/>
      <c r="BQ342" s="576"/>
      <c r="BR342" s="576"/>
      <c r="BS342" s="576"/>
      <c r="BT342" s="576"/>
      <c r="BU342" s="576"/>
      <c r="BV342" s="576"/>
      <c r="BW342" s="576"/>
      <c r="BX342" s="576"/>
      <c r="BY342" s="576"/>
      <c r="BZ342" s="576"/>
      <c r="CA342" s="576"/>
      <c r="CB342" s="576"/>
      <c r="CC342" s="576"/>
      <c r="CD342" s="576"/>
      <c r="CE342" s="576"/>
      <c r="CF342" s="576"/>
      <c r="CG342" s="576"/>
      <c r="CH342" s="576"/>
      <c r="CI342" s="576"/>
      <c r="CJ342" s="576"/>
      <c r="CK342" s="576"/>
      <c r="CL342" s="576"/>
      <c r="CM342" s="576"/>
      <c r="CN342" s="576"/>
      <c r="CO342" s="576"/>
      <c r="CP342" s="576"/>
      <c r="CQ342" s="576"/>
      <c r="CR342" s="576"/>
      <c r="CS342" s="576"/>
      <c r="CT342" s="576"/>
      <c r="CU342" s="576"/>
      <c r="CV342" s="576"/>
      <c r="CW342" s="576"/>
      <c r="CX342" s="576"/>
      <c r="CY342" s="576"/>
      <c r="CZ342" s="576"/>
      <c r="DA342" s="576"/>
      <c r="DB342" s="576"/>
      <c r="DC342" s="576"/>
      <c r="DD342" s="576"/>
      <c r="DE342" s="576"/>
      <c r="DF342" s="576"/>
      <c r="DG342" s="576"/>
      <c r="DH342" s="116"/>
      <c r="DI342" s="112"/>
      <c r="DJ342">
        <f ca="1">INDIRECT(ADDRESS(ROW()+1,COLUMN(Arbeitszeit!xDay),,,"Arbeitszeit"))</f>
        <v>5</v>
      </c>
    </row>
    <row r="343" spans="1:114">
      <c r="A343" s="462">
        <f>Arbeitszeit!A344</f>
        <v>45172</v>
      </c>
      <c r="B343" s="463">
        <f t="shared" si="21"/>
        <v>45172</v>
      </c>
      <c r="C343" s="146">
        <f t="shared" si="22"/>
        <v>35</v>
      </c>
      <c r="D343" s="145">
        <f t="shared" si="23"/>
        <v>45169</v>
      </c>
      <c r="E343" s="510">
        <f>Arbeitszeit!V344*24</f>
        <v>0</v>
      </c>
      <c r="F343" s="574">
        <f t="shared" si="20"/>
        <v>0</v>
      </c>
      <c r="G343" s="113">
        <f>IF(Arbeitszeit!F344=Urlaub,B_WorkTime*24,)</f>
        <v>0</v>
      </c>
      <c r="H343" s="111"/>
      <c r="I343" s="113">
        <f>IF(Arbeitszeit!F344=Krank,B_WorkTime*24,)</f>
        <v>0</v>
      </c>
      <c r="J343" s="111"/>
      <c r="K343" s="114"/>
      <c r="L343" s="115"/>
      <c r="M343" s="498"/>
      <c r="N343" s="499"/>
      <c r="O343" s="498"/>
      <c r="P343" s="499"/>
      <c r="Q343" s="498"/>
      <c r="R343" s="499"/>
      <c r="S343" s="498"/>
      <c r="T343" s="499"/>
      <c r="U343" s="498"/>
      <c r="V343" s="499"/>
      <c r="W343" s="498"/>
      <c r="X343" s="499"/>
      <c r="Y343" s="498"/>
      <c r="Z343" s="499"/>
      <c r="AA343" s="498"/>
      <c r="AB343" s="499"/>
      <c r="AC343" s="498"/>
      <c r="AD343" s="499"/>
      <c r="AE343" s="498"/>
      <c r="AF343" s="500"/>
      <c r="AG343" s="498"/>
      <c r="AH343" s="500"/>
      <c r="AI343" s="498"/>
      <c r="AJ343" s="500"/>
      <c r="AK343" s="498"/>
      <c r="AL343" s="500"/>
      <c r="AM343" s="501"/>
      <c r="AN343" s="500"/>
      <c r="AO343" s="498"/>
      <c r="AP343" s="500"/>
      <c r="AQ343" s="501"/>
      <c r="AR343" s="500"/>
      <c r="AS343" s="500"/>
      <c r="AT343" s="500"/>
      <c r="AU343" s="501"/>
      <c r="AV343" s="500"/>
      <c r="AW343" s="500"/>
      <c r="AX343" s="500"/>
      <c r="AY343" s="576"/>
      <c r="AZ343" s="576"/>
      <c r="BA343" s="576"/>
      <c r="BB343" s="576"/>
      <c r="BC343" s="576"/>
      <c r="BD343" s="576"/>
      <c r="BE343" s="576"/>
      <c r="BF343" s="576"/>
      <c r="BG343" s="576"/>
      <c r="BH343" s="576"/>
      <c r="BI343" s="576"/>
      <c r="BJ343" s="576"/>
      <c r="BK343" s="576"/>
      <c r="BL343" s="576"/>
      <c r="BM343" s="576"/>
      <c r="BN343" s="576"/>
      <c r="BO343" s="576"/>
      <c r="BP343" s="576"/>
      <c r="BQ343" s="576"/>
      <c r="BR343" s="576"/>
      <c r="BS343" s="576"/>
      <c r="BT343" s="576"/>
      <c r="BU343" s="576"/>
      <c r="BV343" s="576"/>
      <c r="BW343" s="576"/>
      <c r="BX343" s="576"/>
      <c r="BY343" s="576"/>
      <c r="BZ343" s="576"/>
      <c r="CA343" s="576"/>
      <c r="CB343" s="576"/>
      <c r="CC343" s="576"/>
      <c r="CD343" s="576"/>
      <c r="CE343" s="576"/>
      <c r="CF343" s="576"/>
      <c r="CG343" s="576"/>
      <c r="CH343" s="576"/>
      <c r="CI343" s="576"/>
      <c r="CJ343" s="576"/>
      <c r="CK343" s="576"/>
      <c r="CL343" s="576"/>
      <c r="CM343" s="576"/>
      <c r="CN343" s="576"/>
      <c r="CO343" s="576"/>
      <c r="CP343" s="576"/>
      <c r="CQ343" s="576"/>
      <c r="CR343" s="576"/>
      <c r="CS343" s="576"/>
      <c r="CT343" s="576"/>
      <c r="CU343" s="576"/>
      <c r="CV343" s="576"/>
      <c r="CW343" s="576"/>
      <c r="CX343" s="576"/>
      <c r="CY343" s="576"/>
      <c r="CZ343" s="576"/>
      <c r="DA343" s="576"/>
      <c r="DB343" s="576"/>
      <c r="DC343" s="576"/>
      <c r="DD343" s="576"/>
      <c r="DE343" s="576"/>
      <c r="DF343" s="576"/>
      <c r="DG343" s="576"/>
      <c r="DH343" s="116"/>
      <c r="DI343" s="112"/>
      <c r="DJ343">
        <f ca="1">INDIRECT(ADDRESS(ROW()+1,COLUMN(Arbeitszeit!xDay),,,"Arbeitszeit"))</f>
        <v>6</v>
      </c>
    </row>
    <row r="344" spans="1:114">
      <c r="A344" s="462">
        <f>Arbeitszeit!A345</f>
        <v>45173</v>
      </c>
      <c r="B344" s="463">
        <f t="shared" si="21"/>
        <v>45173</v>
      </c>
      <c r="C344" s="146">
        <f t="shared" si="22"/>
        <v>35</v>
      </c>
      <c r="D344" s="145">
        <f t="shared" si="23"/>
        <v>45169</v>
      </c>
      <c r="E344" s="510">
        <f>Arbeitszeit!V345*24</f>
        <v>0</v>
      </c>
      <c r="F344" s="574">
        <f t="shared" si="20"/>
        <v>0</v>
      </c>
      <c r="G344" s="113">
        <f>IF(Arbeitszeit!F345=Urlaub,B_WorkTime*24,)</f>
        <v>0</v>
      </c>
      <c r="H344" s="111"/>
      <c r="I344" s="113">
        <f>IF(Arbeitszeit!F345=Krank,B_WorkTime*24,)</f>
        <v>0</v>
      </c>
      <c r="J344" s="111"/>
      <c r="K344" s="114"/>
      <c r="L344" s="115"/>
      <c r="M344" s="498"/>
      <c r="N344" s="499"/>
      <c r="O344" s="498"/>
      <c r="P344" s="499"/>
      <c r="Q344" s="498"/>
      <c r="R344" s="499"/>
      <c r="S344" s="498"/>
      <c r="T344" s="499"/>
      <c r="U344" s="498"/>
      <c r="V344" s="499"/>
      <c r="W344" s="498"/>
      <c r="X344" s="499"/>
      <c r="Y344" s="498"/>
      <c r="Z344" s="499"/>
      <c r="AA344" s="498"/>
      <c r="AB344" s="499"/>
      <c r="AC344" s="498"/>
      <c r="AD344" s="499"/>
      <c r="AE344" s="498"/>
      <c r="AF344" s="500"/>
      <c r="AG344" s="498"/>
      <c r="AH344" s="500"/>
      <c r="AI344" s="498"/>
      <c r="AJ344" s="500"/>
      <c r="AK344" s="498"/>
      <c r="AL344" s="500"/>
      <c r="AM344" s="501"/>
      <c r="AN344" s="500"/>
      <c r="AO344" s="498"/>
      <c r="AP344" s="500"/>
      <c r="AQ344" s="501"/>
      <c r="AR344" s="500"/>
      <c r="AS344" s="500"/>
      <c r="AT344" s="500"/>
      <c r="AU344" s="501"/>
      <c r="AV344" s="500"/>
      <c r="AW344" s="500"/>
      <c r="AX344" s="500"/>
      <c r="AY344" s="576"/>
      <c r="AZ344" s="576"/>
      <c r="BA344" s="576"/>
      <c r="BB344" s="576"/>
      <c r="BC344" s="576"/>
      <c r="BD344" s="576"/>
      <c r="BE344" s="576"/>
      <c r="BF344" s="576"/>
      <c r="BG344" s="576"/>
      <c r="BH344" s="576"/>
      <c r="BI344" s="576"/>
      <c r="BJ344" s="576"/>
      <c r="BK344" s="576"/>
      <c r="BL344" s="576"/>
      <c r="BM344" s="576"/>
      <c r="BN344" s="576"/>
      <c r="BO344" s="576"/>
      <c r="BP344" s="576"/>
      <c r="BQ344" s="576"/>
      <c r="BR344" s="576"/>
      <c r="BS344" s="576"/>
      <c r="BT344" s="576"/>
      <c r="BU344" s="576"/>
      <c r="BV344" s="576"/>
      <c r="BW344" s="576"/>
      <c r="BX344" s="576"/>
      <c r="BY344" s="576"/>
      <c r="BZ344" s="576"/>
      <c r="CA344" s="576"/>
      <c r="CB344" s="576"/>
      <c r="CC344" s="576"/>
      <c r="CD344" s="576"/>
      <c r="CE344" s="576"/>
      <c r="CF344" s="576"/>
      <c r="CG344" s="576"/>
      <c r="CH344" s="576"/>
      <c r="CI344" s="576"/>
      <c r="CJ344" s="576"/>
      <c r="CK344" s="576"/>
      <c r="CL344" s="576"/>
      <c r="CM344" s="576"/>
      <c r="CN344" s="576"/>
      <c r="CO344" s="576"/>
      <c r="CP344" s="576"/>
      <c r="CQ344" s="576"/>
      <c r="CR344" s="576"/>
      <c r="CS344" s="576"/>
      <c r="CT344" s="576"/>
      <c r="CU344" s="576"/>
      <c r="CV344" s="576"/>
      <c r="CW344" s="576"/>
      <c r="CX344" s="576"/>
      <c r="CY344" s="576"/>
      <c r="CZ344" s="576"/>
      <c r="DA344" s="576"/>
      <c r="DB344" s="576"/>
      <c r="DC344" s="576"/>
      <c r="DD344" s="576"/>
      <c r="DE344" s="576"/>
      <c r="DF344" s="576"/>
      <c r="DG344" s="576"/>
      <c r="DH344" s="116"/>
      <c r="DI344" s="112"/>
      <c r="DJ344">
        <f ca="1">INDIRECT(ADDRESS(ROW()+1,COLUMN(Arbeitszeit!xDay),,,"Arbeitszeit"))</f>
        <v>7</v>
      </c>
    </row>
    <row r="345" spans="1:114">
      <c r="A345" s="462">
        <f>Arbeitszeit!A346</f>
        <v>45174</v>
      </c>
      <c r="B345" s="463">
        <f t="shared" si="21"/>
        <v>45174</v>
      </c>
      <c r="C345" s="146">
        <f t="shared" si="22"/>
        <v>36</v>
      </c>
      <c r="D345" s="145">
        <f t="shared" si="23"/>
        <v>45169</v>
      </c>
      <c r="E345" s="510">
        <f>Arbeitszeit!V346*24</f>
        <v>0</v>
      </c>
      <c r="F345" s="574">
        <f t="shared" si="20"/>
        <v>0</v>
      </c>
      <c r="G345" s="113">
        <f>IF(Arbeitszeit!F346=Urlaub,B_WorkTime*24,)</f>
        <v>0</v>
      </c>
      <c r="H345" s="111"/>
      <c r="I345" s="113">
        <f>IF(Arbeitszeit!F346=Krank,B_WorkTime*24,)</f>
        <v>0</v>
      </c>
      <c r="J345" s="111"/>
      <c r="K345" s="114"/>
      <c r="L345" s="115"/>
      <c r="M345" s="498"/>
      <c r="N345" s="499"/>
      <c r="O345" s="498"/>
      <c r="P345" s="499"/>
      <c r="Q345" s="498"/>
      <c r="R345" s="499"/>
      <c r="S345" s="498"/>
      <c r="T345" s="499"/>
      <c r="U345" s="498"/>
      <c r="V345" s="499"/>
      <c r="W345" s="498"/>
      <c r="X345" s="499"/>
      <c r="Y345" s="498"/>
      <c r="Z345" s="499"/>
      <c r="AA345" s="498"/>
      <c r="AB345" s="499"/>
      <c r="AC345" s="498"/>
      <c r="AD345" s="499"/>
      <c r="AE345" s="498"/>
      <c r="AF345" s="500"/>
      <c r="AG345" s="498"/>
      <c r="AH345" s="500"/>
      <c r="AI345" s="498"/>
      <c r="AJ345" s="500"/>
      <c r="AK345" s="498"/>
      <c r="AL345" s="500"/>
      <c r="AM345" s="501"/>
      <c r="AN345" s="500"/>
      <c r="AO345" s="498"/>
      <c r="AP345" s="500"/>
      <c r="AQ345" s="501"/>
      <c r="AR345" s="500"/>
      <c r="AS345" s="500"/>
      <c r="AT345" s="500"/>
      <c r="AU345" s="501"/>
      <c r="AV345" s="500"/>
      <c r="AW345" s="500"/>
      <c r="AX345" s="500"/>
      <c r="AY345" s="576"/>
      <c r="AZ345" s="576"/>
      <c r="BA345" s="576"/>
      <c r="BB345" s="576"/>
      <c r="BC345" s="576"/>
      <c r="BD345" s="576"/>
      <c r="BE345" s="576"/>
      <c r="BF345" s="576"/>
      <c r="BG345" s="576"/>
      <c r="BH345" s="576"/>
      <c r="BI345" s="576"/>
      <c r="BJ345" s="576"/>
      <c r="BK345" s="576"/>
      <c r="BL345" s="576"/>
      <c r="BM345" s="576"/>
      <c r="BN345" s="576"/>
      <c r="BO345" s="576"/>
      <c r="BP345" s="576"/>
      <c r="BQ345" s="576"/>
      <c r="BR345" s="576"/>
      <c r="BS345" s="576"/>
      <c r="BT345" s="576"/>
      <c r="BU345" s="576"/>
      <c r="BV345" s="576"/>
      <c r="BW345" s="576"/>
      <c r="BX345" s="576"/>
      <c r="BY345" s="576"/>
      <c r="BZ345" s="576"/>
      <c r="CA345" s="576"/>
      <c r="CB345" s="576"/>
      <c r="CC345" s="576"/>
      <c r="CD345" s="576"/>
      <c r="CE345" s="576"/>
      <c r="CF345" s="576"/>
      <c r="CG345" s="576"/>
      <c r="CH345" s="576"/>
      <c r="CI345" s="576"/>
      <c r="CJ345" s="576"/>
      <c r="CK345" s="576"/>
      <c r="CL345" s="576"/>
      <c r="CM345" s="576"/>
      <c r="CN345" s="576"/>
      <c r="CO345" s="576"/>
      <c r="CP345" s="576"/>
      <c r="CQ345" s="576"/>
      <c r="CR345" s="576"/>
      <c r="CS345" s="576"/>
      <c r="CT345" s="576"/>
      <c r="CU345" s="576"/>
      <c r="CV345" s="576"/>
      <c r="CW345" s="576"/>
      <c r="CX345" s="576"/>
      <c r="CY345" s="576"/>
      <c r="CZ345" s="576"/>
      <c r="DA345" s="576"/>
      <c r="DB345" s="576"/>
      <c r="DC345" s="576"/>
      <c r="DD345" s="576"/>
      <c r="DE345" s="576"/>
      <c r="DF345" s="576"/>
      <c r="DG345" s="576"/>
      <c r="DH345" s="116"/>
      <c r="DI345" s="112"/>
      <c r="DJ345">
        <f ca="1">INDIRECT(ADDRESS(ROW()+1,COLUMN(Arbeitszeit!xDay),,,"Arbeitszeit"))</f>
        <v>1</v>
      </c>
    </row>
    <row r="346" spans="1:114">
      <c r="A346" s="462">
        <f>Arbeitszeit!A347</f>
        <v>45175</v>
      </c>
      <c r="B346" s="463">
        <f t="shared" si="21"/>
        <v>45175</v>
      </c>
      <c r="C346" s="146">
        <f t="shared" si="22"/>
        <v>36</v>
      </c>
      <c r="D346" s="145">
        <f t="shared" si="23"/>
        <v>45169</v>
      </c>
      <c r="E346" s="510">
        <f>Arbeitszeit!V347*24</f>
        <v>0</v>
      </c>
      <c r="F346" s="574">
        <f t="shared" si="20"/>
        <v>0</v>
      </c>
      <c r="G346" s="113">
        <f>IF(Arbeitszeit!F347=Urlaub,B_WorkTime*24,)</f>
        <v>0</v>
      </c>
      <c r="H346" s="111"/>
      <c r="I346" s="113">
        <f>IF(Arbeitszeit!F347=Krank,B_WorkTime*24,)</f>
        <v>0</v>
      </c>
      <c r="J346" s="111"/>
      <c r="K346" s="114"/>
      <c r="L346" s="115"/>
      <c r="M346" s="498"/>
      <c r="N346" s="499"/>
      <c r="O346" s="498"/>
      <c r="P346" s="499"/>
      <c r="Q346" s="498"/>
      <c r="R346" s="499"/>
      <c r="S346" s="498"/>
      <c r="T346" s="499"/>
      <c r="U346" s="498"/>
      <c r="V346" s="499"/>
      <c r="W346" s="498"/>
      <c r="X346" s="499"/>
      <c r="Y346" s="498"/>
      <c r="Z346" s="499"/>
      <c r="AA346" s="498"/>
      <c r="AB346" s="499"/>
      <c r="AC346" s="498"/>
      <c r="AD346" s="499"/>
      <c r="AE346" s="498"/>
      <c r="AF346" s="500"/>
      <c r="AG346" s="498"/>
      <c r="AH346" s="500"/>
      <c r="AI346" s="498"/>
      <c r="AJ346" s="500"/>
      <c r="AK346" s="498"/>
      <c r="AL346" s="500"/>
      <c r="AM346" s="501"/>
      <c r="AN346" s="500"/>
      <c r="AO346" s="498"/>
      <c r="AP346" s="500"/>
      <c r="AQ346" s="501"/>
      <c r="AR346" s="500"/>
      <c r="AS346" s="500"/>
      <c r="AT346" s="500"/>
      <c r="AU346" s="501"/>
      <c r="AV346" s="500"/>
      <c r="AW346" s="500"/>
      <c r="AX346" s="500"/>
      <c r="AY346" s="576"/>
      <c r="AZ346" s="576"/>
      <c r="BA346" s="576"/>
      <c r="BB346" s="576"/>
      <c r="BC346" s="576"/>
      <c r="BD346" s="576"/>
      <c r="BE346" s="576"/>
      <c r="BF346" s="576"/>
      <c r="BG346" s="576"/>
      <c r="BH346" s="576"/>
      <c r="BI346" s="576"/>
      <c r="BJ346" s="576"/>
      <c r="BK346" s="576"/>
      <c r="BL346" s="576"/>
      <c r="BM346" s="576"/>
      <c r="BN346" s="576"/>
      <c r="BO346" s="576"/>
      <c r="BP346" s="576"/>
      <c r="BQ346" s="576"/>
      <c r="BR346" s="576"/>
      <c r="BS346" s="576"/>
      <c r="BT346" s="576"/>
      <c r="BU346" s="576"/>
      <c r="BV346" s="576"/>
      <c r="BW346" s="576"/>
      <c r="BX346" s="576"/>
      <c r="BY346" s="576"/>
      <c r="BZ346" s="576"/>
      <c r="CA346" s="576"/>
      <c r="CB346" s="576"/>
      <c r="CC346" s="576"/>
      <c r="CD346" s="576"/>
      <c r="CE346" s="576"/>
      <c r="CF346" s="576"/>
      <c r="CG346" s="576"/>
      <c r="CH346" s="576"/>
      <c r="CI346" s="576"/>
      <c r="CJ346" s="576"/>
      <c r="CK346" s="576"/>
      <c r="CL346" s="576"/>
      <c r="CM346" s="576"/>
      <c r="CN346" s="576"/>
      <c r="CO346" s="576"/>
      <c r="CP346" s="576"/>
      <c r="CQ346" s="576"/>
      <c r="CR346" s="576"/>
      <c r="CS346" s="576"/>
      <c r="CT346" s="576"/>
      <c r="CU346" s="576"/>
      <c r="CV346" s="576"/>
      <c r="CW346" s="576"/>
      <c r="CX346" s="576"/>
      <c r="CY346" s="576"/>
      <c r="CZ346" s="576"/>
      <c r="DA346" s="576"/>
      <c r="DB346" s="576"/>
      <c r="DC346" s="576"/>
      <c r="DD346" s="576"/>
      <c r="DE346" s="576"/>
      <c r="DF346" s="576"/>
      <c r="DG346" s="576"/>
      <c r="DH346" s="116"/>
      <c r="DI346" s="112"/>
      <c r="DJ346">
        <f ca="1">INDIRECT(ADDRESS(ROW()+1,COLUMN(Arbeitszeit!xDay),,,"Arbeitszeit"))</f>
        <v>2</v>
      </c>
    </row>
    <row r="347" spans="1:114">
      <c r="A347" s="462">
        <f>Arbeitszeit!A348</f>
        <v>45176</v>
      </c>
      <c r="B347" s="463">
        <f t="shared" si="21"/>
        <v>45176</v>
      </c>
      <c r="C347" s="146">
        <f t="shared" si="22"/>
        <v>36</v>
      </c>
      <c r="D347" s="145">
        <f t="shared" si="23"/>
        <v>45169</v>
      </c>
      <c r="E347" s="510">
        <f>Arbeitszeit!V348*24</f>
        <v>0</v>
      </c>
      <c r="F347" s="574">
        <f t="shared" si="20"/>
        <v>0</v>
      </c>
      <c r="G347" s="113">
        <f>IF(Arbeitszeit!F348=Urlaub,B_WorkTime*24,)</f>
        <v>0</v>
      </c>
      <c r="H347" s="111"/>
      <c r="I347" s="113">
        <f>IF(Arbeitszeit!F348=Krank,B_WorkTime*24,)</f>
        <v>0</v>
      </c>
      <c r="J347" s="111"/>
      <c r="K347" s="114"/>
      <c r="L347" s="115"/>
      <c r="M347" s="498"/>
      <c r="N347" s="499"/>
      <c r="O347" s="498"/>
      <c r="P347" s="499"/>
      <c r="Q347" s="498"/>
      <c r="R347" s="499"/>
      <c r="S347" s="498"/>
      <c r="T347" s="499"/>
      <c r="U347" s="498"/>
      <c r="V347" s="499"/>
      <c r="W347" s="498"/>
      <c r="X347" s="499"/>
      <c r="Y347" s="498"/>
      <c r="Z347" s="499"/>
      <c r="AA347" s="498"/>
      <c r="AB347" s="499"/>
      <c r="AC347" s="498"/>
      <c r="AD347" s="499"/>
      <c r="AE347" s="498"/>
      <c r="AF347" s="500"/>
      <c r="AG347" s="498"/>
      <c r="AH347" s="500"/>
      <c r="AI347" s="498"/>
      <c r="AJ347" s="500"/>
      <c r="AK347" s="498"/>
      <c r="AL347" s="500"/>
      <c r="AM347" s="501"/>
      <c r="AN347" s="500"/>
      <c r="AO347" s="498"/>
      <c r="AP347" s="500"/>
      <c r="AQ347" s="501"/>
      <c r="AR347" s="500"/>
      <c r="AS347" s="500"/>
      <c r="AT347" s="500"/>
      <c r="AU347" s="501"/>
      <c r="AV347" s="500"/>
      <c r="AW347" s="500"/>
      <c r="AX347" s="500"/>
      <c r="AY347" s="576"/>
      <c r="AZ347" s="576"/>
      <c r="BA347" s="576"/>
      <c r="BB347" s="576"/>
      <c r="BC347" s="576"/>
      <c r="BD347" s="576"/>
      <c r="BE347" s="576"/>
      <c r="BF347" s="576"/>
      <c r="BG347" s="576"/>
      <c r="BH347" s="576"/>
      <c r="BI347" s="576"/>
      <c r="BJ347" s="576"/>
      <c r="BK347" s="576"/>
      <c r="BL347" s="576"/>
      <c r="BM347" s="576"/>
      <c r="BN347" s="576"/>
      <c r="BO347" s="576"/>
      <c r="BP347" s="576"/>
      <c r="BQ347" s="576"/>
      <c r="BR347" s="576"/>
      <c r="BS347" s="576"/>
      <c r="BT347" s="576"/>
      <c r="BU347" s="576"/>
      <c r="BV347" s="576"/>
      <c r="BW347" s="576"/>
      <c r="BX347" s="576"/>
      <c r="BY347" s="576"/>
      <c r="BZ347" s="576"/>
      <c r="CA347" s="576"/>
      <c r="CB347" s="576"/>
      <c r="CC347" s="576"/>
      <c r="CD347" s="576"/>
      <c r="CE347" s="576"/>
      <c r="CF347" s="576"/>
      <c r="CG347" s="576"/>
      <c r="CH347" s="576"/>
      <c r="CI347" s="576"/>
      <c r="CJ347" s="576"/>
      <c r="CK347" s="576"/>
      <c r="CL347" s="576"/>
      <c r="CM347" s="576"/>
      <c r="CN347" s="576"/>
      <c r="CO347" s="576"/>
      <c r="CP347" s="576"/>
      <c r="CQ347" s="576"/>
      <c r="CR347" s="576"/>
      <c r="CS347" s="576"/>
      <c r="CT347" s="576"/>
      <c r="CU347" s="576"/>
      <c r="CV347" s="576"/>
      <c r="CW347" s="576"/>
      <c r="CX347" s="576"/>
      <c r="CY347" s="576"/>
      <c r="CZ347" s="576"/>
      <c r="DA347" s="576"/>
      <c r="DB347" s="576"/>
      <c r="DC347" s="576"/>
      <c r="DD347" s="576"/>
      <c r="DE347" s="576"/>
      <c r="DF347" s="576"/>
      <c r="DG347" s="576"/>
      <c r="DH347" s="116"/>
      <c r="DI347" s="112"/>
      <c r="DJ347">
        <f ca="1">INDIRECT(ADDRESS(ROW()+1,COLUMN(Arbeitszeit!xDay),,,"Arbeitszeit"))</f>
        <v>3</v>
      </c>
    </row>
    <row r="348" spans="1:114">
      <c r="A348" s="462">
        <f>Arbeitszeit!A349</f>
        <v>45177</v>
      </c>
      <c r="B348" s="463">
        <f t="shared" si="21"/>
        <v>45177</v>
      </c>
      <c r="C348" s="146">
        <f t="shared" si="22"/>
        <v>36</v>
      </c>
      <c r="D348" s="145">
        <f t="shared" si="23"/>
        <v>45169</v>
      </c>
      <c r="E348" s="510">
        <f>Arbeitszeit!V349*24</f>
        <v>0</v>
      </c>
      <c r="F348" s="574">
        <f t="shared" si="20"/>
        <v>0</v>
      </c>
      <c r="G348" s="113">
        <f>IF(Arbeitszeit!F349=Urlaub,B_WorkTime*24,)</f>
        <v>0</v>
      </c>
      <c r="H348" s="111"/>
      <c r="I348" s="113">
        <f>IF(Arbeitszeit!F349=Krank,B_WorkTime*24,)</f>
        <v>0</v>
      </c>
      <c r="J348" s="111"/>
      <c r="K348" s="114"/>
      <c r="L348" s="115"/>
      <c r="M348" s="498"/>
      <c r="N348" s="499"/>
      <c r="O348" s="498"/>
      <c r="P348" s="499"/>
      <c r="Q348" s="498"/>
      <c r="R348" s="499"/>
      <c r="S348" s="498"/>
      <c r="T348" s="499"/>
      <c r="U348" s="498"/>
      <c r="V348" s="499"/>
      <c r="W348" s="498"/>
      <c r="X348" s="499"/>
      <c r="Y348" s="498"/>
      <c r="Z348" s="499"/>
      <c r="AA348" s="498"/>
      <c r="AB348" s="499"/>
      <c r="AC348" s="498"/>
      <c r="AD348" s="499"/>
      <c r="AE348" s="498"/>
      <c r="AF348" s="500"/>
      <c r="AG348" s="498"/>
      <c r="AH348" s="500"/>
      <c r="AI348" s="498"/>
      <c r="AJ348" s="500"/>
      <c r="AK348" s="498"/>
      <c r="AL348" s="500"/>
      <c r="AM348" s="501"/>
      <c r="AN348" s="500"/>
      <c r="AO348" s="498"/>
      <c r="AP348" s="500"/>
      <c r="AQ348" s="501"/>
      <c r="AR348" s="500"/>
      <c r="AS348" s="500"/>
      <c r="AT348" s="500"/>
      <c r="AU348" s="501"/>
      <c r="AV348" s="500"/>
      <c r="AW348" s="500"/>
      <c r="AX348" s="500"/>
      <c r="AY348" s="576"/>
      <c r="AZ348" s="576"/>
      <c r="BA348" s="576"/>
      <c r="BB348" s="576"/>
      <c r="BC348" s="576"/>
      <c r="BD348" s="576"/>
      <c r="BE348" s="576"/>
      <c r="BF348" s="576"/>
      <c r="BG348" s="576"/>
      <c r="BH348" s="576"/>
      <c r="BI348" s="576"/>
      <c r="BJ348" s="576"/>
      <c r="BK348" s="576"/>
      <c r="BL348" s="576"/>
      <c r="BM348" s="576"/>
      <c r="BN348" s="576"/>
      <c r="BO348" s="576"/>
      <c r="BP348" s="576"/>
      <c r="BQ348" s="576"/>
      <c r="BR348" s="576"/>
      <c r="BS348" s="576"/>
      <c r="BT348" s="576"/>
      <c r="BU348" s="576"/>
      <c r="BV348" s="576"/>
      <c r="BW348" s="576"/>
      <c r="BX348" s="576"/>
      <c r="BY348" s="576"/>
      <c r="BZ348" s="576"/>
      <c r="CA348" s="576"/>
      <c r="CB348" s="576"/>
      <c r="CC348" s="576"/>
      <c r="CD348" s="576"/>
      <c r="CE348" s="576"/>
      <c r="CF348" s="576"/>
      <c r="CG348" s="576"/>
      <c r="CH348" s="576"/>
      <c r="CI348" s="576"/>
      <c r="CJ348" s="576"/>
      <c r="CK348" s="576"/>
      <c r="CL348" s="576"/>
      <c r="CM348" s="576"/>
      <c r="CN348" s="576"/>
      <c r="CO348" s="576"/>
      <c r="CP348" s="576"/>
      <c r="CQ348" s="576"/>
      <c r="CR348" s="576"/>
      <c r="CS348" s="576"/>
      <c r="CT348" s="576"/>
      <c r="CU348" s="576"/>
      <c r="CV348" s="576"/>
      <c r="CW348" s="576"/>
      <c r="CX348" s="576"/>
      <c r="CY348" s="576"/>
      <c r="CZ348" s="576"/>
      <c r="DA348" s="576"/>
      <c r="DB348" s="576"/>
      <c r="DC348" s="576"/>
      <c r="DD348" s="576"/>
      <c r="DE348" s="576"/>
      <c r="DF348" s="576"/>
      <c r="DG348" s="576"/>
      <c r="DH348" s="116"/>
      <c r="DI348" s="112"/>
      <c r="DJ348">
        <f ca="1">INDIRECT(ADDRESS(ROW()+1,COLUMN(Arbeitszeit!xDay),,,"Arbeitszeit"))</f>
        <v>4</v>
      </c>
    </row>
    <row r="349" spans="1:114">
      <c r="A349" s="462">
        <f>Arbeitszeit!A350</f>
        <v>45178</v>
      </c>
      <c r="B349" s="463">
        <f t="shared" si="21"/>
        <v>45178</v>
      </c>
      <c r="C349" s="146">
        <f t="shared" si="22"/>
        <v>36</v>
      </c>
      <c r="D349" s="145">
        <f t="shared" si="23"/>
        <v>45169</v>
      </c>
      <c r="E349" s="510">
        <f>Arbeitszeit!V350*24</f>
        <v>0</v>
      </c>
      <c r="F349" s="574">
        <f t="shared" si="20"/>
        <v>0</v>
      </c>
      <c r="G349" s="113">
        <f>IF(Arbeitszeit!F350=Urlaub,B_WorkTime*24,)</f>
        <v>0</v>
      </c>
      <c r="H349" s="111"/>
      <c r="I349" s="113">
        <f>IF(Arbeitszeit!F350=Krank,B_WorkTime*24,)</f>
        <v>0</v>
      </c>
      <c r="J349" s="111"/>
      <c r="K349" s="114"/>
      <c r="L349" s="115"/>
      <c r="M349" s="498"/>
      <c r="N349" s="499"/>
      <c r="O349" s="498"/>
      <c r="P349" s="499"/>
      <c r="Q349" s="498"/>
      <c r="R349" s="499"/>
      <c r="S349" s="498"/>
      <c r="T349" s="499"/>
      <c r="U349" s="498"/>
      <c r="V349" s="499"/>
      <c r="W349" s="498"/>
      <c r="X349" s="499"/>
      <c r="Y349" s="498"/>
      <c r="Z349" s="499"/>
      <c r="AA349" s="498"/>
      <c r="AB349" s="499"/>
      <c r="AC349" s="498"/>
      <c r="AD349" s="499"/>
      <c r="AE349" s="498"/>
      <c r="AF349" s="500"/>
      <c r="AG349" s="498"/>
      <c r="AH349" s="500"/>
      <c r="AI349" s="498"/>
      <c r="AJ349" s="500"/>
      <c r="AK349" s="498"/>
      <c r="AL349" s="500"/>
      <c r="AM349" s="501"/>
      <c r="AN349" s="500"/>
      <c r="AO349" s="498"/>
      <c r="AP349" s="500"/>
      <c r="AQ349" s="501"/>
      <c r="AR349" s="500"/>
      <c r="AS349" s="500"/>
      <c r="AT349" s="500"/>
      <c r="AU349" s="501"/>
      <c r="AV349" s="500"/>
      <c r="AW349" s="500"/>
      <c r="AX349" s="500"/>
      <c r="AY349" s="576"/>
      <c r="AZ349" s="576"/>
      <c r="BA349" s="576"/>
      <c r="BB349" s="576"/>
      <c r="BC349" s="576"/>
      <c r="BD349" s="576"/>
      <c r="BE349" s="576"/>
      <c r="BF349" s="576"/>
      <c r="BG349" s="576"/>
      <c r="BH349" s="576"/>
      <c r="BI349" s="576"/>
      <c r="BJ349" s="576"/>
      <c r="BK349" s="576"/>
      <c r="BL349" s="576"/>
      <c r="BM349" s="576"/>
      <c r="BN349" s="576"/>
      <c r="BO349" s="576"/>
      <c r="BP349" s="576"/>
      <c r="BQ349" s="576"/>
      <c r="BR349" s="576"/>
      <c r="BS349" s="576"/>
      <c r="BT349" s="576"/>
      <c r="BU349" s="576"/>
      <c r="BV349" s="576"/>
      <c r="BW349" s="576"/>
      <c r="BX349" s="576"/>
      <c r="BY349" s="576"/>
      <c r="BZ349" s="576"/>
      <c r="CA349" s="576"/>
      <c r="CB349" s="576"/>
      <c r="CC349" s="576"/>
      <c r="CD349" s="576"/>
      <c r="CE349" s="576"/>
      <c r="CF349" s="576"/>
      <c r="CG349" s="576"/>
      <c r="CH349" s="576"/>
      <c r="CI349" s="576"/>
      <c r="CJ349" s="576"/>
      <c r="CK349" s="576"/>
      <c r="CL349" s="576"/>
      <c r="CM349" s="576"/>
      <c r="CN349" s="576"/>
      <c r="CO349" s="576"/>
      <c r="CP349" s="576"/>
      <c r="CQ349" s="576"/>
      <c r="CR349" s="576"/>
      <c r="CS349" s="576"/>
      <c r="CT349" s="576"/>
      <c r="CU349" s="576"/>
      <c r="CV349" s="576"/>
      <c r="CW349" s="576"/>
      <c r="CX349" s="576"/>
      <c r="CY349" s="576"/>
      <c r="CZ349" s="576"/>
      <c r="DA349" s="576"/>
      <c r="DB349" s="576"/>
      <c r="DC349" s="576"/>
      <c r="DD349" s="576"/>
      <c r="DE349" s="576"/>
      <c r="DF349" s="576"/>
      <c r="DG349" s="576"/>
      <c r="DH349" s="116"/>
      <c r="DI349" s="112"/>
      <c r="DJ349">
        <f ca="1">INDIRECT(ADDRESS(ROW()+1,COLUMN(Arbeitszeit!xDay),,,"Arbeitszeit"))</f>
        <v>5</v>
      </c>
    </row>
    <row r="350" spans="1:114">
      <c r="A350" s="462">
        <f>Arbeitszeit!A351</f>
        <v>45179</v>
      </c>
      <c r="B350" s="463">
        <f t="shared" si="21"/>
        <v>45179</v>
      </c>
      <c r="C350" s="146">
        <f t="shared" si="22"/>
        <v>36</v>
      </c>
      <c r="D350" s="145">
        <f t="shared" si="23"/>
        <v>45169</v>
      </c>
      <c r="E350" s="510">
        <f>Arbeitszeit!V351*24</f>
        <v>0</v>
      </c>
      <c r="F350" s="574">
        <f t="shared" si="20"/>
        <v>0</v>
      </c>
      <c r="G350" s="113">
        <f>IF(Arbeitszeit!F351=Urlaub,B_WorkTime*24,)</f>
        <v>0</v>
      </c>
      <c r="H350" s="111"/>
      <c r="I350" s="113">
        <f>IF(Arbeitszeit!F351=Krank,B_WorkTime*24,)</f>
        <v>0</v>
      </c>
      <c r="J350" s="111"/>
      <c r="K350" s="114"/>
      <c r="L350" s="115"/>
      <c r="M350" s="498"/>
      <c r="N350" s="499"/>
      <c r="O350" s="498"/>
      <c r="P350" s="499"/>
      <c r="Q350" s="498"/>
      <c r="R350" s="499"/>
      <c r="S350" s="498"/>
      <c r="T350" s="499"/>
      <c r="U350" s="498"/>
      <c r="V350" s="499"/>
      <c r="W350" s="498"/>
      <c r="X350" s="499"/>
      <c r="Y350" s="498"/>
      <c r="Z350" s="499"/>
      <c r="AA350" s="498"/>
      <c r="AB350" s="499"/>
      <c r="AC350" s="498"/>
      <c r="AD350" s="499"/>
      <c r="AE350" s="498"/>
      <c r="AF350" s="500"/>
      <c r="AG350" s="498"/>
      <c r="AH350" s="500"/>
      <c r="AI350" s="498"/>
      <c r="AJ350" s="500"/>
      <c r="AK350" s="498"/>
      <c r="AL350" s="500"/>
      <c r="AM350" s="501"/>
      <c r="AN350" s="500"/>
      <c r="AO350" s="498"/>
      <c r="AP350" s="500"/>
      <c r="AQ350" s="501"/>
      <c r="AR350" s="500"/>
      <c r="AS350" s="500"/>
      <c r="AT350" s="500"/>
      <c r="AU350" s="501"/>
      <c r="AV350" s="500"/>
      <c r="AW350" s="500"/>
      <c r="AX350" s="500"/>
      <c r="AY350" s="576"/>
      <c r="AZ350" s="576"/>
      <c r="BA350" s="576"/>
      <c r="BB350" s="576"/>
      <c r="BC350" s="576"/>
      <c r="BD350" s="576"/>
      <c r="BE350" s="576"/>
      <c r="BF350" s="576"/>
      <c r="BG350" s="576"/>
      <c r="BH350" s="576"/>
      <c r="BI350" s="576"/>
      <c r="BJ350" s="576"/>
      <c r="BK350" s="576"/>
      <c r="BL350" s="576"/>
      <c r="BM350" s="576"/>
      <c r="BN350" s="576"/>
      <c r="BO350" s="576"/>
      <c r="BP350" s="576"/>
      <c r="BQ350" s="576"/>
      <c r="BR350" s="576"/>
      <c r="BS350" s="576"/>
      <c r="BT350" s="576"/>
      <c r="BU350" s="576"/>
      <c r="BV350" s="576"/>
      <c r="BW350" s="576"/>
      <c r="BX350" s="576"/>
      <c r="BY350" s="576"/>
      <c r="BZ350" s="576"/>
      <c r="CA350" s="576"/>
      <c r="CB350" s="576"/>
      <c r="CC350" s="576"/>
      <c r="CD350" s="576"/>
      <c r="CE350" s="576"/>
      <c r="CF350" s="576"/>
      <c r="CG350" s="576"/>
      <c r="CH350" s="576"/>
      <c r="CI350" s="576"/>
      <c r="CJ350" s="576"/>
      <c r="CK350" s="576"/>
      <c r="CL350" s="576"/>
      <c r="CM350" s="576"/>
      <c r="CN350" s="576"/>
      <c r="CO350" s="576"/>
      <c r="CP350" s="576"/>
      <c r="CQ350" s="576"/>
      <c r="CR350" s="576"/>
      <c r="CS350" s="576"/>
      <c r="CT350" s="576"/>
      <c r="CU350" s="576"/>
      <c r="CV350" s="576"/>
      <c r="CW350" s="576"/>
      <c r="CX350" s="576"/>
      <c r="CY350" s="576"/>
      <c r="CZ350" s="576"/>
      <c r="DA350" s="576"/>
      <c r="DB350" s="576"/>
      <c r="DC350" s="576"/>
      <c r="DD350" s="576"/>
      <c r="DE350" s="576"/>
      <c r="DF350" s="576"/>
      <c r="DG350" s="576"/>
      <c r="DH350" s="116"/>
      <c r="DI350" s="112"/>
      <c r="DJ350">
        <f ca="1">INDIRECT(ADDRESS(ROW()+1,COLUMN(Arbeitszeit!xDay),,,"Arbeitszeit"))</f>
        <v>6</v>
      </c>
    </row>
    <row r="351" spans="1:114">
      <c r="A351" s="462">
        <f>Arbeitszeit!A352</f>
        <v>45180</v>
      </c>
      <c r="B351" s="463">
        <f t="shared" si="21"/>
        <v>45180</v>
      </c>
      <c r="C351" s="146">
        <f t="shared" si="22"/>
        <v>36</v>
      </c>
      <c r="D351" s="145">
        <f t="shared" si="23"/>
        <v>45169</v>
      </c>
      <c r="E351" s="510">
        <f>Arbeitszeit!V352*24</f>
        <v>0</v>
      </c>
      <c r="F351" s="574">
        <f t="shared" si="20"/>
        <v>0</v>
      </c>
      <c r="G351" s="113">
        <f>IF(Arbeitszeit!F352=Urlaub,B_WorkTime*24,)</f>
        <v>0</v>
      </c>
      <c r="H351" s="111"/>
      <c r="I351" s="113">
        <f>IF(Arbeitszeit!F352=Krank,B_WorkTime*24,)</f>
        <v>0</v>
      </c>
      <c r="J351" s="111"/>
      <c r="K351" s="114"/>
      <c r="L351" s="115"/>
      <c r="M351" s="498"/>
      <c r="N351" s="499"/>
      <c r="O351" s="498"/>
      <c r="P351" s="499"/>
      <c r="Q351" s="498"/>
      <c r="R351" s="499"/>
      <c r="S351" s="498"/>
      <c r="T351" s="499"/>
      <c r="U351" s="498"/>
      <c r="V351" s="499"/>
      <c r="W351" s="498"/>
      <c r="X351" s="499"/>
      <c r="Y351" s="498"/>
      <c r="Z351" s="499"/>
      <c r="AA351" s="498"/>
      <c r="AB351" s="499"/>
      <c r="AC351" s="498"/>
      <c r="AD351" s="499"/>
      <c r="AE351" s="498"/>
      <c r="AF351" s="500"/>
      <c r="AG351" s="498"/>
      <c r="AH351" s="500"/>
      <c r="AI351" s="498"/>
      <c r="AJ351" s="500"/>
      <c r="AK351" s="498"/>
      <c r="AL351" s="500"/>
      <c r="AM351" s="501"/>
      <c r="AN351" s="500"/>
      <c r="AO351" s="498"/>
      <c r="AP351" s="500"/>
      <c r="AQ351" s="501"/>
      <c r="AR351" s="500"/>
      <c r="AS351" s="500"/>
      <c r="AT351" s="500"/>
      <c r="AU351" s="501"/>
      <c r="AV351" s="500"/>
      <c r="AW351" s="500"/>
      <c r="AX351" s="500"/>
      <c r="AY351" s="576"/>
      <c r="AZ351" s="576"/>
      <c r="BA351" s="576"/>
      <c r="BB351" s="576"/>
      <c r="BC351" s="576"/>
      <c r="BD351" s="576"/>
      <c r="BE351" s="576"/>
      <c r="BF351" s="576"/>
      <c r="BG351" s="576"/>
      <c r="BH351" s="576"/>
      <c r="BI351" s="576"/>
      <c r="BJ351" s="576"/>
      <c r="BK351" s="576"/>
      <c r="BL351" s="576"/>
      <c r="BM351" s="576"/>
      <c r="BN351" s="576"/>
      <c r="BO351" s="576"/>
      <c r="BP351" s="576"/>
      <c r="BQ351" s="576"/>
      <c r="BR351" s="576"/>
      <c r="BS351" s="576"/>
      <c r="BT351" s="576"/>
      <c r="BU351" s="576"/>
      <c r="BV351" s="576"/>
      <c r="BW351" s="576"/>
      <c r="BX351" s="576"/>
      <c r="BY351" s="576"/>
      <c r="BZ351" s="576"/>
      <c r="CA351" s="576"/>
      <c r="CB351" s="576"/>
      <c r="CC351" s="576"/>
      <c r="CD351" s="576"/>
      <c r="CE351" s="576"/>
      <c r="CF351" s="576"/>
      <c r="CG351" s="576"/>
      <c r="CH351" s="576"/>
      <c r="CI351" s="576"/>
      <c r="CJ351" s="576"/>
      <c r="CK351" s="576"/>
      <c r="CL351" s="576"/>
      <c r="CM351" s="576"/>
      <c r="CN351" s="576"/>
      <c r="CO351" s="576"/>
      <c r="CP351" s="576"/>
      <c r="CQ351" s="576"/>
      <c r="CR351" s="576"/>
      <c r="CS351" s="576"/>
      <c r="CT351" s="576"/>
      <c r="CU351" s="576"/>
      <c r="CV351" s="576"/>
      <c r="CW351" s="576"/>
      <c r="CX351" s="576"/>
      <c r="CY351" s="576"/>
      <c r="CZ351" s="576"/>
      <c r="DA351" s="576"/>
      <c r="DB351" s="576"/>
      <c r="DC351" s="576"/>
      <c r="DD351" s="576"/>
      <c r="DE351" s="576"/>
      <c r="DF351" s="576"/>
      <c r="DG351" s="576"/>
      <c r="DH351" s="116"/>
      <c r="DI351" s="112"/>
      <c r="DJ351">
        <f ca="1">INDIRECT(ADDRESS(ROW()+1,COLUMN(Arbeitszeit!xDay),,,"Arbeitszeit"))</f>
        <v>7</v>
      </c>
    </row>
    <row r="352" spans="1:114">
      <c r="A352" s="462">
        <f>Arbeitszeit!A353</f>
        <v>45181</v>
      </c>
      <c r="B352" s="463">
        <f t="shared" si="21"/>
        <v>45181</v>
      </c>
      <c r="C352" s="146">
        <f t="shared" si="22"/>
        <v>37</v>
      </c>
      <c r="D352" s="145">
        <f t="shared" si="23"/>
        <v>45169</v>
      </c>
      <c r="E352" s="510">
        <f>Arbeitszeit!V353*24</f>
        <v>0</v>
      </c>
      <c r="F352" s="574">
        <f t="shared" si="20"/>
        <v>0</v>
      </c>
      <c r="G352" s="113">
        <f>IF(Arbeitszeit!F353=Urlaub,B_WorkTime*24,)</f>
        <v>0</v>
      </c>
      <c r="H352" s="111"/>
      <c r="I352" s="113">
        <f>IF(Arbeitszeit!F353=Krank,B_WorkTime*24,)</f>
        <v>0</v>
      </c>
      <c r="J352" s="111"/>
      <c r="K352" s="114"/>
      <c r="L352" s="115"/>
      <c r="M352" s="498"/>
      <c r="N352" s="499"/>
      <c r="O352" s="498"/>
      <c r="P352" s="499"/>
      <c r="Q352" s="498"/>
      <c r="R352" s="499"/>
      <c r="S352" s="498"/>
      <c r="T352" s="499"/>
      <c r="U352" s="498"/>
      <c r="V352" s="499"/>
      <c r="W352" s="498"/>
      <c r="X352" s="499"/>
      <c r="Y352" s="498"/>
      <c r="Z352" s="499"/>
      <c r="AA352" s="498"/>
      <c r="AB352" s="499"/>
      <c r="AC352" s="498"/>
      <c r="AD352" s="499"/>
      <c r="AE352" s="498"/>
      <c r="AF352" s="500"/>
      <c r="AG352" s="498"/>
      <c r="AH352" s="500"/>
      <c r="AI352" s="498"/>
      <c r="AJ352" s="500"/>
      <c r="AK352" s="498"/>
      <c r="AL352" s="500"/>
      <c r="AM352" s="501"/>
      <c r="AN352" s="500"/>
      <c r="AO352" s="498"/>
      <c r="AP352" s="500"/>
      <c r="AQ352" s="501"/>
      <c r="AR352" s="500"/>
      <c r="AS352" s="500"/>
      <c r="AT352" s="500"/>
      <c r="AU352" s="501"/>
      <c r="AV352" s="500"/>
      <c r="AW352" s="500"/>
      <c r="AX352" s="500"/>
      <c r="AY352" s="576"/>
      <c r="AZ352" s="576"/>
      <c r="BA352" s="576"/>
      <c r="BB352" s="576"/>
      <c r="BC352" s="576"/>
      <c r="BD352" s="576"/>
      <c r="BE352" s="576"/>
      <c r="BF352" s="576"/>
      <c r="BG352" s="576"/>
      <c r="BH352" s="576"/>
      <c r="BI352" s="576"/>
      <c r="BJ352" s="576"/>
      <c r="BK352" s="576"/>
      <c r="BL352" s="576"/>
      <c r="BM352" s="576"/>
      <c r="BN352" s="576"/>
      <c r="BO352" s="576"/>
      <c r="BP352" s="576"/>
      <c r="BQ352" s="576"/>
      <c r="BR352" s="576"/>
      <c r="BS352" s="576"/>
      <c r="BT352" s="576"/>
      <c r="BU352" s="576"/>
      <c r="BV352" s="576"/>
      <c r="BW352" s="576"/>
      <c r="BX352" s="576"/>
      <c r="BY352" s="576"/>
      <c r="BZ352" s="576"/>
      <c r="CA352" s="576"/>
      <c r="CB352" s="576"/>
      <c r="CC352" s="576"/>
      <c r="CD352" s="576"/>
      <c r="CE352" s="576"/>
      <c r="CF352" s="576"/>
      <c r="CG352" s="576"/>
      <c r="CH352" s="576"/>
      <c r="CI352" s="576"/>
      <c r="CJ352" s="576"/>
      <c r="CK352" s="576"/>
      <c r="CL352" s="576"/>
      <c r="CM352" s="576"/>
      <c r="CN352" s="576"/>
      <c r="CO352" s="576"/>
      <c r="CP352" s="576"/>
      <c r="CQ352" s="576"/>
      <c r="CR352" s="576"/>
      <c r="CS352" s="576"/>
      <c r="CT352" s="576"/>
      <c r="CU352" s="576"/>
      <c r="CV352" s="576"/>
      <c r="CW352" s="576"/>
      <c r="CX352" s="576"/>
      <c r="CY352" s="576"/>
      <c r="CZ352" s="576"/>
      <c r="DA352" s="576"/>
      <c r="DB352" s="576"/>
      <c r="DC352" s="576"/>
      <c r="DD352" s="576"/>
      <c r="DE352" s="576"/>
      <c r="DF352" s="576"/>
      <c r="DG352" s="576"/>
      <c r="DH352" s="116"/>
      <c r="DI352" s="112"/>
      <c r="DJ352">
        <f ca="1">INDIRECT(ADDRESS(ROW()+1,COLUMN(Arbeitszeit!xDay),,,"Arbeitszeit"))</f>
        <v>1</v>
      </c>
    </row>
    <row r="353" spans="1:114">
      <c r="A353" s="462">
        <f>Arbeitszeit!A354</f>
        <v>45182</v>
      </c>
      <c r="B353" s="463">
        <f t="shared" si="21"/>
        <v>45182</v>
      </c>
      <c r="C353" s="146">
        <f t="shared" si="22"/>
        <v>37</v>
      </c>
      <c r="D353" s="145">
        <f t="shared" si="23"/>
        <v>45169</v>
      </c>
      <c r="E353" s="510">
        <f>Arbeitszeit!V354*24</f>
        <v>0</v>
      </c>
      <c r="F353" s="574">
        <f t="shared" si="20"/>
        <v>0</v>
      </c>
      <c r="G353" s="113">
        <f>IF(Arbeitszeit!F354=Urlaub,B_WorkTime*24,)</f>
        <v>0</v>
      </c>
      <c r="H353" s="111"/>
      <c r="I353" s="113">
        <f>IF(Arbeitszeit!F354=Krank,B_WorkTime*24,)</f>
        <v>0</v>
      </c>
      <c r="J353" s="111"/>
      <c r="K353" s="114"/>
      <c r="L353" s="115"/>
      <c r="M353" s="498"/>
      <c r="N353" s="499"/>
      <c r="O353" s="498"/>
      <c r="P353" s="499"/>
      <c r="Q353" s="498"/>
      <c r="R353" s="499"/>
      <c r="S353" s="498"/>
      <c r="T353" s="499"/>
      <c r="U353" s="498"/>
      <c r="V353" s="499"/>
      <c r="W353" s="498"/>
      <c r="X353" s="499"/>
      <c r="Y353" s="498"/>
      <c r="Z353" s="499"/>
      <c r="AA353" s="498"/>
      <c r="AB353" s="499"/>
      <c r="AC353" s="498"/>
      <c r="AD353" s="499"/>
      <c r="AE353" s="498"/>
      <c r="AF353" s="500"/>
      <c r="AG353" s="498"/>
      <c r="AH353" s="500"/>
      <c r="AI353" s="498"/>
      <c r="AJ353" s="500"/>
      <c r="AK353" s="498"/>
      <c r="AL353" s="500"/>
      <c r="AM353" s="501"/>
      <c r="AN353" s="500"/>
      <c r="AO353" s="498"/>
      <c r="AP353" s="500"/>
      <c r="AQ353" s="501"/>
      <c r="AR353" s="500"/>
      <c r="AS353" s="500"/>
      <c r="AT353" s="500"/>
      <c r="AU353" s="501"/>
      <c r="AV353" s="500"/>
      <c r="AW353" s="500"/>
      <c r="AX353" s="500"/>
      <c r="AY353" s="576"/>
      <c r="AZ353" s="576"/>
      <c r="BA353" s="576"/>
      <c r="BB353" s="576"/>
      <c r="BC353" s="576"/>
      <c r="BD353" s="576"/>
      <c r="BE353" s="576"/>
      <c r="BF353" s="576"/>
      <c r="BG353" s="576"/>
      <c r="BH353" s="576"/>
      <c r="BI353" s="576"/>
      <c r="BJ353" s="576"/>
      <c r="BK353" s="576"/>
      <c r="BL353" s="576"/>
      <c r="BM353" s="576"/>
      <c r="BN353" s="576"/>
      <c r="BO353" s="576"/>
      <c r="BP353" s="576"/>
      <c r="BQ353" s="576"/>
      <c r="BR353" s="576"/>
      <c r="BS353" s="576"/>
      <c r="BT353" s="576"/>
      <c r="BU353" s="576"/>
      <c r="BV353" s="576"/>
      <c r="BW353" s="576"/>
      <c r="BX353" s="576"/>
      <c r="BY353" s="576"/>
      <c r="BZ353" s="576"/>
      <c r="CA353" s="576"/>
      <c r="CB353" s="576"/>
      <c r="CC353" s="576"/>
      <c r="CD353" s="576"/>
      <c r="CE353" s="576"/>
      <c r="CF353" s="576"/>
      <c r="CG353" s="576"/>
      <c r="CH353" s="576"/>
      <c r="CI353" s="576"/>
      <c r="CJ353" s="576"/>
      <c r="CK353" s="576"/>
      <c r="CL353" s="576"/>
      <c r="CM353" s="576"/>
      <c r="CN353" s="576"/>
      <c r="CO353" s="576"/>
      <c r="CP353" s="576"/>
      <c r="CQ353" s="576"/>
      <c r="CR353" s="576"/>
      <c r="CS353" s="576"/>
      <c r="CT353" s="576"/>
      <c r="CU353" s="576"/>
      <c r="CV353" s="576"/>
      <c r="CW353" s="576"/>
      <c r="CX353" s="576"/>
      <c r="CY353" s="576"/>
      <c r="CZ353" s="576"/>
      <c r="DA353" s="576"/>
      <c r="DB353" s="576"/>
      <c r="DC353" s="576"/>
      <c r="DD353" s="576"/>
      <c r="DE353" s="576"/>
      <c r="DF353" s="576"/>
      <c r="DG353" s="576"/>
      <c r="DH353" s="116"/>
      <c r="DI353" s="112"/>
      <c r="DJ353">
        <f ca="1">INDIRECT(ADDRESS(ROW()+1,COLUMN(Arbeitszeit!xDay),,,"Arbeitszeit"))</f>
        <v>2</v>
      </c>
    </row>
    <row r="354" spans="1:114">
      <c r="A354" s="462">
        <f>Arbeitszeit!A355</f>
        <v>45183</v>
      </c>
      <c r="B354" s="463">
        <f t="shared" si="21"/>
        <v>45183</v>
      </c>
      <c r="C354" s="146">
        <f t="shared" si="22"/>
        <v>37</v>
      </c>
      <c r="D354" s="145">
        <f t="shared" si="23"/>
        <v>45169</v>
      </c>
      <c r="E354" s="510">
        <f>Arbeitszeit!V355*24</f>
        <v>0</v>
      </c>
      <c r="F354" s="574">
        <f t="shared" si="20"/>
        <v>0</v>
      </c>
      <c r="G354" s="113">
        <f>IF(Arbeitszeit!F355=Urlaub,B_WorkTime*24,)</f>
        <v>0</v>
      </c>
      <c r="H354" s="111"/>
      <c r="I354" s="113">
        <f>IF(Arbeitszeit!F355=Krank,B_WorkTime*24,)</f>
        <v>0</v>
      </c>
      <c r="J354" s="111"/>
      <c r="K354" s="114"/>
      <c r="L354" s="115"/>
      <c r="M354" s="498"/>
      <c r="N354" s="499"/>
      <c r="O354" s="498"/>
      <c r="P354" s="499"/>
      <c r="Q354" s="498"/>
      <c r="R354" s="499"/>
      <c r="S354" s="498"/>
      <c r="T354" s="499"/>
      <c r="U354" s="498"/>
      <c r="V354" s="499"/>
      <c r="W354" s="498"/>
      <c r="X354" s="499"/>
      <c r="Y354" s="498"/>
      <c r="Z354" s="499"/>
      <c r="AA354" s="498"/>
      <c r="AB354" s="499"/>
      <c r="AC354" s="498"/>
      <c r="AD354" s="499"/>
      <c r="AE354" s="498"/>
      <c r="AF354" s="500"/>
      <c r="AG354" s="498"/>
      <c r="AH354" s="500"/>
      <c r="AI354" s="498"/>
      <c r="AJ354" s="500"/>
      <c r="AK354" s="498"/>
      <c r="AL354" s="500"/>
      <c r="AM354" s="501"/>
      <c r="AN354" s="500"/>
      <c r="AO354" s="498"/>
      <c r="AP354" s="500"/>
      <c r="AQ354" s="501"/>
      <c r="AR354" s="500"/>
      <c r="AS354" s="500"/>
      <c r="AT354" s="500"/>
      <c r="AU354" s="501"/>
      <c r="AV354" s="500"/>
      <c r="AW354" s="500"/>
      <c r="AX354" s="500"/>
      <c r="AY354" s="576"/>
      <c r="AZ354" s="576"/>
      <c r="BA354" s="576"/>
      <c r="BB354" s="576"/>
      <c r="BC354" s="576"/>
      <c r="BD354" s="576"/>
      <c r="BE354" s="576"/>
      <c r="BF354" s="576"/>
      <c r="BG354" s="576"/>
      <c r="BH354" s="576"/>
      <c r="BI354" s="576"/>
      <c r="BJ354" s="576"/>
      <c r="BK354" s="576"/>
      <c r="BL354" s="576"/>
      <c r="BM354" s="576"/>
      <c r="BN354" s="576"/>
      <c r="BO354" s="576"/>
      <c r="BP354" s="576"/>
      <c r="BQ354" s="576"/>
      <c r="BR354" s="576"/>
      <c r="BS354" s="576"/>
      <c r="BT354" s="576"/>
      <c r="BU354" s="576"/>
      <c r="BV354" s="576"/>
      <c r="BW354" s="576"/>
      <c r="BX354" s="576"/>
      <c r="BY354" s="576"/>
      <c r="BZ354" s="576"/>
      <c r="CA354" s="576"/>
      <c r="CB354" s="576"/>
      <c r="CC354" s="576"/>
      <c r="CD354" s="576"/>
      <c r="CE354" s="576"/>
      <c r="CF354" s="576"/>
      <c r="CG354" s="576"/>
      <c r="CH354" s="576"/>
      <c r="CI354" s="576"/>
      <c r="CJ354" s="576"/>
      <c r="CK354" s="576"/>
      <c r="CL354" s="576"/>
      <c r="CM354" s="576"/>
      <c r="CN354" s="576"/>
      <c r="CO354" s="576"/>
      <c r="CP354" s="576"/>
      <c r="CQ354" s="576"/>
      <c r="CR354" s="576"/>
      <c r="CS354" s="576"/>
      <c r="CT354" s="576"/>
      <c r="CU354" s="576"/>
      <c r="CV354" s="576"/>
      <c r="CW354" s="576"/>
      <c r="CX354" s="576"/>
      <c r="CY354" s="576"/>
      <c r="CZ354" s="576"/>
      <c r="DA354" s="576"/>
      <c r="DB354" s="576"/>
      <c r="DC354" s="576"/>
      <c r="DD354" s="576"/>
      <c r="DE354" s="576"/>
      <c r="DF354" s="576"/>
      <c r="DG354" s="576"/>
      <c r="DH354" s="116"/>
      <c r="DI354" s="112"/>
      <c r="DJ354">
        <f ca="1">INDIRECT(ADDRESS(ROW()+1,COLUMN(Arbeitszeit!xDay),,,"Arbeitszeit"))</f>
        <v>3</v>
      </c>
    </row>
    <row r="355" spans="1:114">
      <c r="A355" s="462">
        <f>Arbeitszeit!A356</f>
        <v>45184</v>
      </c>
      <c r="B355" s="463">
        <f t="shared" si="21"/>
        <v>45184</v>
      </c>
      <c r="C355" s="146">
        <f t="shared" si="22"/>
        <v>37</v>
      </c>
      <c r="D355" s="145">
        <f t="shared" si="23"/>
        <v>45169</v>
      </c>
      <c r="E355" s="510">
        <f>Arbeitszeit!V356*24</f>
        <v>0</v>
      </c>
      <c r="F355" s="574">
        <f t="shared" si="20"/>
        <v>0</v>
      </c>
      <c r="G355" s="113">
        <f>IF(Arbeitszeit!F356=Urlaub,B_WorkTime*24,)</f>
        <v>0</v>
      </c>
      <c r="H355" s="111"/>
      <c r="I355" s="113">
        <f>IF(Arbeitszeit!F356=Krank,B_WorkTime*24,)</f>
        <v>0</v>
      </c>
      <c r="J355" s="111"/>
      <c r="K355" s="114"/>
      <c r="L355" s="115"/>
      <c r="M355" s="498"/>
      <c r="N355" s="499"/>
      <c r="O355" s="498"/>
      <c r="P355" s="499"/>
      <c r="Q355" s="498"/>
      <c r="R355" s="499"/>
      <c r="S355" s="498"/>
      <c r="T355" s="499"/>
      <c r="U355" s="498"/>
      <c r="V355" s="499"/>
      <c r="W355" s="498"/>
      <c r="X355" s="499"/>
      <c r="Y355" s="498"/>
      <c r="Z355" s="499"/>
      <c r="AA355" s="498"/>
      <c r="AB355" s="499"/>
      <c r="AC355" s="498"/>
      <c r="AD355" s="499"/>
      <c r="AE355" s="498"/>
      <c r="AF355" s="500"/>
      <c r="AG355" s="498"/>
      <c r="AH355" s="500"/>
      <c r="AI355" s="498"/>
      <c r="AJ355" s="500"/>
      <c r="AK355" s="498"/>
      <c r="AL355" s="500"/>
      <c r="AM355" s="501"/>
      <c r="AN355" s="500"/>
      <c r="AO355" s="498"/>
      <c r="AP355" s="500"/>
      <c r="AQ355" s="501"/>
      <c r="AR355" s="500"/>
      <c r="AS355" s="500"/>
      <c r="AT355" s="500"/>
      <c r="AU355" s="501"/>
      <c r="AV355" s="500"/>
      <c r="AW355" s="500"/>
      <c r="AX355" s="500"/>
      <c r="AY355" s="576"/>
      <c r="AZ355" s="576"/>
      <c r="BA355" s="576"/>
      <c r="BB355" s="576"/>
      <c r="BC355" s="576"/>
      <c r="BD355" s="576"/>
      <c r="BE355" s="576"/>
      <c r="BF355" s="576"/>
      <c r="BG355" s="576"/>
      <c r="BH355" s="576"/>
      <c r="BI355" s="576"/>
      <c r="BJ355" s="576"/>
      <c r="BK355" s="576"/>
      <c r="BL355" s="576"/>
      <c r="BM355" s="576"/>
      <c r="BN355" s="576"/>
      <c r="BO355" s="576"/>
      <c r="BP355" s="576"/>
      <c r="BQ355" s="576"/>
      <c r="BR355" s="576"/>
      <c r="BS355" s="576"/>
      <c r="BT355" s="576"/>
      <c r="BU355" s="576"/>
      <c r="BV355" s="576"/>
      <c r="BW355" s="576"/>
      <c r="BX355" s="576"/>
      <c r="BY355" s="576"/>
      <c r="BZ355" s="576"/>
      <c r="CA355" s="576"/>
      <c r="CB355" s="576"/>
      <c r="CC355" s="576"/>
      <c r="CD355" s="576"/>
      <c r="CE355" s="576"/>
      <c r="CF355" s="576"/>
      <c r="CG355" s="576"/>
      <c r="CH355" s="576"/>
      <c r="CI355" s="576"/>
      <c r="CJ355" s="576"/>
      <c r="CK355" s="576"/>
      <c r="CL355" s="576"/>
      <c r="CM355" s="576"/>
      <c r="CN355" s="576"/>
      <c r="CO355" s="576"/>
      <c r="CP355" s="576"/>
      <c r="CQ355" s="576"/>
      <c r="CR355" s="576"/>
      <c r="CS355" s="576"/>
      <c r="CT355" s="576"/>
      <c r="CU355" s="576"/>
      <c r="CV355" s="576"/>
      <c r="CW355" s="576"/>
      <c r="CX355" s="576"/>
      <c r="CY355" s="576"/>
      <c r="CZ355" s="576"/>
      <c r="DA355" s="576"/>
      <c r="DB355" s="576"/>
      <c r="DC355" s="576"/>
      <c r="DD355" s="576"/>
      <c r="DE355" s="576"/>
      <c r="DF355" s="576"/>
      <c r="DG355" s="576"/>
      <c r="DH355" s="116"/>
      <c r="DI355" s="112"/>
      <c r="DJ355">
        <f ca="1">INDIRECT(ADDRESS(ROW()+1,COLUMN(Arbeitszeit!xDay),,,"Arbeitszeit"))</f>
        <v>4</v>
      </c>
    </row>
    <row r="356" spans="1:114">
      <c r="A356" s="462">
        <f>Arbeitszeit!A357</f>
        <v>45185</v>
      </c>
      <c r="B356" s="463">
        <f t="shared" si="21"/>
        <v>45185</v>
      </c>
      <c r="C356" s="146">
        <f t="shared" si="22"/>
        <v>37</v>
      </c>
      <c r="D356" s="145">
        <f t="shared" si="23"/>
        <v>45169</v>
      </c>
      <c r="E356" s="510">
        <f>Arbeitszeit!V357*24</f>
        <v>0</v>
      </c>
      <c r="F356" s="574">
        <f t="shared" si="20"/>
        <v>0</v>
      </c>
      <c r="G356" s="113">
        <f>IF(Arbeitszeit!F357=Urlaub,B_WorkTime*24,)</f>
        <v>0</v>
      </c>
      <c r="H356" s="111"/>
      <c r="I356" s="113">
        <f>IF(Arbeitszeit!F357=Krank,B_WorkTime*24,)</f>
        <v>0</v>
      </c>
      <c r="J356" s="111"/>
      <c r="K356" s="114"/>
      <c r="L356" s="115"/>
      <c r="M356" s="498"/>
      <c r="N356" s="499"/>
      <c r="O356" s="498"/>
      <c r="P356" s="499"/>
      <c r="Q356" s="498"/>
      <c r="R356" s="499"/>
      <c r="S356" s="498"/>
      <c r="T356" s="499"/>
      <c r="U356" s="498"/>
      <c r="V356" s="499"/>
      <c r="W356" s="498"/>
      <c r="X356" s="499"/>
      <c r="Y356" s="498"/>
      <c r="Z356" s="499"/>
      <c r="AA356" s="498"/>
      <c r="AB356" s="499"/>
      <c r="AC356" s="498"/>
      <c r="AD356" s="499"/>
      <c r="AE356" s="498"/>
      <c r="AF356" s="500"/>
      <c r="AG356" s="498"/>
      <c r="AH356" s="500"/>
      <c r="AI356" s="498"/>
      <c r="AJ356" s="500"/>
      <c r="AK356" s="498"/>
      <c r="AL356" s="500"/>
      <c r="AM356" s="501"/>
      <c r="AN356" s="500"/>
      <c r="AO356" s="498"/>
      <c r="AP356" s="500"/>
      <c r="AQ356" s="501"/>
      <c r="AR356" s="500"/>
      <c r="AS356" s="500"/>
      <c r="AT356" s="500"/>
      <c r="AU356" s="501"/>
      <c r="AV356" s="500"/>
      <c r="AW356" s="500"/>
      <c r="AX356" s="500"/>
      <c r="AY356" s="576"/>
      <c r="AZ356" s="576"/>
      <c r="BA356" s="576"/>
      <c r="BB356" s="576"/>
      <c r="BC356" s="576"/>
      <c r="BD356" s="576"/>
      <c r="BE356" s="576"/>
      <c r="BF356" s="576"/>
      <c r="BG356" s="576"/>
      <c r="BH356" s="576"/>
      <c r="BI356" s="576"/>
      <c r="BJ356" s="576"/>
      <c r="BK356" s="576"/>
      <c r="BL356" s="576"/>
      <c r="BM356" s="576"/>
      <c r="BN356" s="576"/>
      <c r="BO356" s="576"/>
      <c r="BP356" s="576"/>
      <c r="BQ356" s="576"/>
      <c r="BR356" s="576"/>
      <c r="BS356" s="576"/>
      <c r="BT356" s="576"/>
      <c r="BU356" s="576"/>
      <c r="BV356" s="576"/>
      <c r="BW356" s="576"/>
      <c r="BX356" s="576"/>
      <c r="BY356" s="576"/>
      <c r="BZ356" s="576"/>
      <c r="CA356" s="576"/>
      <c r="CB356" s="576"/>
      <c r="CC356" s="576"/>
      <c r="CD356" s="576"/>
      <c r="CE356" s="576"/>
      <c r="CF356" s="576"/>
      <c r="CG356" s="576"/>
      <c r="CH356" s="576"/>
      <c r="CI356" s="576"/>
      <c r="CJ356" s="576"/>
      <c r="CK356" s="576"/>
      <c r="CL356" s="576"/>
      <c r="CM356" s="576"/>
      <c r="CN356" s="576"/>
      <c r="CO356" s="576"/>
      <c r="CP356" s="576"/>
      <c r="CQ356" s="576"/>
      <c r="CR356" s="576"/>
      <c r="CS356" s="576"/>
      <c r="CT356" s="576"/>
      <c r="CU356" s="576"/>
      <c r="CV356" s="576"/>
      <c r="CW356" s="576"/>
      <c r="CX356" s="576"/>
      <c r="CY356" s="576"/>
      <c r="CZ356" s="576"/>
      <c r="DA356" s="576"/>
      <c r="DB356" s="576"/>
      <c r="DC356" s="576"/>
      <c r="DD356" s="576"/>
      <c r="DE356" s="576"/>
      <c r="DF356" s="576"/>
      <c r="DG356" s="576"/>
      <c r="DH356" s="116"/>
      <c r="DI356" s="112"/>
      <c r="DJ356">
        <f ca="1">INDIRECT(ADDRESS(ROW()+1,COLUMN(Arbeitszeit!xDay),,,"Arbeitszeit"))</f>
        <v>5</v>
      </c>
    </row>
    <row r="357" spans="1:114">
      <c r="A357" s="462">
        <f>Arbeitszeit!A358</f>
        <v>45186</v>
      </c>
      <c r="B357" s="463">
        <f t="shared" si="21"/>
        <v>45186</v>
      </c>
      <c r="C357" s="146">
        <f t="shared" si="22"/>
        <v>37</v>
      </c>
      <c r="D357" s="145">
        <f t="shared" si="23"/>
        <v>45169</v>
      </c>
      <c r="E357" s="510">
        <f>Arbeitszeit!V358*24</f>
        <v>0</v>
      </c>
      <c r="F357" s="574">
        <f t="shared" si="20"/>
        <v>0</v>
      </c>
      <c r="G357" s="113">
        <f>IF(Arbeitszeit!F358=Urlaub,B_WorkTime*24,)</f>
        <v>0</v>
      </c>
      <c r="H357" s="111"/>
      <c r="I357" s="113">
        <f>IF(Arbeitszeit!F358=Krank,B_WorkTime*24,)</f>
        <v>0</v>
      </c>
      <c r="J357" s="111"/>
      <c r="K357" s="114"/>
      <c r="L357" s="115"/>
      <c r="M357" s="498"/>
      <c r="N357" s="499"/>
      <c r="O357" s="498"/>
      <c r="P357" s="499"/>
      <c r="Q357" s="498"/>
      <c r="R357" s="499"/>
      <c r="S357" s="498"/>
      <c r="T357" s="499"/>
      <c r="U357" s="498"/>
      <c r="V357" s="499"/>
      <c r="W357" s="498"/>
      <c r="X357" s="499"/>
      <c r="Y357" s="498"/>
      <c r="Z357" s="499"/>
      <c r="AA357" s="498"/>
      <c r="AB357" s="499"/>
      <c r="AC357" s="498"/>
      <c r="AD357" s="499"/>
      <c r="AE357" s="498"/>
      <c r="AF357" s="500"/>
      <c r="AG357" s="498"/>
      <c r="AH357" s="500"/>
      <c r="AI357" s="498"/>
      <c r="AJ357" s="500"/>
      <c r="AK357" s="498"/>
      <c r="AL357" s="500"/>
      <c r="AM357" s="501"/>
      <c r="AN357" s="500"/>
      <c r="AO357" s="498"/>
      <c r="AP357" s="500"/>
      <c r="AQ357" s="501"/>
      <c r="AR357" s="500"/>
      <c r="AS357" s="500"/>
      <c r="AT357" s="500"/>
      <c r="AU357" s="501"/>
      <c r="AV357" s="500"/>
      <c r="AW357" s="500"/>
      <c r="AX357" s="500"/>
      <c r="AY357" s="576"/>
      <c r="AZ357" s="576"/>
      <c r="BA357" s="576"/>
      <c r="BB357" s="576"/>
      <c r="BC357" s="576"/>
      <c r="BD357" s="576"/>
      <c r="BE357" s="576"/>
      <c r="BF357" s="576"/>
      <c r="BG357" s="576"/>
      <c r="BH357" s="576"/>
      <c r="BI357" s="576"/>
      <c r="BJ357" s="576"/>
      <c r="BK357" s="576"/>
      <c r="BL357" s="576"/>
      <c r="BM357" s="576"/>
      <c r="BN357" s="576"/>
      <c r="BO357" s="576"/>
      <c r="BP357" s="576"/>
      <c r="BQ357" s="576"/>
      <c r="BR357" s="576"/>
      <c r="BS357" s="576"/>
      <c r="BT357" s="576"/>
      <c r="BU357" s="576"/>
      <c r="BV357" s="576"/>
      <c r="BW357" s="576"/>
      <c r="BX357" s="576"/>
      <c r="BY357" s="576"/>
      <c r="BZ357" s="576"/>
      <c r="CA357" s="576"/>
      <c r="CB357" s="576"/>
      <c r="CC357" s="576"/>
      <c r="CD357" s="576"/>
      <c r="CE357" s="576"/>
      <c r="CF357" s="576"/>
      <c r="CG357" s="576"/>
      <c r="CH357" s="576"/>
      <c r="CI357" s="576"/>
      <c r="CJ357" s="576"/>
      <c r="CK357" s="576"/>
      <c r="CL357" s="576"/>
      <c r="CM357" s="576"/>
      <c r="CN357" s="576"/>
      <c r="CO357" s="576"/>
      <c r="CP357" s="576"/>
      <c r="CQ357" s="576"/>
      <c r="CR357" s="576"/>
      <c r="CS357" s="576"/>
      <c r="CT357" s="576"/>
      <c r="CU357" s="576"/>
      <c r="CV357" s="576"/>
      <c r="CW357" s="576"/>
      <c r="CX357" s="576"/>
      <c r="CY357" s="576"/>
      <c r="CZ357" s="576"/>
      <c r="DA357" s="576"/>
      <c r="DB357" s="576"/>
      <c r="DC357" s="576"/>
      <c r="DD357" s="576"/>
      <c r="DE357" s="576"/>
      <c r="DF357" s="576"/>
      <c r="DG357" s="576"/>
      <c r="DH357" s="116"/>
      <c r="DI357" s="112"/>
      <c r="DJ357">
        <f ca="1">INDIRECT(ADDRESS(ROW()+1,COLUMN(Arbeitszeit!xDay),,,"Arbeitszeit"))</f>
        <v>6</v>
      </c>
    </row>
    <row r="358" spans="1:114">
      <c r="A358" s="462">
        <f>Arbeitszeit!A359</f>
        <v>45187</v>
      </c>
      <c r="B358" s="463">
        <f t="shared" si="21"/>
        <v>45187</v>
      </c>
      <c r="C358" s="146">
        <f t="shared" si="22"/>
        <v>37</v>
      </c>
      <c r="D358" s="145">
        <f t="shared" si="23"/>
        <v>45169</v>
      </c>
      <c r="E358" s="510">
        <f>Arbeitszeit!V359*24</f>
        <v>0</v>
      </c>
      <c r="F358" s="574">
        <f t="shared" si="20"/>
        <v>0</v>
      </c>
      <c r="G358" s="113">
        <f>IF(Arbeitszeit!F359=Urlaub,B_WorkTime*24,)</f>
        <v>0</v>
      </c>
      <c r="H358" s="111"/>
      <c r="I358" s="113">
        <f>IF(Arbeitszeit!F359=Krank,B_WorkTime*24,)</f>
        <v>0</v>
      </c>
      <c r="J358" s="111"/>
      <c r="K358" s="114"/>
      <c r="L358" s="115"/>
      <c r="M358" s="498"/>
      <c r="N358" s="499"/>
      <c r="O358" s="498"/>
      <c r="P358" s="499"/>
      <c r="Q358" s="498"/>
      <c r="R358" s="499"/>
      <c r="S358" s="498"/>
      <c r="T358" s="499"/>
      <c r="U358" s="498"/>
      <c r="V358" s="499"/>
      <c r="W358" s="498"/>
      <c r="X358" s="499"/>
      <c r="Y358" s="498"/>
      <c r="Z358" s="499"/>
      <c r="AA358" s="498"/>
      <c r="AB358" s="499"/>
      <c r="AC358" s="498"/>
      <c r="AD358" s="499"/>
      <c r="AE358" s="498"/>
      <c r="AF358" s="500"/>
      <c r="AG358" s="498"/>
      <c r="AH358" s="500"/>
      <c r="AI358" s="498"/>
      <c r="AJ358" s="500"/>
      <c r="AK358" s="498"/>
      <c r="AL358" s="500"/>
      <c r="AM358" s="501"/>
      <c r="AN358" s="500"/>
      <c r="AO358" s="498"/>
      <c r="AP358" s="500"/>
      <c r="AQ358" s="501"/>
      <c r="AR358" s="500"/>
      <c r="AS358" s="500"/>
      <c r="AT358" s="500"/>
      <c r="AU358" s="501"/>
      <c r="AV358" s="500"/>
      <c r="AW358" s="500"/>
      <c r="AX358" s="500"/>
      <c r="AY358" s="576"/>
      <c r="AZ358" s="576"/>
      <c r="BA358" s="576"/>
      <c r="BB358" s="576"/>
      <c r="BC358" s="576"/>
      <c r="BD358" s="576"/>
      <c r="BE358" s="576"/>
      <c r="BF358" s="576"/>
      <c r="BG358" s="576"/>
      <c r="BH358" s="576"/>
      <c r="BI358" s="576"/>
      <c r="BJ358" s="576"/>
      <c r="BK358" s="576"/>
      <c r="BL358" s="576"/>
      <c r="BM358" s="576"/>
      <c r="BN358" s="576"/>
      <c r="BO358" s="576"/>
      <c r="BP358" s="576"/>
      <c r="BQ358" s="576"/>
      <c r="BR358" s="576"/>
      <c r="BS358" s="576"/>
      <c r="BT358" s="576"/>
      <c r="BU358" s="576"/>
      <c r="BV358" s="576"/>
      <c r="BW358" s="576"/>
      <c r="BX358" s="576"/>
      <c r="BY358" s="576"/>
      <c r="BZ358" s="576"/>
      <c r="CA358" s="576"/>
      <c r="CB358" s="576"/>
      <c r="CC358" s="576"/>
      <c r="CD358" s="576"/>
      <c r="CE358" s="576"/>
      <c r="CF358" s="576"/>
      <c r="CG358" s="576"/>
      <c r="CH358" s="576"/>
      <c r="CI358" s="576"/>
      <c r="CJ358" s="576"/>
      <c r="CK358" s="576"/>
      <c r="CL358" s="576"/>
      <c r="CM358" s="576"/>
      <c r="CN358" s="576"/>
      <c r="CO358" s="576"/>
      <c r="CP358" s="576"/>
      <c r="CQ358" s="576"/>
      <c r="CR358" s="576"/>
      <c r="CS358" s="576"/>
      <c r="CT358" s="576"/>
      <c r="CU358" s="576"/>
      <c r="CV358" s="576"/>
      <c r="CW358" s="576"/>
      <c r="CX358" s="576"/>
      <c r="CY358" s="576"/>
      <c r="CZ358" s="576"/>
      <c r="DA358" s="576"/>
      <c r="DB358" s="576"/>
      <c r="DC358" s="576"/>
      <c r="DD358" s="576"/>
      <c r="DE358" s="576"/>
      <c r="DF358" s="576"/>
      <c r="DG358" s="576"/>
      <c r="DH358" s="116"/>
      <c r="DI358" s="112"/>
      <c r="DJ358">
        <f ca="1">INDIRECT(ADDRESS(ROW()+1,COLUMN(Arbeitszeit!xDay),,,"Arbeitszeit"))</f>
        <v>7</v>
      </c>
    </row>
    <row r="359" spans="1:114">
      <c r="A359" s="462">
        <f>Arbeitszeit!A360</f>
        <v>45188</v>
      </c>
      <c r="B359" s="463">
        <f t="shared" si="21"/>
        <v>45188</v>
      </c>
      <c r="C359" s="146">
        <f t="shared" si="22"/>
        <v>38</v>
      </c>
      <c r="D359" s="145">
        <f t="shared" si="23"/>
        <v>45169</v>
      </c>
      <c r="E359" s="510">
        <f>Arbeitszeit!V360*24</f>
        <v>0</v>
      </c>
      <c r="F359" s="574">
        <f t="shared" si="20"/>
        <v>0</v>
      </c>
      <c r="G359" s="113">
        <f>IF(Arbeitszeit!F360=Urlaub,B_WorkTime*24,)</f>
        <v>0</v>
      </c>
      <c r="H359" s="111"/>
      <c r="I359" s="113">
        <f>IF(Arbeitszeit!F360=Krank,B_WorkTime*24,)</f>
        <v>0</v>
      </c>
      <c r="J359" s="111"/>
      <c r="K359" s="114"/>
      <c r="L359" s="115"/>
      <c r="M359" s="498"/>
      <c r="N359" s="499"/>
      <c r="O359" s="498"/>
      <c r="P359" s="499"/>
      <c r="Q359" s="498"/>
      <c r="R359" s="499"/>
      <c r="S359" s="498"/>
      <c r="T359" s="499"/>
      <c r="U359" s="498"/>
      <c r="V359" s="499"/>
      <c r="W359" s="498"/>
      <c r="X359" s="499"/>
      <c r="Y359" s="498"/>
      <c r="Z359" s="499"/>
      <c r="AA359" s="498"/>
      <c r="AB359" s="499"/>
      <c r="AC359" s="498"/>
      <c r="AD359" s="499"/>
      <c r="AE359" s="498"/>
      <c r="AF359" s="500"/>
      <c r="AG359" s="498"/>
      <c r="AH359" s="500"/>
      <c r="AI359" s="498"/>
      <c r="AJ359" s="500"/>
      <c r="AK359" s="498"/>
      <c r="AL359" s="500"/>
      <c r="AM359" s="501"/>
      <c r="AN359" s="500"/>
      <c r="AO359" s="498"/>
      <c r="AP359" s="500"/>
      <c r="AQ359" s="501"/>
      <c r="AR359" s="500"/>
      <c r="AS359" s="500"/>
      <c r="AT359" s="500"/>
      <c r="AU359" s="501"/>
      <c r="AV359" s="500"/>
      <c r="AW359" s="500"/>
      <c r="AX359" s="500"/>
      <c r="AY359" s="576"/>
      <c r="AZ359" s="576"/>
      <c r="BA359" s="576"/>
      <c r="BB359" s="576"/>
      <c r="BC359" s="576"/>
      <c r="BD359" s="576"/>
      <c r="BE359" s="576"/>
      <c r="BF359" s="576"/>
      <c r="BG359" s="576"/>
      <c r="BH359" s="576"/>
      <c r="BI359" s="576"/>
      <c r="BJ359" s="576"/>
      <c r="BK359" s="576"/>
      <c r="BL359" s="576"/>
      <c r="BM359" s="576"/>
      <c r="BN359" s="576"/>
      <c r="BO359" s="576"/>
      <c r="BP359" s="576"/>
      <c r="BQ359" s="576"/>
      <c r="BR359" s="576"/>
      <c r="BS359" s="576"/>
      <c r="BT359" s="576"/>
      <c r="BU359" s="576"/>
      <c r="BV359" s="576"/>
      <c r="BW359" s="576"/>
      <c r="BX359" s="576"/>
      <c r="BY359" s="576"/>
      <c r="BZ359" s="576"/>
      <c r="CA359" s="576"/>
      <c r="CB359" s="576"/>
      <c r="CC359" s="576"/>
      <c r="CD359" s="576"/>
      <c r="CE359" s="576"/>
      <c r="CF359" s="576"/>
      <c r="CG359" s="576"/>
      <c r="CH359" s="576"/>
      <c r="CI359" s="576"/>
      <c r="CJ359" s="576"/>
      <c r="CK359" s="576"/>
      <c r="CL359" s="576"/>
      <c r="CM359" s="576"/>
      <c r="CN359" s="576"/>
      <c r="CO359" s="576"/>
      <c r="CP359" s="576"/>
      <c r="CQ359" s="576"/>
      <c r="CR359" s="576"/>
      <c r="CS359" s="576"/>
      <c r="CT359" s="576"/>
      <c r="CU359" s="576"/>
      <c r="CV359" s="576"/>
      <c r="CW359" s="576"/>
      <c r="CX359" s="576"/>
      <c r="CY359" s="576"/>
      <c r="CZ359" s="576"/>
      <c r="DA359" s="576"/>
      <c r="DB359" s="576"/>
      <c r="DC359" s="576"/>
      <c r="DD359" s="576"/>
      <c r="DE359" s="576"/>
      <c r="DF359" s="576"/>
      <c r="DG359" s="576"/>
      <c r="DH359" s="116"/>
      <c r="DI359" s="112"/>
      <c r="DJ359">
        <f ca="1">INDIRECT(ADDRESS(ROW()+1,COLUMN(Arbeitszeit!xDay),,,"Arbeitszeit"))</f>
        <v>1</v>
      </c>
    </row>
    <row r="360" spans="1:114">
      <c r="A360" s="462">
        <f>Arbeitszeit!A361</f>
        <v>45189</v>
      </c>
      <c r="B360" s="463">
        <f t="shared" si="21"/>
        <v>45189</v>
      </c>
      <c r="C360" s="146">
        <f t="shared" si="22"/>
        <v>38</v>
      </c>
      <c r="D360" s="145">
        <f t="shared" si="23"/>
        <v>45169</v>
      </c>
      <c r="E360" s="510">
        <f>Arbeitszeit!V361*24</f>
        <v>0</v>
      </c>
      <c r="F360" s="574">
        <f t="shared" si="20"/>
        <v>0</v>
      </c>
      <c r="G360" s="113">
        <f>IF(Arbeitszeit!F361=Urlaub,B_WorkTime*24,)</f>
        <v>0</v>
      </c>
      <c r="H360" s="111"/>
      <c r="I360" s="113">
        <f>IF(Arbeitszeit!F361=Krank,B_WorkTime*24,)</f>
        <v>0</v>
      </c>
      <c r="J360" s="111"/>
      <c r="K360" s="114"/>
      <c r="L360" s="115"/>
      <c r="M360" s="498"/>
      <c r="N360" s="499"/>
      <c r="O360" s="498"/>
      <c r="P360" s="499"/>
      <c r="Q360" s="498"/>
      <c r="R360" s="499"/>
      <c r="S360" s="498"/>
      <c r="T360" s="499"/>
      <c r="U360" s="498"/>
      <c r="V360" s="499"/>
      <c r="W360" s="498"/>
      <c r="X360" s="499"/>
      <c r="Y360" s="498"/>
      <c r="Z360" s="499"/>
      <c r="AA360" s="498"/>
      <c r="AB360" s="499"/>
      <c r="AC360" s="498"/>
      <c r="AD360" s="499"/>
      <c r="AE360" s="498"/>
      <c r="AF360" s="500"/>
      <c r="AG360" s="498"/>
      <c r="AH360" s="500"/>
      <c r="AI360" s="498"/>
      <c r="AJ360" s="500"/>
      <c r="AK360" s="498"/>
      <c r="AL360" s="500"/>
      <c r="AM360" s="501"/>
      <c r="AN360" s="500"/>
      <c r="AO360" s="498"/>
      <c r="AP360" s="500"/>
      <c r="AQ360" s="501"/>
      <c r="AR360" s="500"/>
      <c r="AS360" s="500"/>
      <c r="AT360" s="500"/>
      <c r="AU360" s="501"/>
      <c r="AV360" s="500"/>
      <c r="AW360" s="500"/>
      <c r="AX360" s="500"/>
      <c r="AY360" s="576"/>
      <c r="AZ360" s="576"/>
      <c r="BA360" s="576"/>
      <c r="BB360" s="576"/>
      <c r="BC360" s="576"/>
      <c r="BD360" s="576"/>
      <c r="BE360" s="576"/>
      <c r="BF360" s="576"/>
      <c r="BG360" s="576"/>
      <c r="BH360" s="576"/>
      <c r="BI360" s="576"/>
      <c r="BJ360" s="576"/>
      <c r="BK360" s="576"/>
      <c r="BL360" s="576"/>
      <c r="BM360" s="576"/>
      <c r="BN360" s="576"/>
      <c r="BO360" s="576"/>
      <c r="BP360" s="576"/>
      <c r="BQ360" s="576"/>
      <c r="BR360" s="576"/>
      <c r="BS360" s="576"/>
      <c r="BT360" s="576"/>
      <c r="BU360" s="576"/>
      <c r="BV360" s="576"/>
      <c r="BW360" s="576"/>
      <c r="BX360" s="576"/>
      <c r="BY360" s="576"/>
      <c r="BZ360" s="576"/>
      <c r="CA360" s="576"/>
      <c r="CB360" s="576"/>
      <c r="CC360" s="576"/>
      <c r="CD360" s="576"/>
      <c r="CE360" s="576"/>
      <c r="CF360" s="576"/>
      <c r="CG360" s="576"/>
      <c r="CH360" s="576"/>
      <c r="CI360" s="576"/>
      <c r="CJ360" s="576"/>
      <c r="CK360" s="576"/>
      <c r="CL360" s="576"/>
      <c r="CM360" s="576"/>
      <c r="CN360" s="576"/>
      <c r="CO360" s="576"/>
      <c r="CP360" s="576"/>
      <c r="CQ360" s="576"/>
      <c r="CR360" s="576"/>
      <c r="CS360" s="576"/>
      <c r="CT360" s="576"/>
      <c r="CU360" s="576"/>
      <c r="CV360" s="576"/>
      <c r="CW360" s="576"/>
      <c r="CX360" s="576"/>
      <c r="CY360" s="576"/>
      <c r="CZ360" s="576"/>
      <c r="DA360" s="576"/>
      <c r="DB360" s="576"/>
      <c r="DC360" s="576"/>
      <c r="DD360" s="576"/>
      <c r="DE360" s="576"/>
      <c r="DF360" s="576"/>
      <c r="DG360" s="576"/>
      <c r="DH360" s="116"/>
      <c r="DI360" s="112"/>
      <c r="DJ360">
        <f ca="1">INDIRECT(ADDRESS(ROW()+1,COLUMN(Arbeitszeit!xDay),,,"Arbeitszeit"))</f>
        <v>2</v>
      </c>
    </row>
    <row r="361" spans="1:114">
      <c r="A361" s="462">
        <f>Arbeitszeit!A362</f>
        <v>45190</v>
      </c>
      <c r="B361" s="463">
        <f t="shared" si="21"/>
        <v>45190</v>
      </c>
      <c r="C361" s="146">
        <f t="shared" si="22"/>
        <v>38</v>
      </c>
      <c r="D361" s="145">
        <f t="shared" si="23"/>
        <v>45169</v>
      </c>
      <c r="E361" s="510">
        <f>Arbeitszeit!V362*24</f>
        <v>0</v>
      </c>
      <c r="F361" s="574">
        <f t="shared" si="20"/>
        <v>0</v>
      </c>
      <c r="G361" s="113">
        <f>IF(Arbeitszeit!F362=Urlaub,B_WorkTime*24,)</f>
        <v>0</v>
      </c>
      <c r="H361" s="111"/>
      <c r="I361" s="113">
        <f>IF(Arbeitszeit!F362=Krank,B_WorkTime*24,)</f>
        <v>0</v>
      </c>
      <c r="J361" s="111"/>
      <c r="K361" s="114"/>
      <c r="L361" s="115"/>
      <c r="M361" s="498"/>
      <c r="N361" s="499"/>
      <c r="O361" s="498"/>
      <c r="P361" s="499"/>
      <c r="Q361" s="498"/>
      <c r="R361" s="499"/>
      <c r="S361" s="498"/>
      <c r="T361" s="499"/>
      <c r="U361" s="498"/>
      <c r="V361" s="499"/>
      <c r="W361" s="498"/>
      <c r="X361" s="499"/>
      <c r="Y361" s="498"/>
      <c r="Z361" s="499"/>
      <c r="AA361" s="498"/>
      <c r="AB361" s="499"/>
      <c r="AC361" s="498"/>
      <c r="AD361" s="499"/>
      <c r="AE361" s="498"/>
      <c r="AF361" s="500"/>
      <c r="AG361" s="498"/>
      <c r="AH361" s="500"/>
      <c r="AI361" s="498"/>
      <c r="AJ361" s="500"/>
      <c r="AK361" s="498"/>
      <c r="AL361" s="500"/>
      <c r="AM361" s="501"/>
      <c r="AN361" s="500"/>
      <c r="AO361" s="498"/>
      <c r="AP361" s="500"/>
      <c r="AQ361" s="501"/>
      <c r="AR361" s="500"/>
      <c r="AS361" s="500"/>
      <c r="AT361" s="500"/>
      <c r="AU361" s="501"/>
      <c r="AV361" s="500"/>
      <c r="AW361" s="500"/>
      <c r="AX361" s="500"/>
      <c r="AY361" s="576"/>
      <c r="AZ361" s="576"/>
      <c r="BA361" s="576"/>
      <c r="BB361" s="576"/>
      <c r="BC361" s="576"/>
      <c r="BD361" s="576"/>
      <c r="BE361" s="576"/>
      <c r="BF361" s="576"/>
      <c r="BG361" s="576"/>
      <c r="BH361" s="576"/>
      <c r="BI361" s="576"/>
      <c r="BJ361" s="576"/>
      <c r="BK361" s="576"/>
      <c r="BL361" s="576"/>
      <c r="BM361" s="576"/>
      <c r="BN361" s="576"/>
      <c r="BO361" s="576"/>
      <c r="BP361" s="576"/>
      <c r="BQ361" s="576"/>
      <c r="BR361" s="576"/>
      <c r="BS361" s="576"/>
      <c r="BT361" s="576"/>
      <c r="BU361" s="576"/>
      <c r="BV361" s="576"/>
      <c r="BW361" s="576"/>
      <c r="BX361" s="576"/>
      <c r="BY361" s="576"/>
      <c r="BZ361" s="576"/>
      <c r="CA361" s="576"/>
      <c r="CB361" s="576"/>
      <c r="CC361" s="576"/>
      <c r="CD361" s="576"/>
      <c r="CE361" s="576"/>
      <c r="CF361" s="576"/>
      <c r="CG361" s="576"/>
      <c r="CH361" s="576"/>
      <c r="CI361" s="576"/>
      <c r="CJ361" s="576"/>
      <c r="CK361" s="576"/>
      <c r="CL361" s="576"/>
      <c r="CM361" s="576"/>
      <c r="CN361" s="576"/>
      <c r="CO361" s="576"/>
      <c r="CP361" s="576"/>
      <c r="CQ361" s="576"/>
      <c r="CR361" s="576"/>
      <c r="CS361" s="576"/>
      <c r="CT361" s="576"/>
      <c r="CU361" s="576"/>
      <c r="CV361" s="576"/>
      <c r="CW361" s="576"/>
      <c r="CX361" s="576"/>
      <c r="CY361" s="576"/>
      <c r="CZ361" s="576"/>
      <c r="DA361" s="576"/>
      <c r="DB361" s="576"/>
      <c r="DC361" s="576"/>
      <c r="DD361" s="576"/>
      <c r="DE361" s="576"/>
      <c r="DF361" s="576"/>
      <c r="DG361" s="576"/>
      <c r="DH361" s="116"/>
      <c r="DI361" s="112"/>
      <c r="DJ361">
        <f ca="1">INDIRECT(ADDRESS(ROW()+1,COLUMN(Arbeitszeit!xDay),,,"Arbeitszeit"))</f>
        <v>3</v>
      </c>
    </row>
    <row r="362" spans="1:114">
      <c r="A362" s="462">
        <f>Arbeitszeit!A363</f>
        <v>45191</v>
      </c>
      <c r="B362" s="463">
        <f t="shared" si="21"/>
        <v>45191</v>
      </c>
      <c r="C362" s="146">
        <f t="shared" si="22"/>
        <v>38</v>
      </c>
      <c r="D362" s="145">
        <f t="shared" si="23"/>
        <v>45169</v>
      </c>
      <c r="E362" s="510">
        <f>Arbeitszeit!V363*24</f>
        <v>0</v>
      </c>
      <c r="F362" s="574">
        <f t="shared" si="20"/>
        <v>0</v>
      </c>
      <c r="G362" s="113">
        <f>IF(Arbeitszeit!F363=Urlaub,B_WorkTime*24,)</f>
        <v>0</v>
      </c>
      <c r="H362" s="111"/>
      <c r="I362" s="113">
        <f>IF(Arbeitszeit!F363=Krank,B_WorkTime*24,)</f>
        <v>0</v>
      </c>
      <c r="J362" s="111"/>
      <c r="K362" s="114"/>
      <c r="L362" s="115"/>
      <c r="M362" s="498"/>
      <c r="N362" s="499"/>
      <c r="O362" s="498"/>
      <c r="P362" s="499"/>
      <c r="Q362" s="498"/>
      <c r="R362" s="499"/>
      <c r="S362" s="498"/>
      <c r="T362" s="499"/>
      <c r="U362" s="498"/>
      <c r="V362" s="499"/>
      <c r="W362" s="498"/>
      <c r="X362" s="499"/>
      <c r="Y362" s="498"/>
      <c r="Z362" s="499"/>
      <c r="AA362" s="498"/>
      <c r="AB362" s="499"/>
      <c r="AC362" s="498"/>
      <c r="AD362" s="499"/>
      <c r="AE362" s="498"/>
      <c r="AF362" s="500"/>
      <c r="AG362" s="498"/>
      <c r="AH362" s="500"/>
      <c r="AI362" s="498"/>
      <c r="AJ362" s="500"/>
      <c r="AK362" s="498"/>
      <c r="AL362" s="500"/>
      <c r="AM362" s="501"/>
      <c r="AN362" s="500"/>
      <c r="AO362" s="498"/>
      <c r="AP362" s="500"/>
      <c r="AQ362" s="501"/>
      <c r="AR362" s="500"/>
      <c r="AS362" s="500"/>
      <c r="AT362" s="500"/>
      <c r="AU362" s="501"/>
      <c r="AV362" s="500"/>
      <c r="AW362" s="500"/>
      <c r="AX362" s="500"/>
      <c r="AY362" s="576"/>
      <c r="AZ362" s="576"/>
      <c r="BA362" s="576"/>
      <c r="BB362" s="576"/>
      <c r="BC362" s="576"/>
      <c r="BD362" s="576"/>
      <c r="BE362" s="576"/>
      <c r="BF362" s="576"/>
      <c r="BG362" s="576"/>
      <c r="BH362" s="576"/>
      <c r="BI362" s="576"/>
      <c r="BJ362" s="576"/>
      <c r="BK362" s="576"/>
      <c r="BL362" s="576"/>
      <c r="BM362" s="576"/>
      <c r="BN362" s="576"/>
      <c r="BO362" s="576"/>
      <c r="BP362" s="576"/>
      <c r="BQ362" s="576"/>
      <c r="BR362" s="576"/>
      <c r="BS362" s="576"/>
      <c r="BT362" s="576"/>
      <c r="BU362" s="576"/>
      <c r="BV362" s="576"/>
      <c r="BW362" s="576"/>
      <c r="BX362" s="576"/>
      <c r="BY362" s="576"/>
      <c r="BZ362" s="576"/>
      <c r="CA362" s="576"/>
      <c r="CB362" s="576"/>
      <c r="CC362" s="576"/>
      <c r="CD362" s="576"/>
      <c r="CE362" s="576"/>
      <c r="CF362" s="576"/>
      <c r="CG362" s="576"/>
      <c r="CH362" s="576"/>
      <c r="CI362" s="576"/>
      <c r="CJ362" s="576"/>
      <c r="CK362" s="576"/>
      <c r="CL362" s="576"/>
      <c r="CM362" s="576"/>
      <c r="CN362" s="576"/>
      <c r="CO362" s="576"/>
      <c r="CP362" s="576"/>
      <c r="CQ362" s="576"/>
      <c r="CR362" s="576"/>
      <c r="CS362" s="576"/>
      <c r="CT362" s="576"/>
      <c r="CU362" s="576"/>
      <c r="CV362" s="576"/>
      <c r="CW362" s="576"/>
      <c r="CX362" s="576"/>
      <c r="CY362" s="576"/>
      <c r="CZ362" s="576"/>
      <c r="DA362" s="576"/>
      <c r="DB362" s="576"/>
      <c r="DC362" s="576"/>
      <c r="DD362" s="576"/>
      <c r="DE362" s="576"/>
      <c r="DF362" s="576"/>
      <c r="DG362" s="576"/>
      <c r="DH362" s="116"/>
      <c r="DI362" s="112"/>
      <c r="DJ362">
        <f ca="1">INDIRECT(ADDRESS(ROW()+1,COLUMN(Arbeitszeit!xDay),,,"Arbeitszeit"))</f>
        <v>4</v>
      </c>
    </row>
    <row r="363" spans="1:114">
      <c r="A363" s="462">
        <f>Arbeitszeit!A364</f>
        <v>45192</v>
      </c>
      <c r="B363" s="463">
        <f t="shared" si="21"/>
        <v>45192</v>
      </c>
      <c r="C363" s="146">
        <f t="shared" si="22"/>
        <v>38</v>
      </c>
      <c r="D363" s="145">
        <f t="shared" si="23"/>
        <v>45169</v>
      </c>
      <c r="E363" s="510">
        <f>Arbeitszeit!V364*24</f>
        <v>0</v>
      </c>
      <c r="F363" s="574">
        <f t="shared" si="20"/>
        <v>0</v>
      </c>
      <c r="G363" s="113">
        <f>IF(Arbeitszeit!F364=Urlaub,B_WorkTime*24,)</f>
        <v>0</v>
      </c>
      <c r="H363" s="111"/>
      <c r="I363" s="113">
        <f>IF(Arbeitszeit!F364=Krank,B_WorkTime*24,)</f>
        <v>0</v>
      </c>
      <c r="J363" s="111"/>
      <c r="K363" s="114"/>
      <c r="L363" s="115"/>
      <c r="M363" s="498"/>
      <c r="N363" s="499"/>
      <c r="O363" s="498"/>
      <c r="P363" s="499"/>
      <c r="Q363" s="498"/>
      <c r="R363" s="499"/>
      <c r="S363" s="498"/>
      <c r="T363" s="499"/>
      <c r="U363" s="498"/>
      <c r="V363" s="499"/>
      <c r="W363" s="498"/>
      <c r="X363" s="499"/>
      <c r="Y363" s="498"/>
      <c r="Z363" s="499"/>
      <c r="AA363" s="498"/>
      <c r="AB363" s="499"/>
      <c r="AC363" s="498"/>
      <c r="AD363" s="499"/>
      <c r="AE363" s="498"/>
      <c r="AF363" s="500"/>
      <c r="AG363" s="498"/>
      <c r="AH363" s="500"/>
      <c r="AI363" s="498"/>
      <c r="AJ363" s="500"/>
      <c r="AK363" s="498"/>
      <c r="AL363" s="500"/>
      <c r="AM363" s="501"/>
      <c r="AN363" s="500"/>
      <c r="AO363" s="498"/>
      <c r="AP363" s="500"/>
      <c r="AQ363" s="501"/>
      <c r="AR363" s="500"/>
      <c r="AS363" s="500"/>
      <c r="AT363" s="500"/>
      <c r="AU363" s="501"/>
      <c r="AV363" s="500"/>
      <c r="AW363" s="500"/>
      <c r="AX363" s="500"/>
      <c r="AY363" s="576"/>
      <c r="AZ363" s="576"/>
      <c r="BA363" s="576"/>
      <c r="BB363" s="576"/>
      <c r="BC363" s="576"/>
      <c r="BD363" s="576"/>
      <c r="BE363" s="576"/>
      <c r="BF363" s="576"/>
      <c r="BG363" s="576"/>
      <c r="BH363" s="576"/>
      <c r="BI363" s="576"/>
      <c r="BJ363" s="576"/>
      <c r="BK363" s="576"/>
      <c r="BL363" s="576"/>
      <c r="BM363" s="576"/>
      <c r="BN363" s="576"/>
      <c r="BO363" s="576"/>
      <c r="BP363" s="576"/>
      <c r="BQ363" s="576"/>
      <c r="BR363" s="576"/>
      <c r="BS363" s="576"/>
      <c r="BT363" s="576"/>
      <c r="BU363" s="576"/>
      <c r="BV363" s="576"/>
      <c r="BW363" s="576"/>
      <c r="BX363" s="576"/>
      <c r="BY363" s="576"/>
      <c r="BZ363" s="576"/>
      <c r="CA363" s="576"/>
      <c r="CB363" s="576"/>
      <c r="CC363" s="576"/>
      <c r="CD363" s="576"/>
      <c r="CE363" s="576"/>
      <c r="CF363" s="576"/>
      <c r="CG363" s="576"/>
      <c r="CH363" s="576"/>
      <c r="CI363" s="576"/>
      <c r="CJ363" s="576"/>
      <c r="CK363" s="576"/>
      <c r="CL363" s="576"/>
      <c r="CM363" s="576"/>
      <c r="CN363" s="576"/>
      <c r="CO363" s="576"/>
      <c r="CP363" s="576"/>
      <c r="CQ363" s="576"/>
      <c r="CR363" s="576"/>
      <c r="CS363" s="576"/>
      <c r="CT363" s="576"/>
      <c r="CU363" s="576"/>
      <c r="CV363" s="576"/>
      <c r="CW363" s="576"/>
      <c r="CX363" s="576"/>
      <c r="CY363" s="576"/>
      <c r="CZ363" s="576"/>
      <c r="DA363" s="576"/>
      <c r="DB363" s="576"/>
      <c r="DC363" s="576"/>
      <c r="DD363" s="576"/>
      <c r="DE363" s="576"/>
      <c r="DF363" s="576"/>
      <c r="DG363" s="576"/>
      <c r="DH363" s="116"/>
      <c r="DI363" s="112"/>
      <c r="DJ363">
        <f ca="1">INDIRECT(ADDRESS(ROW()+1,COLUMN(Arbeitszeit!xDay),,,"Arbeitszeit"))</f>
        <v>5</v>
      </c>
    </row>
    <row r="364" spans="1:114">
      <c r="A364" s="462">
        <f>Arbeitszeit!A365</f>
        <v>45193</v>
      </c>
      <c r="B364" s="463">
        <f t="shared" si="21"/>
        <v>45193</v>
      </c>
      <c r="C364" s="146">
        <f t="shared" si="22"/>
        <v>38</v>
      </c>
      <c r="D364" s="145">
        <f t="shared" si="23"/>
        <v>45169</v>
      </c>
      <c r="E364" s="510">
        <f>Arbeitszeit!V365*24</f>
        <v>0</v>
      </c>
      <c r="F364" s="574">
        <f t="shared" si="20"/>
        <v>0</v>
      </c>
      <c r="G364" s="113">
        <f>IF(Arbeitszeit!F365=Urlaub,B_WorkTime*24,)</f>
        <v>0</v>
      </c>
      <c r="H364" s="111"/>
      <c r="I364" s="113">
        <f>IF(Arbeitszeit!F365=Krank,B_WorkTime*24,)</f>
        <v>0</v>
      </c>
      <c r="J364" s="111"/>
      <c r="K364" s="114"/>
      <c r="L364" s="115"/>
      <c r="M364" s="498"/>
      <c r="N364" s="499"/>
      <c r="O364" s="498"/>
      <c r="P364" s="499"/>
      <c r="Q364" s="498"/>
      <c r="R364" s="499"/>
      <c r="S364" s="498"/>
      <c r="T364" s="499"/>
      <c r="U364" s="498"/>
      <c r="V364" s="499"/>
      <c r="W364" s="498"/>
      <c r="X364" s="499"/>
      <c r="Y364" s="498"/>
      <c r="Z364" s="499"/>
      <c r="AA364" s="498"/>
      <c r="AB364" s="499"/>
      <c r="AC364" s="498"/>
      <c r="AD364" s="499"/>
      <c r="AE364" s="498"/>
      <c r="AF364" s="500"/>
      <c r="AG364" s="498"/>
      <c r="AH364" s="500"/>
      <c r="AI364" s="498"/>
      <c r="AJ364" s="500"/>
      <c r="AK364" s="498"/>
      <c r="AL364" s="500"/>
      <c r="AM364" s="501"/>
      <c r="AN364" s="500"/>
      <c r="AO364" s="498"/>
      <c r="AP364" s="500"/>
      <c r="AQ364" s="501"/>
      <c r="AR364" s="500"/>
      <c r="AS364" s="500"/>
      <c r="AT364" s="500"/>
      <c r="AU364" s="501"/>
      <c r="AV364" s="500"/>
      <c r="AW364" s="500"/>
      <c r="AX364" s="500"/>
      <c r="AY364" s="576"/>
      <c r="AZ364" s="576"/>
      <c r="BA364" s="576"/>
      <c r="BB364" s="576"/>
      <c r="BC364" s="576"/>
      <c r="BD364" s="576"/>
      <c r="BE364" s="576"/>
      <c r="BF364" s="576"/>
      <c r="BG364" s="576"/>
      <c r="BH364" s="576"/>
      <c r="BI364" s="576"/>
      <c r="BJ364" s="576"/>
      <c r="BK364" s="576"/>
      <c r="BL364" s="576"/>
      <c r="BM364" s="576"/>
      <c r="BN364" s="576"/>
      <c r="BO364" s="576"/>
      <c r="BP364" s="576"/>
      <c r="BQ364" s="576"/>
      <c r="BR364" s="576"/>
      <c r="BS364" s="576"/>
      <c r="BT364" s="576"/>
      <c r="BU364" s="576"/>
      <c r="BV364" s="576"/>
      <c r="BW364" s="576"/>
      <c r="BX364" s="576"/>
      <c r="BY364" s="576"/>
      <c r="BZ364" s="576"/>
      <c r="CA364" s="576"/>
      <c r="CB364" s="576"/>
      <c r="CC364" s="576"/>
      <c r="CD364" s="576"/>
      <c r="CE364" s="576"/>
      <c r="CF364" s="576"/>
      <c r="CG364" s="576"/>
      <c r="CH364" s="576"/>
      <c r="CI364" s="576"/>
      <c r="CJ364" s="576"/>
      <c r="CK364" s="576"/>
      <c r="CL364" s="576"/>
      <c r="CM364" s="576"/>
      <c r="CN364" s="576"/>
      <c r="CO364" s="576"/>
      <c r="CP364" s="576"/>
      <c r="CQ364" s="576"/>
      <c r="CR364" s="576"/>
      <c r="CS364" s="576"/>
      <c r="CT364" s="576"/>
      <c r="CU364" s="576"/>
      <c r="CV364" s="576"/>
      <c r="CW364" s="576"/>
      <c r="CX364" s="576"/>
      <c r="CY364" s="576"/>
      <c r="CZ364" s="576"/>
      <c r="DA364" s="576"/>
      <c r="DB364" s="576"/>
      <c r="DC364" s="576"/>
      <c r="DD364" s="576"/>
      <c r="DE364" s="576"/>
      <c r="DF364" s="576"/>
      <c r="DG364" s="576"/>
      <c r="DH364" s="116"/>
      <c r="DI364" s="112"/>
      <c r="DJ364">
        <f ca="1">INDIRECT(ADDRESS(ROW()+1,COLUMN(Arbeitszeit!xDay),,,"Arbeitszeit"))</f>
        <v>6</v>
      </c>
    </row>
    <row r="365" spans="1:114">
      <c r="A365" s="462">
        <f>Arbeitszeit!A366</f>
        <v>45194</v>
      </c>
      <c r="B365" s="463">
        <f t="shared" si="21"/>
        <v>45194</v>
      </c>
      <c r="C365" s="146">
        <f t="shared" si="22"/>
        <v>38</v>
      </c>
      <c r="D365" s="145">
        <f t="shared" si="23"/>
        <v>45169</v>
      </c>
      <c r="E365" s="510">
        <f>Arbeitszeit!V366*24</f>
        <v>0</v>
      </c>
      <c r="F365" s="574">
        <f t="shared" si="20"/>
        <v>0</v>
      </c>
      <c r="G365" s="113">
        <f>IF(Arbeitszeit!F366=Urlaub,B_WorkTime*24,)</f>
        <v>0</v>
      </c>
      <c r="H365" s="111"/>
      <c r="I365" s="113">
        <f>IF(Arbeitszeit!F366=Krank,B_WorkTime*24,)</f>
        <v>0</v>
      </c>
      <c r="J365" s="111"/>
      <c r="K365" s="114"/>
      <c r="L365" s="115"/>
      <c r="M365" s="498"/>
      <c r="N365" s="499"/>
      <c r="O365" s="498"/>
      <c r="P365" s="499"/>
      <c r="Q365" s="498"/>
      <c r="R365" s="499"/>
      <c r="S365" s="498"/>
      <c r="T365" s="499"/>
      <c r="U365" s="498"/>
      <c r="V365" s="499"/>
      <c r="W365" s="498"/>
      <c r="X365" s="499"/>
      <c r="Y365" s="498"/>
      <c r="Z365" s="499"/>
      <c r="AA365" s="498"/>
      <c r="AB365" s="499"/>
      <c r="AC365" s="498"/>
      <c r="AD365" s="499"/>
      <c r="AE365" s="498"/>
      <c r="AF365" s="500"/>
      <c r="AG365" s="498"/>
      <c r="AH365" s="500"/>
      <c r="AI365" s="498"/>
      <c r="AJ365" s="500"/>
      <c r="AK365" s="498"/>
      <c r="AL365" s="500"/>
      <c r="AM365" s="501"/>
      <c r="AN365" s="500"/>
      <c r="AO365" s="498"/>
      <c r="AP365" s="500"/>
      <c r="AQ365" s="501"/>
      <c r="AR365" s="500"/>
      <c r="AS365" s="500"/>
      <c r="AT365" s="500"/>
      <c r="AU365" s="501"/>
      <c r="AV365" s="500"/>
      <c r="AW365" s="500"/>
      <c r="AX365" s="500"/>
      <c r="AY365" s="576"/>
      <c r="AZ365" s="576"/>
      <c r="BA365" s="576"/>
      <c r="BB365" s="576"/>
      <c r="BC365" s="576"/>
      <c r="BD365" s="576"/>
      <c r="BE365" s="576"/>
      <c r="BF365" s="576"/>
      <c r="BG365" s="576"/>
      <c r="BH365" s="576"/>
      <c r="BI365" s="576"/>
      <c r="BJ365" s="576"/>
      <c r="BK365" s="576"/>
      <c r="BL365" s="576"/>
      <c r="BM365" s="576"/>
      <c r="BN365" s="576"/>
      <c r="BO365" s="576"/>
      <c r="BP365" s="576"/>
      <c r="BQ365" s="576"/>
      <c r="BR365" s="576"/>
      <c r="BS365" s="576"/>
      <c r="BT365" s="576"/>
      <c r="BU365" s="576"/>
      <c r="BV365" s="576"/>
      <c r="BW365" s="576"/>
      <c r="BX365" s="576"/>
      <c r="BY365" s="576"/>
      <c r="BZ365" s="576"/>
      <c r="CA365" s="576"/>
      <c r="CB365" s="576"/>
      <c r="CC365" s="576"/>
      <c r="CD365" s="576"/>
      <c r="CE365" s="576"/>
      <c r="CF365" s="576"/>
      <c r="CG365" s="576"/>
      <c r="CH365" s="576"/>
      <c r="CI365" s="576"/>
      <c r="CJ365" s="576"/>
      <c r="CK365" s="576"/>
      <c r="CL365" s="576"/>
      <c r="CM365" s="576"/>
      <c r="CN365" s="576"/>
      <c r="CO365" s="576"/>
      <c r="CP365" s="576"/>
      <c r="CQ365" s="576"/>
      <c r="CR365" s="576"/>
      <c r="CS365" s="576"/>
      <c r="CT365" s="576"/>
      <c r="CU365" s="576"/>
      <c r="CV365" s="576"/>
      <c r="CW365" s="576"/>
      <c r="CX365" s="576"/>
      <c r="CY365" s="576"/>
      <c r="CZ365" s="576"/>
      <c r="DA365" s="576"/>
      <c r="DB365" s="576"/>
      <c r="DC365" s="576"/>
      <c r="DD365" s="576"/>
      <c r="DE365" s="576"/>
      <c r="DF365" s="576"/>
      <c r="DG365" s="576"/>
      <c r="DH365" s="116"/>
      <c r="DI365" s="112"/>
      <c r="DJ365">
        <f ca="1">INDIRECT(ADDRESS(ROW()+1,COLUMN(Arbeitszeit!xDay),,,"Arbeitszeit"))</f>
        <v>7</v>
      </c>
    </row>
    <row r="366" spans="1:114">
      <c r="A366" s="462">
        <f>Arbeitszeit!A367</f>
        <v>45195</v>
      </c>
      <c r="B366" s="463">
        <f t="shared" si="21"/>
        <v>45195</v>
      </c>
      <c r="C366" s="146">
        <f t="shared" si="22"/>
        <v>39</v>
      </c>
      <c r="D366" s="145">
        <f t="shared" si="23"/>
        <v>45169</v>
      </c>
      <c r="E366" s="510">
        <f>Arbeitszeit!V367*24</f>
        <v>0</v>
      </c>
      <c r="F366" s="574">
        <f t="shared" si="20"/>
        <v>0</v>
      </c>
      <c r="G366" s="113">
        <f>IF(Arbeitszeit!F367=Urlaub,B_WorkTime*24,)</f>
        <v>0</v>
      </c>
      <c r="H366" s="111"/>
      <c r="I366" s="113">
        <f>IF(Arbeitszeit!F367=Krank,B_WorkTime*24,)</f>
        <v>0</v>
      </c>
      <c r="J366" s="111"/>
      <c r="K366" s="114"/>
      <c r="L366" s="115"/>
      <c r="M366" s="498"/>
      <c r="N366" s="499"/>
      <c r="O366" s="498"/>
      <c r="P366" s="499"/>
      <c r="Q366" s="498"/>
      <c r="R366" s="499"/>
      <c r="S366" s="498"/>
      <c r="T366" s="499"/>
      <c r="U366" s="498"/>
      <c r="V366" s="499"/>
      <c r="W366" s="498"/>
      <c r="X366" s="499"/>
      <c r="Y366" s="498"/>
      <c r="Z366" s="499"/>
      <c r="AA366" s="498"/>
      <c r="AB366" s="499"/>
      <c r="AC366" s="498"/>
      <c r="AD366" s="499"/>
      <c r="AE366" s="498"/>
      <c r="AF366" s="500"/>
      <c r="AG366" s="498"/>
      <c r="AH366" s="500"/>
      <c r="AI366" s="498"/>
      <c r="AJ366" s="500"/>
      <c r="AK366" s="498"/>
      <c r="AL366" s="500"/>
      <c r="AM366" s="501"/>
      <c r="AN366" s="500"/>
      <c r="AO366" s="498"/>
      <c r="AP366" s="500"/>
      <c r="AQ366" s="501"/>
      <c r="AR366" s="500"/>
      <c r="AS366" s="500"/>
      <c r="AT366" s="500"/>
      <c r="AU366" s="501"/>
      <c r="AV366" s="500"/>
      <c r="AW366" s="500"/>
      <c r="AX366" s="500"/>
      <c r="AY366" s="576"/>
      <c r="AZ366" s="576"/>
      <c r="BA366" s="576"/>
      <c r="BB366" s="576"/>
      <c r="BC366" s="576"/>
      <c r="BD366" s="576"/>
      <c r="BE366" s="576"/>
      <c r="BF366" s="576"/>
      <c r="BG366" s="576"/>
      <c r="BH366" s="576"/>
      <c r="BI366" s="576"/>
      <c r="BJ366" s="576"/>
      <c r="BK366" s="576"/>
      <c r="BL366" s="576"/>
      <c r="BM366" s="576"/>
      <c r="BN366" s="576"/>
      <c r="BO366" s="576"/>
      <c r="BP366" s="576"/>
      <c r="BQ366" s="576"/>
      <c r="BR366" s="576"/>
      <c r="BS366" s="576"/>
      <c r="BT366" s="576"/>
      <c r="BU366" s="576"/>
      <c r="BV366" s="576"/>
      <c r="BW366" s="576"/>
      <c r="BX366" s="576"/>
      <c r="BY366" s="576"/>
      <c r="BZ366" s="576"/>
      <c r="CA366" s="576"/>
      <c r="CB366" s="576"/>
      <c r="CC366" s="576"/>
      <c r="CD366" s="576"/>
      <c r="CE366" s="576"/>
      <c r="CF366" s="576"/>
      <c r="CG366" s="576"/>
      <c r="CH366" s="576"/>
      <c r="CI366" s="576"/>
      <c r="CJ366" s="576"/>
      <c r="CK366" s="576"/>
      <c r="CL366" s="576"/>
      <c r="CM366" s="576"/>
      <c r="CN366" s="576"/>
      <c r="CO366" s="576"/>
      <c r="CP366" s="576"/>
      <c r="CQ366" s="576"/>
      <c r="CR366" s="576"/>
      <c r="CS366" s="576"/>
      <c r="CT366" s="576"/>
      <c r="CU366" s="576"/>
      <c r="CV366" s="576"/>
      <c r="CW366" s="576"/>
      <c r="CX366" s="576"/>
      <c r="CY366" s="576"/>
      <c r="CZ366" s="576"/>
      <c r="DA366" s="576"/>
      <c r="DB366" s="576"/>
      <c r="DC366" s="576"/>
      <c r="DD366" s="576"/>
      <c r="DE366" s="576"/>
      <c r="DF366" s="576"/>
      <c r="DG366" s="576"/>
      <c r="DH366" s="116"/>
      <c r="DI366" s="112"/>
      <c r="DJ366">
        <f ca="1">INDIRECT(ADDRESS(ROW()+1,COLUMN(Arbeitszeit!xDay),,,"Arbeitszeit"))</f>
        <v>1</v>
      </c>
    </row>
    <row r="367" spans="1:114">
      <c r="A367" s="462">
        <f>Arbeitszeit!A368</f>
        <v>45196</v>
      </c>
      <c r="B367" s="463">
        <f t="shared" si="21"/>
        <v>45196</v>
      </c>
      <c r="C367" s="146">
        <f t="shared" si="22"/>
        <v>39</v>
      </c>
      <c r="D367" s="145">
        <f t="shared" si="23"/>
        <v>45169</v>
      </c>
      <c r="E367" s="510">
        <f>Arbeitszeit!V368*24</f>
        <v>0</v>
      </c>
      <c r="F367" s="574">
        <f t="shared" si="20"/>
        <v>0</v>
      </c>
      <c r="G367" s="113">
        <f>IF(Arbeitszeit!F368=Urlaub,B_WorkTime*24,)</f>
        <v>0</v>
      </c>
      <c r="H367" s="111"/>
      <c r="I367" s="113">
        <f>IF(Arbeitszeit!F368=Krank,B_WorkTime*24,)</f>
        <v>0</v>
      </c>
      <c r="J367" s="111"/>
      <c r="K367" s="114"/>
      <c r="L367" s="115"/>
      <c r="M367" s="498"/>
      <c r="N367" s="499"/>
      <c r="O367" s="498"/>
      <c r="P367" s="499"/>
      <c r="Q367" s="498"/>
      <c r="R367" s="499"/>
      <c r="S367" s="498"/>
      <c r="T367" s="499"/>
      <c r="U367" s="498"/>
      <c r="V367" s="499"/>
      <c r="W367" s="498"/>
      <c r="X367" s="499"/>
      <c r="Y367" s="498"/>
      <c r="Z367" s="499"/>
      <c r="AA367" s="498"/>
      <c r="AB367" s="499"/>
      <c r="AC367" s="498"/>
      <c r="AD367" s="499"/>
      <c r="AE367" s="498"/>
      <c r="AF367" s="500"/>
      <c r="AG367" s="498"/>
      <c r="AH367" s="500"/>
      <c r="AI367" s="498"/>
      <c r="AJ367" s="500"/>
      <c r="AK367" s="498"/>
      <c r="AL367" s="500"/>
      <c r="AM367" s="501"/>
      <c r="AN367" s="500"/>
      <c r="AO367" s="498"/>
      <c r="AP367" s="500"/>
      <c r="AQ367" s="501"/>
      <c r="AR367" s="500"/>
      <c r="AS367" s="500"/>
      <c r="AT367" s="500"/>
      <c r="AU367" s="501"/>
      <c r="AV367" s="500"/>
      <c r="AW367" s="500"/>
      <c r="AX367" s="500"/>
      <c r="AY367" s="576"/>
      <c r="AZ367" s="576"/>
      <c r="BA367" s="576"/>
      <c r="BB367" s="576"/>
      <c r="BC367" s="576"/>
      <c r="BD367" s="576"/>
      <c r="BE367" s="576"/>
      <c r="BF367" s="576"/>
      <c r="BG367" s="576"/>
      <c r="BH367" s="576"/>
      <c r="BI367" s="576"/>
      <c r="BJ367" s="576"/>
      <c r="BK367" s="576"/>
      <c r="BL367" s="576"/>
      <c r="BM367" s="576"/>
      <c r="BN367" s="576"/>
      <c r="BO367" s="576"/>
      <c r="BP367" s="576"/>
      <c r="BQ367" s="576"/>
      <c r="BR367" s="576"/>
      <c r="BS367" s="576"/>
      <c r="BT367" s="576"/>
      <c r="BU367" s="576"/>
      <c r="BV367" s="576"/>
      <c r="BW367" s="576"/>
      <c r="BX367" s="576"/>
      <c r="BY367" s="576"/>
      <c r="BZ367" s="576"/>
      <c r="CA367" s="576"/>
      <c r="CB367" s="576"/>
      <c r="CC367" s="576"/>
      <c r="CD367" s="576"/>
      <c r="CE367" s="576"/>
      <c r="CF367" s="576"/>
      <c r="CG367" s="576"/>
      <c r="CH367" s="576"/>
      <c r="CI367" s="576"/>
      <c r="CJ367" s="576"/>
      <c r="CK367" s="576"/>
      <c r="CL367" s="576"/>
      <c r="CM367" s="576"/>
      <c r="CN367" s="576"/>
      <c r="CO367" s="576"/>
      <c r="CP367" s="576"/>
      <c r="CQ367" s="576"/>
      <c r="CR367" s="576"/>
      <c r="CS367" s="576"/>
      <c r="CT367" s="576"/>
      <c r="CU367" s="576"/>
      <c r="CV367" s="576"/>
      <c r="CW367" s="576"/>
      <c r="CX367" s="576"/>
      <c r="CY367" s="576"/>
      <c r="CZ367" s="576"/>
      <c r="DA367" s="576"/>
      <c r="DB367" s="576"/>
      <c r="DC367" s="576"/>
      <c r="DD367" s="576"/>
      <c r="DE367" s="576"/>
      <c r="DF367" s="576"/>
      <c r="DG367" s="576"/>
      <c r="DH367" s="116"/>
      <c r="DI367" s="112"/>
      <c r="DJ367">
        <f ca="1">INDIRECT(ADDRESS(ROW()+1,COLUMN(Arbeitszeit!xDay),,,"Arbeitszeit"))</f>
        <v>2</v>
      </c>
    </row>
    <row r="368" spans="1:114">
      <c r="A368" s="462">
        <f>Arbeitszeit!A369</f>
        <v>45197</v>
      </c>
      <c r="B368" s="463">
        <f t="shared" si="21"/>
        <v>45197</v>
      </c>
      <c r="C368" s="146">
        <f t="shared" si="22"/>
        <v>39</v>
      </c>
      <c r="D368" s="145">
        <f t="shared" si="23"/>
        <v>45169</v>
      </c>
      <c r="E368" s="510">
        <f>Arbeitszeit!V369*24</f>
        <v>0</v>
      </c>
      <c r="F368" s="574">
        <f t="shared" si="20"/>
        <v>0</v>
      </c>
      <c r="G368" s="113">
        <f>IF(Arbeitszeit!F369=Urlaub,B_WorkTime*24,)</f>
        <v>0</v>
      </c>
      <c r="H368" s="111"/>
      <c r="I368" s="113">
        <f>IF(Arbeitszeit!F369=Krank,B_WorkTime*24,)</f>
        <v>0</v>
      </c>
      <c r="J368" s="111"/>
      <c r="K368" s="114"/>
      <c r="L368" s="115"/>
      <c r="M368" s="498"/>
      <c r="N368" s="499"/>
      <c r="O368" s="498"/>
      <c r="P368" s="499"/>
      <c r="Q368" s="498"/>
      <c r="R368" s="499"/>
      <c r="S368" s="498"/>
      <c r="T368" s="499"/>
      <c r="U368" s="498"/>
      <c r="V368" s="499"/>
      <c r="W368" s="498"/>
      <c r="X368" s="499"/>
      <c r="Y368" s="498"/>
      <c r="Z368" s="499"/>
      <c r="AA368" s="498"/>
      <c r="AB368" s="499"/>
      <c r="AC368" s="498"/>
      <c r="AD368" s="499"/>
      <c r="AE368" s="498"/>
      <c r="AF368" s="500"/>
      <c r="AG368" s="498"/>
      <c r="AH368" s="500"/>
      <c r="AI368" s="498"/>
      <c r="AJ368" s="500"/>
      <c r="AK368" s="498"/>
      <c r="AL368" s="500"/>
      <c r="AM368" s="501"/>
      <c r="AN368" s="500"/>
      <c r="AO368" s="498"/>
      <c r="AP368" s="500"/>
      <c r="AQ368" s="501"/>
      <c r="AR368" s="500"/>
      <c r="AS368" s="500"/>
      <c r="AT368" s="500"/>
      <c r="AU368" s="501"/>
      <c r="AV368" s="500"/>
      <c r="AW368" s="500"/>
      <c r="AX368" s="500"/>
      <c r="AY368" s="576"/>
      <c r="AZ368" s="576"/>
      <c r="BA368" s="576"/>
      <c r="BB368" s="576"/>
      <c r="BC368" s="576"/>
      <c r="BD368" s="576"/>
      <c r="BE368" s="576"/>
      <c r="BF368" s="576"/>
      <c r="BG368" s="576"/>
      <c r="BH368" s="576"/>
      <c r="BI368" s="576"/>
      <c r="BJ368" s="576"/>
      <c r="BK368" s="576"/>
      <c r="BL368" s="576"/>
      <c r="BM368" s="576"/>
      <c r="BN368" s="576"/>
      <c r="BO368" s="576"/>
      <c r="BP368" s="576"/>
      <c r="BQ368" s="576"/>
      <c r="BR368" s="576"/>
      <c r="BS368" s="576"/>
      <c r="BT368" s="576"/>
      <c r="BU368" s="576"/>
      <c r="BV368" s="576"/>
      <c r="BW368" s="576"/>
      <c r="BX368" s="576"/>
      <c r="BY368" s="576"/>
      <c r="BZ368" s="576"/>
      <c r="CA368" s="576"/>
      <c r="CB368" s="576"/>
      <c r="CC368" s="576"/>
      <c r="CD368" s="576"/>
      <c r="CE368" s="576"/>
      <c r="CF368" s="576"/>
      <c r="CG368" s="576"/>
      <c r="CH368" s="576"/>
      <c r="CI368" s="576"/>
      <c r="CJ368" s="576"/>
      <c r="CK368" s="576"/>
      <c r="CL368" s="576"/>
      <c r="CM368" s="576"/>
      <c r="CN368" s="576"/>
      <c r="CO368" s="576"/>
      <c r="CP368" s="576"/>
      <c r="CQ368" s="576"/>
      <c r="CR368" s="576"/>
      <c r="CS368" s="576"/>
      <c r="CT368" s="576"/>
      <c r="CU368" s="576"/>
      <c r="CV368" s="576"/>
      <c r="CW368" s="576"/>
      <c r="CX368" s="576"/>
      <c r="CY368" s="576"/>
      <c r="CZ368" s="576"/>
      <c r="DA368" s="576"/>
      <c r="DB368" s="576"/>
      <c r="DC368" s="576"/>
      <c r="DD368" s="576"/>
      <c r="DE368" s="576"/>
      <c r="DF368" s="576"/>
      <c r="DG368" s="576"/>
      <c r="DH368" s="116"/>
      <c r="DI368" s="112"/>
      <c r="DJ368">
        <f ca="1">INDIRECT(ADDRESS(ROW()+1,COLUMN(Arbeitszeit!xDay),,,"Arbeitszeit"))</f>
        <v>3</v>
      </c>
    </row>
    <row r="369" spans="1:114">
      <c r="A369" s="462">
        <f>Arbeitszeit!A370</f>
        <v>45198</v>
      </c>
      <c r="B369" s="463">
        <f t="shared" si="21"/>
        <v>45198</v>
      </c>
      <c r="C369" s="146">
        <f t="shared" si="22"/>
        <v>39</v>
      </c>
      <c r="D369" s="145">
        <f t="shared" si="23"/>
        <v>45169</v>
      </c>
      <c r="E369" s="510">
        <f>Arbeitszeit!V370*24</f>
        <v>0</v>
      </c>
      <c r="F369" s="574">
        <f t="shared" si="20"/>
        <v>0</v>
      </c>
      <c r="G369" s="113">
        <f>IF(Arbeitszeit!F370=Urlaub,B_WorkTime*24,)</f>
        <v>0</v>
      </c>
      <c r="H369" s="111"/>
      <c r="I369" s="113">
        <f>IF(Arbeitszeit!F370=Krank,B_WorkTime*24,)</f>
        <v>0</v>
      </c>
      <c r="J369" s="111"/>
      <c r="K369" s="114"/>
      <c r="L369" s="115"/>
      <c r="M369" s="498"/>
      <c r="N369" s="499"/>
      <c r="O369" s="498"/>
      <c r="P369" s="499"/>
      <c r="Q369" s="498"/>
      <c r="R369" s="499"/>
      <c r="S369" s="498"/>
      <c r="T369" s="499"/>
      <c r="U369" s="498"/>
      <c r="V369" s="499"/>
      <c r="W369" s="498"/>
      <c r="X369" s="499"/>
      <c r="Y369" s="498"/>
      <c r="Z369" s="499"/>
      <c r="AA369" s="498"/>
      <c r="AB369" s="499"/>
      <c r="AC369" s="498"/>
      <c r="AD369" s="499"/>
      <c r="AE369" s="498"/>
      <c r="AF369" s="500"/>
      <c r="AG369" s="498"/>
      <c r="AH369" s="500"/>
      <c r="AI369" s="498"/>
      <c r="AJ369" s="500"/>
      <c r="AK369" s="498"/>
      <c r="AL369" s="500"/>
      <c r="AM369" s="501"/>
      <c r="AN369" s="500"/>
      <c r="AO369" s="498"/>
      <c r="AP369" s="500"/>
      <c r="AQ369" s="501"/>
      <c r="AR369" s="500"/>
      <c r="AS369" s="500"/>
      <c r="AT369" s="500"/>
      <c r="AU369" s="501"/>
      <c r="AV369" s="500"/>
      <c r="AW369" s="500"/>
      <c r="AX369" s="500"/>
      <c r="AY369" s="576"/>
      <c r="AZ369" s="576"/>
      <c r="BA369" s="576"/>
      <c r="BB369" s="576"/>
      <c r="BC369" s="576"/>
      <c r="BD369" s="576"/>
      <c r="BE369" s="576"/>
      <c r="BF369" s="576"/>
      <c r="BG369" s="576"/>
      <c r="BH369" s="576"/>
      <c r="BI369" s="576"/>
      <c r="BJ369" s="576"/>
      <c r="BK369" s="576"/>
      <c r="BL369" s="576"/>
      <c r="BM369" s="576"/>
      <c r="BN369" s="576"/>
      <c r="BO369" s="576"/>
      <c r="BP369" s="576"/>
      <c r="BQ369" s="576"/>
      <c r="BR369" s="576"/>
      <c r="BS369" s="576"/>
      <c r="BT369" s="576"/>
      <c r="BU369" s="576"/>
      <c r="BV369" s="576"/>
      <c r="BW369" s="576"/>
      <c r="BX369" s="576"/>
      <c r="BY369" s="576"/>
      <c r="BZ369" s="576"/>
      <c r="CA369" s="576"/>
      <c r="CB369" s="576"/>
      <c r="CC369" s="576"/>
      <c r="CD369" s="576"/>
      <c r="CE369" s="576"/>
      <c r="CF369" s="576"/>
      <c r="CG369" s="576"/>
      <c r="CH369" s="576"/>
      <c r="CI369" s="576"/>
      <c r="CJ369" s="576"/>
      <c r="CK369" s="576"/>
      <c r="CL369" s="576"/>
      <c r="CM369" s="576"/>
      <c r="CN369" s="576"/>
      <c r="CO369" s="576"/>
      <c r="CP369" s="576"/>
      <c r="CQ369" s="576"/>
      <c r="CR369" s="576"/>
      <c r="CS369" s="576"/>
      <c r="CT369" s="576"/>
      <c r="CU369" s="576"/>
      <c r="CV369" s="576"/>
      <c r="CW369" s="576"/>
      <c r="CX369" s="576"/>
      <c r="CY369" s="576"/>
      <c r="CZ369" s="576"/>
      <c r="DA369" s="576"/>
      <c r="DB369" s="576"/>
      <c r="DC369" s="576"/>
      <c r="DD369" s="576"/>
      <c r="DE369" s="576"/>
      <c r="DF369" s="576"/>
      <c r="DG369" s="576"/>
      <c r="DH369" s="116"/>
      <c r="DI369" s="112"/>
      <c r="DJ369">
        <f ca="1">INDIRECT(ADDRESS(ROW()+1,COLUMN(Arbeitszeit!xDay),,,"Arbeitszeit"))</f>
        <v>4</v>
      </c>
    </row>
    <row r="370" spans="1:114" ht="15" customHeight="1">
      <c r="A370" s="462" t="str">
        <f>Arbeitszeit!A371</f>
        <v/>
      </c>
      <c r="B370" s="463" t="str">
        <f t="shared" si="21"/>
        <v/>
      </c>
      <c r="C370" s="146" t="str">
        <f t="shared" si="22"/>
        <v/>
      </c>
      <c r="D370" s="145" t="str">
        <f t="shared" si="23"/>
        <v/>
      </c>
      <c r="E370" s="510">
        <f>Arbeitszeit!V371*24</f>
        <v>0</v>
      </c>
      <c r="F370" s="574">
        <f t="shared" si="20"/>
        <v>0</v>
      </c>
      <c r="G370" s="113">
        <f>IF(Arbeitszeit!F371=Urlaub,B_WorkTime*24,)</f>
        <v>0</v>
      </c>
      <c r="H370" s="111"/>
      <c r="I370" s="113">
        <f>IF(Arbeitszeit!F371=Krank,B_WorkTime*24,)</f>
        <v>0</v>
      </c>
      <c r="J370" s="111"/>
      <c r="K370" s="114"/>
      <c r="L370" s="115"/>
      <c r="M370" s="498"/>
      <c r="N370" s="499"/>
      <c r="O370" s="498"/>
      <c r="P370" s="499"/>
      <c r="Q370" s="498"/>
      <c r="R370" s="499"/>
      <c r="S370" s="498"/>
      <c r="T370" s="499"/>
      <c r="U370" s="498"/>
      <c r="V370" s="499"/>
      <c r="W370" s="498"/>
      <c r="X370" s="499"/>
      <c r="Y370" s="498"/>
      <c r="Z370" s="499"/>
      <c r="AA370" s="498"/>
      <c r="AB370" s="499"/>
      <c r="AC370" s="498"/>
      <c r="AD370" s="499"/>
      <c r="AE370" s="498"/>
      <c r="AF370" s="500"/>
      <c r="AG370" s="498"/>
      <c r="AH370" s="500"/>
      <c r="AI370" s="498"/>
      <c r="AJ370" s="500"/>
      <c r="AK370" s="498"/>
      <c r="AL370" s="500"/>
      <c r="AM370" s="501"/>
      <c r="AN370" s="500"/>
      <c r="AO370" s="498"/>
      <c r="AP370" s="500"/>
      <c r="AQ370" s="501"/>
      <c r="AR370" s="500"/>
      <c r="AS370" s="500"/>
      <c r="AT370" s="500"/>
      <c r="AU370" s="501"/>
      <c r="AV370" s="500"/>
      <c r="AW370" s="500"/>
      <c r="AX370" s="500"/>
      <c r="AY370" s="576"/>
      <c r="AZ370" s="576"/>
      <c r="BA370" s="576"/>
      <c r="BB370" s="576"/>
      <c r="BC370" s="576"/>
      <c r="BD370" s="576"/>
      <c r="BE370" s="576"/>
      <c r="BF370" s="576"/>
      <c r="BG370" s="576"/>
      <c r="BH370" s="576"/>
      <c r="BI370" s="576"/>
      <c r="BJ370" s="576"/>
      <c r="BK370" s="576"/>
      <c r="BL370" s="576"/>
      <c r="BM370" s="576"/>
      <c r="BN370" s="576"/>
      <c r="BO370" s="576"/>
      <c r="BP370" s="576"/>
      <c r="BQ370" s="576"/>
      <c r="BR370" s="576"/>
      <c r="BS370" s="576"/>
      <c r="BT370" s="576"/>
      <c r="BU370" s="576"/>
      <c r="BV370" s="576"/>
      <c r="BW370" s="576"/>
      <c r="BX370" s="576"/>
      <c r="BY370" s="576"/>
      <c r="BZ370" s="576"/>
      <c r="CA370" s="576"/>
      <c r="CB370" s="576"/>
      <c r="CC370" s="576"/>
      <c r="CD370" s="576"/>
      <c r="CE370" s="576"/>
      <c r="CF370" s="576"/>
      <c r="CG370" s="576"/>
      <c r="CH370" s="576"/>
      <c r="CI370" s="576"/>
      <c r="CJ370" s="576"/>
      <c r="CK370" s="576"/>
      <c r="CL370" s="576"/>
      <c r="CM370" s="576"/>
      <c r="CN370" s="576"/>
      <c r="CO370" s="576"/>
      <c r="CP370" s="576"/>
      <c r="CQ370" s="576"/>
      <c r="CR370" s="576"/>
      <c r="CS370" s="576"/>
      <c r="CT370" s="576"/>
      <c r="CU370" s="576"/>
      <c r="CV370" s="576"/>
      <c r="CW370" s="576"/>
      <c r="CX370" s="576"/>
      <c r="CY370" s="576"/>
      <c r="CZ370" s="576"/>
      <c r="DA370" s="576"/>
      <c r="DB370" s="576"/>
      <c r="DC370" s="576"/>
      <c r="DD370" s="576"/>
      <c r="DE370" s="576"/>
      <c r="DF370" s="576"/>
      <c r="DG370" s="576"/>
      <c r="DH370" s="116"/>
      <c r="DI370" s="112"/>
      <c r="DJ370">
        <f ca="1">INDIRECT(ADDRESS(ROW()+1,COLUMN(Arbeitszeit!xDay),,,"Arbeitszeit"))</f>
        <v>0</v>
      </c>
    </row>
    <row r="371" spans="1:114" ht="15" customHeight="1">
      <c r="A371" s="462" t="str">
        <f>Arbeitszeit!A372</f>
        <v/>
      </c>
      <c r="B371" s="463" t="str">
        <f t="shared" si="21"/>
        <v/>
      </c>
      <c r="C371" s="146" t="str">
        <f t="shared" si="22"/>
        <v/>
      </c>
      <c r="D371" s="145" t="str">
        <f t="shared" si="23"/>
        <v/>
      </c>
      <c r="E371" s="510">
        <f>Arbeitszeit!V372*24</f>
        <v>0</v>
      </c>
      <c r="F371" s="574">
        <f t="shared" si="20"/>
        <v>0</v>
      </c>
      <c r="G371" s="113">
        <f>IF(Arbeitszeit!F372=Urlaub,B_WorkTime*24,)</f>
        <v>0</v>
      </c>
      <c r="H371" s="111"/>
      <c r="I371" s="113">
        <f>IF(Arbeitszeit!F372=Krank,B_WorkTime*24,)</f>
        <v>0</v>
      </c>
      <c r="J371" s="111"/>
      <c r="K371" s="114"/>
      <c r="L371" s="115"/>
      <c r="M371" s="498"/>
      <c r="N371" s="499"/>
      <c r="O371" s="498"/>
      <c r="P371" s="499"/>
      <c r="Q371" s="498"/>
      <c r="R371" s="499"/>
      <c r="S371" s="498"/>
      <c r="T371" s="499"/>
      <c r="U371" s="498"/>
      <c r="V371" s="499"/>
      <c r="W371" s="498"/>
      <c r="X371" s="499"/>
      <c r="Y371" s="498"/>
      <c r="Z371" s="499"/>
      <c r="AA371" s="498"/>
      <c r="AB371" s="499"/>
      <c r="AC371" s="498"/>
      <c r="AD371" s="499"/>
      <c r="AE371" s="498"/>
      <c r="AF371" s="500"/>
      <c r="AG371" s="498"/>
      <c r="AH371" s="500"/>
      <c r="AI371" s="498"/>
      <c r="AJ371" s="500"/>
      <c r="AK371" s="498"/>
      <c r="AL371" s="500"/>
      <c r="AM371" s="501"/>
      <c r="AN371" s="500"/>
      <c r="AO371" s="498"/>
      <c r="AP371" s="500"/>
      <c r="AQ371" s="501"/>
      <c r="AR371" s="500"/>
      <c r="AS371" s="500"/>
      <c r="AT371" s="500"/>
      <c r="AU371" s="501"/>
      <c r="AV371" s="500"/>
      <c r="AW371" s="500"/>
      <c r="AX371" s="500"/>
      <c r="AY371" s="576"/>
      <c r="AZ371" s="576"/>
      <c r="BA371" s="576"/>
      <c r="BB371" s="576"/>
      <c r="BC371" s="576"/>
      <c r="BD371" s="576"/>
      <c r="BE371" s="576"/>
      <c r="BF371" s="576"/>
      <c r="BG371" s="576"/>
      <c r="BH371" s="576"/>
      <c r="BI371" s="576"/>
      <c r="BJ371" s="576"/>
      <c r="BK371" s="576"/>
      <c r="BL371" s="576"/>
      <c r="BM371" s="576"/>
      <c r="BN371" s="576"/>
      <c r="BO371" s="576"/>
      <c r="BP371" s="576"/>
      <c r="BQ371" s="576"/>
      <c r="BR371" s="576"/>
      <c r="BS371" s="576"/>
      <c r="BT371" s="576"/>
      <c r="BU371" s="576"/>
      <c r="BV371" s="576"/>
      <c r="BW371" s="576"/>
      <c r="BX371" s="576"/>
      <c r="BY371" s="576"/>
      <c r="BZ371" s="576"/>
      <c r="CA371" s="576"/>
      <c r="CB371" s="576"/>
      <c r="CC371" s="576"/>
      <c r="CD371" s="576"/>
      <c r="CE371" s="576"/>
      <c r="CF371" s="576"/>
      <c r="CG371" s="576"/>
      <c r="CH371" s="576"/>
      <c r="CI371" s="576"/>
      <c r="CJ371" s="576"/>
      <c r="CK371" s="576"/>
      <c r="CL371" s="576"/>
      <c r="CM371" s="576"/>
      <c r="CN371" s="576"/>
      <c r="CO371" s="576"/>
      <c r="CP371" s="576"/>
      <c r="CQ371" s="576"/>
      <c r="CR371" s="576"/>
      <c r="CS371" s="576"/>
      <c r="CT371" s="576"/>
      <c r="CU371" s="576"/>
      <c r="CV371" s="576"/>
      <c r="CW371" s="576"/>
      <c r="CX371" s="576"/>
      <c r="CY371" s="576"/>
      <c r="CZ371" s="576"/>
      <c r="DA371" s="576"/>
      <c r="DB371" s="576"/>
      <c r="DC371" s="576"/>
      <c r="DD371" s="576"/>
      <c r="DE371" s="576"/>
      <c r="DF371" s="576"/>
      <c r="DG371" s="576"/>
      <c r="DH371" s="116"/>
      <c r="DI371" s="112"/>
      <c r="DJ371">
        <f ca="1">INDIRECT(ADDRESS(ROW()+1,COLUMN(Arbeitszeit!xDay),,,"Arbeitszeit"))</f>
        <v>0</v>
      </c>
    </row>
    <row r="372" spans="1:114">
      <c r="A372" s="462" t="str">
        <f>Arbeitszeit!A373</f>
        <v/>
      </c>
      <c r="B372" s="463" t="str">
        <f t="shared" si="21"/>
        <v/>
      </c>
      <c r="C372" s="146" t="str">
        <f t="shared" si="22"/>
        <v/>
      </c>
      <c r="D372" s="145" t="str">
        <f t="shared" si="23"/>
        <v/>
      </c>
      <c r="E372" s="510">
        <f>Arbeitszeit!V373*24</f>
        <v>0</v>
      </c>
      <c r="F372" s="574">
        <f t="shared" si="20"/>
        <v>0</v>
      </c>
      <c r="G372" s="113">
        <f>IF(Arbeitszeit!F373=Urlaub,B_WorkTime*24,)</f>
        <v>0</v>
      </c>
      <c r="H372" s="111"/>
      <c r="I372" s="113">
        <f>IF(Arbeitszeit!F373=Krank,B_WorkTime*24,)</f>
        <v>0</v>
      </c>
      <c r="J372" s="111"/>
      <c r="K372" s="114"/>
      <c r="L372" s="115"/>
      <c r="M372" s="498"/>
      <c r="N372" s="499"/>
      <c r="O372" s="498"/>
      <c r="P372" s="499"/>
      <c r="Q372" s="498"/>
      <c r="R372" s="499"/>
      <c r="S372" s="498"/>
      <c r="T372" s="499"/>
      <c r="U372" s="498"/>
      <c r="V372" s="499"/>
      <c r="W372" s="498"/>
      <c r="X372" s="499"/>
      <c r="Y372" s="498"/>
      <c r="Z372" s="499"/>
      <c r="AA372" s="498"/>
      <c r="AB372" s="499"/>
      <c r="AC372" s="498"/>
      <c r="AD372" s="499"/>
      <c r="AE372" s="498"/>
      <c r="AF372" s="500"/>
      <c r="AG372" s="498"/>
      <c r="AH372" s="500"/>
      <c r="AI372" s="498"/>
      <c r="AJ372" s="500"/>
      <c r="AK372" s="498"/>
      <c r="AL372" s="500"/>
      <c r="AM372" s="501"/>
      <c r="AN372" s="500"/>
      <c r="AO372" s="498"/>
      <c r="AP372" s="500"/>
      <c r="AQ372" s="501"/>
      <c r="AR372" s="500"/>
      <c r="AS372" s="500"/>
      <c r="AT372" s="500"/>
      <c r="AU372" s="501"/>
      <c r="AV372" s="500"/>
      <c r="AW372" s="500"/>
      <c r="AX372" s="500"/>
      <c r="AY372" s="576"/>
      <c r="AZ372" s="576"/>
      <c r="BA372" s="576"/>
      <c r="BB372" s="576"/>
      <c r="BC372" s="576"/>
      <c r="BD372" s="576"/>
      <c r="BE372" s="576"/>
      <c r="BF372" s="576"/>
      <c r="BG372" s="576"/>
      <c r="BH372" s="576"/>
      <c r="BI372" s="576"/>
      <c r="BJ372" s="576"/>
      <c r="BK372" s="576"/>
      <c r="BL372" s="576"/>
      <c r="BM372" s="576"/>
      <c r="BN372" s="576"/>
      <c r="BO372" s="576"/>
      <c r="BP372" s="576"/>
      <c r="BQ372" s="576"/>
      <c r="BR372" s="576"/>
      <c r="BS372" s="576"/>
      <c r="BT372" s="576"/>
      <c r="BU372" s="576"/>
      <c r="BV372" s="576"/>
      <c r="BW372" s="576"/>
      <c r="BX372" s="576"/>
      <c r="BY372" s="576"/>
      <c r="BZ372" s="576"/>
      <c r="CA372" s="576"/>
      <c r="CB372" s="576"/>
      <c r="CC372" s="576"/>
      <c r="CD372" s="576"/>
      <c r="CE372" s="576"/>
      <c r="CF372" s="576"/>
      <c r="CG372" s="576"/>
      <c r="CH372" s="576"/>
      <c r="CI372" s="576"/>
      <c r="CJ372" s="576"/>
      <c r="CK372" s="576"/>
      <c r="CL372" s="576"/>
      <c r="CM372" s="576"/>
      <c r="CN372" s="576"/>
      <c r="CO372" s="576"/>
      <c r="CP372" s="576"/>
      <c r="CQ372" s="576"/>
      <c r="CR372" s="576"/>
      <c r="CS372" s="576"/>
      <c r="CT372" s="576"/>
      <c r="CU372" s="576"/>
      <c r="CV372" s="576"/>
      <c r="CW372" s="576"/>
      <c r="CX372" s="576"/>
      <c r="CY372" s="576"/>
      <c r="CZ372" s="576"/>
      <c r="DA372" s="576"/>
      <c r="DB372" s="576"/>
      <c r="DC372" s="576"/>
      <c r="DD372" s="576"/>
      <c r="DE372" s="576"/>
      <c r="DF372" s="576"/>
      <c r="DG372" s="576"/>
      <c r="DH372" s="116"/>
      <c r="DI372" s="112"/>
      <c r="DJ372">
        <f ca="1">INDIRECT(ADDRESS(ROW()+1,COLUMN(Arbeitszeit!xDay),,,"Arbeitszeit"))</f>
        <v>0</v>
      </c>
    </row>
    <row r="373" spans="1:114" ht="6" customHeight="1">
      <c r="E373" s="511"/>
      <c r="F373" s="507"/>
      <c r="G373" s="117"/>
      <c r="H373" s="117"/>
      <c r="I373" s="117"/>
      <c r="J373" s="117"/>
      <c r="K373" s="118"/>
      <c r="L373" s="309"/>
      <c r="M373" s="504"/>
      <c r="N373" s="505"/>
      <c r="O373" s="505"/>
      <c r="P373" s="505"/>
      <c r="Q373" s="505"/>
      <c r="R373" s="505"/>
      <c r="S373" s="505"/>
      <c r="T373" s="505"/>
      <c r="U373" s="505"/>
      <c r="V373" s="505"/>
      <c r="W373" s="505"/>
      <c r="X373" s="505"/>
      <c r="Y373" s="505"/>
      <c r="Z373" s="505"/>
      <c r="AA373" s="505"/>
      <c r="AB373" s="505"/>
      <c r="AC373" s="504"/>
      <c r="AD373" s="505"/>
      <c r="AE373" s="505"/>
      <c r="AF373" s="506"/>
      <c r="AG373" s="505"/>
      <c r="AH373" s="506"/>
      <c r="AI373" s="505"/>
      <c r="AJ373" s="506"/>
      <c r="AK373" s="505"/>
      <c r="AL373" s="506"/>
      <c r="AM373" s="507"/>
      <c r="AN373" s="506"/>
      <c r="AO373" s="505"/>
      <c r="AP373" s="506"/>
      <c r="AQ373" s="507"/>
      <c r="AR373" s="506"/>
      <c r="AS373" s="506"/>
      <c r="AT373" s="506"/>
      <c r="AU373" s="507"/>
      <c r="AV373" s="506"/>
      <c r="AW373" s="506"/>
      <c r="AX373" s="506"/>
      <c r="AY373" s="577"/>
      <c r="AZ373" s="577"/>
      <c r="BA373" s="577"/>
      <c r="BB373" s="577"/>
      <c r="BC373" s="577"/>
      <c r="BD373" s="577"/>
      <c r="BE373" s="577"/>
      <c r="BF373" s="577"/>
      <c r="BG373" s="577"/>
      <c r="BH373" s="577"/>
      <c r="BI373" s="577"/>
      <c r="BJ373" s="577"/>
      <c r="BK373" s="577"/>
      <c r="BL373" s="577"/>
      <c r="BM373" s="577"/>
      <c r="BN373" s="577"/>
      <c r="BO373" s="577"/>
      <c r="BP373" s="577"/>
      <c r="BQ373" s="577"/>
      <c r="BR373" s="577"/>
      <c r="BS373" s="577"/>
      <c r="BT373" s="577"/>
      <c r="BU373" s="577"/>
      <c r="BV373" s="577"/>
      <c r="BW373" s="577"/>
      <c r="BX373" s="577"/>
      <c r="BY373" s="577"/>
      <c r="BZ373" s="577"/>
      <c r="CA373" s="577"/>
      <c r="CB373" s="577"/>
      <c r="CC373" s="577"/>
      <c r="CD373" s="577"/>
      <c r="CE373" s="577"/>
      <c r="CF373" s="577"/>
      <c r="CG373" s="577"/>
      <c r="CH373" s="577"/>
      <c r="CI373" s="577"/>
      <c r="CJ373" s="577"/>
      <c r="CK373" s="577"/>
      <c r="CL373" s="577"/>
      <c r="CM373" s="577"/>
      <c r="CN373" s="577"/>
      <c r="CO373" s="577"/>
      <c r="CP373" s="577"/>
      <c r="CQ373" s="577"/>
      <c r="CR373" s="577"/>
      <c r="CS373" s="577"/>
      <c r="CT373" s="577"/>
      <c r="CU373" s="577"/>
      <c r="CV373" s="577"/>
      <c r="CW373" s="577"/>
      <c r="CX373" s="577"/>
      <c r="CY373" s="577"/>
      <c r="CZ373" s="577"/>
      <c r="DA373" s="577"/>
      <c r="DB373" s="577"/>
      <c r="DC373" s="577"/>
      <c r="DD373" s="577"/>
      <c r="DE373" s="577"/>
      <c r="DF373" s="577"/>
      <c r="DG373" s="577"/>
      <c r="DH373" s="564"/>
      <c r="DI373" s="119"/>
    </row>
    <row r="374" spans="1:114" s="10" customFormat="1">
      <c r="A374" s="343" t="s">
        <v>44</v>
      </c>
      <c r="B374" s="344"/>
      <c r="C374" s="344"/>
      <c r="D374" s="344"/>
      <c r="E374" s="512">
        <f>SUBTOTAL(9,E4:E373)</f>
        <v>0</v>
      </c>
      <c r="F374" s="508">
        <f>SUBTOTAL(9,F4:F373)</f>
        <v>0</v>
      </c>
      <c r="G374" s="345">
        <f>SUBTOTAL(9,G4:G373)</f>
        <v>0</v>
      </c>
      <c r="H374" s="345"/>
      <c r="I374" s="345">
        <f>SUBTOTAL(9,I4:I373)</f>
        <v>0</v>
      </c>
      <c r="J374" s="345"/>
      <c r="K374" s="345">
        <f>SUBTOTAL(9,K4:K373)</f>
        <v>0</v>
      </c>
      <c r="L374" s="345">
        <f t="shared" ref="L374:BW374" si="24">SUBTOTAL(9,L4:L373)</f>
        <v>0</v>
      </c>
      <c r="M374" s="508">
        <f t="shared" si="24"/>
        <v>0</v>
      </c>
      <c r="N374" s="508"/>
      <c r="O374" s="508">
        <f t="shared" si="24"/>
        <v>0</v>
      </c>
      <c r="P374" s="508"/>
      <c r="Q374" s="508">
        <f t="shared" si="24"/>
        <v>0</v>
      </c>
      <c r="R374" s="508"/>
      <c r="S374" s="508">
        <f t="shared" si="24"/>
        <v>0</v>
      </c>
      <c r="T374" s="508"/>
      <c r="U374" s="508">
        <f t="shared" si="24"/>
        <v>0</v>
      </c>
      <c r="V374" s="508"/>
      <c r="W374" s="508">
        <f t="shared" si="24"/>
        <v>0</v>
      </c>
      <c r="X374" s="508"/>
      <c r="Y374" s="508">
        <f t="shared" si="24"/>
        <v>0</v>
      </c>
      <c r="Z374" s="508"/>
      <c r="AA374" s="508">
        <f t="shared" si="24"/>
        <v>0</v>
      </c>
      <c r="AB374" s="508"/>
      <c r="AC374" s="508">
        <f t="shared" si="24"/>
        <v>0</v>
      </c>
      <c r="AD374" s="508"/>
      <c r="AE374" s="508">
        <f t="shared" si="24"/>
        <v>0</v>
      </c>
      <c r="AF374" s="508"/>
      <c r="AG374" s="508">
        <f t="shared" si="24"/>
        <v>0</v>
      </c>
      <c r="AH374" s="508"/>
      <c r="AI374" s="508">
        <f t="shared" si="24"/>
        <v>0</v>
      </c>
      <c r="AJ374" s="508"/>
      <c r="AK374" s="508">
        <f t="shared" si="24"/>
        <v>0</v>
      </c>
      <c r="AL374" s="508"/>
      <c r="AM374" s="508">
        <f t="shared" si="24"/>
        <v>0</v>
      </c>
      <c r="AN374" s="508"/>
      <c r="AO374" s="508">
        <f t="shared" si="24"/>
        <v>0</v>
      </c>
      <c r="AP374" s="508"/>
      <c r="AQ374" s="508">
        <f t="shared" si="24"/>
        <v>0</v>
      </c>
      <c r="AR374" s="508"/>
      <c r="AS374" s="508">
        <f t="shared" si="24"/>
        <v>0</v>
      </c>
      <c r="AT374" s="508"/>
      <c r="AU374" s="508">
        <f t="shared" si="24"/>
        <v>0</v>
      </c>
      <c r="AV374" s="508"/>
      <c r="AW374" s="508">
        <f t="shared" si="24"/>
        <v>0</v>
      </c>
      <c r="AX374" s="508">
        <f t="shared" si="24"/>
        <v>0</v>
      </c>
      <c r="AY374" s="508">
        <f t="shared" si="24"/>
        <v>0</v>
      </c>
      <c r="AZ374" s="508">
        <f t="shared" si="24"/>
        <v>0</v>
      </c>
      <c r="BA374" s="508">
        <f t="shared" si="24"/>
        <v>0</v>
      </c>
      <c r="BB374" s="508">
        <f t="shared" si="24"/>
        <v>0</v>
      </c>
      <c r="BC374" s="508">
        <f t="shared" si="24"/>
        <v>0</v>
      </c>
      <c r="BD374" s="508">
        <f t="shared" si="24"/>
        <v>0</v>
      </c>
      <c r="BE374" s="508">
        <f t="shared" si="24"/>
        <v>0</v>
      </c>
      <c r="BF374" s="508">
        <f t="shared" si="24"/>
        <v>0</v>
      </c>
      <c r="BG374" s="508">
        <f t="shared" si="24"/>
        <v>0</v>
      </c>
      <c r="BH374" s="508">
        <f t="shared" si="24"/>
        <v>0</v>
      </c>
      <c r="BI374" s="508">
        <f t="shared" si="24"/>
        <v>0</v>
      </c>
      <c r="BJ374" s="508">
        <f t="shared" si="24"/>
        <v>0</v>
      </c>
      <c r="BK374" s="508">
        <f t="shared" si="24"/>
        <v>0</v>
      </c>
      <c r="BL374" s="508">
        <f t="shared" si="24"/>
        <v>0</v>
      </c>
      <c r="BM374" s="508">
        <f t="shared" si="24"/>
        <v>0</v>
      </c>
      <c r="BN374" s="508">
        <f t="shared" si="24"/>
        <v>0</v>
      </c>
      <c r="BO374" s="508">
        <f t="shared" si="24"/>
        <v>0</v>
      </c>
      <c r="BP374" s="508">
        <f t="shared" si="24"/>
        <v>0</v>
      </c>
      <c r="BQ374" s="508">
        <f t="shared" si="24"/>
        <v>0</v>
      </c>
      <c r="BR374" s="508">
        <f t="shared" si="24"/>
        <v>0</v>
      </c>
      <c r="BS374" s="508">
        <f t="shared" si="24"/>
        <v>0</v>
      </c>
      <c r="BT374" s="508">
        <f t="shared" si="24"/>
        <v>0</v>
      </c>
      <c r="BU374" s="508">
        <f t="shared" si="24"/>
        <v>0</v>
      </c>
      <c r="BV374" s="508">
        <f t="shared" si="24"/>
        <v>0</v>
      </c>
      <c r="BW374" s="508">
        <f t="shared" si="24"/>
        <v>0</v>
      </c>
      <c r="BX374" s="508">
        <f t="shared" ref="BX374:DG374" si="25">SUBTOTAL(9,BX4:BX373)</f>
        <v>0</v>
      </c>
      <c r="BY374" s="508">
        <f t="shared" si="25"/>
        <v>0</v>
      </c>
      <c r="BZ374" s="508">
        <f t="shared" si="25"/>
        <v>0</v>
      </c>
      <c r="CA374" s="508">
        <f t="shared" si="25"/>
        <v>0</v>
      </c>
      <c r="CB374" s="508">
        <f t="shared" si="25"/>
        <v>0</v>
      </c>
      <c r="CC374" s="508">
        <f t="shared" si="25"/>
        <v>0</v>
      </c>
      <c r="CD374" s="508">
        <f t="shared" si="25"/>
        <v>0</v>
      </c>
      <c r="CE374" s="508">
        <f t="shared" si="25"/>
        <v>0</v>
      </c>
      <c r="CF374" s="508">
        <f t="shared" si="25"/>
        <v>0</v>
      </c>
      <c r="CG374" s="508">
        <f t="shared" si="25"/>
        <v>0</v>
      </c>
      <c r="CH374" s="508">
        <f t="shared" si="25"/>
        <v>0</v>
      </c>
      <c r="CI374" s="508">
        <f t="shared" si="25"/>
        <v>0</v>
      </c>
      <c r="CJ374" s="508">
        <f t="shared" si="25"/>
        <v>0</v>
      </c>
      <c r="CK374" s="508">
        <f t="shared" si="25"/>
        <v>0</v>
      </c>
      <c r="CL374" s="508">
        <f t="shared" si="25"/>
        <v>0</v>
      </c>
      <c r="CM374" s="508">
        <f t="shared" si="25"/>
        <v>0</v>
      </c>
      <c r="CN374" s="508">
        <f t="shared" si="25"/>
        <v>0</v>
      </c>
      <c r="CO374" s="508">
        <f t="shared" si="25"/>
        <v>0</v>
      </c>
      <c r="CP374" s="508">
        <f t="shared" si="25"/>
        <v>0</v>
      </c>
      <c r="CQ374" s="508">
        <f t="shared" si="25"/>
        <v>0</v>
      </c>
      <c r="CR374" s="508">
        <f t="shared" si="25"/>
        <v>0</v>
      </c>
      <c r="CS374" s="508">
        <f t="shared" si="25"/>
        <v>0</v>
      </c>
      <c r="CT374" s="508">
        <f t="shared" si="25"/>
        <v>0</v>
      </c>
      <c r="CU374" s="508">
        <f t="shared" si="25"/>
        <v>0</v>
      </c>
      <c r="CV374" s="508">
        <f t="shared" si="25"/>
        <v>0</v>
      </c>
      <c r="CW374" s="508">
        <f t="shared" si="25"/>
        <v>0</v>
      </c>
      <c r="CX374" s="508">
        <f t="shared" si="25"/>
        <v>0</v>
      </c>
      <c r="CY374" s="508">
        <f t="shared" si="25"/>
        <v>0</v>
      </c>
      <c r="CZ374" s="508">
        <f t="shared" si="25"/>
        <v>0</v>
      </c>
      <c r="DA374" s="508">
        <f t="shared" si="25"/>
        <v>0</v>
      </c>
      <c r="DB374" s="508">
        <f t="shared" si="25"/>
        <v>0</v>
      </c>
      <c r="DC374" s="508">
        <f t="shared" si="25"/>
        <v>0</v>
      </c>
      <c r="DD374" s="508">
        <f t="shared" si="25"/>
        <v>0</v>
      </c>
      <c r="DE374" s="508">
        <f t="shared" si="25"/>
        <v>0</v>
      </c>
      <c r="DF374" s="508">
        <f t="shared" si="25"/>
        <v>0</v>
      </c>
      <c r="DG374" s="508">
        <f t="shared" si="25"/>
        <v>0</v>
      </c>
      <c r="DH374" s="565"/>
      <c r="DI374" s="346"/>
    </row>
    <row r="375" spans="1:114">
      <c r="A375" s="347" t="s">
        <v>45</v>
      </c>
      <c r="B375" s="348"/>
      <c r="C375" s="348"/>
      <c r="D375" s="348"/>
      <c r="E375" s="513"/>
      <c r="F375" s="575"/>
      <c r="M375" s="578"/>
      <c r="N375" s="49"/>
      <c r="O375" s="49"/>
      <c r="P375" s="49"/>
      <c r="Q375" s="49"/>
      <c r="R375" s="49"/>
      <c r="S375" s="49"/>
      <c r="T375" s="49"/>
      <c r="U375" s="49"/>
      <c r="V375" s="49"/>
      <c r="W375" s="49"/>
      <c r="X375" s="49"/>
      <c r="Y375" s="49"/>
      <c r="Z375" s="49"/>
      <c r="AA375" s="49"/>
      <c r="AB375" s="49"/>
      <c r="AC375" s="578"/>
      <c r="AD375" s="49"/>
      <c r="AE375" s="49"/>
      <c r="AF375" s="513"/>
      <c r="AG375" s="49"/>
      <c r="AH375" s="513"/>
      <c r="AI375" s="49"/>
      <c r="AJ375" s="513"/>
      <c r="AK375" s="49"/>
      <c r="AL375" s="513"/>
      <c r="AM375" s="575"/>
      <c r="AN375" s="513"/>
      <c r="AO375" s="49"/>
      <c r="AP375" s="513"/>
      <c r="AQ375" s="575"/>
      <c r="AR375" s="513"/>
      <c r="AS375" s="513"/>
      <c r="AT375" s="513"/>
      <c r="AU375" s="575"/>
      <c r="AV375" s="513"/>
      <c r="AW375" s="513"/>
      <c r="AX375" s="513"/>
      <c r="AY375" s="513"/>
      <c r="AZ375" s="513"/>
      <c r="BA375" s="513"/>
      <c r="BB375" s="513"/>
      <c r="BC375" s="513"/>
      <c r="BD375" s="513"/>
      <c r="BE375" s="513"/>
      <c r="BF375" s="513"/>
      <c r="BG375" s="513"/>
      <c r="BH375" s="513"/>
      <c r="BI375" s="513"/>
      <c r="BJ375" s="513"/>
      <c r="BK375" s="513"/>
      <c r="BL375" s="513"/>
      <c r="BM375" s="513"/>
      <c r="BN375" s="513"/>
      <c r="BO375" s="513"/>
      <c r="BP375" s="513"/>
      <c r="BQ375" s="513"/>
      <c r="BR375" s="513"/>
      <c r="BS375" s="513"/>
      <c r="BT375" s="513"/>
      <c r="BU375" s="513"/>
      <c r="BV375" s="513"/>
      <c r="BW375" s="513"/>
      <c r="BX375" s="513"/>
      <c r="BY375" s="513"/>
      <c r="BZ375" s="513"/>
      <c r="CA375" s="513"/>
      <c r="CB375" s="513"/>
      <c r="CC375" s="513"/>
      <c r="CD375" s="513"/>
      <c r="CE375" s="513"/>
      <c r="CF375" s="513"/>
      <c r="CG375" s="513"/>
      <c r="CH375" s="513"/>
      <c r="CI375" s="513"/>
      <c r="CJ375" s="513"/>
      <c r="CK375" s="513"/>
      <c r="CL375" s="513"/>
      <c r="CM375" s="513"/>
      <c r="CN375" s="513"/>
      <c r="CO375" s="513"/>
      <c r="CP375" s="513"/>
      <c r="CQ375" s="513"/>
      <c r="CR375" s="513"/>
      <c r="CS375" s="513"/>
      <c r="CT375" s="513"/>
      <c r="CU375" s="513"/>
      <c r="CV375" s="513"/>
      <c r="CW375" s="513"/>
      <c r="CX375" s="513"/>
      <c r="CY375" s="513"/>
      <c r="CZ375" s="513"/>
      <c r="DA375" s="513"/>
      <c r="DB375" s="513"/>
      <c r="DC375" s="513"/>
      <c r="DD375" s="513"/>
      <c r="DE375" s="513"/>
      <c r="DF375" s="513"/>
      <c r="DG375" s="513"/>
    </row>
  </sheetData>
  <autoFilter ref="A3:DI372" xr:uid="{00000000-0009-0000-0000-000003000000}"/>
  <mergeCells count="3">
    <mergeCell ref="D1:E1"/>
    <mergeCell ref="A1:B1"/>
    <mergeCell ref="A2:F2"/>
  </mergeCells>
  <phoneticPr fontId="0" type="noConversion"/>
  <conditionalFormatting sqref="A5:D372 N306:N372 M322:M372 O266:DH372 M266:M320 N266:N304 M5:DH265 DI5:DJ372">
    <cfRule type="expression" dxfId="34" priority="1" stopIfTrue="1">
      <formula>INDIRECT(ADDRESS(ROW(),COLUMN(xArbeitstag)))&gt;5</formula>
    </cfRule>
  </conditionalFormatting>
  <conditionalFormatting sqref="M321 K5:K372">
    <cfRule type="expression" dxfId="33"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BC398"/>
  <sheetViews>
    <sheetView showGridLines="0" tabSelected="1" zoomScaleNormal="100" workbookViewId="0">
      <pane ySplit="4" topLeftCell="A5" activePane="bottomLeft" state="frozenSplit"/>
      <selection pane="bottomLeft" activeCell="H6" sqref="H6"/>
    </sheetView>
  </sheetViews>
  <sheetFormatPr baseColWidth="10" defaultColWidth="11.5703125" defaultRowHeight="12.75" outlineLevelCol="1"/>
  <cols>
    <col min="1" max="1" width="10.5703125" customWidth="1"/>
    <col min="2" max="2" width="6.140625" customWidth="1"/>
    <col min="3" max="3" width="4.85546875" customWidth="1"/>
    <col min="4" max="4" width="9" customWidth="1"/>
    <col min="5" max="5" width="19.5703125" style="269"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2.7109375" customWidth="1" collapsed="1"/>
    <col min="17" max="17" width="5.7109375" hidden="1" customWidth="1"/>
    <col min="18" max="20" width="6" customWidth="1"/>
    <col min="21" max="21" width="6.28515625" customWidth="1"/>
    <col min="22" max="22" width="9" customWidth="1"/>
    <col min="23" max="23" width="2.28515625" customWidth="1"/>
    <col min="24" max="24" width="7.28515625" hidden="1" customWidth="1"/>
    <col min="25" max="25" width="8.28515625" customWidth="1"/>
    <col min="26" max="26" width="7.42578125" hidden="1" customWidth="1"/>
    <col min="27" max="27" width="9" customWidth="1"/>
    <col min="28" max="28" width="2.28515625" customWidth="1"/>
    <col min="29" max="29" width="8.42578125" hidden="1" customWidth="1"/>
    <col min="30" max="30" width="7.5703125" customWidth="1"/>
    <col min="31" max="31" width="7.7109375" customWidth="1"/>
    <col min="32" max="32" width="8" customWidth="1"/>
    <col min="33" max="33" width="2.42578125" bestFit="1" customWidth="1"/>
    <col min="34" max="35" width="8" hidden="1" customWidth="1"/>
    <col min="36" max="36" width="6.28515625" hidden="1" customWidth="1"/>
    <col min="37" max="37" width="6.140625" hidden="1" customWidth="1"/>
    <col min="38" max="38" width="6.7109375" hidden="1" customWidth="1"/>
    <col min="39" max="39" width="4.42578125" hidden="1" customWidth="1"/>
    <col min="40" max="40" width="10.85546875" hidden="1" customWidth="1"/>
    <col min="41" max="41" width="7" hidden="1" customWidth="1"/>
    <col min="42" max="43" width="5.85546875" hidden="1" customWidth="1"/>
    <col min="44" max="44" width="6.140625" hidden="1" customWidth="1"/>
    <col min="45" max="45" width="4.7109375" hidden="1" customWidth="1"/>
    <col min="46" max="46" width="7" hidden="1" customWidth="1"/>
    <col min="47" max="47" width="7.140625" hidden="1" customWidth="1"/>
    <col min="48" max="48" width="8.140625" hidden="1" customWidth="1"/>
    <col min="49" max="50" width="11.42578125" hidden="1" customWidth="1"/>
    <col min="51" max="51" width="11.5703125" hidden="1" customWidth="1"/>
    <col min="52" max="52" width="9.140625" customWidth="1"/>
    <col min="53" max="53" width="28.7109375" customWidth="1"/>
    <col min="54" max="54" width="7.140625" hidden="1" customWidth="1"/>
    <col min="55" max="55" width="30.7109375" customWidth="1"/>
  </cols>
  <sheetData>
    <row r="1" spans="1:55">
      <c r="D1" s="4" t="s">
        <v>81</v>
      </c>
      <c r="E1" s="281" t="str">
        <f>B_PersonName</f>
        <v>Mustermann</v>
      </c>
      <c r="H1" s="4" t="s">
        <v>82</v>
      </c>
      <c r="I1" t="str">
        <f>B_Department</f>
        <v>Siemens</v>
      </c>
      <c r="U1" s="4" t="s">
        <v>176</v>
      </c>
      <c r="V1" s="2" t="str">
        <f>B_Pers</f>
        <v>999999</v>
      </c>
    </row>
    <row r="2" spans="1:55" ht="13.5" thickBot="1">
      <c r="A2" s="264" t="str">
        <f ca="1">CELL("filename",A2)</f>
        <v>https://d.docs.live.net/c89853cd948112b7/Dokumente/Siemens/Glaz ab 2026/[vGlaz2026 - FY27 Aufgaben50.xlsm]Arbeitszeit</v>
      </c>
      <c r="B2" s="104"/>
      <c r="C2" s="83"/>
      <c r="E2" s="282"/>
    </row>
    <row r="3" spans="1:55" ht="14.25" thickTop="1" thickBot="1">
      <c r="A3" s="266">
        <f>DATE(YEAR(B_Year),MONTH(B_Year),1)</f>
        <v>44834</v>
      </c>
      <c r="B3" s="266" t="s">
        <v>127</v>
      </c>
      <c r="C3" s="614">
        <f>MAX(db_jZeit)</f>
        <v>45198</v>
      </c>
      <c r="D3" s="615"/>
      <c r="E3" s="558" t="str">
        <f>"Resturlaub: "&amp;xResturlaub&amp;" Tage"</f>
        <v>Resturlaub: 30 Tage</v>
      </c>
      <c r="F3" s="265" t="s">
        <v>255</v>
      </c>
      <c r="X3" s="181">
        <f>B_Pause1Dauer+B_Pause2Dauer+B_WalkTime</f>
        <v>3.125E-2</v>
      </c>
      <c r="AC3" s="182">
        <f>B_OverTime</f>
        <v>0</v>
      </c>
      <c r="AD3" s="279">
        <f>B_WorkTimeMax</f>
        <v>0.41666666666666669</v>
      </c>
      <c r="AF3" s="87"/>
      <c r="AG3" s="87"/>
      <c r="AH3" s="528" t="s">
        <v>206</v>
      </c>
      <c r="AI3" s="74" t="s">
        <v>205</v>
      </c>
    </row>
    <row r="4" spans="1:55" ht="24.75" customHeight="1" thickBot="1">
      <c r="A4" s="183" t="s">
        <v>151</v>
      </c>
      <c r="B4" s="184" t="s">
        <v>33</v>
      </c>
      <c r="C4" s="184" t="s">
        <v>14</v>
      </c>
      <c r="D4" s="185" t="s">
        <v>155</v>
      </c>
      <c r="E4" s="186" t="s">
        <v>83</v>
      </c>
      <c r="F4" s="187" t="s">
        <v>84</v>
      </c>
      <c r="G4" s="188" t="s">
        <v>152</v>
      </c>
      <c r="H4" s="195" t="s">
        <v>27</v>
      </c>
      <c r="I4" s="195" t="s">
        <v>174</v>
      </c>
      <c r="J4" s="517" t="s">
        <v>189</v>
      </c>
      <c r="K4" s="195" t="s">
        <v>28</v>
      </c>
      <c r="L4" s="195" t="s">
        <v>173</v>
      </c>
      <c r="M4" s="517" t="s">
        <v>190</v>
      </c>
      <c r="N4" s="484" t="s">
        <v>171</v>
      </c>
      <c r="O4" s="484" t="s">
        <v>172</v>
      </c>
      <c r="P4" s="195"/>
      <c r="Q4" s="517" t="s">
        <v>191</v>
      </c>
      <c r="R4" s="429" t="s">
        <v>64</v>
      </c>
      <c r="S4" s="429" t="s">
        <v>198</v>
      </c>
      <c r="T4" s="429" t="s">
        <v>199</v>
      </c>
      <c r="U4" s="430" t="s">
        <v>63</v>
      </c>
      <c r="V4" s="189" t="s">
        <v>87</v>
      </c>
      <c r="W4" s="189" t="s">
        <v>117</v>
      </c>
      <c r="X4" s="190" t="s">
        <v>147</v>
      </c>
      <c r="Y4" s="191" t="s">
        <v>88</v>
      </c>
      <c r="Z4" s="191" t="s">
        <v>160</v>
      </c>
      <c r="AA4" s="192" t="s">
        <v>89</v>
      </c>
      <c r="AB4" s="193" t="s">
        <v>154</v>
      </c>
      <c r="AC4" s="194" t="s">
        <v>153</v>
      </c>
      <c r="AD4" s="191" t="str">
        <f>"&gt; "&amp; HOUR(B_WorkTimeMax) &amp;" Std"</f>
        <v>&gt; 10 Std</v>
      </c>
      <c r="AE4" s="200" t="s">
        <v>110</v>
      </c>
      <c r="AF4" s="620" t="s">
        <v>17</v>
      </c>
      <c r="AG4" s="621"/>
      <c r="AH4" s="517"/>
      <c r="AI4" s="527" t="s">
        <v>170</v>
      </c>
      <c r="AJ4" s="196" t="s">
        <v>90</v>
      </c>
      <c r="AK4" s="197" t="s">
        <v>91</v>
      </c>
      <c r="AL4" s="197" t="s">
        <v>92</v>
      </c>
      <c r="AM4" s="198" t="s">
        <v>16</v>
      </c>
      <c r="AN4" s="199" t="str">
        <f>"sum "&amp;AD4</f>
        <v>sum &gt; 10 Std</v>
      </c>
      <c r="AO4" s="199" t="s">
        <v>158</v>
      </c>
      <c r="AP4" s="199" t="s">
        <v>163</v>
      </c>
      <c r="AQ4" s="199" t="s">
        <v>101</v>
      </c>
      <c r="AR4" s="199" t="s">
        <v>100</v>
      </c>
      <c r="AS4" s="199" t="s">
        <v>157</v>
      </c>
      <c r="AT4" s="199" t="s">
        <v>159</v>
      </c>
      <c r="AU4" s="199" t="s">
        <v>161</v>
      </c>
      <c r="AV4" s="199" t="s">
        <v>162</v>
      </c>
      <c r="AY4" s="520" t="s">
        <v>192</v>
      </c>
      <c r="AZ4" s="429" t="s">
        <v>193</v>
      </c>
      <c r="BA4" s="429" t="s">
        <v>213</v>
      </c>
      <c r="BB4" s="429" t="s">
        <v>217</v>
      </c>
      <c r="BC4" s="429" t="s">
        <v>210</v>
      </c>
    </row>
    <row r="5" spans="1:55" ht="12.75" customHeight="1">
      <c r="A5" s="256">
        <f>A6-1</f>
        <v>44833</v>
      </c>
      <c r="B5" s="257"/>
      <c r="C5" s="258"/>
      <c r="D5" s="259">
        <f>IF(A5="","",IF(YEAR(xJahr)=YEAR(A5),DATE(YEAR(A5),MONTH(A5),1),""))</f>
        <v>44804</v>
      </c>
      <c r="E5" s="368" t="s">
        <v>112</v>
      </c>
      <c r="F5" s="369"/>
      <c r="G5" s="370" t="str">
        <f t="shared" ref="G5:G68" si="0">IF(ISBLANK(F5),IF(ISBLANK(H5),"",0),CODE(UPPER(F5)))</f>
        <v/>
      </c>
      <c r="H5" s="371"/>
      <c r="I5" s="371"/>
      <c r="J5" s="371"/>
      <c r="K5" s="371"/>
      <c r="L5" s="371"/>
      <c r="M5" s="371">
        <f t="shared" ref="M5:M68" si="1">IF(L5&lt;K5,L5+1,L5)</f>
        <v>0</v>
      </c>
      <c r="N5" s="372"/>
      <c r="O5" s="372">
        <f t="shared" ref="O5:O68" si="2">IF(N5&gt;0,N5+IF((J5-H5+M5-K5)&lt;Y5,Y5-(J5-H5+M5-K5),TIME(0,10,0))+IF((K5-J5+N5-M5)&gt;xNoWorkTime,0,xNoWorkTime-(K5-J5+N5-M5)),0)</f>
        <v>0</v>
      </c>
      <c r="P5" s="372"/>
      <c r="Q5" s="371">
        <f t="shared" ref="Q5:Q68" si="3">IF(O5&lt;N5,O5+1,O5)</f>
        <v>0</v>
      </c>
      <c r="R5" s="372"/>
      <c r="S5" s="372"/>
      <c r="T5" s="372"/>
      <c r="U5" s="372"/>
      <c r="V5" s="373">
        <f>IF(AM5&lt;Feiertag,IF(F5="S",Z5,(IF((R5-U5)&gt;XWorkTimeMax,XWorkTimeMax,IF((R5-U5)&gt;0,R5-U5,0)))),0)</f>
        <v>0</v>
      </c>
      <c r="W5" s="374"/>
      <c r="X5" s="375">
        <f t="shared" ref="X5:X68" si="4">xNoWorkTime</f>
        <v>3.125E-2</v>
      </c>
      <c r="Y5" s="376"/>
      <c r="Z5" s="377"/>
      <c r="AA5" s="378"/>
      <c r="AB5" s="379" t="str">
        <f>IF(AM5=Feiertag,"",IF((V5-Y5)&lt;0,"*",""))</f>
        <v/>
      </c>
      <c r="AC5" s="380">
        <f t="shared" ref="AC5:AC68" si="5">xOverTime</f>
        <v>0</v>
      </c>
      <c r="AD5" s="381" t="str">
        <f t="shared" ref="AD5:AD68" si="6">IF((R5-U5)&gt;XWorkTimeMax,(R5-U5-XWorkTimeMax),"")</f>
        <v/>
      </c>
      <c r="AE5" s="180">
        <f>xVorjahrSaldo+SUM(AA5)-AF5</f>
        <v>0</v>
      </c>
      <c r="AF5" s="381"/>
      <c r="AG5" s="381"/>
      <c r="AH5" s="381"/>
      <c r="AI5" s="381"/>
      <c r="AJ5" s="381">
        <f t="shared" ref="AJ5:AJ68" si="7">IF(ISNUMBER(V5 ), IF( V5 &gt;= Y5, Y5, V5 ),"")</f>
        <v>0</v>
      </c>
      <c r="AK5" s="381">
        <f t="shared" ref="AK5:AK68" si="8">IF( ISNUMBER( V5 ), IF( V5 &gt;= Y5, V5 - Y5, "" ), "" )</f>
        <v>0</v>
      </c>
      <c r="AL5" s="381" t="str">
        <f t="shared" ref="AL5:AL68" si="9">IF( AND(ISNUMBER( V5 ),ISNUMBER( Y5 )), IF( V5 &gt;= Y5, "", Y5 - V5 ), "" )</f>
        <v/>
      </c>
      <c r="AM5" s="381">
        <f t="shared" ref="AM5:AM68" si="10">IF(A5="",0,IF(ISERROR(VLOOKUP(A5,db_Feiertag,2,FALSE)),WEEKDAY(A5,2),Feiertag))</f>
        <v>3</v>
      </c>
      <c r="AN5" s="381"/>
      <c r="AO5" s="381">
        <f>xVorjahrSaldo</f>
        <v>0</v>
      </c>
      <c r="AP5" s="381">
        <f>IF(OR(G5=-1,G5=82),-1,IF(OR(G5=0,G5=83),1,0))</f>
        <v>0</v>
      </c>
      <c r="AQ5" s="381"/>
      <c r="AR5" s="381"/>
      <c r="AS5" s="381">
        <f>$A$378</f>
        <v>0</v>
      </c>
      <c r="AT5" s="381">
        <f>$A$378</f>
        <v>0</v>
      </c>
      <c r="AU5" s="381"/>
      <c r="AV5" s="381"/>
      <c r="AW5" s="381"/>
      <c r="AX5" s="381" t="b">
        <f t="shared" ref="AX5:AX68" ca="1" si="11">INDIRECT(ADDRESS(ROW(),COLUMN(xDay)))&gt;5</f>
        <v>0</v>
      </c>
      <c r="AY5" s="381">
        <f>AE5</f>
        <v>0</v>
      </c>
      <c r="AZ5" s="180">
        <f>AE5</f>
        <v>0</v>
      </c>
      <c r="BA5" s="568"/>
      <c r="BB5" s="568">
        <f t="shared" ref="BB5:BB68" si="12">IF(ISNA(MATCH(BA5,B_Arbeitsort,0)),0,MATCH(BA5,B_Arbeitsort,0))</f>
        <v>0</v>
      </c>
      <c r="BC5" s="568"/>
    </row>
    <row r="6" spans="1:55" ht="15.75">
      <c r="A6" s="260">
        <f>xJahr</f>
        <v>44834</v>
      </c>
      <c r="B6" s="261">
        <f t="shared" ref="B6:B69" si="13">IF(A6="","",A6)</f>
        <v>44834</v>
      </c>
      <c r="C6" s="262">
        <f>IF(A6="","",NumberOfWeek(A6))</f>
        <v>40</v>
      </c>
      <c r="D6" s="263">
        <f t="shared" ref="D6:D69" si="14">IF(A6="","",DATE(YEAR(A6),MONTH(A6),1))</f>
        <v>44834</v>
      </c>
      <c r="E6" s="273" t="str">
        <f t="shared" ref="E6:E69" si="15">IF((R6-U6)&gt;XWorkTimeMax,$Z$4,IF(AV6=Feiertag,VLOOKUP(B6,db_Feiertag,2,FALSE),""))</f>
        <v/>
      </c>
      <c r="F6" s="5"/>
      <c r="G6" s="6" t="str">
        <f t="shared" si="0"/>
        <v/>
      </c>
      <c r="H6" s="7"/>
      <c r="I6" s="7">
        <f t="shared" ref="I6:I69" si="16">IF(H6&gt;0,H6+Y6+X6+AC6,0)</f>
        <v>0</v>
      </c>
      <c r="J6" s="76">
        <f t="shared" ref="J6:J69" si="17">IF(K6&gt;I6,IF(I6&lt;H6,I6+1,I6)-B_WalkTime,IF(I6&lt;H6,I6+1,I6))</f>
        <v>0</v>
      </c>
      <c r="K6" s="7"/>
      <c r="L6" s="7">
        <f t="shared" ref="L6:L69" si="18">IF(K6&gt;0,K6+IF((J6-H6)&lt;Y6,Y6-(J6-H6),TIME(0,10,0))+IF((K6-J6)&gt;xNoWorkTime,0,xNoWorkTime-(K6-J6)),0)</f>
        <v>0</v>
      </c>
      <c r="M6" s="76">
        <f t="shared" si="1"/>
        <v>0</v>
      </c>
      <c r="N6" s="76"/>
      <c r="O6" s="76">
        <f t="shared" si="2"/>
        <v>0</v>
      </c>
      <c r="P6" s="76"/>
      <c r="Q6" s="76">
        <f t="shared" si="3"/>
        <v>0</v>
      </c>
      <c r="R6" s="76">
        <f t="shared" ref="R6:R69" si="19">J6-H6+M6-K6+Q6-N6</f>
        <v>0</v>
      </c>
      <c r="S6" s="76">
        <f t="shared" ref="S6:S69" si="20">IF(K6&gt;0,K6-I6,0)+IF(N6&gt;0,N6-L6)</f>
        <v>0</v>
      </c>
      <c r="T6" s="76">
        <f t="shared" ref="T6:T69" si="21">IF(H6&gt;0,(IF(R6&gt;B_Pause1Nach,B_Pause1Dauer+IF(BA6="Büro",B_WalkTime,0),IF(BA6="Büro",B_WalkTime,0))+IF(R6&gt;B_Pause2Nach,B_Pause2Dauer,0)),0)</f>
        <v>0</v>
      </c>
      <c r="U6" s="76">
        <f t="shared" ref="U6:U69" si="22">IF(T6&gt;S6,T6-S6,0)</f>
        <v>0</v>
      </c>
      <c r="V6" s="109">
        <f t="shared" ref="V6:V69" si="23">IF(F6="S",Z6,(IF((R6-U6)&gt;XWorkTimeMax,XWorkTimeMax,IF((R6-U6)&gt;0,R6-U6,0))))</f>
        <v>0</v>
      </c>
      <c r="W6" s="62"/>
      <c r="X6" s="78">
        <f t="shared" si="4"/>
        <v>3.125E-2</v>
      </c>
      <c r="Y6" s="73">
        <f t="shared" ref="Y6:Y69" si="24">IF(AND((AM6&lt;Feiertag),(G6&lt;&gt;85)),IF(OR(F6="B",F6="G",F6="S",H6&gt;0),H6-H6+Z6,0),0)</f>
        <v>0</v>
      </c>
      <c r="Z6" s="74">
        <f t="shared" ref="Z6:Z69" si="25">IF(AND(AM6&gt;0,AM6&lt;Feiertag),INDEX(Arbeitszeit,AM6),"")</f>
        <v>0.29166666666666669</v>
      </c>
      <c r="AA6" s="75">
        <f t="shared" ref="AA6:AA69" si="26">V6-Y6</f>
        <v>0</v>
      </c>
      <c r="AB6" s="63" t="str">
        <f t="shared" ref="AB6:AB69" si="27">IF((V6-Y6)&lt;0,"*","")</f>
        <v/>
      </c>
      <c r="AC6" s="148">
        <f t="shared" si="5"/>
        <v>0</v>
      </c>
      <c r="AD6" s="107" t="str">
        <f t="shared" si="6"/>
        <v/>
      </c>
      <c r="AE6" s="180">
        <f t="shared" ref="AE6:AE69" si="28">IF(AW6,(AE5+SUM(AA6)+(IF(AG6="+",AF6,-AF6))),)</f>
        <v>0</v>
      </c>
      <c r="AF6" s="73"/>
      <c r="AG6" s="525"/>
      <c r="AH6" s="73"/>
      <c r="AI6" s="73" t="str">
        <f t="shared" ref="AI6:AI12" si="29">IF(AND(AF6&lt;&gt;"",AF6&lt;=V6),V6-AF6,"")</f>
        <v/>
      </c>
      <c r="AJ6" s="64">
        <f t="shared" si="7"/>
        <v>0</v>
      </c>
      <c r="AK6" s="64">
        <f t="shared" si="8"/>
        <v>0</v>
      </c>
      <c r="AL6" s="64" t="str">
        <f t="shared" si="9"/>
        <v/>
      </c>
      <c r="AM6">
        <f t="shared" si="10"/>
        <v>4</v>
      </c>
      <c r="AN6" s="85">
        <f>SUM($AD$5:AD7)</f>
        <v>0</v>
      </c>
      <c r="AO6" s="85">
        <f t="shared" ref="AO6:AO69" ca="1" si="30">IF(D6=D5,AO5,OFFSET(AO6,-1,COLUMN(db_jSaldoGes)-COLUMN()))</f>
        <v>0</v>
      </c>
      <c r="AP6" s="89">
        <f t="shared" ref="AP6:AP69" si="31">IF(OR($G6=-1,$G6=82),-1,IF(OR($G6=0,$G6=83),1,0))</f>
        <v>0</v>
      </c>
      <c r="AQ6" s="89">
        <f t="shared" ref="AQ6:AQ69" si="32">IF($F6=Krank,1,IF($F6="J",-1,0))</f>
        <v>0</v>
      </c>
      <c r="AR6" s="89">
        <f t="shared" ref="AR6:AR69" si="33">IF($F6=Urlaub,1,IF($F6="T",-1,0))</f>
        <v>0</v>
      </c>
      <c r="AS6" s="88">
        <f t="shared" ref="AS6:AS69" si="34">IF(A6="","",AS5-IF(F6=Urlaub,1,0)+IF(AND(MONTH(A6)=1,DAY(A6)=1),B_UrlaubNeu,0))</f>
        <v>0</v>
      </c>
      <c r="AT6" s="88">
        <f t="shared" ref="AT6:AT69" ca="1" si="35">IF(A6="","",IF(D6=D5,AT5,OFFSET(AT6,-1,COLUMN(db_jUrlRest)-COLUMN()))+IF(AND(MONTH(A6)=1,DAY(A6)=1),B_UrlaubNeu,0))</f>
        <v>0</v>
      </c>
      <c r="AU6" s="98">
        <f t="shared" ref="AU6:AU69" si="36">(IF(ISNUMBER(V6),V6,0)+IF(ISNUMBER(AD6),AD6,0))*24</f>
        <v>0</v>
      </c>
      <c r="AV6" s="88">
        <f t="shared" ref="AV6:AV69" si="37">IF(ISNUMBER(AD6),K_ArbeitOverMax,IF(AND(ISNUMBER(AA6),AA6&gt;0),K_ArbeitOverTime,IF(AND(ISNUMBER(V6),V6&gt;0),K_ArbeitNormal,IF(F6=Krank,K_Krank,IF(F6=Urlaub,K_Urlaub,IF(AM6=Feiertag,K_Feiertag,IF(OR(AM6=6,AM6=7),K_Wochenende,0)))))))+IF(F6=Gleittag,K_Gleittag,0)</f>
        <v>0</v>
      </c>
      <c r="AW6" t="b">
        <f>OR((F6&gt;0),(NOT(ISBLANK(H6))),SUM(H6:H$373),SUM(G6:G$373))</f>
        <v>0</v>
      </c>
      <c r="AX6" t="b">
        <f t="shared" ca="1" si="11"/>
        <v>0</v>
      </c>
      <c r="AY6" s="519">
        <f t="shared" ref="AY6:AY69" si="38">IF(OR(R6&lt;&gt;0,F6&lt;&gt;0),AA6,IF(Z6="",0,-Z6))+(IF(AG6="+",AF6,-AF6))</f>
        <v>-0.29166666666666669</v>
      </c>
      <c r="AZ6" s="180">
        <f>SUM(AY$5:AY6)</f>
        <v>-0.29166666666666669</v>
      </c>
      <c r="BA6" s="567"/>
      <c r="BB6" s="567">
        <f t="shared" si="12"/>
        <v>0</v>
      </c>
      <c r="BC6" s="567"/>
    </row>
    <row r="7" spans="1:55" ht="15.75">
      <c r="A7" s="260">
        <f t="shared" ref="A7:A70" si="39">IF(A6="","",IF((A6+1)&gt;=DATE(YEAR(xJahr)+1,MONTH(xJahr),DAY(xJahr)),"",A6+1))</f>
        <v>44835</v>
      </c>
      <c r="B7" s="261">
        <f t="shared" si="13"/>
        <v>44835</v>
      </c>
      <c r="C7" s="262">
        <f>IF(A7="","",NumberOfWeek(A7))</f>
        <v>40</v>
      </c>
      <c r="D7" s="263">
        <f t="shared" si="14"/>
        <v>44834</v>
      </c>
      <c r="E7" s="273" t="str">
        <f t="shared" si="15"/>
        <v/>
      </c>
      <c r="F7" s="5"/>
      <c r="G7" s="6" t="str">
        <f t="shared" si="0"/>
        <v/>
      </c>
      <c r="H7" s="7"/>
      <c r="I7" s="7">
        <f t="shared" si="16"/>
        <v>0</v>
      </c>
      <c r="J7" s="76">
        <f t="shared" si="17"/>
        <v>0</v>
      </c>
      <c r="K7" s="7"/>
      <c r="L7" s="7">
        <f t="shared" si="18"/>
        <v>0</v>
      </c>
      <c r="M7" s="76">
        <f t="shared" si="1"/>
        <v>0</v>
      </c>
      <c r="N7" s="76"/>
      <c r="O7" s="76">
        <f t="shared" si="2"/>
        <v>0</v>
      </c>
      <c r="P7" s="76"/>
      <c r="Q7" s="76">
        <f t="shared" si="3"/>
        <v>0</v>
      </c>
      <c r="R7" s="76">
        <f t="shared" si="19"/>
        <v>0</v>
      </c>
      <c r="S7" s="76">
        <f t="shared" si="20"/>
        <v>0</v>
      </c>
      <c r="T7" s="76">
        <f t="shared" si="21"/>
        <v>0</v>
      </c>
      <c r="U7" s="76">
        <f t="shared" si="22"/>
        <v>0</v>
      </c>
      <c r="V7" s="109">
        <f t="shared" si="23"/>
        <v>0</v>
      </c>
      <c r="W7" s="62"/>
      <c r="X7" s="78">
        <f t="shared" si="4"/>
        <v>3.125E-2</v>
      </c>
      <c r="Y7" s="73">
        <f t="shared" si="24"/>
        <v>0</v>
      </c>
      <c r="Z7" s="74">
        <f t="shared" si="25"/>
        <v>0.29166666666666669</v>
      </c>
      <c r="AA7" s="75">
        <f t="shared" si="26"/>
        <v>0</v>
      </c>
      <c r="AB7" s="63" t="str">
        <f t="shared" si="27"/>
        <v/>
      </c>
      <c r="AC7" s="148">
        <f t="shared" si="5"/>
        <v>0</v>
      </c>
      <c r="AD7" s="107" t="str">
        <f t="shared" si="6"/>
        <v/>
      </c>
      <c r="AE7" s="180">
        <f t="shared" si="28"/>
        <v>0</v>
      </c>
      <c r="AF7" s="73"/>
      <c r="AG7" s="525"/>
      <c r="AH7" s="73"/>
      <c r="AI7" s="73" t="str">
        <f t="shared" si="29"/>
        <v/>
      </c>
      <c r="AJ7" s="64">
        <f t="shared" si="7"/>
        <v>0</v>
      </c>
      <c r="AK7" s="64">
        <f t="shared" si="8"/>
        <v>0</v>
      </c>
      <c r="AL7" s="64" t="str">
        <f t="shared" si="9"/>
        <v/>
      </c>
      <c r="AM7">
        <f t="shared" si="10"/>
        <v>5</v>
      </c>
      <c r="AN7" s="85">
        <f>SUM($AD$6:AD7)</f>
        <v>0</v>
      </c>
      <c r="AO7" s="85">
        <f t="shared" ca="1" si="30"/>
        <v>0</v>
      </c>
      <c r="AP7" s="89">
        <f t="shared" si="31"/>
        <v>0</v>
      </c>
      <c r="AQ7" s="89">
        <f t="shared" si="32"/>
        <v>0</v>
      </c>
      <c r="AR7" s="89">
        <f t="shared" si="33"/>
        <v>0</v>
      </c>
      <c r="AS7" s="88">
        <f t="shared" si="34"/>
        <v>0</v>
      </c>
      <c r="AT7" s="88">
        <f t="shared" ca="1" si="35"/>
        <v>0</v>
      </c>
      <c r="AU7" s="98">
        <f t="shared" si="36"/>
        <v>0</v>
      </c>
      <c r="AV7" s="88">
        <f t="shared" si="37"/>
        <v>0</v>
      </c>
      <c r="AW7" t="b">
        <f>OR((F7&gt;0),(NOT(ISBLANK(H7))),SUM(H7:H$373),SUM(G7:G$373))</f>
        <v>0</v>
      </c>
      <c r="AX7" t="b">
        <f t="shared" ca="1" si="11"/>
        <v>0</v>
      </c>
      <c r="AY7" s="519">
        <f t="shared" si="38"/>
        <v>-0.29166666666666669</v>
      </c>
      <c r="AZ7" s="180">
        <f>SUM(AY$5:AY7)</f>
        <v>-0.58333333333333337</v>
      </c>
      <c r="BA7" s="567"/>
      <c r="BB7" s="567">
        <f t="shared" si="12"/>
        <v>0</v>
      </c>
      <c r="BC7" s="567"/>
    </row>
    <row r="8" spans="1:55" ht="15.75">
      <c r="A8" s="260">
        <f t="shared" si="39"/>
        <v>44836</v>
      </c>
      <c r="B8" s="261">
        <f t="shared" si="13"/>
        <v>44836</v>
      </c>
      <c r="C8" s="262">
        <f>IF(A8="","",NumberOfWeek(A8))</f>
        <v>40</v>
      </c>
      <c r="D8" s="263">
        <f t="shared" si="14"/>
        <v>44834</v>
      </c>
      <c r="E8" s="273" t="str">
        <f t="shared" si="15"/>
        <v>Tag der Deutschen Einheit</v>
      </c>
      <c r="F8" s="5"/>
      <c r="G8" s="6" t="str">
        <f t="shared" si="0"/>
        <v/>
      </c>
      <c r="H8" s="7"/>
      <c r="I8" s="7">
        <f t="shared" si="16"/>
        <v>0</v>
      </c>
      <c r="J8" s="76">
        <f t="shared" si="17"/>
        <v>0</v>
      </c>
      <c r="K8" s="7"/>
      <c r="L8" s="7">
        <f t="shared" si="18"/>
        <v>0</v>
      </c>
      <c r="M8" s="76">
        <f t="shared" si="1"/>
        <v>0</v>
      </c>
      <c r="N8" s="76"/>
      <c r="O8" s="76">
        <f t="shared" si="2"/>
        <v>0</v>
      </c>
      <c r="P8" s="76"/>
      <c r="Q8" s="76">
        <f t="shared" si="3"/>
        <v>0</v>
      </c>
      <c r="R8" s="76">
        <f t="shared" si="19"/>
        <v>0</v>
      </c>
      <c r="S8" s="76">
        <f t="shared" si="20"/>
        <v>0</v>
      </c>
      <c r="T8" s="76">
        <f t="shared" si="21"/>
        <v>0</v>
      </c>
      <c r="U8" s="76">
        <f t="shared" si="22"/>
        <v>0</v>
      </c>
      <c r="V8" s="109">
        <f t="shared" si="23"/>
        <v>0</v>
      </c>
      <c r="W8" s="62"/>
      <c r="X8" s="78">
        <f t="shared" si="4"/>
        <v>3.125E-2</v>
      </c>
      <c r="Y8" s="73">
        <f t="shared" si="24"/>
        <v>0</v>
      </c>
      <c r="Z8" s="74" t="str">
        <f t="shared" si="25"/>
        <v/>
      </c>
      <c r="AA8" s="75">
        <f t="shared" si="26"/>
        <v>0</v>
      </c>
      <c r="AB8" s="63" t="str">
        <f t="shared" si="27"/>
        <v/>
      </c>
      <c r="AC8" s="148">
        <f t="shared" si="5"/>
        <v>0</v>
      </c>
      <c r="AD8" s="107" t="str">
        <f t="shared" si="6"/>
        <v/>
      </c>
      <c r="AE8" s="180">
        <f t="shared" si="28"/>
        <v>0</v>
      </c>
      <c r="AF8" s="73"/>
      <c r="AG8" s="525"/>
      <c r="AH8" s="73"/>
      <c r="AI8" s="73" t="str">
        <f t="shared" si="29"/>
        <v/>
      </c>
      <c r="AJ8" s="64">
        <f t="shared" si="7"/>
        <v>0</v>
      </c>
      <c r="AK8" s="64">
        <f t="shared" si="8"/>
        <v>0</v>
      </c>
      <c r="AL8" s="64" t="str">
        <f t="shared" si="9"/>
        <v/>
      </c>
      <c r="AM8">
        <f t="shared" si="10"/>
        <v>8</v>
      </c>
      <c r="AN8" s="85">
        <f>SUM($AD$6:AD8)</f>
        <v>0</v>
      </c>
      <c r="AO8" s="85">
        <f t="shared" ca="1" si="30"/>
        <v>0</v>
      </c>
      <c r="AP8" s="89">
        <f t="shared" si="31"/>
        <v>0</v>
      </c>
      <c r="AQ8" s="89">
        <f t="shared" si="32"/>
        <v>0</v>
      </c>
      <c r="AR8" s="89">
        <f t="shared" si="33"/>
        <v>0</v>
      </c>
      <c r="AS8" s="88">
        <f t="shared" si="34"/>
        <v>0</v>
      </c>
      <c r="AT8" s="88">
        <f t="shared" ca="1" si="35"/>
        <v>0</v>
      </c>
      <c r="AU8" s="98">
        <f t="shared" si="36"/>
        <v>0</v>
      </c>
      <c r="AV8" s="88">
        <f t="shared" si="37"/>
        <v>8</v>
      </c>
      <c r="AW8" t="b">
        <f>OR((F8&gt;0),(NOT(ISBLANK(H8))),SUM(H8:H$373),SUM(G8:G$373))</f>
        <v>0</v>
      </c>
      <c r="AX8" t="b">
        <f t="shared" ca="1" si="11"/>
        <v>1</v>
      </c>
      <c r="AY8" s="519">
        <f t="shared" si="38"/>
        <v>0</v>
      </c>
      <c r="AZ8" s="180">
        <f>SUM(AY$5:AY8)</f>
        <v>-0.58333333333333337</v>
      </c>
      <c r="BA8" s="567"/>
      <c r="BB8" s="567">
        <f t="shared" si="12"/>
        <v>0</v>
      </c>
      <c r="BC8" s="567"/>
    </row>
    <row r="9" spans="1:55" ht="15.75">
      <c r="A9" s="260">
        <f t="shared" si="39"/>
        <v>44837</v>
      </c>
      <c r="B9" s="261">
        <f t="shared" si="13"/>
        <v>44837</v>
      </c>
      <c r="C9" s="262">
        <f>IF(A9="","",NumberOfWeek(A9))</f>
        <v>40</v>
      </c>
      <c r="D9" s="263">
        <f t="shared" si="14"/>
        <v>44834</v>
      </c>
      <c r="E9" s="273" t="str">
        <f t="shared" si="15"/>
        <v/>
      </c>
      <c r="F9" s="5"/>
      <c r="G9" s="6" t="str">
        <f t="shared" si="0"/>
        <v/>
      </c>
      <c r="H9" s="7"/>
      <c r="I9" s="7">
        <f t="shared" si="16"/>
        <v>0</v>
      </c>
      <c r="J9" s="76">
        <f t="shared" si="17"/>
        <v>0</v>
      </c>
      <c r="K9" s="7"/>
      <c r="L9" s="7">
        <f t="shared" si="18"/>
        <v>0</v>
      </c>
      <c r="M9" s="76">
        <f t="shared" si="1"/>
        <v>0</v>
      </c>
      <c r="N9" s="76"/>
      <c r="O9" s="76">
        <f t="shared" si="2"/>
        <v>0</v>
      </c>
      <c r="P9" s="76"/>
      <c r="Q9" s="76">
        <f t="shared" si="3"/>
        <v>0</v>
      </c>
      <c r="R9" s="76">
        <f t="shared" si="19"/>
        <v>0</v>
      </c>
      <c r="S9" s="76">
        <f t="shared" si="20"/>
        <v>0</v>
      </c>
      <c r="T9" s="76">
        <f t="shared" si="21"/>
        <v>0</v>
      </c>
      <c r="U9" s="76">
        <f t="shared" si="22"/>
        <v>0</v>
      </c>
      <c r="V9" s="109">
        <f t="shared" si="23"/>
        <v>0</v>
      </c>
      <c r="W9" s="62"/>
      <c r="X9" s="78">
        <f t="shared" si="4"/>
        <v>3.125E-2</v>
      </c>
      <c r="Y9" s="73">
        <f t="shared" si="24"/>
        <v>0</v>
      </c>
      <c r="Z9" s="74">
        <f t="shared" si="25"/>
        <v>0</v>
      </c>
      <c r="AA9" s="75">
        <f t="shared" si="26"/>
        <v>0</v>
      </c>
      <c r="AB9" s="63" t="str">
        <f t="shared" si="27"/>
        <v/>
      </c>
      <c r="AC9" s="148">
        <f t="shared" si="5"/>
        <v>0</v>
      </c>
      <c r="AD9" s="107" t="str">
        <f t="shared" si="6"/>
        <v/>
      </c>
      <c r="AE9" s="180">
        <f t="shared" si="28"/>
        <v>0</v>
      </c>
      <c r="AF9" s="73"/>
      <c r="AG9" s="525"/>
      <c r="AH9" s="73"/>
      <c r="AI9" s="73" t="str">
        <f t="shared" si="29"/>
        <v/>
      </c>
      <c r="AJ9" s="64">
        <f t="shared" si="7"/>
        <v>0</v>
      </c>
      <c r="AK9" s="64">
        <f t="shared" si="8"/>
        <v>0</v>
      </c>
      <c r="AL9" s="64" t="str">
        <f t="shared" si="9"/>
        <v/>
      </c>
      <c r="AM9">
        <f t="shared" si="10"/>
        <v>7</v>
      </c>
      <c r="AN9" s="85">
        <f>SUM($AD$6:AD9)</f>
        <v>0</v>
      </c>
      <c r="AO9" s="85">
        <f t="shared" ca="1" si="30"/>
        <v>0</v>
      </c>
      <c r="AP9" s="89">
        <f t="shared" si="31"/>
        <v>0</v>
      </c>
      <c r="AQ9" s="89">
        <f t="shared" si="32"/>
        <v>0</v>
      </c>
      <c r="AR9" s="89">
        <f t="shared" si="33"/>
        <v>0</v>
      </c>
      <c r="AS9" s="88">
        <f t="shared" si="34"/>
        <v>0</v>
      </c>
      <c r="AT9" s="88">
        <f t="shared" ca="1" si="35"/>
        <v>0</v>
      </c>
      <c r="AU9" s="98">
        <f t="shared" si="36"/>
        <v>0</v>
      </c>
      <c r="AV9" s="88">
        <f t="shared" si="37"/>
        <v>7</v>
      </c>
      <c r="AW9" t="b">
        <f>OR((F9&gt;0),(NOT(ISBLANK(H9))),SUM(H9:H$373),SUM(G9:G$373))</f>
        <v>0</v>
      </c>
      <c r="AX9" t="b">
        <f t="shared" ca="1" si="11"/>
        <v>1</v>
      </c>
      <c r="AY9" s="519">
        <f t="shared" si="38"/>
        <v>0</v>
      </c>
      <c r="AZ9" s="180">
        <f>SUM(AY$5:AY9)</f>
        <v>-0.58333333333333337</v>
      </c>
      <c r="BA9" s="567"/>
      <c r="BB9" s="567">
        <f t="shared" si="12"/>
        <v>0</v>
      </c>
      <c r="BC9" s="567"/>
    </row>
    <row r="10" spans="1:55" ht="15.75">
      <c r="A10" s="260">
        <f t="shared" si="39"/>
        <v>44838</v>
      </c>
      <c r="B10" s="261">
        <f t="shared" si="13"/>
        <v>44838</v>
      </c>
      <c r="C10" s="262">
        <f>IF(A10="","",NumberOfWeek(A10))</f>
        <v>41</v>
      </c>
      <c r="D10" s="263">
        <f t="shared" si="14"/>
        <v>44834</v>
      </c>
      <c r="E10" s="273" t="str">
        <f t="shared" si="15"/>
        <v/>
      </c>
      <c r="F10" s="5"/>
      <c r="G10" s="6" t="str">
        <f t="shared" si="0"/>
        <v/>
      </c>
      <c r="H10" s="7"/>
      <c r="I10" s="7">
        <f t="shared" si="16"/>
        <v>0</v>
      </c>
      <c r="J10" s="76">
        <f t="shared" si="17"/>
        <v>0</v>
      </c>
      <c r="K10" s="7"/>
      <c r="L10" s="7">
        <f t="shared" si="18"/>
        <v>0</v>
      </c>
      <c r="M10" s="76">
        <f t="shared" si="1"/>
        <v>0</v>
      </c>
      <c r="N10" s="76"/>
      <c r="O10" s="76">
        <f t="shared" si="2"/>
        <v>0</v>
      </c>
      <c r="P10" s="76"/>
      <c r="Q10" s="76">
        <f t="shared" si="3"/>
        <v>0</v>
      </c>
      <c r="R10" s="76">
        <f t="shared" si="19"/>
        <v>0</v>
      </c>
      <c r="S10" s="76">
        <f t="shared" si="20"/>
        <v>0</v>
      </c>
      <c r="T10" s="76">
        <f t="shared" si="21"/>
        <v>0</v>
      </c>
      <c r="U10" s="76">
        <f t="shared" si="22"/>
        <v>0</v>
      </c>
      <c r="V10" s="109">
        <f t="shared" si="23"/>
        <v>0</v>
      </c>
      <c r="W10" s="62"/>
      <c r="X10" s="78">
        <f t="shared" si="4"/>
        <v>3.125E-2</v>
      </c>
      <c r="Y10" s="73">
        <f t="shared" si="24"/>
        <v>0</v>
      </c>
      <c r="Z10" s="74">
        <f t="shared" si="25"/>
        <v>0.29166666666666669</v>
      </c>
      <c r="AA10" s="75">
        <f t="shared" si="26"/>
        <v>0</v>
      </c>
      <c r="AB10" s="63" t="str">
        <f t="shared" si="27"/>
        <v/>
      </c>
      <c r="AC10" s="148">
        <f t="shared" si="5"/>
        <v>0</v>
      </c>
      <c r="AD10" s="107" t="str">
        <f t="shared" si="6"/>
        <v/>
      </c>
      <c r="AE10" s="180">
        <f t="shared" si="28"/>
        <v>0</v>
      </c>
      <c r="AF10" s="73"/>
      <c r="AG10" s="525"/>
      <c r="AH10" s="73"/>
      <c r="AI10" s="73" t="str">
        <f t="shared" si="29"/>
        <v/>
      </c>
      <c r="AJ10" s="64">
        <f t="shared" si="7"/>
        <v>0</v>
      </c>
      <c r="AK10" s="64">
        <f t="shared" si="8"/>
        <v>0</v>
      </c>
      <c r="AL10" s="64" t="str">
        <f t="shared" si="9"/>
        <v/>
      </c>
      <c r="AM10">
        <f t="shared" si="10"/>
        <v>1</v>
      </c>
      <c r="AN10" s="85">
        <f>SUM($AD$6:AD10)</f>
        <v>0</v>
      </c>
      <c r="AO10" s="85">
        <f t="shared" ca="1" si="30"/>
        <v>0</v>
      </c>
      <c r="AP10" s="89">
        <f t="shared" si="31"/>
        <v>0</v>
      </c>
      <c r="AQ10" s="89">
        <f t="shared" si="32"/>
        <v>0</v>
      </c>
      <c r="AR10" s="89">
        <f t="shared" si="33"/>
        <v>0</v>
      </c>
      <c r="AS10" s="88">
        <f t="shared" si="34"/>
        <v>0</v>
      </c>
      <c r="AT10" s="88">
        <f t="shared" ca="1" si="35"/>
        <v>0</v>
      </c>
      <c r="AU10" s="98">
        <f t="shared" si="36"/>
        <v>0</v>
      </c>
      <c r="AV10" s="88">
        <f t="shared" si="37"/>
        <v>0</v>
      </c>
      <c r="AW10" t="b">
        <f>OR((F10&gt;0),(NOT(ISBLANK(H10))),SUM(H10:H$373),SUM(G10:G$373))</f>
        <v>0</v>
      </c>
      <c r="AX10" t="b">
        <f t="shared" ca="1" si="11"/>
        <v>0</v>
      </c>
      <c r="AY10" s="519">
        <f t="shared" si="38"/>
        <v>-0.29166666666666669</v>
      </c>
      <c r="AZ10" s="180">
        <f>SUM(AY$5:AY10)</f>
        <v>-0.875</v>
      </c>
      <c r="BA10" s="567"/>
      <c r="BB10" s="567">
        <f t="shared" si="12"/>
        <v>0</v>
      </c>
      <c r="BC10" s="567"/>
    </row>
    <row r="11" spans="1:55" ht="15.75">
      <c r="A11" s="260">
        <f t="shared" si="39"/>
        <v>44839</v>
      </c>
      <c r="B11" s="261">
        <f t="shared" si="13"/>
        <v>44839</v>
      </c>
      <c r="C11" s="262">
        <f>IF(A11="","",NumberOfWeek(A11))</f>
        <v>41</v>
      </c>
      <c r="D11" s="263">
        <f t="shared" si="14"/>
        <v>44834</v>
      </c>
      <c r="E11" s="273" t="str">
        <f t="shared" si="15"/>
        <v/>
      </c>
      <c r="F11" s="5"/>
      <c r="G11" s="6" t="str">
        <f t="shared" si="0"/>
        <v/>
      </c>
      <c r="H11" s="7"/>
      <c r="I11" s="7">
        <f t="shared" si="16"/>
        <v>0</v>
      </c>
      <c r="J11" s="76">
        <f t="shared" si="17"/>
        <v>0</v>
      </c>
      <c r="K11" s="7"/>
      <c r="L11" s="7">
        <f t="shared" si="18"/>
        <v>0</v>
      </c>
      <c r="M11" s="76">
        <f t="shared" si="1"/>
        <v>0</v>
      </c>
      <c r="N11" s="76"/>
      <c r="O11" s="76">
        <f t="shared" si="2"/>
        <v>0</v>
      </c>
      <c r="P11" s="76"/>
      <c r="Q11" s="76">
        <f t="shared" si="3"/>
        <v>0</v>
      </c>
      <c r="R11" s="76">
        <f t="shared" si="19"/>
        <v>0</v>
      </c>
      <c r="S11" s="76">
        <f t="shared" si="20"/>
        <v>0</v>
      </c>
      <c r="T11" s="76">
        <f t="shared" si="21"/>
        <v>0</v>
      </c>
      <c r="U11" s="76">
        <f t="shared" si="22"/>
        <v>0</v>
      </c>
      <c r="V11" s="109">
        <f t="shared" si="23"/>
        <v>0</v>
      </c>
      <c r="W11" s="62"/>
      <c r="X11" s="78">
        <f t="shared" si="4"/>
        <v>3.125E-2</v>
      </c>
      <c r="Y11" s="73">
        <f t="shared" si="24"/>
        <v>0</v>
      </c>
      <c r="Z11" s="74">
        <f t="shared" si="25"/>
        <v>0.29166666666666669</v>
      </c>
      <c r="AA11" s="75">
        <f t="shared" si="26"/>
        <v>0</v>
      </c>
      <c r="AB11" s="63" t="str">
        <f t="shared" si="27"/>
        <v/>
      </c>
      <c r="AC11" s="148">
        <f t="shared" si="5"/>
        <v>0</v>
      </c>
      <c r="AD11" s="107" t="str">
        <f t="shared" si="6"/>
        <v/>
      </c>
      <c r="AE11" s="180">
        <f t="shared" si="28"/>
        <v>0</v>
      </c>
      <c r="AF11" s="73"/>
      <c r="AG11" s="525"/>
      <c r="AH11" s="73"/>
      <c r="AI11" s="73" t="str">
        <f t="shared" si="29"/>
        <v/>
      </c>
      <c r="AJ11" s="64">
        <f t="shared" si="7"/>
        <v>0</v>
      </c>
      <c r="AK11" s="64">
        <f t="shared" si="8"/>
        <v>0</v>
      </c>
      <c r="AL11" s="64" t="str">
        <f t="shared" si="9"/>
        <v/>
      </c>
      <c r="AM11">
        <f t="shared" si="10"/>
        <v>2</v>
      </c>
      <c r="AN11" s="85">
        <f>SUM($AD$6:AD11)</f>
        <v>0</v>
      </c>
      <c r="AO11" s="85">
        <f t="shared" ca="1" si="30"/>
        <v>0</v>
      </c>
      <c r="AP11" s="89">
        <f t="shared" si="31"/>
        <v>0</v>
      </c>
      <c r="AQ11" s="89">
        <f t="shared" si="32"/>
        <v>0</v>
      </c>
      <c r="AR11" s="89">
        <f t="shared" si="33"/>
        <v>0</v>
      </c>
      <c r="AS11" s="88">
        <f t="shared" si="34"/>
        <v>0</v>
      </c>
      <c r="AT11" s="88">
        <f t="shared" ca="1" si="35"/>
        <v>0</v>
      </c>
      <c r="AU11" s="98">
        <f t="shared" si="36"/>
        <v>0</v>
      </c>
      <c r="AV11" s="88">
        <f t="shared" si="37"/>
        <v>0</v>
      </c>
      <c r="AW11" t="b">
        <f>OR((F11&gt;0),(NOT(ISBLANK(H11))),SUM(H11:H$373),SUM(G11:G$373))</f>
        <v>0</v>
      </c>
      <c r="AX11" t="b">
        <f t="shared" ca="1" si="11"/>
        <v>0</v>
      </c>
      <c r="AY11" s="519">
        <f t="shared" si="38"/>
        <v>-0.29166666666666669</v>
      </c>
      <c r="AZ11" s="180">
        <f>SUM(AY$5:AY11)</f>
        <v>-1.1666666666666667</v>
      </c>
      <c r="BA11" s="567"/>
      <c r="BB11" s="567">
        <f t="shared" si="12"/>
        <v>0</v>
      </c>
      <c r="BC11" s="567"/>
    </row>
    <row r="12" spans="1:55" ht="15.75">
      <c r="A12" s="260">
        <f t="shared" si="39"/>
        <v>44840</v>
      </c>
      <c r="B12" s="261">
        <f t="shared" si="13"/>
        <v>44840</v>
      </c>
      <c r="C12" s="262">
        <f>IF(A12="","",NumberOfWeek(A12))</f>
        <v>41</v>
      </c>
      <c r="D12" s="263">
        <f t="shared" si="14"/>
        <v>44834</v>
      </c>
      <c r="E12" s="273" t="str">
        <f t="shared" si="15"/>
        <v/>
      </c>
      <c r="F12" s="5"/>
      <c r="G12" s="6" t="str">
        <f t="shared" si="0"/>
        <v/>
      </c>
      <c r="H12" s="7"/>
      <c r="I12" s="7">
        <f t="shared" ref="I12" si="40">IF(H12&gt;0,H12+Y12+X12+AC12,0)</f>
        <v>0</v>
      </c>
      <c r="J12" s="76">
        <f t="shared" si="17"/>
        <v>0</v>
      </c>
      <c r="K12" s="7"/>
      <c r="L12" s="7">
        <f t="shared" si="18"/>
        <v>0</v>
      </c>
      <c r="M12" s="76">
        <f t="shared" si="1"/>
        <v>0</v>
      </c>
      <c r="N12" s="76"/>
      <c r="O12" s="76">
        <f t="shared" si="2"/>
        <v>0</v>
      </c>
      <c r="P12" s="76"/>
      <c r="Q12" s="76">
        <f t="shared" si="3"/>
        <v>0</v>
      </c>
      <c r="R12" s="76">
        <f t="shared" si="19"/>
        <v>0</v>
      </c>
      <c r="S12" s="76">
        <f t="shared" si="20"/>
        <v>0</v>
      </c>
      <c r="T12" s="76">
        <f t="shared" si="21"/>
        <v>0</v>
      </c>
      <c r="U12" s="76">
        <f t="shared" si="22"/>
        <v>0</v>
      </c>
      <c r="V12" s="109">
        <f t="shared" si="23"/>
        <v>0</v>
      </c>
      <c r="W12" s="62"/>
      <c r="X12" s="78">
        <f t="shared" si="4"/>
        <v>3.125E-2</v>
      </c>
      <c r="Y12" s="73">
        <f t="shared" si="24"/>
        <v>0</v>
      </c>
      <c r="Z12" s="74">
        <f t="shared" si="25"/>
        <v>0.29166666666666669</v>
      </c>
      <c r="AA12" s="75">
        <f t="shared" si="26"/>
        <v>0</v>
      </c>
      <c r="AB12" s="63" t="str">
        <f t="shared" si="27"/>
        <v/>
      </c>
      <c r="AC12" s="148">
        <f t="shared" si="5"/>
        <v>0</v>
      </c>
      <c r="AD12" s="107" t="str">
        <f t="shared" si="6"/>
        <v/>
      </c>
      <c r="AE12" s="180">
        <f t="shared" si="28"/>
        <v>0</v>
      </c>
      <c r="AF12" s="73"/>
      <c r="AG12" s="525"/>
      <c r="AH12" s="73"/>
      <c r="AI12" s="73" t="str">
        <f t="shared" si="29"/>
        <v/>
      </c>
      <c r="AJ12" s="64">
        <f t="shared" si="7"/>
        <v>0</v>
      </c>
      <c r="AK12" s="64">
        <f t="shared" si="8"/>
        <v>0</v>
      </c>
      <c r="AL12" s="64" t="str">
        <f t="shared" si="9"/>
        <v/>
      </c>
      <c r="AM12">
        <f t="shared" si="10"/>
        <v>3</v>
      </c>
      <c r="AN12" s="85">
        <f>SUM($AD$6:AD12)</f>
        <v>0</v>
      </c>
      <c r="AO12" s="85">
        <f t="shared" ca="1" si="30"/>
        <v>0</v>
      </c>
      <c r="AP12" s="89">
        <f t="shared" si="31"/>
        <v>0</v>
      </c>
      <c r="AQ12" s="89">
        <f t="shared" si="32"/>
        <v>0</v>
      </c>
      <c r="AR12" s="89">
        <f t="shared" si="33"/>
        <v>0</v>
      </c>
      <c r="AS12" s="88">
        <f t="shared" si="34"/>
        <v>0</v>
      </c>
      <c r="AT12" s="88">
        <f t="shared" ca="1" si="35"/>
        <v>0</v>
      </c>
      <c r="AU12" s="98">
        <f t="shared" si="36"/>
        <v>0</v>
      </c>
      <c r="AV12" s="88">
        <f t="shared" si="37"/>
        <v>0</v>
      </c>
      <c r="AW12" t="b">
        <f>OR((F12&gt;0),(NOT(ISBLANK(H12))),SUM(H12:H$373),SUM(G12:G$373))</f>
        <v>0</v>
      </c>
      <c r="AX12" t="b">
        <f t="shared" ca="1" si="11"/>
        <v>0</v>
      </c>
      <c r="AY12" s="519">
        <f t="shared" si="38"/>
        <v>-0.29166666666666669</v>
      </c>
      <c r="AZ12" s="180">
        <f>SUM(AY$5:AY12)</f>
        <v>-1.4583333333333335</v>
      </c>
      <c r="BA12" s="567"/>
      <c r="BB12" s="567">
        <f t="shared" si="12"/>
        <v>0</v>
      </c>
      <c r="BC12" s="567"/>
    </row>
    <row r="13" spans="1:55" ht="15.75">
      <c r="A13" s="260">
        <f t="shared" si="39"/>
        <v>44841</v>
      </c>
      <c r="B13" s="261">
        <f t="shared" si="13"/>
        <v>44841</v>
      </c>
      <c r="C13" s="262">
        <f>IF(A13="","",NumberOfWeek(A13))</f>
        <v>41</v>
      </c>
      <c r="D13" s="263">
        <f t="shared" si="14"/>
        <v>44834</v>
      </c>
      <c r="E13" s="273" t="str">
        <f t="shared" si="15"/>
        <v/>
      </c>
      <c r="F13" s="5"/>
      <c r="G13" s="6" t="str">
        <f t="shared" si="0"/>
        <v/>
      </c>
      <c r="H13" s="7"/>
      <c r="I13" s="7">
        <f t="shared" si="16"/>
        <v>0</v>
      </c>
      <c r="J13" s="76">
        <f t="shared" si="17"/>
        <v>0</v>
      </c>
      <c r="K13" s="7"/>
      <c r="L13" s="7">
        <f t="shared" si="18"/>
        <v>0</v>
      </c>
      <c r="M13" s="76">
        <f t="shared" si="1"/>
        <v>0</v>
      </c>
      <c r="N13" s="76"/>
      <c r="O13" s="76">
        <f t="shared" si="2"/>
        <v>0</v>
      </c>
      <c r="P13" s="76"/>
      <c r="Q13" s="76">
        <f t="shared" si="3"/>
        <v>0</v>
      </c>
      <c r="R13" s="76">
        <f t="shared" si="19"/>
        <v>0</v>
      </c>
      <c r="S13" s="76">
        <f t="shared" si="20"/>
        <v>0</v>
      </c>
      <c r="T13" s="76">
        <f t="shared" si="21"/>
        <v>0</v>
      </c>
      <c r="U13" s="76">
        <f t="shared" si="22"/>
        <v>0</v>
      </c>
      <c r="V13" s="109">
        <f t="shared" si="23"/>
        <v>0</v>
      </c>
      <c r="W13" s="62"/>
      <c r="X13" s="78">
        <f t="shared" si="4"/>
        <v>3.125E-2</v>
      </c>
      <c r="Y13" s="73">
        <f t="shared" si="24"/>
        <v>0</v>
      </c>
      <c r="Z13" s="74">
        <f t="shared" si="25"/>
        <v>0.29166666666666669</v>
      </c>
      <c r="AA13" s="75">
        <f t="shared" si="26"/>
        <v>0</v>
      </c>
      <c r="AB13" s="63" t="str">
        <f t="shared" si="27"/>
        <v/>
      </c>
      <c r="AC13" s="148">
        <f t="shared" si="5"/>
        <v>0</v>
      </c>
      <c r="AD13" s="107" t="str">
        <f t="shared" si="6"/>
        <v/>
      </c>
      <c r="AE13" s="180">
        <f t="shared" si="28"/>
        <v>0</v>
      </c>
      <c r="AF13" s="73"/>
      <c r="AG13" s="525"/>
      <c r="AH13" s="526">
        <f>IF(AG13="+",AF13,-AF13)</f>
        <v>0</v>
      </c>
      <c r="AI13" s="73" t="str">
        <f>IF(AND(AF13&lt;&gt;"",AF13&lt;=V13),V13+AH13,"")</f>
        <v/>
      </c>
      <c r="AJ13" s="64">
        <f t="shared" si="7"/>
        <v>0</v>
      </c>
      <c r="AK13" s="64">
        <f t="shared" si="8"/>
        <v>0</v>
      </c>
      <c r="AL13" s="64" t="str">
        <f t="shared" si="9"/>
        <v/>
      </c>
      <c r="AM13">
        <f t="shared" si="10"/>
        <v>4</v>
      </c>
      <c r="AN13" s="85">
        <f>SUM($AD$6:AD13)</f>
        <v>0</v>
      </c>
      <c r="AO13" s="85">
        <f t="shared" ca="1" si="30"/>
        <v>0</v>
      </c>
      <c r="AP13" s="89">
        <f t="shared" si="31"/>
        <v>0</v>
      </c>
      <c r="AQ13" s="89">
        <f t="shared" si="32"/>
        <v>0</v>
      </c>
      <c r="AR13" s="89">
        <f t="shared" si="33"/>
        <v>0</v>
      </c>
      <c r="AS13" s="88">
        <f t="shared" si="34"/>
        <v>0</v>
      </c>
      <c r="AT13" s="88">
        <f t="shared" ca="1" si="35"/>
        <v>0</v>
      </c>
      <c r="AU13" s="98">
        <f t="shared" si="36"/>
        <v>0</v>
      </c>
      <c r="AV13" s="88">
        <f t="shared" si="37"/>
        <v>0</v>
      </c>
      <c r="AW13" t="b">
        <f>OR((F13&gt;0),(NOT(ISBLANK(H13))),SUM(H13:H$373),SUM(G13:G$373))</f>
        <v>0</v>
      </c>
      <c r="AX13" t="b">
        <f t="shared" ca="1" si="11"/>
        <v>0</v>
      </c>
      <c r="AY13" s="519">
        <f t="shared" si="38"/>
        <v>-0.29166666666666669</v>
      </c>
      <c r="AZ13" s="180">
        <f>SUM(AY$5:AY13)</f>
        <v>-1.7500000000000002</v>
      </c>
      <c r="BA13" s="567"/>
      <c r="BB13" s="567">
        <f t="shared" si="12"/>
        <v>0</v>
      </c>
      <c r="BC13" s="567"/>
    </row>
    <row r="14" spans="1:55" ht="15.75">
      <c r="A14" s="260">
        <f t="shared" si="39"/>
        <v>44842</v>
      </c>
      <c r="B14" s="261">
        <f t="shared" si="13"/>
        <v>44842</v>
      </c>
      <c r="C14" s="262">
        <f>IF(A14="","",NumberOfWeek(A14))</f>
        <v>41</v>
      </c>
      <c r="D14" s="263">
        <f t="shared" si="14"/>
        <v>44834</v>
      </c>
      <c r="E14" s="273" t="str">
        <f t="shared" si="15"/>
        <v/>
      </c>
      <c r="F14" s="5"/>
      <c r="G14" s="6" t="str">
        <f t="shared" si="0"/>
        <v/>
      </c>
      <c r="H14" s="7"/>
      <c r="I14" s="7">
        <f t="shared" si="16"/>
        <v>0</v>
      </c>
      <c r="J14" s="76">
        <f t="shared" si="17"/>
        <v>0</v>
      </c>
      <c r="K14" s="7"/>
      <c r="L14" s="7">
        <f t="shared" si="18"/>
        <v>0</v>
      </c>
      <c r="M14" s="76">
        <f t="shared" si="1"/>
        <v>0</v>
      </c>
      <c r="N14" s="76"/>
      <c r="O14" s="76">
        <f t="shared" si="2"/>
        <v>0</v>
      </c>
      <c r="P14" s="76"/>
      <c r="Q14" s="76">
        <f t="shared" si="3"/>
        <v>0</v>
      </c>
      <c r="R14" s="76">
        <f t="shared" si="19"/>
        <v>0</v>
      </c>
      <c r="S14" s="76">
        <f t="shared" si="20"/>
        <v>0</v>
      </c>
      <c r="T14" s="76">
        <f t="shared" si="21"/>
        <v>0</v>
      </c>
      <c r="U14" s="76">
        <f t="shared" si="22"/>
        <v>0</v>
      </c>
      <c r="V14" s="109">
        <f t="shared" si="23"/>
        <v>0</v>
      </c>
      <c r="W14" s="62"/>
      <c r="X14" s="78">
        <f t="shared" si="4"/>
        <v>3.125E-2</v>
      </c>
      <c r="Y14" s="73">
        <f t="shared" si="24"/>
        <v>0</v>
      </c>
      <c r="Z14" s="74">
        <f t="shared" si="25"/>
        <v>0.29166666666666669</v>
      </c>
      <c r="AA14" s="75">
        <f t="shared" si="26"/>
        <v>0</v>
      </c>
      <c r="AB14" s="63" t="str">
        <f t="shared" si="27"/>
        <v/>
      </c>
      <c r="AC14" s="148">
        <f t="shared" si="5"/>
        <v>0</v>
      </c>
      <c r="AD14" s="107" t="str">
        <f t="shared" si="6"/>
        <v/>
      </c>
      <c r="AE14" s="180">
        <f t="shared" si="28"/>
        <v>0</v>
      </c>
      <c r="AF14" s="73"/>
      <c r="AG14" s="525"/>
      <c r="AH14" s="73"/>
      <c r="AI14" s="73" t="str">
        <f t="shared" ref="AI14:AI77" si="41">IF(AND(AF14&lt;&gt;"",AF14&lt;=V14),V14-AF14,"")</f>
        <v/>
      </c>
      <c r="AJ14" s="64">
        <f t="shared" si="7"/>
        <v>0</v>
      </c>
      <c r="AK14" s="64">
        <f t="shared" si="8"/>
        <v>0</v>
      </c>
      <c r="AL14" s="64" t="str">
        <f t="shared" si="9"/>
        <v/>
      </c>
      <c r="AM14">
        <f t="shared" si="10"/>
        <v>5</v>
      </c>
      <c r="AN14" s="85">
        <f>SUM($AD$6:AD14)</f>
        <v>0</v>
      </c>
      <c r="AO14" s="85">
        <f t="shared" ca="1" si="30"/>
        <v>0</v>
      </c>
      <c r="AP14" s="89">
        <f t="shared" si="31"/>
        <v>0</v>
      </c>
      <c r="AQ14" s="89">
        <f t="shared" si="32"/>
        <v>0</v>
      </c>
      <c r="AR14" s="89">
        <f t="shared" si="33"/>
        <v>0</v>
      </c>
      <c r="AS14" s="88">
        <f t="shared" si="34"/>
        <v>0</v>
      </c>
      <c r="AT14" s="88">
        <f t="shared" ca="1" si="35"/>
        <v>0</v>
      </c>
      <c r="AU14" s="98">
        <f t="shared" si="36"/>
        <v>0</v>
      </c>
      <c r="AV14" s="88">
        <f t="shared" si="37"/>
        <v>0</v>
      </c>
      <c r="AW14" t="b">
        <f>OR((F14&gt;0),(NOT(ISBLANK(H14))),SUM(H14:H$373),SUM(G14:G$373))</f>
        <v>0</v>
      </c>
      <c r="AX14" t="b">
        <f t="shared" ca="1" si="11"/>
        <v>0</v>
      </c>
      <c r="AY14" s="519">
        <f t="shared" si="38"/>
        <v>-0.29166666666666669</v>
      </c>
      <c r="AZ14" s="180">
        <f>SUM(AY$5:AY14)</f>
        <v>-2.041666666666667</v>
      </c>
      <c r="BA14" s="567"/>
      <c r="BB14" s="567">
        <f t="shared" si="12"/>
        <v>0</v>
      </c>
      <c r="BC14" s="567"/>
    </row>
    <row r="15" spans="1:55" ht="15.75">
      <c r="A15" s="260">
        <f t="shared" si="39"/>
        <v>44843</v>
      </c>
      <c r="B15" s="261">
        <f t="shared" si="13"/>
        <v>44843</v>
      </c>
      <c r="C15" s="262">
        <f>IF(A15="","",NumberOfWeek(A15))</f>
        <v>41</v>
      </c>
      <c r="D15" s="263">
        <f t="shared" si="14"/>
        <v>44834</v>
      </c>
      <c r="E15" s="273" t="str">
        <f t="shared" si="15"/>
        <v/>
      </c>
      <c r="F15" s="5"/>
      <c r="G15" s="6" t="str">
        <f t="shared" si="0"/>
        <v/>
      </c>
      <c r="H15" s="7"/>
      <c r="I15" s="7">
        <f t="shared" si="16"/>
        <v>0</v>
      </c>
      <c r="J15" s="76">
        <f t="shared" si="17"/>
        <v>0</v>
      </c>
      <c r="K15" s="7"/>
      <c r="L15" s="7">
        <f t="shared" si="18"/>
        <v>0</v>
      </c>
      <c r="M15" s="76">
        <f t="shared" si="1"/>
        <v>0</v>
      </c>
      <c r="N15" s="76"/>
      <c r="O15" s="76">
        <f t="shared" si="2"/>
        <v>0</v>
      </c>
      <c r="P15" s="76"/>
      <c r="Q15" s="76">
        <f t="shared" si="3"/>
        <v>0</v>
      </c>
      <c r="R15" s="76">
        <f t="shared" si="19"/>
        <v>0</v>
      </c>
      <c r="S15" s="76">
        <f t="shared" si="20"/>
        <v>0</v>
      </c>
      <c r="T15" s="76">
        <f t="shared" si="21"/>
        <v>0</v>
      </c>
      <c r="U15" s="76">
        <f t="shared" si="22"/>
        <v>0</v>
      </c>
      <c r="V15" s="109">
        <f t="shared" si="23"/>
        <v>0</v>
      </c>
      <c r="W15" s="62"/>
      <c r="X15" s="78">
        <f t="shared" si="4"/>
        <v>3.125E-2</v>
      </c>
      <c r="Y15" s="73">
        <f t="shared" si="24"/>
        <v>0</v>
      </c>
      <c r="Z15" s="74">
        <f t="shared" si="25"/>
        <v>0</v>
      </c>
      <c r="AA15" s="75">
        <f t="shared" si="26"/>
        <v>0</v>
      </c>
      <c r="AB15" s="63" t="str">
        <f t="shared" si="27"/>
        <v/>
      </c>
      <c r="AC15" s="148">
        <f t="shared" si="5"/>
        <v>0</v>
      </c>
      <c r="AD15" s="107" t="str">
        <f t="shared" si="6"/>
        <v/>
      </c>
      <c r="AE15" s="180">
        <f t="shared" si="28"/>
        <v>0</v>
      </c>
      <c r="AF15" s="73"/>
      <c r="AG15" s="525"/>
      <c r="AH15" s="73"/>
      <c r="AI15" s="73" t="str">
        <f t="shared" si="41"/>
        <v/>
      </c>
      <c r="AJ15" s="64">
        <f t="shared" si="7"/>
        <v>0</v>
      </c>
      <c r="AK15" s="64">
        <f t="shared" si="8"/>
        <v>0</v>
      </c>
      <c r="AL15" s="64" t="str">
        <f t="shared" si="9"/>
        <v/>
      </c>
      <c r="AM15">
        <f t="shared" si="10"/>
        <v>6</v>
      </c>
      <c r="AN15" s="85">
        <f>SUM($AD$6:AD15)</f>
        <v>0</v>
      </c>
      <c r="AO15" s="85">
        <f t="shared" ca="1" si="30"/>
        <v>0</v>
      </c>
      <c r="AP15" s="89">
        <f t="shared" si="31"/>
        <v>0</v>
      </c>
      <c r="AQ15" s="89">
        <f t="shared" si="32"/>
        <v>0</v>
      </c>
      <c r="AR15" s="89">
        <f t="shared" si="33"/>
        <v>0</v>
      </c>
      <c r="AS15" s="88">
        <f t="shared" si="34"/>
        <v>0</v>
      </c>
      <c r="AT15" s="88">
        <f t="shared" ca="1" si="35"/>
        <v>0</v>
      </c>
      <c r="AU15" s="98">
        <f t="shared" si="36"/>
        <v>0</v>
      </c>
      <c r="AV15" s="88">
        <f t="shared" si="37"/>
        <v>7</v>
      </c>
      <c r="AW15" t="b">
        <f>OR((F15&gt;0),(NOT(ISBLANK(H15))),SUM(H15:H$373),SUM(G15:G$373))</f>
        <v>0</v>
      </c>
      <c r="AX15" t="b">
        <f t="shared" ca="1" si="11"/>
        <v>1</v>
      </c>
      <c r="AY15" s="519">
        <f t="shared" si="38"/>
        <v>0</v>
      </c>
      <c r="AZ15" s="180">
        <f>SUM(AY$5:AY15)</f>
        <v>-2.041666666666667</v>
      </c>
      <c r="BA15" s="567"/>
      <c r="BB15" s="567">
        <f t="shared" si="12"/>
        <v>0</v>
      </c>
      <c r="BC15" s="567"/>
    </row>
    <row r="16" spans="1:55" ht="15.75">
      <c r="A16" s="260">
        <f t="shared" si="39"/>
        <v>44844</v>
      </c>
      <c r="B16" s="261">
        <f t="shared" si="13"/>
        <v>44844</v>
      </c>
      <c r="C16" s="262">
        <f>IF(A16="","",NumberOfWeek(A16))</f>
        <v>41</v>
      </c>
      <c r="D16" s="263">
        <f t="shared" si="14"/>
        <v>44834</v>
      </c>
      <c r="E16" s="273" t="str">
        <f t="shared" si="15"/>
        <v/>
      </c>
      <c r="F16" s="5"/>
      <c r="G16" s="6" t="str">
        <f t="shared" si="0"/>
        <v/>
      </c>
      <c r="H16" s="7"/>
      <c r="I16" s="7">
        <f t="shared" si="16"/>
        <v>0</v>
      </c>
      <c r="J16" s="76">
        <f t="shared" si="17"/>
        <v>0</v>
      </c>
      <c r="K16" s="7"/>
      <c r="L16" s="7">
        <f t="shared" si="18"/>
        <v>0</v>
      </c>
      <c r="M16" s="76">
        <f t="shared" si="1"/>
        <v>0</v>
      </c>
      <c r="N16" s="76"/>
      <c r="O16" s="76">
        <f t="shared" si="2"/>
        <v>0</v>
      </c>
      <c r="P16" s="76"/>
      <c r="Q16" s="76">
        <f t="shared" si="3"/>
        <v>0</v>
      </c>
      <c r="R16" s="76">
        <f t="shared" si="19"/>
        <v>0</v>
      </c>
      <c r="S16" s="76">
        <f t="shared" si="20"/>
        <v>0</v>
      </c>
      <c r="T16" s="76">
        <f t="shared" si="21"/>
        <v>0</v>
      </c>
      <c r="U16" s="76">
        <f t="shared" si="22"/>
        <v>0</v>
      </c>
      <c r="V16" s="109">
        <f t="shared" si="23"/>
        <v>0</v>
      </c>
      <c r="W16" s="62"/>
      <c r="X16" s="78">
        <f t="shared" si="4"/>
        <v>3.125E-2</v>
      </c>
      <c r="Y16" s="73">
        <f t="shared" si="24"/>
        <v>0</v>
      </c>
      <c r="Z16" s="74">
        <f t="shared" si="25"/>
        <v>0</v>
      </c>
      <c r="AA16" s="75">
        <f t="shared" si="26"/>
        <v>0</v>
      </c>
      <c r="AB16" s="63" t="str">
        <f t="shared" si="27"/>
        <v/>
      </c>
      <c r="AC16" s="148">
        <f t="shared" si="5"/>
        <v>0</v>
      </c>
      <c r="AD16" s="107" t="str">
        <f t="shared" si="6"/>
        <v/>
      </c>
      <c r="AE16" s="180">
        <f t="shared" si="28"/>
        <v>0</v>
      </c>
      <c r="AF16" s="73"/>
      <c r="AG16" s="525"/>
      <c r="AH16" s="73"/>
      <c r="AI16" s="73" t="str">
        <f t="shared" si="41"/>
        <v/>
      </c>
      <c r="AJ16" s="64">
        <f t="shared" si="7"/>
        <v>0</v>
      </c>
      <c r="AK16" s="64">
        <f t="shared" si="8"/>
        <v>0</v>
      </c>
      <c r="AL16" s="64" t="str">
        <f t="shared" si="9"/>
        <v/>
      </c>
      <c r="AM16">
        <f t="shared" si="10"/>
        <v>7</v>
      </c>
      <c r="AN16" s="85">
        <f>SUM($AD$6:AD16)</f>
        <v>0</v>
      </c>
      <c r="AO16" s="85">
        <f t="shared" ca="1" si="30"/>
        <v>0</v>
      </c>
      <c r="AP16" s="89">
        <f t="shared" si="31"/>
        <v>0</v>
      </c>
      <c r="AQ16" s="89">
        <f t="shared" si="32"/>
        <v>0</v>
      </c>
      <c r="AR16" s="89">
        <f t="shared" si="33"/>
        <v>0</v>
      </c>
      <c r="AS16" s="88">
        <f t="shared" si="34"/>
        <v>0</v>
      </c>
      <c r="AT16" s="88">
        <f t="shared" ca="1" si="35"/>
        <v>0</v>
      </c>
      <c r="AU16" s="98">
        <f t="shared" si="36"/>
        <v>0</v>
      </c>
      <c r="AV16" s="88">
        <f t="shared" si="37"/>
        <v>7</v>
      </c>
      <c r="AW16" t="b">
        <f>OR((F16&gt;0),(NOT(ISBLANK(H16))),SUM(H16:H$373),SUM(G16:G$373))</f>
        <v>0</v>
      </c>
      <c r="AX16" t="b">
        <f t="shared" ca="1" si="11"/>
        <v>1</v>
      </c>
      <c r="AY16" s="519">
        <f t="shared" si="38"/>
        <v>0</v>
      </c>
      <c r="AZ16" s="180">
        <f>SUM(AY$5:AY16)</f>
        <v>-2.041666666666667</v>
      </c>
      <c r="BA16" s="567"/>
      <c r="BB16" s="567">
        <f t="shared" si="12"/>
        <v>0</v>
      </c>
      <c r="BC16" s="567"/>
    </row>
    <row r="17" spans="1:55" ht="15.75">
      <c r="A17" s="260">
        <f t="shared" si="39"/>
        <v>44845</v>
      </c>
      <c r="B17" s="261">
        <f t="shared" si="13"/>
        <v>44845</v>
      </c>
      <c r="C17" s="262">
        <f>IF(A17="","",NumberOfWeek(A17))</f>
        <v>42</v>
      </c>
      <c r="D17" s="263">
        <f t="shared" si="14"/>
        <v>44834</v>
      </c>
      <c r="E17" s="273" t="str">
        <f t="shared" si="15"/>
        <v/>
      </c>
      <c r="F17" s="5"/>
      <c r="G17" s="6" t="str">
        <f t="shared" si="0"/>
        <v/>
      </c>
      <c r="H17" s="7"/>
      <c r="I17" s="7">
        <f t="shared" si="16"/>
        <v>0</v>
      </c>
      <c r="J17" s="76">
        <f t="shared" si="17"/>
        <v>0</v>
      </c>
      <c r="K17" s="7"/>
      <c r="L17" s="7">
        <f t="shared" si="18"/>
        <v>0</v>
      </c>
      <c r="M17" s="76">
        <f t="shared" si="1"/>
        <v>0</v>
      </c>
      <c r="N17" s="76"/>
      <c r="O17" s="76">
        <f t="shared" si="2"/>
        <v>0</v>
      </c>
      <c r="P17" s="76"/>
      <c r="Q17" s="76">
        <f t="shared" si="3"/>
        <v>0</v>
      </c>
      <c r="R17" s="76">
        <f t="shared" si="19"/>
        <v>0</v>
      </c>
      <c r="S17" s="76">
        <f t="shared" si="20"/>
        <v>0</v>
      </c>
      <c r="T17" s="76">
        <f t="shared" si="21"/>
        <v>0</v>
      </c>
      <c r="U17" s="76">
        <f t="shared" si="22"/>
        <v>0</v>
      </c>
      <c r="V17" s="109">
        <f t="shared" si="23"/>
        <v>0</v>
      </c>
      <c r="W17" s="62"/>
      <c r="X17" s="78">
        <f t="shared" si="4"/>
        <v>3.125E-2</v>
      </c>
      <c r="Y17" s="73">
        <f t="shared" si="24"/>
        <v>0</v>
      </c>
      <c r="Z17" s="74">
        <f t="shared" si="25"/>
        <v>0.29166666666666669</v>
      </c>
      <c r="AA17" s="75">
        <f t="shared" si="26"/>
        <v>0</v>
      </c>
      <c r="AB17" s="63" t="str">
        <f t="shared" si="27"/>
        <v/>
      </c>
      <c r="AC17" s="148">
        <f t="shared" si="5"/>
        <v>0</v>
      </c>
      <c r="AD17" s="107" t="str">
        <f t="shared" si="6"/>
        <v/>
      </c>
      <c r="AE17" s="180">
        <f t="shared" si="28"/>
        <v>0</v>
      </c>
      <c r="AF17" s="73"/>
      <c r="AG17" s="525"/>
      <c r="AH17" s="73"/>
      <c r="AI17" s="73" t="str">
        <f t="shared" si="41"/>
        <v/>
      </c>
      <c r="AJ17" s="64">
        <f t="shared" si="7"/>
        <v>0</v>
      </c>
      <c r="AK17" s="64">
        <f t="shared" si="8"/>
        <v>0</v>
      </c>
      <c r="AL17" s="64" t="str">
        <f t="shared" si="9"/>
        <v/>
      </c>
      <c r="AM17">
        <f t="shared" si="10"/>
        <v>1</v>
      </c>
      <c r="AN17" s="85">
        <f>SUM($AD$6:AD17)</f>
        <v>0</v>
      </c>
      <c r="AO17" s="85">
        <f t="shared" ca="1" si="30"/>
        <v>0</v>
      </c>
      <c r="AP17" s="89">
        <f t="shared" si="31"/>
        <v>0</v>
      </c>
      <c r="AQ17" s="89">
        <f t="shared" si="32"/>
        <v>0</v>
      </c>
      <c r="AR17" s="89">
        <f t="shared" si="33"/>
        <v>0</v>
      </c>
      <c r="AS17" s="88">
        <f t="shared" si="34"/>
        <v>0</v>
      </c>
      <c r="AT17" s="88">
        <f t="shared" ca="1" si="35"/>
        <v>0</v>
      </c>
      <c r="AU17" s="98">
        <f t="shared" si="36"/>
        <v>0</v>
      </c>
      <c r="AV17" s="88">
        <f t="shared" si="37"/>
        <v>0</v>
      </c>
      <c r="AW17" t="b">
        <f>OR((F17&gt;0),(NOT(ISBLANK(H17))),SUM(H17:H$373),SUM(G17:G$373))</f>
        <v>0</v>
      </c>
      <c r="AX17" t="b">
        <f t="shared" ca="1" si="11"/>
        <v>0</v>
      </c>
      <c r="AY17" s="519">
        <f t="shared" si="38"/>
        <v>-0.29166666666666669</v>
      </c>
      <c r="AZ17" s="180">
        <f>SUM(AY$5:AY17)</f>
        <v>-2.3333333333333335</v>
      </c>
      <c r="BA17" s="567" t="s">
        <v>214</v>
      </c>
      <c r="BB17" s="567">
        <f t="shared" si="12"/>
        <v>3</v>
      </c>
      <c r="BC17" s="567"/>
    </row>
    <row r="18" spans="1:55" ht="15.75">
      <c r="A18" s="260">
        <f t="shared" si="39"/>
        <v>44846</v>
      </c>
      <c r="B18" s="261">
        <f t="shared" si="13"/>
        <v>44846</v>
      </c>
      <c r="C18" s="262">
        <f>IF(A18="","",NumberOfWeek(A18))</f>
        <v>42</v>
      </c>
      <c r="D18" s="263">
        <f t="shared" si="14"/>
        <v>44834</v>
      </c>
      <c r="E18" s="273" t="str">
        <f t="shared" si="15"/>
        <v/>
      </c>
      <c r="F18" s="5"/>
      <c r="G18" s="6" t="str">
        <f t="shared" si="0"/>
        <v/>
      </c>
      <c r="H18" s="7"/>
      <c r="I18" s="7">
        <f t="shared" si="16"/>
        <v>0</v>
      </c>
      <c r="J18" s="76">
        <f t="shared" si="17"/>
        <v>0</v>
      </c>
      <c r="K18" s="7"/>
      <c r="L18" s="7">
        <f t="shared" si="18"/>
        <v>0</v>
      </c>
      <c r="M18" s="76">
        <f t="shared" si="1"/>
        <v>0</v>
      </c>
      <c r="N18" s="76"/>
      <c r="O18" s="76">
        <f t="shared" si="2"/>
        <v>0</v>
      </c>
      <c r="P18" s="76"/>
      <c r="Q18" s="76">
        <f t="shared" si="3"/>
        <v>0</v>
      </c>
      <c r="R18" s="76">
        <f t="shared" si="19"/>
        <v>0</v>
      </c>
      <c r="S18" s="76">
        <f t="shared" si="20"/>
        <v>0</v>
      </c>
      <c r="T18" s="76">
        <f t="shared" si="21"/>
        <v>0</v>
      </c>
      <c r="U18" s="76">
        <f t="shared" si="22"/>
        <v>0</v>
      </c>
      <c r="V18" s="109">
        <f t="shared" si="23"/>
        <v>0</v>
      </c>
      <c r="W18" s="62"/>
      <c r="X18" s="78">
        <f t="shared" si="4"/>
        <v>3.125E-2</v>
      </c>
      <c r="Y18" s="73">
        <f t="shared" si="24"/>
        <v>0</v>
      </c>
      <c r="Z18" s="74">
        <f t="shared" si="25"/>
        <v>0.29166666666666669</v>
      </c>
      <c r="AA18" s="75">
        <f t="shared" si="26"/>
        <v>0</v>
      </c>
      <c r="AB18" s="63" t="str">
        <f t="shared" si="27"/>
        <v/>
      </c>
      <c r="AC18" s="148">
        <f t="shared" si="5"/>
        <v>0</v>
      </c>
      <c r="AD18" s="107" t="str">
        <f t="shared" si="6"/>
        <v/>
      </c>
      <c r="AE18" s="180">
        <f t="shared" si="28"/>
        <v>0</v>
      </c>
      <c r="AF18" s="73"/>
      <c r="AG18" s="525"/>
      <c r="AH18" s="73"/>
      <c r="AI18" s="73" t="str">
        <f t="shared" si="41"/>
        <v/>
      </c>
      <c r="AJ18" s="64">
        <f t="shared" si="7"/>
        <v>0</v>
      </c>
      <c r="AK18" s="64">
        <f t="shared" si="8"/>
        <v>0</v>
      </c>
      <c r="AL18" s="64" t="str">
        <f t="shared" si="9"/>
        <v/>
      </c>
      <c r="AM18">
        <f t="shared" si="10"/>
        <v>2</v>
      </c>
      <c r="AN18" s="85">
        <f>SUM($AD$6:AD18)</f>
        <v>0</v>
      </c>
      <c r="AO18" s="85">
        <f t="shared" ca="1" si="30"/>
        <v>0</v>
      </c>
      <c r="AP18" s="89">
        <f t="shared" si="31"/>
        <v>0</v>
      </c>
      <c r="AQ18" s="89">
        <f t="shared" si="32"/>
        <v>0</v>
      </c>
      <c r="AR18" s="89">
        <f t="shared" si="33"/>
        <v>0</v>
      </c>
      <c r="AS18" s="88">
        <f t="shared" si="34"/>
        <v>0</v>
      </c>
      <c r="AT18" s="88">
        <f t="shared" ca="1" si="35"/>
        <v>0</v>
      </c>
      <c r="AU18" s="98">
        <f t="shared" si="36"/>
        <v>0</v>
      </c>
      <c r="AV18" s="88">
        <f t="shared" si="37"/>
        <v>0</v>
      </c>
      <c r="AW18" t="b">
        <f>OR((F18&gt;0),(NOT(ISBLANK(H18))),SUM(H18:H$373),SUM(G18:G$373))</f>
        <v>0</v>
      </c>
      <c r="AX18" t="b">
        <f t="shared" ca="1" si="11"/>
        <v>0</v>
      </c>
      <c r="AY18" s="519">
        <f t="shared" si="38"/>
        <v>-0.29166666666666669</v>
      </c>
      <c r="AZ18" s="180">
        <f>SUM(AY$5:AY18)</f>
        <v>-2.625</v>
      </c>
      <c r="BA18" s="567" t="s">
        <v>208</v>
      </c>
      <c r="BB18" s="567">
        <f t="shared" si="12"/>
        <v>1</v>
      </c>
      <c r="BC18" s="567"/>
    </row>
    <row r="19" spans="1:55" ht="15.75">
      <c r="A19" s="260">
        <f t="shared" si="39"/>
        <v>44847</v>
      </c>
      <c r="B19" s="261">
        <f t="shared" si="13"/>
        <v>44847</v>
      </c>
      <c r="C19" s="262">
        <f>IF(A19="","",NumberOfWeek(A19))</f>
        <v>42</v>
      </c>
      <c r="D19" s="263">
        <f t="shared" si="14"/>
        <v>44834</v>
      </c>
      <c r="E19" s="273" t="str">
        <f t="shared" si="15"/>
        <v/>
      </c>
      <c r="F19" s="5"/>
      <c r="G19" s="6" t="str">
        <f t="shared" si="0"/>
        <v/>
      </c>
      <c r="H19" s="7"/>
      <c r="I19" s="7">
        <f t="shared" si="16"/>
        <v>0</v>
      </c>
      <c r="J19" s="76">
        <f t="shared" si="17"/>
        <v>0</v>
      </c>
      <c r="K19" s="7"/>
      <c r="L19" s="7">
        <f t="shared" si="18"/>
        <v>0</v>
      </c>
      <c r="M19" s="76">
        <f t="shared" si="1"/>
        <v>0</v>
      </c>
      <c r="N19" s="76"/>
      <c r="O19" s="76">
        <f t="shared" si="2"/>
        <v>0</v>
      </c>
      <c r="P19" s="76"/>
      <c r="Q19" s="76">
        <f t="shared" si="3"/>
        <v>0</v>
      </c>
      <c r="R19" s="76">
        <f t="shared" si="19"/>
        <v>0</v>
      </c>
      <c r="S19" s="76">
        <f t="shared" si="20"/>
        <v>0</v>
      </c>
      <c r="T19" s="76">
        <f t="shared" si="21"/>
        <v>0</v>
      </c>
      <c r="U19" s="76">
        <f t="shared" si="22"/>
        <v>0</v>
      </c>
      <c r="V19" s="109">
        <f t="shared" si="23"/>
        <v>0</v>
      </c>
      <c r="W19" s="62"/>
      <c r="X19" s="78">
        <f t="shared" si="4"/>
        <v>3.125E-2</v>
      </c>
      <c r="Y19" s="73">
        <f t="shared" si="24"/>
        <v>0</v>
      </c>
      <c r="Z19" s="74">
        <f t="shared" si="25"/>
        <v>0.29166666666666669</v>
      </c>
      <c r="AA19" s="75">
        <f t="shared" si="26"/>
        <v>0</v>
      </c>
      <c r="AB19" s="63" t="str">
        <f t="shared" si="27"/>
        <v/>
      </c>
      <c r="AC19" s="148">
        <f t="shared" si="5"/>
        <v>0</v>
      </c>
      <c r="AD19" s="107" t="str">
        <f t="shared" si="6"/>
        <v/>
      </c>
      <c r="AE19" s="180">
        <f t="shared" si="28"/>
        <v>0</v>
      </c>
      <c r="AF19" s="73"/>
      <c r="AG19" s="525"/>
      <c r="AH19" s="73"/>
      <c r="AI19" s="73" t="str">
        <f t="shared" si="41"/>
        <v/>
      </c>
      <c r="AJ19" s="64">
        <f t="shared" si="7"/>
        <v>0</v>
      </c>
      <c r="AK19" s="64">
        <f t="shared" si="8"/>
        <v>0</v>
      </c>
      <c r="AL19" s="64" t="str">
        <f t="shared" si="9"/>
        <v/>
      </c>
      <c r="AM19">
        <f t="shared" si="10"/>
        <v>3</v>
      </c>
      <c r="AN19" s="85">
        <f>SUM($AD$6:AD19)</f>
        <v>0</v>
      </c>
      <c r="AO19" s="85">
        <f t="shared" ca="1" si="30"/>
        <v>0</v>
      </c>
      <c r="AP19" s="89">
        <f t="shared" si="31"/>
        <v>0</v>
      </c>
      <c r="AQ19" s="89">
        <f t="shared" si="32"/>
        <v>0</v>
      </c>
      <c r="AR19" s="89">
        <f t="shared" si="33"/>
        <v>0</v>
      </c>
      <c r="AS19" s="88">
        <f t="shared" si="34"/>
        <v>0</v>
      </c>
      <c r="AT19" s="88">
        <f t="shared" ca="1" si="35"/>
        <v>0</v>
      </c>
      <c r="AU19" s="98">
        <f t="shared" si="36"/>
        <v>0</v>
      </c>
      <c r="AV19" s="88">
        <f t="shared" si="37"/>
        <v>0</v>
      </c>
      <c r="AW19" t="b">
        <f>OR((F19&gt;0),(NOT(ISBLANK(H19))),SUM(H19:H$373),SUM(G19:G$373))</f>
        <v>0</v>
      </c>
      <c r="AX19" t="b">
        <f t="shared" ca="1" si="11"/>
        <v>0</v>
      </c>
      <c r="AY19" s="519">
        <f t="shared" si="38"/>
        <v>-0.29166666666666669</v>
      </c>
      <c r="AZ19" s="180">
        <f>SUM(AY$5:AY19)</f>
        <v>-2.9166666666666665</v>
      </c>
      <c r="BA19" s="567" t="s">
        <v>216</v>
      </c>
      <c r="BB19" s="567">
        <f t="shared" si="12"/>
        <v>2</v>
      </c>
      <c r="BC19" s="567"/>
    </row>
    <row r="20" spans="1:55" ht="15.75">
      <c r="A20" s="260">
        <f t="shared" si="39"/>
        <v>44848</v>
      </c>
      <c r="B20" s="261">
        <f t="shared" si="13"/>
        <v>44848</v>
      </c>
      <c r="C20" s="262">
        <f>IF(A20="","",NumberOfWeek(A20))</f>
        <v>42</v>
      </c>
      <c r="D20" s="263">
        <f t="shared" si="14"/>
        <v>44834</v>
      </c>
      <c r="E20" s="273" t="str">
        <f t="shared" si="15"/>
        <v/>
      </c>
      <c r="F20" s="5"/>
      <c r="G20" s="6" t="str">
        <f t="shared" si="0"/>
        <v/>
      </c>
      <c r="H20" s="7"/>
      <c r="I20" s="7">
        <f t="shared" ref="I20:I23" si="42">IF(H20&gt;0,H20+Y20+X20+AC20,0)</f>
        <v>0</v>
      </c>
      <c r="J20" s="76">
        <f t="shared" si="17"/>
        <v>0</v>
      </c>
      <c r="K20" s="7"/>
      <c r="L20" s="7">
        <f t="shared" si="18"/>
        <v>0</v>
      </c>
      <c r="M20" s="76">
        <f t="shared" si="1"/>
        <v>0</v>
      </c>
      <c r="N20" s="76"/>
      <c r="O20" s="76">
        <f t="shared" si="2"/>
        <v>0</v>
      </c>
      <c r="P20" s="76"/>
      <c r="Q20" s="76">
        <f t="shared" si="3"/>
        <v>0</v>
      </c>
      <c r="R20" s="76">
        <f t="shared" si="19"/>
        <v>0</v>
      </c>
      <c r="S20" s="76">
        <f t="shared" si="20"/>
        <v>0</v>
      </c>
      <c r="T20" s="76">
        <f t="shared" si="21"/>
        <v>0</v>
      </c>
      <c r="U20" s="76">
        <f t="shared" si="22"/>
        <v>0</v>
      </c>
      <c r="V20" s="109">
        <f t="shared" si="23"/>
        <v>0</v>
      </c>
      <c r="W20" s="62"/>
      <c r="X20" s="78">
        <f t="shared" si="4"/>
        <v>3.125E-2</v>
      </c>
      <c r="Y20" s="73">
        <f t="shared" si="24"/>
        <v>0</v>
      </c>
      <c r="Z20" s="74">
        <f t="shared" si="25"/>
        <v>0.29166666666666669</v>
      </c>
      <c r="AA20" s="75">
        <f t="shared" si="26"/>
        <v>0</v>
      </c>
      <c r="AB20" s="63" t="str">
        <f t="shared" si="27"/>
        <v/>
      </c>
      <c r="AC20" s="148">
        <f t="shared" si="5"/>
        <v>0</v>
      </c>
      <c r="AD20" s="107" t="str">
        <f t="shared" si="6"/>
        <v/>
      </c>
      <c r="AE20" s="180">
        <f t="shared" si="28"/>
        <v>0</v>
      </c>
      <c r="AF20" s="73"/>
      <c r="AG20" s="525"/>
      <c r="AH20" s="73"/>
      <c r="AI20" s="73" t="str">
        <f t="shared" si="41"/>
        <v/>
      </c>
      <c r="AJ20" s="64">
        <f t="shared" si="7"/>
        <v>0</v>
      </c>
      <c r="AK20" s="64">
        <f t="shared" si="8"/>
        <v>0</v>
      </c>
      <c r="AL20" s="64" t="str">
        <f t="shared" si="9"/>
        <v/>
      </c>
      <c r="AM20">
        <f t="shared" si="10"/>
        <v>4</v>
      </c>
      <c r="AN20" s="85">
        <f>SUM($AD$6:AD20)</f>
        <v>0</v>
      </c>
      <c r="AO20" s="85">
        <f t="shared" ca="1" si="30"/>
        <v>0</v>
      </c>
      <c r="AP20" s="89">
        <f t="shared" si="31"/>
        <v>0</v>
      </c>
      <c r="AQ20" s="89">
        <f t="shared" si="32"/>
        <v>0</v>
      </c>
      <c r="AR20" s="89">
        <f t="shared" si="33"/>
        <v>0</v>
      </c>
      <c r="AS20" s="88">
        <f t="shared" si="34"/>
        <v>0</v>
      </c>
      <c r="AT20" s="88">
        <f t="shared" ca="1" si="35"/>
        <v>0</v>
      </c>
      <c r="AU20" s="98">
        <f t="shared" si="36"/>
        <v>0</v>
      </c>
      <c r="AV20" s="88">
        <f t="shared" si="37"/>
        <v>0</v>
      </c>
      <c r="AW20" t="b">
        <f>OR((F20&gt;0),(NOT(ISBLANK(H20))),SUM(H20:H$373),SUM(G20:G$373))</f>
        <v>0</v>
      </c>
      <c r="AX20" t="b">
        <f t="shared" ca="1" si="11"/>
        <v>0</v>
      </c>
      <c r="AY20" s="519">
        <f t="shared" si="38"/>
        <v>-0.29166666666666669</v>
      </c>
      <c r="AZ20" s="180">
        <f>SUM(AY$5:AY20)</f>
        <v>-3.208333333333333</v>
      </c>
      <c r="BA20" s="567" t="s">
        <v>215</v>
      </c>
      <c r="BB20" s="567">
        <f t="shared" si="12"/>
        <v>4</v>
      </c>
      <c r="BC20" s="567"/>
    </row>
    <row r="21" spans="1:55" ht="15.75">
      <c r="A21" s="260">
        <f t="shared" si="39"/>
        <v>44849</v>
      </c>
      <c r="B21" s="261">
        <f t="shared" si="13"/>
        <v>44849</v>
      </c>
      <c r="C21" s="262">
        <f>IF(A21="","",NumberOfWeek(A21))</f>
        <v>42</v>
      </c>
      <c r="D21" s="263">
        <f t="shared" si="14"/>
        <v>44834</v>
      </c>
      <c r="E21" s="273" t="str">
        <f t="shared" si="15"/>
        <v/>
      </c>
      <c r="F21" s="5"/>
      <c r="G21" s="6" t="str">
        <f t="shared" si="0"/>
        <v/>
      </c>
      <c r="H21" s="7"/>
      <c r="I21" s="7">
        <f t="shared" si="42"/>
        <v>0</v>
      </c>
      <c r="J21" s="76">
        <f t="shared" si="17"/>
        <v>0</v>
      </c>
      <c r="K21" s="7"/>
      <c r="L21" s="7">
        <f t="shared" si="18"/>
        <v>0</v>
      </c>
      <c r="M21" s="76">
        <f t="shared" si="1"/>
        <v>0</v>
      </c>
      <c r="N21" s="76"/>
      <c r="O21" s="76">
        <f t="shared" si="2"/>
        <v>0</v>
      </c>
      <c r="P21" s="76"/>
      <c r="Q21" s="76">
        <f t="shared" si="3"/>
        <v>0</v>
      </c>
      <c r="R21" s="76">
        <f t="shared" si="19"/>
        <v>0</v>
      </c>
      <c r="S21" s="76">
        <f t="shared" si="20"/>
        <v>0</v>
      </c>
      <c r="T21" s="76">
        <f t="shared" si="21"/>
        <v>0</v>
      </c>
      <c r="U21" s="76">
        <f t="shared" si="22"/>
        <v>0</v>
      </c>
      <c r="V21" s="109">
        <f t="shared" si="23"/>
        <v>0</v>
      </c>
      <c r="W21" s="62"/>
      <c r="X21" s="78">
        <f t="shared" si="4"/>
        <v>3.125E-2</v>
      </c>
      <c r="Y21" s="73">
        <f t="shared" si="24"/>
        <v>0</v>
      </c>
      <c r="Z21" s="74">
        <f t="shared" si="25"/>
        <v>0.29166666666666669</v>
      </c>
      <c r="AA21" s="75">
        <f t="shared" si="26"/>
        <v>0</v>
      </c>
      <c r="AB21" s="63" t="str">
        <f t="shared" si="27"/>
        <v/>
      </c>
      <c r="AC21" s="148">
        <f t="shared" si="5"/>
        <v>0</v>
      </c>
      <c r="AD21" s="107" t="str">
        <f t="shared" si="6"/>
        <v/>
      </c>
      <c r="AE21" s="180">
        <f t="shared" si="28"/>
        <v>0</v>
      </c>
      <c r="AF21" s="73"/>
      <c r="AG21" s="525"/>
      <c r="AH21" s="73"/>
      <c r="AI21" s="73" t="str">
        <f t="shared" si="41"/>
        <v/>
      </c>
      <c r="AJ21" s="64">
        <f t="shared" si="7"/>
        <v>0</v>
      </c>
      <c r="AK21" s="64">
        <f t="shared" si="8"/>
        <v>0</v>
      </c>
      <c r="AL21" s="64" t="str">
        <f t="shared" si="9"/>
        <v/>
      </c>
      <c r="AM21">
        <f t="shared" si="10"/>
        <v>5</v>
      </c>
      <c r="AN21" s="85">
        <f>SUM($AD$6:AD21)</f>
        <v>0</v>
      </c>
      <c r="AO21" s="85">
        <f t="shared" ca="1" si="30"/>
        <v>0</v>
      </c>
      <c r="AP21" s="89">
        <f t="shared" si="31"/>
        <v>0</v>
      </c>
      <c r="AQ21" s="89">
        <f t="shared" si="32"/>
        <v>0</v>
      </c>
      <c r="AR21" s="89">
        <f t="shared" si="33"/>
        <v>0</v>
      </c>
      <c r="AS21" s="88">
        <f t="shared" si="34"/>
        <v>0</v>
      </c>
      <c r="AT21" s="88">
        <f t="shared" ca="1" si="35"/>
        <v>0</v>
      </c>
      <c r="AU21" s="98">
        <f t="shared" si="36"/>
        <v>0</v>
      </c>
      <c r="AV21" s="88">
        <f t="shared" si="37"/>
        <v>0</v>
      </c>
      <c r="AW21" t="b">
        <f>OR((F21&gt;0),(NOT(ISBLANK(H21))),SUM(H21:H$373),SUM(G21:G$373))</f>
        <v>0</v>
      </c>
      <c r="AX21" t="b">
        <f t="shared" ca="1" si="11"/>
        <v>0</v>
      </c>
      <c r="AY21" s="519">
        <f t="shared" si="38"/>
        <v>-0.29166666666666669</v>
      </c>
      <c r="AZ21" s="180">
        <f>SUM(AY$5:AY21)</f>
        <v>-3.4999999999999996</v>
      </c>
      <c r="BA21" s="567"/>
      <c r="BB21" s="567">
        <f t="shared" si="12"/>
        <v>0</v>
      </c>
      <c r="BC21" s="567"/>
    </row>
    <row r="22" spans="1:55" ht="15.75">
      <c r="A22" s="260">
        <f t="shared" si="39"/>
        <v>44850</v>
      </c>
      <c r="B22" s="261">
        <f t="shared" si="13"/>
        <v>44850</v>
      </c>
      <c r="C22" s="262">
        <f>IF(A22="","",NumberOfWeek(A22))</f>
        <v>42</v>
      </c>
      <c r="D22" s="263">
        <f t="shared" si="14"/>
        <v>44834</v>
      </c>
      <c r="E22" s="273" t="str">
        <f t="shared" si="15"/>
        <v/>
      </c>
      <c r="F22" s="5"/>
      <c r="G22" s="6" t="str">
        <f t="shared" si="0"/>
        <v/>
      </c>
      <c r="H22" s="7"/>
      <c r="I22" s="7">
        <f t="shared" si="42"/>
        <v>0</v>
      </c>
      <c r="J22" s="76">
        <f t="shared" si="17"/>
        <v>0</v>
      </c>
      <c r="K22" s="7"/>
      <c r="L22" s="7">
        <f t="shared" si="18"/>
        <v>0</v>
      </c>
      <c r="M22" s="76">
        <f t="shared" si="1"/>
        <v>0</v>
      </c>
      <c r="N22" s="76"/>
      <c r="O22" s="76">
        <f t="shared" si="2"/>
        <v>0</v>
      </c>
      <c r="P22" s="76"/>
      <c r="Q22" s="76">
        <f t="shared" si="3"/>
        <v>0</v>
      </c>
      <c r="R22" s="76">
        <f t="shared" si="19"/>
        <v>0</v>
      </c>
      <c r="S22" s="76">
        <f t="shared" si="20"/>
        <v>0</v>
      </c>
      <c r="T22" s="76">
        <f t="shared" si="21"/>
        <v>0</v>
      </c>
      <c r="U22" s="76">
        <f t="shared" si="22"/>
        <v>0</v>
      </c>
      <c r="V22" s="109">
        <f t="shared" si="23"/>
        <v>0</v>
      </c>
      <c r="W22" s="62"/>
      <c r="X22" s="78">
        <f t="shared" si="4"/>
        <v>3.125E-2</v>
      </c>
      <c r="Y22" s="73">
        <f t="shared" si="24"/>
        <v>0</v>
      </c>
      <c r="Z22" s="74">
        <f t="shared" si="25"/>
        <v>0</v>
      </c>
      <c r="AA22" s="75">
        <f t="shared" si="26"/>
        <v>0</v>
      </c>
      <c r="AB22" s="63" t="str">
        <f t="shared" si="27"/>
        <v/>
      </c>
      <c r="AC22" s="148">
        <f t="shared" si="5"/>
        <v>0</v>
      </c>
      <c r="AD22" s="107" t="str">
        <f t="shared" si="6"/>
        <v/>
      </c>
      <c r="AE22" s="180">
        <f t="shared" si="28"/>
        <v>0</v>
      </c>
      <c r="AF22" s="73"/>
      <c r="AG22" s="525"/>
      <c r="AH22" s="73"/>
      <c r="AI22" s="73" t="str">
        <f t="shared" si="41"/>
        <v/>
      </c>
      <c r="AJ22" s="64">
        <f t="shared" si="7"/>
        <v>0</v>
      </c>
      <c r="AK22" s="64">
        <f t="shared" si="8"/>
        <v>0</v>
      </c>
      <c r="AL22" s="64" t="str">
        <f t="shared" si="9"/>
        <v/>
      </c>
      <c r="AM22">
        <f t="shared" si="10"/>
        <v>6</v>
      </c>
      <c r="AN22" s="85">
        <f>SUM($AD$6:AD22)</f>
        <v>0</v>
      </c>
      <c r="AO22" s="85">
        <f t="shared" ca="1" si="30"/>
        <v>0</v>
      </c>
      <c r="AP22" s="89">
        <f t="shared" si="31"/>
        <v>0</v>
      </c>
      <c r="AQ22" s="89">
        <f t="shared" si="32"/>
        <v>0</v>
      </c>
      <c r="AR22" s="89">
        <f t="shared" si="33"/>
        <v>0</v>
      </c>
      <c r="AS22" s="88">
        <f t="shared" si="34"/>
        <v>0</v>
      </c>
      <c r="AT22" s="88">
        <f t="shared" ca="1" si="35"/>
        <v>0</v>
      </c>
      <c r="AU22" s="98">
        <f t="shared" si="36"/>
        <v>0</v>
      </c>
      <c r="AV22" s="88">
        <f t="shared" si="37"/>
        <v>7</v>
      </c>
      <c r="AW22" t="b">
        <f>OR((F22&gt;0),(NOT(ISBLANK(H22))),SUM(H22:H$373),SUM(G22:G$373))</f>
        <v>0</v>
      </c>
      <c r="AX22" t="b">
        <f t="shared" ca="1" si="11"/>
        <v>1</v>
      </c>
      <c r="AY22" s="519">
        <f t="shared" si="38"/>
        <v>0</v>
      </c>
      <c r="AZ22" s="180">
        <f>SUM(AY$5:AY22)</f>
        <v>-3.4999999999999996</v>
      </c>
      <c r="BA22" s="567"/>
      <c r="BB22" s="567">
        <f t="shared" si="12"/>
        <v>0</v>
      </c>
      <c r="BC22" s="567"/>
    </row>
    <row r="23" spans="1:55" ht="15.75">
      <c r="A23" s="260">
        <f t="shared" si="39"/>
        <v>44851</v>
      </c>
      <c r="B23" s="261">
        <f t="shared" si="13"/>
        <v>44851</v>
      </c>
      <c r="C23" s="262">
        <f>IF(A23="","",NumberOfWeek(A23))</f>
        <v>42</v>
      </c>
      <c r="D23" s="263">
        <f t="shared" si="14"/>
        <v>44834</v>
      </c>
      <c r="E23" s="273" t="str">
        <f t="shared" si="15"/>
        <v/>
      </c>
      <c r="F23" s="5"/>
      <c r="G23" s="6" t="str">
        <f t="shared" si="0"/>
        <v/>
      </c>
      <c r="H23" s="7"/>
      <c r="I23" s="7">
        <f t="shared" si="42"/>
        <v>0</v>
      </c>
      <c r="J23" s="76">
        <f t="shared" si="17"/>
        <v>0</v>
      </c>
      <c r="K23" s="7"/>
      <c r="L23" s="7">
        <f t="shared" si="18"/>
        <v>0</v>
      </c>
      <c r="M23" s="76">
        <f t="shared" si="1"/>
        <v>0</v>
      </c>
      <c r="N23" s="76"/>
      <c r="O23" s="76">
        <f t="shared" si="2"/>
        <v>0</v>
      </c>
      <c r="P23" s="76"/>
      <c r="Q23" s="76">
        <f t="shared" si="3"/>
        <v>0</v>
      </c>
      <c r="R23" s="76">
        <f t="shared" si="19"/>
        <v>0</v>
      </c>
      <c r="S23" s="76">
        <f t="shared" si="20"/>
        <v>0</v>
      </c>
      <c r="T23" s="76">
        <f t="shared" si="21"/>
        <v>0</v>
      </c>
      <c r="U23" s="76">
        <f t="shared" si="22"/>
        <v>0</v>
      </c>
      <c r="V23" s="109">
        <f t="shared" si="23"/>
        <v>0</v>
      </c>
      <c r="W23" s="62"/>
      <c r="X23" s="78">
        <f t="shared" si="4"/>
        <v>3.125E-2</v>
      </c>
      <c r="Y23" s="73">
        <f t="shared" si="24"/>
        <v>0</v>
      </c>
      <c r="Z23" s="74">
        <f t="shared" si="25"/>
        <v>0</v>
      </c>
      <c r="AA23" s="75">
        <f t="shared" si="26"/>
        <v>0</v>
      </c>
      <c r="AB23" s="63" t="str">
        <f t="shared" si="27"/>
        <v/>
      </c>
      <c r="AC23" s="148">
        <f t="shared" si="5"/>
        <v>0</v>
      </c>
      <c r="AD23" s="107" t="str">
        <f t="shared" si="6"/>
        <v/>
      </c>
      <c r="AE23" s="180">
        <f t="shared" si="28"/>
        <v>0</v>
      </c>
      <c r="AF23" s="73"/>
      <c r="AG23" s="525"/>
      <c r="AH23" s="73"/>
      <c r="AI23" s="73" t="str">
        <f t="shared" si="41"/>
        <v/>
      </c>
      <c r="AJ23" s="64">
        <f t="shared" si="7"/>
        <v>0</v>
      </c>
      <c r="AK23" s="64">
        <f t="shared" si="8"/>
        <v>0</v>
      </c>
      <c r="AL23" s="64" t="str">
        <f t="shared" si="9"/>
        <v/>
      </c>
      <c r="AM23">
        <f t="shared" si="10"/>
        <v>7</v>
      </c>
      <c r="AN23" s="85">
        <f>SUM($AD$6:AD23)</f>
        <v>0</v>
      </c>
      <c r="AO23" s="85">
        <f t="shared" ca="1" si="30"/>
        <v>0</v>
      </c>
      <c r="AP23" s="89">
        <f t="shared" si="31"/>
        <v>0</v>
      </c>
      <c r="AQ23" s="89">
        <f t="shared" si="32"/>
        <v>0</v>
      </c>
      <c r="AR23" s="89">
        <f t="shared" si="33"/>
        <v>0</v>
      </c>
      <c r="AS23" s="88">
        <f t="shared" si="34"/>
        <v>0</v>
      </c>
      <c r="AT23" s="88">
        <f t="shared" ca="1" si="35"/>
        <v>0</v>
      </c>
      <c r="AU23" s="98">
        <f t="shared" si="36"/>
        <v>0</v>
      </c>
      <c r="AV23" s="88">
        <f t="shared" si="37"/>
        <v>7</v>
      </c>
      <c r="AW23" t="b">
        <f>OR((F23&gt;0),(NOT(ISBLANK(H23))),SUM(H23:H$373),SUM(G23:G$373))</f>
        <v>0</v>
      </c>
      <c r="AX23" t="b">
        <f t="shared" ca="1" si="11"/>
        <v>1</v>
      </c>
      <c r="AY23" s="519">
        <f t="shared" si="38"/>
        <v>0</v>
      </c>
      <c r="AZ23" s="180">
        <f>SUM(AY$5:AY23)</f>
        <v>-3.4999999999999996</v>
      </c>
      <c r="BA23" s="567"/>
      <c r="BB23" s="567">
        <f t="shared" si="12"/>
        <v>0</v>
      </c>
      <c r="BC23" s="567"/>
    </row>
    <row r="24" spans="1:55" ht="15.75">
      <c r="A24" s="260">
        <f t="shared" si="39"/>
        <v>44852</v>
      </c>
      <c r="B24" s="261">
        <f t="shared" si="13"/>
        <v>44852</v>
      </c>
      <c r="C24" s="262">
        <f>IF(A24="","",NumberOfWeek(A24))</f>
        <v>43</v>
      </c>
      <c r="D24" s="263">
        <f t="shared" si="14"/>
        <v>44834</v>
      </c>
      <c r="E24" s="273" t="str">
        <f t="shared" si="15"/>
        <v/>
      </c>
      <c r="F24" s="5"/>
      <c r="G24" s="6" t="str">
        <f t="shared" si="0"/>
        <v/>
      </c>
      <c r="H24" s="7"/>
      <c r="I24" s="7">
        <f t="shared" si="16"/>
        <v>0</v>
      </c>
      <c r="J24" s="76">
        <f t="shared" si="17"/>
        <v>0</v>
      </c>
      <c r="K24" s="7"/>
      <c r="L24" s="7">
        <f t="shared" si="18"/>
        <v>0</v>
      </c>
      <c r="M24" s="76">
        <f t="shared" si="1"/>
        <v>0</v>
      </c>
      <c r="N24" s="76"/>
      <c r="O24" s="76">
        <f t="shared" si="2"/>
        <v>0</v>
      </c>
      <c r="P24" s="76"/>
      <c r="Q24" s="76">
        <f t="shared" si="3"/>
        <v>0</v>
      </c>
      <c r="R24" s="76">
        <f t="shared" si="19"/>
        <v>0</v>
      </c>
      <c r="S24" s="76">
        <f t="shared" si="20"/>
        <v>0</v>
      </c>
      <c r="T24" s="76">
        <f t="shared" si="21"/>
        <v>0</v>
      </c>
      <c r="U24" s="76">
        <f t="shared" si="22"/>
        <v>0</v>
      </c>
      <c r="V24" s="109">
        <f t="shared" si="23"/>
        <v>0</v>
      </c>
      <c r="W24" s="62"/>
      <c r="X24" s="78">
        <f t="shared" si="4"/>
        <v>3.125E-2</v>
      </c>
      <c r="Y24" s="73">
        <f t="shared" si="24"/>
        <v>0</v>
      </c>
      <c r="Z24" s="74">
        <f t="shared" si="25"/>
        <v>0.29166666666666669</v>
      </c>
      <c r="AA24" s="75">
        <f t="shared" si="26"/>
        <v>0</v>
      </c>
      <c r="AB24" s="63" t="str">
        <f t="shared" si="27"/>
        <v/>
      </c>
      <c r="AC24" s="148">
        <f t="shared" si="5"/>
        <v>0</v>
      </c>
      <c r="AD24" s="107" t="str">
        <f t="shared" si="6"/>
        <v/>
      </c>
      <c r="AE24" s="180">
        <f t="shared" si="28"/>
        <v>0</v>
      </c>
      <c r="AF24" s="73"/>
      <c r="AG24" s="525"/>
      <c r="AH24" s="73"/>
      <c r="AI24" s="73" t="str">
        <f t="shared" si="41"/>
        <v/>
      </c>
      <c r="AJ24" s="64">
        <f t="shared" si="7"/>
        <v>0</v>
      </c>
      <c r="AK24" s="64">
        <f t="shared" si="8"/>
        <v>0</v>
      </c>
      <c r="AL24" s="64" t="str">
        <f t="shared" si="9"/>
        <v/>
      </c>
      <c r="AM24">
        <f t="shared" si="10"/>
        <v>1</v>
      </c>
      <c r="AN24" s="85">
        <f>SUM($AD$6:AD24)</f>
        <v>0</v>
      </c>
      <c r="AO24" s="85">
        <f t="shared" ca="1" si="30"/>
        <v>0</v>
      </c>
      <c r="AP24" s="89">
        <f t="shared" si="31"/>
        <v>0</v>
      </c>
      <c r="AQ24" s="89">
        <f t="shared" si="32"/>
        <v>0</v>
      </c>
      <c r="AR24" s="89">
        <f t="shared" si="33"/>
        <v>0</v>
      </c>
      <c r="AS24" s="88">
        <f t="shared" si="34"/>
        <v>0</v>
      </c>
      <c r="AT24" s="88">
        <f t="shared" ca="1" si="35"/>
        <v>0</v>
      </c>
      <c r="AU24" s="98">
        <f t="shared" si="36"/>
        <v>0</v>
      </c>
      <c r="AV24" s="88">
        <f t="shared" si="37"/>
        <v>0</v>
      </c>
      <c r="AW24" t="b">
        <f>OR((F24&gt;0),(NOT(ISBLANK(H24))),SUM(H24:H$373),SUM(G24:G$373))</f>
        <v>0</v>
      </c>
      <c r="AX24" t="b">
        <f t="shared" ca="1" si="11"/>
        <v>0</v>
      </c>
      <c r="AY24" s="519">
        <f t="shared" si="38"/>
        <v>-0.29166666666666669</v>
      </c>
      <c r="AZ24" s="180">
        <f>SUM(AY$5:AY24)</f>
        <v>-3.7916666666666661</v>
      </c>
      <c r="BA24" s="567"/>
      <c r="BB24" s="567">
        <f t="shared" si="12"/>
        <v>0</v>
      </c>
      <c r="BC24" s="567"/>
    </row>
    <row r="25" spans="1:55" ht="15.75">
      <c r="A25" s="260">
        <f t="shared" si="39"/>
        <v>44853</v>
      </c>
      <c r="B25" s="261">
        <f t="shared" si="13"/>
        <v>44853</v>
      </c>
      <c r="C25" s="262">
        <f>IF(A25="","",NumberOfWeek(A25))</f>
        <v>43</v>
      </c>
      <c r="D25" s="263">
        <f t="shared" si="14"/>
        <v>44834</v>
      </c>
      <c r="E25" s="273" t="str">
        <f t="shared" si="15"/>
        <v/>
      </c>
      <c r="F25" s="5"/>
      <c r="G25" s="6" t="str">
        <f t="shared" si="0"/>
        <v/>
      </c>
      <c r="H25" s="7"/>
      <c r="I25" s="7">
        <f t="shared" si="16"/>
        <v>0</v>
      </c>
      <c r="J25" s="76">
        <f t="shared" si="17"/>
        <v>0</v>
      </c>
      <c r="K25" s="7"/>
      <c r="L25" s="7">
        <f t="shared" si="18"/>
        <v>0</v>
      </c>
      <c r="M25" s="76">
        <f t="shared" si="1"/>
        <v>0</v>
      </c>
      <c r="N25" s="76"/>
      <c r="O25" s="76">
        <f t="shared" si="2"/>
        <v>0</v>
      </c>
      <c r="P25" s="76"/>
      <c r="Q25" s="76">
        <f t="shared" si="3"/>
        <v>0</v>
      </c>
      <c r="R25" s="76">
        <f t="shared" si="19"/>
        <v>0</v>
      </c>
      <c r="S25" s="76">
        <f t="shared" si="20"/>
        <v>0</v>
      </c>
      <c r="T25" s="76">
        <f t="shared" si="21"/>
        <v>0</v>
      </c>
      <c r="U25" s="76">
        <f t="shared" si="22"/>
        <v>0</v>
      </c>
      <c r="V25" s="109">
        <f t="shared" si="23"/>
        <v>0</v>
      </c>
      <c r="W25" s="62"/>
      <c r="X25" s="78">
        <f t="shared" si="4"/>
        <v>3.125E-2</v>
      </c>
      <c r="Y25" s="73">
        <f t="shared" si="24"/>
        <v>0</v>
      </c>
      <c r="Z25" s="74">
        <f t="shared" si="25"/>
        <v>0.29166666666666669</v>
      </c>
      <c r="AA25" s="75">
        <f t="shared" si="26"/>
        <v>0</v>
      </c>
      <c r="AB25" s="63" t="str">
        <f t="shared" si="27"/>
        <v/>
      </c>
      <c r="AC25" s="148">
        <f t="shared" si="5"/>
        <v>0</v>
      </c>
      <c r="AD25" s="107" t="str">
        <f t="shared" si="6"/>
        <v/>
      </c>
      <c r="AE25" s="180">
        <f t="shared" si="28"/>
        <v>0</v>
      </c>
      <c r="AF25" s="73"/>
      <c r="AG25" s="525"/>
      <c r="AH25" s="73"/>
      <c r="AI25" s="73" t="str">
        <f t="shared" si="41"/>
        <v/>
      </c>
      <c r="AJ25" s="64">
        <f t="shared" si="7"/>
        <v>0</v>
      </c>
      <c r="AK25" s="64">
        <f t="shared" si="8"/>
        <v>0</v>
      </c>
      <c r="AL25" s="64" t="str">
        <f t="shared" si="9"/>
        <v/>
      </c>
      <c r="AM25">
        <f t="shared" si="10"/>
        <v>2</v>
      </c>
      <c r="AN25" s="85">
        <f>SUM($AD$6:AD25)</f>
        <v>0</v>
      </c>
      <c r="AO25" s="85">
        <f t="shared" ca="1" si="30"/>
        <v>0</v>
      </c>
      <c r="AP25" s="89">
        <f t="shared" si="31"/>
        <v>0</v>
      </c>
      <c r="AQ25" s="89">
        <f t="shared" si="32"/>
        <v>0</v>
      </c>
      <c r="AR25" s="89">
        <f t="shared" si="33"/>
        <v>0</v>
      </c>
      <c r="AS25" s="88">
        <f t="shared" si="34"/>
        <v>0</v>
      </c>
      <c r="AT25" s="88">
        <f t="shared" ca="1" si="35"/>
        <v>0</v>
      </c>
      <c r="AU25" s="98">
        <f t="shared" si="36"/>
        <v>0</v>
      </c>
      <c r="AV25" s="88">
        <f t="shared" si="37"/>
        <v>0</v>
      </c>
      <c r="AW25" t="b">
        <f>OR((F25&gt;0),(NOT(ISBLANK(H25))),SUM(H25:H$373),SUM(G25:G$373))</f>
        <v>0</v>
      </c>
      <c r="AX25" t="b">
        <f t="shared" ca="1" si="11"/>
        <v>0</v>
      </c>
      <c r="AY25" s="519">
        <f t="shared" si="38"/>
        <v>-0.29166666666666669</v>
      </c>
      <c r="AZ25" s="180">
        <f>SUM(AY$5:AY25)</f>
        <v>-4.083333333333333</v>
      </c>
      <c r="BA25" s="567"/>
      <c r="BB25" s="567">
        <f t="shared" si="12"/>
        <v>0</v>
      </c>
      <c r="BC25" s="567"/>
    </row>
    <row r="26" spans="1:55" ht="15.75">
      <c r="A26" s="260">
        <f t="shared" si="39"/>
        <v>44854</v>
      </c>
      <c r="B26" s="261">
        <f t="shared" si="13"/>
        <v>44854</v>
      </c>
      <c r="C26" s="262">
        <f>IF(A26="","",NumberOfWeek(A26))</f>
        <v>43</v>
      </c>
      <c r="D26" s="263">
        <f t="shared" si="14"/>
        <v>44834</v>
      </c>
      <c r="E26" s="273" t="str">
        <f t="shared" si="15"/>
        <v/>
      </c>
      <c r="F26" s="5"/>
      <c r="G26" s="6" t="str">
        <f t="shared" si="0"/>
        <v/>
      </c>
      <c r="H26" s="7"/>
      <c r="I26" s="7">
        <f t="shared" si="16"/>
        <v>0</v>
      </c>
      <c r="J26" s="76">
        <f t="shared" si="17"/>
        <v>0</v>
      </c>
      <c r="K26" s="7"/>
      <c r="L26" s="7">
        <f t="shared" si="18"/>
        <v>0</v>
      </c>
      <c r="M26" s="76">
        <f t="shared" si="1"/>
        <v>0</v>
      </c>
      <c r="N26" s="76"/>
      <c r="O26" s="76">
        <f t="shared" si="2"/>
        <v>0</v>
      </c>
      <c r="P26" s="76"/>
      <c r="Q26" s="76">
        <f t="shared" si="3"/>
        <v>0</v>
      </c>
      <c r="R26" s="76">
        <f t="shared" si="19"/>
        <v>0</v>
      </c>
      <c r="S26" s="76">
        <f t="shared" si="20"/>
        <v>0</v>
      </c>
      <c r="T26" s="76">
        <f t="shared" si="21"/>
        <v>0</v>
      </c>
      <c r="U26" s="76">
        <f t="shared" si="22"/>
        <v>0</v>
      </c>
      <c r="V26" s="109">
        <f t="shared" si="23"/>
        <v>0</v>
      </c>
      <c r="W26" s="62"/>
      <c r="X26" s="78">
        <f t="shared" si="4"/>
        <v>3.125E-2</v>
      </c>
      <c r="Y26" s="73">
        <f t="shared" si="24"/>
        <v>0</v>
      </c>
      <c r="Z26" s="74">
        <f t="shared" si="25"/>
        <v>0.29166666666666669</v>
      </c>
      <c r="AA26" s="75">
        <f t="shared" si="26"/>
        <v>0</v>
      </c>
      <c r="AB26" s="63" t="str">
        <f t="shared" si="27"/>
        <v/>
      </c>
      <c r="AC26" s="148">
        <f t="shared" si="5"/>
        <v>0</v>
      </c>
      <c r="AD26" s="107" t="str">
        <f t="shared" si="6"/>
        <v/>
      </c>
      <c r="AE26" s="180">
        <f t="shared" si="28"/>
        <v>0</v>
      </c>
      <c r="AF26" s="73"/>
      <c r="AG26" s="525"/>
      <c r="AH26" s="73"/>
      <c r="AI26" s="73" t="str">
        <f t="shared" si="41"/>
        <v/>
      </c>
      <c r="AJ26" s="64">
        <f t="shared" si="7"/>
        <v>0</v>
      </c>
      <c r="AK26" s="64">
        <f t="shared" si="8"/>
        <v>0</v>
      </c>
      <c r="AL26" s="64" t="str">
        <f t="shared" si="9"/>
        <v/>
      </c>
      <c r="AM26">
        <f t="shared" si="10"/>
        <v>3</v>
      </c>
      <c r="AN26" s="85">
        <f>SUM($AD$6:AD26)</f>
        <v>0</v>
      </c>
      <c r="AO26" s="85">
        <f t="shared" ca="1" si="30"/>
        <v>0</v>
      </c>
      <c r="AP26" s="89">
        <f t="shared" si="31"/>
        <v>0</v>
      </c>
      <c r="AQ26" s="89">
        <f t="shared" si="32"/>
        <v>0</v>
      </c>
      <c r="AR26" s="89">
        <f t="shared" si="33"/>
        <v>0</v>
      </c>
      <c r="AS26" s="88">
        <f t="shared" si="34"/>
        <v>0</v>
      </c>
      <c r="AT26" s="88">
        <f t="shared" ca="1" si="35"/>
        <v>0</v>
      </c>
      <c r="AU26" s="98">
        <f t="shared" si="36"/>
        <v>0</v>
      </c>
      <c r="AV26" s="88">
        <f t="shared" si="37"/>
        <v>0</v>
      </c>
      <c r="AW26" t="b">
        <f>OR((F26&gt;0),(NOT(ISBLANK(H26))),SUM(H26:H$373),SUM(G26:G$373))</f>
        <v>0</v>
      </c>
      <c r="AX26" t="b">
        <f t="shared" ca="1" si="11"/>
        <v>0</v>
      </c>
      <c r="AY26" s="519">
        <f t="shared" si="38"/>
        <v>-0.29166666666666669</v>
      </c>
      <c r="AZ26" s="180">
        <f>SUM(AY$5:AY26)</f>
        <v>-4.375</v>
      </c>
      <c r="BA26" s="567"/>
      <c r="BB26" s="567">
        <f t="shared" si="12"/>
        <v>0</v>
      </c>
      <c r="BC26" s="567"/>
    </row>
    <row r="27" spans="1:55" ht="15.75">
      <c r="A27" s="260">
        <f t="shared" si="39"/>
        <v>44855</v>
      </c>
      <c r="B27" s="261">
        <f t="shared" si="13"/>
        <v>44855</v>
      </c>
      <c r="C27" s="262">
        <f>IF(A27="","",NumberOfWeek(A27))</f>
        <v>43</v>
      </c>
      <c r="D27" s="263">
        <f t="shared" si="14"/>
        <v>44834</v>
      </c>
      <c r="E27" s="273" t="str">
        <f t="shared" si="15"/>
        <v/>
      </c>
      <c r="F27" s="5"/>
      <c r="G27" s="6" t="str">
        <f t="shared" si="0"/>
        <v/>
      </c>
      <c r="H27" s="7"/>
      <c r="I27" s="7">
        <f t="shared" ref="I27:I28" si="43">IF(H27&gt;0,H27+Y27+X27+AC27,0)</f>
        <v>0</v>
      </c>
      <c r="J27" s="76">
        <f t="shared" ref="J27:J28" si="44">IF(K27&gt;I27,IF(I27&lt;H27,I27+1,I27)-B_WalkTime,IF(I27&lt;H27,I27+1,I27))</f>
        <v>0</v>
      </c>
      <c r="K27" s="7"/>
      <c r="L27" s="7">
        <f t="shared" ref="L27:L28" si="45">IF(K27&gt;0,K27+IF((J27-H27)&lt;Y27,Y27-(J27-H27),TIME(0,10,0))+IF((K27-J27)&gt;xNoWorkTime,0,xNoWorkTime-(K27-J27)),0)</f>
        <v>0</v>
      </c>
      <c r="M27" s="76">
        <f t="shared" si="1"/>
        <v>0</v>
      </c>
      <c r="N27" s="76"/>
      <c r="O27" s="76">
        <f t="shared" si="2"/>
        <v>0</v>
      </c>
      <c r="P27" s="76"/>
      <c r="Q27" s="76">
        <f t="shared" si="3"/>
        <v>0</v>
      </c>
      <c r="R27" s="76">
        <f t="shared" si="19"/>
        <v>0</v>
      </c>
      <c r="S27" s="76">
        <f t="shared" si="20"/>
        <v>0</v>
      </c>
      <c r="T27" s="76">
        <f t="shared" si="21"/>
        <v>0</v>
      </c>
      <c r="U27" s="76">
        <f t="shared" si="22"/>
        <v>0</v>
      </c>
      <c r="V27" s="109">
        <f t="shared" si="23"/>
        <v>0</v>
      </c>
      <c r="W27" s="62"/>
      <c r="X27" s="78">
        <f t="shared" si="4"/>
        <v>3.125E-2</v>
      </c>
      <c r="Y27" s="73">
        <f t="shared" si="24"/>
        <v>0</v>
      </c>
      <c r="Z27" s="74">
        <f t="shared" si="25"/>
        <v>0.29166666666666669</v>
      </c>
      <c r="AA27" s="75">
        <f t="shared" si="26"/>
        <v>0</v>
      </c>
      <c r="AB27" s="63" t="str">
        <f t="shared" si="27"/>
        <v/>
      </c>
      <c r="AC27" s="148">
        <f t="shared" si="5"/>
        <v>0</v>
      </c>
      <c r="AD27" s="107" t="str">
        <f t="shared" si="6"/>
        <v/>
      </c>
      <c r="AE27" s="180">
        <f t="shared" si="28"/>
        <v>0</v>
      </c>
      <c r="AF27" s="73"/>
      <c r="AG27" s="525"/>
      <c r="AH27" s="73"/>
      <c r="AI27" s="73" t="str">
        <f t="shared" si="41"/>
        <v/>
      </c>
      <c r="AJ27" s="64">
        <f t="shared" si="7"/>
        <v>0</v>
      </c>
      <c r="AK27" s="64">
        <f t="shared" si="8"/>
        <v>0</v>
      </c>
      <c r="AL27" s="64" t="str">
        <f t="shared" si="9"/>
        <v/>
      </c>
      <c r="AM27">
        <f t="shared" si="10"/>
        <v>4</v>
      </c>
      <c r="AN27" s="85">
        <f>SUM($AD$6:AD27)</f>
        <v>0</v>
      </c>
      <c r="AO27" s="85">
        <f t="shared" ca="1" si="30"/>
        <v>0</v>
      </c>
      <c r="AP27" s="89">
        <f t="shared" si="31"/>
        <v>0</v>
      </c>
      <c r="AQ27" s="89">
        <f t="shared" si="32"/>
        <v>0</v>
      </c>
      <c r="AR27" s="89">
        <f t="shared" si="33"/>
        <v>0</v>
      </c>
      <c r="AS27" s="88">
        <f t="shared" si="34"/>
        <v>0</v>
      </c>
      <c r="AT27" s="88">
        <f t="shared" ca="1" si="35"/>
        <v>0</v>
      </c>
      <c r="AU27" s="98">
        <f t="shared" si="36"/>
        <v>0</v>
      </c>
      <c r="AV27" s="88">
        <f t="shared" si="37"/>
        <v>0</v>
      </c>
      <c r="AW27" t="b">
        <f>OR((F27&gt;0),(NOT(ISBLANK(H27))),SUM(H27:H$373),SUM(G27:G$373))</f>
        <v>0</v>
      </c>
      <c r="AX27" t="b">
        <f t="shared" ca="1" si="11"/>
        <v>0</v>
      </c>
      <c r="AY27" s="519">
        <f t="shared" si="38"/>
        <v>-0.29166666666666669</v>
      </c>
      <c r="AZ27" s="180">
        <f>SUM(AY$5:AY27)</f>
        <v>-4.666666666666667</v>
      </c>
      <c r="BA27" s="567"/>
      <c r="BB27" s="567">
        <f t="shared" si="12"/>
        <v>0</v>
      </c>
      <c r="BC27" s="567"/>
    </row>
    <row r="28" spans="1:55" ht="15.75">
      <c r="A28" s="260">
        <f t="shared" si="39"/>
        <v>44856</v>
      </c>
      <c r="B28" s="261">
        <f t="shared" si="13"/>
        <v>44856</v>
      </c>
      <c r="C28" s="262">
        <f>IF(A28="","",NumberOfWeek(A28))</f>
        <v>43</v>
      </c>
      <c r="D28" s="263">
        <f t="shared" si="14"/>
        <v>44834</v>
      </c>
      <c r="E28" s="273" t="str">
        <f t="shared" si="15"/>
        <v/>
      </c>
      <c r="F28" s="5"/>
      <c r="G28" s="6" t="str">
        <f t="shared" si="0"/>
        <v/>
      </c>
      <c r="H28" s="7"/>
      <c r="I28" s="7">
        <f t="shared" si="43"/>
        <v>0</v>
      </c>
      <c r="J28" s="76">
        <f t="shared" si="44"/>
        <v>0</v>
      </c>
      <c r="K28" s="7"/>
      <c r="L28" s="7">
        <f t="shared" si="45"/>
        <v>0</v>
      </c>
      <c r="M28" s="76">
        <f t="shared" si="1"/>
        <v>0</v>
      </c>
      <c r="N28" s="76"/>
      <c r="O28" s="76">
        <f t="shared" si="2"/>
        <v>0</v>
      </c>
      <c r="P28" s="76"/>
      <c r="Q28" s="76">
        <f t="shared" si="3"/>
        <v>0</v>
      </c>
      <c r="R28" s="76">
        <f t="shared" si="19"/>
        <v>0</v>
      </c>
      <c r="S28" s="76">
        <f t="shared" si="20"/>
        <v>0</v>
      </c>
      <c r="T28" s="76">
        <f t="shared" si="21"/>
        <v>0</v>
      </c>
      <c r="U28" s="76">
        <f t="shared" si="22"/>
        <v>0</v>
      </c>
      <c r="V28" s="109">
        <f t="shared" si="23"/>
        <v>0</v>
      </c>
      <c r="W28" s="62"/>
      <c r="X28" s="78">
        <f t="shared" si="4"/>
        <v>3.125E-2</v>
      </c>
      <c r="Y28" s="73">
        <f t="shared" si="24"/>
        <v>0</v>
      </c>
      <c r="Z28" s="74">
        <f t="shared" si="25"/>
        <v>0.29166666666666669</v>
      </c>
      <c r="AA28" s="75">
        <f t="shared" si="26"/>
        <v>0</v>
      </c>
      <c r="AB28" s="63" t="str">
        <f t="shared" si="27"/>
        <v/>
      </c>
      <c r="AC28" s="148">
        <f t="shared" si="5"/>
        <v>0</v>
      </c>
      <c r="AD28" s="107" t="str">
        <f t="shared" si="6"/>
        <v/>
      </c>
      <c r="AE28" s="180">
        <f t="shared" si="28"/>
        <v>0</v>
      </c>
      <c r="AF28" s="73"/>
      <c r="AG28" s="525"/>
      <c r="AH28" s="73"/>
      <c r="AI28" s="73" t="str">
        <f t="shared" si="41"/>
        <v/>
      </c>
      <c r="AJ28" s="64">
        <f t="shared" si="7"/>
        <v>0</v>
      </c>
      <c r="AK28" s="64">
        <f t="shared" si="8"/>
        <v>0</v>
      </c>
      <c r="AL28" s="64" t="str">
        <f t="shared" si="9"/>
        <v/>
      </c>
      <c r="AM28">
        <f t="shared" si="10"/>
        <v>5</v>
      </c>
      <c r="AN28" s="85">
        <f>SUM($AD$6:AD28)</f>
        <v>0</v>
      </c>
      <c r="AO28" s="85">
        <f t="shared" ca="1" si="30"/>
        <v>0</v>
      </c>
      <c r="AP28" s="89">
        <f t="shared" si="31"/>
        <v>0</v>
      </c>
      <c r="AQ28" s="89">
        <f t="shared" si="32"/>
        <v>0</v>
      </c>
      <c r="AR28" s="89">
        <f t="shared" si="33"/>
        <v>0</v>
      </c>
      <c r="AS28" s="88">
        <f t="shared" si="34"/>
        <v>0</v>
      </c>
      <c r="AT28" s="88">
        <f t="shared" ca="1" si="35"/>
        <v>0</v>
      </c>
      <c r="AU28" s="98">
        <f t="shared" si="36"/>
        <v>0</v>
      </c>
      <c r="AV28" s="88">
        <f t="shared" si="37"/>
        <v>0</v>
      </c>
      <c r="AW28" t="b">
        <f>OR((F28&gt;0),(NOT(ISBLANK(H28))),SUM(H28:H$373),SUM(G28:G$373))</f>
        <v>0</v>
      </c>
      <c r="AX28" t="b">
        <f t="shared" ca="1" si="11"/>
        <v>0</v>
      </c>
      <c r="AY28" s="519">
        <f t="shared" si="38"/>
        <v>-0.29166666666666669</v>
      </c>
      <c r="AZ28" s="180">
        <f>SUM(AY$5:AY28)</f>
        <v>-4.9583333333333339</v>
      </c>
      <c r="BA28" s="567"/>
      <c r="BB28" s="567">
        <f t="shared" si="12"/>
        <v>0</v>
      </c>
      <c r="BC28" s="567"/>
    </row>
    <row r="29" spans="1:55" ht="15.75">
      <c r="A29" s="260">
        <f t="shared" si="39"/>
        <v>44857</v>
      </c>
      <c r="B29" s="261">
        <f t="shared" si="13"/>
        <v>44857</v>
      </c>
      <c r="C29" s="262">
        <f>IF(A29="","",NumberOfWeek(A29))</f>
        <v>43</v>
      </c>
      <c r="D29" s="263">
        <f t="shared" si="14"/>
        <v>44834</v>
      </c>
      <c r="E29" s="273" t="str">
        <f t="shared" si="15"/>
        <v/>
      </c>
      <c r="F29" s="5"/>
      <c r="G29" s="6" t="str">
        <f t="shared" si="0"/>
        <v/>
      </c>
      <c r="H29" s="7"/>
      <c r="I29" s="7">
        <f t="shared" si="16"/>
        <v>0</v>
      </c>
      <c r="J29" s="76">
        <f t="shared" si="17"/>
        <v>0</v>
      </c>
      <c r="K29" s="7"/>
      <c r="L29" s="7">
        <f t="shared" si="18"/>
        <v>0</v>
      </c>
      <c r="M29" s="76">
        <f t="shared" si="1"/>
        <v>0</v>
      </c>
      <c r="N29" s="76"/>
      <c r="O29" s="76">
        <f t="shared" si="2"/>
        <v>0</v>
      </c>
      <c r="P29" s="76"/>
      <c r="Q29" s="76">
        <f t="shared" si="3"/>
        <v>0</v>
      </c>
      <c r="R29" s="76">
        <f t="shared" si="19"/>
        <v>0</v>
      </c>
      <c r="S29" s="76">
        <f t="shared" si="20"/>
        <v>0</v>
      </c>
      <c r="T29" s="76">
        <f t="shared" si="21"/>
        <v>0</v>
      </c>
      <c r="U29" s="76">
        <f t="shared" si="22"/>
        <v>0</v>
      </c>
      <c r="V29" s="109">
        <f t="shared" si="23"/>
        <v>0</v>
      </c>
      <c r="W29" s="62"/>
      <c r="X29" s="78">
        <f t="shared" si="4"/>
        <v>3.125E-2</v>
      </c>
      <c r="Y29" s="73">
        <f t="shared" si="24"/>
        <v>0</v>
      </c>
      <c r="Z29" s="74">
        <f t="shared" si="25"/>
        <v>0</v>
      </c>
      <c r="AA29" s="75">
        <f t="shared" si="26"/>
        <v>0</v>
      </c>
      <c r="AB29" s="63" t="str">
        <f t="shared" si="27"/>
        <v/>
      </c>
      <c r="AC29" s="148">
        <f t="shared" si="5"/>
        <v>0</v>
      </c>
      <c r="AD29" s="107" t="str">
        <f t="shared" si="6"/>
        <v/>
      </c>
      <c r="AE29" s="180">
        <f t="shared" si="28"/>
        <v>0</v>
      </c>
      <c r="AF29" s="73"/>
      <c r="AG29" s="525"/>
      <c r="AH29" s="73"/>
      <c r="AI29" s="73" t="str">
        <f t="shared" si="41"/>
        <v/>
      </c>
      <c r="AJ29" s="64">
        <f t="shared" si="7"/>
        <v>0</v>
      </c>
      <c r="AK29" s="64">
        <f t="shared" si="8"/>
        <v>0</v>
      </c>
      <c r="AL29" s="64" t="str">
        <f t="shared" si="9"/>
        <v/>
      </c>
      <c r="AM29">
        <f t="shared" si="10"/>
        <v>6</v>
      </c>
      <c r="AN29" s="85">
        <f>SUM($AD$6:AD29)</f>
        <v>0</v>
      </c>
      <c r="AO29" s="85">
        <f t="shared" ca="1" si="30"/>
        <v>0</v>
      </c>
      <c r="AP29" s="89">
        <f t="shared" si="31"/>
        <v>0</v>
      </c>
      <c r="AQ29" s="89">
        <f t="shared" si="32"/>
        <v>0</v>
      </c>
      <c r="AR29" s="89">
        <f t="shared" si="33"/>
        <v>0</v>
      </c>
      <c r="AS29" s="88">
        <f t="shared" si="34"/>
        <v>0</v>
      </c>
      <c r="AT29" s="88">
        <f t="shared" ca="1" si="35"/>
        <v>0</v>
      </c>
      <c r="AU29" s="98">
        <f t="shared" si="36"/>
        <v>0</v>
      </c>
      <c r="AV29" s="88">
        <f t="shared" si="37"/>
        <v>7</v>
      </c>
      <c r="AW29" t="b">
        <f>OR((F29&gt;0),(NOT(ISBLANK(H29))),SUM(H29:H$373),SUM(G29:G$373))</f>
        <v>0</v>
      </c>
      <c r="AX29" t="b">
        <f t="shared" ca="1" si="11"/>
        <v>1</v>
      </c>
      <c r="AY29" s="519">
        <f t="shared" si="38"/>
        <v>0</v>
      </c>
      <c r="AZ29" s="180">
        <f>SUM(AY$5:AY29)</f>
        <v>-4.9583333333333339</v>
      </c>
      <c r="BA29" s="567"/>
      <c r="BB29" s="567">
        <f t="shared" si="12"/>
        <v>0</v>
      </c>
      <c r="BC29" s="567"/>
    </row>
    <row r="30" spans="1:55" ht="15.75">
      <c r="A30" s="260">
        <f t="shared" si="39"/>
        <v>44858</v>
      </c>
      <c r="B30" s="261">
        <f t="shared" si="13"/>
        <v>44858</v>
      </c>
      <c r="C30" s="262">
        <f>IF(A30="","",NumberOfWeek(A30))</f>
        <v>43</v>
      </c>
      <c r="D30" s="263">
        <f t="shared" si="14"/>
        <v>44834</v>
      </c>
      <c r="E30" s="273" t="str">
        <f t="shared" si="15"/>
        <v/>
      </c>
      <c r="F30" s="5"/>
      <c r="G30" s="6" t="str">
        <f t="shared" si="0"/>
        <v/>
      </c>
      <c r="H30" s="7"/>
      <c r="I30" s="7">
        <f t="shared" si="16"/>
        <v>0</v>
      </c>
      <c r="J30" s="76">
        <f t="shared" si="17"/>
        <v>0</v>
      </c>
      <c r="K30" s="7"/>
      <c r="L30" s="7">
        <f t="shared" si="18"/>
        <v>0</v>
      </c>
      <c r="M30" s="76">
        <f t="shared" si="1"/>
        <v>0</v>
      </c>
      <c r="N30" s="76"/>
      <c r="O30" s="76">
        <f t="shared" si="2"/>
        <v>0</v>
      </c>
      <c r="P30" s="76"/>
      <c r="Q30" s="76">
        <f t="shared" si="3"/>
        <v>0</v>
      </c>
      <c r="R30" s="76">
        <f t="shared" si="19"/>
        <v>0</v>
      </c>
      <c r="S30" s="76">
        <f t="shared" si="20"/>
        <v>0</v>
      </c>
      <c r="T30" s="76">
        <f t="shared" si="21"/>
        <v>0</v>
      </c>
      <c r="U30" s="76">
        <f t="shared" si="22"/>
        <v>0</v>
      </c>
      <c r="V30" s="109">
        <f t="shared" si="23"/>
        <v>0</v>
      </c>
      <c r="W30" s="62"/>
      <c r="X30" s="78">
        <f t="shared" si="4"/>
        <v>3.125E-2</v>
      </c>
      <c r="Y30" s="73">
        <f t="shared" si="24"/>
        <v>0</v>
      </c>
      <c r="Z30" s="74">
        <f t="shared" si="25"/>
        <v>0</v>
      </c>
      <c r="AA30" s="75">
        <f t="shared" si="26"/>
        <v>0</v>
      </c>
      <c r="AB30" s="63" t="str">
        <f t="shared" si="27"/>
        <v/>
      </c>
      <c r="AC30" s="148">
        <f t="shared" si="5"/>
        <v>0</v>
      </c>
      <c r="AD30" s="107" t="str">
        <f t="shared" si="6"/>
        <v/>
      </c>
      <c r="AE30" s="180">
        <f t="shared" si="28"/>
        <v>0</v>
      </c>
      <c r="AF30" s="73"/>
      <c r="AG30" s="525"/>
      <c r="AH30" s="73"/>
      <c r="AI30" s="73" t="str">
        <f t="shared" si="41"/>
        <v/>
      </c>
      <c r="AJ30" s="64">
        <f t="shared" si="7"/>
        <v>0</v>
      </c>
      <c r="AK30" s="64">
        <f t="shared" si="8"/>
        <v>0</v>
      </c>
      <c r="AL30" s="64" t="str">
        <f t="shared" si="9"/>
        <v/>
      </c>
      <c r="AM30">
        <f t="shared" si="10"/>
        <v>7</v>
      </c>
      <c r="AN30" s="85">
        <f>SUM($AD$6:AD30)</f>
        <v>0</v>
      </c>
      <c r="AO30" s="85">
        <f t="shared" ca="1" si="30"/>
        <v>0</v>
      </c>
      <c r="AP30" s="89">
        <f t="shared" si="31"/>
        <v>0</v>
      </c>
      <c r="AQ30" s="89">
        <f t="shared" si="32"/>
        <v>0</v>
      </c>
      <c r="AR30" s="89">
        <f t="shared" si="33"/>
        <v>0</v>
      </c>
      <c r="AS30" s="88">
        <f t="shared" si="34"/>
        <v>0</v>
      </c>
      <c r="AT30" s="88">
        <f t="shared" ca="1" si="35"/>
        <v>0</v>
      </c>
      <c r="AU30" s="98">
        <f t="shared" si="36"/>
        <v>0</v>
      </c>
      <c r="AV30" s="88">
        <f t="shared" si="37"/>
        <v>7</v>
      </c>
      <c r="AW30" t="b">
        <f>OR((F30&gt;0),(NOT(ISBLANK(H30))),SUM(H30:H$373),SUM(G30:G$373))</f>
        <v>0</v>
      </c>
      <c r="AX30" t="b">
        <f t="shared" ca="1" si="11"/>
        <v>1</v>
      </c>
      <c r="AY30" s="519">
        <f t="shared" si="38"/>
        <v>0</v>
      </c>
      <c r="AZ30" s="180">
        <f>SUM(AY$5:AY30)</f>
        <v>-4.9583333333333339</v>
      </c>
      <c r="BA30" s="567"/>
      <c r="BB30" s="567">
        <f t="shared" si="12"/>
        <v>0</v>
      </c>
      <c r="BC30" s="567"/>
    </row>
    <row r="31" spans="1:55" ht="15.75">
      <c r="A31" s="260">
        <f t="shared" si="39"/>
        <v>44859</v>
      </c>
      <c r="B31" s="261">
        <f t="shared" si="13"/>
        <v>44859</v>
      </c>
      <c r="C31" s="262">
        <f>IF(A31="","",NumberOfWeek(A31))</f>
        <v>44</v>
      </c>
      <c r="D31" s="263">
        <f t="shared" si="14"/>
        <v>44834</v>
      </c>
      <c r="E31" s="273" t="str">
        <f t="shared" si="15"/>
        <v/>
      </c>
      <c r="F31" s="5"/>
      <c r="G31" s="6" t="str">
        <f t="shared" si="0"/>
        <v/>
      </c>
      <c r="H31" s="7"/>
      <c r="I31" s="7">
        <f t="shared" si="16"/>
        <v>0</v>
      </c>
      <c r="J31" s="76">
        <f t="shared" si="17"/>
        <v>0</v>
      </c>
      <c r="K31" s="7"/>
      <c r="L31" s="7">
        <f t="shared" si="18"/>
        <v>0</v>
      </c>
      <c r="M31" s="76">
        <f t="shared" si="1"/>
        <v>0</v>
      </c>
      <c r="N31" s="76"/>
      <c r="O31" s="76">
        <f t="shared" si="2"/>
        <v>0</v>
      </c>
      <c r="P31" s="76"/>
      <c r="Q31" s="76">
        <f t="shared" si="3"/>
        <v>0</v>
      </c>
      <c r="R31" s="76">
        <f t="shared" si="19"/>
        <v>0</v>
      </c>
      <c r="S31" s="76">
        <f t="shared" si="20"/>
        <v>0</v>
      </c>
      <c r="T31" s="76">
        <f t="shared" si="21"/>
        <v>0</v>
      </c>
      <c r="U31" s="76">
        <f t="shared" si="22"/>
        <v>0</v>
      </c>
      <c r="V31" s="109">
        <f t="shared" si="23"/>
        <v>0</v>
      </c>
      <c r="W31" s="62"/>
      <c r="X31" s="78">
        <f t="shared" si="4"/>
        <v>3.125E-2</v>
      </c>
      <c r="Y31" s="73">
        <f t="shared" si="24"/>
        <v>0</v>
      </c>
      <c r="Z31" s="74">
        <f t="shared" si="25"/>
        <v>0.29166666666666669</v>
      </c>
      <c r="AA31" s="75">
        <f t="shared" si="26"/>
        <v>0</v>
      </c>
      <c r="AB31" s="63" t="str">
        <f t="shared" si="27"/>
        <v/>
      </c>
      <c r="AC31" s="148">
        <f t="shared" si="5"/>
        <v>0</v>
      </c>
      <c r="AD31" s="107" t="str">
        <f t="shared" si="6"/>
        <v/>
      </c>
      <c r="AE31" s="180">
        <f t="shared" si="28"/>
        <v>0</v>
      </c>
      <c r="AF31" s="73"/>
      <c r="AG31" s="525"/>
      <c r="AH31" s="73"/>
      <c r="AI31" s="73" t="str">
        <f t="shared" si="41"/>
        <v/>
      </c>
      <c r="AJ31" s="64">
        <f t="shared" si="7"/>
        <v>0</v>
      </c>
      <c r="AK31" s="64">
        <f t="shared" si="8"/>
        <v>0</v>
      </c>
      <c r="AL31" s="64" t="str">
        <f t="shared" si="9"/>
        <v/>
      </c>
      <c r="AM31">
        <f t="shared" si="10"/>
        <v>1</v>
      </c>
      <c r="AN31" s="85">
        <f>SUM($AD$6:AD31)</f>
        <v>0</v>
      </c>
      <c r="AO31" s="85">
        <f t="shared" ca="1" si="30"/>
        <v>0</v>
      </c>
      <c r="AP31" s="89">
        <f t="shared" si="31"/>
        <v>0</v>
      </c>
      <c r="AQ31" s="89">
        <f t="shared" si="32"/>
        <v>0</v>
      </c>
      <c r="AR31" s="89">
        <f t="shared" si="33"/>
        <v>0</v>
      </c>
      <c r="AS31" s="88">
        <f t="shared" si="34"/>
        <v>0</v>
      </c>
      <c r="AT31" s="88">
        <f t="shared" ca="1" si="35"/>
        <v>0</v>
      </c>
      <c r="AU31" s="98">
        <f t="shared" si="36"/>
        <v>0</v>
      </c>
      <c r="AV31" s="88">
        <f t="shared" si="37"/>
        <v>0</v>
      </c>
      <c r="AW31" t="b">
        <f>OR((F31&gt;0),(NOT(ISBLANK(H31))),SUM(H31:H$373),SUM(G31:G$373))</f>
        <v>0</v>
      </c>
      <c r="AX31" t="b">
        <f t="shared" ca="1" si="11"/>
        <v>0</v>
      </c>
      <c r="AY31" s="519">
        <f t="shared" si="38"/>
        <v>-0.29166666666666669</v>
      </c>
      <c r="AZ31" s="180">
        <f>SUM(AY$5:AY31)</f>
        <v>-5.2500000000000009</v>
      </c>
      <c r="BA31" s="567"/>
      <c r="BB31" s="567">
        <f t="shared" si="12"/>
        <v>0</v>
      </c>
      <c r="BC31" s="567"/>
    </row>
    <row r="32" spans="1:55" ht="15.75">
      <c r="A32" s="260">
        <f t="shared" si="39"/>
        <v>44860</v>
      </c>
      <c r="B32" s="261">
        <f t="shared" si="13"/>
        <v>44860</v>
      </c>
      <c r="C32" s="262">
        <f>IF(A32="","",NumberOfWeek(A32))</f>
        <v>44</v>
      </c>
      <c r="D32" s="263">
        <f t="shared" si="14"/>
        <v>44834</v>
      </c>
      <c r="E32" s="273" t="str">
        <f t="shared" si="15"/>
        <v/>
      </c>
      <c r="F32" s="5"/>
      <c r="G32" s="6" t="str">
        <f t="shared" si="0"/>
        <v/>
      </c>
      <c r="H32" s="7"/>
      <c r="I32" s="7">
        <f t="shared" si="16"/>
        <v>0</v>
      </c>
      <c r="J32" s="76">
        <f t="shared" si="17"/>
        <v>0</v>
      </c>
      <c r="K32" s="7"/>
      <c r="L32" s="7">
        <f t="shared" si="18"/>
        <v>0</v>
      </c>
      <c r="M32" s="76">
        <f t="shared" si="1"/>
        <v>0</v>
      </c>
      <c r="N32" s="76"/>
      <c r="O32" s="76">
        <f t="shared" si="2"/>
        <v>0</v>
      </c>
      <c r="P32" s="76"/>
      <c r="Q32" s="76">
        <f t="shared" si="3"/>
        <v>0</v>
      </c>
      <c r="R32" s="76">
        <f t="shared" si="19"/>
        <v>0</v>
      </c>
      <c r="S32" s="76">
        <f t="shared" si="20"/>
        <v>0</v>
      </c>
      <c r="T32" s="76">
        <f t="shared" si="21"/>
        <v>0</v>
      </c>
      <c r="U32" s="76">
        <f t="shared" si="22"/>
        <v>0</v>
      </c>
      <c r="V32" s="109">
        <f t="shared" si="23"/>
        <v>0</v>
      </c>
      <c r="W32" s="62"/>
      <c r="X32" s="78">
        <f t="shared" si="4"/>
        <v>3.125E-2</v>
      </c>
      <c r="Y32" s="73">
        <f t="shared" si="24"/>
        <v>0</v>
      </c>
      <c r="Z32" s="74">
        <f t="shared" si="25"/>
        <v>0.29166666666666669</v>
      </c>
      <c r="AA32" s="75">
        <f t="shared" si="26"/>
        <v>0</v>
      </c>
      <c r="AB32" s="63" t="str">
        <f t="shared" si="27"/>
        <v/>
      </c>
      <c r="AC32" s="148">
        <f t="shared" si="5"/>
        <v>0</v>
      </c>
      <c r="AD32" s="107" t="str">
        <f t="shared" si="6"/>
        <v/>
      </c>
      <c r="AE32" s="180">
        <f t="shared" si="28"/>
        <v>0</v>
      </c>
      <c r="AF32" s="73"/>
      <c r="AG32" s="525"/>
      <c r="AH32" s="73"/>
      <c r="AI32" s="73" t="str">
        <f t="shared" si="41"/>
        <v/>
      </c>
      <c r="AJ32" s="64">
        <f t="shared" si="7"/>
        <v>0</v>
      </c>
      <c r="AK32" s="64">
        <f t="shared" si="8"/>
        <v>0</v>
      </c>
      <c r="AL32" s="64" t="str">
        <f t="shared" si="9"/>
        <v/>
      </c>
      <c r="AM32">
        <f t="shared" si="10"/>
        <v>2</v>
      </c>
      <c r="AN32" s="85">
        <f>SUM($AD$6:AD32)</f>
        <v>0</v>
      </c>
      <c r="AO32" s="85">
        <f t="shared" ca="1" si="30"/>
        <v>0</v>
      </c>
      <c r="AP32" s="89">
        <f t="shared" si="31"/>
        <v>0</v>
      </c>
      <c r="AQ32" s="89">
        <f t="shared" si="32"/>
        <v>0</v>
      </c>
      <c r="AR32" s="89">
        <f t="shared" si="33"/>
        <v>0</v>
      </c>
      <c r="AS32" s="88">
        <f t="shared" si="34"/>
        <v>0</v>
      </c>
      <c r="AT32" s="88">
        <f t="shared" ca="1" si="35"/>
        <v>0</v>
      </c>
      <c r="AU32" s="98">
        <f t="shared" si="36"/>
        <v>0</v>
      </c>
      <c r="AV32" s="88">
        <f t="shared" si="37"/>
        <v>0</v>
      </c>
      <c r="AW32" t="b">
        <f>OR((F32&gt;0),(NOT(ISBLANK(H32))),SUM(H32:H$373),SUM(G32:G$373))</f>
        <v>0</v>
      </c>
      <c r="AX32" t="b">
        <f t="shared" ca="1" si="11"/>
        <v>0</v>
      </c>
      <c r="AY32" s="519">
        <f t="shared" si="38"/>
        <v>-0.29166666666666669</v>
      </c>
      <c r="AZ32" s="180">
        <f>SUM(AY$5:AY32)</f>
        <v>-5.5416666666666679</v>
      </c>
      <c r="BA32" s="567"/>
      <c r="BB32" s="567">
        <f t="shared" si="12"/>
        <v>0</v>
      </c>
      <c r="BC32" s="567"/>
    </row>
    <row r="33" spans="1:55" ht="15.75">
      <c r="A33" s="260">
        <f t="shared" si="39"/>
        <v>44861</v>
      </c>
      <c r="B33" s="261">
        <f t="shared" si="13"/>
        <v>44861</v>
      </c>
      <c r="C33" s="262">
        <f>IF(A33="","",NumberOfWeek(A33))</f>
        <v>44</v>
      </c>
      <c r="D33" s="263">
        <f t="shared" si="14"/>
        <v>44834</v>
      </c>
      <c r="E33" s="273" t="str">
        <f t="shared" si="15"/>
        <v/>
      </c>
      <c r="F33" s="5"/>
      <c r="G33" s="6" t="str">
        <f t="shared" si="0"/>
        <v/>
      </c>
      <c r="H33" s="7"/>
      <c r="I33" s="7">
        <f t="shared" si="16"/>
        <v>0</v>
      </c>
      <c r="J33" s="76">
        <f t="shared" si="17"/>
        <v>0</v>
      </c>
      <c r="K33" s="7"/>
      <c r="L33" s="7">
        <f t="shared" si="18"/>
        <v>0</v>
      </c>
      <c r="M33" s="76">
        <f t="shared" si="1"/>
        <v>0</v>
      </c>
      <c r="N33" s="76"/>
      <c r="O33" s="76">
        <f t="shared" si="2"/>
        <v>0</v>
      </c>
      <c r="P33" s="76"/>
      <c r="Q33" s="76">
        <f t="shared" si="3"/>
        <v>0</v>
      </c>
      <c r="R33" s="76">
        <f t="shared" si="19"/>
        <v>0</v>
      </c>
      <c r="S33" s="76">
        <f t="shared" si="20"/>
        <v>0</v>
      </c>
      <c r="T33" s="76">
        <f t="shared" si="21"/>
        <v>0</v>
      </c>
      <c r="U33" s="76">
        <f t="shared" si="22"/>
        <v>0</v>
      </c>
      <c r="V33" s="109">
        <f t="shared" si="23"/>
        <v>0</v>
      </c>
      <c r="W33" s="62"/>
      <c r="X33" s="78">
        <f t="shared" si="4"/>
        <v>3.125E-2</v>
      </c>
      <c r="Y33" s="73">
        <f t="shared" si="24"/>
        <v>0</v>
      </c>
      <c r="Z33" s="74">
        <f t="shared" si="25"/>
        <v>0.29166666666666669</v>
      </c>
      <c r="AA33" s="75">
        <f t="shared" si="26"/>
        <v>0</v>
      </c>
      <c r="AB33" s="63" t="str">
        <f t="shared" si="27"/>
        <v/>
      </c>
      <c r="AC33" s="148">
        <f t="shared" si="5"/>
        <v>0</v>
      </c>
      <c r="AD33" s="107" t="str">
        <f t="shared" si="6"/>
        <v/>
      </c>
      <c r="AE33" s="180">
        <f t="shared" si="28"/>
        <v>0</v>
      </c>
      <c r="AF33" s="73"/>
      <c r="AG33" s="525"/>
      <c r="AH33" s="73"/>
      <c r="AI33" s="73" t="str">
        <f t="shared" si="41"/>
        <v/>
      </c>
      <c r="AJ33" s="64">
        <f t="shared" si="7"/>
        <v>0</v>
      </c>
      <c r="AK33" s="64">
        <f t="shared" si="8"/>
        <v>0</v>
      </c>
      <c r="AL33" s="64" t="str">
        <f t="shared" si="9"/>
        <v/>
      </c>
      <c r="AM33">
        <f t="shared" si="10"/>
        <v>3</v>
      </c>
      <c r="AN33" s="85">
        <f>SUM($AD$6:AD33)</f>
        <v>0</v>
      </c>
      <c r="AO33" s="85">
        <f t="shared" ca="1" si="30"/>
        <v>0</v>
      </c>
      <c r="AP33" s="89">
        <f t="shared" si="31"/>
        <v>0</v>
      </c>
      <c r="AQ33" s="89">
        <f t="shared" si="32"/>
        <v>0</v>
      </c>
      <c r="AR33" s="89">
        <f t="shared" si="33"/>
        <v>0</v>
      </c>
      <c r="AS33" s="88">
        <f t="shared" si="34"/>
        <v>0</v>
      </c>
      <c r="AT33" s="88">
        <f t="shared" ca="1" si="35"/>
        <v>0</v>
      </c>
      <c r="AU33" s="98">
        <f t="shared" si="36"/>
        <v>0</v>
      </c>
      <c r="AV33" s="88">
        <f t="shared" si="37"/>
        <v>0</v>
      </c>
      <c r="AW33" t="b">
        <f>OR((F33&gt;0),(NOT(ISBLANK(H33))),SUM(H33:H$373),SUM(G33:G$373))</f>
        <v>0</v>
      </c>
      <c r="AX33" t="b">
        <f t="shared" ca="1" si="11"/>
        <v>0</v>
      </c>
      <c r="AY33" s="519">
        <f t="shared" si="38"/>
        <v>-0.29166666666666669</v>
      </c>
      <c r="AZ33" s="180">
        <f>SUM(AY$5:AY33)</f>
        <v>-5.8333333333333348</v>
      </c>
      <c r="BA33" s="567"/>
      <c r="BB33" s="567">
        <f t="shared" si="12"/>
        <v>0</v>
      </c>
      <c r="BC33" s="567"/>
    </row>
    <row r="34" spans="1:55" ht="15.75">
      <c r="A34" s="260">
        <f t="shared" si="39"/>
        <v>44862</v>
      </c>
      <c r="B34" s="261">
        <f t="shared" si="13"/>
        <v>44862</v>
      </c>
      <c r="C34" s="262">
        <f>IF(A34="","",NumberOfWeek(A34))</f>
        <v>44</v>
      </c>
      <c r="D34" s="263">
        <f t="shared" si="14"/>
        <v>44834</v>
      </c>
      <c r="E34" s="273" t="str">
        <f t="shared" si="15"/>
        <v/>
      </c>
      <c r="F34" s="5"/>
      <c r="G34" s="6" t="str">
        <f t="shared" si="0"/>
        <v/>
      </c>
      <c r="H34" s="7"/>
      <c r="I34" s="7">
        <f t="shared" si="16"/>
        <v>0</v>
      </c>
      <c r="J34" s="76">
        <f t="shared" si="17"/>
        <v>0</v>
      </c>
      <c r="K34" s="7"/>
      <c r="L34" s="7">
        <f t="shared" si="18"/>
        <v>0</v>
      </c>
      <c r="M34" s="76">
        <f t="shared" si="1"/>
        <v>0</v>
      </c>
      <c r="N34" s="76"/>
      <c r="O34" s="76">
        <f t="shared" si="2"/>
        <v>0</v>
      </c>
      <c r="P34" s="76"/>
      <c r="Q34" s="76">
        <f t="shared" si="3"/>
        <v>0</v>
      </c>
      <c r="R34" s="76">
        <f t="shared" si="19"/>
        <v>0</v>
      </c>
      <c r="S34" s="76">
        <f t="shared" si="20"/>
        <v>0</v>
      </c>
      <c r="T34" s="76">
        <f t="shared" si="21"/>
        <v>0</v>
      </c>
      <c r="U34" s="76">
        <f t="shared" si="22"/>
        <v>0</v>
      </c>
      <c r="V34" s="109">
        <f t="shared" si="23"/>
        <v>0</v>
      </c>
      <c r="W34" s="62"/>
      <c r="X34" s="78">
        <f t="shared" si="4"/>
        <v>3.125E-2</v>
      </c>
      <c r="Y34" s="73">
        <f t="shared" si="24"/>
        <v>0</v>
      </c>
      <c r="Z34" s="74">
        <f t="shared" si="25"/>
        <v>0.29166666666666669</v>
      </c>
      <c r="AA34" s="75">
        <f t="shared" si="26"/>
        <v>0</v>
      </c>
      <c r="AB34" s="63" t="str">
        <f t="shared" si="27"/>
        <v/>
      </c>
      <c r="AC34" s="148">
        <f t="shared" si="5"/>
        <v>0</v>
      </c>
      <c r="AD34" s="107" t="str">
        <f t="shared" si="6"/>
        <v/>
      </c>
      <c r="AE34" s="180">
        <f t="shared" si="28"/>
        <v>0</v>
      </c>
      <c r="AF34" s="73"/>
      <c r="AG34" s="525"/>
      <c r="AH34" s="73"/>
      <c r="AI34" s="73" t="str">
        <f t="shared" si="41"/>
        <v/>
      </c>
      <c r="AJ34" s="64">
        <f t="shared" si="7"/>
        <v>0</v>
      </c>
      <c r="AK34" s="64">
        <f t="shared" si="8"/>
        <v>0</v>
      </c>
      <c r="AL34" s="64" t="str">
        <f t="shared" si="9"/>
        <v/>
      </c>
      <c r="AM34">
        <f t="shared" si="10"/>
        <v>4</v>
      </c>
      <c r="AN34" s="85">
        <f>SUM($AD$6:AD34)</f>
        <v>0</v>
      </c>
      <c r="AO34" s="85">
        <f t="shared" ca="1" si="30"/>
        <v>0</v>
      </c>
      <c r="AP34" s="89">
        <f t="shared" si="31"/>
        <v>0</v>
      </c>
      <c r="AQ34" s="89">
        <f t="shared" si="32"/>
        <v>0</v>
      </c>
      <c r="AR34" s="89">
        <f t="shared" si="33"/>
        <v>0</v>
      </c>
      <c r="AS34" s="88">
        <f t="shared" si="34"/>
        <v>0</v>
      </c>
      <c r="AT34" s="88">
        <f t="shared" ca="1" si="35"/>
        <v>0</v>
      </c>
      <c r="AU34" s="98">
        <f t="shared" si="36"/>
        <v>0</v>
      </c>
      <c r="AV34" s="88">
        <f t="shared" si="37"/>
        <v>0</v>
      </c>
      <c r="AW34" t="b">
        <f>OR((F34&gt;0),(NOT(ISBLANK(H34))),SUM(H34:H$373),SUM(G34:G$373))</f>
        <v>0</v>
      </c>
      <c r="AX34" t="b">
        <f t="shared" ca="1" si="11"/>
        <v>0</v>
      </c>
      <c r="AY34" s="519">
        <f t="shared" si="38"/>
        <v>-0.29166666666666669</v>
      </c>
      <c r="AZ34" s="180">
        <f>SUM(AY$5:AY34)</f>
        <v>-6.1250000000000018</v>
      </c>
      <c r="BA34" s="567"/>
      <c r="BB34" s="567">
        <f t="shared" si="12"/>
        <v>0</v>
      </c>
      <c r="BC34" s="567"/>
    </row>
    <row r="35" spans="1:55" ht="15.75">
      <c r="A35" s="260">
        <f t="shared" si="39"/>
        <v>44863</v>
      </c>
      <c r="B35" s="261">
        <f t="shared" si="13"/>
        <v>44863</v>
      </c>
      <c r="C35" s="262">
        <f>IF(A35="","",NumberOfWeek(A35))</f>
        <v>44</v>
      </c>
      <c r="D35" s="263">
        <f t="shared" si="14"/>
        <v>44834</v>
      </c>
      <c r="E35" s="273" t="str">
        <f t="shared" si="15"/>
        <v/>
      </c>
      <c r="F35" s="5"/>
      <c r="G35" s="6" t="str">
        <f t="shared" si="0"/>
        <v/>
      </c>
      <c r="H35" s="7"/>
      <c r="I35" s="7">
        <f t="shared" si="16"/>
        <v>0</v>
      </c>
      <c r="J35" s="76">
        <f t="shared" si="17"/>
        <v>0</v>
      </c>
      <c r="K35" s="7"/>
      <c r="L35" s="7">
        <f t="shared" si="18"/>
        <v>0</v>
      </c>
      <c r="M35" s="76">
        <f t="shared" si="1"/>
        <v>0</v>
      </c>
      <c r="N35" s="76"/>
      <c r="O35" s="76">
        <f t="shared" si="2"/>
        <v>0</v>
      </c>
      <c r="P35" s="76"/>
      <c r="Q35" s="76">
        <f t="shared" si="3"/>
        <v>0</v>
      </c>
      <c r="R35" s="76">
        <f t="shared" si="19"/>
        <v>0</v>
      </c>
      <c r="S35" s="76">
        <f t="shared" si="20"/>
        <v>0</v>
      </c>
      <c r="T35" s="76">
        <f t="shared" si="21"/>
        <v>0</v>
      </c>
      <c r="U35" s="76">
        <f t="shared" si="22"/>
        <v>0</v>
      </c>
      <c r="V35" s="109">
        <f t="shared" si="23"/>
        <v>0</v>
      </c>
      <c r="W35" s="62"/>
      <c r="X35" s="78">
        <f t="shared" si="4"/>
        <v>3.125E-2</v>
      </c>
      <c r="Y35" s="73">
        <f t="shared" si="24"/>
        <v>0</v>
      </c>
      <c r="Z35" s="74">
        <f t="shared" si="25"/>
        <v>0.29166666666666669</v>
      </c>
      <c r="AA35" s="75">
        <f t="shared" si="26"/>
        <v>0</v>
      </c>
      <c r="AB35" s="63" t="str">
        <f t="shared" si="27"/>
        <v/>
      </c>
      <c r="AC35" s="148">
        <f t="shared" si="5"/>
        <v>0</v>
      </c>
      <c r="AD35" s="107" t="str">
        <f t="shared" si="6"/>
        <v/>
      </c>
      <c r="AE35" s="180">
        <f t="shared" si="28"/>
        <v>0</v>
      </c>
      <c r="AF35" s="73"/>
      <c r="AG35" s="525"/>
      <c r="AH35" s="73"/>
      <c r="AI35" s="73" t="str">
        <f t="shared" si="41"/>
        <v/>
      </c>
      <c r="AJ35" s="64">
        <f t="shared" si="7"/>
        <v>0</v>
      </c>
      <c r="AK35" s="64">
        <f t="shared" si="8"/>
        <v>0</v>
      </c>
      <c r="AL35" s="64" t="str">
        <f t="shared" si="9"/>
        <v/>
      </c>
      <c r="AM35">
        <f t="shared" si="10"/>
        <v>5</v>
      </c>
      <c r="AN35" s="85">
        <f>SUM($AD$6:AD35)</f>
        <v>0</v>
      </c>
      <c r="AO35" s="85">
        <f t="shared" ca="1" si="30"/>
        <v>0</v>
      </c>
      <c r="AP35" s="89">
        <f t="shared" si="31"/>
        <v>0</v>
      </c>
      <c r="AQ35" s="89">
        <f t="shared" si="32"/>
        <v>0</v>
      </c>
      <c r="AR35" s="89">
        <f t="shared" si="33"/>
        <v>0</v>
      </c>
      <c r="AS35" s="88">
        <f t="shared" si="34"/>
        <v>0</v>
      </c>
      <c r="AT35" s="88">
        <f t="shared" ca="1" si="35"/>
        <v>0</v>
      </c>
      <c r="AU35" s="98">
        <f t="shared" si="36"/>
        <v>0</v>
      </c>
      <c r="AV35" s="88">
        <f t="shared" si="37"/>
        <v>0</v>
      </c>
      <c r="AW35" t="b">
        <f>OR((F35&gt;0),(NOT(ISBLANK(H35))),SUM(H35:H$373),SUM(G35:G$373))</f>
        <v>0</v>
      </c>
      <c r="AX35" t="b">
        <f t="shared" ca="1" si="11"/>
        <v>0</v>
      </c>
      <c r="AY35" s="519">
        <f t="shared" si="38"/>
        <v>-0.29166666666666669</v>
      </c>
      <c r="AZ35" s="180">
        <f>SUM(AY$5:AY35)</f>
        <v>-6.4166666666666687</v>
      </c>
      <c r="BA35" s="567"/>
      <c r="BB35" s="567">
        <f t="shared" si="12"/>
        <v>0</v>
      </c>
      <c r="BC35" s="567"/>
    </row>
    <row r="36" spans="1:55" ht="15.75">
      <c r="A36" s="260">
        <f t="shared" si="39"/>
        <v>44864</v>
      </c>
      <c r="B36" s="261">
        <f t="shared" si="13"/>
        <v>44864</v>
      </c>
      <c r="C36" s="262">
        <f>IF(A36="","",NumberOfWeek(A36))</f>
        <v>44</v>
      </c>
      <c r="D36" s="263">
        <f t="shared" si="14"/>
        <v>44834</v>
      </c>
      <c r="E36" s="273" t="str">
        <f t="shared" si="15"/>
        <v/>
      </c>
      <c r="F36" s="5"/>
      <c r="G36" s="6" t="str">
        <f t="shared" si="0"/>
        <v/>
      </c>
      <c r="H36" s="7"/>
      <c r="I36" s="7">
        <f t="shared" si="16"/>
        <v>0</v>
      </c>
      <c r="J36" s="76">
        <f t="shared" si="17"/>
        <v>0</v>
      </c>
      <c r="K36" s="7"/>
      <c r="L36" s="7">
        <f t="shared" si="18"/>
        <v>0</v>
      </c>
      <c r="M36" s="76">
        <f t="shared" si="1"/>
        <v>0</v>
      </c>
      <c r="N36" s="76"/>
      <c r="O36" s="76">
        <f t="shared" si="2"/>
        <v>0</v>
      </c>
      <c r="P36" s="76"/>
      <c r="Q36" s="76">
        <f t="shared" si="3"/>
        <v>0</v>
      </c>
      <c r="R36" s="76">
        <f t="shared" si="19"/>
        <v>0</v>
      </c>
      <c r="S36" s="76">
        <f t="shared" si="20"/>
        <v>0</v>
      </c>
      <c r="T36" s="76">
        <f t="shared" si="21"/>
        <v>0</v>
      </c>
      <c r="U36" s="76">
        <f t="shared" si="22"/>
        <v>0</v>
      </c>
      <c r="V36" s="109">
        <f t="shared" si="23"/>
        <v>0</v>
      </c>
      <c r="W36" s="62"/>
      <c r="X36" s="78">
        <f t="shared" si="4"/>
        <v>3.125E-2</v>
      </c>
      <c r="Y36" s="73">
        <f t="shared" si="24"/>
        <v>0</v>
      </c>
      <c r="Z36" s="74">
        <f t="shared" si="25"/>
        <v>0</v>
      </c>
      <c r="AA36" s="75">
        <f t="shared" si="26"/>
        <v>0</v>
      </c>
      <c r="AB36" s="63" t="str">
        <f t="shared" si="27"/>
        <v/>
      </c>
      <c r="AC36" s="148">
        <f t="shared" si="5"/>
        <v>0</v>
      </c>
      <c r="AD36" s="107" t="str">
        <f t="shared" si="6"/>
        <v/>
      </c>
      <c r="AE36" s="180">
        <f t="shared" si="28"/>
        <v>0</v>
      </c>
      <c r="AF36" s="73"/>
      <c r="AG36" s="525"/>
      <c r="AH36" s="73"/>
      <c r="AI36" s="73" t="str">
        <f t="shared" si="41"/>
        <v/>
      </c>
      <c r="AJ36" s="64">
        <f t="shared" si="7"/>
        <v>0</v>
      </c>
      <c r="AK36" s="64">
        <f t="shared" si="8"/>
        <v>0</v>
      </c>
      <c r="AL36" s="64" t="str">
        <f t="shared" si="9"/>
        <v/>
      </c>
      <c r="AM36">
        <f t="shared" si="10"/>
        <v>6</v>
      </c>
      <c r="AN36" s="85">
        <f>SUM($AD$6:AD36)</f>
        <v>0</v>
      </c>
      <c r="AO36" s="85">
        <f t="shared" ca="1" si="30"/>
        <v>0</v>
      </c>
      <c r="AP36" s="89">
        <f t="shared" si="31"/>
        <v>0</v>
      </c>
      <c r="AQ36" s="89">
        <f t="shared" si="32"/>
        <v>0</v>
      </c>
      <c r="AR36" s="89">
        <f t="shared" si="33"/>
        <v>0</v>
      </c>
      <c r="AS36" s="88">
        <f t="shared" si="34"/>
        <v>0</v>
      </c>
      <c r="AT36" s="88">
        <f t="shared" ca="1" si="35"/>
        <v>0</v>
      </c>
      <c r="AU36" s="98">
        <f t="shared" si="36"/>
        <v>0</v>
      </c>
      <c r="AV36" s="88">
        <f t="shared" si="37"/>
        <v>7</v>
      </c>
      <c r="AW36" t="b">
        <f>OR((F36&gt;0),(NOT(ISBLANK(H36))),SUM(H36:H$373),SUM(G36:G$373))</f>
        <v>0</v>
      </c>
      <c r="AX36" t="b">
        <f t="shared" ca="1" si="11"/>
        <v>1</v>
      </c>
      <c r="AY36" s="519">
        <f t="shared" si="38"/>
        <v>0</v>
      </c>
      <c r="AZ36" s="180">
        <f>SUM(AY$5:AY36)</f>
        <v>-6.4166666666666687</v>
      </c>
      <c r="BA36" s="567"/>
      <c r="BB36" s="567">
        <f t="shared" si="12"/>
        <v>0</v>
      </c>
      <c r="BC36" s="567"/>
    </row>
    <row r="37" spans="1:55" ht="15.75">
      <c r="A37" s="260">
        <f t="shared" si="39"/>
        <v>44865</v>
      </c>
      <c r="B37" s="261">
        <f t="shared" si="13"/>
        <v>44865</v>
      </c>
      <c r="C37" s="262">
        <f>IF(A37="","",NumberOfWeek(A37))</f>
        <v>44</v>
      </c>
      <c r="D37" s="263">
        <f t="shared" si="14"/>
        <v>44865</v>
      </c>
      <c r="E37" s="273" t="str">
        <f t="shared" si="15"/>
        <v>Allerheiligen</v>
      </c>
      <c r="F37" s="5"/>
      <c r="G37" s="6" t="str">
        <f t="shared" si="0"/>
        <v/>
      </c>
      <c r="H37" s="7"/>
      <c r="I37" s="7">
        <f t="shared" si="16"/>
        <v>0</v>
      </c>
      <c r="J37" s="76">
        <f t="shared" si="17"/>
        <v>0</v>
      </c>
      <c r="K37" s="7"/>
      <c r="L37" s="7">
        <f t="shared" si="18"/>
        <v>0</v>
      </c>
      <c r="M37" s="76">
        <f t="shared" si="1"/>
        <v>0</v>
      </c>
      <c r="N37" s="76"/>
      <c r="O37" s="76">
        <f t="shared" si="2"/>
        <v>0</v>
      </c>
      <c r="P37" s="76"/>
      <c r="Q37" s="76">
        <f t="shared" si="3"/>
        <v>0</v>
      </c>
      <c r="R37" s="76">
        <f t="shared" si="19"/>
        <v>0</v>
      </c>
      <c r="S37" s="76">
        <f t="shared" si="20"/>
        <v>0</v>
      </c>
      <c r="T37" s="76">
        <f t="shared" si="21"/>
        <v>0</v>
      </c>
      <c r="U37" s="76">
        <f t="shared" si="22"/>
        <v>0</v>
      </c>
      <c r="V37" s="109">
        <f t="shared" si="23"/>
        <v>0</v>
      </c>
      <c r="W37" s="62"/>
      <c r="X37" s="78">
        <f t="shared" si="4"/>
        <v>3.125E-2</v>
      </c>
      <c r="Y37" s="73">
        <f t="shared" si="24"/>
        <v>0</v>
      </c>
      <c r="Z37" s="74" t="str">
        <f t="shared" si="25"/>
        <v/>
      </c>
      <c r="AA37" s="75">
        <f t="shared" si="26"/>
        <v>0</v>
      </c>
      <c r="AB37" s="63" t="str">
        <f t="shared" si="27"/>
        <v/>
      </c>
      <c r="AC37" s="148">
        <f t="shared" si="5"/>
        <v>0</v>
      </c>
      <c r="AD37" s="107" t="str">
        <f t="shared" si="6"/>
        <v/>
      </c>
      <c r="AE37" s="180">
        <f t="shared" si="28"/>
        <v>0</v>
      </c>
      <c r="AF37" s="73"/>
      <c r="AG37" s="525"/>
      <c r="AH37" s="73"/>
      <c r="AI37" s="73" t="str">
        <f t="shared" si="41"/>
        <v/>
      </c>
      <c r="AJ37" s="64">
        <f t="shared" si="7"/>
        <v>0</v>
      </c>
      <c r="AK37" s="64">
        <f t="shared" si="8"/>
        <v>0</v>
      </c>
      <c r="AL37" s="64" t="str">
        <f t="shared" si="9"/>
        <v/>
      </c>
      <c r="AM37">
        <f t="shared" si="10"/>
        <v>8</v>
      </c>
      <c r="AN37" s="85">
        <f>SUM($AD$6:AD37)</f>
        <v>0</v>
      </c>
      <c r="AO37" s="85">
        <f t="shared" ca="1" si="30"/>
        <v>0</v>
      </c>
      <c r="AP37" s="89">
        <f t="shared" si="31"/>
        <v>0</v>
      </c>
      <c r="AQ37" s="89">
        <f t="shared" si="32"/>
        <v>0</v>
      </c>
      <c r="AR37" s="89">
        <f t="shared" si="33"/>
        <v>0</v>
      </c>
      <c r="AS37" s="88">
        <f t="shared" si="34"/>
        <v>0</v>
      </c>
      <c r="AT37" s="88">
        <f t="shared" ca="1" si="35"/>
        <v>0</v>
      </c>
      <c r="AU37" s="98">
        <f t="shared" si="36"/>
        <v>0</v>
      </c>
      <c r="AV37" s="88">
        <f t="shared" si="37"/>
        <v>8</v>
      </c>
      <c r="AW37" t="b">
        <f>OR((F37&gt;0),(NOT(ISBLANK(H37))),SUM(H37:H$373),SUM(G37:G$373))</f>
        <v>0</v>
      </c>
      <c r="AX37" t="b">
        <f t="shared" ca="1" si="11"/>
        <v>1</v>
      </c>
      <c r="AY37" s="519">
        <f t="shared" si="38"/>
        <v>0</v>
      </c>
      <c r="AZ37" s="180">
        <f>SUM(AY$5:AY37)</f>
        <v>-6.4166666666666687</v>
      </c>
      <c r="BA37" s="567"/>
      <c r="BB37" s="567">
        <f t="shared" si="12"/>
        <v>0</v>
      </c>
      <c r="BC37" s="567"/>
    </row>
    <row r="38" spans="1:55" ht="15.75">
      <c r="A38" s="260">
        <f t="shared" si="39"/>
        <v>44866</v>
      </c>
      <c r="B38" s="261">
        <f t="shared" si="13"/>
        <v>44866</v>
      </c>
      <c r="C38" s="262">
        <f>IF(A38="","",NumberOfWeek(A38))</f>
        <v>45</v>
      </c>
      <c r="D38" s="263">
        <f t="shared" si="14"/>
        <v>44865</v>
      </c>
      <c r="E38" s="273" t="str">
        <f t="shared" si="15"/>
        <v/>
      </c>
      <c r="F38" s="5"/>
      <c r="G38" s="6" t="str">
        <f t="shared" si="0"/>
        <v/>
      </c>
      <c r="H38" s="7"/>
      <c r="I38" s="7">
        <f t="shared" si="16"/>
        <v>0</v>
      </c>
      <c r="J38" s="76">
        <f t="shared" si="17"/>
        <v>0</v>
      </c>
      <c r="K38" s="7"/>
      <c r="L38" s="7">
        <f t="shared" si="18"/>
        <v>0</v>
      </c>
      <c r="M38" s="76">
        <f t="shared" si="1"/>
        <v>0</v>
      </c>
      <c r="N38" s="76"/>
      <c r="O38" s="76">
        <f t="shared" si="2"/>
        <v>0</v>
      </c>
      <c r="P38" s="76"/>
      <c r="Q38" s="76">
        <f t="shared" si="3"/>
        <v>0</v>
      </c>
      <c r="R38" s="76">
        <f t="shared" si="19"/>
        <v>0</v>
      </c>
      <c r="S38" s="76">
        <f t="shared" si="20"/>
        <v>0</v>
      </c>
      <c r="T38" s="76">
        <f t="shared" si="21"/>
        <v>0</v>
      </c>
      <c r="U38" s="76">
        <f t="shared" si="22"/>
        <v>0</v>
      </c>
      <c r="V38" s="109">
        <f t="shared" si="23"/>
        <v>0</v>
      </c>
      <c r="W38" s="62"/>
      <c r="X38" s="78">
        <f t="shared" si="4"/>
        <v>3.125E-2</v>
      </c>
      <c r="Y38" s="73">
        <f t="shared" si="24"/>
        <v>0</v>
      </c>
      <c r="Z38" s="74">
        <f t="shared" si="25"/>
        <v>0.29166666666666669</v>
      </c>
      <c r="AA38" s="75">
        <f t="shared" si="26"/>
        <v>0</v>
      </c>
      <c r="AB38" s="63" t="str">
        <f t="shared" si="27"/>
        <v/>
      </c>
      <c r="AC38" s="148">
        <f t="shared" si="5"/>
        <v>0</v>
      </c>
      <c r="AD38" s="107" t="str">
        <f t="shared" si="6"/>
        <v/>
      </c>
      <c r="AE38" s="180">
        <f t="shared" si="28"/>
        <v>0</v>
      </c>
      <c r="AF38" s="73"/>
      <c r="AG38" s="525"/>
      <c r="AH38" s="73"/>
      <c r="AI38" s="73" t="str">
        <f t="shared" si="41"/>
        <v/>
      </c>
      <c r="AJ38" s="64">
        <f t="shared" si="7"/>
        <v>0</v>
      </c>
      <c r="AK38" s="64">
        <f t="shared" si="8"/>
        <v>0</v>
      </c>
      <c r="AL38" s="64" t="str">
        <f t="shared" si="9"/>
        <v/>
      </c>
      <c r="AM38">
        <f t="shared" si="10"/>
        <v>1</v>
      </c>
      <c r="AN38" s="85">
        <f>SUM($AD$6:AD38)</f>
        <v>0</v>
      </c>
      <c r="AO38" s="85">
        <f t="shared" ca="1" si="30"/>
        <v>0</v>
      </c>
      <c r="AP38" s="89">
        <f t="shared" si="31"/>
        <v>0</v>
      </c>
      <c r="AQ38" s="89">
        <f t="shared" si="32"/>
        <v>0</v>
      </c>
      <c r="AR38" s="89">
        <f t="shared" si="33"/>
        <v>0</v>
      </c>
      <c r="AS38" s="88">
        <f t="shared" si="34"/>
        <v>0</v>
      </c>
      <c r="AT38" s="88">
        <f t="shared" ca="1" si="35"/>
        <v>0</v>
      </c>
      <c r="AU38" s="98">
        <f t="shared" si="36"/>
        <v>0</v>
      </c>
      <c r="AV38" s="88">
        <f t="shared" si="37"/>
        <v>0</v>
      </c>
      <c r="AW38" t="b">
        <f>OR((F38&gt;0),(NOT(ISBLANK(H38))),SUM(H38:H$373),SUM(G38:G$373))</f>
        <v>0</v>
      </c>
      <c r="AX38" t="b">
        <f t="shared" ca="1" si="11"/>
        <v>0</v>
      </c>
      <c r="AY38" s="519">
        <f t="shared" si="38"/>
        <v>-0.29166666666666669</v>
      </c>
      <c r="AZ38" s="180">
        <f>SUM(AY$5:AY38)</f>
        <v>-6.7083333333333357</v>
      </c>
      <c r="BA38" s="567"/>
      <c r="BB38" s="567">
        <f t="shared" si="12"/>
        <v>0</v>
      </c>
      <c r="BC38" s="567"/>
    </row>
    <row r="39" spans="1:55" ht="15.75">
      <c r="A39" s="260">
        <f t="shared" si="39"/>
        <v>44867</v>
      </c>
      <c r="B39" s="261">
        <f t="shared" si="13"/>
        <v>44867</v>
      </c>
      <c r="C39" s="262">
        <f>IF(A39="","",NumberOfWeek(A39))</f>
        <v>45</v>
      </c>
      <c r="D39" s="263">
        <f t="shared" si="14"/>
        <v>44865</v>
      </c>
      <c r="E39" s="273" t="str">
        <f t="shared" si="15"/>
        <v/>
      </c>
      <c r="F39" s="5"/>
      <c r="G39" s="6" t="str">
        <f t="shared" si="0"/>
        <v/>
      </c>
      <c r="H39" s="7"/>
      <c r="I39" s="7">
        <f t="shared" si="16"/>
        <v>0</v>
      </c>
      <c r="J39" s="76">
        <f t="shared" si="17"/>
        <v>0</v>
      </c>
      <c r="K39" s="7"/>
      <c r="L39" s="7">
        <f t="shared" si="18"/>
        <v>0</v>
      </c>
      <c r="M39" s="76">
        <f t="shared" si="1"/>
        <v>0</v>
      </c>
      <c r="N39" s="76"/>
      <c r="O39" s="76">
        <f t="shared" si="2"/>
        <v>0</v>
      </c>
      <c r="P39" s="76"/>
      <c r="Q39" s="76">
        <f t="shared" si="3"/>
        <v>0</v>
      </c>
      <c r="R39" s="76">
        <f t="shared" si="19"/>
        <v>0</v>
      </c>
      <c r="S39" s="76">
        <f t="shared" si="20"/>
        <v>0</v>
      </c>
      <c r="T39" s="76">
        <f t="shared" si="21"/>
        <v>0</v>
      </c>
      <c r="U39" s="76">
        <f t="shared" si="22"/>
        <v>0</v>
      </c>
      <c r="V39" s="109">
        <f t="shared" si="23"/>
        <v>0</v>
      </c>
      <c r="W39" s="62"/>
      <c r="X39" s="78">
        <f t="shared" si="4"/>
        <v>3.125E-2</v>
      </c>
      <c r="Y39" s="73">
        <f t="shared" si="24"/>
        <v>0</v>
      </c>
      <c r="Z39" s="74">
        <f t="shared" si="25"/>
        <v>0.29166666666666669</v>
      </c>
      <c r="AA39" s="75">
        <f t="shared" si="26"/>
        <v>0</v>
      </c>
      <c r="AB39" s="63" t="str">
        <f t="shared" si="27"/>
        <v/>
      </c>
      <c r="AC39" s="148">
        <f t="shared" si="5"/>
        <v>0</v>
      </c>
      <c r="AD39" s="107" t="str">
        <f t="shared" si="6"/>
        <v/>
      </c>
      <c r="AE39" s="180">
        <f t="shared" si="28"/>
        <v>0</v>
      </c>
      <c r="AF39" s="73"/>
      <c r="AG39" s="525"/>
      <c r="AH39" s="73"/>
      <c r="AI39" s="73" t="str">
        <f t="shared" si="41"/>
        <v/>
      </c>
      <c r="AJ39" s="64">
        <f t="shared" si="7"/>
        <v>0</v>
      </c>
      <c r="AK39" s="64">
        <f t="shared" si="8"/>
        <v>0</v>
      </c>
      <c r="AL39" s="64" t="str">
        <f t="shared" si="9"/>
        <v/>
      </c>
      <c r="AM39">
        <f t="shared" si="10"/>
        <v>2</v>
      </c>
      <c r="AN39" s="85">
        <f>SUM($AD$6:AD39)</f>
        <v>0</v>
      </c>
      <c r="AO39" s="85">
        <f t="shared" ca="1" si="30"/>
        <v>0</v>
      </c>
      <c r="AP39" s="89">
        <f t="shared" si="31"/>
        <v>0</v>
      </c>
      <c r="AQ39" s="89">
        <f t="shared" si="32"/>
        <v>0</v>
      </c>
      <c r="AR39" s="89">
        <f t="shared" si="33"/>
        <v>0</v>
      </c>
      <c r="AS39" s="88">
        <f t="shared" si="34"/>
        <v>0</v>
      </c>
      <c r="AT39" s="88">
        <f t="shared" ca="1" si="35"/>
        <v>0</v>
      </c>
      <c r="AU39" s="98">
        <f t="shared" si="36"/>
        <v>0</v>
      </c>
      <c r="AV39" s="88">
        <f t="shared" si="37"/>
        <v>0</v>
      </c>
      <c r="AW39" t="b">
        <f>OR((F39&gt;0),(NOT(ISBLANK(H39))),SUM(H39:H$373),SUM(G39:G$373))</f>
        <v>0</v>
      </c>
      <c r="AX39" t="b">
        <f t="shared" ca="1" si="11"/>
        <v>0</v>
      </c>
      <c r="AY39" s="519">
        <f t="shared" si="38"/>
        <v>-0.29166666666666669</v>
      </c>
      <c r="AZ39" s="180">
        <f>SUM(AY$5:AY39)</f>
        <v>-7.0000000000000027</v>
      </c>
      <c r="BA39" s="567"/>
      <c r="BB39" s="567">
        <f t="shared" si="12"/>
        <v>0</v>
      </c>
      <c r="BC39" s="567"/>
    </row>
    <row r="40" spans="1:55" ht="15.75">
      <c r="A40" s="260">
        <f t="shared" si="39"/>
        <v>44868</v>
      </c>
      <c r="B40" s="261">
        <f t="shared" si="13"/>
        <v>44868</v>
      </c>
      <c r="C40" s="262">
        <f>IF(A40="","",NumberOfWeek(A40))</f>
        <v>45</v>
      </c>
      <c r="D40" s="263">
        <f t="shared" si="14"/>
        <v>44865</v>
      </c>
      <c r="E40" s="273" t="str">
        <f t="shared" si="15"/>
        <v/>
      </c>
      <c r="F40" s="5"/>
      <c r="G40" s="6" t="str">
        <f t="shared" si="0"/>
        <v/>
      </c>
      <c r="H40" s="7"/>
      <c r="I40" s="7">
        <f t="shared" si="16"/>
        <v>0</v>
      </c>
      <c r="J40" s="76">
        <f t="shared" si="17"/>
        <v>0</v>
      </c>
      <c r="K40" s="7"/>
      <c r="L40" s="7">
        <f t="shared" si="18"/>
        <v>0</v>
      </c>
      <c r="M40" s="76">
        <f t="shared" si="1"/>
        <v>0</v>
      </c>
      <c r="N40" s="76"/>
      <c r="O40" s="76">
        <f t="shared" si="2"/>
        <v>0</v>
      </c>
      <c r="P40" s="76"/>
      <c r="Q40" s="76">
        <f t="shared" si="3"/>
        <v>0</v>
      </c>
      <c r="R40" s="76">
        <f t="shared" si="19"/>
        <v>0</v>
      </c>
      <c r="S40" s="76">
        <f t="shared" si="20"/>
        <v>0</v>
      </c>
      <c r="T40" s="76">
        <f t="shared" si="21"/>
        <v>0</v>
      </c>
      <c r="U40" s="76">
        <f t="shared" si="22"/>
        <v>0</v>
      </c>
      <c r="V40" s="109">
        <f t="shared" si="23"/>
        <v>0</v>
      </c>
      <c r="W40" s="62"/>
      <c r="X40" s="78">
        <f t="shared" si="4"/>
        <v>3.125E-2</v>
      </c>
      <c r="Y40" s="73">
        <f t="shared" si="24"/>
        <v>0</v>
      </c>
      <c r="Z40" s="74">
        <f t="shared" si="25"/>
        <v>0.29166666666666669</v>
      </c>
      <c r="AA40" s="75">
        <f t="shared" si="26"/>
        <v>0</v>
      </c>
      <c r="AB40" s="63" t="str">
        <f t="shared" si="27"/>
        <v/>
      </c>
      <c r="AC40" s="148">
        <f t="shared" si="5"/>
        <v>0</v>
      </c>
      <c r="AD40" s="107" t="str">
        <f t="shared" si="6"/>
        <v/>
      </c>
      <c r="AE40" s="180">
        <f t="shared" si="28"/>
        <v>0</v>
      </c>
      <c r="AF40" s="73"/>
      <c r="AG40" s="525"/>
      <c r="AH40" s="73"/>
      <c r="AI40" s="73" t="str">
        <f t="shared" si="41"/>
        <v/>
      </c>
      <c r="AJ40" s="64">
        <f t="shared" si="7"/>
        <v>0</v>
      </c>
      <c r="AK40" s="64">
        <f t="shared" si="8"/>
        <v>0</v>
      </c>
      <c r="AL40" s="64" t="str">
        <f t="shared" si="9"/>
        <v/>
      </c>
      <c r="AM40">
        <f t="shared" si="10"/>
        <v>3</v>
      </c>
      <c r="AN40" s="85">
        <f>SUM($AD$6:AD40)</f>
        <v>0</v>
      </c>
      <c r="AO40" s="85">
        <f t="shared" ca="1" si="30"/>
        <v>0</v>
      </c>
      <c r="AP40" s="89">
        <f t="shared" si="31"/>
        <v>0</v>
      </c>
      <c r="AQ40" s="89">
        <f t="shared" si="32"/>
        <v>0</v>
      </c>
      <c r="AR40" s="89">
        <f t="shared" si="33"/>
        <v>0</v>
      </c>
      <c r="AS40" s="88">
        <f t="shared" si="34"/>
        <v>0</v>
      </c>
      <c r="AT40" s="88">
        <f t="shared" ca="1" si="35"/>
        <v>0</v>
      </c>
      <c r="AU40" s="98">
        <f t="shared" si="36"/>
        <v>0</v>
      </c>
      <c r="AV40" s="88">
        <f t="shared" si="37"/>
        <v>0</v>
      </c>
      <c r="AW40" t="b">
        <f>OR((F40&gt;0),(NOT(ISBLANK(H40))),SUM(H40:H$373),SUM(G40:G$373))</f>
        <v>0</v>
      </c>
      <c r="AX40" t="b">
        <f t="shared" ca="1" si="11"/>
        <v>0</v>
      </c>
      <c r="AY40" s="519">
        <f t="shared" si="38"/>
        <v>-0.29166666666666669</v>
      </c>
      <c r="AZ40" s="180">
        <f>SUM(AY$5:AY40)</f>
        <v>-7.2916666666666696</v>
      </c>
      <c r="BA40" s="567"/>
      <c r="BB40" s="567">
        <f t="shared" si="12"/>
        <v>0</v>
      </c>
      <c r="BC40" s="567"/>
    </row>
    <row r="41" spans="1:55" ht="15.75">
      <c r="A41" s="260">
        <f t="shared" si="39"/>
        <v>44869</v>
      </c>
      <c r="B41" s="261">
        <f t="shared" si="13"/>
        <v>44869</v>
      </c>
      <c r="C41" s="262">
        <f>IF(A41="","",NumberOfWeek(A41))</f>
        <v>45</v>
      </c>
      <c r="D41" s="263">
        <f t="shared" si="14"/>
        <v>44865</v>
      </c>
      <c r="E41" s="273" t="str">
        <f t="shared" si="15"/>
        <v/>
      </c>
      <c r="F41" s="5"/>
      <c r="G41" s="6" t="str">
        <f t="shared" si="0"/>
        <v/>
      </c>
      <c r="H41" s="7"/>
      <c r="I41" s="7">
        <f t="shared" si="16"/>
        <v>0</v>
      </c>
      <c r="J41" s="76">
        <f t="shared" si="17"/>
        <v>0</v>
      </c>
      <c r="K41" s="7"/>
      <c r="L41" s="7">
        <f t="shared" si="18"/>
        <v>0</v>
      </c>
      <c r="M41" s="76">
        <f t="shared" si="1"/>
        <v>0</v>
      </c>
      <c r="N41" s="76"/>
      <c r="O41" s="76">
        <f t="shared" si="2"/>
        <v>0</v>
      </c>
      <c r="P41" s="76"/>
      <c r="Q41" s="76">
        <f t="shared" si="3"/>
        <v>0</v>
      </c>
      <c r="R41" s="76">
        <f t="shared" si="19"/>
        <v>0</v>
      </c>
      <c r="S41" s="76">
        <f t="shared" si="20"/>
        <v>0</v>
      </c>
      <c r="T41" s="76">
        <f t="shared" si="21"/>
        <v>0</v>
      </c>
      <c r="U41" s="76">
        <f t="shared" si="22"/>
        <v>0</v>
      </c>
      <c r="V41" s="109">
        <f t="shared" si="23"/>
        <v>0</v>
      </c>
      <c r="W41" s="62"/>
      <c r="X41" s="78">
        <f t="shared" si="4"/>
        <v>3.125E-2</v>
      </c>
      <c r="Y41" s="73">
        <f t="shared" si="24"/>
        <v>0</v>
      </c>
      <c r="Z41" s="74">
        <f t="shared" si="25"/>
        <v>0.29166666666666669</v>
      </c>
      <c r="AA41" s="75">
        <f t="shared" si="26"/>
        <v>0</v>
      </c>
      <c r="AB41" s="63" t="str">
        <f t="shared" si="27"/>
        <v/>
      </c>
      <c r="AC41" s="148">
        <f t="shared" si="5"/>
        <v>0</v>
      </c>
      <c r="AD41" s="107" t="str">
        <f t="shared" si="6"/>
        <v/>
      </c>
      <c r="AE41" s="180">
        <f t="shared" si="28"/>
        <v>0</v>
      </c>
      <c r="AF41" s="73"/>
      <c r="AG41" s="525"/>
      <c r="AH41" s="73"/>
      <c r="AI41" s="73" t="str">
        <f t="shared" si="41"/>
        <v/>
      </c>
      <c r="AJ41" s="64">
        <f t="shared" si="7"/>
        <v>0</v>
      </c>
      <c r="AK41" s="64">
        <f t="shared" si="8"/>
        <v>0</v>
      </c>
      <c r="AL41" s="64" t="str">
        <f t="shared" si="9"/>
        <v/>
      </c>
      <c r="AM41">
        <f t="shared" si="10"/>
        <v>4</v>
      </c>
      <c r="AN41" s="85">
        <f>SUM($AD$6:AD41)</f>
        <v>0</v>
      </c>
      <c r="AO41" s="85">
        <f t="shared" ca="1" si="30"/>
        <v>0</v>
      </c>
      <c r="AP41" s="89">
        <f t="shared" si="31"/>
        <v>0</v>
      </c>
      <c r="AQ41" s="89">
        <f t="shared" si="32"/>
        <v>0</v>
      </c>
      <c r="AR41" s="89">
        <f t="shared" si="33"/>
        <v>0</v>
      </c>
      <c r="AS41" s="88">
        <f t="shared" si="34"/>
        <v>0</v>
      </c>
      <c r="AT41" s="88">
        <f t="shared" ca="1" si="35"/>
        <v>0</v>
      </c>
      <c r="AU41" s="98">
        <f t="shared" si="36"/>
        <v>0</v>
      </c>
      <c r="AV41" s="88">
        <f t="shared" si="37"/>
        <v>0</v>
      </c>
      <c r="AW41" t="b">
        <f>OR((F41&gt;0),(NOT(ISBLANK(H41))),SUM(H41:H$373),SUM(G41:G$373))</f>
        <v>0</v>
      </c>
      <c r="AX41" t="b">
        <f t="shared" ca="1" si="11"/>
        <v>0</v>
      </c>
      <c r="AY41" s="519">
        <f t="shared" si="38"/>
        <v>-0.29166666666666669</v>
      </c>
      <c r="AZ41" s="180">
        <f>SUM(AY$5:AY41)</f>
        <v>-7.5833333333333366</v>
      </c>
      <c r="BA41" s="567"/>
      <c r="BB41" s="567">
        <f t="shared" si="12"/>
        <v>0</v>
      </c>
      <c r="BC41" s="567"/>
    </row>
    <row r="42" spans="1:55" ht="15.75">
      <c r="A42" s="260">
        <f t="shared" si="39"/>
        <v>44870</v>
      </c>
      <c r="B42" s="261">
        <f t="shared" si="13"/>
        <v>44870</v>
      </c>
      <c r="C42" s="262">
        <f>IF(A42="","",NumberOfWeek(A42))</f>
        <v>45</v>
      </c>
      <c r="D42" s="263">
        <f t="shared" si="14"/>
        <v>44865</v>
      </c>
      <c r="E42" s="273" t="str">
        <f t="shared" si="15"/>
        <v/>
      </c>
      <c r="F42" s="5"/>
      <c r="G42" s="6" t="str">
        <f t="shared" si="0"/>
        <v/>
      </c>
      <c r="H42" s="7"/>
      <c r="I42" s="7">
        <f t="shared" si="16"/>
        <v>0</v>
      </c>
      <c r="J42" s="76">
        <f t="shared" si="17"/>
        <v>0</v>
      </c>
      <c r="K42" s="7"/>
      <c r="L42" s="7">
        <f t="shared" si="18"/>
        <v>0</v>
      </c>
      <c r="M42" s="76">
        <f t="shared" si="1"/>
        <v>0</v>
      </c>
      <c r="N42" s="76"/>
      <c r="O42" s="76">
        <f t="shared" si="2"/>
        <v>0</v>
      </c>
      <c r="P42" s="76"/>
      <c r="Q42" s="76">
        <f t="shared" si="3"/>
        <v>0</v>
      </c>
      <c r="R42" s="76">
        <f t="shared" si="19"/>
        <v>0</v>
      </c>
      <c r="S42" s="76">
        <f t="shared" si="20"/>
        <v>0</v>
      </c>
      <c r="T42" s="76">
        <f t="shared" si="21"/>
        <v>0</v>
      </c>
      <c r="U42" s="76">
        <f t="shared" si="22"/>
        <v>0</v>
      </c>
      <c r="V42" s="109">
        <f t="shared" si="23"/>
        <v>0</v>
      </c>
      <c r="W42" s="62"/>
      <c r="X42" s="78">
        <f t="shared" si="4"/>
        <v>3.125E-2</v>
      </c>
      <c r="Y42" s="73">
        <f t="shared" si="24"/>
        <v>0</v>
      </c>
      <c r="Z42" s="74">
        <f t="shared" si="25"/>
        <v>0.29166666666666669</v>
      </c>
      <c r="AA42" s="75">
        <f t="shared" si="26"/>
        <v>0</v>
      </c>
      <c r="AB42" s="63" t="str">
        <f t="shared" si="27"/>
        <v/>
      </c>
      <c r="AC42" s="148">
        <f t="shared" si="5"/>
        <v>0</v>
      </c>
      <c r="AD42" s="107" t="str">
        <f t="shared" si="6"/>
        <v/>
      </c>
      <c r="AE42" s="180">
        <f t="shared" si="28"/>
        <v>0</v>
      </c>
      <c r="AF42" s="73"/>
      <c r="AG42" s="525"/>
      <c r="AH42" s="73"/>
      <c r="AI42" s="73" t="str">
        <f t="shared" si="41"/>
        <v/>
      </c>
      <c r="AJ42" s="64">
        <f t="shared" si="7"/>
        <v>0</v>
      </c>
      <c r="AK42" s="64">
        <f t="shared" si="8"/>
        <v>0</v>
      </c>
      <c r="AL42" s="64" t="str">
        <f t="shared" si="9"/>
        <v/>
      </c>
      <c r="AM42">
        <f t="shared" si="10"/>
        <v>5</v>
      </c>
      <c r="AN42" s="85">
        <f>SUM($AD$6:AD42)</f>
        <v>0</v>
      </c>
      <c r="AO42" s="85">
        <f t="shared" ca="1" si="30"/>
        <v>0</v>
      </c>
      <c r="AP42" s="89">
        <f t="shared" si="31"/>
        <v>0</v>
      </c>
      <c r="AQ42" s="89">
        <f t="shared" si="32"/>
        <v>0</v>
      </c>
      <c r="AR42" s="89">
        <f t="shared" si="33"/>
        <v>0</v>
      </c>
      <c r="AS42" s="88">
        <f t="shared" si="34"/>
        <v>0</v>
      </c>
      <c r="AT42" s="88">
        <f t="shared" ca="1" si="35"/>
        <v>0</v>
      </c>
      <c r="AU42" s="98">
        <f t="shared" si="36"/>
        <v>0</v>
      </c>
      <c r="AV42" s="88">
        <f t="shared" si="37"/>
        <v>0</v>
      </c>
      <c r="AW42" t="b">
        <f>OR((F42&gt;0),(NOT(ISBLANK(H42))),SUM(H42:H$373),SUM(G42:G$373))</f>
        <v>0</v>
      </c>
      <c r="AX42" t="b">
        <f t="shared" ca="1" si="11"/>
        <v>0</v>
      </c>
      <c r="AY42" s="519">
        <f t="shared" si="38"/>
        <v>-0.29166666666666669</v>
      </c>
      <c r="AZ42" s="180">
        <f>SUM(AY$5:AY42)</f>
        <v>-7.8750000000000036</v>
      </c>
      <c r="BA42" s="567"/>
      <c r="BB42" s="567">
        <f t="shared" si="12"/>
        <v>0</v>
      </c>
      <c r="BC42" s="567"/>
    </row>
    <row r="43" spans="1:55" ht="15.75">
      <c r="A43" s="260">
        <f t="shared" si="39"/>
        <v>44871</v>
      </c>
      <c r="B43" s="261">
        <f t="shared" si="13"/>
        <v>44871</v>
      </c>
      <c r="C43" s="262">
        <f>IF(A43="","",NumberOfWeek(A43))</f>
        <v>45</v>
      </c>
      <c r="D43" s="263">
        <f t="shared" si="14"/>
        <v>44865</v>
      </c>
      <c r="E43" s="273" t="str">
        <f t="shared" si="15"/>
        <v/>
      </c>
      <c r="F43" s="5"/>
      <c r="G43" s="6" t="str">
        <f t="shared" si="0"/>
        <v/>
      </c>
      <c r="H43" s="7"/>
      <c r="I43" s="7">
        <f t="shared" si="16"/>
        <v>0</v>
      </c>
      <c r="J43" s="76">
        <f t="shared" si="17"/>
        <v>0</v>
      </c>
      <c r="K43" s="7"/>
      <c r="L43" s="7">
        <f t="shared" si="18"/>
        <v>0</v>
      </c>
      <c r="M43" s="76">
        <f t="shared" si="1"/>
        <v>0</v>
      </c>
      <c r="N43" s="76"/>
      <c r="O43" s="76">
        <f t="shared" si="2"/>
        <v>0</v>
      </c>
      <c r="P43" s="76"/>
      <c r="Q43" s="76">
        <f t="shared" si="3"/>
        <v>0</v>
      </c>
      <c r="R43" s="76">
        <f t="shared" si="19"/>
        <v>0</v>
      </c>
      <c r="S43" s="76">
        <f t="shared" si="20"/>
        <v>0</v>
      </c>
      <c r="T43" s="76">
        <f t="shared" si="21"/>
        <v>0</v>
      </c>
      <c r="U43" s="76">
        <f t="shared" si="22"/>
        <v>0</v>
      </c>
      <c r="V43" s="109">
        <f t="shared" si="23"/>
        <v>0</v>
      </c>
      <c r="W43" s="62"/>
      <c r="X43" s="78">
        <f t="shared" si="4"/>
        <v>3.125E-2</v>
      </c>
      <c r="Y43" s="73">
        <f t="shared" si="24"/>
        <v>0</v>
      </c>
      <c r="Z43" s="74">
        <f t="shared" si="25"/>
        <v>0</v>
      </c>
      <c r="AA43" s="75">
        <f t="shared" si="26"/>
        <v>0</v>
      </c>
      <c r="AB43" s="63" t="str">
        <f t="shared" si="27"/>
        <v/>
      </c>
      <c r="AC43" s="148">
        <f t="shared" si="5"/>
        <v>0</v>
      </c>
      <c r="AD43" s="107" t="str">
        <f t="shared" si="6"/>
        <v/>
      </c>
      <c r="AE43" s="180">
        <f t="shared" si="28"/>
        <v>0</v>
      </c>
      <c r="AF43" s="73"/>
      <c r="AG43" s="525"/>
      <c r="AH43" s="73"/>
      <c r="AI43" s="73" t="str">
        <f t="shared" si="41"/>
        <v/>
      </c>
      <c r="AJ43" s="64">
        <f t="shared" si="7"/>
        <v>0</v>
      </c>
      <c r="AK43" s="64">
        <f t="shared" si="8"/>
        <v>0</v>
      </c>
      <c r="AL43" s="64" t="str">
        <f t="shared" si="9"/>
        <v/>
      </c>
      <c r="AM43">
        <f t="shared" si="10"/>
        <v>6</v>
      </c>
      <c r="AN43" s="85">
        <f>SUM($AD$6:AD43)</f>
        <v>0</v>
      </c>
      <c r="AO43" s="85">
        <f t="shared" ca="1" si="30"/>
        <v>0</v>
      </c>
      <c r="AP43" s="89">
        <f t="shared" si="31"/>
        <v>0</v>
      </c>
      <c r="AQ43" s="89">
        <f t="shared" si="32"/>
        <v>0</v>
      </c>
      <c r="AR43" s="89">
        <f t="shared" si="33"/>
        <v>0</v>
      </c>
      <c r="AS43" s="88">
        <f t="shared" si="34"/>
        <v>0</v>
      </c>
      <c r="AT43" s="88">
        <f t="shared" ca="1" si="35"/>
        <v>0</v>
      </c>
      <c r="AU43" s="98">
        <f t="shared" si="36"/>
        <v>0</v>
      </c>
      <c r="AV43" s="88">
        <f t="shared" si="37"/>
        <v>7</v>
      </c>
      <c r="AW43" t="b">
        <f>OR((F43&gt;0),(NOT(ISBLANK(H43))),SUM(H43:H$373),SUM(G43:G$373))</f>
        <v>0</v>
      </c>
      <c r="AX43" t="b">
        <f t="shared" ca="1" si="11"/>
        <v>1</v>
      </c>
      <c r="AY43" s="519">
        <f t="shared" si="38"/>
        <v>0</v>
      </c>
      <c r="AZ43" s="180">
        <f>SUM(AY$5:AY43)</f>
        <v>-7.8750000000000036</v>
      </c>
      <c r="BA43" s="567"/>
      <c r="BB43" s="567">
        <f t="shared" si="12"/>
        <v>0</v>
      </c>
      <c r="BC43" s="567"/>
    </row>
    <row r="44" spans="1:55" ht="15.75">
      <c r="A44" s="260">
        <f t="shared" si="39"/>
        <v>44872</v>
      </c>
      <c r="B44" s="261">
        <f t="shared" si="13"/>
        <v>44872</v>
      </c>
      <c r="C44" s="262">
        <f>IF(A44="","",NumberOfWeek(A44))</f>
        <v>45</v>
      </c>
      <c r="D44" s="263">
        <f t="shared" si="14"/>
        <v>44865</v>
      </c>
      <c r="E44" s="273" t="str">
        <f t="shared" si="15"/>
        <v/>
      </c>
      <c r="F44" s="5"/>
      <c r="G44" s="6" t="str">
        <f t="shared" si="0"/>
        <v/>
      </c>
      <c r="H44" s="7"/>
      <c r="I44" s="7">
        <f t="shared" si="16"/>
        <v>0</v>
      </c>
      <c r="J44" s="76">
        <f t="shared" si="17"/>
        <v>0</v>
      </c>
      <c r="K44" s="7"/>
      <c r="L44" s="7">
        <f t="shared" si="18"/>
        <v>0</v>
      </c>
      <c r="M44" s="76">
        <f t="shared" si="1"/>
        <v>0</v>
      </c>
      <c r="N44" s="76"/>
      <c r="O44" s="76">
        <f t="shared" si="2"/>
        <v>0</v>
      </c>
      <c r="P44" s="76"/>
      <c r="Q44" s="76">
        <f t="shared" si="3"/>
        <v>0</v>
      </c>
      <c r="R44" s="76">
        <f t="shared" si="19"/>
        <v>0</v>
      </c>
      <c r="S44" s="76">
        <f t="shared" si="20"/>
        <v>0</v>
      </c>
      <c r="T44" s="76">
        <f t="shared" si="21"/>
        <v>0</v>
      </c>
      <c r="U44" s="76">
        <f t="shared" si="22"/>
        <v>0</v>
      </c>
      <c r="V44" s="109">
        <f t="shared" si="23"/>
        <v>0</v>
      </c>
      <c r="W44" s="62"/>
      <c r="X44" s="78">
        <f t="shared" si="4"/>
        <v>3.125E-2</v>
      </c>
      <c r="Y44" s="73">
        <f t="shared" si="24"/>
        <v>0</v>
      </c>
      <c r="Z44" s="74">
        <f t="shared" si="25"/>
        <v>0</v>
      </c>
      <c r="AA44" s="75">
        <f t="shared" si="26"/>
        <v>0</v>
      </c>
      <c r="AB44" s="63" t="str">
        <f t="shared" si="27"/>
        <v/>
      </c>
      <c r="AC44" s="148">
        <f t="shared" si="5"/>
        <v>0</v>
      </c>
      <c r="AD44" s="107" t="str">
        <f t="shared" si="6"/>
        <v/>
      </c>
      <c r="AE44" s="180">
        <f t="shared" si="28"/>
        <v>0</v>
      </c>
      <c r="AF44" s="73"/>
      <c r="AG44" s="525"/>
      <c r="AH44" s="73"/>
      <c r="AI44" s="73" t="str">
        <f t="shared" si="41"/>
        <v/>
      </c>
      <c r="AJ44" s="64">
        <f t="shared" si="7"/>
        <v>0</v>
      </c>
      <c r="AK44" s="64">
        <f t="shared" si="8"/>
        <v>0</v>
      </c>
      <c r="AL44" s="64" t="str">
        <f t="shared" si="9"/>
        <v/>
      </c>
      <c r="AM44">
        <f t="shared" si="10"/>
        <v>7</v>
      </c>
      <c r="AN44" s="85">
        <f>SUM($AD$6:AD44)</f>
        <v>0</v>
      </c>
      <c r="AO44" s="85">
        <f t="shared" ca="1" si="30"/>
        <v>0</v>
      </c>
      <c r="AP44" s="89">
        <f t="shared" si="31"/>
        <v>0</v>
      </c>
      <c r="AQ44" s="89">
        <f t="shared" si="32"/>
        <v>0</v>
      </c>
      <c r="AR44" s="89">
        <f t="shared" si="33"/>
        <v>0</v>
      </c>
      <c r="AS44" s="88">
        <f t="shared" si="34"/>
        <v>0</v>
      </c>
      <c r="AT44" s="88">
        <f t="shared" ca="1" si="35"/>
        <v>0</v>
      </c>
      <c r="AU44" s="98">
        <f t="shared" si="36"/>
        <v>0</v>
      </c>
      <c r="AV44" s="88">
        <f t="shared" si="37"/>
        <v>7</v>
      </c>
      <c r="AW44" t="b">
        <f>OR((F44&gt;0),(NOT(ISBLANK(H44))),SUM(H44:H$373),SUM(G44:G$373))</f>
        <v>0</v>
      </c>
      <c r="AX44" t="b">
        <f t="shared" ca="1" si="11"/>
        <v>1</v>
      </c>
      <c r="AY44" s="519">
        <f t="shared" si="38"/>
        <v>0</v>
      </c>
      <c r="AZ44" s="180">
        <f>SUM(AY$5:AY44)</f>
        <v>-7.8750000000000036</v>
      </c>
      <c r="BA44" s="567"/>
      <c r="BB44" s="567">
        <f t="shared" si="12"/>
        <v>0</v>
      </c>
      <c r="BC44" s="567"/>
    </row>
    <row r="45" spans="1:55" ht="15.75">
      <c r="A45" s="260">
        <f t="shared" si="39"/>
        <v>44873</v>
      </c>
      <c r="B45" s="261">
        <f t="shared" si="13"/>
        <v>44873</v>
      </c>
      <c r="C45" s="262">
        <f>IF(A45="","",NumberOfWeek(A45))</f>
        <v>46</v>
      </c>
      <c r="D45" s="263">
        <f t="shared" si="14"/>
        <v>44865</v>
      </c>
      <c r="E45" s="273" t="str">
        <f t="shared" si="15"/>
        <v/>
      </c>
      <c r="F45" s="5"/>
      <c r="G45" s="6" t="str">
        <f t="shared" si="0"/>
        <v/>
      </c>
      <c r="H45" s="7"/>
      <c r="I45" s="7">
        <f t="shared" si="16"/>
        <v>0</v>
      </c>
      <c r="J45" s="76">
        <f t="shared" si="17"/>
        <v>0</v>
      </c>
      <c r="K45" s="7"/>
      <c r="L45" s="7">
        <f t="shared" si="18"/>
        <v>0</v>
      </c>
      <c r="M45" s="76">
        <f t="shared" si="1"/>
        <v>0</v>
      </c>
      <c r="N45" s="76"/>
      <c r="O45" s="76">
        <f t="shared" si="2"/>
        <v>0</v>
      </c>
      <c r="P45" s="76"/>
      <c r="Q45" s="76">
        <f t="shared" si="3"/>
        <v>0</v>
      </c>
      <c r="R45" s="76">
        <f t="shared" si="19"/>
        <v>0</v>
      </c>
      <c r="S45" s="76">
        <f t="shared" si="20"/>
        <v>0</v>
      </c>
      <c r="T45" s="76">
        <f t="shared" si="21"/>
        <v>0</v>
      </c>
      <c r="U45" s="76">
        <f t="shared" si="22"/>
        <v>0</v>
      </c>
      <c r="V45" s="109">
        <f t="shared" si="23"/>
        <v>0</v>
      </c>
      <c r="W45" s="62"/>
      <c r="X45" s="78">
        <f t="shared" si="4"/>
        <v>3.125E-2</v>
      </c>
      <c r="Y45" s="73">
        <f t="shared" si="24"/>
        <v>0</v>
      </c>
      <c r="Z45" s="74">
        <f t="shared" si="25"/>
        <v>0.29166666666666669</v>
      </c>
      <c r="AA45" s="75">
        <f t="shared" si="26"/>
        <v>0</v>
      </c>
      <c r="AB45" s="63" t="str">
        <f t="shared" si="27"/>
        <v/>
      </c>
      <c r="AC45" s="148">
        <f t="shared" si="5"/>
        <v>0</v>
      </c>
      <c r="AD45" s="107" t="str">
        <f t="shared" si="6"/>
        <v/>
      </c>
      <c r="AE45" s="180">
        <f t="shared" si="28"/>
        <v>0</v>
      </c>
      <c r="AF45" s="73"/>
      <c r="AG45" s="525"/>
      <c r="AH45" s="73"/>
      <c r="AI45" s="73" t="str">
        <f t="shared" si="41"/>
        <v/>
      </c>
      <c r="AJ45" s="64">
        <f t="shared" si="7"/>
        <v>0</v>
      </c>
      <c r="AK45" s="64">
        <f t="shared" si="8"/>
        <v>0</v>
      </c>
      <c r="AL45" s="64" t="str">
        <f t="shared" si="9"/>
        <v/>
      </c>
      <c r="AM45">
        <f t="shared" si="10"/>
        <v>1</v>
      </c>
      <c r="AN45" s="85">
        <f>SUM($AD$6:AD45)</f>
        <v>0</v>
      </c>
      <c r="AO45" s="85">
        <f t="shared" ca="1" si="30"/>
        <v>0</v>
      </c>
      <c r="AP45" s="89">
        <f t="shared" si="31"/>
        <v>0</v>
      </c>
      <c r="AQ45" s="89">
        <f t="shared" si="32"/>
        <v>0</v>
      </c>
      <c r="AR45" s="89">
        <f t="shared" si="33"/>
        <v>0</v>
      </c>
      <c r="AS45" s="88">
        <f t="shared" si="34"/>
        <v>0</v>
      </c>
      <c r="AT45" s="88">
        <f t="shared" ca="1" si="35"/>
        <v>0</v>
      </c>
      <c r="AU45" s="98">
        <f t="shared" si="36"/>
        <v>0</v>
      </c>
      <c r="AV45" s="88">
        <f t="shared" si="37"/>
        <v>0</v>
      </c>
      <c r="AW45" t="b">
        <f>OR((F45&gt;0),(NOT(ISBLANK(H45))),SUM(H45:H$373),SUM(G45:G$373))</f>
        <v>0</v>
      </c>
      <c r="AX45" t="b">
        <f t="shared" ca="1" si="11"/>
        <v>0</v>
      </c>
      <c r="AY45" s="519">
        <f t="shared" si="38"/>
        <v>-0.29166666666666669</v>
      </c>
      <c r="AZ45" s="180">
        <f>SUM(AY$5:AY45)</f>
        <v>-8.1666666666666696</v>
      </c>
      <c r="BA45" s="567"/>
      <c r="BB45" s="567">
        <f t="shared" si="12"/>
        <v>0</v>
      </c>
      <c r="BC45" s="567"/>
    </row>
    <row r="46" spans="1:55" ht="15.75">
      <c r="A46" s="260">
        <f t="shared" si="39"/>
        <v>44874</v>
      </c>
      <c r="B46" s="261">
        <f t="shared" si="13"/>
        <v>44874</v>
      </c>
      <c r="C46" s="262">
        <f>IF(A46="","",NumberOfWeek(A46))</f>
        <v>46</v>
      </c>
      <c r="D46" s="263">
        <f t="shared" si="14"/>
        <v>44865</v>
      </c>
      <c r="E46" s="273" t="str">
        <f t="shared" si="15"/>
        <v/>
      </c>
      <c r="F46" s="5"/>
      <c r="G46" s="6" t="str">
        <f t="shared" si="0"/>
        <v/>
      </c>
      <c r="H46" s="7"/>
      <c r="I46" s="7">
        <f t="shared" si="16"/>
        <v>0</v>
      </c>
      <c r="J46" s="76">
        <f t="shared" si="17"/>
        <v>0</v>
      </c>
      <c r="K46" s="7"/>
      <c r="L46" s="7">
        <f t="shared" si="18"/>
        <v>0</v>
      </c>
      <c r="M46" s="76">
        <f t="shared" si="1"/>
        <v>0</v>
      </c>
      <c r="N46" s="76"/>
      <c r="O46" s="76">
        <f t="shared" si="2"/>
        <v>0</v>
      </c>
      <c r="P46" s="76"/>
      <c r="Q46" s="76">
        <f t="shared" si="3"/>
        <v>0</v>
      </c>
      <c r="R46" s="76">
        <f t="shared" si="19"/>
        <v>0</v>
      </c>
      <c r="S46" s="76">
        <f t="shared" si="20"/>
        <v>0</v>
      </c>
      <c r="T46" s="76">
        <f t="shared" si="21"/>
        <v>0</v>
      </c>
      <c r="U46" s="76">
        <f t="shared" si="22"/>
        <v>0</v>
      </c>
      <c r="V46" s="109">
        <f t="shared" si="23"/>
        <v>0</v>
      </c>
      <c r="W46" s="62"/>
      <c r="X46" s="78">
        <f t="shared" si="4"/>
        <v>3.125E-2</v>
      </c>
      <c r="Y46" s="73">
        <f t="shared" si="24"/>
        <v>0</v>
      </c>
      <c r="Z46" s="74">
        <f t="shared" si="25"/>
        <v>0.29166666666666669</v>
      </c>
      <c r="AA46" s="75">
        <f t="shared" si="26"/>
        <v>0</v>
      </c>
      <c r="AB46" s="63" t="str">
        <f t="shared" si="27"/>
        <v/>
      </c>
      <c r="AC46" s="148">
        <f t="shared" si="5"/>
        <v>0</v>
      </c>
      <c r="AD46" s="107" t="str">
        <f t="shared" si="6"/>
        <v/>
      </c>
      <c r="AE46" s="180">
        <f t="shared" si="28"/>
        <v>0</v>
      </c>
      <c r="AF46" s="73"/>
      <c r="AG46" s="525"/>
      <c r="AH46" s="73"/>
      <c r="AI46" s="73" t="str">
        <f t="shared" si="41"/>
        <v/>
      </c>
      <c r="AJ46" s="64">
        <f t="shared" si="7"/>
        <v>0</v>
      </c>
      <c r="AK46" s="64">
        <f t="shared" si="8"/>
        <v>0</v>
      </c>
      <c r="AL46" s="64" t="str">
        <f t="shared" si="9"/>
        <v/>
      </c>
      <c r="AM46">
        <f t="shared" si="10"/>
        <v>2</v>
      </c>
      <c r="AN46" s="85">
        <f>SUM($AD$6:AD46)</f>
        <v>0</v>
      </c>
      <c r="AO46" s="85">
        <f t="shared" ca="1" si="30"/>
        <v>0</v>
      </c>
      <c r="AP46" s="89">
        <f t="shared" si="31"/>
        <v>0</v>
      </c>
      <c r="AQ46" s="89">
        <f t="shared" si="32"/>
        <v>0</v>
      </c>
      <c r="AR46" s="89">
        <f t="shared" si="33"/>
        <v>0</v>
      </c>
      <c r="AS46" s="88">
        <f t="shared" si="34"/>
        <v>0</v>
      </c>
      <c r="AT46" s="88">
        <f t="shared" ca="1" si="35"/>
        <v>0</v>
      </c>
      <c r="AU46" s="98">
        <f t="shared" si="36"/>
        <v>0</v>
      </c>
      <c r="AV46" s="88">
        <f t="shared" si="37"/>
        <v>0</v>
      </c>
      <c r="AW46" t="b">
        <f>OR((F46&gt;0),(NOT(ISBLANK(H46))),SUM(H46:H$373),SUM(G46:G$373))</f>
        <v>0</v>
      </c>
      <c r="AX46" t="b">
        <f t="shared" ca="1" si="11"/>
        <v>0</v>
      </c>
      <c r="AY46" s="519">
        <f t="shared" si="38"/>
        <v>-0.29166666666666669</v>
      </c>
      <c r="AZ46" s="180">
        <f>SUM(AY$5:AY46)</f>
        <v>-8.4583333333333357</v>
      </c>
      <c r="BA46" s="567"/>
      <c r="BB46" s="567">
        <f t="shared" si="12"/>
        <v>0</v>
      </c>
      <c r="BC46" s="567"/>
    </row>
    <row r="47" spans="1:55" ht="15.75">
      <c r="A47" s="260">
        <f t="shared" si="39"/>
        <v>44875</v>
      </c>
      <c r="B47" s="261">
        <f t="shared" si="13"/>
        <v>44875</v>
      </c>
      <c r="C47" s="262">
        <f>IF(A47="","",NumberOfWeek(A47))</f>
        <v>46</v>
      </c>
      <c r="D47" s="263">
        <f t="shared" si="14"/>
        <v>44865</v>
      </c>
      <c r="E47" s="273" t="str">
        <f t="shared" si="15"/>
        <v/>
      </c>
      <c r="F47" s="5"/>
      <c r="G47" s="6" t="str">
        <f t="shared" si="0"/>
        <v/>
      </c>
      <c r="H47" s="7"/>
      <c r="I47" s="7">
        <f t="shared" si="16"/>
        <v>0</v>
      </c>
      <c r="J47" s="76">
        <f t="shared" si="17"/>
        <v>0</v>
      </c>
      <c r="K47" s="7"/>
      <c r="L47" s="7">
        <f t="shared" si="18"/>
        <v>0</v>
      </c>
      <c r="M47" s="76">
        <f t="shared" si="1"/>
        <v>0</v>
      </c>
      <c r="N47" s="76"/>
      <c r="O47" s="76">
        <f t="shared" si="2"/>
        <v>0</v>
      </c>
      <c r="P47" s="76"/>
      <c r="Q47" s="76">
        <f t="shared" si="3"/>
        <v>0</v>
      </c>
      <c r="R47" s="76">
        <f t="shared" si="19"/>
        <v>0</v>
      </c>
      <c r="S47" s="76">
        <f t="shared" si="20"/>
        <v>0</v>
      </c>
      <c r="T47" s="76">
        <f t="shared" si="21"/>
        <v>0</v>
      </c>
      <c r="U47" s="76">
        <f t="shared" si="22"/>
        <v>0</v>
      </c>
      <c r="V47" s="109">
        <f t="shared" si="23"/>
        <v>0</v>
      </c>
      <c r="W47" s="62"/>
      <c r="X47" s="78">
        <f t="shared" si="4"/>
        <v>3.125E-2</v>
      </c>
      <c r="Y47" s="73">
        <f t="shared" si="24"/>
        <v>0</v>
      </c>
      <c r="Z47" s="74">
        <f t="shared" si="25"/>
        <v>0.29166666666666669</v>
      </c>
      <c r="AA47" s="75">
        <f t="shared" si="26"/>
        <v>0</v>
      </c>
      <c r="AB47" s="63" t="str">
        <f t="shared" si="27"/>
        <v/>
      </c>
      <c r="AC47" s="148">
        <f t="shared" si="5"/>
        <v>0</v>
      </c>
      <c r="AD47" s="107" t="str">
        <f t="shared" si="6"/>
        <v/>
      </c>
      <c r="AE47" s="180">
        <f t="shared" si="28"/>
        <v>0</v>
      </c>
      <c r="AF47" s="73"/>
      <c r="AG47" s="525"/>
      <c r="AH47" s="73"/>
      <c r="AI47" s="73" t="str">
        <f t="shared" si="41"/>
        <v/>
      </c>
      <c r="AJ47" s="64">
        <f t="shared" si="7"/>
        <v>0</v>
      </c>
      <c r="AK47" s="64">
        <f t="shared" si="8"/>
        <v>0</v>
      </c>
      <c r="AL47" s="64" t="str">
        <f t="shared" si="9"/>
        <v/>
      </c>
      <c r="AM47">
        <f t="shared" si="10"/>
        <v>3</v>
      </c>
      <c r="AN47" s="85">
        <f>SUM($AD$6:AD47)</f>
        <v>0</v>
      </c>
      <c r="AO47" s="85">
        <f t="shared" ca="1" si="30"/>
        <v>0</v>
      </c>
      <c r="AP47" s="89">
        <f t="shared" si="31"/>
        <v>0</v>
      </c>
      <c r="AQ47" s="89">
        <f t="shared" si="32"/>
        <v>0</v>
      </c>
      <c r="AR47" s="89">
        <f t="shared" si="33"/>
        <v>0</v>
      </c>
      <c r="AS47" s="88">
        <f t="shared" si="34"/>
        <v>0</v>
      </c>
      <c r="AT47" s="88">
        <f t="shared" ca="1" si="35"/>
        <v>0</v>
      </c>
      <c r="AU47" s="98">
        <f t="shared" si="36"/>
        <v>0</v>
      </c>
      <c r="AV47" s="88">
        <f t="shared" si="37"/>
        <v>0</v>
      </c>
      <c r="AW47" t="b">
        <f>OR((F47&gt;0),(NOT(ISBLANK(H47))),SUM(H47:H$373),SUM(G47:G$373))</f>
        <v>0</v>
      </c>
      <c r="AX47" t="b">
        <f t="shared" ca="1" si="11"/>
        <v>0</v>
      </c>
      <c r="AY47" s="519">
        <f t="shared" si="38"/>
        <v>-0.29166666666666669</v>
      </c>
      <c r="AZ47" s="180">
        <f>SUM(AY$5:AY47)</f>
        <v>-8.7500000000000018</v>
      </c>
      <c r="BA47" s="567"/>
      <c r="BB47" s="567">
        <f t="shared" si="12"/>
        <v>0</v>
      </c>
      <c r="BC47" s="567"/>
    </row>
    <row r="48" spans="1:55" ht="15.75">
      <c r="A48" s="260">
        <f t="shared" si="39"/>
        <v>44876</v>
      </c>
      <c r="B48" s="261">
        <f t="shared" si="13"/>
        <v>44876</v>
      </c>
      <c r="C48" s="262">
        <f>IF(A48="","",NumberOfWeek(A48))</f>
        <v>46</v>
      </c>
      <c r="D48" s="263">
        <f t="shared" si="14"/>
        <v>44865</v>
      </c>
      <c r="E48" s="273" t="str">
        <f t="shared" si="15"/>
        <v/>
      </c>
      <c r="F48" s="5"/>
      <c r="G48" s="6" t="str">
        <f t="shared" si="0"/>
        <v/>
      </c>
      <c r="H48" s="7"/>
      <c r="I48" s="7">
        <f t="shared" si="16"/>
        <v>0</v>
      </c>
      <c r="J48" s="76">
        <f t="shared" si="17"/>
        <v>0</v>
      </c>
      <c r="K48" s="7"/>
      <c r="L48" s="7">
        <f t="shared" si="18"/>
        <v>0</v>
      </c>
      <c r="M48" s="76">
        <f t="shared" si="1"/>
        <v>0</v>
      </c>
      <c r="N48" s="76"/>
      <c r="O48" s="76">
        <f t="shared" si="2"/>
        <v>0</v>
      </c>
      <c r="P48" s="76"/>
      <c r="Q48" s="76">
        <f t="shared" si="3"/>
        <v>0</v>
      </c>
      <c r="R48" s="76">
        <f t="shared" si="19"/>
        <v>0</v>
      </c>
      <c r="S48" s="76">
        <f t="shared" si="20"/>
        <v>0</v>
      </c>
      <c r="T48" s="76">
        <f t="shared" si="21"/>
        <v>0</v>
      </c>
      <c r="U48" s="76">
        <f t="shared" si="22"/>
        <v>0</v>
      </c>
      <c r="V48" s="109">
        <f t="shared" si="23"/>
        <v>0</v>
      </c>
      <c r="W48" s="62"/>
      <c r="X48" s="78">
        <f t="shared" si="4"/>
        <v>3.125E-2</v>
      </c>
      <c r="Y48" s="73">
        <f t="shared" si="24"/>
        <v>0</v>
      </c>
      <c r="Z48" s="74">
        <f t="shared" si="25"/>
        <v>0.29166666666666669</v>
      </c>
      <c r="AA48" s="75">
        <f t="shared" si="26"/>
        <v>0</v>
      </c>
      <c r="AB48" s="63" t="str">
        <f t="shared" si="27"/>
        <v/>
      </c>
      <c r="AC48" s="148">
        <f t="shared" si="5"/>
        <v>0</v>
      </c>
      <c r="AD48" s="107" t="str">
        <f t="shared" si="6"/>
        <v/>
      </c>
      <c r="AE48" s="180">
        <f t="shared" si="28"/>
        <v>0</v>
      </c>
      <c r="AF48" s="73"/>
      <c r="AG48" s="525"/>
      <c r="AH48" s="73"/>
      <c r="AI48" s="73" t="str">
        <f t="shared" si="41"/>
        <v/>
      </c>
      <c r="AJ48" s="64">
        <f t="shared" si="7"/>
        <v>0</v>
      </c>
      <c r="AK48" s="64">
        <f t="shared" si="8"/>
        <v>0</v>
      </c>
      <c r="AL48" s="64" t="str">
        <f t="shared" si="9"/>
        <v/>
      </c>
      <c r="AM48">
        <f t="shared" si="10"/>
        <v>4</v>
      </c>
      <c r="AN48" s="85">
        <f>SUM($AD$6:AD48)</f>
        <v>0</v>
      </c>
      <c r="AO48" s="85">
        <f t="shared" ca="1" si="30"/>
        <v>0</v>
      </c>
      <c r="AP48" s="89">
        <f t="shared" si="31"/>
        <v>0</v>
      </c>
      <c r="AQ48" s="89">
        <f t="shared" si="32"/>
        <v>0</v>
      </c>
      <c r="AR48" s="89">
        <f t="shared" si="33"/>
        <v>0</v>
      </c>
      <c r="AS48" s="88">
        <f t="shared" si="34"/>
        <v>0</v>
      </c>
      <c r="AT48" s="88">
        <f t="shared" ca="1" si="35"/>
        <v>0</v>
      </c>
      <c r="AU48" s="98">
        <f t="shared" si="36"/>
        <v>0</v>
      </c>
      <c r="AV48" s="88">
        <f t="shared" si="37"/>
        <v>0</v>
      </c>
      <c r="AW48" t="b">
        <f>OR((F48&gt;0),(NOT(ISBLANK(H48))),SUM(H48:H$373),SUM(G48:G$373))</f>
        <v>0</v>
      </c>
      <c r="AX48" t="b">
        <f t="shared" ca="1" si="11"/>
        <v>0</v>
      </c>
      <c r="AY48" s="519">
        <f t="shared" si="38"/>
        <v>-0.29166666666666669</v>
      </c>
      <c r="AZ48" s="180">
        <f>SUM(AY$5:AY48)</f>
        <v>-9.0416666666666679</v>
      </c>
      <c r="BA48" s="567"/>
      <c r="BB48" s="567">
        <f t="shared" si="12"/>
        <v>0</v>
      </c>
      <c r="BC48" s="567"/>
    </row>
    <row r="49" spans="1:55" ht="15.75">
      <c r="A49" s="260">
        <f t="shared" si="39"/>
        <v>44877</v>
      </c>
      <c r="B49" s="261">
        <f t="shared" si="13"/>
        <v>44877</v>
      </c>
      <c r="C49" s="262">
        <f>IF(A49="","",NumberOfWeek(A49))</f>
        <v>46</v>
      </c>
      <c r="D49" s="263">
        <f t="shared" si="14"/>
        <v>44865</v>
      </c>
      <c r="E49" s="273" t="str">
        <f t="shared" si="15"/>
        <v/>
      </c>
      <c r="F49" s="5"/>
      <c r="G49" s="6" t="str">
        <f t="shared" si="0"/>
        <v/>
      </c>
      <c r="H49" s="7"/>
      <c r="I49" s="7">
        <f t="shared" si="16"/>
        <v>0</v>
      </c>
      <c r="J49" s="76">
        <f t="shared" si="17"/>
        <v>0</v>
      </c>
      <c r="K49" s="7"/>
      <c r="L49" s="7">
        <f t="shared" si="18"/>
        <v>0</v>
      </c>
      <c r="M49" s="76">
        <f t="shared" si="1"/>
        <v>0</v>
      </c>
      <c r="N49" s="76"/>
      <c r="O49" s="76">
        <f t="shared" si="2"/>
        <v>0</v>
      </c>
      <c r="P49" s="76"/>
      <c r="Q49" s="76">
        <f t="shared" si="3"/>
        <v>0</v>
      </c>
      <c r="R49" s="76">
        <f t="shared" si="19"/>
        <v>0</v>
      </c>
      <c r="S49" s="76">
        <f t="shared" si="20"/>
        <v>0</v>
      </c>
      <c r="T49" s="76">
        <f t="shared" si="21"/>
        <v>0</v>
      </c>
      <c r="U49" s="76">
        <f t="shared" si="22"/>
        <v>0</v>
      </c>
      <c r="V49" s="109">
        <f t="shared" si="23"/>
        <v>0</v>
      </c>
      <c r="W49" s="62"/>
      <c r="X49" s="78">
        <f t="shared" si="4"/>
        <v>3.125E-2</v>
      </c>
      <c r="Y49" s="73">
        <f t="shared" si="24"/>
        <v>0</v>
      </c>
      <c r="Z49" s="74">
        <f t="shared" si="25"/>
        <v>0.29166666666666669</v>
      </c>
      <c r="AA49" s="75">
        <f t="shared" si="26"/>
        <v>0</v>
      </c>
      <c r="AB49" s="63" t="str">
        <f t="shared" si="27"/>
        <v/>
      </c>
      <c r="AC49" s="148">
        <f t="shared" si="5"/>
        <v>0</v>
      </c>
      <c r="AD49" s="107" t="str">
        <f t="shared" si="6"/>
        <v/>
      </c>
      <c r="AE49" s="180">
        <f t="shared" si="28"/>
        <v>0</v>
      </c>
      <c r="AF49" s="73"/>
      <c r="AG49" s="525"/>
      <c r="AH49" s="73"/>
      <c r="AI49" s="73" t="str">
        <f t="shared" si="41"/>
        <v/>
      </c>
      <c r="AJ49" s="64">
        <f t="shared" si="7"/>
        <v>0</v>
      </c>
      <c r="AK49" s="64">
        <f t="shared" si="8"/>
        <v>0</v>
      </c>
      <c r="AL49" s="64" t="str">
        <f t="shared" si="9"/>
        <v/>
      </c>
      <c r="AM49">
        <f t="shared" si="10"/>
        <v>5</v>
      </c>
      <c r="AN49" s="85">
        <f>SUM($AD$6:AD49)</f>
        <v>0</v>
      </c>
      <c r="AO49" s="85">
        <f t="shared" ca="1" si="30"/>
        <v>0</v>
      </c>
      <c r="AP49" s="89">
        <f t="shared" si="31"/>
        <v>0</v>
      </c>
      <c r="AQ49" s="89">
        <f t="shared" si="32"/>
        <v>0</v>
      </c>
      <c r="AR49" s="89">
        <f t="shared" si="33"/>
        <v>0</v>
      </c>
      <c r="AS49" s="88">
        <f t="shared" si="34"/>
        <v>0</v>
      </c>
      <c r="AT49" s="88">
        <f t="shared" ca="1" si="35"/>
        <v>0</v>
      </c>
      <c r="AU49" s="98">
        <f t="shared" si="36"/>
        <v>0</v>
      </c>
      <c r="AV49" s="88">
        <f t="shared" si="37"/>
        <v>0</v>
      </c>
      <c r="AW49" t="b">
        <f>OR((F49&gt;0),(NOT(ISBLANK(H49))),SUM(H49:H$373),SUM(G49:G$373))</f>
        <v>0</v>
      </c>
      <c r="AX49" t="b">
        <f t="shared" ca="1" si="11"/>
        <v>0</v>
      </c>
      <c r="AY49" s="519">
        <f t="shared" si="38"/>
        <v>-0.29166666666666669</v>
      </c>
      <c r="AZ49" s="180">
        <f>SUM(AY$5:AY49)</f>
        <v>-9.3333333333333339</v>
      </c>
      <c r="BA49" s="567"/>
      <c r="BB49" s="567">
        <f t="shared" si="12"/>
        <v>0</v>
      </c>
      <c r="BC49" s="567"/>
    </row>
    <row r="50" spans="1:55" ht="15.75">
      <c r="A50" s="260">
        <f t="shared" si="39"/>
        <v>44878</v>
      </c>
      <c r="B50" s="261">
        <f t="shared" si="13"/>
        <v>44878</v>
      </c>
      <c r="C50" s="262">
        <f>IF(A50="","",NumberOfWeek(A50))</f>
        <v>46</v>
      </c>
      <c r="D50" s="263">
        <f t="shared" si="14"/>
        <v>44865</v>
      </c>
      <c r="E50" s="273" t="str">
        <f t="shared" si="15"/>
        <v/>
      </c>
      <c r="F50" s="5"/>
      <c r="G50" s="6" t="str">
        <f t="shared" si="0"/>
        <v/>
      </c>
      <c r="H50" s="7"/>
      <c r="I50" s="7">
        <f t="shared" si="16"/>
        <v>0</v>
      </c>
      <c r="J50" s="76">
        <f t="shared" si="17"/>
        <v>0</v>
      </c>
      <c r="K50" s="7"/>
      <c r="L50" s="7">
        <f t="shared" si="18"/>
        <v>0</v>
      </c>
      <c r="M50" s="76">
        <f t="shared" si="1"/>
        <v>0</v>
      </c>
      <c r="N50" s="76"/>
      <c r="O50" s="76">
        <f t="shared" si="2"/>
        <v>0</v>
      </c>
      <c r="P50" s="76"/>
      <c r="Q50" s="76">
        <f t="shared" si="3"/>
        <v>0</v>
      </c>
      <c r="R50" s="76">
        <f t="shared" si="19"/>
        <v>0</v>
      </c>
      <c r="S50" s="76">
        <f t="shared" si="20"/>
        <v>0</v>
      </c>
      <c r="T50" s="76">
        <f t="shared" si="21"/>
        <v>0</v>
      </c>
      <c r="U50" s="76">
        <f t="shared" si="22"/>
        <v>0</v>
      </c>
      <c r="V50" s="109">
        <f t="shared" si="23"/>
        <v>0</v>
      </c>
      <c r="W50" s="62"/>
      <c r="X50" s="78">
        <f t="shared" si="4"/>
        <v>3.125E-2</v>
      </c>
      <c r="Y50" s="73">
        <f t="shared" si="24"/>
        <v>0</v>
      </c>
      <c r="Z50" s="74">
        <f t="shared" si="25"/>
        <v>0</v>
      </c>
      <c r="AA50" s="75">
        <f t="shared" si="26"/>
        <v>0</v>
      </c>
      <c r="AB50" s="63" t="str">
        <f t="shared" si="27"/>
        <v/>
      </c>
      <c r="AC50" s="148">
        <f t="shared" si="5"/>
        <v>0</v>
      </c>
      <c r="AD50" s="107" t="str">
        <f t="shared" si="6"/>
        <v/>
      </c>
      <c r="AE50" s="180">
        <f t="shared" si="28"/>
        <v>0</v>
      </c>
      <c r="AF50" s="73"/>
      <c r="AG50" s="525"/>
      <c r="AH50" s="73"/>
      <c r="AI50" s="73" t="str">
        <f t="shared" si="41"/>
        <v/>
      </c>
      <c r="AJ50" s="64">
        <f t="shared" si="7"/>
        <v>0</v>
      </c>
      <c r="AK50" s="64">
        <f t="shared" si="8"/>
        <v>0</v>
      </c>
      <c r="AL50" s="64" t="str">
        <f t="shared" si="9"/>
        <v/>
      </c>
      <c r="AM50">
        <f t="shared" si="10"/>
        <v>6</v>
      </c>
      <c r="AN50" s="85">
        <f>SUM($AD$6:AD50)</f>
        <v>0</v>
      </c>
      <c r="AO50" s="85">
        <f t="shared" ca="1" si="30"/>
        <v>0</v>
      </c>
      <c r="AP50" s="89">
        <f t="shared" si="31"/>
        <v>0</v>
      </c>
      <c r="AQ50" s="89">
        <f t="shared" si="32"/>
        <v>0</v>
      </c>
      <c r="AR50" s="89">
        <f t="shared" si="33"/>
        <v>0</v>
      </c>
      <c r="AS50" s="88">
        <f t="shared" si="34"/>
        <v>0</v>
      </c>
      <c r="AT50" s="88">
        <f t="shared" ca="1" si="35"/>
        <v>0</v>
      </c>
      <c r="AU50" s="98">
        <f t="shared" si="36"/>
        <v>0</v>
      </c>
      <c r="AV50" s="88">
        <f t="shared" si="37"/>
        <v>7</v>
      </c>
      <c r="AW50" t="b">
        <f>OR((F50&gt;0),(NOT(ISBLANK(H50))),SUM(H50:H$373),SUM(G50:G$373))</f>
        <v>0</v>
      </c>
      <c r="AX50" t="b">
        <f t="shared" ca="1" si="11"/>
        <v>1</v>
      </c>
      <c r="AY50" s="519">
        <f t="shared" si="38"/>
        <v>0</v>
      </c>
      <c r="AZ50" s="180">
        <f>SUM(AY$5:AY50)</f>
        <v>-9.3333333333333339</v>
      </c>
      <c r="BA50" s="567"/>
      <c r="BB50" s="567">
        <f t="shared" si="12"/>
        <v>0</v>
      </c>
      <c r="BC50" s="567"/>
    </row>
    <row r="51" spans="1:55" ht="15.75">
      <c r="A51" s="260">
        <f t="shared" si="39"/>
        <v>44879</v>
      </c>
      <c r="B51" s="261">
        <f t="shared" si="13"/>
        <v>44879</v>
      </c>
      <c r="C51" s="262">
        <f>IF(A51="","",NumberOfWeek(A51))</f>
        <v>46</v>
      </c>
      <c r="D51" s="263">
        <f t="shared" si="14"/>
        <v>44865</v>
      </c>
      <c r="E51" s="273" t="str">
        <f t="shared" si="15"/>
        <v/>
      </c>
      <c r="F51" s="5"/>
      <c r="G51" s="6" t="str">
        <f t="shared" si="0"/>
        <v/>
      </c>
      <c r="H51" s="7"/>
      <c r="I51" s="7">
        <f t="shared" si="16"/>
        <v>0</v>
      </c>
      <c r="J51" s="76">
        <f t="shared" si="17"/>
        <v>0</v>
      </c>
      <c r="K51" s="7"/>
      <c r="L51" s="7">
        <f t="shared" si="18"/>
        <v>0</v>
      </c>
      <c r="M51" s="76">
        <f t="shared" si="1"/>
        <v>0</v>
      </c>
      <c r="N51" s="76"/>
      <c r="O51" s="76">
        <f t="shared" si="2"/>
        <v>0</v>
      </c>
      <c r="P51" s="76"/>
      <c r="Q51" s="76">
        <f t="shared" si="3"/>
        <v>0</v>
      </c>
      <c r="R51" s="76">
        <f t="shared" si="19"/>
        <v>0</v>
      </c>
      <c r="S51" s="76">
        <f t="shared" si="20"/>
        <v>0</v>
      </c>
      <c r="T51" s="76">
        <f t="shared" si="21"/>
        <v>0</v>
      </c>
      <c r="U51" s="76">
        <f t="shared" si="22"/>
        <v>0</v>
      </c>
      <c r="V51" s="109">
        <f t="shared" si="23"/>
        <v>0</v>
      </c>
      <c r="W51" s="62"/>
      <c r="X51" s="78">
        <f t="shared" si="4"/>
        <v>3.125E-2</v>
      </c>
      <c r="Y51" s="73">
        <f t="shared" si="24"/>
        <v>0</v>
      </c>
      <c r="Z51" s="74">
        <f t="shared" si="25"/>
        <v>0</v>
      </c>
      <c r="AA51" s="75">
        <f t="shared" si="26"/>
        <v>0</v>
      </c>
      <c r="AB51" s="63" t="str">
        <f t="shared" si="27"/>
        <v/>
      </c>
      <c r="AC51" s="148">
        <f t="shared" si="5"/>
        <v>0</v>
      </c>
      <c r="AD51" s="107" t="str">
        <f t="shared" si="6"/>
        <v/>
      </c>
      <c r="AE51" s="180">
        <f t="shared" si="28"/>
        <v>0</v>
      </c>
      <c r="AF51" s="73"/>
      <c r="AG51" s="525"/>
      <c r="AH51" s="73"/>
      <c r="AI51" s="73" t="str">
        <f t="shared" si="41"/>
        <v/>
      </c>
      <c r="AJ51" s="64">
        <f t="shared" si="7"/>
        <v>0</v>
      </c>
      <c r="AK51" s="64">
        <f t="shared" si="8"/>
        <v>0</v>
      </c>
      <c r="AL51" s="64" t="str">
        <f t="shared" si="9"/>
        <v/>
      </c>
      <c r="AM51">
        <f t="shared" si="10"/>
        <v>7</v>
      </c>
      <c r="AN51" s="85">
        <f>SUM($AD$6:AD51)</f>
        <v>0</v>
      </c>
      <c r="AO51" s="85">
        <f t="shared" ca="1" si="30"/>
        <v>0</v>
      </c>
      <c r="AP51" s="89">
        <f t="shared" si="31"/>
        <v>0</v>
      </c>
      <c r="AQ51" s="89">
        <f t="shared" si="32"/>
        <v>0</v>
      </c>
      <c r="AR51" s="89">
        <f t="shared" si="33"/>
        <v>0</v>
      </c>
      <c r="AS51" s="88">
        <f t="shared" si="34"/>
        <v>0</v>
      </c>
      <c r="AT51" s="88">
        <f t="shared" ca="1" si="35"/>
        <v>0</v>
      </c>
      <c r="AU51" s="98">
        <f t="shared" si="36"/>
        <v>0</v>
      </c>
      <c r="AV51" s="88">
        <f t="shared" si="37"/>
        <v>7</v>
      </c>
      <c r="AW51" t="b">
        <f>OR((F51&gt;0),(NOT(ISBLANK(H51))),SUM(H51:H$373),SUM(G51:G$373))</f>
        <v>0</v>
      </c>
      <c r="AX51" t="b">
        <f t="shared" ca="1" si="11"/>
        <v>1</v>
      </c>
      <c r="AY51" s="519">
        <f t="shared" si="38"/>
        <v>0</v>
      </c>
      <c r="AZ51" s="180">
        <f>SUM(AY$5:AY51)</f>
        <v>-9.3333333333333339</v>
      </c>
      <c r="BA51" s="567"/>
      <c r="BB51" s="567">
        <f t="shared" si="12"/>
        <v>0</v>
      </c>
      <c r="BC51" s="567"/>
    </row>
    <row r="52" spans="1:55" ht="15.75">
      <c r="A52" s="260">
        <f t="shared" si="39"/>
        <v>44880</v>
      </c>
      <c r="B52" s="261">
        <f t="shared" si="13"/>
        <v>44880</v>
      </c>
      <c r="C52" s="262">
        <f>IF(A52="","",NumberOfWeek(A52))</f>
        <v>47</v>
      </c>
      <c r="D52" s="263">
        <f t="shared" si="14"/>
        <v>44865</v>
      </c>
      <c r="E52" s="273" t="str">
        <f t="shared" si="15"/>
        <v/>
      </c>
      <c r="F52" s="5"/>
      <c r="G52" s="6" t="str">
        <f t="shared" si="0"/>
        <v/>
      </c>
      <c r="H52" s="7"/>
      <c r="I52" s="7">
        <f t="shared" si="16"/>
        <v>0</v>
      </c>
      <c r="J52" s="76">
        <f t="shared" si="17"/>
        <v>0</v>
      </c>
      <c r="K52" s="7"/>
      <c r="L52" s="7">
        <f t="shared" si="18"/>
        <v>0</v>
      </c>
      <c r="M52" s="76">
        <f t="shared" si="1"/>
        <v>0</v>
      </c>
      <c r="N52" s="76"/>
      <c r="O52" s="76">
        <f t="shared" si="2"/>
        <v>0</v>
      </c>
      <c r="P52" s="76"/>
      <c r="Q52" s="76">
        <f t="shared" si="3"/>
        <v>0</v>
      </c>
      <c r="R52" s="76">
        <f t="shared" si="19"/>
        <v>0</v>
      </c>
      <c r="S52" s="76">
        <f t="shared" si="20"/>
        <v>0</v>
      </c>
      <c r="T52" s="76">
        <f t="shared" si="21"/>
        <v>0</v>
      </c>
      <c r="U52" s="76">
        <f t="shared" si="22"/>
        <v>0</v>
      </c>
      <c r="V52" s="109">
        <f t="shared" si="23"/>
        <v>0</v>
      </c>
      <c r="W52" s="62"/>
      <c r="X52" s="78">
        <f t="shared" si="4"/>
        <v>3.125E-2</v>
      </c>
      <c r="Y52" s="73">
        <f t="shared" si="24"/>
        <v>0</v>
      </c>
      <c r="Z52" s="74">
        <f t="shared" si="25"/>
        <v>0.29166666666666669</v>
      </c>
      <c r="AA52" s="75">
        <f t="shared" si="26"/>
        <v>0</v>
      </c>
      <c r="AB52" s="63" t="str">
        <f t="shared" si="27"/>
        <v/>
      </c>
      <c r="AC52" s="148">
        <f t="shared" si="5"/>
        <v>0</v>
      </c>
      <c r="AD52" s="107" t="str">
        <f t="shared" si="6"/>
        <v/>
      </c>
      <c r="AE52" s="180">
        <f t="shared" si="28"/>
        <v>0</v>
      </c>
      <c r="AF52" s="73"/>
      <c r="AG52" s="525"/>
      <c r="AH52" s="73"/>
      <c r="AI52" s="73" t="str">
        <f t="shared" si="41"/>
        <v/>
      </c>
      <c r="AJ52" s="64">
        <f t="shared" si="7"/>
        <v>0</v>
      </c>
      <c r="AK52" s="64">
        <f t="shared" si="8"/>
        <v>0</v>
      </c>
      <c r="AL52" s="64" t="str">
        <f t="shared" si="9"/>
        <v/>
      </c>
      <c r="AM52">
        <f t="shared" si="10"/>
        <v>1</v>
      </c>
      <c r="AN52" s="85">
        <f>SUM($AD$6:AD52)</f>
        <v>0</v>
      </c>
      <c r="AO52" s="85">
        <f t="shared" ca="1" si="30"/>
        <v>0</v>
      </c>
      <c r="AP52" s="89">
        <f t="shared" si="31"/>
        <v>0</v>
      </c>
      <c r="AQ52" s="89">
        <f t="shared" si="32"/>
        <v>0</v>
      </c>
      <c r="AR52" s="89">
        <f t="shared" si="33"/>
        <v>0</v>
      </c>
      <c r="AS52" s="88">
        <f t="shared" si="34"/>
        <v>0</v>
      </c>
      <c r="AT52" s="88">
        <f t="shared" ca="1" si="35"/>
        <v>0</v>
      </c>
      <c r="AU52" s="98">
        <f t="shared" si="36"/>
        <v>0</v>
      </c>
      <c r="AV52" s="88">
        <f t="shared" si="37"/>
        <v>0</v>
      </c>
      <c r="AW52" t="b">
        <f>OR((F52&gt;0),(NOT(ISBLANK(H52))),SUM(H52:H$373),SUM(G52:G$373))</f>
        <v>0</v>
      </c>
      <c r="AX52" t="b">
        <f t="shared" ca="1" si="11"/>
        <v>0</v>
      </c>
      <c r="AY52" s="519">
        <f t="shared" si="38"/>
        <v>-0.29166666666666669</v>
      </c>
      <c r="AZ52" s="180">
        <f>SUM(AY$5:AY52)</f>
        <v>-9.625</v>
      </c>
      <c r="BA52" s="567"/>
      <c r="BB52" s="567">
        <f t="shared" si="12"/>
        <v>0</v>
      </c>
      <c r="BC52" s="567"/>
    </row>
    <row r="53" spans="1:55" ht="15.75">
      <c r="A53" s="260">
        <f t="shared" si="39"/>
        <v>44881</v>
      </c>
      <c r="B53" s="261">
        <f t="shared" si="13"/>
        <v>44881</v>
      </c>
      <c r="C53" s="262">
        <f>IF(A53="","",NumberOfWeek(A53))</f>
        <v>47</v>
      </c>
      <c r="D53" s="263">
        <f t="shared" si="14"/>
        <v>44865</v>
      </c>
      <c r="E53" s="273" t="str">
        <f t="shared" si="15"/>
        <v/>
      </c>
      <c r="F53" s="5"/>
      <c r="G53" s="6" t="str">
        <f t="shared" si="0"/>
        <v/>
      </c>
      <c r="H53" s="7"/>
      <c r="I53" s="7">
        <f t="shared" si="16"/>
        <v>0</v>
      </c>
      <c r="J53" s="76">
        <f t="shared" si="17"/>
        <v>0</v>
      </c>
      <c r="K53" s="7"/>
      <c r="L53" s="7">
        <f t="shared" si="18"/>
        <v>0</v>
      </c>
      <c r="M53" s="76">
        <f t="shared" si="1"/>
        <v>0</v>
      </c>
      <c r="N53" s="76"/>
      <c r="O53" s="76">
        <f t="shared" si="2"/>
        <v>0</v>
      </c>
      <c r="P53" s="76"/>
      <c r="Q53" s="76">
        <f t="shared" si="3"/>
        <v>0</v>
      </c>
      <c r="R53" s="76">
        <f t="shared" si="19"/>
        <v>0</v>
      </c>
      <c r="S53" s="76">
        <f t="shared" si="20"/>
        <v>0</v>
      </c>
      <c r="T53" s="76">
        <f t="shared" si="21"/>
        <v>0</v>
      </c>
      <c r="U53" s="76">
        <f t="shared" si="22"/>
        <v>0</v>
      </c>
      <c r="V53" s="109">
        <f t="shared" si="23"/>
        <v>0</v>
      </c>
      <c r="W53" s="62"/>
      <c r="X53" s="78">
        <f t="shared" si="4"/>
        <v>3.125E-2</v>
      </c>
      <c r="Y53" s="73">
        <f t="shared" si="24"/>
        <v>0</v>
      </c>
      <c r="Z53" s="74">
        <f t="shared" si="25"/>
        <v>0.29166666666666669</v>
      </c>
      <c r="AA53" s="75">
        <f t="shared" si="26"/>
        <v>0</v>
      </c>
      <c r="AB53" s="63" t="str">
        <f t="shared" si="27"/>
        <v/>
      </c>
      <c r="AC53" s="148">
        <f t="shared" si="5"/>
        <v>0</v>
      </c>
      <c r="AD53" s="107" t="str">
        <f t="shared" si="6"/>
        <v/>
      </c>
      <c r="AE53" s="180">
        <f t="shared" si="28"/>
        <v>0</v>
      </c>
      <c r="AF53" s="73"/>
      <c r="AG53" s="525"/>
      <c r="AH53" s="73"/>
      <c r="AI53" s="73" t="str">
        <f t="shared" si="41"/>
        <v/>
      </c>
      <c r="AJ53" s="64">
        <f t="shared" si="7"/>
        <v>0</v>
      </c>
      <c r="AK53" s="64">
        <f t="shared" si="8"/>
        <v>0</v>
      </c>
      <c r="AL53" s="64" t="str">
        <f t="shared" si="9"/>
        <v/>
      </c>
      <c r="AM53">
        <f t="shared" si="10"/>
        <v>2</v>
      </c>
      <c r="AN53" s="85">
        <f>SUM($AD$6:AD53)</f>
        <v>0</v>
      </c>
      <c r="AO53" s="85">
        <f t="shared" ca="1" si="30"/>
        <v>0</v>
      </c>
      <c r="AP53" s="89">
        <f t="shared" si="31"/>
        <v>0</v>
      </c>
      <c r="AQ53" s="89">
        <f t="shared" si="32"/>
        <v>0</v>
      </c>
      <c r="AR53" s="89">
        <f t="shared" si="33"/>
        <v>0</v>
      </c>
      <c r="AS53" s="88">
        <f t="shared" si="34"/>
        <v>0</v>
      </c>
      <c r="AT53" s="88">
        <f t="shared" ca="1" si="35"/>
        <v>0</v>
      </c>
      <c r="AU53" s="98">
        <f t="shared" si="36"/>
        <v>0</v>
      </c>
      <c r="AV53" s="88">
        <f t="shared" si="37"/>
        <v>0</v>
      </c>
      <c r="AW53" t="b">
        <f>OR((F53&gt;0),(NOT(ISBLANK(H53))),SUM(H53:H$373),SUM(G53:G$373))</f>
        <v>0</v>
      </c>
      <c r="AX53" t="b">
        <f t="shared" ca="1" si="11"/>
        <v>0</v>
      </c>
      <c r="AY53" s="519">
        <f t="shared" si="38"/>
        <v>-0.29166666666666669</v>
      </c>
      <c r="AZ53" s="180">
        <f>SUM(AY$5:AY53)</f>
        <v>-9.9166666666666661</v>
      </c>
      <c r="BA53" s="567"/>
      <c r="BB53" s="567">
        <f t="shared" si="12"/>
        <v>0</v>
      </c>
      <c r="BC53" s="567"/>
    </row>
    <row r="54" spans="1:55" ht="15.75">
      <c r="A54" s="260">
        <f t="shared" si="39"/>
        <v>44882</v>
      </c>
      <c r="B54" s="261">
        <f t="shared" si="13"/>
        <v>44882</v>
      </c>
      <c r="C54" s="262">
        <f>IF(A54="","",NumberOfWeek(A54))</f>
        <v>47</v>
      </c>
      <c r="D54" s="263">
        <f t="shared" si="14"/>
        <v>44865</v>
      </c>
      <c r="E54" s="273" t="str">
        <f t="shared" si="15"/>
        <v/>
      </c>
      <c r="F54" s="5"/>
      <c r="G54" s="6" t="str">
        <f t="shared" si="0"/>
        <v/>
      </c>
      <c r="H54" s="7"/>
      <c r="I54" s="7">
        <f t="shared" si="16"/>
        <v>0</v>
      </c>
      <c r="J54" s="76">
        <f t="shared" si="17"/>
        <v>0</v>
      </c>
      <c r="K54" s="7"/>
      <c r="L54" s="7">
        <f t="shared" si="18"/>
        <v>0</v>
      </c>
      <c r="M54" s="76">
        <f t="shared" si="1"/>
        <v>0</v>
      </c>
      <c r="N54" s="76"/>
      <c r="O54" s="76">
        <f t="shared" si="2"/>
        <v>0</v>
      </c>
      <c r="P54" s="76"/>
      <c r="Q54" s="76">
        <f t="shared" si="3"/>
        <v>0</v>
      </c>
      <c r="R54" s="76">
        <f t="shared" si="19"/>
        <v>0</v>
      </c>
      <c r="S54" s="76">
        <f t="shared" si="20"/>
        <v>0</v>
      </c>
      <c r="T54" s="76">
        <f t="shared" si="21"/>
        <v>0</v>
      </c>
      <c r="U54" s="76">
        <f t="shared" si="22"/>
        <v>0</v>
      </c>
      <c r="V54" s="109">
        <f t="shared" si="23"/>
        <v>0</v>
      </c>
      <c r="W54" s="62"/>
      <c r="X54" s="78">
        <f t="shared" si="4"/>
        <v>3.125E-2</v>
      </c>
      <c r="Y54" s="73">
        <f t="shared" si="24"/>
        <v>0</v>
      </c>
      <c r="Z54" s="74">
        <f t="shared" si="25"/>
        <v>0.29166666666666669</v>
      </c>
      <c r="AA54" s="75">
        <f t="shared" si="26"/>
        <v>0</v>
      </c>
      <c r="AB54" s="63" t="str">
        <f t="shared" si="27"/>
        <v/>
      </c>
      <c r="AC54" s="148">
        <f t="shared" si="5"/>
        <v>0</v>
      </c>
      <c r="AD54" s="107" t="str">
        <f t="shared" si="6"/>
        <v/>
      </c>
      <c r="AE54" s="180">
        <f t="shared" si="28"/>
        <v>0</v>
      </c>
      <c r="AF54" s="73"/>
      <c r="AG54" s="525"/>
      <c r="AH54" s="73"/>
      <c r="AI54" s="73" t="str">
        <f t="shared" si="41"/>
        <v/>
      </c>
      <c r="AJ54" s="64">
        <f t="shared" si="7"/>
        <v>0</v>
      </c>
      <c r="AK54" s="64">
        <f t="shared" si="8"/>
        <v>0</v>
      </c>
      <c r="AL54" s="64" t="str">
        <f t="shared" si="9"/>
        <v/>
      </c>
      <c r="AM54">
        <f t="shared" si="10"/>
        <v>3</v>
      </c>
      <c r="AN54" s="85">
        <f>SUM($AD$6:AD54)</f>
        <v>0</v>
      </c>
      <c r="AO54" s="85">
        <f t="shared" ca="1" si="30"/>
        <v>0</v>
      </c>
      <c r="AP54" s="89">
        <f t="shared" si="31"/>
        <v>0</v>
      </c>
      <c r="AQ54" s="89">
        <f t="shared" si="32"/>
        <v>0</v>
      </c>
      <c r="AR54" s="89">
        <f t="shared" si="33"/>
        <v>0</v>
      </c>
      <c r="AS54" s="88">
        <f t="shared" si="34"/>
        <v>0</v>
      </c>
      <c r="AT54" s="88">
        <f t="shared" ca="1" si="35"/>
        <v>0</v>
      </c>
      <c r="AU54" s="98">
        <f t="shared" si="36"/>
        <v>0</v>
      </c>
      <c r="AV54" s="88">
        <f t="shared" si="37"/>
        <v>0</v>
      </c>
      <c r="AW54" t="b">
        <f>OR((F54&gt;0),(NOT(ISBLANK(H54))),SUM(H54:H$373),SUM(G54:G$373))</f>
        <v>0</v>
      </c>
      <c r="AX54" t="b">
        <f t="shared" ca="1" si="11"/>
        <v>0</v>
      </c>
      <c r="AY54" s="519">
        <f t="shared" si="38"/>
        <v>-0.29166666666666669</v>
      </c>
      <c r="AZ54" s="180">
        <f>SUM(AY$5:AY54)</f>
        <v>-10.208333333333332</v>
      </c>
      <c r="BA54" s="567"/>
      <c r="BB54" s="567">
        <f t="shared" si="12"/>
        <v>0</v>
      </c>
      <c r="BC54" s="567"/>
    </row>
    <row r="55" spans="1:55" ht="15.75">
      <c r="A55" s="260">
        <f t="shared" si="39"/>
        <v>44883</v>
      </c>
      <c r="B55" s="261">
        <f t="shared" si="13"/>
        <v>44883</v>
      </c>
      <c r="C55" s="262">
        <f>IF(A55="","",NumberOfWeek(A55))</f>
        <v>47</v>
      </c>
      <c r="D55" s="263">
        <f t="shared" si="14"/>
        <v>44865</v>
      </c>
      <c r="E55" s="273" t="str">
        <f t="shared" si="15"/>
        <v/>
      </c>
      <c r="F55" s="5"/>
      <c r="G55" s="6" t="str">
        <f t="shared" si="0"/>
        <v/>
      </c>
      <c r="H55" s="7"/>
      <c r="I55" s="7">
        <f t="shared" si="16"/>
        <v>0</v>
      </c>
      <c r="J55" s="76">
        <f t="shared" si="17"/>
        <v>0</v>
      </c>
      <c r="K55" s="7"/>
      <c r="L55" s="7">
        <f t="shared" si="18"/>
        <v>0</v>
      </c>
      <c r="M55" s="76">
        <f t="shared" si="1"/>
        <v>0</v>
      </c>
      <c r="N55" s="76"/>
      <c r="O55" s="76">
        <f t="shared" si="2"/>
        <v>0</v>
      </c>
      <c r="P55" s="76"/>
      <c r="Q55" s="76">
        <f t="shared" si="3"/>
        <v>0</v>
      </c>
      <c r="R55" s="76">
        <f t="shared" si="19"/>
        <v>0</v>
      </c>
      <c r="S55" s="76">
        <f t="shared" si="20"/>
        <v>0</v>
      </c>
      <c r="T55" s="76">
        <f t="shared" si="21"/>
        <v>0</v>
      </c>
      <c r="U55" s="76">
        <f t="shared" si="22"/>
        <v>0</v>
      </c>
      <c r="V55" s="109">
        <f t="shared" si="23"/>
        <v>0</v>
      </c>
      <c r="W55" s="62"/>
      <c r="X55" s="78">
        <f t="shared" si="4"/>
        <v>3.125E-2</v>
      </c>
      <c r="Y55" s="73">
        <f t="shared" si="24"/>
        <v>0</v>
      </c>
      <c r="Z55" s="74">
        <f t="shared" si="25"/>
        <v>0.29166666666666669</v>
      </c>
      <c r="AA55" s="75">
        <f t="shared" si="26"/>
        <v>0</v>
      </c>
      <c r="AB55" s="63" t="str">
        <f t="shared" si="27"/>
        <v/>
      </c>
      <c r="AC55" s="148">
        <f t="shared" si="5"/>
        <v>0</v>
      </c>
      <c r="AD55" s="107" t="str">
        <f t="shared" si="6"/>
        <v/>
      </c>
      <c r="AE55" s="180">
        <f t="shared" si="28"/>
        <v>0</v>
      </c>
      <c r="AF55" s="73"/>
      <c r="AG55" s="525"/>
      <c r="AH55" s="73"/>
      <c r="AI55" s="73" t="str">
        <f t="shared" si="41"/>
        <v/>
      </c>
      <c r="AJ55" s="64">
        <f t="shared" si="7"/>
        <v>0</v>
      </c>
      <c r="AK55" s="64">
        <f t="shared" si="8"/>
        <v>0</v>
      </c>
      <c r="AL55" s="64" t="str">
        <f t="shared" si="9"/>
        <v/>
      </c>
      <c r="AM55">
        <f t="shared" si="10"/>
        <v>4</v>
      </c>
      <c r="AN55" s="85">
        <f>SUM($AD$6:AD55)</f>
        <v>0</v>
      </c>
      <c r="AO55" s="85">
        <f t="shared" ca="1" si="30"/>
        <v>0</v>
      </c>
      <c r="AP55" s="89">
        <f t="shared" si="31"/>
        <v>0</v>
      </c>
      <c r="AQ55" s="89">
        <f t="shared" si="32"/>
        <v>0</v>
      </c>
      <c r="AR55" s="89">
        <f t="shared" si="33"/>
        <v>0</v>
      </c>
      <c r="AS55" s="88">
        <f t="shared" si="34"/>
        <v>0</v>
      </c>
      <c r="AT55" s="88">
        <f t="shared" ca="1" si="35"/>
        <v>0</v>
      </c>
      <c r="AU55" s="98">
        <f t="shared" si="36"/>
        <v>0</v>
      </c>
      <c r="AV55" s="88">
        <f t="shared" si="37"/>
        <v>0</v>
      </c>
      <c r="AW55" t="b">
        <f>OR((F55&gt;0),(NOT(ISBLANK(H55))),SUM(H55:H$373),SUM(G55:G$373))</f>
        <v>0</v>
      </c>
      <c r="AX55" t="b">
        <f t="shared" ca="1" si="11"/>
        <v>0</v>
      </c>
      <c r="AY55" s="519">
        <f t="shared" si="38"/>
        <v>-0.29166666666666669</v>
      </c>
      <c r="AZ55" s="180">
        <f>SUM(AY$5:AY55)</f>
        <v>-10.499999999999998</v>
      </c>
      <c r="BA55" s="567"/>
      <c r="BB55" s="567">
        <f t="shared" si="12"/>
        <v>0</v>
      </c>
      <c r="BC55" s="567"/>
    </row>
    <row r="56" spans="1:55" ht="15.75">
      <c r="A56" s="260">
        <f t="shared" si="39"/>
        <v>44884</v>
      </c>
      <c r="B56" s="261">
        <f t="shared" si="13"/>
        <v>44884</v>
      </c>
      <c r="C56" s="262">
        <f>IF(A56="","",NumberOfWeek(A56))</f>
        <v>47</v>
      </c>
      <c r="D56" s="263">
        <f t="shared" si="14"/>
        <v>44865</v>
      </c>
      <c r="E56" s="273" t="str">
        <f t="shared" si="15"/>
        <v/>
      </c>
      <c r="F56" s="5"/>
      <c r="G56" s="6" t="str">
        <f t="shared" si="0"/>
        <v/>
      </c>
      <c r="H56" s="7"/>
      <c r="I56" s="7">
        <f t="shared" si="16"/>
        <v>0</v>
      </c>
      <c r="J56" s="76">
        <f t="shared" si="17"/>
        <v>0</v>
      </c>
      <c r="K56" s="7"/>
      <c r="L56" s="7">
        <f t="shared" si="18"/>
        <v>0</v>
      </c>
      <c r="M56" s="76">
        <f t="shared" si="1"/>
        <v>0</v>
      </c>
      <c r="N56" s="76"/>
      <c r="O56" s="76">
        <f t="shared" si="2"/>
        <v>0</v>
      </c>
      <c r="P56" s="76"/>
      <c r="Q56" s="76">
        <f t="shared" si="3"/>
        <v>0</v>
      </c>
      <c r="R56" s="76">
        <f t="shared" si="19"/>
        <v>0</v>
      </c>
      <c r="S56" s="76">
        <f t="shared" si="20"/>
        <v>0</v>
      </c>
      <c r="T56" s="76">
        <f t="shared" si="21"/>
        <v>0</v>
      </c>
      <c r="U56" s="76">
        <f t="shared" si="22"/>
        <v>0</v>
      </c>
      <c r="V56" s="109">
        <f t="shared" si="23"/>
        <v>0</v>
      </c>
      <c r="W56" s="62"/>
      <c r="X56" s="78">
        <f t="shared" si="4"/>
        <v>3.125E-2</v>
      </c>
      <c r="Y56" s="73">
        <f t="shared" si="24"/>
        <v>0</v>
      </c>
      <c r="Z56" s="74">
        <f t="shared" si="25"/>
        <v>0.29166666666666669</v>
      </c>
      <c r="AA56" s="75">
        <f t="shared" si="26"/>
        <v>0</v>
      </c>
      <c r="AB56" s="63" t="str">
        <f t="shared" si="27"/>
        <v/>
      </c>
      <c r="AC56" s="148">
        <f t="shared" si="5"/>
        <v>0</v>
      </c>
      <c r="AD56" s="107" t="str">
        <f t="shared" si="6"/>
        <v/>
      </c>
      <c r="AE56" s="180">
        <f t="shared" si="28"/>
        <v>0</v>
      </c>
      <c r="AF56" s="73"/>
      <c r="AG56" s="525"/>
      <c r="AH56" s="73"/>
      <c r="AI56" s="73" t="str">
        <f t="shared" si="41"/>
        <v/>
      </c>
      <c r="AJ56" s="64">
        <f t="shared" si="7"/>
        <v>0</v>
      </c>
      <c r="AK56" s="64">
        <f t="shared" si="8"/>
        <v>0</v>
      </c>
      <c r="AL56" s="64" t="str">
        <f t="shared" si="9"/>
        <v/>
      </c>
      <c r="AM56">
        <f t="shared" si="10"/>
        <v>5</v>
      </c>
      <c r="AN56" s="85">
        <f>SUM($AD$6:AD56)</f>
        <v>0</v>
      </c>
      <c r="AO56" s="85">
        <f t="shared" ca="1" si="30"/>
        <v>0</v>
      </c>
      <c r="AP56" s="89">
        <f t="shared" si="31"/>
        <v>0</v>
      </c>
      <c r="AQ56" s="89">
        <f t="shared" si="32"/>
        <v>0</v>
      </c>
      <c r="AR56" s="89">
        <f t="shared" si="33"/>
        <v>0</v>
      </c>
      <c r="AS56" s="88">
        <f t="shared" si="34"/>
        <v>0</v>
      </c>
      <c r="AT56" s="88">
        <f t="shared" ca="1" si="35"/>
        <v>0</v>
      </c>
      <c r="AU56" s="98">
        <f t="shared" si="36"/>
        <v>0</v>
      </c>
      <c r="AV56" s="88">
        <f t="shared" si="37"/>
        <v>0</v>
      </c>
      <c r="AW56" t="b">
        <f>OR((F56&gt;0),(NOT(ISBLANK(H56))),SUM(H56:H$373),SUM(G56:G$373))</f>
        <v>0</v>
      </c>
      <c r="AX56" t="b">
        <f t="shared" ca="1" si="11"/>
        <v>0</v>
      </c>
      <c r="AY56" s="519">
        <f t="shared" si="38"/>
        <v>-0.29166666666666669</v>
      </c>
      <c r="AZ56" s="180">
        <f>SUM(AY$5:AY56)</f>
        <v>-10.791666666666664</v>
      </c>
      <c r="BA56" s="567"/>
      <c r="BB56" s="567">
        <f t="shared" si="12"/>
        <v>0</v>
      </c>
      <c r="BC56" s="567"/>
    </row>
    <row r="57" spans="1:55" ht="15.75">
      <c r="A57" s="260">
        <f t="shared" si="39"/>
        <v>44885</v>
      </c>
      <c r="B57" s="261">
        <f t="shared" si="13"/>
        <v>44885</v>
      </c>
      <c r="C57" s="262">
        <f>IF(A57="","",NumberOfWeek(A57))</f>
        <v>47</v>
      </c>
      <c r="D57" s="263">
        <f t="shared" si="14"/>
        <v>44865</v>
      </c>
      <c r="E57" s="273" t="str">
        <f t="shared" si="15"/>
        <v/>
      </c>
      <c r="F57" s="5"/>
      <c r="G57" s="6" t="str">
        <f t="shared" si="0"/>
        <v/>
      </c>
      <c r="H57" s="7"/>
      <c r="I57" s="7">
        <f t="shared" si="16"/>
        <v>0</v>
      </c>
      <c r="J57" s="76">
        <f t="shared" si="17"/>
        <v>0</v>
      </c>
      <c r="K57" s="7"/>
      <c r="L57" s="7">
        <f t="shared" si="18"/>
        <v>0</v>
      </c>
      <c r="M57" s="76">
        <f t="shared" si="1"/>
        <v>0</v>
      </c>
      <c r="N57" s="76"/>
      <c r="O57" s="76">
        <f t="shared" si="2"/>
        <v>0</v>
      </c>
      <c r="P57" s="76"/>
      <c r="Q57" s="76">
        <f t="shared" si="3"/>
        <v>0</v>
      </c>
      <c r="R57" s="76">
        <f t="shared" si="19"/>
        <v>0</v>
      </c>
      <c r="S57" s="76">
        <f t="shared" si="20"/>
        <v>0</v>
      </c>
      <c r="T57" s="76">
        <f t="shared" si="21"/>
        <v>0</v>
      </c>
      <c r="U57" s="76">
        <f t="shared" si="22"/>
        <v>0</v>
      </c>
      <c r="V57" s="109">
        <f t="shared" si="23"/>
        <v>0</v>
      </c>
      <c r="W57" s="62"/>
      <c r="X57" s="78">
        <f t="shared" si="4"/>
        <v>3.125E-2</v>
      </c>
      <c r="Y57" s="73">
        <f t="shared" si="24"/>
        <v>0</v>
      </c>
      <c r="Z57" s="74">
        <f t="shared" si="25"/>
        <v>0</v>
      </c>
      <c r="AA57" s="75">
        <f t="shared" si="26"/>
        <v>0</v>
      </c>
      <c r="AB57" s="63" t="str">
        <f t="shared" si="27"/>
        <v/>
      </c>
      <c r="AC57" s="148">
        <f t="shared" si="5"/>
        <v>0</v>
      </c>
      <c r="AD57" s="107" t="str">
        <f t="shared" si="6"/>
        <v/>
      </c>
      <c r="AE57" s="180">
        <f t="shared" si="28"/>
        <v>0</v>
      </c>
      <c r="AF57" s="73"/>
      <c r="AG57" s="525"/>
      <c r="AH57" s="73"/>
      <c r="AI57" s="73" t="str">
        <f t="shared" si="41"/>
        <v/>
      </c>
      <c r="AJ57" s="64">
        <f t="shared" si="7"/>
        <v>0</v>
      </c>
      <c r="AK57" s="64">
        <f t="shared" si="8"/>
        <v>0</v>
      </c>
      <c r="AL57" s="64" t="str">
        <f t="shared" si="9"/>
        <v/>
      </c>
      <c r="AM57">
        <f t="shared" si="10"/>
        <v>6</v>
      </c>
      <c r="AN57" s="85">
        <f>SUM($AD$6:AD57)</f>
        <v>0</v>
      </c>
      <c r="AO57" s="85">
        <f t="shared" ca="1" si="30"/>
        <v>0</v>
      </c>
      <c r="AP57" s="89">
        <f t="shared" si="31"/>
        <v>0</v>
      </c>
      <c r="AQ57" s="89">
        <f t="shared" si="32"/>
        <v>0</v>
      </c>
      <c r="AR57" s="89">
        <f t="shared" si="33"/>
        <v>0</v>
      </c>
      <c r="AS57" s="88">
        <f t="shared" si="34"/>
        <v>0</v>
      </c>
      <c r="AT57" s="88">
        <f t="shared" ca="1" si="35"/>
        <v>0</v>
      </c>
      <c r="AU57" s="98">
        <f t="shared" si="36"/>
        <v>0</v>
      </c>
      <c r="AV57" s="88">
        <f t="shared" si="37"/>
        <v>7</v>
      </c>
      <c r="AW57" t="b">
        <f>OR((F57&gt;0),(NOT(ISBLANK(H57))),SUM(H57:H$373),SUM(G57:G$373))</f>
        <v>0</v>
      </c>
      <c r="AX57" t="b">
        <f t="shared" ca="1" si="11"/>
        <v>1</v>
      </c>
      <c r="AY57" s="519">
        <f t="shared" si="38"/>
        <v>0</v>
      </c>
      <c r="AZ57" s="180">
        <f>SUM(AY$5:AY57)</f>
        <v>-10.791666666666664</v>
      </c>
      <c r="BA57" s="567"/>
      <c r="BB57" s="567">
        <f t="shared" si="12"/>
        <v>0</v>
      </c>
      <c r="BC57" s="567"/>
    </row>
    <row r="58" spans="1:55" ht="15.75">
      <c r="A58" s="260">
        <f t="shared" si="39"/>
        <v>44886</v>
      </c>
      <c r="B58" s="261">
        <f t="shared" si="13"/>
        <v>44886</v>
      </c>
      <c r="C58" s="262">
        <f>IF(A58="","",NumberOfWeek(A58))</f>
        <v>47</v>
      </c>
      <c r="D58" s="263">
        <f t="shared" si="14"/>
        <v>44865</v>
      </c>
      <c r="E58" s="273" t="str">
        <f t="shared" si="15"/>
        <v/>
      </c>
      <c r="F58" s="5"/>
      <c r="G58" s="6" t="str">
        <f t="shared" si="0"/>
        <v/>
      </c>
      <c r="H58" s="7"/>
      <c r="I58" s="7">
        <f t="shared" si="16"/>
        <v>0</v>
      </c>
      <c r="J58" s="76">
        <f t="shared" si="17"/>
        <v>0</v>
      </c>
      <c r="K58" s="7"/>
      <c r="L58" s="7">
        <f t="shared" si="18"/>
        <v>0</v>
      </c>
      <c r="M58" s="76">
        <f t="shared" si="1"/>
        <v>0</v>
      </c>
      <c r="N58" s="76"/>
      <c r="O58" s="76">
        <f t="shared" si="2"/>
        <v>0</v>
      </c>
      <c r="P58" s="76"/>
      <c r="Q58" s="76">
        <f t="shared" si="3"/>
        <v>0</v>
      </c>
      <c r="R58" s="76">
        <f t="shared" si="19"/>
        <v>0</v>
      </c>
      <c r="S58" s="76">
        <f t="shared" si="20"/>
        <v>0</v>
      </c>
      <c r="T58" s="76">
        <f t="shared" si="21"/>
        <v>0</v>
      </c>
      <c r="U58" s="76">
        <f t="shared" si="22"/>
        <v>0</v>
      </c>
      <c r="V58" s="109">
        <f t="shared" si="23"/>
        <v>0</v>
      </c>
      <c r="W58" s="62"/>
      <c r="X58" s="78">
        <f t="shared" si="4"/>
        <v>3.125E-2</v>
      </c>
      <c r="Y58" s="73">
        <f t="shared" si="24"/>
        <v>0</v>
      </c>
      <c r="Z58" s="74">
        <f t="shared" si="25"/>
        <v>0</v>
      </c>
      <c r="AA58" s="75">
        <f t="shared" si="26"/>
        <v>0</v>
      </c>
      <c r="AB58" s="63" t="str">
        <f t="shared" si="27"/>
        <v/>
      </c>
      <c r="AC58" s="148">
        <f t="shared" si="5"/>
        <v>0</v>
      </c>
      <c r="AD58" s="107" t="str">
        <f t="shared" si="6"/>
        <v/>
      </c>
      <c r="AE58" s="180">
        <f t="shared" si="28"/>
        <v>0</v>
      </c>
      <c r="AF58" s="73"/>
      <c r="AG58" s="525"/>
      <c r="AH58" s="73"/>
      <c r="AI58" s="73" t="str">
        <f t="shared" si="41"/>
        <v/>
      </c>
      <c r="AJ58" s="64">
        <f t="shared" si="7"/>
        <v>0</v>
      </c>
      <c r="AK58" s="64">
        <f t="shared" si="8"/>
        <v>0</v>
      </c>
      <c r="AL58" s="64" t="str">
        <f t="shared" si="9"/>
        <v/>
      </c>
      <c r="AM58">
        <f t="shared" si="10"/>
        <v>7</v>
      </c>
      <c r="AN58" s="85">
        <f>SUM($AD$6:AD58)</f>
        <v>0</v>
      </c>
      <c r="AO58" s="85">
        <f t="shared" ca="1" si="30"/>
        <v>0</v>
      </c>
      <c r="AP58" s="89">
        <f t="shared" si="31"/>
        <v>0</v>
      </c>
      <c r="AQ58" s="89">
        <f t="shared" si="32"/>
        <v>0</v>
      </c>
      <c r="AR58" s="89">
        <f t="shared" si="33"/>
        <v>0</v>
      </c>
      <c r="AS58" s="88">
        <f t="shared" si="34"/>
        <v>0</v>
      </c>
      <c r="AT58" s="88">
        <f t="shared" ca="1" si="35"/>
        <v>0</v>
      </c>
      <c r="AU58" s="98">
        <f t="shared" si="36"/>
        <v>0</v>
      </c>
      <c r="AV58" s="88">
        <f t="shared" si="37"/>
        <v>7</v>
      </c>
      <c r="AW58" t="b">
        <f>OR((F58&gt;0),(NOT(ISBLANK(H58))),SUM(H58:H$373),SUM(G58:G$373))</f>
        <v>0</v>
      </c>
      <c r="AX58" t="b">
        <f t="shared" ca="1" si="11"/>
        <v>1</v>
      </c>
      <c r="AY58" s="519">
        <f t="shared" si="38"/>
        <v>0</v>
      </c>
      <c r="AZ58" s="180">
        <f>SUM(AY$5:AY58)</f>
        <v>-10.791666666666664</v>
      </c>
      <c r="BA58" s="567"/>
      <c r="BB58" s="567">
        <f t="shared" si="12"/>
        <v>0</v>
      </c>
      <c r="BC58" s="567"/>
    </row>
    <row r="59" spans="1:55" ht="15.75">
      <c r="A59" s="260">
        <f t="shared" si="39"/>
        <v>44887</v>
      </c>
      <c r="B59" s="261">
        <f t="shared" si="13"/>
        <v>44887</v>
      </c>
      <c r="C59" s="262">
        <f>IF(A59="","",NumberOfWeek(A59))</f>
        <v>48</v>
      </c>
      <c r="D59" s="263">
        <f t="shared" si="14"/>
        <v>44865</v>
      </c>
      <c r="E59" s="273" t="str">
        <f t="shared" si="15"/>
        <v/>
      </c>
      <c r="F59" s="5"/>
      <c r="G59" s="6" t="str">
        <f t="shared" si="0"/>
        <v/>
      </c>
      <c r="H59" s="7"/>
      <c r="I59" s="7">
        <f t="shared" si="16"/>
        <v>0</v>
      </c>
      <c r="J59" s="76">
        <f t="shared" si="17"/>
        <v>0</v>
      </c>
      <c r="K59" s="7"/>
      <c r="L59" s="7">
        <f t="shared" si="18"/>
        <v>0</v>
      </c>
      <c r="M59" s="76">
        <f t="shared" si="1"/>
        <v>0</v>
      </c>
      <c r="N59" s="76"/>
      <c r="O59" s="76">
        <f t="shared" si="2"/>
        <v>0</v>
      </c>
      <c r="P59" s="76"/>
      <c r="Q59" s="76">
        <f t="shared" si="3"/>
        <v>0</v>
      </c>
      <c r="R59" s="76">
        <f t="shared" si="19"/>
        <v>0</v>
      </c>
      <c r="S59" s="76">
        <f t="shared" si="20"/>
        <v>0</v>
      </c>
      <c r="T59" s="76">
        <f t="shared" si="21"/>
        <v>0</v>
      </c>
      <c r="U59" s="76">
        <f t="shared" si="22"/>
        <v>0</v>
      </c>
      <c r="V59" s="109">
        <f t="shared" si="23"/>
        <v>0</v>
      </c>
      <c r="W59" s="62"/>
      <c r="X59" s="78">
        <f t="shared" si="4"/>
        <v>3.125E-2</v>
      </c>
      <c r="Y59" s="73">
        <f t="shared" si="24"/>
        <v>0</v>
      </c>
      <c r="Z59" s="74">
        <f t="shared" si="25"/>
        <v>0.29166666666666669</v>
      </c>
      <c r="AA59" s="75">
        <f t="shared" si="26"/>
        <v>0</v>
      </c>
      <c r="AB59" s="63" t="str">
        <f t="shared" si="27"/>
        <v/>
      </c>
      <c r="AC59" s="148">
        <f t="shared" si="5"/>
        <v>0</v>
      </c>
      <c r="AD59" s="107" t="str">
        <f t="shared" si="6"/>
        <v/>
      </c>
      <c r="AE59" s="180">
        <f t="shared" si="28"/>
        <v>0</v>
      </c>
      <c r="AF59" s="73"/>
      <c r="AG59" s="525"/>
      <c r="AH59" s="73"/>
      <c r="AI59" s="73" t="str">
        <f t="shared" si="41"/>
        <v/>
      </c>
      <c r="AJ59" s="64">
        <f t="shared" si="7"/>
        <v>0</v>
      </c>
      <c r="AK59" s="64">
        <f t="shared" si="8"/>
        <v>0</v>
      </c>
      <c r="AL59" s="64" t="str">
        <f t="shared" si="9"/>
        <v/>
      </c>
      <c r="AM59">
        <f t="shared" si="10"/>
        <v>1</v>
      </c>
      <c r="AN59" s="85">
        <f>SUM($AD$6:AD59)</f>
        <v>0</v>
      </c>
      <c r="AO59" s="85">
        <f t="shared" ca="1" si="30"/>
        <v>0</v>
      </c>
      <c r="AP59" s="89">
        <f t="shared" si="31"/>
        <v>0</v>
      </c>
      <c r="AQ59" s="89">
        <f t="shared" si="32"/>
        <v>0</v>
      </c>
      <c r="AR59" s="89">
        <f t="shared" si="33"/>
        <v>0</v>
      </c>
      <c r="AS59" s="88">
        <f t="shared" si="34"/>
        <v>0</v>
      </c>
      <c r="AT59" s="88">
        <f t="shared" ca="1" si="35"/>
        <v>0</v>
      </c>
      <c r="AU59" s="98">
        <f t="shared" si="36"/>
        <v>0</v>
      </c>
      <c r="AV59" s="88">
        <f t="shared" si="37"/>
        <v>0</v>
      </c>
      <c r="AW59" t="b">
        <f>OR((F59&gt;0),(NOT(ISBLANK(H59))),SUM(H59:H$373),SUM(G59:G$373))</f>
        <v>0</v>
      </c>
      <c r="AX59" t="b">
        <f t="shared" ca="1" si="11"/>
        <v>0</v>
      </c>
      <c r="AY59" s="519">
        <f t="shared" si="38"/>
        <v>-0.29166666666666669</v>
      </c>
      <c r="AZ59" s="180">
        <f>SUM(AY$5:AY59)</f>
        <v>-11.08333333333333</v>
      </c>
      <c r="BA59" s="567"/>
      <c r="BB59" s="567">
        <f t="shared" si="12"/>
        <v>0</v>
      </c>
      <c r="BC59" s="567"/>
    </row>
    <row r="60" spans="1:55" ht="15.75">
      <c r="A60" s="260">
        <f t="shared" si="39"/>
        <v>44888</v>
      </c>
      <c r="B60" s="261">
        <f t="shared" si="13"/>
        <v>44888</v>
      </c>
      <c r="C60" s="262">
        <f>IF(A60="","",NumberOfWeek(A60))</f>
        <v>48</v>
      </c>
      <c r="D60" s="263">
        <f t="shared" si="14"/>
        <v>44865</v>
      </c>
      <c r="E60" s="273" t="str">
        <f t="shared" si="15"/>
        <v/>
      </c>
      <c r="F60" s="5"/>
      <c r="G60" s="6" t="str">
        <f t="shared" si="0"/>
        <v/>
      </c>
      <c r="H60" s="7"/>
      <c r="I60" s="7">
        <f t="shared" si="16"/>
        <v>0</v>
      </c>
      <c r="J60" s="76">
        <f t="shared" si="17"/>
        <v>0</v>
      </c>
      <c r="K60" s="7"/>
      <c r="L60" s="7">
        <f t="shared" si="18"/>
        <v>0</v>
      </c>
      <c r="M60" s="76">
        <f t="shared" si="1"/>
        <v>0</v>
      </c>
      <c r="N60" s="76"/>
      <c r="O60" s="76">
        <f t="shared" si="2"/>
        <v>0</v>
      </c>
      <c r="P60" s="76"/>
      <c r="Q60" s="76">
        <f t="shared" si="3"/>
        <v>0</v>
      </c>
      <c r="R60" s="76">
        <f t="shared" si="19"/>
        <v>0</v>
      </c>
      <c r="S60" s="76">
        <f t="shared" si="20"/>
        <v>0</v>
      </c>
      <c r="T60" s="76">
        <f t="shared" si="21"/>
        <v>0</v>
      </c>
      <c r="U60" s="76">
        <f t="shared" si="22"/>
        <v>0</v>
      </c>
      <c r="V60" s="109">
        <f t="shared" si="23"/>
        <v>0</v>
      </c>
      <c r="W60" s="62"/>
      <c r="X60" s="78">
        <f t="shared" si="4"/>
        <v>3.125E-2</v>
      </c>
      <c r="Y60" s="73">
        <f t="shared" si="24"/>
        <v>0</v>
      </c>
      <c r="Z60" s="74">
        <f t="shared" si="25"/>
        <v>0.29166666666666669</v>
      </c>
      <c r="AA60" s="75">
        <f t="shared" si="26"/>
        <v>0</v>
      </c>
      <c r="AB60" s="63" t="str">
        <f t="shared" si="27"/>
        <v/>
      </c>
      <c r="AC60" s="148">
        <f t="shared" si="5"/>
        <v>0</v>
      </c>
      <c r="AD60" s="107" t="str">
        <f t="shared" si="6"/>
        <v/>
      </c>
      <c r="AE60" s="180">
        <f t="shared" si="28"/>
        <v>0</v>
      </c>
      <c r="AF60" s="73"/>
      <c r="AG60" s="525"/>
      <c r="AH60" s="73"/>
      <c r="AI60" s="73" t="str">
        <f t="shared" si="41"/>
        <v/>
      </c>
      <c r="AJ60" s="64">
        <f t="shared" si="7"/>
        <v>0</v>
      </c>
      <c r="AK60" s="64">
        <f t="shared" si="8"/>
        <v>0</v>
      </c>
      <c r="AL60" s="64" t="str">
        <f t="shared" si="9"/>
        <v/>
      </c>
      <c r="AM60">
        <f t="shared" si="10"/>
        <v>2</v>
      </c>
      <c r="AN60" s="85">
        <f>SUM($AD$6:AD60)</f>
        <v>0</v>
      </c>
      <c r="AO60" s="85">
        <f t="shared" ca="1" si="30"/>
        <v>0</v>
      </c>
      <c r="AP60" s="89">
        <f t="shared" si="31"/>
        <v>0</v>
      </c>
      <c r="AQ60" s="89">
        <f t="shared" si="32"/>
        <v>0</v>
      </c>
      <c r="AR60" s="89">
        <f t="shared" si="33"/>
        <v>0</v>
      </c>
      <c r="AS60" s="88">
        <f t="shared" si="34"/>
        <v>0</v>
      </c>
      <c r="AT60" s="88">
        <f t="shared" ca="1" si="35"/>
        <v>0</v>
      </c>
      <c r="AU60" s="98">
        <f t="shared" si="36"/>
        <v>0</v>
      </c>
      <c r="AV60" s="88">
        <f t="shared" si="37"/>
        <v>0</v>
      </c>
      <c r="AW60" t="b">
        <f>OR((F60&gt;0),(NOT(ISBLANK(H60))),SUM(H60:H$373),SUM(G60:G$373))</f>
        <v>0</v>
      </c>
      <c r="AX60" t="b">
        <f t="shared" ca="1" si="11"/>
        <v>0</v>
      </c>
      <c r="AY60" s="519">
        <f t="shared" si="38"/>
        <v>-0.29166666666666669</v>
      </c>
      <c r="AZ60" s="180">
        <f>SUM(AY$5:AY60)</f>
        <v>-11.374999999999996</v>
      </c>
      <c r="BA60" s="567"/>
      <c r="BB60" s="567">
        <f t="shared" si="12"/>
        <v>0</v>
      </c>
      <c r="BC60" s="567"/>
    </row>
    <row r="61" spans="1:55" ht="15.75">
      <c r="A61" s="260">
        <f t="shared" si="39"/>
        <v>44889</v>
      </c>
      <c r="B61" s="261">
        <f t="shared" si="13"/>
        <v>44889</v>
      </c>
      <c r="C61" s="262">
        <f>IF(A61="","",NumberOfWeek(A61))</f>
        <v>48</v>
      </c>
      <c r="D61" s="263">
        <f t="shared" si="14"/>
        <v>44865</v>
      </c>
      <c r="E61" s="273" t="str">
        <f t="shared" si="15"/>
        <v/>
      </c>
      <c r="F61" s="5"/>
      <c r="G61" s="6" t="str">
        <f t="shared" si="0"/>
        <v/>
      </c>
      <c r="H61" s="7"/>
      <c r="I61" s="7">
        <f t="shared" si="16"/>
        <v>0</v>
      </c>
      <c r="J61" s="76">
        <f t="shared" si="17"/>
        <v>0</v>
      </c>
      <c r="K61" s="7"/>
      <c r="L61" s="7">
        <f t="shared" si="18"/>
        <v>0</v>
      </c>
      <c r="M61" s="76">
        <f t="shared" si="1"/>
        <v>0</v>
      </c>
      <c r="N61" s="76"/>
      <c r="O61" s="76">
        <f t="shared" si="2"/>
        <v>0</v>
      </c>
      <c r="P61" s="76"/>
      <c r="Q61" s="76">
        <f t="shared" si="3"/>
        <v>0</v>
      </c>
      <c r="R61" s="76">
        <f t="shared" si="19"/>
        <v>0</v>
      </c>
      <c r="S61" s="76">
        <f t="shared" si="20"/>
        <v>0</v>
      </c>
      <c r="T61" s="76">
        <f t="shared" si="21"/>
        <v>0</v>
      </c>
      <c r="U61" s="76">
        <f t="shared" si="22"/>
        <v>0</v>
      </c>
      <c r="V61" s="109">
        <f t="shared" si="23"/>
        <v>0</v>
      </c>
      <c r="W61" s="62"/>
      <c r="X61" s="78">
        <f t="shared" si="4"/>
        <v>3.125E-2</v>
      </c>
      <c r="Y61" s="73">
        <f t="shared" si="24"/>
        <v>0</v>
      </c>
      <c r="Z61" s="74">
        <f t="shared" si="25"/>
        <v>0.29166666666666669</v>
      </c>
      <c r="AA61" s="75">
        <f t="shared" si="26"/>
        <v>0</v>
      </c>
      <c r="AB61" s="63" t="str">
        <f t="shared" si="27"/>
        <v/>
      </c>
      <c r="AC61" s="148">
        <f t="shared" si="5"/>
        <v>0</v>
      </c>
      <c r="AD61" s="107" t="str">
        <f t="shared" si="6"/>
        <v/>
      </c>
      <c r="AE61" s="180">
        <f t="shared" si="28"/>
        <v>0</v>
      </c>
      <c r="AF61" s="73"/>
      <c r="AG61" s="525"/>
      <c r="AH61" s="73"/>
      <c r="AI61" s="73" t="str">
        <f t="shared" si="41"/>
        <v/>
      </c>
      <c r="AJ61" s="64">
        <f t="shared" si="7"/>
        <v>0</v>
      </c>
      <c r="AK61" s="64">
        <f t="shared" si="8"/>
        <v>0</v>
      </c>
      <c r="AL61" s="64" t="str">
        <f t="shared" si="9"/>
        <v/>
      </c>
      <c r="AM61">
        <f t="shared" si="10"/>
        <v>3</v>
      </c>
      <c r="AN61" s="85">
        <f>SUM($AD$6:AD61)</f>
        <v>0</v>
      </c>
      <c r="AO61" s="85">
        <f t="shared" ca="1" si="30"/>
        <v>0</v>
      </c>
      <c r="AP61" s="89">
        <f t="shared" si="31"/>
        <v>0</v>
      </c>
      <c r="AQ61" s="89">
        <f t="shared" si="32"/>
        <v>0</v>
      </c>
      <c r="AR61" s="89">
        <f t="shared" si="33"/>
        <v>0</v>
      </c>
      <c r="AS61" s="88">
        <f t="shared" si="34"/>
        <v>0</v>
      </c>
      <c r="AT61" s="88">
        <f t="shared" ca="1" si="35"/>
        <v>0</v>
      </c>
      <c r="AU61" s="98">
        <f t="shared" si="36"/>
        <v>0</v>
      </c>
      <c r="AV61" s="88">
        <f t="shared" si="37"/>
        <v>0</v>
      </c>
      <c r="AW61" t="b">
        <f>OR((F61&gt;0),(NOT(ISBLANK(H61))),SUM(H61:H$373),SUM(G61:G$373))</f>
        <v>0</v>
      </c>
      <c r="AX61" t="b">
        <f t="shared" ca="1" si="11"/>
        <v>0</v>
      </c>
      <c r="AY61" s="519">
        <f t="shared" si="38"/>
        <v>-0.29166666666666669</v>
      </c>
      <c r="AZ61" s="180">
        <f>SUM(AY$5:AY61)</f>
        <v>-11.666666666666663</v>
      </c>
      <c r="BA61" s="567"/>
      <c r="BB61" s="567">
        <f t="shared" si="12"/>
        <v>0</v>
      </c>
      <c r="BC61" s="567"/>
    </row>
    <row r="62" spans="1:55" ht="15.75">
      <c r="A62" s="260">
        <f t="shared" si="39"/>
        <v>44890</v>
      </c>
      <c r="B62" s="261">
        <f t="shared" si="13"/>
        <v>44890</v>
      </c>
      <c r="C62" s="262">
        <f>IF(A62="","",NumberOfWeek(A62))</f>
        <v>48</v>
      </c>
      <c r="D62" s="263">
        <f t="shared" si="14"/>
        <v>44865</v>
      </c>
      <c r="E62" s="273" t="str">
        <f t="shared" si="15"/>
        <v/>
      </c>
      <c r="F62" s="5"/>
      <c r="G62" s="6" t="str">
        <f t="shared" si="0"/>
        <v/>
      </c>
      <c r="H62" s="7"/>
      <c r="I62" s="7">
        <f t="shared" si="16"/>
        <v>0</v>
      </c>
      <c r="J62" s="76">
        <f t="shared" si="17"/>
        <v>0</v>
      </c>
      <c r="K62" s="7"/>
      <c r="L62" s="7">
        <f t="shared" si="18"/>
        <v>0</v>
      </c>
      <c r="M62" s="76">
        <f t="shared" si="1"/>
        <v>0</v>
      </c>
      <c r="N62" s="76"/>
      <c r="O62" s="76">
        <f t="shared" si="2"/>
        <v>0</v>
      </c>
      <c r="P62" s="76"/>
      <c r="Q62" s="76">
        <f t="shared" si="3"/>
        <v>0</v>
      </c>
      <c r="R62" s="76">
        <f t="shared" si="19"/>
        <v>0</v>
      </c>
      <c r="S62" s="76">
        <f t="shared" si="20"/>
        <v>0</v>
      </c>
      <c r="T62" s="76">
        <f t="shared" si="21"/>
        <v>0</v>
      </c>
      <c r="U62" s="76">
        <f t="shared" si="22"/>
        <v>0</v>
      </c>
      <c r="V62" s="109">
        <f t="shared" si="23"/>
        <v>0</v>
      </c>
      <c r="W62" s="62"/>
      <c r="X62" s="78">
        <f t="shared" si="4"/>
        <v>3.125E-2</v>
      </c>
      <c r="Y62" s="73">
        <f t="shared" si="24"/>
        <v>0</v>
      </c>
      <c r="Z62" s="74">
        <f t="shared" si="25"/>
        <v>0.29166666666666669</v>
      </c>
      <c r="AA62" s="75">
        <f t="shared" si="26"/>
        <v>0</v>
      </c>
      <c r="AB62" s="63" t="str">
        <f t="shared" si="27"/>
        <v/>
      </c>
      <c r="AC62" s="148">
        <f t="shared" si="5"/>
        <v>0</v>
      </c>
      <c r="AD62" s="107" t="str">
        <f t="shared" si="6"/>
        <v/>
      </c>
      <c r="AE62" s="180">
        <f t="shared" si="28"/>
        <v>0</v>
      </c>
      <c r="AF62" s="73"/>
      <c r="AG62" s="525"/>
      <c r="AH62" s="73"/>
      <c r="AI62" s="73" t="str">
        <f t="shared" si="41"/>
        <v/>
      </c>
      <c r="AJ62" s="64">
        <f t="shared" si="7"/>
        <v>0</v>
      </c>
      <c r="AK62" s="64">
        <f t="shared" si="8"/>
        <v>0</v>
      </c>
      <c r="AL62" s="64" t="str">
        <f t="shared" si="9"/>
        <v/>
      </c>
      <c r="AM62">
        <f t="shared" si="10"/>
        <v>4</v>
      </c>
      <c r="AN62" s="85">
        <f>SUM($AD$6:AD62)</f>
        <v>0</v>
      </c>
      <c r="AO62" s="85">
        <f t="shared" ca="1" si="30"/>
        <v>0</v>
      </c>
      <c r="AP62" s="89">
        <f t="shared" si="31"/>
        <v>0</v>
      </c>
      <c r="AQ62" s="89">
        <f t="shared" si="32"/>
        <v>0</v>
      </c>
      <c r="AR62" s="89">
        <f t="shared" si="33"/>
        <v>0</v>
      </c>
      <c r="AS62" s="88">
        <f t="shared" si="34"/>
        <v>0</v>
      </c>
      <c r="AT62" s="88">
        <f t="shared" ca="1" si="35"/>
        <v>0</v>
      </c>
      <c r="AU62" s="98">
        <f t="shared" si="36"/>
        <v>0</v>
      </c>
      <c r="AV62" s="88">
        <f t="shared" si="37"/>
        <v>0</v>
      </c>
      <c r="AW62" t="b">
        <f>OR((F62&gt;0),(NOT(ISBLANK(H62))),SUM(H62:H$373),SUM(G62:G$373))</f>
        <v>0</v>
      </c>
      <c r="AX62" t="b">
        <f t="shared" ca="1" si="11"/>
        <v>0</v>
      </c>
      <c r="AY62" s="519">
        <f t="shared" si="38"/>
        <v>-0.29166666666666669</v>
      </c>
      <c r="AZ62" s="180">
        <f>SUM(AY$5:AY62)</f>
        <v>-11.958333333333329</v>
      </c>
      <c r="BA62" s="567"/>
      <c r="BB62" s="567">
        <f t="shared" si="12"/>
        <v>0</v>
      </c>
      <c r="BC62" s="567"/>
    </row>
    <row r="63" spans="1:55" ht="15.75">
      <c r="A63" s="260">
        <f t="shared" si="39"/>
        <v>44891</v>
      </c>
      <c r="B63" s="261">
        <f t="shared" si="13"/>
        <v>44891</v>
      </c>
      <c r="C63" s="262">
        <f>IF(A63="","",NumberOfWeek(A63))</f>
        <v>48</v>
      </c>
      <c r="D63" s="263">
        <f t="shared" si="14"/>
        <v>44865</v>
      </c>
      <c r="E63" s="273" t="str">
        <f t="shared" si="15"/>
        <v/>
      </c>
      <c r="F63" s="5"/>
      <c r="G63" s="6" t="str">
        <f t="shared" si="0"/>
        <v/>
      </c>
      <c r="H63" s="7"/>
      <c r="I63" s="7">
        <f t="shared" si="16"/>
        <v>0</v>
      </c>
      <c r="J63" s="76">
        <f t="shared" si="17"/>
        <v>0</v>
      </c>
      <c r="K63" s="7"/>
      <c r="L63" s="7">
        <f t="shared" si="18"/>
        <v>0</v>
      </c>
      <c r="M63" s="76">
        <f t="shared" si="1"/>
        <v>0</v>
      </c>
      <c r="N63" s="76"/>
      <c r="O63" s="76">
        <f t="shared" si="2"/>
        <v>0</v>
      </c>
      <c r="P63" s="76"/>
      <c r="Q63" s="76">
        <f t="shared" si="3"/>
        <v>0</v>
      </c>
      <c r="R63" s="76">
        <f t="shared" si="19"/>
        <v>0</v>
      </c>
      <c r="S63" s="76">
        <f t="shared" si="20"/>
        <v>0</v>
      </c>
      <c r="T63" s="76">
        <f t="shared" si="21"/>
        <v>0</v>
      </c>
      <c r="U63" s="76">
        <f t="shared" si="22"/>
        <v>0</v>
      </c>
      <c r="V63" s="109">
        <f t="shared" si="23"/>
        <v>0</v>
      </c>
      <c r="W63" s="62"/>
      <c r="X63" s="78">
        <f t="shared" si="4"/>
        <v>3.125E-2</v>
      </c>
      <c r="Y63" s="73">
        <f t="shared" si="24"/>
        <v>0</v>
      </c>
      <c r="Z63" s="74">
        <f t="shared" si="25"/>
        <v>0.29166666666666669</v>
      </c>
      <c r="AA63" s="75">
        <f t="shared" si="26"/>
        <v>0</v>
      </c>
      <c r="AB63" s="63" t="str">
        <f t="shared" si="27"/>
        <v/>
      </c>
      <c r="AC63" s="148">
        <f t="shared" si="5"/>
        <v>0</v>
      </c>
      <c r="AD63" s="107" t="str">
        <f t="shared" si="6"/>
        <v/>
      </c>
      <c r="AE63" s="180">
        <f t="shared" si="28"/>
        <v>0</v>
      </c>
      <c r="AF63" s="73"/>
      <c r="AG63" s="525"/>
      <c r="AH63" s="73"/>
      <c r="AI63" s="73" t="str">
        <f t="shared" si="41"/>
        <v/>
      </c>
      <c r="AJ63" s="64">
        <f t="shared" si="7"/>
        <v>0</v>
      </c>
      <c r="AK63" s="64">
        <f t="shared" si="8"/>
        <v>0</v>
      </c>
      <c r="AL63" s="64" t="str">
        <f t="shared" si="9"/>
        <v/>
      </c>
      <c r="AM63">
        <f t="shared" si="10"/>
        <v>5</v>
      </c>
      <c r="AN63" s="85">
        <f>SUM($AD$6:AD63)</f>
        <v>0</v>
      </c>
      <c r="AO63" s="85">
        <f t="shared" ca="1" si="30"/>
        <v>0</v>
      </c>
      <c r="AP63" s="89">
        <f t="shared" si="31"/>
        <v>0</v>
      </c>
      <c r="AQ63" s="89">
        <f t="shared" si="32"/>
        <v>0</v>
      </c>
      <c r="AR63" s="89">
        <f t="shared" si="33"/>
        <v>0</v>
      </c>
      <c r="AS63" s="88">
        <f t="shared" si="34"/>
        <v>0</v>
      </c>
      <c r="AT63" s="88">
        <f t="shared" ca="1" si="35"/>
        <v>0</v>
      </c>
      <c r="AU63" s="98">
        <f t="shared" si="36"/>
        <v>0</v>
      </c>
      <c r="AV63" s="88">
        <f t="shared" si="37"/>
        <v>0</v>
      </c>
      <c r="AW63" t="b">
        <f>OR((F63&gt;0),(NOT(ISBLANK(H63))),SUM(H63:H$373),SUM(G63:G$373))</f>
        <v>0</v>
      </c>
      <c r="AX63" t="b">
        <f t="shared" ca="1" si="11"/>
        <v>0</v>
      </c>
      <c r="AY63" s="519">
        <f t="shared" si="38"/>
        <v>-0.29166666666666669</v>
      </c>
      <c r="AZ63" s="180">
        <f>SUM(AY$5:AY63)</f>
        <v>-12.249999999999995</v>
      </c>
      <c r="BA63" s="567"/>
      <c r="BB63" s="567">
        <f t="shared" si="12"/>
        <v>0</v>
      </c>
      <c r="BC63" s="567"/>
    </row>
    <row r="64" spans="1:55" ht="15.75">
      <c r="A64" s="260">
        <f t="shared" si="39"/>
        <v>44892</v>
      </c>
      <c r="B64" s="261">
        <f t="shared" si="13"/>
        <v>44892</v>
      </c>
      <c r="C64" s="262">
        <f>IF(A64="","",NumberOfWeek(A64))</f>
        <v>48</v>
      </c>
      <c r="D64" s="263">
        <f t="shared" si="14"/>
        <v>44865</v>
      </c>
      <c r="E64" s="273" t="str">
        <f t="shared" si="15"/>
        <v/>
      </c>
      <c r="F64" s="5"/>
      <c r="G64" s="6" t="str">
        <f t="shared" si="0"/>
        <v/>
      </c>
      <c r="H64" s="7"/>
      <c r="I64" s="7">
        <f t="shared" si="16"/>
        <v>0</v>
      </c>
      <c r="J64" s="76">
        <f t="shared" si="17"/>
        <v>0</v>
      </c>
      <c r="K64" s="7"/>
      <c r="L64" s="7">
        <f t="shared" si="18"/>
        <v>0</v>
      </c>
      <c r="M64" s="76">
        <f t="shared" si="1"/>
        <v>0</v>
      </c>
      <c r="N64" s="76"/>
      <c r="O64" s="76">
        <f t="shared" si="2"/>
        <v>0</v>
      </c>
      <c r="P64" s="76"/>
      <c r="Q64" s="76">
        <f t="shared" si="3"/>
        <v>0</v>
      </c>
      <c r="R64" s="76">
        <f t="shared" si="19"/>
        <v>0</v>
      </c>
      <c r="S64" s="76">
        <f t="shared" si="20"/>
        <v>0</v>
      </c>
      <c r="T64" s="76">
        <f t="shared" si="21"/>
        <v>0</v>
      </c>
      <c r="U64" s="76">
        <f t="shared" si="22"/>
        <v>0</v>
      </c>
      <c r="V64" s="109">
        <f t="shared" si="23"/>
        <v>0</v>
      </c>
      <c r="W64" s="62"/>
      <c r="X64" s="78">
        <f t="shared" si="4"/>
        <v>3.125E-2</v>
      </c>
      <c r="Y64" s="73">
        <f t="shared" si="24"/>
        <v>0</v>
      </c>
      <c r="Z64" s="74">
        <f t="shared" si="25"/>
        <v>0</v>
      </c>
      <c r="AA64" s="75">
        <f t="shared" si="26"/>
        <v>0</v>
      </c>
      <c r="AB64" s="63" t="str">
        <f t="shared" si="27"/>
        <v/>
      </c>
      <c r="AC64" s="148">
        <f t="shared" si="5"/>
        <v>0</v>
      </c>
      <c r="AD64" s="107" t="str">
        <f t="shared" si="6"/>
        <v/>
      </c>
      <c r="AE64" s="180">
        <f t="shared" si="28"/>
        <v>0</v>
      </c>
      <c r="AF64" s="73"/>
      <c r="AG64" s="525"/>
      <c r="AH64" s="73"/>
      <c r="AI64" s="73" t="str">
        <f t="shared" si="41"/>
        <v/>
      </c>
      <c r="AJ64" s="64">
        <f t="shared" si="7"/>
        <v>0</v>
      </c>
      <c r="AK64" s="64">
        <f t="shared" si="8"/>
        <v>0</v>
      </c>
      <c r="AL64" s="64" t="str">
        <f t="shared" si="9"/>
        <v/>
      </c>
      <c r="AM64">
        <f t="shared" si="10"/>
        <v>6</v>
      </c>
      <c r="AN64" s="85">
        <f>SUM($AD$6:AD64)</f>
        <v>0</v>
      </c>
      <c r="AO64" s="85">
        <f t="shared" ca="1" si="30"/>
        <v>0</v>
      </c>
      <c r="AP64" s="89">
        <f t="shared" si="31"/>
        <v>0</v>
      </c>
      <c r="AQ64" s="89">
        <f t="shared" si="32"/>
        <v>0</v>
      </c>
      <c r="AR64" s="89">
        <f t="shared" si="33"/>
        <v>0</v>
      </c>
      <c r="AS64" s="88">
        <f t="shared" si="34"/>
        <v>0</v>
      </c>
      <c r="AT64" s="88">
        <f t="shared" ca="1" si="35"/>
        <v>0</v>
      </c>
      <c r="AU64" s="98">
        <f t="shared" si="36"/>
        <v>0</v>
      </c>
      <c r="AV64" s="88">
        <f t="shared" si="37"/>
        <v>7</v>
      </c>
      <c r="AW64" t="b">
        <f>OR((F64&gt;0),(NOT(ISBLANK(H64))),SUM(H64:H$373),SUM(G64:G$373))</f>
        <v>0</v>
      </c>
      <c r="AX64" t="b">
        <f t="shared" ca="1" si="11"/>
        <v>1</v>
      </c>
      <c r="AY64" s="519">
        <f t="shared" si="38"/>
        <v>0</v>
      </c>
      <c r="AZ64" s="180">
        <f>SUM(AY$5:AY64)</f>
        <v>-12.249999999999995</v>
      </c>
      <c r="BA64" s="567"/>
      <c r="BB64" s="567">
        <f t="shared" si="12"/>
        <v>0</v>
      </c>
      <c r="BC64" s="567"/>
    </row>
    <row r="65" spans="1:55" ht="15.75">
      <c r="A65" s="260">
        <f t="shared" si="39"/>
        <v>44893</v>
      </c>
      <c r="B65" s="261">
        <f t="shared" si="13"/>
        <v>44893</v>
      </c>
      <c r="C65" s="262">
        <f>IF(A65="","",NumberOfWeek(A65))</f>
        <v>48</v>
      </c>
      <c r="D65" s="263">
        <f t="shared" si="14"/>
        <v>44865</v>
      </c>
      <c r="E65" s="273" t="str">
        <f t="shared" si="15"/>
        <v/>
      </c>
      <c r="F65" s="5"/>
      <c r="G65" s="6" t="str">
        <f t="shared" si="0"/>
        <v/>
      </c>
      <c r="H65" s="7"/>
      <c r="I65" s="7">
        <f t="shared" si="16"/>
        <v>0</v>
      </c>
      <c r="J65" s="76">
        <f t="shared" si="17"/>
        <v>0</v>
      </c>
      <c r="K65" s="7"/>
      <c r="L65" s="7">
        <f t="shared" si="18"/>
        <v>0</v>
      </c>
      <c r="M65" s="76">
        <f t="shared" si="1"/>
        <v>0</v>
      </c>
      <c r="N65" s="76"/>
      <c r="O65" s="76">
        <f t="shared" si="2"/>
        <v>0</v>
      </c>
      <c r="P65" s="76"/>
      <c r="Q65" s="76">
        <f t="shared" si="3"/>
        <v>0</v>
      </c>
      <c r="R65" s="76">
        <f t="shared" si="19"/>
        <v>0</v>
      </c>
      <c r="S65" s="76">
        <f t="shared" si="20"/>
        <v>0</v>
      </c>
      <c r="T65" s="76">
        <f t="shared" si="21"/>
        <v>0</v>
      </c>
      <c r="U65" s="76">
        <f t="shared" si="22"/>
        <v>0</v>
      </c>
      <c r="V65" s="109">
        <f t="shared" si="23"/>
        <v>0</v>
      </c>
      <c r="W65" s="62"/>
      <c r="X65" s="78">
        <f t="shared" si="4"/>
        <v>3.125E-2</v>
      </c>
      <c r="Y65" s="73">
        <f t="shared" si="24"/>
        <v>0</v>
      </c>
      <c r="Z65" s="74">
        <f t="shared" si="25"/>
        <v>0</v>
      </c>
      <c r="AA65" s="75">
        <f t="shared" si="26"/>
        <v>0</v>
      </c>
      <c r="AB65" s="63" t="str">
        <f t="shared" si="27"/>
        <v/>
      </c>
      <c r="AC65" s="148">
        <f t="shared" si="5"/>
        <v>0</v>
      </c>
      <c r="AD65" s="107" t="str">
        <f t="shared" si="6"/>
        <v/>
      </c>
      <c r="AE65" s="180">
        <f t="shared" si="28"/>
        <v>0</v>
      </c>
      <c r="AF65" s="73"/>
      <c r="AG65" s="525"/>
      <c r="AH65" s="73"/>
      <c r="AI65" s="73" t="str">
        <f t="shared" si="41"/>
        <v/>
      </c>
      <c r="AJ65" s="64">
        <f t="shared" si="7"/>
        <v>0</v>
      </c>
      <c r="AK65" s="64">
        <f t="shared" si="8"/>
        <v>0</v>
      </c>
      <c r="AL65" s="64" t="str">
        <f t="shared" si="9"/>
        <v/>
      </c>
      <c r="AM65">
        <f t="shared" si="10"/>
        <v>7</v>
      </c>
      <c r="AN65" s="85">
        <f>SUM($AD$6:AD65)</f>
        <v>0</v>
      </c>
      <c r="AO65" s="85">
        <f t="shared" ca="1" si="30"/>
        <v>0</v>
      </c>
      <c r="AP65" s="89">
        <f t="shared" si="31"/>
        <v>0</v>
      </c>
      <c r="AQ65" s="89">
        <f t="shared" si="32"/>
        <v>0</v>
      </c>
      <c r="AR65" s="89">
        <f t="shared" si="33"/>
        <v>0</v>
      </c>
      <c r="AS65" s="88">
        <f t="shared" si="34"/>
        <v>0</v>
      </c>
      <c r="AT65" s="88">
        <f t="shared" ca="1" si="35"/>
        <v>0</v>
      </c>
      <c r="AU65" s="98">
        <f t="shared" si="36"/>
        <v>0</v>
      </c>
      <c r="AV65" s="88">
        <f t="shared" si="37"/>
        <v>7</v>
      </c>
      <c r="AW65" t="b">
        <f>OR((F65&gt;0),(NOT(ISBLANK(H65))),SUM(H65:H$373),SUM(G65:G$373))</f>
        <v>0</v>
      </c>
      <c r="AX65" t="b">
        <f t="shared" ca="1" si="11"/>
        <v>1</v>
      </c>
      <c r="AY65" s="519">
        <f t="shared" si="38"/>
        <v>0</v>
      </c>
      <c r="AZ65" s="180">
        <f>SUM(AY$5:AY65)</f>
        <v>-12.249999999999995</v>
      </c>
      <c r="BA65" s="567"/>
      <c r="BB65" s="567">
        <f t="shared" si="12"/>
        <v>0</v>
      </c>
      <c r="BC65" s="567"/>
    </row>
    <row r="66" spans="1:55" ht="15.75">
      <c r="A66" s="260">
        <f t="shared" si="39"/>
        <v>44894</v>
      </c>
      <c r="B66" s="261">
        <f t="shared" si="13"/>
        <v>44894</v>
      </c>
      <c r="C66" s="262">
        <f>IF(A66="","",NumberOfWeek(A66))</f>
        <v>49</v>
      </c>
      <c r="D66" s="263">
        <f t="shared" si="14"/>
        <v>44865</v>
      </c>
      <c r="E66" s="273" t="str">
        <f t="shared" si="15"/>
        <v/>
      </c>
      <c r="F66" s="5"/>
      <c r="G66" s="6" t="str">
        <f t="shared" si="0"/>
        <v/>
      </c>
      <c r="H66" s="7"/>
      <c r="I66" s="7">
        <f t="shared" si="16"/>
        <v>0</v>
      </c>
      <c r="J66" s="76">
        <f t="shared" si="17"/>
        <v>0</v>
      </c>
      <c r="K66" s="7"/>
      <c r="L66" s="7">
        <f t="shared" si="18"/>
        <v>0</v>
      </c>
      <c r="M66" s="76">
        <f t="shared" si="1"/>
        <v>0</v>
      </c>
      <c r="N66" s="76"/>
      <c r="O66" s="76">
        <f t="shared" si="2"/>
        <v>0</v>
      </c>
      <c r="P66" s="76"/>
      <c r="Q66" s="76">
        <f t="shared" si="3"/>
        <v>0</v>
      </c>
      <c r="R66" s="76">
        <f t="shared" si="19"/>
        <v>0</v>
      </c>
      <c r="S66" s="76">
        <f t="shared" si="20"/>
        <v>0</v>
      </c>
      <c r="T66" s="76">
        <f t="shared" si="21"/>
        <v>0</v>
      </c>
      <c r="U66" s="76">
        <f t="shared" si="22"/>
        <v>0</v>
      </c>
      <c r="V66" s="109">
        <f t="shared" si="23"/>
        <v>0</v>
      </c>
      <c r="W66" s="62"/>
      <c r="X66" s="78">
        <f t="shared" si="4"/>
        <v>3.125E-2</v>
      </c>
      <c r="Y66" s="73">
        <f t="shared" si="24"/>
        <v>0</v>
      </c>
      <c r="Z66" s="74">
        <f t="shared" si="25"/>
        <v>0.29166666666666669</v>
      </c>
      <c r="AA66" s="75">
        <f t="shared" si="26"/>
        <v>0</v>
      </c>
      <c r="AB66" s="63" t="str">
        <f t="shared" si="27"/>
        <v/>
      </c>
      <c r="AC66" s="148">
        <f t="shared" si="5"/>
        <v>0</v>
      </c>
      <c r="AD66" s="107" t="str">
        <f t="shared" si="6"/>
        <v/>
      </c>
      <c r="AE66" s="180">
        <f t="shared" si="28"/>
        <v>0</v>
      </c>
      <c r="AF66" s="73"/>
      <c r="AG66" s="525"/>
      <c r="AH66" s="73"/>
      <c r="AI66" s="73" t="str">
        <f t="shared" si="41"/>
        <v/>
      </c>
      <c r="AJ66" s="64">
        <f t="shared" si="7"/>
        <v>0</v>
      </c>
      <c r="AK66" s="64">
        <f t="shared" si="8"/>
        <v>0</v>
      </c>
      <c r="AL66" s="64" t="str">
        <f t="shared" si="9"/>
        <v/>
      </c>
      <c r="AM66">
        <f t="shared" si="10"/>
        <v>1</v>
      </c>
      <c r="AN66" s="85">
        <f>SUM($AD$6:AD66)</f>
        <v>0</v>
      </c>
      <c r="AO66" s="85">
        <f t="shared" ca="1" si="30"/>
        <v>0</v>
      </c>
      <c r="AP66" s="89">
        <f t="shared" si="31"/>
        <v>0</v>
      </c>
      <c r="AQ66" s="89">
        <f t="shared" si="32"/>
        <v>0</v>
      </c>
      <c r="AR66" s="89">
        <f t="shared" si="33"/>
        <v>0</v>
      </c>
      <c r="AS66" s="88">
        <f t="shared" si="34"/>
        <v>0</v>
      </c>
      <c r="AT66" s="88">
        <f t="shared" ca="1" si="35"/>
        <v>0</v>
      </c>
      <c r="AU66" s="98">
        <f t="shared" si="36"/>
        <v>0</v>
      </c>
      <c r="AV66" s="88">
        <f t="shared" si="37"/>
        <v>0</v>
      </c>
      <c r="AW66" t="b">
        <f>OR((F66&gt;0),(NOT(ISBLANK(H66))),SUM(H66:H$373),SUM(G66:G$373))</f>
        <v>0</v>
      </c>
      <c r="AX66" t="b">
        <f t="shared" ca="1" si="11"/>
        <v>0</v>
      </c>
      <c r="AY66" s="519">
        <f t="shared" si="38"/>
        <v>-0.29166666666666669</v>
      </c>
      <c r="AZ66" s="180">
        <f>SUM(AY$5:AY66)</f>
        <v>-12.541666666666661</v>
      </c>
      <c r="BA66" s="567"/>
      <c r="BB66" s="567">
        <f t="shared" si="12"/>
        <v>0</v>
      </c>
      <c r="BC66" s="567"/>
    </row>
    <row r="67" spans="1:55" ht="15.75">
      <c r="A67" s="260">
        <f t="shared" si="39"/>
        <v>44895</v>
      </c>
      <c r="B67" s="261">
        <f t="shared" si="13"/>
        <v>44895</v>
      </c>
      <c r="C67" s="262">
        <f>IF(A67="","",NumberOfWeek(A67))</f>
        <v>49</v>
      </c>
      <c r="D67" s="263">
        <f t="shared" si="14"/>
        <v>44895</v>
      </c>
      <c r="E67" s="273" t="str">
        <f t="shared" si="15"/>
        <v/>
      </c>
      <c r="F67" s="5"/>
      <c r="G67" s="6" t="str">
        <f t="shared" si="0"/>
        <v/>
      </c>
      <c r="H67" s="7"/>
      <c r="I67" s="7">
        <f t="shared" si="16"/>
        <v>0</v>
      </c>
      <c r="J67" s="76">
        <f t="shared" si="17"/>
        <v>0</v>
      </c>
      <c r="K67" s="7"/>
      <c r="L67" s="7">
        <f t="shared" si="18"/>
        <v>0</v>
      </c>
      <c r="M67" s="76">
        <f t="shared" si="1"/>
        <v>0</v>
      </c>
      <c r="N67" s="76"/>
      <c r="O67" s="76">
        <f t="shared" si="2"/>
        <v>0</v>
      </c>
      <c r="P67" s="76"/>
      <c r="Q67" s="76">
        <f t="shared" si="3"/>
        <v>0</v>
      </c>
      <c r="R67" s="76">
        <f t="shared" si="19"/>
        <v>0</v>
      </c>
      <c r="S67" s="76">
        <f t="shared" si="20"/>
        <v>0</v>
      </c>
      <c r="T67" s="76">
        <f t="shared" si="21"/>
        <v>0</v>
      </c>
      <c r="U67" s="76">
        <f t="shared" si="22"/>
        <v>0</v>
      </c>
      <c r="V67" s="109">
        <f t="shared" si="23"/>
        <v>0</v>
      </c>
      <c r="W67" s="62"/>
      <c r="X67" s="78">
        <f t="shared" si="4"/>
        <v>3.125E-2</v>
      </c>
      <c r="Y67" s="73">
        <f t="shared" si="24"/>
        <v>0</v>
      </c>
      <c r="Z67" s="74">
        <f t="shared" si="25"/>
        <v>0.29166666666666669</v>
      </c>
      <c r="AA67" s="75">
        <f t="shared" si="26"/>
        <v>0</v>
      </c>
      <c r="AB67" s="63" t="str">
        <f t="shared" si="27"/>
        <v/>
      </c>
      <c r="AC67" s="148">
        <f t="shared" si="5"/>
        <v>0</v>
      </c>
      <c r="AD67" s="107" t="str">
        <f t="shared" si="6"/>
        <v/>
      </c>
      <c r="AE67" s="180">
        <f t="shared" si="28"/>
        <v>0</v>
      </c>
      <c r="AF67" s="73"/>
      <c r="AG67" s="525"/>
      <c r="AH67" s="73"/>
      <c r="AI67" s="73" t="str">
        <f t="shared" si="41"/>
        <v/>
      </c>
      <c r="AJ67" s="64">
        <f t="shared" si="7"/>
        <v>0</v>
      </c>
      <c r="AK67" s="64">
        <f t="shared" si="8"/>
        <v>0</v>
      </c>
      <c r="AL67" s="64" t="str">
        <f t="shared" si="9"/>
        <v/>
      </c>
      <c r="AM67">
        <f t="shared" si="10"/>
        <v>2</v>
      </c>
      <c r="AN67" s="85">
        <f>SUM($AD$6:AD67)</f>
        <v>0</v>
      </c>
      <c r="AO67" s="85">
        <f t="shared" ca="1" si="30"/>
        <v>0</v>
      </c>
      <c r="AP67" s="89">
        <f t="shared" si="31"/>
        <v>0</v>
      </c>
      <c r="AQ67" s="89">
        <f t="shared" si="32"/>
        <v>0</v>
      </c>
      <c r="AR67" s="89">
        <f t="shared" si="33"/>
        <v>0</v>
      </c>
      <c r="AS67" s="88">
        <f t="shared" si="34"/>
        <v>0</v>
      </c>
      <c r="AT67" s="88">
        <f t="shared" ca="1" si="35"/>
        <v>0</v>
      </c>
      <c r="AU67" s="98">
        <f t="shared" si="36"/>
        <v>0</v>
      </c>
      <c r="AV67" s="88">
        <f t="shared" si="37"/>
        <v>0</v>
      </c>
      <c r="AW67" t="b">
        <f>OR((F67&gt;0),(NOT(ISBLANK(H67))),SUM(H67:H$373),SUM(G67:G$373))</f>
        <v>0</v>
      </c>
      <c r="AX67" t="b">
        <f t="shared" ca="1" si="11"/>
        <v>0</v>
      </c>
      <c r="AY67" s="519">
        <f t="shared" si="38"/>
        <v>-0.29166666666666669</v>
      </c>
      <c r="AZ67" s="180">
        <f>SUM(AY$5:AY67)</f>
        <v>-12.833333333333327</v>
      </c>
      <c r="BA67" s="567"/>
      <c r="BB67" s="567">
        <f t="shared" si="12"/>
        <v>0</v>
      </c>
      <c r="BC67" s="567"/>
    </row>
    <row r="68" spans="1:55" ht="15.75">
      <c r="A68" s="260">
        <f t="shared" si="39"/>
        <v>44896</v>
      </c>
      <c r="B68" s="261">
        <f t="shared" si="13"/>
        <v>44896</v>
      </c>
      <c r="C68" s="262">
        <f>IF(A68="","",NumberOfWeek(A68))</f>
        <v>49</v>
      </c>
      <c r="D68" s="263">
        <f t="shared" si="14"/>
        <v>44895</v>
      </c>
      <c r="E68" s="273" t="str">
        <f t="shared" si="15"/>
        <v/>
      </c>
      <c r="F68" s="5"/>
      <c r="G68" s="6" t="str">
        <f t="shared" si="0"/>
        <v/>
      </c>
      <c r="H68" s="7"/>
      <c r="I68" s="7">
        <f t="shared" si="16"/>
        <v>0</v>
      </c>
      <c r="J68" s="76">
        <f t="shared" si="17"/>
        <v>0</v>
      </c>
      <c r="K68" s="7"/>
      <c r="L68" s="7">
        <f t="shared" si="18"/>
        <v>0</v>
      </c>
      <c r="M68" s="76">
        <f t="shared" si="1"/>
        <v>0</v>
      </c>
      <c r="N68" s="76"/>
      <c r="O68" s="76">
        <f t="shared" si="2"/>
        <v>0</v>
      </c>
      <c r="P68" s="76"/>
      <c r="Q68" s="76">
        <f t="shared" si="3"/>
        <v>0</v>
      </c>
      <c r="R68" s="76">
        <f t="shared" si="19"/>
        <v>0</v>
      </c>
      <c r="S68" s="76">
        <f t="shared" si="20"/>
        <v>0</v>
      </c>
      <c r="T68" s="76">
        <f t="shared" si="21"/>
        <v>0</v>
      </c>
      <c r="U68" s="76">
        <f t="shared" si="22"/>
        <v>0</v>
      </c>
      <c r="V68" s="109">
        <f t="shared" si="23"/>
        <v>0</v>
      </c>
      <c r="W68" s="62"/>
      <c r="X68" s="78">
        <f t="shared" si="4"/>
        <v>3.125E-2</v>
      </c>
      <c r="Y68" s="73">
        <f t="shared" si="24"/>
        <v>0</v>
      </c>
      <c r="Z68" s="74">
        <f t="shared" si="25"/>
        <v>0.29166666666666669</v>
      </c>
      <c r="AA68" s="75">
        <f t="shared" si="26"/>
        <v>0</v>
      </c>
      <c r="AB68" s="63" t="str">
        <f t="shared" si="27"/>
        <v/>
      </c>
      <c r="AC68" s="148">
        <f t="shared" si="5"/>
        <v>0</v>
      </c>
      <c r="AD68" s="107" t="str">
        <f t="shared" si="6"/>
        <v/>
      </c>
      <c r="AE68" s="180">
        <f t="shared" si="28"/>
        <v>0</v>
      </c>
      <c r="AF68" s="73"/>
      <c r="AG68" s="525"/>
      <c r="AH68" s="73"/>
      <c r="AI68" s="73" t="str">
        <f t="shared" si="41"/>
        <v/>
      </c>
      <c r="AJ68" s="64">
        <f t="shared" si="7"/>
        <v>0</v>
      </c>
      <c r="AK68" s="64">
        <f t="shared" si="8"/>
        <v>0</v>
      </c>
      <c r="AL68" s="64" t="str">
        <f t="shared" si="9"/>
        <v/>
      </c>
      <c r="AM68">
        <f t="shared" si="10"/>
        <v>3</v>
      </c>
      <c r="AN68" s="85">
        <f>SUM($AD$6:AD68)</f>
        <v>0</v>
      </c>
      <c r="AO68" s="85">
        <f t="shared" ca="1" si="30"/>
        <v>0</v>
      </c>
      <c r="AP68" s="89">
        <f t="shared" si="31"/>
        <v>0</v>
      </c>
      <c r="AQ68" s="89">
        <f t="shared" si="32"/>
        <v>0</v>
      </c>
      <c r="AR68" s="89">
        <f t="shared" si="33"/>
        <v>0</v>
      </c>
      <c r="AS68" s="88">
        <f t="shared" si="34"/>
        <v>0</v>
      </c>
      <c r="AT68" s="88">
        <f t="shared" ca="1" si="35"/>
        <v>0</v>
      </c>
      <c r="AU68" s="98">
        <f t="shared" si="36"/>
        <v>0</v>
      </c>
      <c r="AV68" s="88">
        <f t="shared" si="37"/>
        <v>0</v>
      </c>
      <c r="AW68" t="b">
        <f>OR((F68&gt;0),(NOT(ISBLANK(H68))),SUM(H68:H$373),SUM(G68:G$373))</f>
        <v>0</v>
      </c>
      <c r="AX68" t="b">
        <f t="shared" ca="1" si="11"/>
        <v>0</v>
      </c>
      <c r="AY68" s="519">
        <f t="shared" si="38"/>
        <v>-0.29166666666666669</v>
      </c>
      <c r="AZ68" s="180">
        <f>SUM(AY$5:AY68)</f>
        <v>-13.124999999999993</v>
      </c>
      <c r="BA68" s="567"/>
      <c r="BB68" s="567">
        <f t="shared" si="12"/>
        <v>0</v>
      </c>
      <c r="BC68" s="567"/>
    </row>
    <row r="69" spans="1:55" ht="15.75">
      <c r="A69" s="260">
        <f t="shared" si="39"/>
        <v>44897</v>
      </c>
      <c r="B69" s="261">
        <f t="shared" si="13"/>
        <v>44897</v>
      </c>
      <c r="C69" s="262">
        <f>IF(A69="","",NumberOfWeek(A69))</f>
        <v>49</v>
      </c>
      <c r="D69" s="263">
        <f t="shared" si="14"/>
        <v>44895</v>
      </c>
      <c r="E69" s="273" t="str">
        <f t="shared" si="15"/>
        <v/>
      </c>
      <c r="F69" s="5"/>
      <c r="G69" s="6" t="str">
        <f t="shared" ref="G69:G132" si="46">IF(ISBLANK(F69),IF(ISBLANK(H69),"",0),CODE(UPPER(F69)))</f>
        <v/>
      </c>
      <c r="H69" s="7"/>
      <c r="I69" s="7">
        <f t="shared" si="16"/>
        <v>0</v>
      </c>
      <c r="J69" s="76">
        <f t="shared" si="17"/>
        <v>0</v>
      </c>
      <c r="K69" s="7"/>
      <c r="L69" s="7">
        <f t="shared" si="18"/>
        <v>0</v>
      </c>
      <c r="M69" s="76">
        <f t="shared" ref="M69:M132" si="47">IF(L69&lt;K69,L69+1,L69)</f>
        <v>0</v>
      </c>
      <c r="N69" s="76"/>
      <c r="O69" s="76">
        <f t="shared" ref="O69:O132" si="48">IF(N69&gt;0,N69+IF((J69-H69+M69-K69)&lt;Y69,Y69-(J69-H69+M69-K69),TIME(0,10,0))+IF((K69-J69+N69-M69)&gt;xNoWorkTime,0,xNoWorkTime-(K69-J69+N69-M69)),0)</f>
        <v>0</v>
      </c>
      <c r="P69" s="76"/>
      <c r="Q69" s="76">
        <f t="shared" ref="Q69:Q132" si="49">IF(O69&lt;N69,O69+1,O69)</f>
        <v>0</v>
      </c>
      <c r="R69" s="76">
        <f t="shared" si="19"/>
        <v>0</v>
      </c>
      <c r="S69" s="76">
        <f t="shared" si="20"/>
        <v>0</v>
      </c>
      <c r="T69" s="76">
        <f t="shared" si="21"/>
        <v>0</v>
      </c>
      <c r="U69" s="76">
        <f t="shared" si="22"/>
        <v>0</v>
      </c>
      <c r="V69" s="109">
        <f t="shared" si="23"/>
        <v>0</v>
      </c>
      <c r="W69" s="62"/>
      <c r="X69" s="78">
        <f t="shared" ref="X69:X132" si="50">xNoWorkTime</f>
        <v>3.125E-2</v>
      </c>
      <c r="Y69" s="73">
        <f t="shared" si="24"/>
        <v>0</v>
      </c>
      <c r="Z69" s="74">
        <f t="shared" si="25"/>
        <v>0.29166666666666669</v>
      </c>
      <c r="AA69" s="75">
        <f t="shared" si="26"/>
        <v>0</v>
      </c>
      <c r="AB69" s="63" t="str">
        <f t="shared" si="27"/>
        <v/>
      </c>
      <c r="AC69" s="148">
        <f t="shared" ref="AC69:AC132" si="51">xOverTime</f>
        <v>0</v>
      </c>
      <c r="AD69" s="107" t="str">
        <f t="shared" ref="AD69:AD132" si="52">IF((R69-U69)&gt;XWorkTimeMax,(R69-U69-XWorkTimeMax),"")</f>
        <v/>
      </c>
      <c r="AE69" s="180">
        <f t="shared" si="28"/>
        <v>0</v>
      </c>
      <c r="AF69" s="73"/>
      <c r="AG69" s="525"/>
      <c r="AH69" s="73"/>
      <c r="AI69" s="73" t="str">
        <f t="shared" si="41"/>
        <v/>
      </c>
      <c r="AJ69" s="64">
        <f t="shared" ref="AJ69:AJ132" si="53">IF(ISNUMBER(V69 ), IF( V69 &gt;= Y69, Y69, V69 ),"")</f>
        <v>0</v>
      </c>
      <c r="AK69" s="64">
        <f t="shared" ref="AK69:AK132" si="54">IF( ISNUMBER( V69 ), IF( V69 &gt;= Y69, V69 - Y69, "" ), "" )</f>
        <v>0</v>
      </c>
      <c r="AL69" s="64" t="str">
        <f t="shared" ref="AL69:AL132" si="55">IF( AND(ISNUMBER( V69 ),ISNUMBER( Y69 )), IF( V69 &gt;= Y69, "", Y69 - V69 ), "" )</f>
        <v/>
      </c>
      <c r="AM69">
        <f t="shared" ref="AM69:AM132" si="56">IF(A69="",0,IF(ISERROR(VLOOKUP(A69,db_Feiertag,2,FALSE)),WEEKDAY(A69,2),Feiertag))</f>
        <v>4</v>
      </c>
      <c r="AN69" s="85">
        <f>SUM($AD$6:AD69)</f>
        <v>0</v>
      </c>
      <c r="AO69" s="85">
        <f t="shared" ca="1" si="30"/>
        <v>0</v>
      </c>
      <c r="AP69" s="89">
        <f t="shared" si="31"/>
        <v>0</v>
      </c>
      <c r="AQ69" s="89">
        <f t="shared" si="32"/>
        <v>0</v>
      </c>
      <c r="AR69" s="89">
        <f t="shared" si="33"/>
        <v>0</v>
      </c>
      <c r="AS69" s="88">
        <f t="shared" si="34"/>
        <v>0</v>
      </c>
      <c r="AT69" s="88">
        <f t="shared" ca="1" si="35"/>
        <v>0</v>
      </c>
      <c r="AU69" s="98">
        <f t="shared" si="36"/>
        <v>0</v>
      </c>
      <c r="AV69" s="88">
        <f t="shared" si="37"/>
        <v>0</v>
      </c>
      <c r="AW69" t="b">
        <f>OR((F69&gt;0),(NOT(ISBLANK(H69))),SUM(H69:H$373),SUM(G69:G$373))</f>
        <v>0</v>
      </c>
      <c r="AX69" t="b">
        <f t="shared" ref="AX69:AX132" ca="1" si="57">INDIRECT(ADDRESS(ROW(),COLUMN(xDay)))&gt;5</f>
        <v>0</v>
      </c>
      <c r="AY69" s="519">
        <f t="shared" si="38"/>
        <v>-0.29166666666666669</v>
      </c>
      <c r="AZ69" s="180">
        <f>SUM(AY$5:AY69)</f>
        <v>-13.416666666666659</v>
      </c>
      <c r="BA69" s="567"/>
      <c r="BB69" s="567">
        <f t="shared" ref="BB69:BB132" si="58">IF(ISNA(MATCH(BA69,B_Arbeitsort,0)),0,MATCH(BA69,B_Arbeitsort,0))</f>
        <v>0</v>
      </c>
      <c r="BC69" s="567"/>
    </row>
    <row r="70" spans="1:55" ht="15.75">
      <c r="A70" s="260">
        <f t="shared" si="39"/>
        <v>44898</v>
      </c>
      <c r="B70" s="261">
        <f t="shared" ref="B70:B133" si="59">IF(A70="","",A70)</f>
        <v>44898</v>
      </c>
      <c r="C70" s="262">
        <f>IF(A70="","",NumberOfWeek(A70))</f>
        <v>49</v>
      </c>
      <c r="D70" s="263">
        <f t="shared" ref="D70:D133" si="60">IF(A70="","",DATE(YEAR(A70),MONTH(A70),1))</f>
        <v>44895</v>
      </c>
      <c r="E70" s="273" t="str">
        <f t="shared" ref="E70:E133" si="61">IF((R70-U70)&gt;XWorkTimeMax,$Z$4,IF(AV70=Feiertag,VLOOKUP(B70,db_Feiertag,2,FALSE),""))</f>
        <v/>
      </c>
      <c r="F70" s="5"/>
      <c r="G70" s="6" t="str">
        <f t="shared" si="46"/>
        <v/>
      </c>
      <c r="H70" s="7"/>
      <c r="I70" s="7">
        <f t="shared" ref="I70:I133" si="62">IF(H70&gt;0,H70+Y70+X70+AC70,0)</f>
        <v>0</v>
      </c>
      <c r="J70" s="76">
        <f t="shared" ref="J70:J133" si="63">IF(K70&gt;I70,IF(I70&lt;H70,I70+1,I70)-B_WalkTime,IF(I70&lt;H70,I70+1,I70))</f>
        <v>0</v>
      </c>
      <c r="K70" s="7"/>
      <c r="L70" s="7">
        <f t="shared" ref="L70:L133" si="64">IF(K70&gt;0,K70+IF((J70-H70)&lt;Y70,Y70-(J70-H70),TIME(0,10,0))+IF((K70-J70)&gt;xNoWorkTime,0,xNoWorkTime-(K70-J70)),0)</f>
        <v>0</v>
      </c>
      <c r="M70" s="76">
        <f t="shared" si="47"/>
        <v>0</v>
      </c>
      <c r="N70" s="76"/>
      <c r="O70" s="76">
        <f t="shared" si="48"/>
        <v>0</v>
      </c>
      <c r="P70" s="76"/>
      <c r="Q70" s="76">
        <f t="shared" si="49"/>
        <v>0</v>
      </c>
      <c r="R70" s="76">
        <f t="shared" ref="R70:R133" si="65">J70-H70+M70-K70+Q70-N70</f>
        <v>0</v>
      </c>
      <c r="S70" s="76">
        <f t="shared" ref="S70:S133" si="66">IF(K70&gt;0,K70-I70,0)+IF(N70&gt;0,N70-L70)</f>
        <v>0</v>
      </c>
      <c r="T70" s="76">
        <f t="shared" ref="T70:T133" si="67">IF(H70&gt;0,(IF(R70&gt;B_Pause1Nach,B_Pause1Dauer+IF(BA70="Büro",B_WalkTime,0),IF(BA70="Büro",B_WalkTime,0))+IF(R70&gt;B_Pause2Nach,B_Pause2Dauer,0)),0)</f>
        <v>0</v>
      </c>
      <c r="U70" s="76">
        <f t="shared" ref="U70:U133" si="68">IF(T70&gt;S70,T70-S70,0)</f>
        <v>0</v>
      </c>
      <c r="V70" s="109">
        <f t="shared" ref="V70:V133" si="69">IF(F70="S",Z70,(IF((R70-U70)&gt;XWorkTimeMax,XWorkTimeMax,IF((R70-U70)&gt;0,R70-U70,0))))</f>
        <v>0</v>
      </c>
      <c r="W70" s="62"/>
      <c r="X70" s="78">
        <f t="shared" si="50"/>
        <v>3.125E-2</v>
      </c>
      <c r="Y70" s="73">
        <f t="shared" ref="Y70:Y133" si="70">IF(AND((AM70&lt;Feiertag),(G70&lt;&gt;85)),IF(OR(F70="B",F70="G",F70="S",H70&gt;0),H70-H70+Z70,0),0)</f>
        <v>0</v>
      </c>
      <c r="Z70" s="74">
        <f t="shared" ref="Z70:Z133" si="71">IF(AND(AM70&gt;0,AM70&lt;Feiertag),INDEX(Arbeitszeit,AM70),"")</f>
        <v>0.29166666666666669</v>
      </c>
      <c r="AA70" s="75">
        <f t="shared" ref="AA70:AA133" si="72">V70-Y70</f>
        <v>0</v>
      </c>
      <c r="AB70" s="63" t="str">
        <f t="shared" ref="AB70:AB133" si="73">IF((V70-Y70)&lt;0,"*","")</f>
        <v/>
      </c>
      <c r="AC70" s="148">
        <f t="shared" si="51"/>
        <v>0</v>
      </c>
      <c r="AD70" s="107" t="str">
        <f t="shared" si="52"/>
        <v/>
      </c>
      <c r="AE70" s="180">
        <f t="shared" ref="AE70:AE133" si="74">IF(AW70,(AE69+SUM(AA70)+(IF(AG70="+",AF70,-AF70))),)</f>
        <v>0</v>
      </c>
      <c r="AF70" s="73"/>
      <c r="AG70" s="525"/>
      <c r="AH70" s="73"/>
      <c r="AI70" s="73" t="str">
        <f t="shared" si="41"/>
        <v/>
      </c>
      <c r="AJ70" s="64">
        <f t="shared" si="53"/>
        <v>0</v>
      </c>
      <c r="AK70" s="64">
        <f t="shared" si="54"/>
        <v>0</v>
      </c>
      <c r="AL70" s="64" t="str">
        <f t="shared" si="55"/>
        <v/>
      </c>
      <c r="AM70">
        <f t="shared" si="56"/>
        <v>5</v>
      </c>
      <c r="AN70" s="85">
        <f>SUM($AD$6:AD70)</f>
        <v>0</v>
      </c>
      <c r="AO70" s="85">
        <f t="shared" ref="AO70:AO133" ca="1" si="75">IF(D70=D69,AO69,OFFSET(AO70,-1,COLUMN(db_jSaldoGes)-COLUMN()))</f>
        <v>0</v>
      </c>
      <c r="AP70" s="89">
        <f t="shared" ref="AP70:AP133" si="76">IF(OR($G70=-1,$G70=82),-1,IF(OR($G70=0,$G70=83),1,0))</f>
        <v>0</v>
      </c>
      <c r="AQ70" s="89">
        <f t="shared" ref="AQ70:AQ133" si="77">IF($F70=Krank,1,IF($F70="J",-1,0))</f>
        <v>0</v>
      </c>
      <c r="AR70" s="89">
        <f t="shared" ref="AR70:AR133" si="78">IF($F70=Urlaub,1,IF($F70="T",-1,0))</f>
        <v>0</v>
      </c>
      <c r="AS70" s="88">
        <f t="shared" ref="AS70:AS133" si="79">IF(A70="","",AS69-IF(F70=Urlaub,1,0)+IF(AND(MONTH(A70)=1,DAY(A70)=1),B_UrlaubNeu,0))</f>
        <v>0</v>
      </c>
      <c r="AT70" s="88">
        <f t="shared" ref="AT70:AT133" ca="1" si="80">IF(A70="","",IF(D70=D69,AT69,OFFSET(AT70,-1,COLUMN(db_jUrlRest)-COLUMN()))+IF(AND(MONTH(A70)=1,DAY(A70)=1),B_UrlaubNeu,0))</f>
        <v>0</v>
      </c>
      <c r="AU70" s="98">
        <f t="shared" ref="AU70:AU133" si="81">(IF(ISNUMBER(V70),V70,0)+IF(ISNUMBER(AD70),AD70,0))*24</f>
        <v>0</v>
      </c>
      <c r="AV70" s="88">
        <f t="shared" ref="AV70:AV133" si="82">IF(ISNUMBER(AD70),K_ArbeitOverMax,IF(AND(ISNUMBER(AA70),AA70&gt;0),K_ArbeitOverTime,IF(AND(ISNUMBER(V70),V70&gt;0),K_ArbeitNormal,IF(F70=Krank,K_Krank,IF(F70=Urlaub,K_Urlaub,IF(AM70=Feiertag,K_Feiertag,IF(OR(AM70=6,AM70=7),K_Wochenende,0)))))))+IF(F70=Gleittag,K_Gleittag,0)</f>
        <v>0</v>
      </c>
      <c r="AW70" t="b">
        <f>OR((F70&gt;0),(NOT(ISBLANK(H70))),SUM(H70:H$373),SUM(G70:G$373))</f>
        <v>0</v>
      </c>
      <c r="AX70" t="b">
        <f t="shared" ca="1" si="57"/>
        <v>0</v>
      </c>
      <c r="AY70" s="519">
        <f t="shared" ref="AY70:AY133" si="83">IF(OR(R70&lt;&gt;0,F70&lt;&gt;0),AA70,IF(Z70="",0,-Z70))+(IF(AG70="+",AF70,-AF70))</f>
        <v>-0.29166666666666669</v>
      </c>
      <c r="AZ70" s="180">
        <f>SUM(AY$5:AY70)</f>
        <v>-13.708333333333325</v>
      </c>
      <c r="BA70" s="567"/>
      <c r="BB70" s="567">
        <f t="shared" si="58"/>
        <v>0</v>
      </c>
      <c r="BC70" s="567"/>
    </row>
    <row r="71" spans="1:55" ht="15.75">
      <c r="A71" s="260">
        <f t="shared" ref="A71:A134" si="84">IF(A70="","",IF((A70+1)&gt;=DATE(YEAR(xJahr)+1,MONTH(xJahr),DAY(xJahr)),"",A70+1))</f>
        <v>44899</v>
      </c>
      <c r="B71" s="261">
        <f t="shared" si="59"/>
        <v>44899</v>
      </c>
      <c r="C71" s="262">
        <f>IF(A71="","",NumberOfWeek(A71))</f>
        <v>49</v>
      </c>
      <c r="D71" s="263">
        <f t="shared" si="60"/>
        <v>44895</v>
      </c>
      <c r="E71" s="273" t="str">
        <f t="shared" si="61"/>
        <v/>
      </c>
      <c r="F71" s="5"/>
      <c r="G71" s="6" t="str">
        <f t="shared" si="46"/>
        <v/>
      </c>
      <c r="H71" s="7"/>
      <c r="I71" s="7">
        <f t="shared" si="62"/>
        <v>0</v>
      </c>
      <c r="J71" s="76">
        <f t="shared" si="63"/>
        <v>0</v>
      </c>
      <c r="K71" s="7"/>
      <c r="L71" s="7">
        <f t="shared" si="64"/>
        <v>0</v>
      </c>
      <c r="M71" s="76">
        <f t="shared" si="47"/>
        <v>0</v>
      </c>
      <c r="N71" s="76"/>
      <c r="O71" s="76">
        <f t="shared" si="48"/>
        <v>0</v>
      </c>
      <c r="P71" s="76"/>
      <c r="Q71" s="76">
        <f t="shared" si="49"/>
        <v>0</v>
      </c>
      <c r="R71" s="76">
        <f t="shared" si="65"/>
        <v>0</v>
      </c>
      <c r="S71" s="76">
        <f t="shared" si="66"/>
        <v>0</v>
      </c>
      <c r="T71" s="76">
        <f t="shared" si="67"/>
        <v>0</v>
      </c>
      <c r="U71" s="76">
        <f t="shared" si="68"/>
        <v>0</v>
      </c>
      <c r="V71" s="109">
        <f t="shared" si="69"/>
        <v>0</v>
      </c>
      <c r="W71" s="62"/>
      <c r="X71" s="78">
        <f t="shared" si="50"/>
        <v>3.125E-2</v>
      </c>
      <c r="Y71" s="73">
        <f t="shared" si="70"/>
        <v>0</v>
      </c>
      <c r="Z71" s="74">
        <f t="shared" si="71"/>
        <v>0</v>
      </c>
      <c r="AA71" s="75">
        <f t="shared" si="72"/>
        <v>0</v>
      </c>
      <c r="AB71" s="63" t="str">
        <f t="shared" si="73"/>
        <v/>
      </c>
      <c r="AC71" s="148">
        <f t="shared" si="51"/>
        <v>0</v>
      </c>
      <c r="AD71" s="107" t="str">
        <f t="shared" si="52"/>
        <v/>
      </c>
      <c r="AE71" s="180">
        <f t="shared" si="74"/>
        <v>0</v>
      </c>
      <c r="AF71" s="73"/>
      <c r="AG71" s="525"/>
      <c r="AH71" s="73"/>
      <c r="AI71" s="73" t="str">
        <f t="shared" si="41"/>
        <v/>
      </c>
      <c r="AJ71" s="64">
        <f t="shared" si="53"/>
        <v>0</v>
      </c>
      <c r="AK71" s="64">
        <f t="shared" si="54"/>
        <v>0</v>
      </c>
      <c r="AL71" s="64" t="str">
        <f t="shared" si="55"/>
        <v/>
      </c>
      <c r="AM71">
        <f t="shared" si="56"/>
        <v>6</v>
      </c>
      <c r="AN71" s="85">
        <f>SUM($AD$6:AD71)</f>
        <v>0</v>
      </c>
      <c r="AO71" s="85">
        <f t="shared" ca="1" si="75"/>
        <v>0</v>
      </c>
      <c r="AP71" s="89">
        <f t="shared" si="76"/>
        <v>0</v>
      </c>
      <c r="AQ71" s="89">
        <f t="shared" si="77"/>
        <v>0</v>
      </c>
      <c r="AR71" s="89">
        <f t="shared" si="78"/>
        <v>0</v>
      </c>
      <c r="AS71" s="88">
        <f t="shared" si="79"/>
        <v>0</v>
      </c>
      <c r="AT71" s="88">
        <f t="shared" ca="1" si="80"/>
        <v>0</v>
      </c>
      <c r="AU71" s="98">
        <f t="shared" si="81"/>
        <v>0</v>
      </c>
      <c r="AV71" s="88">
        <f t="shared" si="82"/>
        <v>7</v>
      </c>
      <c r="AW71" t="b">
        <f>OR((F71&gt;0),(NOT(ISBLANK(H71))),SUM(H71:H$373),SUM(G71:G$373))</f>
        <v>0</v>
      </c>
      <c r="AX71" t="b">
        <f t="shared" ca="1" si="57"/>
        <v>1</v>
      </c>
      <c r="AY71" s="519">
        <f t="shared" si="83"/>
        <v>0</v>
      </c>
      <c r="AZ71" s="180">
        <f>SUM(AY$5:AY71)</f>
        <v>-13.708333333333325</v>
      </c>
      <c r="BA71" s="567"/>
      <c r="BB71" s="567">
        <f t="shared" si="58"/>
        <v>0</v>
      </c>
      <c r="BC71" s="567"/>
    </row>
    <row r="72" spans="1:55" ht="15.75">
      <c r="A72" s="260">
        <f t="shared" si="84"/>
        <v>44900</v>
      </c>
      <c r="B72" s="261">
        <f t="shared" si="59"/>
        <v>44900</v>
      </c>
      <c r="C72" s="262">
        <f>IF(A72="","",NumberOfWeek(A72))</f>
        <v>49</v>
      </c>
      <c r="D72" s="263">
        <f t="shared" si="60"/>
        <v>44895</v>
      </c>
      <c r="E72" s="273" t="str">
        <f t="shared" si="61"/>
        <v/>
      </c>
      <c r="F72" s="5"/>
      <c r="G72" s="6" t="str">
        <f t="shared" si="46"/>
        <v/>
      </c>
      <c r="H72" s="7"/>
      <c r="I72" s="7">
        <f t="shared" si="62"/>
        <v>0</v>
      </c>
      <c r="J72" s="76">
        <f t="shared" si="63"/>
        <v>0</v>
      </c>
      <c r="K72" s="7"/>
      <c r="L72" s="7">
        <f t="shared" si="64"/>
        <v>0</v>
      </c>
      <c r="M72" s="76">
        <f t="shared" si="47"/>
        <v>0</v>
      </c>
      <c r="N72" s="76"/>
      <c r="O72" s="76">
        <f t="shared" si="48"/>
        <v>0</v>
      </c>
      <c r="P72" s="76"/>
      <c r="Q72" s="76">
        <f t="shared" si="49"/>
        <v>0</v>
      </c>
      <c r="R72" s="76">
        <f t="shared" si="65"/>
        <v>0</v>
      </c>
      <c r="S72" s="76">
        <f t="shared" si="66"/>
        <v>0</v>
      </c>
      <c r="T72" s="76">
        <f t="shared" si="67"/>
        <v>0</v>
      </c>
      <c r="U72" s="76">
        <f t="shared" si="68"/>
        <v>0</v>
      </c>
      <c r="V72" s="109">
        <f t="shared" si="69"/>
        <v>0</v>
      </c>
      <c r="W72" s="62"/>
      <c r="X72" s="78">
        <f t="shared" si="50"/>
        <v>3.125E-2</v>
      </c>
      <c r="Y72" s="73">
        <f t="shared" si="70"/>
        <v>0</v>
      </c>
      <c r="Z72" s="74">
        <f t="shared" si="71"/>
        <v>0</v>
      </c>
      <c r="AA72" s="75">
        <f t="shared" si="72"/>
        <v>0</v>
      </c>
      <c r="AB72" s="63" t="str">
        <f t="shared" si="73"/>
        <v/>
      </c>
      <c r="AC72" s="148">
        <f t="shared" si="51"/>
        <v>0</v>
      </c>
      <c r="AD72" s="107" t="str">
        <f t="shared" si="52"/>
        <v/>
      </c>
      <c r="AE72" s="180">
        <f t="shared" si="74"/>
        <v>0</v>
      </c>
      <c r="AF72" s="73"/>
      <c r="AG72" s="525"/>
      <c r="AH72" s="73"/>
      <c r="AI72" s="73" t="str">
        <f t="shared" si="41"/>
        <v/>
      </c>
      <c r="AJ72" s="64">
        <f t="shared" si="53"/>
        <v>0</v>
      </c>
      <c r="AK72" s="64">
        <f t="shared" si="54"/>
        <v>0</v>
      </c>
      <c r="AL72" s="64" t="str">
        <f t="shared" si="55"/>
        <v/>
      </c>
      <c r="AM72">
        <f t="shared" si="56"/>
        <v>7</v>
      </c>
      <c r="AN72" s="85">
        <f>SUM($AD$6:AD72)</f>
        <v>0</v>
      </c>
      <c r="AO72" s="85">
        <f t="shared" ca="1" si="75"/>
        <v>0</v>
      </c>
      <c r="AP72" s="89">
        <f t="shared" si="76"/>
        <v>0</v>
      </c>
      <c r="AQ72" s="89">
        <f t="shared" si="77"/>
        <v>0</v>
      </c>
      <c r="AR72" s="89">
        <f t="shared" si="78"/>
        <v>0</v>
      </c>
      <c r="AS72" s="88">
        <f t="shared" si="79"/>
        <v>0</v>
      </c>
      <c r="AT72" s="88">
        <f t="shared" ca="1" si="80"/>
        <v>0</v>
      </c>
      <c r="AU72" s="98">
        <f t="shared" si="81"/>
        <v>0</v>
      </c>
      <c r="AV72" s="88">
        <f t="shared" si="82"/>
        <v>7</v>
      </c>
      <c r="AW72" t="b">
        <f>OR((F72&gt;0),(NOT(ISBLANK(H72))),SUM(H72:H$373),SUM(G72:G$373))</f>
        <v>0</v>
      </c>
      <c r="AX72" t="b">
        <f t="shared" ca="1" si="57"/>
        <v>1</v>
      </c>
      <c r="AY72" s="519">
        <f t="shared" si="83"/>
        <v>0</v>
      </c>
      <c r="AZ72" s="180">
        <f>SUM(AY$5:AY72)</f>
        <v>-13.708333333333325</v>
      </c>
      <c r="BA72" s="567"/>
      <c r="BB72" s="567">
        <f t="shared" si="58"/>
        <v>0</v>
      </c>
      <c r="BC72" s="567"/>
    </row>
    <row r="73" spans="1:55" ht="15.75">
      <c r="A73" s="260">
        <f t="shared" si="84"/>
        <v>44901</v>
      </c>
      <c r="B73" s="261">
        <f t="shared" si="59"/>
        <v>44901</v>
      </c>
      <c r="C73" s="262">
        <f>IF(A73="","",NumberOfWeek(A73))</f>
        <v>50</v>
      </c>
      <c r="D73" s="263">
        <f t="shared" si="60"/>
        <v>44895</v>
      </c>
      <c r="E73" s="273" t="str">
        <f t="shared" si="61"/>
        <v/>
      </c>
      <c r="F73" s="5"/>
      <c r="G73" s="6" t="str">
        <f t="shared" si="46"/>
        <v/>
      </c>
      <c r="H73" s="7"/>
      <c r="I73" s="7">
        <f t="shared" si="62"/>
        <v>0</v>
      </c>
      <c r="J73" s="76">
        <f t="shared" si="63"/>
        <v>0</v>
      </c>
      <c r="K73" s="7"/>
      <c r="L73" s="7">
        <f t="shared" si="64"/>
        <v>0</v>
      </c>
      <c r="M73" s="76">
        <f t="shared" si="47"/>
        <v>0</v>
      </c>
      <c r="N73" s="76"/>
      <c r="O73" s="76">
        <f t="shared" si="48"/>
        <v>0</v>
      </c>
      <c r="P73" s="76"/>
      <c r="Q73" s="76">
        <f t="shared" si="49"/>
        <v>0</v>
      </c>
      <c r="R73" s="76">
        <f t="shared" si="65"/>
        <v>0</v>
      </c>
      <c r="S73" s="76">
        <f t="shared" si="66"/>
        <v>0</v>
      </c>
      <c r="T73" s="76">
        <f t="shared" si="67"/>
        <v>0</v>
      </c>
      <c r="U73" s="76">
        <f t="shared" si="68"/>
        <v>0</v>
      </c>
      <c r="V73" s="109">
        <f t="shared" si="69"/>
        <v>0</v>
      </c>
      <c r="W73" s="62"/>
      <c r="X73" s="78">
        <f t="shared" si="50"/>
        <v>3.125E-2</v>
      </c>
      <c r="Y73" s="73">
        <f t="shared" si="70"/>
        <v>0</v>
      </c>
      <c r="Z73" s="74">
        <f t="shared" si="71"/>
        <v>0.29166666666666669</v>
      </c>
      <c r="AA73" s="75">
        <f t="shared" si="72"/>
        <v>0</v>
      </c>
      <c r="AB73" s="63" t="str">
        <f t="shared" si="73"/>
        <v/>
      </c>
      <c r="AC73" s="148">
        <f t="shared" si="51"/>
        <v>0</v>
      </c>
      <c r="AD73" s="107" t="str">
        <f t="shared" si="52"/>
        <v/>
      </c>
      <c r="AE73" s="180">
        <f t="shared" si="74"/>
        <v>0</v>
      </c>
      <c r="AF73" s="73"/>
      <c r="AG73" s="525"/>
      <c r="AH73" s="73"/>
      <c r="AI73" s="73" t="str">
        <f t="shared" si="41"/>
        <v/>
      </c>
      <c r="AJ73" s="64">
        <f t="shared" si="53"/>
        <v>0</v>
      </c>
      <c r="AK73" s="64">
        <f t="shared" si="54"/>
        <v>0</v>
      </c>
      <c r="AL73" s="64" t="str">
        <f t="shared" si="55"/>
        <v/>
      </c>
      <c r="AM73">
        <f t="shared" si="56"/>
        <v>1</v>
      </c>
      <c r="AN73" s="85">
        <f>SUM($AD$6:AD73)</f>
        <v>0</v>
      </c>
      <c r="AO73" s="85">
        <f t="shared" ca="1" si="75"/>
        <v>0</v>
      </c>
      <c r="AP73" s="89">
        <f t="shared" si="76"/>
        <v>0</v>
      </c>
      <c r="AQ73" s="89">
        <f t="shared" si="77"/>
        <v>0</v>
      </c>
      <c r="AR73" s="89">
        <f t="shared" si="78"/>
        <v>0</v>
      </c>
      <c r="AS73" s="88">
        <f t="shared" si="79"/>
        <v>0</v>
      </c>
      <c r="AT73" s="88">
        <f t="shared" ca="1" si="80"/>
        <v>0</v>
      </c>
      <c r="AU73" s="98">
        <f t="shared" si="81"/>
        <v>0</v>
      </c>
      <c r="AV73" s="88">
        <f t="shared" si="82"/>
        <v>0</v>
      </c>
      <c r="AW73" t="b">
        <f>OR((F73&gt;0),(NOT(ISBLANK(H73))),SUM(H73:H$373),SUM(G73:G$373))</f>
        <v>0</v>
      </c>
      <c r="AX73" t="b">
        <f t="shared" ca="1" si="57"/>
        <v>0</v>
      </c>
      <c r="AY73" s="519">
        <f t="shared" si="83"/>
        <v>-0.29166666666666669</v>
      </c>
      <c r="AZ73" s="180">
        <f>SUM(AY$5:AY73)</f>
        <v>-13.999999999999991</v>
      </c>
      <c r="BA73" s="567"/>
      <c r="BB73" s="567">
        <f t="shared" si="58"/>
        <v>0</v>
      </c>
      <c r="BC73" s="567"/>
    </row>
    <row r="74" spans="1:55" ht="15.75">
      <c r="A74" s="260">
        <f t="shared" si="84"/>
        <v>44902</v>
      </c>
      <c r="B74" s="261">
        <f t="shared" si="59"/>
        <v>44902</v>
      </c>
      <c r="C74" s="262">
        <f>IF(A74="","",NumberOfWeek(A74))</f>
        <v>50</v>
      </c>
      <c r="D74" s="263">
        <f t="shared" si="60"/>
        <v>44895</v>
      </c>
      <c r="E74" s="273" t="str">
        <f t="shared" si="61"/>
        <v/>
      </c>
      <c r="F74" s="5"/>
      <c r="G74" s="6" t="str">
        <f t="shared" si="46"/>
        <v/>
      </c>
      <c r="H74" s="7"/>
      <c r="I74" s="7">
        <f t="shared" si="62"/>
        <v>0</v>
      </c>
      <c r="J74" s="76">
        <f t="shared" si="63"/>
        <v>0</v>
      </c>
      <c r="K74" s="7"/>
      <c r="L74" s="7">
        <f t="shared" si="64"/>
        <v>0</v>
      </c>
      <c r="M74" s="76">
        <f t="shared" si="47"/>
        <v>0</v>
      </c>
      <c r="N74" s="76"/>
      <c r="O74" s="76">
        <f t="shared" si="48"/>
        <v>0</v>
      </c>
      <c r="P74" s="76"/>
      <c r="Q74" s="76">
        <f t="shared" si="49"/>
        <v>0</v>
      </c>
      <c r="R74" s="76">
        <f t="shared" si="65"/>
        <v>0</v>
      </c>
      <c r="S74" s="76">
        <f t="shared" si="66"/>
        <v>0</v>
      </c>
      <c r="T74" s="76">
        <f t="shared" si="67"/>
        <v>0</v>
      </c>
      <c r="U74" s="76">
        <f t="shared" si="68"/>
        <v>0</v>
      </c>
      <c r="V74" s="109">
        <f t="shared" si="69"/>
        <v>0</v>
      </c>
      <c r="W74" s="62"/>
      <c r="X74" s="78">
        <f t="shared" si="50"/>
        <v>3.125E-2</v>
      </c>
      <c r="Y74" s="73">
        <f t="shared" si="70"/>
        <v>0</v>
      </c>
      <c r="Z74" s="74">
        <f t="shared" si="71"/>
        <v>0.29166666666666669</v>
      </c>
      <c r="AA74" s="75">
        <f t="shared" si="72"/>
        <v>0</v>
      </c>
      <c r="AB74" s="63" t="str">
        <f t="shared" si="73"/>
        <v/>
      </c>
      <c r="AC74" s="148">
        <f t="shared" si="51"/>
        <v>0</v>
      </c>
      <c r="AD74" s="107" t="str">
        <f t="shared" si="52"/>
        <v/>
      </c>
      <c r="AE74" s="180">
        <f t="shared" si="74"/>
        <v>0</v>
      </c>
      <c r="AF74" s="73"/>
      <c r="AG74" s="525"/>
      <c r="AH74" s="73"/>
      <c r="AI74" s="73" t="str">
        <f t="shared" si="41"/>
        <v/>
      </c>
      <c r="AJ74" s="64">
        <f t="shared" si="53"/>
        <v>0</v>
      </c>
      <c r="AK74" s="64">
        <f t="shared" si="54"/>
        <v>0</v>
      </c>
      <c r="AL74" s="64" t="str">
        <f t="shared" si="55"/>
        <v/>
      </c>
      <c r="AM74">
        <f t="shared" si="56"/>
        <v>2</v>
      </c>
      <c r="AN74" s="85">
        <f>SUM($AD$6:AD74)</f>
        <v>0</v>
      </c>
      <c r="AO74" s="85">
        <f t="shared" ca="1" si="75"/>
        <v>0</v>
      </c>
      <c r="AP74" s="89">
        <f t="shared" si="76"/>
        <v>0</v>
      </c>
      <c r="AQ74" s="89">
        <f t="shared" si="77"/>
        <v>0</v>
      </c>
      <c r="AR74" s="89">
        <f t="shared" si="78"/>
        <v>0</v>
      </c>
      <c r="AS74" s="88">
        <f t="shared" si="79"/>
        <v>0</v>
      </c>
      <c r="AT74" s="88">
        <f t="shared" ca="1" si="80"/>
        <v>0</v>
      </c>
      <c r="AU74" s="98">
        <f t="shared" si="81"/>
        <v>0</v>
      </c>
      <c r="AV74" s="88">
        <f t="shared" si="82"/>
        <v>0</v>
      </c>
      <c r="AW74" t="b">
        <f>OR((F74&gt;0),(NOT(ISBLANK(H74))),SUM(H74:H$373),SUM(G74:G$373))</f>
        <v>0</v>
      </c>
      <c r="AX74" t="b">
        <f t="shared" ca="1" si="57"/>
        <v>0</v>
      </c>
      <c r="AY74" s="519">
        <f t="shared" si="83"/>
        <v>-0.29166666666666669</v>
      </c>
      <c r="AZ74" s="180">
        <f>SUM(AY$5:AY74)</f>
        <v>-14.291666666666657</v>
      </c>
      <c r="BA74" s="567"/>
      <c r="BB74" s="567">
        <f t="shared" si="58"/>
        <v>0</v>
      </c>
      <c r="BC74" s="567"/>
    </row>
    <row r="75" spans="1:55" ht="15.75">
      <c r="A75" s="260">
        <f t="shared" si="84"/>
        <v>44903</v>
      </c>
      <c r="B75" s="261">
        <f t="shared" si="59"/>
        <v>44903</v>
      </c>
      <c r="C75" s="262">
        <f>IF(A75="","",NumberOfWeek(A75))</f>
        <v>50</v>
      </c>
      <c r="D75" s="263">
        <f t="shared" si="60"/>
        <v>44895</v>
      </c>
      <c r="E75" s="273" t="str">
        <f t="shared" si="61"/>
        <v/>
      </c>
      <c r="F75" s="5"/>
      <c r="G75" s="6" t="str">
        <f t="shared" si="46"/>
        <v/>
      </c>
      <c r="H75" s="7"/>
      <c r="I75" s="7">
        <f t="shared" si="62"/>
        <v>0</v>
      </c>
      <c r="J75" s="76">
        <f t="shared" si="63"/>
        <v>0</v>
      </c>
      <c r="K75" s="7"/>
      <c r="L75" s="7">
        <f t="shared" si="64"/>
        <v>0</v>
      </c>
      <c r="M75" s="76">
        <f t="shared" si="47"/>
        <v>0</v>
      </c>
      <c r="N75" s="76"/>
      <c r="O75" s="76">
        <f t="shared" si="48"/>
        <v>0</v>
      </c>
      <c r="P75" s="76"/>
      <c r="Q75" s="76">
        <f t="shared" si="49"/>
        <v>0</v>
      </c>
      <c r="R75" s="76">
        <f t="shared" si="65"/>
        <v>0</v>
      </c>
      <c r="S75" s="76">
        <f t="shared" si="66"/>
        <v>0</v>
      </c>
      <c r="T75" s="76">
        <f t="shared" si="67"/>
        <v>0</v>
      </c>
      <c r="U75" s="76">
        <f t="shared" si="68"/>
        <v>0</v>
      </c>
      <c r="V75" s="109">
        <f t="shared" si="69"/>
        <v>0</v>
      </c>
      <c r="W75" s="62"/>
      <c r="X75" s="78">
        <f t="shared" si="50"/>
        <v>3.125E-2</v>
      </c>
      <c r="Y75" s="73">
        <f t="shared" si="70"/>
        <v>0</v>
      </c>
      <c r="Z75" s="74">
        <f t="shared" si="71"/>
        <v>0.29166666666666669</v>
      </c>
      <c r="AA75" s="75">
        <f t="shared" si="72"/>
        <v>0</v>
      </c>
      <c r="AB75" s="63" t="str">
        <f t="shared" si="73"/>
        <v/>
      </c>
      <c r="AC75" s="148">
        <f t="shared" si="51"/>
        <v>0</v>
      </c>
      <c r="AD75" s="107" t="str">
        <f t="shared" si="52"/>
        <v/>
      </c>
      <c r="AE75" s="180">
        <f t="shared" si="74"/>
        <v>0</v>
      </c>
      <c r="AF75" s="73"/>
      <c r="AG75" s="525"/>
      <c r="AH75" s="73"/>
      <c r="AI75" s="73" t="str">
        <f t="shared" si="41"/>
        <v/>
      </c>
      <c r="AJ75" s="64">
        <f t="shared" si="53"/>
        <v>0</v>
      </c>
      <c r="AK75" s="64">
        <f t="shared" si="54"/>
        <v>0</v>
      </c>
      <c r="AL75" s="64" t="str">
        <f t="shared" si="55"/>
        <v/>
      </c>
      <c r="AM75">
        <f t="shared" si="56"/>
        <v>3</v>
      </c>
      <c r="AN75" s="85">
        <f>SUM($AD$6:AD75)</f>
        <v>0</v>
      </c>
      <c r="AO75" s="85">
        <f t="shared" ca="1" si="75"/>
        <v>0</v>
      </c>
      <c r="AP75" s="89">
        <f t="shared" si="76"/>
        <v>0</v>
      </c>
      <c r="AQ75" s="89">
        <f t="shared" si="77"/>
        <v>0</v>
      </c>
      <c r="AR75" s="89">
        <f t="shared" si="78"/>
        <v>0</v>
      </c>
      <c r="AS75" s="88">
        <f t="shared" si="79"/>
        <v>0</v>
      </c>
      <c r="AT75" s="88">
        <f t="shared" ca="1" si="80"/>
        <v>0</v>
      </c>
      <c r="AU75" s="98">
        <f t="shared" si="81"/>
        <v>0</v>
      </c>
      <c r="AV75" s="88">
        <f t="shared" si="82"/>
        <v>0</v>
      </c>
      <c r="AW75" t="b">
        <f>OR((F75&gt;0),(NOT(ISBLANK(H75))),SUM(H75:H$373),SUM(G75:G$373))</f>
        <v>0</v>
      </c>
      <c r="AX75" t="b">
        <f t="shared" ca="1" si="57"/>
        <v>0</v>
      </c>
      <c r="AY75" s="519">
        <f t="shared" si="83"/>
        <v>-0.29166666666666669</v>
      </c>
      <c r="AZ75" s="180">
        <f>SUM(AY$5:AY75)</f>
        <v>-14.583333333333323</v>
      </c>
      <c r="BA75" s="567"/>
      <c r="BB75" s="567">
        <f t="shared" si="58"/>
        <v>0</v>
      </c>
      <c r="BC75" s="567"/>
    </row>
    <row r="76" spans="1:55" ht="15.75">
      <c r="A76" s="260">
        <f t="shared" si="84"/>
        <v>44904</v>
      </c>
      <c r="B76" s="261">
        <f t="shared" si="59"/>
        <v>44904</v>
      </c>
      <c r="C76" s="262">
        <f>IF(A76="","",NumberOfWeek(A76))</f>
        <v>50</v>
      </c>
      <c r="D76" s="263">
        <f t="shared" si="60"/>
        <v>44895</v>
      </c>
      <c r="E76" s="273" t="str">
        <f t="shared" si="61"/>
        <v/>
      </c>
      <c r="F76" s="5"/>
      <c r="G76" s="6" t="str">
        <f t="shared" si="46"/>
        <v/>
      </c>
      <c r="H76" s="7"/>
      <c r="I76" s="7">
        <f t="shared" si="62"/>
        <v>0</v>
      </c>
      <c r="J76" s="76">
        <f t="shared" si="63"/>
        <v>0</v>
      </c>
      <c r="K76" s="7"/>
      <c r="L76" s="7">
        <f t="shared" si="64"/>
        <v>0</v>
      </c>
      <c r="M76" s="76">
        <f t="shared" si="47"/>
        <v>0</v>
      </c>
      <c r="N76" s="76"/>
      <c r="O76" s="76">
        <f t="shared" si="48"/>
        <v>0</v>
      </c>
      <c r="P76" s="76"/>
      <c r="Q76" s="76">
        <f t="shared" si="49"/>
        <v>0</v>
      </c>
      <c r="R76" s="76">
        <f t="shared" si="65"/>
        <v>0</v>
      </c>
      <c r="S76" s="76">
        <f t="shared" si="66"/>
        <v>0</v>
      </c>
      <c r="T76" s="76">
        <f t="shared" si="67"/>
        <v>0</v>
      </c>
      <c r="U76" s="76">
        <f t="shared" si="68"/>
        <v>0</v>
      </c>
      <c r="V76" s="109">
        <f t="shared" si="69"/>
        <v>0</v>
      </c>
      <c r="W76" s="62"/>
      <c r="X76" s="78">
        <f t="shared" si="50"/>
        <v>3.125E-2</v>
      </c>
      <c r="Y76" s="73">
        <f t="shared" si="70"/>
        <v>0</v>
      </c>
      <c r="Z76" s="74">
        <f t="shared" si="71"/>
        <v>0.29166666666666669</v>
      </c>
      <c r="AA76" s="75">
        <f t="shared" si="72"/>
        <v>0</v>
      </c>
      <c r="AB76" s="63" t="str">
        <f t="shared" si="73"/>
        <v/>
      </c>
      <c r="AC76" s="148">
        <f t="shared" si="51"/>
        <v>0</v>
      </c>
      <c r="AD76" s="107" t="str">
        <f t="shared" si="52"/>
        <v/>
      </c>
      <c r="AE76" s="180">
        <f t="shared" si="74"/>
        <v>0</v>
      </c>
      <c r="AF76" s="73"/>
      <c r="AG76" s="525"/>
      <c r="AH76" s="73"/>
      <c r="AI76" s="73" t="str">
        <f t="shared" si="41"/>
        <v/>
      </c>
      <c r="AJ76" s="64">
        <f t="shared" si="53"/>
        <v>0</v>
      </c>
      <c r="AK76" s="64">
        <f t="shared" si="54"/>
        <v>0</v>
      </c>
      <c r="AL76" s="64" t="str">
        <f t="shared" si="55"/>
        <v/>
      </c>
      <c r="AM76">
        <f t="shared" si="56"/>
        <v>4</v>
      </c>
      <c r="AN76" s="85">
        <f>SUM($AD$6:AD76)</f>
        <v>0</v>
      </c>
      <c r="AO76" s="85">
        <f t="shared" ca="1" si="75"/>
        <v>0</v>
      </c>
      <c r="AP76" s="89">
        <f t="shared" si="76"/>
        <v>0</v>
      </c>
      <c r="AQ76" s="89">
        <f t="shared" si="77"/>
        <v>0</v>
      </c>
      <c r="AR76" s="89">
        <f t="shared" si="78"/>
        <v>0</v>
      </c>
      <c r="AS76" s="88">
        <f t="shared" si="79"/>
        <v>0</v>
      </c>
      <c r="AT76" s="88">
        <f t="shared" ca="1" si="80"/>
        <v>0</v>
      </c>
      <c r="AU76" s="98">
        <f t="shared" si="81"/>
        <v>0</v>
      </c>
      <c r="AV76" s="88">
        <f t="shared" si="82"/>
        <v>0</v>
      </c>
      <c r="AW76" t="b">
        <f>OR((F76&gt;0),(NOT(ISBLANK(H76))),SUM(H76:H$373),SUM(G76:G$373))</f>
        <v>0</v>
      </c>
      <c r="AX76" t="b">
        <f t="shared" ca="1" si="57"/>
        <v>0</v>
      </c>
      <c r="AY76" s="519">
        <f t="shared" si="83"/>
        <v>-0.29166666666666669</v>
      </c>
      <c r="AZ76" s="180">
        <f>SUM(AY$5:AY76)</f>
        <v>-14.874999999999989</v>
      </c>
      <c r="BA76" s="567"/>
      <c r="BB76" s="567">
        <f t="shared" si="58"/>
        <v>0</v>
      </c>
      <c r="BC76" s="567"/>
    </row>
    <row r="77" spans="1:55" ht="15.75">
      <c r="A77" s="260">
        <f t="shared" si="84"/>
        <v>44905</v>
      </c>
      <c r="B77" s="261">
        <f t="shared" si="59"/>
        <v>44905</v>
      </c>
      <c r="C77" s="262">
        <f>IF(A77="","",NumberOfWeek(A77))</f>
        <v>50</v>
      </c>
      <c r="D77" s="263">
        <f t="shared" si="60"/>
        <v>44895</v>
      </c>
      <c r="E77" s="273" t="str">
        <f t="shared" si="61"/>
        <v/>
      </c>
      <c r="F77" s="5"/>
      <c r="G77" s="6" t="str">
        <f t="shared" si="46"/>
        <v/>
      </c>
      <c r="H77" s="7"/>
      <c r="I77" s="7">
        <f t="shared" si="62"/>
        <v>0</v>
      </c>
      <c r="J77" s="76">
        <f t="shared" si="63"/>
        <v>0</v>
      </c>
      <c r="K77" s="7"/>
      <c r="L77" s="7">
        <f t="shared" si="64"/>
        <v>0</v>
      </c>
      <c r="M77" s="76">
        <f t="shared" si="47"/>
        <v>0</v>
      </c>
      <c r="N77" s="76"/>
      <c r="O77" s="76">
        <f t="shared" si="48"/>
        <v>0</v>
      </c>
      <c r="P77" s="76"/>
      <c r="Q77" s="76">
        <f t="shared" si="49"/>
        <v>0</v>
      </c>
      <c r="R77" s="76">
        <f t="shared" si="65"/>
        <v>0</v>
      </c>
      <c r="S77" s="76">
        <f t="shared" si="66"/>
        <v>0</v>
      </c>
      <c r="T77" s="76">
        <f t="shared" si="67"/>
        <v>0</v>
      </c>
      <c r="U77" s="76">
        <f t="shared" si="68"/>
        <v>0</v>
      </c>
      <c r="V77" s="109">
        <f t="shared" si="69"/>
        <v>0</v>
      </c>
      <c r="W77" s="62"/>
      <c r="X77" s="78">
        <f t="shared" si="50"/>
        <v>3.125E-2</v>
      </c>
      <c r="Y77" s="73">
        <f t="shared" si="70"/>
        <v>0</v>
      </c>
      <c r="Z77" s="74">
        <f t="shared" si="71"/>
        <v>0.29166666666666669</v>
      </c>
      <c r="AA77" s="75">
        <f t="shared" si="72"/>
        <v>0</v>
      </c>
      <c r="AB77" s="63" t="str">
        <f t="shared" si="73"/>
        <v/>
      </c>
      <c r="AC77" s="148">
        <f t="shared" si="51"/>
        <v>0</v>
      </c>
      <c r="AD77" s="107" t="str">
        <f t="shared" si="52"/>
        <v/>
      </c>
      <c r="AE77" s="180">
        <f t="shared" si="74"/>
        <v>0</v>
      </c>
      <c r="AF77" s="73"/>
      <c r="AG77" s="525"/>
      <c r="AH77" s="73"/>
      <c r="AI77" s="73" t="str">
        <f t="shared" si="41"/>
        <v/>
      </c>
      <c r="AJ77" s="64">
        <f t="shared" si="53"/>
        <v>0</v>
      </c>
      <c r="AK77" s="64">
        <f t="shared" si="54"/>
        <v>0</v>
      </c>
      <c r="AL77" s="64" t="str">
        <f t="shared" si="55"/>
        <v/>
      </c>
      <c r="AM77">
        <f t="shared" si="56"/>
        <v>5</v>
      </c>
      <c r="AN77" s="85">
        <f>SUM($AD$6:AD77)</f>
        <v>0</v>
      </c>
      <c r="AO77" s="85">
        <f t="shared" ca="1" si="75"/>
        <v>0</v>
      </c>
      <c r="AP77" s="89">
        <f t="shared" si="76"/>
        <v>0</v>
      </c>
      <c r="AQ77" s="89">
        <f t="shared" si="77"/>
        <v>0</v>
      </c>
      <c r="AR77" s="89">
        <f t="shared" si="78"/>
        <v>0</v>
      </c>
      <c r="AS77" s="88">
        <f t="shared" si="79"/>
        <v>0</v>
      </c>
      <c r="AT77" s="88">
        <f t="shared" ca="1" si="80"/>
        <v>0</v>
      </c>
      <c r="AU77" s="98">
        <f t="shared" si="81"/>
        <v>0</v>
      </c>
      <c r="AV77" s="88">
        <f t="shared" si="82"/>
        <v>0</v>
      </c>
      <c r="AW77" t="b">
        <f>OR((F77&gt;0),(NOT(ISBLANK(H77))),SUM(H77:H$373),SUM(G77:G$373))</f>
        <v>0</v>
      </c>
      <c r="AX77" t="b">
        <f t="shared" ca="1" si="57"/>
        <v>0</v>
      </c>
      <c r="AY77" s="519">
        <f t="shared" si="83"/>
        <v>-0.29166666666666669</v>
      </c>
      <c r="AZ77" s="180">
        <f>SUM(AY$5:AY77)</f>
        <v>-15.166666666666655</v>
      </c>
      <c r="BA77" s="567"/>
      <c r="BB77" s="567">
        <f t="shared" si="58"/>
        <v>0</v>
      </c>
      <c r="BC77" s="567"/>
    </row>
    <row r="78" spans="1:55" ht="15.75">
      <c r="A78" s="260">
        <f t="shared" si="84"/>
        <v>44906</v>
      </c>
      <c r="B78" s="261">
        <f t="shared" si="59"/>
        <v>44906</v>
      </c>
      <c r="C78" s="262">
        <f>IF(A78="","",NumberOfWeek(A78))</f>
        <v>50</v>
      </c>
      <c r="D78" s="263">
        <f t="shared" si="60"/>
        <v>44895</v>
      </c>
      <c r="E78" s="273" t="str">
        <f t="shared" si="61"/>
        <v/>
      </c>
      <c r="F78" s="5"/>
      <c r="G78" s="6" t="str">
        <f t="shared" si="46"/>
        <v/>
      </c>
      <c r="H78" s="7"/>
      <c r="I78" s="7">
        <f t="shared" si="62"/>
        <v>0</v>
      </c>
      <c r="J78" s="76">
        <f t="shared" si="63"/>
        <v>0</v>
      </c>
      <c r="K78" s="7"/>
      <c r="L78" s="7">
        <f t="shared" si="64"/>
        <v>0</v>
      </c>
      <c r="M78" s="76">
        <f t="shared" si="47"/>
        <v>0</v>
      </c>
      <c r="N78" s="76"/>
      <c r="O78" s="76">
        <f t="shared" si="48"/>
        <v>0</v>
      </c>
      <c r="P78" s="76"/>
      <c r="Q78" s="76">
        <f t="shared" si="49"/>
        <v>0</v>
      </c>
      <c r="R78" s="76">
        <f t="shared" si="65"/>
        <v>0</v>
      </c>
      <c r="S78" s="76">
        <f t="shared" si="66"/>
        <v>0</v>
      </c>
      <c r="T78" s="76">
        <f t="shared" si="67"/>
        <v>0</v>
      </c>
      <c r="U78" s="76">
        <f t="shared" si="68"/>
        <v>0</v>
      </c>
      <c r="V78" s="109">
        <f t="shared" si="69"/>
        <v>0</v>
      </c>
      <c r="W78" s="62"/>
      <c r="X78" s="78">
        <f t="shared" si="50"/>
        <v>3.125E-2</v>
      </c>
      <c r="Y78" s="73">
        <f t="shared" si="70"/>
        <v>0</v>
      </c>
      <c r="Z78" s="74">
        <f t="shared" si="71"/>
        <v>0</v>
      </c>
      <c r="AA78" s="75">
        <f t="shared" si="72"/>
        <v>0</v>
      </c>
      <c r="AB78" s="63" t="str">
        <f t="shared" si="73"/>
        <v/>
      </c>
      <c r="AC78" s="148">
        <f t="shared" si="51"/>
        <v>0</v>
      </c>
      <c r="AD78" s="107" t="str">
        <f t="shared" si="52"/>
        <v/>
      </c>
      <c r="AE78" s="180">
        <f t="shared" si="74"/>
        <v>0</v>
      </c>
      <c r="AF78" s="73"/>
      <c r="AG78" s="525"/>
      <c r="AH78" s="73"/>
      <c r="AI78" s="73" t="str">
        <f t="shared" ref="AI78:AI141" si="85">IF(AND(AF78&lt;&gt;"",AF78&lt;=V78),V78-AF78,"")</f>
        <v/>
      </c>
      <c r="AJ78" s="64">
        <f t="shared" si="53"/>
        <v>0</v>
      </c>
      <c r="AK78" s="64">
        <f t="shared" si="54"/>
        <v>0</v>
      </c>
      <c r="AL78" s="64" t="str">
        <f t="shared" si="55"/>
        <v/>
      </c>
      <c r="AM78">
        <f t="shared" si="56"/>
        <v>6</v>
      </c>
      <c r="AN78" s="85">
        <f>SUM($AD$6:AD78)</f>
        <v>0</v>
      </c>
      <c r="AO78" s="85">
        <f t="shared" ca="1" si="75"/>
        <v>0</v>
      </c>
      <c r="AP78" s="89">
        <f t="shared" si="76"/>
        <v>0</v>
      </c>
      <c r="AQ78" s="89">
        <f t="shared" si="77"/>
        <v>0</v>
      </c>
      <c r="AR78" s="89">
        <f t="shared" si="78"/>
        <v>0</v>
      </c>
      <c r="AS78" s="88">
        <f t="shared" si="79"/>
        <v>0</v>
      </c>
      <c r="AT78" s="88">
        <f t="shared" ca="1" si="80"/>
        <v>0</v>
      </c>
      <c r="AU78" s="98">
        <f t="shared" si="81"/>
        <v>0</v>
      </c>
      <c r="AV78" s="88">
        <f t="shared" si="82"/>
        <v>7</v>
      </c>
      <c r="AW78" t="b">
        <f>OR((F78&gt;0),(NOT(ISBLANK(H78))),SUM(H78:H$373),SUM(G78:G$373))</f>
        <v>0</v>
      </c>
      <c r="AX78" t="b">
        <f t="shared" ca="1" si="57"/>
        <v>1</v>
      </c>
      <c r="AY78" s="519">
        <f t="shared" si="83"/>
        <v>0</v>
      </c>
      <c r="AZ78" s="180">
        <f>SUM(AY$5:AY78)</f>
        <v>-15.166666666666655</v>
      </c>
      <c r="BA78" s="567"/>
      <c r="BB78" s="567">
        <f t="shared" si="58"/>
        <v>0</v>
      </c>
      <c r="BC78" s="567"/>
    </row>
    <row r="79" spans="1:55" ht="15.75">
      <c r="A79" s="260">
        <f t="shared" si="84"/>
        <v>44907</v>
      </c>
      <c r="B79" s="261">
        <f t="shared" si="59"/>
        <v>44907</v>
      </c>
      <c r="C79" s="262">
        <f>IF(A79="","",NumberOfWeek(A79))</f>
        <v>50</v>
      </c>
      <c r="D79" s="263">
        <f t="shared" si="60"/>
        <v>44895</v>
      </c>
      <c r="E79" s="273" t="str">
        <f t="shared" si="61"/>
        <v/>
      </c>
      <c r="F79" s="5"/>
      <c r="G79" s="6" t="str">
        <f t="shared" si="46"/>
        <v/>
      </c>
      <c r="H79" s="7"/>
      <c r="I79" s="7">
        <f t="shared" si="62"/>
        <v>0</v>
      </c>
      <c r="J79" s="76">
        <f t="shared" si="63"/>
        <v>0</v>
      </c>
      <c r="K79" s="7"/>
      <c r="L79" s="7">
        <f t="shared" si="64"/>
        <v>0</v>
      </c>
      <c r="M79" s="76">
        <f t="shared" si="47"/>
        <v>0</v>
      </c>
      <c r="N79" s="76"/>
      <c r="O79" s="76">
        <f t="shared" si="48"/>
        <v>0</v>
      </c>
      <c r="P79" s="76"/>
      <c r="Q79" s="76">
        <f t="shared" si="49"/>
        <v>0</v>
      </c>
      <c r="R79" s="76">
        <f t="shared" si="65"/>
        <v>0</v>
      </c>
      <c r="S79" s="76">
        <f t="shared" si="66"/>
        <v>0</v>
      </c>
      <c r="T79" s="76">
        <f t="shared" si="67"/>
        <v>0</v>
      </c>
      <c r="U79" s="76">
        <f t="shared" si="68"/>
        <v>0</v>
      </c>
      <c r="V79" s="109">
        <f t="shared" si="69"/>
        <v>0</v>
      </c>
      <c r="W79" s="62"/>
      <c r="X79" s="78">
        <f t="shared" si="50"/>
        <v>3.125E-2</v>
      </c>
      <c r="Y79" s="73">
        <f t="shared" si="70"/>
        <v>0</v>
      </c>
      <c r="Z79" s="74">
        <f t="shared" si="71"/>
        <v>0</v>
      </c>
      <c r="AA79" s="75">
        <f t="shared" si="72"/>
        <v>0</v>
      </c>
      <c r="AB79" s="63" t="str">
        <f t="shared" si="73"/>
        <v/>
      </c>
      <c r="AC79" s="148">
        <f t="shared" si="51"/>
        <v>0</v>
      </c>
      <c r="AD79" s="107" t="str">
        <f t="shared" si="52"/>
        <v/>
      </c>
      <c r="AE79" s="180">
        <f t="shared" si="74"/>
        <v>0</v>
      </c>
      <c r="AF79" s="73"/>
      <c r="AG79" s="525"/>
      <c r="AH79" s="73"/>
      <c r="AI79" s="73" t="str">
        <f t="shared" si="85"/>
        <v/>
      </c>
      <c r="AJ79" s="64">
        <f t="shared" si="53"/>
        <v>0</v>
      </c>
      <c r="AK79" s="64">
        <f t="shared" si="54"/>
        <v>0</v>
      </c>
      <c r="AL79" s="64" t="str">
        <f t="shared" si="55"/>
        <v/>
      </c>
      <c r="AM79">
        <f t="shared" si="56"/>
        <v>7</v>
      </c>
      <c r="AN79" s="85">
        <f>SUM($AD$6:AD79)</f>
        <v>0</v>
      </c>
      <c r="AO79" s="85">
        <f t="shared" ca="1" si="75"/>
        <v>0</v>
      </c>
      <c r="AP79" s="89">
        <f t="shared" si="76"/>
        <v>0</v>
      </c>
      <c r="AQ79" s="89">
        <f t="shared" si="77"/>
        <v>0</v>
      </c>
      <c r="AR79" s="89">
        <f t="shared" si="78"/>
        <v>0</v>
      </c>
      <c r="AS79" s="88">
        <f t="shared" si="79"/>
        <v>0</v>
      </c>
      <c r="AT79" s="88">
        <f t="shared" ca="1" si="80"/>
        <v>0</v>
      </c>
      <c r="AU79" s="98">
        <f t="shared" si="81"/>
        <v>0</v>
      </c>
      <c r="AV79" s="88">
        <f t="shared" si="82"/>
        <v>7</v>
      </c>
      <c r="AW79" t="b">
        <f>OR((F79&gt;0),(NOT(ISBLANK(H79))),SUM(H79:H$373),SUM(G79:G$373))</f>
        <v>0</v>
      </c>
      <c r="AX79" t="b">
        <f t="shared" ca="1" si="57"/>
        <v>1</v>
      </c>
      <c r="AY79" s="519">
        <f t="shared" si="83"/>
        <v>0</v>
      </c>
      <c r="AZ79" s="180">
        <f>SUM(AY$5:AY79)</f>
        <v>-15.166666666666655</v>
      </c>
      <c r="BA79" s="567"/>
      <c r="BB79" s="567">
        <f t="shared" si="58"/>
        <v>0</v>
      </c>
      <c r="BC79" s="567"/>
    </row>
    <row r="80" spans="1:55" ht="15.75">
      <c r="A80" s="260">
        <f t="shared" si="84"/>
        <v>44908</v>
      </c>
      <c r="B80" s="261">
        <f t="shared" si="59"/>
        <v>44908</v>
      </c>
      <c r="C80" s="262">
        <f>IF(A80="","",NumberOfWeek(A80))</f>
        <v>51</v>
      </c>
      <c r="D80" s="263">
        <f t="shared" si="60"/>
        <v>44895</v>
      </c>
      <c r="E80" s="273" t="str">
        <f t="shared" si="61"/>
        <v/>
      </c>
      <c r="F80" s="5"/>
      <c r="G80" s="6" t="str">
        <f t="shared" si="46"/>
        <v/>
      </c>
      <c r="H80" s="7"/>
      <c r="I80" s="7">
        <f t="shared" si="62"/>
        <v>0</v>
      </c>
      <c r="J80" s="76">
        <f t="shared" si="63"/>
        <v>0</v>
      </c>
      <c r="K80" s="7"/>
      <c r="L80" s="7">
        <f t="shared" si="64"/>
        <v>0</v>
      </c>
      <c r="M80" s="76">
        <f t="shared" si="47"/>
        <v>0</v>
      </c>
      <c r="N80" s="76"/>
      <c r="O80" s="76">
        <f t="shared" si="48"/>
        <v>0</v>
      </c>
      <c r="P80" s="76"/>
      <c r="Q80" s="76">
        <f t="shared" si="49"/>
        <v>0</v>
      </c>
      <c r="R80" s="76">
        <f t="shared" si="65"/>
        <v>0</v>
      </c>
      <c r="S80" s="76">
        <f t="shared" si="66"/>
        <v>0</v>
      </c>
      <c r="T80" s="76">
        <f t="shared" si="67"/>
        <v>0</v>
      </c>
      <c r="U80" s="76">
        <f t="shared" si="68"/>
        <v>0</v>
      </c>
      <c r="V80" s="109">
        <f t="shared" si="69"/>
        <v>0</v>
      </c>
      <c r="W80" s="62"/>
      <c r="X80" s="78">
        <f t="shared" si="50"/>
        <v>3.125E-2</v>
      </c>
      <c r="Y80" s="73">
        <f t="shared" si="70"/>
        <v>0</v>
      </c>
      <c r="Z80" s="74">
        <f t="shared" si="71"/>
        <v>0.29166666666666669</v>
      </c>
      <c r="AA80" s="75">
        <f t="shared" si="72"/>
        <v>0</v>
      </c>
      <c r="AB80" s="63" t="str">
        <f t="shared" si="73"/>
        <v/>
      </c>
      <c r="AC80" s="148">
        <f t="shared" si="51"/>
        <v>0</v>
      </c>
      <c r="AD80" s="107" t="str">
        <f t="shared" si="52"/>
        <v/>
      </c>
      <c r="AE80" s="180">
        <f t="shared" si="74"/>
        <v>0</v>
      </c>
      <c r="AF80" s="73"/>
      <c r="AG80" s="525"/>
      <c r="AH80" s="73"/>
      <c r="AI80" s="73" t="str">
        <f t="shared" si="85"/>
        <v/>
      </c>
      <c r="AJ80" s="64">
        <f t="shared" si="53"/>
        <v>0</v>
      </c>
      <c r="AK80" s="64">
        <f t="shared" si="54"/>
        <v>0</v>
      </c>
      <c r="AL80" s="64" t="str">
        <f t="shared" si="55"/>
        <v/>
      </c>
      <c r="AM80">
        <f t="shared" si="56"/>
        <v>1</v>
      </c>
      <c r="AN80" s="85">
        <f>SUM($AD$6:AD80)</f>
        <v>0</v>
      </c>
      <c r="AO80" s="85">
        <f t="shared" ca="1" si="75"/>
        <v>0</v>
      </c>
      <c r="AP80" s="89">
        <f t="shared" si="76"/>
        <v>0</v>
      </c>
      <c r="AQ80" s="89">
        <f t="shared" si="77"/>
        <v>0</v>
      </c>
      <c r="AR80" s="89">
        <f t="shared" si="78"/>
        <v>0</v>
      </c>
      <c r="AS80" s="88">
        <f t="shared" si="79"/>
        <v>0</v>
      </c>
      <c r="AT80" s="88">
        <f t="shared" ca="1" si="80"/>
        <v>0</v>
      </c>
      <c r="AU80" s="98">
        <f t="shared" si="81"/>
        <v>0</v>
      </c>
      <c r="AV80" s="88">
        <f t="shared" si="82"/>
        <v>0</v>
      </c>
      <c r="AW80" t="b">
        <f>OR((F80&gt;0),(NOT(ISBLANK(H80))),SUM(H80:H$373),SUM(G80:G$373))</f>
        <v>0</v>
      </c>
      <c r="AX80" t="b">
        <f t="shared" ca="1" si="57"/>
        <v>0</v>
      </c>
      <c r="AY80" s="519">
        <f t="shared" si="83"/>
        <v>-0.29166666666666669</v>
      </c>
      <c r="AZ80" s="180">
        <f>SUM(AY$5:AY80)</f>
        <v>-15.458333333333321</v>
      </c>
      <c r="BA80" s="567"/>
      <c r="BB80" s="567">
        <f t="shared" si="58"/>
        <v>0</v>
      </c>
      <c r="BC80" s="567"/>
    </row>
    <row r="81" spans="1:55" ht="15.75">
      <c r="A81" s="260">
        <f t="shared" si="84"/>
        <v>44909</v>
      </c>
      <c r="B81" s="261">
        <f t="shared" si="59"/>
        <v>44909</v>
      </c>
      <c r="C81" s="262">
        <f>IF(A81="","",NumberOfWeek(A81))</f>
        <v>51</v>
      </c>
      <c r="D81" s="263">
        <f t="shared" si="60"/>
        <v>44895</v>
      </c>
      <c r="E81" s="273" t="str">
        <f t="shared" si="61"/>
        <v/>
      </c>
      <c r="F81" s="5"/>
      <c r="G81" s="6" t="str">
        <f t="shared" si="46"/>
        <v/>
      </c>
      <c r="H81" s="7"/>
      <c r="I81" s="7">
        <f t="shared" si="62"/>
        <v>0</v>
      </c>
      <c r="J81" s="76">
        <f t="shared" si="63"/>
        <v>0</v>
      </c>
      <c r="K81" s="7"/>
      <c r="L81" s="7">
        <f t="shared" si="64"/>
        <v>0</v>
      </c>
      <c r="M81" s="76">
        <f t="shared" si="47"/>
        <v>0</v>
      </c>
      <c r="N81" s="76"/>
      <c r="O81" s="76">
        <f t="shared" si="48"/>
        <v>0</v>
      </c>
      <c r="P81" s="76"/>
      <c r="Q81" s="76">
        <f t="shared" si="49"/>
        <v>0</v>
      </c>
      <c r="R81" s="76">
        <f t="shared" si="65"/>
        <v>0</v>
      </c>
      <c r="S81" s="76">
        <f t="shared" si="66"/>
        <v>0</v>
      </c>
      <c r="T81" s="76">
        <f t="shared" si="67"/>
        <v>0</v>
      </c>
      <c r="U81" s="76">
        <f t="shared" si="68"/>
        <v>0</v>
      </c>
      <c r="V81" s="109">
        <f t="shared" si="69"/>
        <v>0</v>
      </c>
      <c r="W81" s="62"/>
      <c r="X81" s="78">
        <f t="shared" si="50"/>
        <v>3.125E-2</v>
      </c>
      <c r="Y81" s="73">
        <f t="shared" si="70"/>
        <v>0</v>
      </c>
      <c r="Z81" s="74">
        <f t="shared" si="71"/>
        <v>0.29166666666666669</v>
      </c>
      <c r="AA81" s="75">
        <f t="shared" si="72"/>
        <v>0</v>
      </c>
      <c r="AB81" s="63" t="str">
        <f t="shared" si="73"/>
        <v/>
      </c>
      <c r="AC81" s="148">
        <f t="shared" si="51"/>
        <v>0</v>
      </c>
      <c r="AD81" s="107" t="str">
        <f t="shared" si="52"/>
        <v/>
      </c>
      <c r="AE81" s="180">
        <f t="shared" si="74"/>
        <v>0</v>
      </c>
      <c r="AF81" s="73"/>
      <c r="AG81" s="525"/>
      <c r="AH81" s="73"/>
      <c r="AI81" s="73" t="str">
        <f t="shared" si="85"/>
        <v/>
      </c>
      <c r="AJ81" s="64">
        <f t="shared" si="53"/>
        <v>0</v>
      </c>
      <c r="AK81" s="64">
        <f t="shared" si="54"/>
        <v>0</v>
      </c>
      <c r="AL81" s="64" t="str">
        <f t="shared" si="55"/>
        <v/>
      </c>
      <c r="AM81">
        <f t="shared" si="56"/>
        <v>2</v>
      </c>
      <c r="AN81" s="85">
        <f>SUM($AD$6:AD81)</f>
        <v>0</v>
      </c>
      <c r="AO81" s="85">
        <f t="shared" ca="1" si="75"/>
        <v>0</v>
      </c>
      <c r="AP81" s="89">
        <f t="shared" si="76"/>
        <v>0</v>
      </c>
      <c r="AQ81" s="89">
        <f t="shared" si="77"/>
        <v>0</v>
      </c>
      <c r="AR81" s="89">
        <f t="shared" si="78"/>
        <v>0</v>
      </c>
      <c r="AS81" s="88">
        <f t="shared" si="79"/>
        <v>0</v>
      </c>
      <c r="AT81" s="88">
        <f t="shared" ca="1" si="80"/>
        <v>0</v>
      </c>
      <c r="AU81" s="98">
        <f t="shared" si="81"/>
        <v>0</v>
      </c>
      <c r="AV81" s="88">
        <f t="shared" si="82"/>
        <v>0</v>
      </c>
      <c r="AW81" t="b">
        <f>OR((F81&gt;0),(NOT(ISBLANK(H81))),SUM(H81:H$373),SUM(G81:G$373))</f>
        <v>0</v>
      </c>
      <c r="AX81" t="b">
        <f t="shared" ca="1" si="57"/>
        <v>0</v>
      </c>
      <c r="AY81" s="519">
        <f t="shared" si="83"/>
        <v>-0.29166666666666669</v>
      </c>
      <c r="AZ81" s="180">
        <f>SUM(AY$5:AY81)</f>
        <v>-15.749999999999988</v>
      </c>
      <c r="BA81" s="567"/>
      <c r="BB81" s="567">
        <f t="shared" si="58"/>
        <v>0</v>
      </c>
      <c r="BC81" s="567"/>
    </row>
    <row r="82" spans="1:55" ht="15.75">
      <c r="A82" s="260">
        <f t="shared" si="84"/>
        <v>44910</v>
      </c>
      <c r="B82" s="261">
        <f t="shared" si="59"/>
        <v>44910</v>
      </c>
      <c r="C82" s="262">
        <f>IF(A82="","",NumberOfWeek(A82))</f>
        <v>51</v>
      </c>
      <c r="D82" s="263">
        <f t="shared" si="60"/>
        <v>44895</v>
      </c>
      <c r="E82" s="273" t="str">
        <f t="shared" si="61"/>
        <v/>
      </c>
      <c r="F82" s="5"/>
      <c r="G82" s="6" t="str">
        <f t="shared" si="46"/>
        <v/>
      </c>
      <c r="H82" s="7"/>
      <c r="I82" s="7">
        <f t="shared" si="62"/>
        <v>0</v>
      </c>
      <c r="J82" s="76">
        <f t="shared" si="63"/>
        <v>0</v>
      </c>
      <c r="K82" s="7"/>
      <c r="L82" s="7">
        <f t="shared" si="64"/>
        <v>0</v>
      </c>
      <c r="M82" s="76">
        <f t="shared" si="47"/>
        <v>0</v>
      </c>
      <c r="N82" s="76"/>
      <c r="O82" s="76">
        <f t="shared" si="48"/>
        <v>0</v>
      </c>
      <c r="P82" s="76"/>
      <c r="Q82" s="76">
        <f t="shared" si="49"/>
        <v>0</v>
      </c>
      <c r="R82" s="76">
        <f t="shared" si="65"/>
        <v>0</v>
      </c>
      <c r="S82" s="76">
        <f t="shared" si="66"/>
        <v>0</v>
      </c>
      <c r="T82" s="76">
        <f t="shared" si="67"/>
        <v>0</v>
      </c>
      <c r="U82" s="76">
        <f t="shared" si="68"/>
        <v>0</v>
      </c>
      <c r="V82" s="109">
        <f t="shared" si="69"/>
        <v>0</v>
      </c>
      <c r="W82" s="62"/>
      <c r="X82" s="78">
        <f t="shared" si="50"/>
        <v>3.125E-2</v>
      </c>
      <c r="Y82" s="73">
        <f t="shared" si="70"/>
        <v>0</v>
      </c>
      <c r="Z82" s="74">
        <f t="shared" si="71"/>
        <v>0.29166666666666669</v>
      </c>
      <c r="AA82" s="75">
        <f t="shared" si="72"/>
        <v>0</v>
      </c>
      <c r="AB82" s="63" t="str">
        <f t="shared" si="73"/>
        <v/>
      </c>
      <c r="AC82" s="148">
        <f t="shared" si="51"/>
        <v>0</v>
      </c>
      <c r="AD82" s="107" t="str">
        <f t="shared" si="52"/>
        <v/>
      </c>
      <c r="AE82" s="180">
        <f t="shared" si="74"/>
        <v>0</v>
      </c>
      <c r="AF82" s="73"/>
      <c r="AG82" s="525"/>
      <c r="AH82" s="73"/>
      <c r="AI82" s="73" t="str">
        <f t="shared" si="85"/>
        <v/>
      </c>
      <c r="AJ82" s="64">
        <f t="shared" si="53"/>
        <v>0</v>
      </c>
      <c r="AK82" s="64">
        <f t="shared" si="54"/>
        <v>0</v>
      </c>
      <c r="AL82" s="64" t="str">
        <f t="shared" si="55"/>
        <v/>
      </c>
      <c r="AM82">
        <f t="shared" si="56"/>
        <v>3</v>
      </c>
      <c r="AN82" s="85">
        <f>SUM($AD$6:AD82)</f>
        <v>0</v>
      </c>
      <c r="AO82" s="85">
        <f t="shared" ca="1" si="75"/>
        <v>0</v>
      </c>
      <c r="AP82" s="89">
        <f t="shared" si="76"/>
        <v>0</v>
      </c>
      <c r="AQ82" s="89">
        <f t="shared" si="77"/>
        <v>0</v>
      </c>
      <c r="AR82" s="89">
        <f t="shared" si="78"/>
        <v>0</v>
      </c>
      <c r="AS82" s="88">
        <f t="shared" si="79"/>
        <v>0</v>
      </c>
      <c r="AT82" s="88">
        <f t="shared" ca="1" si="80"/>
        <v>0</v>
      </c>
      <c r="AU82" s="98">
        <f t="shared" si="81"/>
        <v>0</v>
      </c>
      <c r="AV82" s="88">
        <f t="shared" si="82"/>
        <v>0</v>
      </c>
      <c r="AW82" t="b">
        <f>OR((F82&gt;0),(NOT(ISBLANK(H82))),SUM(H82:H$373),SUM(G82:G$373))</f>
        <v>0</v>
      </c>
      <c r="AX82" t="b">
        <f t="shared" ca="1" si="57"/>
        <v>0</v>
      </c>
      <c r="AY82" s="519">
        <f t="shared" si="83"/>
        <v>-0.29166666666666669</v>
      </c>
      <c r="AZ82" s="180">
        <f>SUM(AY$5:AY82)</f>
        <v>-16.041666666666654</v>
      </c>
      <c r="BA82" s="567"/>
      <c r="BB82" s="567">
        <f t="shared" si="58"/>
        <v>0</v>
      </c>
      <c r="BC82" s="567"/>
    </row>
    <row r="83" spans="1:55" ht="15.75">
      <c r="A83" s="260">
        <f t="shared" si="84"/>
        <v>44911</v>
      </c>
      <c r="B83" s="261">
        <f t="shared" si="59"/>
        <v>44911</v>
      </c>
      <c r="C83" s="262">
        <f>IF(A83="","",NumberOfWeek(A83))</f>
        <v>51</v>
      </c>
      <c r="D83" s="263">
        <f t="shared" si="60"/>
        <v>44895</v>
      </c>
      <c r="E83" s="273" t="str">
        <f t="shared" si="61"/>
        <v/>
      </c>
      <c r="F83" s="5"/>
      <c r="G83" s="6" t="str">
        <f t="shared" si="46"/>
        <v/>
      </c>
      <c r="H83" s="7"/>
      <c r="I83" s="7">
        <f t="shared" si="62"/>
        <v>0</v>
      </c>
      <c r="J83" s="76">
        <f t="shared" si="63"/>
        <v>0</v>
      </c>
      <c r="K83" s="7"/>
      <c r="L83" s="7">
        <f t="shared" si="64"/>
        <v>0</v>
      </c>
      <c r="M83" s="76">
        <f t="shared" si="47"/>
        <v>0</v>
      </c>
      <c r="N83" s="76"/>
      <c r="O83" s="76">
        <f t="shared" si="48"/>
        <v>0</v>
      </c>
      <c r="P83" s="76"/>
      <c r="Q83" s="76">
        <f t="shared" si="49"/>
        <v>0</v>
      </c>
      <c r="R83" s="76">
        <f t="shared" si="65"/>
        <v>0</v>
      </c>
      <c r="S83" s="76">
        <f t="shared" si="66"/>
        <v>0</v>
      </c>
      <c r="T83" s="76">
        <f t="shared" si="67"/>
        <v>0</v>
      </c>
      <c r="U83" s="76">
        <f t="shared" si="68"/>
        <v>0</v>
      </c>
      <c r="V83" s="109">
        <f t="shared" si="69"/>
        <v>0</v>
      </c>
      <c r="W83" s="62"/>
      <c r="X83" s="78">
        <f t="shared" si="50"/>
        <v>3.125E-2</v>
      </c>
      <c r="Y83" s="73">
        <f t="shared" si="70"/>
        <v>0</v>
      </c>
      <c r="Z83" s="74">
        <f t="shared" si="71"/>
        <v>0.29166666666666669</v>
      </c>
      <c r="AA83" s="75">
        <f t="shared" si="72"/>
        <v>0</v>
      </c>
      <c r="AB83" s="63" t="str">
        <f t="shared" si="73"/>
        <v/>
      </c>
      <c r="AC83" s="148">
        <f t="shared" si="51"/>
        <v>0</v>
      </c>
      <c r="AD83" s="107" t="str">
        <f t="shared" si="52"/>
        <v/>
      </c>
      <c r="AE83" s="180">
        <f t="shared" si="74"/>
        <v>0</v>
      </c>
      <c r="AF83" s="73"/>
      <c r="AG83" s="525"/>
      <c r="AH83" s="73"/>
      <c r="AI83" s="73" t="str">
        <f t="shared" si="85"/>
        <v/>
      </c>
      <c r="AJ83" s="64">
        <f t="shared" si="53"/>
        <v>0</v>
      </c>
      <c r="AK83" s="64">
        <f t="shared" si="54"/>
        <v>0</v>
      </c>
      <c r="AL83" s="64" t="str">
        <f t="shared" si="55"/>
        <v/>
      </c>
      <c r="AM83">
        <f t="shared" si="56"/>
        <v>4</v>
      </c>
      <c r="AN83" s="85">
        <f>SUM($AD$6:AD83)</f>
        <v>0</v>
      </c>
      <c r="AO83" s="85">
        <f t="shared" ca="1" si="75"/>
        <v>0</v>
      </c>
      <c r="AP83" s="89">
        <f t="shared" si="76"/>
        <v>0</v>
      </c>
      <c r="AQ83" s="89">
        <f t="shared" si="77"/>
        <v>0</v>
      </c>
      <c r="AR83" s="89">
        <f t="shared" si="78"/>
        <v>0</v>
      </c>
      <c r="AS83" s="88">
        <f t="shared" si="79"/>
        <v>0</v>
      </c>
      <c r="AT83" s="88">
        <f t="shared" ca="1" si="80"/>
        <v>0</v>
      </c>
      <c r="AU83" s="98">
        <f t="shared" si="81"/>
        <v>0</v>
      </c>
      <c r="AV83" s="88">
        <f t="shared" si="82"/>
        <v>0</v>
      </c>
      <c r="AW83" t="b">
        <f>OR((F83&gt;0),(NOT(ISBLANK(H83))),SUM(H83:H$373),SUM(G83:G$373))</f>
        <v>0</v>
      </c>
      <c r="AX83" t="b">
        <f t="shared" ca="1" si="57"/>
        <v>0</v>
      </c>
      <c r="AY83" s="519">
        <f t="shared" si="83"/>
        <v>-0.29166666666666669</v>
      </c>
      <c r="AZ83" s="180">
        <f>SUM(AY$5:AY83)</f>
        <v>-16.333333333333321</v>
      </c>
      <c r="BA83" s="567"/>
      <c r="BB83" s="567">
        <f t="shared" si="58"/>
        <v>0</v>
      </c>
      <c r="BC83" s="567"/>
    </row>
    <row r="84" spans="1:55" ht="15.75">
      <c r="A84" s="260">
        <f t="shared" si="84"/>
        <v>44912</v>
      </c>
      <c r="B84" s="261">
        <f t="shared" si="59"/>
        <v>44912</v>
      </c>
      <c r="C84" s="262">
        <f>IF(A84="","",NumberOfWeek(A84))</f>
        <v>51</v>
      </c>
      <c r="D84" s="263">
        <f t="shared" si="60"/>
        <v>44895</v>
      </c>
      <c r="E84" s="273" t="str">
        <f t="shared" si="61"/>
        <v/>
      </c>
      <c r="F84" s="5"/>
      <c r="G84" s="6" t="str">
        <f t="shared" si="46"/>
        <v/>
      </c>
      <c r="H84" s="7"/>
      <c r="I84" s="7">
        <f t="shared" si="62"/>
        <v>0</v>
      </c>
      <c r="J84" s="76">
        <f t="shared" si="63"/>
        <v>0</v>
      </c>
      <c r="K84" s="7"/>
      <c r="L84" s="7">
        <f t="shared" si="64"/>
        <v>0</v>
      </c>
      <c r="M84" s="76">
        <f t="shared" si="47"/>
        <v>0</v>
      </c>
      <c r="N84" s="76"/>
      <c r="O84" s="76">
        <f t="shared" si="48"/>
        <v>0</v>
      </c>
      <c r="P84" s="76"/>
      <c r="Q84" s="76">
        <f t="shared" si="49"/>
        <v>0</v>
      </c>
      <c r="R84" s="76">
        <f t="shared" si="65"/>
        <v>0</v>
      </c>
      <c r="S84" s="76">
        <f t="shared" si="66"/>
        <v>0</v>
      </c>
      <c r="T84" s="76">
        <f t="shared" si="67"/>
        <v>0</v>
      </c>
      <c r="U84" s="76">
        <f t="shared" si="68"/>
        <v>0</v>
      </c>
      <c r="V84" s="109">
        <f t="shared" si="69"/>
        <v>0</v>
      </c>
      <c r="W84" s="62"/>
      <c r="X84" s="78">
        <f t="shared" si="50"/>
        <v>3.125E-2</v>
      </c>
      <c r="Y84" s="73">
        <f t="shared" si="70"/>
        <v>0</v>
      </c>
      <c r="Z84" s="74">
        <f t="shared" si="71"/>
        <v>0.29166666666666669</v>
      </c>
      <c r="AA84" s="75">
        <f t="shared" si="72"/>
        <v>0</v>
      </c>
      <c r="AB84" s="63" t="str">
        <f t="shared" si="73"/>
        <v/>
      </c>
      <c r="AC84" s="148">
        <f t="shared" si="51"/>
        <v>0</v>
      </c>
      <c r="AD84" s="107" t="str">
        <f t="shared" si="52"/>
        <v/>
      </c>
      <c r="AE84" s="180">
        <f t="shared" si="74"/>
        <v>0</v>
      </c>
      <c r="AF84" s="73"/>
      <c r="AG84" s="525"/>
      <c r="AH84" s="73"/>
      <c r="AI84" s="73" t="str">
        <f t="shared" si="85"/>
        <v/>
      </c>
      <c r="AJ84" s="64">
        <f t="shared" si="53"/>
        <v>0</v>
      </c>
      <c r="AK84" s="64">
        <f t="shared" si="54"/>
        <v>0</v>
      </c>
      <c r="AL84" s="64" t="str">
        <f t="shared" si="55"/>
        <v/>
      </c>
      <c r="AM84">
        <f t="shared" si="56"/>
        <v>5</v>
      </c>
      <c r="AN84" s="85">
        <f>SUM($AD$6:AD84)</f>
        <v>0</v>
      </c>
      <c r="AO84" s="85">
        <f t="shared" ca="1" si="75"/>
        <v>0</v>
      </c>
      <c r="AP84" s="89">
        <f t="shared" si="76"/>
        <v>0</v>
      </c>
      <c r="AQ84" s="89">
        <f t="shared" si="77"/>
        <v>0</v>
      </c>
      <c r="AR84" s="89">
        <f t="shared" si="78"/>
        <v>0</v>
      </c>
      <c r="AS84" s="88">
        <f t="shared" si="79"/>
        <v>0</v>
      </c>
      <c r="AT84" s="88">
        <f t="shared" ca="1" si="80"/>
        <v>0</v>
      </c>
      <c r="AU84" s="98">
        <f t="shared" si="81"/>
        <v>0</v>
      </c>
      <c r="AV84" s="88">
        <f t="shared" si="82"/>
        <v>0</v>
      </c>
      <c r="AW84" t="b">
        <f>OR((F84&gt;0),(NOT(ISBLANK(H84))),SUM(H84:H$373),SUM(G84:G$373))</f>
        <v>0</v>
      </c>
      <c r="AX84" t="b">
        <f t="shared" ca="1" si="57"/>
        <v>0</v>
      </c>
      <c r="AY84" s="519">
        <f t="shared" si="83"/>
        <v>-0.29166666666666669</v>
      </c>
      <c r="AZ84" s="180">
        <f>SUM(AY$5:AY84)</f>
        <v>-16.624999999999989</v>
      </c>
      <c r="BA84" s="567"/>
      <c r="BB84" s="567">
        <f t="shared" si="58"/>
        <v>0</v>
      </c>
      <c r="BC84" s="567"/>
    </row>
    <row r="85" spans="1:55" ht="15.75">
      <c r="A85" s="260">
        <f t="shared" si="84"/>
        <v>44913</v>
      </c>
      <c r="B85" s="261">
        <f t="shared" si="59"/>
        <v>44913</v>
      </c>
      <c r="C85" s="262">
        <f>IF(A85="","",NumberOfWeek(A85))</f>
        <v>51</v>
      </c>
      <c r="D85" s="263">
        <f t="shared" si="60"/>
        <v>44895</v>
      </c>
      <c r="E85" s="273" t="str">
        <f t="shared" si="61"/>
        <v/>
      </c>
      <c r="F85" s="5"/>
      <c r="G85" s="6" t="str">
        <f t="shared" si="46"/>
        <v/>
      </c>
      <c r="H85" s="7"/>
      <c r="I85" s="7">
        <f t="shared" si="62"/>
        <v>0</v>
      </c>
      <c r="J85" s="76">
        <f t="shared" si="63"/>
        <v>0</v>
      </c>
      <c r="K85" s="7"/>
      <c r="L85" s="7">
        <f t="shared" si="64"/>
        <v>0</v>
      </c>
      <c r="M85" s="76">
        <f t="shared" si="47"/>
        <v>0</v>
      </c>
      <c r="N85" s="76"/>
      <c r="O85" s="76">
        <f t="shared" si="48"/>
        <v>0</v>
      </c>
      <c r="P85" s="76"/>
      <c r="Q85" s="76">
        <f t="shared" si="49"/>
        <v>0</v>
      </c>
      <c r="R85" s="76">
        <f t="shared" si="65"/>
        <v>0</v>
      </c>
      <c r="S85" s="76">
        <f t="shared" si="66"/>
        <v>0</v>
      </c>
      <c r="T85" s="76">
        <f t="shared" si="67"/>
        <v>0</v>
      </c>
      <c r="U85" s="76">
        <f t="shared" si="68"/>
        <v>0</v>
      </c>
      <c r="V85" s="109">
        <f t="shared" si="69"/>
        <v>0</v>
      </c>
      <c r="W85" s="62"/>
      <c r="X85" s="78">
        <f t="shared" si="50"/>
        <v>3.125E-2</v>
      </c>
      <c r="Y85" s="73">
        <f t="shared" si="70"/>
        <v>0</v>
      </c>
      <c r="Z85" s="74">
        <f t="shared" si="71"/>
        <v>0</v>
      </c>
      <c r="AA85" s="75">
        <f t="shared" si="72"/>
        <v>0</v>
      </c>
      <c r="AB85" s="63" t="str">
        <f t="shared" si="73"/>
        <v/>
      </c>
      <c r="AC85" s="148">
        <f t="shared" si="51"/>
        <v>0</v>
      </c>
      <c r="AD85" s="107" t="str">
        <f t="shared" si="52"/>
        <v/>
      </c>
      <c r="AE85" s="180">
        <f t="shared" si="74"/>
        <v>0</v>
      </c>
      <c r="AF85" s="73"/>
      <c r="AG85" s="525"/>
      <c r="AH85" s="73"/>
      <c r="AI85" s="73" t="str">
        <f t="shared" si="85"/>
        <v/>
      </c>
      <c r="AJ85" s="64">
        <f t="shared" si="53"/>
        <v>0</v>
      </c>
      <c r="AK85" s="64">
        <f t="shared" si="54"/>
        <v>0</v>
      </c>
      <c r="AL85" s="64" t="str">
        <f t="shared" si="55"/>
        <v/>
      </c>
      <c r="AM85">
        <f t="shared" si="56"/>
        <v>6</v>
      </c>
      <c r="AN85" s="85">
        <f>SUM($AD$6:AD85)</f>
        <v>0</v>
      </c>
      <c r="AO85" s="85">
        <f t="shared" ca="1" si="75"/>
        <v>0</v>
      </c>
      <c r="AP85" s="89">
        <f t="shared" si="76"/>
        <v>0</v>
      </c>
      <c r="AQ85" s="89">
        <f t="shared" si="77"/>
        <v>0</v>
      </c>
      <c r="AR85" s="89">
        <f t="shared" si="78"/>
        <v>0</v>
      </c>
      <c r="AS85" s="88">
        <f t="shared" si="79"/>
        <v>0</v>
      </c>
      <c r="AT85" s="88">
        <f t="shared" ca="1" si="80"/>
        <v>0</v>
      </c>
      <c r="AU85" s="98">
        <f t="shared" si="81"/>
        <v>0</v>
      </c>
      <c r="AV85" s="88">
        <f t="shared" si="82"/>
        <v>7</v>
      </c>
      <c r="AW85" t="b">
        <f>OR((F85&gt;0),(NOT(ISBLANK(H85))),SUM(H85:H$373),SUM(G85:G$373))</f>
        <v>0</v>
      </c>
      <c r="AX85" t="b">
        <f t="shared" ca="1" si="57"/>
        <v>1</v>
      </c>
      <c r="AY85" s="519">
        <f t="shared" si="83"/>
        <v>0</v>
      </c>
      <c r="AZ85" s="180">
        <f>SUM(AY$5:AY85)</f>
        <v>-16.624999999999989</v>
      </c>
      <c r="BA85" s="567"/>
      <c r="BB85" s="567">
        <f t="shared" si="58"/>
        <v>0</v>
      </c>
      <c r="BC85" s="567"/>
    </row>
    <row r="86" spans="1:55" ht="15.75">
      <c r="A86" s="260">
        <f t="shared" si="84"/>
        <v>44914</v>
      </c>
      <c r="B86" s="261">
        <f t="shared" si="59"/>
        <v>44914</v>
      </c>
      <c r="C86" s="262">
        <f>IF(A86="","",NumberOfWeek(A86))</f>
        <v>51</v>
      </c>
      <c r="D86" s="263">
        <f t="shared" si="60"/>
        <v>44895</v>
      </c>
      <c r="E86" s="273" t="str">
        <f t="shared" si="61"/>
        <v/>
      </c>
      <c r="F86" s="5"/>
      <c r="G86" s="6" t="str">
        <f t="shared" si="46"/>
        <v/>
      </c>
      <c r="H86" s="7"/>
      <c r="I86" s="7">
        <f t="shared" si="62"/>
        <v>0</v>
      </c>
      <c r="J86" s="76">
        <f t="shared" si="63"/>
        <v>0</v>
      </c>
      <c r="K86" s="7"/>
      <c r="L86" s="7">
        <f t="shared" si="64"/>
        <v>0</v>
      </c>
      <c r="M86" s="76">
        <f t="shared" si="47"/>
        <v>0</v>
      </c>
      <c r="N86" s="76"/>
      <c r="O86" s="76">
        <f t="shared" si="48"/>
        <v>0</v>
      </c>
      <c r="P86" s="76"/>
      <c r="Q86" s="76">
        <f t="shared" si="49"/>
        <v>0</v>
      </c>
      <c r="R86" s="76">
        <f t="shared" si="65"/>
        <v>0</v>
      </c>
      <c r="S86" s="76">
        <f t="shared" si="66"/>
        <v>0</v>
      </c>
      <c r="T86" s="76">
        <f t="shared" si="67"/>
        <v>0</v>
      </c>
      <c r="U86" s="76">
        <f t="shared" si="68"/>
        <v>0</v>
      </c>
      <c r="V86" s="109">
        <f t="shared" si="69"/>
        <v>0</v>
      </c>
      <c r="W86" s="62"/>
      <c r="X86" s="78">
        <f t="shared" si="50"/>
        <v>3.125E-2</v>
      </c>
      <c r="Y86" s="73">
        <f t="shared" si="70"/>
        <v>0</v>
      </c>
      <c r="Z86" s="74">
        <f t="shared" si="71"/>
        <v>0</v>
      </c>
      <c r="AA86" s="75">
        <f t="shared" si="72"/>
        <v>0</v>
      </c>
      <c r="AB86" s="63" t="str">
        <f t="shared" si="73"/>
        <v/>
      </c>
      <c r="AC86" s="148">
        <f t="shared" si="51"/>
        <v>0</v>
      </c>
      <c r="AD86" s="107" t="str">
        <f t="shared" si="52"/>
        <v/>
      </c>
      <c r="AE86" s="180">
        <f t="shared" si="74"/>
        <v>0</v>
      </c>
      <c r="AF86" s="73"/>
      <c r="AG86" s="525"/>
      <c r="AH86" s="73"/>
      <c r="AI86" s="73" t="str">
        <f t="shared" si="85"/>
        <v/>
      </c>
      <c r="AJ86" s="64">
        <f t="shared" si="53"/>
        <v>0</v>
      </c>
      <c r="AK86" s="64">
        <f t="shared" si="54"/>
        <v>0</v>
      </c>
      <c r="AL86" s="64" t="str">
        <f t="shared" si="55"/>
        <v/>
      </c>
      <c r="AM86">
        <f t="shared" si="56"/>
        <v>7</v>
      </c>
      <c r="AN86" s="85">
        <f>SUM($AD$6:AD86)</f>
        <v>0</v>
      </c>
      <c r="AO86" s="85">
        <f t="shared" ca="1" si="75"/>
        <v>0</v>
      </c>
      <c r="AP86" s="89">
        <f t="shared" si="76"/>
        <v>0</v>
      </c>
      <c r="AQ86" s="89">
        <f t="shared" si="77"/>
        <v>0</v>
      </c>
      <c r="AR86" s="89">
        <f t="shared" si="78"/>
        <v>0</v>
      </c>
      <c r="AS86" s="88">
        <f t="shared" si="79"/>
        <v>0</v>
      </c>
      <c r="AT86" s="88">
        <f t="shared" ca="1" si="80"/>
        <v>0</v>
      </c>
      <c r="AU86" s="98">
        <f t="shared" si="81"/>
        <v>0</v>
      </c>
      <c r="AV86" s="88">
        <f t="shared" si="82"/>
        <v>7</v>
      </c>
      <c r="AW86" t="b">
        <f>OR((F86&gt;0),(NOT(ISBLANK(H86))),SUM(H86:H$373),SUM(G86:G$373))</f>
        <v>0</v>
      </c>
      <c r="AX86" t="b">
        <f t="shared" ca="1" si="57"/>
        <v>1</v>
      </c>
      <c r="AY86" s="519">
        <f t="shared" si="83"/>
        <v>0</v>
      </c>
      <c r="AZ86" s="180">
        <f>SUM(AY$5:AY86)</f>
        <v>-16.624999999999989</v>
      </c>
      <c r="BA86" s="567"/>
      <c r="BB86" s="567">
        <f t="shared" si="58"/>
        <v>0</v>
      </c>
      <c r="BC86" s="567"/>
    </row>
    <row r="87" spans="1:55" ht="15.75">
      <c r="A87" s="260">
        <f t="shared" si="84"/>
        <v>44915</v>
      </c>
      <c r="B87" s="261">
        <f t="shared" si="59"/>
        <v>44915</v>
      </c>
      <c r="C87" s="262">
        <f>IF(A87="","",NumberOfWeek(A87))</f>
        <v>52</v>
      </c>
      <c r="D87" s="263">
        <f t="shared" si="60"/>
        <v>44895</v>
      </c>
      <c r="E87" s="273" t="str">
        <f t="shared" si="61"/>
        <v/>
      </c>
      <c r="F87" s="5"/>
      <c r="G87" s="6" t="str">
        <f t="shared" si="46"/>
        <v/>
      </c>
      <c r="H87" s="7"/>
      <c r="I87" s="7">
        <f t="shared" si="62"/>
        <v>0</v>
      </c>
      <c r="J87" s="76">
        <f t="shared" si="63"/>
        <v>0</v>
      </c>
      <c r="K87" s="7"/>
      <c r="L87" s="7">
        <f t="shared" si="64"/>
        <v>0</v>
      </c>
      <c r="M87" s="76">
        <f t="shared" si="47"/>
        <v>0</v>
      </c>
      <c r="N87" s="76"/>
      <c r="O87" s="76">
        <f t="shared" si="48"/>
        <v>0</v>
      </c>
      <c r="P87" s="76"/>
      <c r="Q87" s="76">
        <f t="shared" si="49"/>
        <v>0</v>
      </c>
      <c r="R87" s="76">
        <f t="shared" si="65"/>
        <v>0</v>
      </c>
      <c r="S87" s="76">
        <f t="shared" si="66"/>
        <v>0</v>
      </c>
      <c r="T87" s="76">
        <f t="shared" si="67"/>
        <v>0</v>
      </c>
      <c r="U87" s="76">
        <f t="shared" si="68"/>
        <v>0</v>
      </c>
      <c r="V87" s="109">
        <f t="shared" si="69"/>
        <v>0</v>
      </c>
      <c r="W87" s="62"/>
      <c r="X87" s="78">
        <f t="shared" si="50"/>
        <v>3.125E-2</v>
      </c>
      <c r="Y87" s="73">
        <f t="shared" si="70"/>
        <v>0</v>
      </c>
      <c r="Z87" s="74">
        <f t="shared" si="71"/>
        <v>0.29166666666666669</v>
      </c>
      <c r="AA87" s="75">
        <f t="shared" si="72"/>
        <v>0</v>
      </c>
      <c r="AB87" s="63" t="str">
        <f t="shared" si="73"/>
        <v/>
      </c>
      <c r="AC87" s="148">
        <f t="shared" si="51"/>
        <v>0</v>
      </c>
      <c r="AD87" s="107" t="str">
        <f t="shared" si="52"/>
        <v/>
      </c>
      <c r="AE87" s="180">
        <f t="shared" si="74"/>
        <v>0</v>
      </c>
      <c r="AF87" s="73"/>
      <c r="AG87" s="525"/>
      <c r="AH87" s="73"/>
      <c r="AI87" s="73" t="str">
        <f t="shared" si="85"/>
        <v/>
      </c>
      <c r="AJ87" s="64">
        <f t="shared" si="53"/>
        <v>0</v>
      </c>
      <c r="AK87" s="64">
        <f t="shared" si="54"/>
        <v>0</v>
      </c>
      <c r="AL87" s="64" t="str">
        <f t="shared" si="55"/>
        <v/>
      </c>
      <c r="AM87">
        <f t="shared" si="56"/>
        <v>1</v>
      </c>
      <c r="AN87" s="85">
        <f>SUM($AD$6:AD87)</f>
        <v>0</v>
      </c>
      <c r="AO87" s="85">
        <f t="shared" ca="1" si="75"/>
        <v>0</v>
      </c>
      <c r="AP87" s="89">
        <f t="shared" si="76"/>
        <v>0</v>
      </c>
      <c r="AQ87" s="89">
        <f t="shared" si="77"/>
        <v>0</v>
      </c>
      <c r="AR87" s="89">
        <f t="shared" si="78"/>
        <v>0</v>
      </c>
      <c r="AS87" s="88">
        <f t="shared" si="79"/>
        <v>0</v>
      </c>
      <c r="AT87" s="88">
        <f t="shared" ca="1" si="80"/>
        <v>0</v>
      </c>
      <c r="AU87" s="98">
        <f t="shared" si="81"/>
        <v>0</v>
      </c>
      <c r="AV87" s="88">
        <f t="shared" si="82"/>
        <v>0</v>
      </c>
      <c r="AW87" t="b">
        <f>OR((F87&gt;0),(NOT(ISBLANK(H87))),SUM(H87:H$373),SUM(G87:G$373))</f>
        <v>0</v>
      </c>
      <c r="AX87" t="b">
        <f t="shared" ca="1" si="57"/>
        <v>0</v>
      </c>
      <c r="AY87" s="519">
        <f t="shared" si="83"/>
        <v>-0.29166666666666669</v>
      </c>
      <c r="AZ87" s="180">
        <f>SUM(AY$5:AY87)</f>
        <v>-16.916666666666657</v>
      </c>
      <c r="BA87" s="567"/>
      <c r="BB87" s="567">
        <f t="shared" si="58"/>
        <v>0</v>
      </c>
      <c r="BC87" s="567"/>
    </row>
    <row r="88" spans="1:55" ht="15.75">
      <c r="A88" s="260">
        <f t="shared" si="84"/>
        <v>44916</v>
      </c>
      <c r="B88" s="261">
        <f t="shared" si="59"/>
        <v>44916</v>
      </c>
      <c r="C88" s="262">
        <f>IF(A88="","",NumberOfWeek(A88))</f>
        <v>52</v>
      </c>
      <c r="D88" s="263">
        <f t="shared" si="60"/>
        <v>44895</v>
      </c>
      <c r="E88" s="273" t="str">
        <f t="shared" si="61"/>
        <v/>
      </c>
      <c r="F88" s="5"/>
      <c r="G88" s="6" t="str">
        <f t="shared" si="46"/>
        <v/>
      </c>
      <c r="H88" s="7"/>
      <c r="I88" s="7">
        <f t="shared" si="62"/>
        <v>0</v>
      </c>
      <c r="J88" s="76">
        <f t="shared" si="63"/>
        <v>0</v>
      </c>
      <c r="K88" s="7"/>
      <c r="L88" s="7">
        <f t="shared" si="64"/>
        <v>0</v>
      </c>
      <c r="M88" s="76">
        <f t="shared" si="47"/>
        <v>0</v>
      </c>
      <c r="N88" s="76"/>
      <c r="O88" s="76">
        <f t="shared" si="48"/>
        <v>0</v>
      </c>
      <c r="P88" s="76"/>
      <c r="Q88" s="76">
        <f t="shared" si="49"/>
        <v>0</v>
      </c>
      <c r="R88" s="76">
        <f t="shared" si="65"/>
        <v>0</v>
      </c>
      <c r="S88" s="76">
        <f t="shared" si="66"/>
        <v>0</v>
      </c>
      <c r="T88" s="76">
        <f t="shared" si="67"/>
        <v>0</v>
      </c>
      <c r="U88" s="76">
        <f t="shared" si="68"/>
        <v>0</v>
      </c>
      <c r="V88" s="109">
        <f t="shared" si="69"/>
        <v>0</v>
      </c>
      <c r="W88" s="62"/>
      <c r="X88" s="78">
        <f t="shared" si="50"/>
        <v>3.125E-2</v>
      </c>
      <c r="Y88" s="73">
        <f t="shared" si="70"/>
        <v>0</v>
      </c>
      <c r="Z88" s="74">
        <f t="shared" si="71"/>
        <v>0.29166666666666669</v>
      </c>
      <c r="AA88" s="75">
        <f t="shared" si="72"/>
        <v>0</v>
      </c>
      <c r="AB88" s="63" t="str">
        <f t="shared" si="73"/>
        <v/>
      </c>
      <c r="AC88" s="148">
        <f t="shared" si="51"/>
        <v>0</v>
      </c>
      <c r="AD88" s="107" t="str">
        <f t="shared" si="52"/>
        <v/>
      </c>
      <c r="AE88" s="180">
        <f t="shared" si="74"/>
        <v>0</v>
      </c>
      <c r="AF88" s="73"/>
      <c r="AG88" s="525"/>
      <c r="AH88" s="73"/>
      <c r="AI88" s="73" t="str">
        <f t="shared" si="85"/>
        <v/>
      </c>
      <c r="AJ88" s="64">
        <f t="shared" si="53"/>
        <v>0</v>
      </c>
      <c r="AK88" s="64">
        <f t="shared" si="54"/>
        <v>0</v>
      </c>
      <c r="AL88" s="64" t="str">
        <f t="shared" si="55"/>
        <v/>
      </c>
      <c r="AM88">
        <f t="shared" si="56"/>
        <v>2</v>
      </c>
      <c r="AN88" s="85">
        <f>SUM($AD$6:AD88)</f>
        <v>0</v>
      </c>
      <c r="AO88" s="85">
        <f t="shared" ca="1" si="75"/>
        <v>0</v>
      </c>
      <c r="AP88" s="89">
        <f t="shared" si="76"/>
        <v>0</v>
      </c>
      <c r="AQ88" s="89">
        <f t="shared" si="77"/>
        <v>0</v>
      </c>
      <c r="AR88" s="89">
        <f t="shared" si="78"/>
        <v>0</v>
      </c>
      <c r="AS88" s="88">
        <f t="shared" si="79"/>
        <v>0</v>
      </c>
      <c r="AT88" s="88">
        <f t="shared" ca="1" si="80"/>
        <v>0</v>
      </c>
      <c r="AU88" s="98">
        <f t="shared" si="81"/>
        <v>0</v>
      </c>
      <c r="AV88" s="88">
        <f t="shared" si="82"/>
        <v>0</v>
      </c>
      <c r="AW88" t="b">
        <f>OR((F88&gt;0),(NOT(ISBLANK(H88))),SUM(H88:H$373),SUM(G88:G$373))</f>
        <v>0</v>
      </c>
      <c r="AX88" t="b">
        <f t="shared" ca="1" si="57"/>
        <v>0</v>
      </c>
      <c r="AY88" s="519">
        <f t="shared" si="83"/>
        <v>-0.29166666666666669</v>
      </c>
      <c r="AZ88" s="180">
        <f>SUM(AY$5:AY88)</f>
        <v>-17.208333333333325</v>
      </c>
      <c r="BA88" s="567"/>
      <c r="BB88" s="567">
        <f t="shared" si="58"/>
        <v>0</v>
      </c>
      <c r="BC88" s="567"/>
    </row>
    <row r="89" spans="1:55" ht="15.75">
      <c r="A89" s="260">
        <f t="shared" si="84"/>
        <v>44917</v>
      </c>
      <c r="B89" s="261">
        <f t="shared" si="59"/>
        <v>44917</v>
      </c>
      <c r="C89" s="262">
        <f>IF(A89="","",NumberOfWeek(A89))</f>
        <v>52</v>
      </c>
      <c r="D89" s="263">
        <f t="shared" si="60"/>
        <v>44895</v>
      </c>
      <c r="E89" s="273" t="str">
        <f t="shared" si="61"/>
        <v/>
      </c>
      <c r="F89" s="5"/>
      <c r="G89" s="6" t="str">
        <f t="shared" si="46"/>
        <v/>
      </c>
      <c r="H89" s="7"/>
      <c r="I89" s="7">
        <f t="shared" si="62"/>
        <v>0</v>
      </c>
      <c r="J89" s="76">
        <f t="shared" si="63"/>
        <v>0</v>
      </c>
      <c r="K89" s="7"/>
      <c r="L89" s="7">
        <f t="shared" si="64"/>
        <v>0</v>
      </c>
      <c r="M89" s="76">
        <f t="shared" si="47"/>
        <v>0</v>
      </c>
      <c r="N89" s="76"/>
      <c r="O89" s="76">
        <f t="shared" si="48"/>
        <v>0</v>
      </c>
      <c r="P89" s="76"/>
      <c r="Q89" s="76">
        <f t="shared" si="49"/>
        <v>0</v>
      </c>
      <c r="R89" s="76">
        <f t="shared" si="65"/>
        <v>0</v>
      </c>
      <c r="S89" s="76">
        <f t="shared" si="66"/>
        <v>0</v>
      </c>
      <c r="T89" s="76">
        <f t="shared" si="67"/>
        <v>0</v>
      </c>
      <c r="U89" s="76">
        <f t="shared" si="68"/>
        <v>0</v>
      </c>
      <c r="V89" s="109">
        <f t="shared" si="69"/>
        <v>0</v>
      </c>
      <c r="W89" s="62"/>
      <c r="X89" s="78">
        <f t="shared" si="50"/>
        <v>3.125E-2</v>
      </c>
      <c r="Y89" s="73">
        <f t="shared" si="70"/>
        <v>0</v>
      </c>
      <c r="Z89" s="74">
        <f t="shared" si="71"/>
        <v>0.29166666666666669</v>
      </c>
      <c r="AA89" s="75">
        <f t="shared" si="72"/>
        <v>0</v>
      </c>
      <c r="AB89" s="63" t="str">
        <f t="shared" si="73"/>
        <v/>
      </c>
      <c r="AC89" s="148">
        <f t="shared" si="51"/>
        <v>0</v>
      </c>
      <c r="AD89" s="107" t="str">
        <f t="shared" si="52"/>
        <v/>
      </c>
      <c r="AE89" s="180">
        <f t="shared" si="74"/>
        <v>0</v>
      </c>
      <c r="AF89" s="73"/>
      <c r="AG89" s="525"/>
      <c r="AH89" s="73"/>
      <c r="AI89" s="73" t="str">
        <f t="shared" si="85"/>
        <v/>
      </c>
      <c r="AJ89" s="64">
        <f t="shared" si="53"/>
        <v>0</v>
      </c>
      <c r="AK89" s="64">
        <f t="shared" si="54"/>
        <v>0</v>
      </c>
      <c r="AL89" s="64" t="str">
        <f t="shared" si="55"/>
        <v/>
      </c>
      <c r="AM89">
        <f t="shared" si="56"/>
        <v>3</v>
      </c>
      <c r="AN89" s="85">
        <f>SUM($AD$6:AD89)</f>
        <v>0</v>
      </c>
      <c r="AO89" s="85">
        <f t="shared" ca="1" si="75"/>
        <v>0</v>
      </c>
      <c r="AP89" s="89">
        <f t="shared" si="76"/>
        <v>0</v>
      </c>
      <c r="AQ89" s="89">
        <f t="shared" si="77"/>
        <v>0</v>
      </c>
      <c r="AR89" s="89">
        <f t="shared" si="78"/>
        <v>0</v>
      </c>
      <c r="AS89" s="88">
        <f t="shared" si="79"/>
        <v>0</v>
      </c>
      <c r="AT89" s="88">
        <f t="shared" ca="1" si="80"/>
        <v>0</v>
      </c>
      <c r="AU89" s="98">
        <f t="shared" si="81"/>
        <v>0</v>
      </c>
      <c r="AV89" s="88">
        <f t="shared" si="82"/>
        <v>0</v>
      </c>
      <c r="AW89" t="b">
        <f>OR((F89&gt;0),(NOT(ISBLANK(H89))),SUM(H89:H$373),SUM(G89:G$373))</f>
        <v>0</v>
      </c>
      <c r="AX89" t="b">
        <f t="shared" ca="1" si="57"/>
        <v>0</v>
      </c>
      <c r="AY89" s="519">
        <f t="shared" si="83"/>
        <v>-0.29166666666666669</v>
      </c>
      <c r="AZ89" s="180">
        <f>SUM(AY$5:AY89)</f>
        <v>-17.499999999999993</v>
      </c>
      <c r="BA89" s="567"/>
      <c r="BB89" s="567">
        <f t="shared" si="58"/>
        <v>0</v>
      </c>
      <c r="BC89" s="567"/>
    </row>
    <row r="90" spans="1:55" ht="15.75">
      <c r="A90" s="260">
        <f t="shared" si="84"/>
        <v>44918</v>
      </c>
      <c r="B90" s="261">
        <f t="shared" si="59"/>
        <v>44918</v>
      </c>
      <c r="C90" s="262">
        <f>IF(A90="","",NumberOfWeek(A90))</f>
        <v>52</v>
      </c>
      <c r="D90" s="263">
        <f t="shared" si="60"/>
        <v>44895</v>
      </c>
      <c r="E90" s="273" t="str">
        <f t="shared" si="61"/>
        <v/>
      </c>
      <c r="F90" s="5"/>
      <c r="G90" s="6" t="str">
        <f t="shared" si="46"/>
        <v/>
      </c>
      <c r="H90" s="7"/>
      <c r="I90" s="7">
        <f t="shared" si="62"/>
        <v>0</v>
      </c>
      <c r="J90" s="76">
        <f t="shared" si="63"/>
        <v>0</v>
      </c>
      <c r="K90" s="7"/>
      <c r="L90" s="7">
        <f t="shared" si="64"/>
        <v>0</v>
      </c>
      <c r="M90" s="76">
        <f t="shared" si="47"/>
        <v>0</v>
      </c>
      <c r="N90" s="76"/>
      <c r="O90" s="76">
        <f t="shared" si="48"/>
        <v>0</v>
      </c>
      <c r="P90" s="76"/>
      <c r="Q90" s="76">
        <f t="shared" si="49"/>
        <v>0</v>
      </c>
      <c r="R90" s="76">
        <f t="shared" si="65"/>
        <v>0</v>
      </c>
      <c r="S90" s="76">
        <f t="shared" si="66"/>
        <v>0</v>
      </c>
      <c r="T90" s="76">
        <f t="shared" si="67"/>
        <v>0</v>
      </c>
      <c r="U90" s="76">
        <f t="shared" si="68"/>
        <v>0</v>
      </c>
      <c r="V90" s="109">
        <f t="shared" si="69"/>
        <v>0</v>
      </c>
      <c r="W90" s="62"/>
      <c r="X90" s="78">
        <f t="shared" si="50"/>
        <v>3.125E-2</v>
      </c>
      <c r="Y90" s="73">
        <f t="shared" si="70"/>
        <v>0</v>
      </c>
      <c r="Z90" s="74">
        <f t="shared" si="71"/>
        <v>0.29166666666666669</v>
      </c>
      <c r="AA90" s="75">
        <f t="shared" si="72"/>
        <v>0</v>
      </c>
      <c r="AB90" s="63" t="str">
        <f t="shared" si="73"/>
        <v/>
      </c>
      <c r="AC90" s="148">
        <f t="shared" si="51"/>
        <v>0</v>
      </c>
      <c r="AD90" s="107" t="str">
        <f t="shared" si="52"/>
        <v/>
      </c>
      <c r="AE90" s="180">
        <f t="shared" si="74"/>
        <v>0</v>
      </c>
      <c r="AF90" s="73"/>
      <c r="AG90" s="525"/>
      <c r="AH90" s="73"/>
      <c r="AI90" s="73" t="str">
        <f t="shared" si="85"/>
        <v/>
      </c>
      <c r="AJ90" s="64">
        <f t="shared" si="53"/>
        <v>0</v>
      </c>
      <c r="AK90" s="64">
        <f t="shared" si="54"/>
        <v>0</v>
      </c>
      <c r="AL90" s="64" t="str">
        <f t="shared" si="55"/>
        <v/>
      </c>
      <c r="AM90">
        <f t="shared" si="56"/>
        <v>4</v>
      </c>
      <c r="AN90" s="85">
        <f>SUM($AD$6:AD90)</f>
        <v>0</v>
      </c>
      <c r="AO90" s="85">
        <f t="shared" ca="1" si="75"/>
        <v>0</v>
      </c>
      <c r="AP90" s="89">
        <f t="shared" si="76"/>
        <v>0</v>
      </c>
      <c r="AQ90" s="89">
        <f t="shared" si="77"/>
        <v>0</v>
      </c>
      <c r="AR90" s="89">
        <f t="shared" si="78"/>
        <v>0</v>
      </c>
      <c r="AS90" s="88">
        <f t="shared" si="79"/>
        <v>0</v>
      </c>
      <c r="AT90" s="88">
        <f t="shared" ca="1" si="80"/>
        <v>0</v>
      </c>
      <c r="AU90" s="98">
        <f t="shared" si="81"/>
        <v>0</v>
      </c>
      <c r="AV90" s="88">
        <f t="shared" si="82"/>
        <v>0</v>
      </c>
      <c r="AW90" t="b">
        <f>OR((F90&gt;0),(NOT(ISBLANK(H90))),SUM(H90:H$373),SUM(G90:G$373))</f>
        <v>0</v>
      </c>
      <c r="AX90" t="b">
        <f t="shared" ca="1" si="57"/>
        <v>0</v>
      </c>
      <c r="AY90" s="519">
        <f t="shared" si="83"/>
        <v>-0.29166666666666669</v>
      </c>
      <c r="AZ90" s="180">
        <f>SUM(AY$5:AY90)</f>
        <v>-17.791666666666661</v>
      </c>
      <c r="BA90" s="567"/>
      <c r="BB90" s="567">
        <f t="shared" si="58"/>
        <v>0</v>
      </c>
      <c r="BC90" s="567"/>
    </row>
    <row r="91" spans="1:55" ht="15.75">
      <c r="A91" s="260">
        <f t="shared" si="84"/>
        <v>44919</v>
      </c>
      <c r="B91" s="261">
        <f t="shared" si="59"/>
        <v>44919</v>
      </c>
      <c r="C91" s="262">
        <f>IF(A91="","",NumberOfWeek(A91))</f>
        <v>52</v>
      </c>
      <c r="D91" s="263">
        <f t="shared" si="60"/>
        <v>44895</v>
      </c>
      <c r="E91" s="273" t="str">
        <f t="shared" si="61"/>
        <v>1. Weihnachtsfeiertag</v>
      </c>
      <c r="F91" s="5"/>
      <c r="G91" s="6" t="str">
        <f t="shared" si="46"/>
        <v/>
      </c>
      <c r="H91" s="7"/>
      <c r="I91" s="7">
        <f t="shared" si="62"/>
        <v>0</v>
      </c>
      <c r="J91" s="76">
        <f t="shared" si="63"/>
        <v>0</v>
      </c>
      <c r="K91" s="7"/>
      <c r="L91" s="7">
        <f t="shared" si="64"/>
        <v>0</v>
      </c>
      <c r="M91" s="76">
        <f t="shared" si="47"/>
        <v>0</v>
      </c>
      <c r="N91" s="76"/>
      <c r="O91" s="76">
        <f t="shared" si="48"/>
        <v>0</v>
      </c>
      <c r="P91" s="76"/>
      <c r="Q91" s="76">
        <f t="shared" si="49"/>
        <v>0</v>
      </c>
      <c r="R91" s="76">
        <f t="shared" si="65"/>
        <v>0</v>
      </c>
      <c r="S91" s="76">
        <f t="shared" si="66"/>
        <v>0</v>
      </c>
      <c r="T91" s="76">
        <f t="shared" si="67"/>
        <v>0</v>
      </c>
      <c r="U91" s="76">
        <f t="shared" si="68"/>
        <v>0</v>
      </c>
      <c r="V91" s="109">
        <f t="shared" si="69"/>
        <v>0</v>
      </c>
      <c r="W91" s="62"/>
      <c r="X91" s="78">
        <f t="shared" si="50"/>
        <v>3.125E-2</v>
      </c>
      <c r="Y91" s="73">
        <f t="shared" si="70"/>
        <v>0</v>
      </c>
      <c r="Z91" s="74" t="str">
        <f t="shared" si="71"/>
        <v/>
      </c>
      <c r="AA91" s="75">
        <f t="shared" si="72"/>
        <v>0</v>
      </c>
      <c r="AB91" s="63" t="str">
        <f t="shared" si="73"/>
        <v/>
      </c>
      <c r="AC91" s="148">
        <f t="shared" si="51"/>
        <v>0</v>
      </c>
      <c r="AD91" s="107" t="str">
        <f t="shared" si="52"/>
        <v/>
      </c>
      <c r="AE91" s="180">
        <f t="shared" si="74"/>
        <v>0</v>
      </c>
      <c r="AF91" s="73"/>
      <c r="AG91" s="525"/>
      <c r="AH91" s="73"/>
      <c r="AI91" s="73" t="str">
        <f t="shared" si="85"/>
        <v/>
      </c>
      <c r="AJ91" s="64">
        <f t="shared" si="53"/>
        <v>0</v>
      </c>
      <c r="AK91" s="64">
        <f t="shared" si="54"/>
        <v>0</v>
      </c>
      <c r="AL91" s="64" t="str">
        <f t="shared" si="55"/>
        <v/>
      </c>
      <c r="AM91">
        <f t="shared" si="56"/>
        <v>8</v>
      </c>
      <c r="AN91" s="85">
        <f>SUM($AD$6:AD91)</f>
        <v>0</v>
      </c>
      <c r="AO91" s="85">
        <f t="shared" ca="1" si="75"/>
        <v>0</v>
      </c>
      <c r="AP91" s="89">
        <f t="shared" si="76"/>
        <v>0</v>
      </c>
      <c r="AQ91" s="89">
        <f t="shared" si="77"/>
        <v>0</v>
      </c>
      <c r="AR91" s="89">
        <f t="shared" si="78"/>
        <v>0</v>
      </c>
      <c r="AS91" s="88">
        <f t="shared" si="79"/>
        <v>0</v>
      </c>
      <c r="AT91" s="88">
        <f t="shared" ca="1" si="80"/>
        <v>0</v>
      </c>
      <c r="AU91" s="98">
        <f t="shared" si="81"/>
        <v>0</v>
      </c>
      <c r="AV91" s="88">
        <f t="shared" si="82"/>
        <v>8</v>
      </c>
      <c r="AW91" t="b">
        <f>OR((F91&gt;0),(NOT(ISBLANK(H91))),SUM(H91:H$373),SUM(G91:G$373))</f>
        <v>0</v>
      </c>
      <c r="AX91" t="b">
        <f t="shared" ca="1" si="57"/>
        <v>1</v>
      </c>
      <c r="AY91" s="519">
        <f t="shared" si="83"/>
        <v>0</v>
      </c>
      <c r="AZ91" s="180">
        <f>SUM(AY$5:AY91)</f>
        <v>-17.791666666666661</v>
      </c>
      <c r="BA91" s="567"/>
      <c r="BB91" s="567">
        <f t="shared" si="58"/>
        <v>0</v>
      </c>
      <c r="BC91" s="567"/>
    </row>
    <row r="92" spans="1:55" ht="15.75">
      <c r="A92" s="260">
        <f t="shared" si="84"/>
        <v>44920</v>
      </c>
      <c r="B92" s="261">
        <f t="shared" si="59"/>
        <v>44920</v>
      </c>
      <c r="C92" s="262">
        <f>IF(A92="","",NumberOfWeek(A92))</f>
        <v>52</v>
      </c>
      <c r="D92" s="263">
        <f t="shared" si="60"/>
        <v>44895</v>
      </c>
      <c r="E92" s="273" t="str">
        <f t="shared" si="61"/>
        <v>2. Weihnachtsfeiertag</v>
      </c>
      <c r="F92" s="5"/>
      <c r="G92" s="6" t="str">
        <f t="shared" si="46"/>
        <v/>
      </c>
      <c r="H92" s="7"/>
      <c r="I92" s="7">
        <f t="shared" si="62"/>
        <v>0</v>
      </c>
      <c r="J92" s="76">
        <f t="shared" si="63"/>
        <v>0</v>
      </c>
      <c r="K92" s="7"/>
      <c r="L92" s="7">
        <f t="shared" si="64"/>
        <v>0</v>
      </c>
      <c r="M92" s="76">
        <f t="shared" si="47"/>
        <v>0</v>
      </c>
      <c r="N92" s="76"/>
      <c r="O92" s="76">
        <f t="shared" si="48"/>
        <v>0</v>
      </c>
      <c r="P92" s="76"/>
      <c r="Q92" s="76">
        <f t="shared" si="49"/>
        <v>0</v>
      </c>
      <c r="R92" s="76">
        <f t="shared" si="65"/>
        <v>0</v>
      </c>
      <c r="S92" s="76">
        <f t="shared" si="66"/>
        <v>0</v>
      </c>
      <c r="T92" s="76">
        <f t="shared" si="67"/>
        <v>0</v>
      </c>
      <c r="U92" s="76">
        <f t="shared" si="68"/>
        <v>0</v>
      </c>
      <c r="V92" s="109">
        <f t="shared" si="69"/>
        <v>0</v>
      </c>
      <c r="W92" s="62"/>
      <c r="X92" s="78">
        <f t="shared" si="50"/>
        <v>3.125E-2</v>
      </c>
      <c r="Y92" s="73">
        <f t="shared" si="70"/>
        <v>0</v>
      </c>
      <c r="Z92" s="74" t="str">
        <f t="shared" si="71"/>
        <v/>
      </c>
      <c r="AA92" s="75">
        <f t="shared" si="72"/>
        <v>0</v>
      </c>
      <c r="AB92" s="63" t="str">
        <f t="shared" si="73"/>
        <v/>
      </c>
      <c r="AC92" s="148">
        <f t="shared" si="51"/>
        <v>0</v>
      </c>
      <c r="AD92" s="107" t="str">
        <f t="shared" si="52"/>
        <v/>
      </c>
      <c r="AE92" s="180">
        <f t="shared" si="74"/>
        <v>0</v>
      </c>
      <c r="AF92" s="73"/>
      <c r="AG92" s="525"/>
      <c r="AH92" s="73"/>
      <c r="AI92" s="73" t="str">
        <f t="shared" si="85"/>
        <v/>
      </c>
      <c r="AJ92" s="64">
        <f t="shared" si="53"/>
        <v>0</v>
      </c>
      <c r="AK92" s="64">
        <f t="shared" si="54"/>
        <v>0</v>
      </c>
      <c r="AL92" s="64" t="str">
        <f t="shared" si="55"/>
        <v/>
      </c>
      <c r="AM92">
        <f t="shared" si="56"/>
        <v>8</v>
      </c>
      <c r="AN92" s="85">
        <f>SUM($AD$6:AD92)</f>
        <v>0</v>
      </c>
      <c r="AO92" s="85">
        <f t="shared" ca="1" si="75"/>
        <v>0</v>
      </c>
      <c r="AP92" s="89">
        <f t="shared" si="76"/>
        <v>0</v>
      </c>
      <c r="AQ92" s="89">
        <f t="shared" si="77"/>
        <v>0</v>
      </c>
      <c r="AR92" s="89">
        <f t="shared" si="78"/>
        <v>0</v>
      </c>
      <c r="AS92" s="88">
        <f t="shared" si="79"/>
        <v>0</v>
      </c>
      <c r="AT92" s="88">
        <f t="shared" ca="1" si="80"/>
        <v>0</v>
      </c>
      <c r="AU92" s="98">
        <f t="shared" si="81"/>
        <v>0</v>
      </c>
      <c r="AV92" s="88">
        <f t="shared" si="82"/>
        <v>8</v>
      </c>
      <c r="AW92" t="b">
        <f>OR((F92&gt;0),(NOT(ISBLANK(H92))),SUM(H92:H$373),SUM(G92:G$373))</f>
        <v>0</v>
      </c>
      <c r="AX92" t="b">
        <f t="shared" ca="1" si="57"/>
        <v>1</v>
      </c>
      <c r="AY92" s="519">
        <f t="shared" si="83"/>
        <v>0</v>
      </c>
      <c r="AZ92" s="180">
        <f>SUM(AY$5:AY92)</f>
        <v>-17.791666666666661</v>
      </c>
      <c r="BA92" s="567"/>
      <c r="BB92" s="567">
        <f t="shared" si="58"/>
        <v>0</v>
      </c>
      <c r="BC92" s="567"/>
    </row>
    <row r="93" spans="1:55" ht="15.75">
      <c r="A93" s="260">
        <f t="shared" si="84"/>
        <v>44921</v>
      </c>
      <c r="B93" s="261">
        <f t="shared" si="59"/>
        <v>44921</v>
      </c>
      <c r="C93" s="262">
        <f>IF(A93="","",NumberOfWeek(A93))</f>
        <v>52</v>
      </c>
      <c r="D93" s="263">
        <f t="shared" si="60"/>
        <v>44895</v>
      </c>
      <c r="E93" s="273" t="str">
        <f t="shared" si="61"/>
        <v/>
      </c>
      <c r="F93" s="5"/>
      <c r="G93" s="6" t="str">
        <f t="shared" si="46"/>
        <v/>
      </c>
      <c r="H93" s="7"/>
      <c r="I93" s="7">
        <f t="shared" si="62"/>
        <v>0</v>
      </c>
      <c r="J93" s="76">
        <f t="shared" si="63"/>
        <v>0</v>
      </c>
      <c r="K93" s="7"/>
      <c r="L93" s="7">
        <f t="shared" si="64"/>
        <v>0</v>
      </c>
      <c r="M93" s="76">
        <f t="shared" si="47"/>
        <v>0</v>
      </c>
      <c r="N93" s="76"/>
      <c r="O93" s="76">
        <f t="shared" si="48"/>
        <v>0</v>
      </c>
      <c r="P93" s="76"/>
      <c r="Q93" s="76">
        <f t="shared" si="49"/>
        <v>0</v>
      </c>
      <c r="R93" s="76">
        <f t="shared" si="65"/>
        <v>0</v>
      </c>
      <c r="S93" s="76">
        <f t="shared" si="66"/>
        <v>0</v>
      </c>
      <c r="T93" s="76">
        <f t="shared" si="67"/>
        <v>0</v>
      </c>
      <c r="U93" s="76">
        <f t="shared" si="68"/>
        <v>0</v>
      </c>
      <c r="V93" s="109">
        <f t="shared" si="69"/>
        <v>0</v>
      </c>
      <c r="W93" s="62"/>
      <c r="X93" s="78">
        <f t="shared" si="50"/>
        <v>3.125E-2</v>
      </c>
      <c r="Y93" s="73">
        <f t="shared" si="70"/>
        <v>0</v>
      </c>
      <c r="Z93" s="74">
        <f t="shared" si="71"/>
        <v>0</v>
      </c>
      <c r="AA93" s="75">
        <f t="shared" si="72"/>
        <v>0</v>
      </c>
      <c r="AB93" s="63" t="str">
        <f t="shared" si="73"/>
        <v/>
      </c>
      <c r="AC93" s="148">
        <f t="shared" si="51"/>
        <v>0</v>
      </c>
      <c r="AD93" s="107" t="str">
        <f t="shared" si="52"/>
        <v/>
      </c>
      <c r="AE93" s="180">
        <f t="shared" si="74"/>
        <v>0</v>
      </c>
      <c r="AF93" s="73"/>
      <c r="AG93" s="525"/>
      <c r="AH93" s="73"/>
      <c r="AI93" s="73" t="str">
        <f t="shared" si="85"/>
        <v/>
      </c>
      <c r="AJ93" s="64">
        <f t="shared" si="53"/>
        <v>0</v>
      </c>
      <c r="AK93" s="64">
        <f t="shared" si="54"/>
        <v>0</v>
      </c>
      <c r="AL93" s="64" t="str">
        <f t="shared" si="55"/>
        <v/>
      </c>
      <c r="AM93">
        <f t="shared" si="56"/>
        <v>7</v>
      </c>
      <c r="AN93" s="85">
        <f>SUM($AD$6:AD93)</f>
        <v>0</v>
      </c>
      <c r="AO93" s="85">
        <f t="shared" ca="1" si="75"/>
        <v>0</v>
      </c>
      <c r="AP93" s="89">
        <f t="shared" si="76"/>
        <v>0</v>
      </c>
      <c r="AQ93" s="89">
        <f t="shared" si="77"/>
        <v>0</v>
      </c>
      <c r="AR93" s="89">
        <f t="shared" si="78"/>
        <v>0</v>
      </c>
      <c r="AS93" s="88">
        <f t="shared" si="79"/>
        <v>0</v>
      </c>
      <c r="AT93" s="88">
        <f t="shared" ca="1" si="80"/>
        <v>0</v>
      </c>
      <c r="AU93" s="98">
        <f t="shared" si="81"/>
        <v>0</v>
      </c>
      <c r="AV93" s="88">
        <f t="shared" si="82"/>
        <v>7</v>
      </c>
      <c r="AW93" t="b">
        <f>OR((F93&gt;0),(NOT(ISBLANK(H93))),SUM(H93:H$373),SUM(G93:G$373))</f>
        <v>0</v>
      </c>
      <c r="AX93" t="b">
        <f t="shared" ca="1" si="57"/>
        <v>1</v>
      </c>
      <c r="AY93" s="519">
        <f t="shared" si="83"/>
        <v>0</v>
      </c>
      <c r="AZ93" s="180">
        <f>SUM(AY$5:AY93)</f>
        <v>-17.791666666666661</v>
      </c>
      <c r="BA93" s="567"/>
      <c r="BB93" s="567">
        <f t="shared" si="58"/>
        <v>0</v>
      </c>
      <c r="BC93" s="567"/>
    </row>
    <row r="94" spans="1:55" ht="15.75">
      <c r="A94" s="260">
        <f t="shared" si="84"/>
        <v>44922</v>
      </c>
      <c r="B94" s="261">
        <f t="shared" si="59"/>
        <v>44922</v>
      </c>
      <c r="C94" s="262">
        <f>IF(A94="","",NumberOfWeek(A94))</f>
        <v>53</v>
      </c>
      <c r="D94" s="263">
        <f t="shared" si="60"/>
        <v>44895</v>
      </c>
      <c r="E94" s="273" t="str">
        <f t="shared" si="61"/>
        <v/>
      </c>
      <c r="F94" s="5"/>
      <c r="G94" s="6" t="str">
        <f t="shared" si="46"/>
        <v/>
      </c>
      <c r="H94" s="7"/>
      <c r="I94" s="7">
        <f t="shared" si="62"/>
        <v>0</v>
      </c>
      <c r="J94" s="76">
        <f t="shared" si="63"/>
        <v>0</v>
      </c>
      <c r="K94" s="7"/>
      <c r="L94" s="7">
        <f t="shared" si="64"/>
        <v>0</v>
      </c>
      <c r="M94" s="76">
        <f t="shared" si="47"/>
        <v>0</v>
      </c>
      <c r="N94" s="76"/>
      <c r="O94" s="76">
        <f t="shared" si="48"/>
        <v>0</v>
      </c>
      <c r="P94" s="76"/>
      <c r="Q94" s="76">
        <f t="shared" si="49"/>
        <v>0</v>
      </c>
      <c r="R94" s="76">
        <f t="shared" si="65"/>
        <v>0</v>
      </c>
      <c r="S94" s="76">
        <f t="shared" si="66"/>
        <v>0</v>
      </c>
      <c r="T94" s="76">
        <f t="shared" si="67"/>
        <v>0</v>
      </c>
      <c r="U94" s="76">
        <f t="shared" si="68"/>
        <v>0</v>
      </c>
      <c r="V94" s="109">
        <f t="shared" si="69"/>
        <v>0</v>
      </c>
      <c r="W94" s="62"/>
      <c r="X94" s="78">
        <f t="shared" si="50"/>
        <v>3.125E-2</v>
      </c>
      <c r="Y94" s="73">
        <f t="shared" si="70"/>
        <v>0</v>
      </c>
      <c r="Z94" s="74">
        <f t="shared" si="71"/>
        <v>0.29166666666666669</v>
      </c>
      <c r="AA94" s="75">
        <f t="shared" si="72"/>
        <v>0</v>
      </c>
      <c r="AB94" s="63" t="str">
        <f t="shared" si="73"/>
        <v/>
      </c>
      <c r="AC94" s="148">
        <f t="shared" si="51"/>
        <v>0</v>
      </c>
      <c r="AD94" s="107" t="str">
        <f t="shared" si="52"/>
        <v/>
      </c>
      <c r="AE94" s="180">
        <f t="shared" si="74"/>
        <v>0</v>
      </c>
      <c r="AF94" s="73"/>
      <c r="AG94" s="525"/>
      <c r="AH94" s="73"/>
      <c r="AI94" s="73" t="str">
        <f t="shared" si="85"/>
        <v/>
      </c>
      <c r="AJ94" s="64">
        <f t="shared" si="53"/>
        <v>0</v>
      </c>
      <c r="AK94" s="64">
        <f t="shared" si="54"/>
        <v>0</v>
      </c>
      <c r="AL94" s="64" t="str">
        <f t="shared" si="55"/>
        <v/>
      </c>
      <c r="AM94">
        <f t="shared" si="56"/>
        <v>1</v>
      </c>
      <c r="AN94" s="85">
        <f>SUM($AD$6:AD94)</f>
        <v>0</v>
      </c>
      <c r="AO94" s="85">
        <f t="shared" ca="1" si="75"/>
        <v>0</v>
      </c>
      <c r="AP94" s="89">
        <f t="shared" si="76"/>
        <v>0</v>
      </c>
      <c r="AQ94" s="89">
        <f t="shared" si="77"/>
        <v>0</v>
      </c>
      <c r="AR94" s="89">
        <f t="shared" si="78"/>
        <v>0</v>
      </c>
      <c r="AS94" s="88">
        <f t="shared" si="79"/>
        <v>0</v>
      </c>
      <c r="AT94" s="88">
        <f t="shared" ca="1" si="80"/>
        <v>0</v>
      </c>
      <c r="AU94" s="98">
        <f t="shared" si="81"/>
        <v>0</v>
      </c>
      <c r="AV94" s="88">
        <f t="shared" si="82"/>
        <v>0</v>
      </c>
      <c r="AW94" t="b">
        <f>OR((F94&gt;0),(NOT(ISBLANK(H94))),SUM(H94:H$373),SUM(G94:G$373))</f>
        <v>0</v>
      </c>
      <c r="AX94" t="b">
        <f t="shared" ca="1" si="57"/>
        <v>0</v>
      </c>
      <c r="AY94" s="519">
        <f t="shared" si="83"/>
        <v>-0.29166666666666669</v>
      </c>
      <c r="AZ94" s="180">
        <f>SUM(AY$5:AY94)</f>
        <v>-18.083333333333329</v>
      </c>
      <c r="BA94" s="567"/>
      <c r="BB94" s="567">
        <f t="shared" si="58"/>
        <v>0</v>
      </c>
      <c r="BC94" s="567"/>
    </row>
    <row r="95" spans="1:55" ht="15.75">
      <c r="A95" s="260">
        <f t="shared" si="84"/>
        <v>44923</v>
      </c>
      <c r="B95" s="261">
        <f t="shared" si="59"/>
        <v>44923</v>
      </c>
      <c r="C95" s="262">
        <f>IF(A95="","",NumberOfWeek(A95))</f>
        <v>53</v>
      </c>
      <c r="D95" s="263">
        <f t="shared" si="60"/>
        <v>44895</v>
      </c>
      <c r="E95" s="273" t="str">
        <f t="shared" si="61"/>
        <v/>
      </c>
      <c r="F95" s="5"/>
      <c r="G95" s="6" t="str">
        <f t="shared" si="46"/>
        <v/>
      </c>
      <c r="H95" s="7"/>
      <c r="I95" s="7">
        <f t="shared" si="62"/>
        <v>0</v>
      </c>
      <c r="J95" s="76">
        <f t="shared" si="63"/>
        <v>0</v>
      </c>
      <c r="K95" s="7"/>
      <c r="L95" s="7">
        <f t="shared" si="64"/>
        <v>0</v>
      </c>
      <c r="M95" s="76">
        <f t="shared" si="47"/>
        <v>0</v>
      </c>
      <c r="N95" s="76"/>
      <c r="O95" s="76">
        <f t="shared" si="48"/>
        <v>0</v>
      </c>
      <c r="P95" s="76"/>
      <c r="Q95" s="76">
        <f t="shared" si="49"/>
        <v>0</v>
      </c>
      <c r="R95" s="76">
        <f t="shared" si="65"/>
        <v>0</v>
      </c>
      <c r="S95" s="76">
        <f t="shared" si="66"/>
        <v>0</v>
      </c>
      <c r="T95" s="76">
        <f t="shared" si="67"/>
        <v>0</v>
      </c>
      <c r="U95" s="76">
        <f t="shared" si="68"/>
        <v>0</v>
      </c>
      <c r="V95" s="109">
        <f t="shared" si="69"/>
        <v>0</v>
      </c>
      <c r="W95" s="62"/>
      <c r="X95" s="78">
        <f t="shared" si="50"/>
        <v>3.125E-2</v>
      </c>
      <c r="Y95" s="73">
        <f t="shared" si="70"/>
        <v>0</v>
      </c>
      <c r="Z95" s="74">
        <f t="shared" si="71"/>
        <v>0.29166666666666669</v>
      </c>
      <c r="AA95" s="75">
        <f t="shared" si="72"/>
        <v>0</v>
      </c>
      <c r="AB95" s="63" t="str">
        <f t="shared" si="73"/>
        <v/>
      </c>
      <c r="AC95" s="148">
        <f t="shared" si="51"/>
        <v>0</v>
      </c>
      <c r="AD95" s="107" t="str">
        <f t="shared" si="52"/>
        <v/>
      </c>
      <c r="AE95" s="180">
        <f t="shared" si="74"/>
        <v>0</v>
      </c>
      <c r="AF95" s="73"/>
      <c r="AG95" s="525"/>
      <c r="AH95" s="73"/>
      <c r="AI95" s="73" t="str">
        <f t="shared" si="85"/>
        <v/>
      </c>
      <c r="AJ95" s="64">
        <f t="shared" si="53"/>
        <v>0</v>
      </c>
      <c r="AK95" s="64">
        <f t="shared" si="54"/>
        <v>0</v>
      </c>
      <c r="AL95" s="64" t="str">
        <f t="shared" si="55"/>
        <v/>
      </c>
      <c r="AM95">
        <f t="shared" si="56"/>
        <v>2</v>
      </c>
      <c r="AN95" s="85">
        <f>SUM($AD$6:AD95)</f>
        <v>0</v>
      </c>
      <c r="AO95" s="85">
        <f t="shared" ca="1" si="75"/>
        <v>0</v>
      </c>
      <c r="AP95" s="89">
        <f t="shared" si="76"/>
        <v>0</v>
      </c>
      <c r="AQ95" s="89">
        <f t="shared" si="77"/>
        <v>0</v>
      </c>
      <c r="AR95" s="89">
        <f t="shared" si="78"/>
        <v>0</v>
      </c>
      <c r="AS95" s="88">
        <f t="shared" si="79"/>
        <v>0</v>
      </c>
      <c r="AT95" s="88">
        <f t="shared" ca="1" si="80"/>
        <v>0</v>
      </c>
      <c r="AU95" s="98">
        <f t="shared" si="81"/>
        <v>0</v>
      </c>
      <c r="AV95" s="88">
        <f t="shared" si="82"/>
        <v>0</v>
      </c>
      <c r="AW95" t="b">
        <f>OR((F95&gt;0),(NOT(ISBLANK(H95))),SUM(H95:H$373),SUM(G95:G$373))</f>
        <v>0</v>
      </c>
      <c r="AX95" t="b">
        <f t="shared" ca="1" si="57"/>
        <v>0</v>
      </c>
      <c r="AY95" s="519">
        <f t="shared" si="83"/>
        <v>-0.29166666666666669</v>
      </c>
      <c r="AZ95" s="180">
        <f>SUM(AY$5:AY95)</f>
        <v>-18.374999999999996</v>
      </c>
      <c r="BA95" s="567"/>
      <c r="BB95" s="567">
        <f t="shared" si="58"/>
        <v>0</v>
      </c>
      <c r="BC95" s="567"/>
    </row>
    <row r="96" spans="1:55" ht="15.75">
      <c r="A96" s="260">
        <f t="shared" si="84"/>
        <v>44924</v>
      </c>
      <c r="B96" s="261">
        <f t="shared" si="59"/>
        <v>44924</v>
      </c>
      <c r="C96" s="262">
        <f>IF(A96="","",NumberOfWeek(A96))</f>
        <v>53</v>
      </c>
      <c r="D96" s="263">
        <f t="shared" si="60"/>
        <v>44895</v>
      </c>
      <c r="E96" s="273" t="str">
        <f t="shared" si="61"/>
        <v/>
      </c>
      <c r="F96" s="5"/>
      <c r="G96" s="6" t="str">
        <f t="shared" si="46"/>
        <v/>
      </c>
      <c r="H96" s="7"/>
      <c r="I96" s="7">
        <f t="shared" si="62"/>
        <v>0</v>
      </c>
      <c r="J96" s="76">
        <f t="shared" si="63"/>
        <v>0</v>
      </c>
      <c r="K96" s="7"/>
      <c r="L96" s="7">
        <f t="shared" si="64"/>
        <v>0</v>
      </c>
      <c r="M96" s="76">
        <f t="shared" si="47"/>
        <v>0</v>
      </c>
      <c r="N96" s="76"/>
      <c r="O96" s="76">
        <f t="shared" si="48"/>
        <v>0</v>
      </c>
      <c r="P96" s="76"/>
      <c r="Q96" s="76">
        <f t="shared" si="49"/>
        <v>0</v>
      </c>
      <c r="R96" s="76">
        <f t="shared" si="65"/>
        <v>0</v>
      </c>
      <c r="S96" s="76">
        <f t="shared" si="66"/>
        <v>0</v>
      </c>
      <c r="T96" s="76">
        <f t="shared" si="67"/>
        <v>0</v>
      </c>
      <c r="U96" s="76">
        <f t="shared" si="68"/>
        <v>0</v>
      </c>
      <c r="V96" s="109">
        <f t="shared" si="69"/>
        <v>0</v>
      </c>
      <c r="W96" s="62"/>
      <c r="X96" s="78">
        <f t="shared" si="50"/>
        <v>3.125E-2</v>
      </c>
      <c r="Y96" s="73">
        <f t="shared" si="70"/>
        <v>0</v>
      </c>
      <c r="Z96" s="74">
        <f t="shared" si="71"/>
        <v>0.29166666666666669</v>
      </c>
      <c r="AA96" s="75">
        <f t="shared" si="72"/>
        <v>0</v>
      </c>
      <c r="AB96" s="63" t="str">
        <f t="shared" si="73"/>
        <v/>
      </c>
      <c r="AC96" s="148">
        <f t="shared" si="51"/>
        <v>0</v>
      </c>
      <c r="AD96" s="107" t="str">
        <f t="shared" si="52"/>
        <v/>
      </c>
      <c r="AE96" s="180">
        <f t="shared" si="74"/>
        <v>0</v>
      </c>
      <c r="AF96" s="73"/>
      <c r="AG96" s="525"/>
      <c r="AH96" s="73"/>
      <c r="AI96" s="73" t="str">
        <f t="shared" si="85"/>
        <v/>
      </c>
      <c r="AJ96" s="64">
        <f t="shared" si="53"/>
        <v>0</v>
      </c>
      <c r="AK96" s="64">
        <f t="shared" si="54"/>
        <v>0</v>
      </c>
      <c r="AL96" s="64" t="str">
        <f t="shared" si="55"/>
        <v/>
      </c>
      <c r="AM96">
        <f t="shared" si="56"/>
        <v>3</v>
      </c>
      <c r="AN96" s="85">
        <f>SUM($AD$6:AD96)</f>
        <v>0</v>
      </c>
      <c r="AO96" s="85">
        <f t="shared" ca="1" si="75"/>
        <v>0</v>
      </c>
      <c r="AP96" s="89">
        <f t="shared" si="76"/>
        <v>0</v>
      </c>
      <c r="AQ96" s="89">
        <f t="shared" si="77"/>
        <v>0</v>
      </c>
      <c r="AR96" s="89">
        <f t="shared" si="78"/>
        <v>0</v>
      </c>
      <c r="AS96" s="88">
        <f t="shared" si="79"/>
        <v>0</v>
      </c>
      <c r="AT96" s="88">
        <f t="shared" ca="1" si="80"/>
        <v>0</v>
      </c>
      <c r="AU96" s="98">
        <f t="shared" si="81"/>
        <v>0</v>
      </c>
      <c r="AV96" s="88">
        <f t="shared" si="82"/>
        <v>0</v>
      </c>
      <c r="AW96" t="b">
        <f>OR((F96&gt;0),(NOT(ISBLANK(H96))),SUM(H96:H$373),SUM(G96:G$373))</f>
        <v>0</v>
      </c>
      <c r="AX96" t="b">
        <f t="shared" ca="1" si="57"/>
        <v>0</v>
      </c>
      <c r="AY96" s="519">
        <f t="shared" si="83"/>
        <v>-0.29166666666666669</v>
      </c>
      <c r="AZ96" s="180">
        <f>SUM(AY$5:AY96)</f>
        <v>-18.666666666666664</v>
      </c>
      <c r="BA96" s="567"/>
      <c r="BB96" s="567">
        <f t="shared" si="58"/>
        <v>0</v>
      </c>
      <c r="BC96" s="567"/>
    </row>
    <row r="97" spans="1:55" ht="15.75">
      <c r="A97" s="260">
        <f t="shared" si="84"/>
        <v>44925</v>
      </c>
      <c r="B97" s="261">
        <f t="shared" si="59"/>
        <v>44925</v>
      </c>
      <c r="C97" s="262">
        <f>IF(A97="","",NumberOfWeek(A97))</f>
        <v>53</v>
      </c>
      <c r="D97" s="263">
        <f t="shared" si="60"/>
        <v>44895</v>
      </c>
      <c r="E97" s="273" t="str">
        <f t="shared" si="61"/>
        <v/>
      </c>
      <c r="F97" s="5"/>
      <c r="G97" s="6" t="str">
        <f t="shared" si="46"/>
        <v/>
      </c>
      <c r="H97" s="7"/>
      <c r="I97" s="7">
        <f t="shared" si="62"/>
        <v>0</v>
      </c>
      <c r="J97" s="76">
        <f t="shared" si="63"/>
        <v>0</v>
      </c>
      <c r="K97" s="7"/>
      <c r="L97" s="7">
        <f t="shared" si="64"/>
        <v>0</v>
      </c>
      <c r="M97" s="76">
        <f t="shared" si="47"/>
        <v>0</v>
      </c>
      <c r="N97" s="76"/>
      <c r="O97" s="76">
        <f t="shared" si="48"/>
        <v>0</v>
      </c>
      <c r="P97" s="76"/>
      <c r="Q97" s="76">
        <f t="shared" si="49"/>
        <v>0</v>
      </c>
      <c r="R97" s="76">
        <f t="shared" si="65"/>
        <v>0</v>
      </c>
      <c r="S97" s="76">
        <f t="shared" si="66"/>
        <v>0</v>
      </c>
      <c r="T97" s="76">
        <f t="shared" si="67"/>
        <v>0</v>
      </c>
      <c r="U97" s="76">
        <f t="shared" si="68"/>
        <v>0</v>
      </c>
      <c r="V97" s="109">
        <f t="shared" si="69"/>
        <v>0</v>
      </c>
      <c r="W97" s="62"/>
      <c r="X97" s="78">
        <f t="shared" si="50"/>
        <v>3.125E-2</v>
      </c>
      <c r="Y97" s="73">
        <f t="shared" si="70"/>
        <v>0</v>
      </c>
      <c r="Z97" s="74">
        <f t="shared" si="71"/>
        <v>0.29166666666666669</v>
      </c>
      <c r="AA97" s="75">
        <f t="shared" si="72"/>
        <v>0</v>
      </c>
      <c r="AB97" s="63" t="str">
        <f t="shared" si="73"/>
        <v/>
      </c>
      <c r="AC97" s="148">
        <f t="shared" si="51"/>
        <v>0</v>
      </c>
      <c r="AD97" s="107" t="str">
        <f t="shared" si="52"/>
        <v/>
      </c>
      <c r="AE97" s="180">
        <f t="shared" si="74"/>
        <v>0</v>
      </c>
      <c r="AF97" s="73"/>
      <c r="AG97" s="525"/>
      <c r="AH97" s="73"/>
      <c r="AI97" s="73" t="str">
        <f t="shared" si="85"/>
        <v/>
      </c>
      <c r="AJ97" s="64">
        <f t="shared" si="53"/>
        <v>0</v>
      </c>
      <c r="AK97" s="64">
        <f t="shared" si="54"/>
        <v>0</v>
      </c>
      <c r="AL97" s="64" t="str">
        <f t="shared" si="55"/>
        <v/>
      </c>
      <c r="AM97">
        <f t="shared" si="56"/>
        <v>4</v>
      </c>
      <c r="AN97" s="85">
        <f>SUM($AD$6:AD97)</f>
        <v>0</v>
      </c>
      <c r="AO97" s="85">
        <f t="shared" ca="1" si="75"/>
        <v>0</v>
      </c>
      <c r="AP97" s="89">
        <f t="shared" si="76"/>
        <v>0</v>
      </c>
      <c r="AQ97" s="89">
        <f t="shared" si="77"/>
        <v>0</v>
      </c>
      <c r="AR97" s="89">
        <f t="shared" si="78"/>
        <v>0</v>
      </c>
      <c r="AS97" s="88">
        <f t="shared" si="79"/>
        <v>0</v>
      </c>
      <c r="AT97" s="88">
        <f t="shared" ca="1" si="80"/>
        <v>0</v>
      </c>
      <c r="AU97" s="98">
        <f t="shared" si="81"/>
        <v>0</v>
      </c>
      <c r="AV97" s="88">
        <f t="shared" si="82"/>
        <v>0</v>
      </c>
      <c r="AW97" t="b">
        <f>OR((F97&gt;0),(NOT(ISBLANK(H97))),SUM(H97:H$373),SUM(G97:G$373))</f>
        <v>0</v>
      </c>
      <c r="AX97" t="b">
        <f t="shared" ca="1" si="57"/>
        <v>0</v>
      </c>
      <c r="AY97" s="519">
        <f t="shared" si="83"/>
        <v>-0.29166666666666669</v>
      </c>
      <c r="AZ97" s="180">
        <f>SUM(AY$5:AY97)</f>
        <v>-18.958333333333332</v>
      </c>
      <c r="BA97" s="567"/>
      <c r="BB97" s="567">
        <f t="shared" si="58"/>
        <v>0</v>
      </c>
      <c r="BC97" s="567"/>
    </row>
    <row r="98" spans="1:55" ht="15.75">
      <c r="A98" s="260">
        <f t="shared" si="84"/>
        <v>44926</v>
      </c>
      <c r="B98" s="261">
        <f t="shared" si="59"/>
        <v>44926</v>
      </c>
      <c r="C98" s="262">
        <f>IF(A98="","",NumberOfWeek(A98))</f>
        <v>53</v>
      </c>
      <c r="D98" s="263">
        <f t="shared" si="60"/>
        <v>44926</v>
      </c>
      <c r="E98" s="273" t="str">
        <f t="shared" si="61"/>
        <v>Neujahr</v>
      </c>
      <c r="F98" s="5"/>
      <c r="G98" s="6" t="str">
        <f t="shared" si="46"/>
        <v/>
      </c>
      <c r="H98" s="7"/>
      <c r="I98" s="7">
        <f t="shared" si="62"/>
        <v>0</v>
      </c>
      <c r="J98" s="76">
        <f t="shared" si="63"/>
        <v>0</v>
      </c>
      <c r="K98" s="7"/>
      <c r="L98" s="7">
        <f t="shared" si="64"/>
        <v>0</v>
      </c>
      <c r="M98" s="76">
        <f t="shared" si="47"/>
        <v>0</v>
      </c>
      <c r="N98" s="76"/>
      <c r="O98" s="76">
        <f t="shared" si="48"/>
        <v>0</v>
      </c>
      <c r="P98" s="76"/>
      <c r="Q98" s="76">
        <f t="shared" si="49"/>
        <v>0</v>
      </c>
      <c r="R98" s="76">
        <f t="shared" si="65"/>
        <v>0</v>
      </c>
      <c r="S98" s="76">
        <f t="shared" si="66"/>
        <v>0</v>
      </c>
      <c r="T98" s="76">
        <f t="shared" si="67"/>
        <v>0</v>
      </c>
      <c r="U98" s="76">
        <f t="shared" si="68"/>
        <v>0</v>
      </c>
      <c r="V98" s="109">
        <f t="shared" si="69"/>
        <v>0</v>
      </c>
      <c r="W98" s="62"/>
      <c r="X98" s="78">
        <f t="shared" si="50"/>
        <v>3.125E-2</v>
      </c>
      <c r="Y98" s="73">
        <f t="shared" si="70"/>
        <v>0</v>
      </c>
      <c r="Z98" s="74" t="str">
        <f t="shared" si="71"/>
        <v/>
      </c>
      <c r="AA98" s="75">
        <f t="shared" si="72"/>
        <v>0</v>
      </c>
      <c r="AB98" s="63" t="str">
        <f t="shared" si="73"/>
        <v/>
      </c>
      <c r="AC98" s="148">
        <f t="shared" si="51"/>
        <v>0</v>
      </c>
      <c r="AD98" s="107" t="str">
        <f t="shared" si="52"/>
        <v/>
      </c>
      <c r="AE98" s="180">
        <f t="shared" si="74"/>
        <v>0</v>
      </c>
      <c r="AF98" s="73"/>
      <c r="AG98" s="525"/>
      <c r="AH98" s="73"/>
      <c r="AI98" s="73" t="str">
        <f t="shared" si="85"/>
        <v/>
      </c>
      <c r="AJ98" s="64">
        <f t="shared" si="53"/>
        <v>0</v>
      </c>
      <c r="AK98" s="64">
        <f t="shared" si="54"/>
        <v>0</v>
      </c>
      <c r="AL98" s="64" t="str">
        <f t="shared" si="55"/>
        <v/>
      </c>
      <c r="AM98">
        <f t="shared" si="56"/>
        <v>8</v>
      </c>
      <c r="AN98" s="85">
        <f>SUM($AD$6:AD98)</f>
        <v>0</v>
      </c>
      <c r="AO98" s="85">
        <f t="shared" ca="1" si="75"/>
        <v>0</v>
      </c>
      <c r="AP98" s="89">
        <f t="shared" si="76"/>
        <v>0</v>
      </c>
      <c r="AQ98" s="89">
        <f t="shared" si="77"/>
        <v>0</v>
      </c>
      <c r="AR98" s="89">
        <f t="shared" si="78"/>
        <v>0</v>
      </c>
      <c r="AS98" s="88">
        <f t="shared" si="79"/>
        <v>30</v>
      </c>
      <c r="AT98" s="88">
        <f t="shared" ca="1" si="80"/>
        <v>30</v>
      </c>
      <c r="AU98" s="98">
        <f t="shared" si="81"/>
        <v>0</v>
      </c>
      <c r="AV98" s="88">
        <f t="shared" si="82"/>
        <v>8</v>
      </c>
      <c r="AW98" t="b">
        <f>OR((F98&gt;0),(NOT(ISBLANK(H98))),SUM(H98:H$373),SUM(G98:G$373))</f>
        <v>0</v>
      </c>
      <c r="AX98" t="b">
        <f t="shared" ca="1" si="57"/>
        <v>1</v>
      </c>
      <c r="AY98" s="519">
        <f t="shared" si="83"/>
        <v>0</v>
      </c>
      <c r="AZ98" s="180">
        <f>SUM(AY$5:AY98)</f>
        <v>-18.958333333333332</v>
      </c>
      <c r="BA98" s="567"/>
      <c r="BB98" s="567">
        <f t="shared" si="58"/>
        <v>0</v>
      </c>
      <c r="BC98" s="567"/>
    </row>
    <row r="99" spans="1:55" ht="15.75">
      <c r="A99" s="260">
        <f t="shared" si="84"/>
        <v>44927</v>
      </c>
      <c r="B99" s="261">
        <f t="shared" si="59"/>
        <v>44927</v>
      </c>
      <c r="C99" s="262">
        <f>IF(A99="","",NumberOfWeek(A99))</f>
        <v>53</v>
      </c>
      <c r="D99" s="263">
        <f t="shared" si="60"/>
        <v>44926</v>
      </c>
      <c r="E99" s="273" t="str">
        <f t="shared" si="61"/>
        <v/>
      </c>
      <c r="F99" s="5"/>
      <c r="G99" s="6" t="str">
        <f t="shared" si="46"/>
        <v/>
      </c>
      <c r="H99" s="7"/>
      <c r="I99" s="7">
        <f t="shared" si="62"/>
        <v>0</v>
      </c>
      <c r="J99" s="76">
        <f t="shared" si="63"/>
        <v>0</v>
      </c>
      <c r="K99" s="7"/>
      <c r="L99" s="7">
        <f t="shared" si="64"/>
        <v>0</v>
      </c>
      <c r="M99" s="76">
        <f t="shared" si="47"/>
        <v>0</v>
      </c>
      <c r="N99" s="76"/>
      <c r="O99" s="76">
        <f t="shared" si="48"/>
        <v>0</v>
      </c>
      <c r="P99" s="76"/>
      <c r="Q99" s="76">
        <f t="shared" si="49"/>
        <v>0</v>
      </c>
      <c r="R99" s="76">
        <f t="shared" si="65"/>
        <v>0</v>
      </c>
      <c r="S99" s="76">
        <f t="shared" si="66"/>
        <v>0</v>
      </c>
      <c r="T99" s="76">
        <f t="shared" si="67"/>
        <v>0</v>
      </c>
      <c r="U99" s="76">
        <f t="shared" si="68"/>
        <v>0</v>
      </c>
      <c r="V99" s="109">
        <f t="shared" si="69"/>
        <v>0</v>
      </c>
      <c r="W99" s="62"/>
      <c r="X99" s="78">
        <f t="shared" si="50"/>
        <v>3.125E-2</v>
      </c>
      <c r="Y99" s="73">
        <f t="shared" si="70"/>
        <v>0</v>
      </c>
      <c r="Z99" s="74">
        <f t="shared" si="71"/>
        <v>0</v>
      </c>
      <c r="AA99" s="75">
        <f t="shared" si="72"/>
        <v>0</v>
      </c>
      <c r="AB99" s="63" t="str">
        <f t="shared" si="73"/>
        <v/>
      </c>
      <c r="AC99" s="148">
        <f t="shared" si="51"/>
        <v>0</v>
      </c>
      <c r="AD99" s="107" t="str">
        <f t="shared" si="52"/>
        <v/>
      </c>
      <c r="AE99" s="180">
        <f t="shared" si="74"/>
        <v>0</v>
      </c>
      <c r="AF99" s="73"/>
      <c r="AG99" s="525"/>
      <c r="AH99" s="73"/>
      <c r="AI99" s="73" t="str">
        <f t="shared" si="85"/>
        <v/>
      </c>
      <c r="AJ99" s="64">
        <f t="shared" si="53"/>
        <v>0</v>
      </c>
      <c r="AK99" s="64">
        <f t="shared" si="54"/>
        <v>0</v>
      </c>
      <c r="AL99" s="64" t="str">
        <f t="shared" si="55"/>
        <v/>
      </c>
      <c r="AM99">
        <f t="shared" si="56"/>
        <v>6</v>
      </c>
      <c r="AN99" s="85">
        <f>SUM($AD$6:AD99)</f>
        <v>0</v>
      </c>
      <c r="AO99" s="85">
        <f t="shared" ca="1" si="75"/>
        <v>0</v>
      </c>
      <c r="AP99" s="89">
        <f t="shared" si="76"/>
        <v>0</v>
      </c>
      <c r="AQ99" s="89">
        <f t="shared" si="77"/>
        <v>0</v>
      </c>
      <c r="AR99" s="89">
        <f t="shared" si="78"/>
        <v>0</v>
      </c>
      <c r="AS99" s="88">
        <f t="shared" si="79"/>
        <v>30</v>
      </c>
      <c r="AT99" s="88">
        <f t="shared" ca="1" si="80"/>
        <v>30</v>
      </c>
      <c r="AU99" s="98">
        <f t="shared" si="81"/>
        <v>0</v>
      </c>
      <c r="AV99" s="88">
        <f t="shared" si="82"/>
        <v>7</v>
      </c>
      <c r="AW99" t="b">
        <f>OR((F99&gt;0),(NOT(ISBLANK(H99))),SUM(H99:H$373),SUM(G99:G$373))</f>
        <v>0</v>
      </c>
      <c r="AX99" t="b">
        <f t="shared" ca="1" si="57"/>
        <v>1</v>
      </c>
      <c r="AY99" s="519">
        <f t="shared" si="83"/>
        <v>0</v>
      </c>
      <c r="AZ99" s="180">
        <f>SUM(AY$5:AY99)</f>
        <v>-18.958333333333332</v>
      </c>
      <c r="BA99" s="567"/>
      <c r="BB99" s="567">
        <f t="shared" si="58"/>
        <v>0</v>
      </c>
      <c r="BC99" s="567"/>
    </row>
    <row r="100" spans="1:55" ht="15.75">
      <c r="A100" s="260">
        <f t="shared" si="84"/>
        <v>44928</v>
      </c>
      <c r="B100" s="261">
        <f t="shared" si="59"/>
        <v>44928</v>
      </c>
      <c r="C100" s="262">
        <f>IF(A100="","",NumberOfWeek(A100))</f>
        <v>53</v>
      </c>
      <c r="D100" s="263">
        <f t="shared" si="60"/>
        <v>44926</v>
      </c>
      <c r="E100" s="273" t="str">
        <f t="shared" si="61"/>
        <v/>
      </c>
      <c r="F100" s="5"/>
      <c r="G100" s="6" t="str">
        <f t="shared" si="46"/>
        <v/>
      </c>
      <c r="H100" s="7"/>
      <c r="I100" s="7">
        <f t="shared" si="62"/>
        <v>0</v>
      </c>
      <c r="J100" s="76">
        <f t="shared" si="63"/>
        <v>0</v>
      </c>
      <c r="K100" s="7"/>
      <c r="L100" s="7">
        <f t="shared" si="64"/>
        <v>0</v>
      </c>
      <c r="M100" s="76">
        <f t="shared" si="47"/>
        <v>0</v>
      </c>
      <c r="N100" s="76"/>
      <c r="O100" s="76">
        <f t="shared" si="48"/>
        <v>0</v>
      </c>
      <c r="P100" s="76"/>
      <c r="Q100" s="76">
        <f t="shared" si="49"/>
        <v>0</v>
      </c>
      <c r="R100" s="76">
        <f t="shared" si="65"/>
        <v>0</v>
      </c>
      <c r="S100" s="76">
        <f t="shared" si="66"/>
        <v>0</v>
      </c>
      <c r="T100" s="76">
        <f t="shared" si="67"/>
        <v>0</v>
      </c>
      <c r="U100" s="76">
        <f t="shared" si="68"/>
        <v>0</v>
      </c>
      <c r="V100" s="109">
        <f t="shared" si="69"/>
        <v>0</v>
      </c>
      <c r="W100" s="62"/>
      <c r="X100" s="78">
        <f t="shared" si="50"/>
        <v>3.125E-2</v>
      </c>
      <c r="Y100" s="73">
        <f t="shared" si="70"/>
        <v>0</v>
      </c>
      <c r="Z100" s="74">
        <f t="shared" si="71"/>
        <v>0</v>
      </c>
      <c r="AA100" s="75">
        <f t="shared" si="72"/>
        <v>0</v>
      </c>
      <c r="AB100" s="63" t="str">
        <f t="shared" si="73"/>
        <v/>
      </c>
      <c r="AC100" s="148">
        <f t="shared" si="51"/>
        <v>0</v>
      </c>
      <c r="AD100" s="107" t="str">
        <f t="shared" si="52"/>
        <v/>
      </c>
      <c r="AE100" s="180">
        <f t="shared" si="74"/>
        <v>0</v>
      </c>
      <c r="AF100" s="73"/>
      <c r="AG100" s="525"/>
      <c r="AH100" s="73"/>
      <c r="AI100" s="73" t="str">
        <f t="shared" si="85"/>
        <v/>
      </c>
      <c r="AJ100" s="64">
        <f t="shared" si="53"/>
        <v>0</v>
      </c>
      <c r="AK100" s="64">
        <f t="shared" si="54"/>
        <v>0</v>
      </c>
      <c r="AL100" s="64" t="str">
        <f t="shared" si="55"/>
        <v/>
      </c>
      <c r="AM100">
        <f t="shared" si="56"/>
        <v>7</v>
      </c>
      <c r="AN100" s="85">
        <f>SUM($AD$6:AD100)</f>
        <v>0</v>
      </c>
      <c r="AO100" s="85">
        <f t="shared" ca="1" si="75"/>
        <v>0</v>
      </c>
      <c r="AP100" s="89">
        <f t="shared" si="76"/>
        <v>0</v>
      </c>
      <c r="AQ100" s="89">
        <f t="shared" si="77"/>
        <v>0</v>
      </c>
      <c r="AR100" s="89">
        <f t="shared" si="78"/>
        <v>0</v>
      </c>
      <c r="AS100" s="88">
        <f t="shared" si="79"/>
        <v>30</v>
      </c>
      <c r="AT100" s="88">
        <f t="shared" ca="1" si="80"/>
        <v>30</v>
      </c>
      <c r="AU100" s="98">
        <f t="shared" si="81"/>
        <v>0</v>
      </c>
      <c r="AV100" s="88">
        <f t="shared" si="82"/>
        <v>7</v>
      </c>
      <c r="AW100" t="b">
        <f>OR((F100&gt;0),(NOT(ISBLANK(H100))),SUM(H100:H$373),SUM(G100:G$373))</f>
        <v>0</v>
      </c>
      <c r="AX100" t="b">
        <f t="shared" ca="1" si="57"/>
        <v>1</v>
      </c>
      <c r="AY100" s="519">
        <f t="shared" si="83"/>
        <v>0</v>
      </c>
      <c r="AZ100" s="180">
        <f>SUM(AY$5:AY100)</f>
        <v>-18.958333333333332</v>
      </c>
      <c r="BA100" s="567"/>
      <c r="BB100" s="567">
        <f t="shared" si="58"/>
        <v>0</v>
      </c>
      <c r="BC100" s="567"/>
    </row>
    <row r="101" spans="1:55" ht="15.75">
      <c r="A101" s="260">
        <f t="shared" si="84"/>
        <v>44929</v>
      </c>
      <c r="B101" s="261">
        <f t="shared" si="59"/>
        <v>44929</v>
      </c>
      <c r="C101" s="262">
        <f>IF(A101="","",NumberOfWeek(A101))</f>
        <v>1</v>
      </c>
      <c r="D101" s="263">
        <f t="shared" si="60"/>
        <v>44926</v>
      </c>
      <c r="E101" s="273" t="str">
        <f t="shared" si="61"/>
        <v/>
      </c>
      <c r="F101" s="5"/>
      <c r="G101" s="6" t="str">
        <f t="shared" si="46"/>
        <v/>
      </c>
      <c r="H101" s="7"/>
      <c r="I101" s="7">
        <f t="shared" si="62"/>
        <v>0</v>
      </c>
      <c r="J101" s="76">
        <f t="shared" si="63"/>
        <v>0</v>
      </c>
      <c r="K101" s="7"/>
      <c r="L101" s="7">
        <f t="shared" si="64"/>
        <v>0</v>
      </c>
      <c r="M101" s="76">
        <f t="shared" si="47"/>
        <v>0</v>
      </c>
      <c r="N101" s="76"/>
      <c r="O101" s="76">
        <f t="shared" si="48"/>
        <v>0</v>
      </c>
      <c r="P101" s="76"/>
      <c r="Q101" s="76">
        <f t="shared" si="49"/>
        <v>0</v>
      </c>
      <c r="R101" s="76">
        <f t="shared" si="65"/>
        <v>0</v>
      </c>
      <c r="S101" s="76">
        <f t="shared" si="66"/>
        <v>0</v>
      </c>
      <c r="T101" s="76">
        <f t="shared" si="67"/>
        <v>0</v>
      </c>
      <c r="U101" s="76">
        <f t="shared" si="68"/>
        <v>0</v>
      </c>
      <c r="V101" s="109">
        <f t="shared" si="69"/>
        <v>0</v>
      </c>
      <c r="W101" s="62"/>
      <c r="X101" s="78">
        <f t="shared" si="50"/>
        <v>3.125E-2</v>
      </c>
      <c r="Y101" s="73">
        <f t="shared" si="70"/>
        <v>0</v>
      </c>
      <c r="Z101" s="74">
        <f t="shared" si="71"/>
        <v>0.29166666666666669</v>
      </c>
      <c r="AA101" s="75">
        <f t="shared" si="72"/>
        <v>0</v>
      </c>
      <c r="AB101" s="63" t="str">
        <f t="shared" si="73"/>
        <v/>
      </c>
      <c r="AC101" s="148">
        <f t="shared" si="51"/>
        <v>0</v>
      </c>
      <c r="AD101" s="107" t="str">
        <f t="shared" si="52"/>
        <v/>
      </c>
      <c r="AE101" s="180">
        <f t="shared" si="74"/>
        <v>0</v>
      </c>
      <c r="AF101" s="73"/>
      <c r="AG101" s="525"/>
      <c r="AH101" s="73"/>
      <c r="AI101" s="73" t="str">
        <f t="shared" si="85"/>
        <v/>
      </c>
      <c r="AJ101" s="64">
        <f t="shared" si="53"/>
        <v>0</v>
      </c>
      <c r="AK101" s="64">
        <f t="shared" si="54"/>
        <v>0</v>
      </c>
      <c r="AL101" s="64" t="str">
        <f t="shared" si="55"/>
        <v/>
      </c>
      <c r="AM101">
        <f t="shared" si="56"/>
        <v>1</v>
      </c>
      <c r="AN101" s="85">
        <f>SUM($AD$6:AD101)</f>
        <v>0</v>
      </c>
      <c r="AO101" s="85">
        <f t="shared" ca="1" si="75"/>
        <v>0</v>
      </c>
      <c r="AP101" s="89">
        <f t="shared" si="76"/>
        <v>0</v>
      </c>
      <c r="AQ101" s="89">
        <f t="shared" si="77"/>
        <v>0</v>
      </c>
      <c r="AR101" s="89">
        <f t="shared" si="78"/>
        <v>0</v>
      </c>
      <c r="AS101" s="88">
        <f t="shared" si="79"/>
        <v>30</v>
      </c>
      <c r="AT101" s="88">
        <f t="shared" ca="1" si="80"/>
        <v>30</v>
      </c>
      <c r="AU101" s="98">
        <f t="shared" si="81"/>
        <v>0</v>
      </c>
      <c r="AV101" s="88">
        <f t="shared" si="82"/>
        <v>0</v>
      </c>
      <c r="AW101" t="b">
        <f>OR((F101&gt;0),(NOT(ISBLANK(H101))),SUM(H101:H$373),SUM(G101:G$373))</f>
        <v>0</v>
      </c>
      <c r="AX101" t="b">
        <f t="shared" ca="1" si="57"/>
        <v>0</v>
      </c>
      <c r="AY101" s="519">
        <f t="shared" si="83"/>
        <v>-0.29166666666666669</v>
      </c>
      <c r="AZ101" s="180">
        <f>SUM(AY$5:AY101)</f>
        <v>-19.25</v>
      </c>
      <c r="BA101" s="567"/>
      <c r="BB101" s="567">
        <f t="shared" si="58"/>
        <v>0</v>
      </c>
      <c r="BC101" s="567"/>
    </row>
    <row r="102" spans="1:55" ht="15.75">
      <c r="A102" s="260">
        <f t="shared" si="84"/>
        <v>44930</v>
      </c>
      <c r="B102" s="261">
        <f t="shared" si="59"/>
        <v>44930</v>
      </c>
      <c r="C102" s="262">
        <f>IF(A102="","",NumberOfWeek(A102))</f>
        <v>1</v>
      </c>
      <c r="D102" s="263">
        <f t="shared" si="60"/>
        <v>44926</v>
      </c>
      <c r="E102" s="273" t="str">
        <f t="shared" si="61"/>
        <v/>
      </c>
      <c r="F102" s="5"/>
      <c r="G102" s="6" t="str">
        <f t="shared" si="46"/>
        <v/>
      </c>
      <c r="H102" s="7"/>
      <c r="I102" s="7">
        <f t="shared" si="62"/>
        <v>0</v>
      </c>
      <c r="J102" s="76">
        <f t="shared" si="63"/>
        <v>0</v>
      </c>
      <c r="K102" s="7"/>
      <c r="L102" s="7">
        <f t="shared" si="64"/>
        <v>0</v>
      </c>
      <c r="M102" s="76">
        <f t="shared" si="47"/>
        <v>0</v>
      </c>
      <c r="N102" s="76"/>
      <c r="O102" s="76">
        <f t="shared" si="48"/>
        <v>0</v>
      </c>
      <c r="P102" s="76"/>
      <c r="Q102" s="76">
        <f t="shared" si="49"/>
        <v>0</v>
      </c>
      <c r="R102" s="76">
        <f t="shared" si="65"/>
        <v>0</v>
      </c>
      <c r="S102" s="76">
        <f t="shared" si="66"/>
        <v>0</v>
      </c>
      <c r="T102" s="76">
        <f t="shared" si="67"/>
        <v>0</v>
      </c>
      <c r="U102" s="76">
        <f t="shared" si="68"/>
        <v>0</v>
      </c>
      <c r="V102" s="109">
        <f t="shared" si="69"/>
        <v>0</v>
      </c>
      <c r="W102" s="62"/>
      <c r="X102" s="78">
        <f t="shared" si="50"/>
        <v>3.125E-2</v>
      </c>
      <c r="Y102" s="73">
        <f t="shared" si="70"/>
        <v>0</v>
      </c>
      <c r="Z102" s="74">
        <f t="shared" si="71"/>
        <v>0.29166666666666669</v>
      </c>
      <c r="AA102" s="75">
        <f t="shared" si="72"/>
        <v>0</v>
      </c>
      <c r="AB102" s="63" t="str">
        <f t="shared" si="73"/>
        <v/>
      </c>
      <c r="AC102" s="148">
        <f t="shared" si="51"/>
        <v>0</v>
      </c>
      <c r="AD102" s="107" t="str">
        <f t="shared" si="52"/>
        <v/>
      </c>
      <c r="AE102" s="180">
        <f t="shared" si="74"/>
        <v>0</v>
      </c>
      <c r="AF102" s="73"/>
      <c r="AG102" s="525"/>
      <c r="AH102" s="73"/>
      <c r="AI102" s="73" t="str">
        <f t="shared" si="85"/>
        <v/>
      </c>
      <c r="AJ102" s="64">
        <f t="shared" si="53"/>
        <v>0</v>
      </c>
      <c r="AK102" s="64">
        <f t="shared" si="54"/>
        <v>0</v>
      </c>
      <c r="AL102" s="64" t="str">
        <f t="shared" si="55"/>
        <v/>
      </c>
      <c r="AM102">
        <f t="shared" si="56"/>
        <v>2</v>
      </c>
      <c r="AN102" s="85">
        <f>SUM($AD$6:AD102)</f>
        <v>0</v>
      </c>
      <c r="AO102" s="85">
        <f t="shared" ca="1" si="75"/>
        <v>0</v>
      </c>
      <c r="AP102" s="89">
        <f t="shared" si="76"/>
        <v>0</v>
      </c>
      <c r="AQ102" s="89">
        <f t="shared" si="77"/>
        <v>0</v>
      </c>
      <c r="AR102" s="89">
        <f t="shared" si="78"/>
        <v>0</v>
      </c>
      <c r="AS102" s="88">
        <f t="shared" si="79"/>
        <v>30</v>
      </c>
      <c r="AT102" s="88">
        <f t="shared" ca="1" si="80"/>
        <v>30</v>
      </c>
      <c r="AU102" s="98">
        <f t="shared" si="81"/>
        <v>0</v>
      </c>
      <c r="AV102" s="88">
        <f t="shared" si="82"/>
        <v>0</v>
      </c>
      <c r="AW102" t="b">
        <f>OR((F102&gt;0),(NOT(ISBLANK(H102))),SUM(H102:H$373),SUM(G102:G$373))</f>
        <v>0</v>
      </c>
      <c r="AX102" t="b">
        <f t="shared" ca="1" si="57"/>
        <v>0</v>
      </c>
      <c r="AY102" s="519">
        <f t="shared" si="83"/>
        <v>-0.29166666666666669</v>
      </c>
      <c r="AZ102" s="180">
        <f>SUM(AY$5:AY102)</f>
        <v>-19.541666666666668</v>
      </c>
      <c r="BA102" s="567"/>
      <c r="BB102" s="567">
        <f t="shared" si="58"/>
        <v>0</v>
      </c>
      <c r="BC102" s="567"/>
    </row>
    <row r="103" spans="1:55" ht="15.75">
      <c r="A103" s="260">
        <f t="shared" si="84"/>
        <v>44931</v>
      </c>
      <c r="B103" s="261">
        <f t="shared" si="59"/>
        <v>44931</v>
      </c>
      <c r="C103" s="262">
        <f>IF(A103="","",NumberOfWeek(A103))</f>
        <v>1</v>
      </c>
      <c r="D103" s="263">
        <f t="shared" si="60"/>
        <v>44926</v>
      </c>
      <c r="E103" s="273" t="str">
        <f t="shared" si="61"/>
        <v>hl. Dreikönig</v>
      </c>
      <c r="F103" s="5"/>
      <c r="G103" s="6" t="str">
        <f t="shared" si="46"/>
        <v/>
      </c>
      <c r="H103" s="7"/>
      <c r="I103" s="7">
        <f t="shared" si="62"/>
        <v>0</v>
      </c>
      <c r="J103" s="76">
        <f t="shared" si="63"/>
        <v>0</v>
      </c>
      <c r="K103" s="7"/>
      <c r="L103" s="7">
        <f t="shared" si="64"/>
        <v>0</v>
      </c>
      <c r="M103" s="76">
        <f t="shared" si="47"/>
        <v>0</v>
      </c>
      <c r="N103" s="76"/>
      <c r="O103" s="76">
        <f t="shared" si="48"/>
        <v>0</v>
      </c>
      <c r="P103" s="76"/>
      <c r="Q103" s="76">
        <f t="shared" si="49"/>
        <v>0</v>
      </c>
      <c r="R103" s="76">
        <f t="shared" si="65"/>
        <v>0</v>
      </c>
      <c r="S103" s="76">
        <f t="shared" si="66"/>
        <v>0</v>
      </c>
      <c r="T103" s="76">
        <f t="shared" si="67"/>
        <v>0</v>
      </c>
      <c r="U103" s="76">
        <f t="shared" si="68"/>
        <v>0</v>
      </c>
      <c r="V103" s="109">
        <f t="shared" si="69"/>
        <v>0</v>
      </c>
      <c r="W103" s="62"/>
      <c r="X103" s="78">
        <f t="shared" si="50"/>
        <v>3.125E-2</v>
      </c>
      <c r="Y103" s="73">
        <f t="shared" si="70"/>
        <v>0</v>
      </c>
      <c r="Z103" s="74" t="str">
        <f t="shared" si="71"/>
        <v/>
      </c>
      <c r="AA103" s="75">
        <f t="shared" si="72"/>
        <v>0</v>
      </c>
      <c r="AB103" s="63" t="str">
        <f t="shared" si="73"/>
        <v/>
      </c>
      <c r="AC103" s="148">
        <f t="shared" si="51"/>
        <v>0</v>
      </c>
      <c r="AD103" s="107" t="str">
        <f t="shared" si="52"/>
        <v/>
      </c>
      <c r="AE103" s="180">
        <f t="shared" si="74"/>
        <v>0</v>
      </c>
      <c r="AF103" s="73"/>
      <c r="AG103" s="525"/>
      <c r="AH103" s="73"/>
      <c r="AI103" s="73" t="str">
        <f t="shared" si="85"/>
        <v/>
      </c>
      <c r="AJ103" s="64">
        <f t="shared" si="53"/>
        <v>0</v>
      </c>
      <c r="AK103" s="64">
        <f t="shared" si="54"/>
        <v>0</v>
      </c>
      <c r="AL103" s="64" t="str">
        <f t="shared" si="55"/>
        <v/>
      </c>
      <c r="AM103">
        <f t="shared" si="56"/>
        <v>8</v>
      </c>
      <c r="AN103" s="85">
        <f>SUM($AD$6:AD103)</f>
        <v>0</v>
      </c>
      <c r="AO103" s="85">
        <f t="shared" ca="1" si="75"/>
        <v>0</v>
      </c>
      <c r="AP103" s="89">
        <f t="shared" si="76"/>
        <v>0</v>
      </c>
      <c r="AQ103" s="89">
        <f t="shared" si="77"/>
        <v>0</v>
      </c>
      <c r="AR103" s="89">
        <f t="shared" si="78"/>
        <v>0</v>
      </c>
      <c r="AS103" s="88">
        <f t="shared" si="79"/>
        <v>30</v>
      </c>
      <c r="AT103" s="88">
        <f t="shared" ca="1" si="80"/>
        <v>30</v>
      </c>
      <c r="AU103" s="98">
        <f t="shared" si="81"/>
        <v>0</v>
      </c>
      <c r="AV103" s="88">
        <f t="shared" si="82"/>
        <v>8</v>
      </c>
      <c r="AW103" t="b">
        <f>OR((F103&gt;0),(NOT(ISBLANK(H103))),SUM(H103:H$373),SUM(G103:G$373))</f>
        <v>0</v>
      </c>
      <c r="AX103" t="b">
        <f t="shared" ca="1" si="57"/>
        <v>1</v>
      </c>
      <c r="AY103" s="519">
        <f t="shared" si="83"/>
        <v>0</v>
      </c>
      <c r="AZ103" s="180">
        <f>SUM(AY$5:AY103)</f>
        <v>-19.541666666666668</v>
      </c>
      <c r="BA103" s="567"/>
      <c r="BB103" s="567">
        <f t="shared" si="58"/>
        <v>0</v>
      </c>
      <c r="BC103" s="567"/>
    </row>
    <row r="104" spans="1:55" ht="15.75">
      <c r="A104" s="260">
        <f t="shared" si="84"/>
        <v>44932</v>
      </c>
      <c r="B104" s="261">
        <f t="shared" si="59"/>
        <v>44932</v>
      </c>
      <c r="C104" s="262">
        <f>IF(A104="","",NumberOfWeek(A104))</f>
        <v>1</v>
      </c>
      <c r="D104" s="263">
        <f t="shared" si="60"/>
        <v>44926</v>
      </c>
      <c r="E104" s="273" t="str">
        <f t="shared" si="61"/>
        <v/>
      </c>
      <c r="F104" s="5"/>
      <c r="G104" s="6" t="str">
        <f t="shared" si="46"/>
        <v/>
      </c>
      <c r="H104" s="7"/>
      <c r="I104" s="7">
        <f t="shared" si="62"/>
        <v>0</v>
      </c>
      <c r="J104" s="76">
        <f t="shared" si="63"/>
        <v>0</v>
      </c>
      <c r="K104" s="7"/>
      <c r="L104" s="7">
        <f t="shared" si="64"/>
        <v>0</v>
      </c>
      <c r="M104" s="76">
        <f t="shared" si="47"/>
        <v>0</v>
      </c>
      <c r="N104" s="76"/>
      <c r="O104" s="76">
        <f t="shared" si="48"/>
        <v>0</v>
      </c>
      <c r="P104" s="76"/>
      <c r="Q104" s="76">
        <f t="shared" si="49"/>
        <v>0</v>
      </c>
      <c r="R104" s="76">
        <f t="shared" si="65"/>
        <v>0</v>
      </c>
      <c r="S104" s="76">
        <f t="shared" si="66"/>
        <v>0</v>
      </c>
      <c r="T104" s="76">
        <f t="shared" si="67"/>
        <v>0</v>
      </c>
      <c r="U104" s="76">
        <f t="shared" si="68"/>
        <v>0</v>
      </c>
      <c r="V104" s="109">
        <f t="shared" si="69"/>
        <v>0</v>
      </c>
      <c r="W104" s="62"/>
      <c r="X104" s="78">
        <f t="shared" si="50"/>
        <v>3.125E-2</v>
      </c>
      <c r="Y104" s="73">
        <f t="shared" si="70"/>
        <v>0</v>
      </c>
      <c r="Z104" s="74">
        <f t="shared" si="71"/>
        <v>0.29166666666666669</v>
      </c>
      <c r="AA104" s="75">
        <f t="shared" si="72"/>
        <v>0</v>
      </c>
      <c r="AB104" s="63" t="str">
        <f t="shared" si="73"/>
        <v/>
      </c>
      <c r="AC104" s="148">
        <f t="shared" si="51"/>
        <v>0</v>
      </c>
      <c r="AD104" s="107" t="str">
        <f t="shared" si="52"/>
        <v/>
      </c>
      <c r="AE104" s="180">
        <f t="shared" si="74"/>
        <v>0</v>
      </c>
      <c r="AF104" s="73"/>
      <c r="AG104" s="525"/>
      <c r="AH104" s="73"/>
      <c r="AI104" s="73" t="str">
        <f t="shared" si="85"/>
        <v/>
      </c>
      <c r="AJ104" s="64">
        <f t="shared" si="53"/>
        <v>0</v>
      </c>
      <c r="AK104" s="64">
        <f t="shared" si="54"/>
        <v>0</v>
      </c>
      <c r="AL104" s="64" t="str">
        <f t="shared" si="55"/>
        <v/>
      </c>
      <c r="AM104">
        <f t="shared" si="56"/>
        <v>4</v>
      </c>
      <c r="AN104" s="85">
        <f>SUM($AD$6:AD104)</f>
        <v>0</v>
      </c>
      <c r="AO104" s="85">
        <f t="shared" ca="1" si="75"/>
        <v>0</v>
      </c>
      <c r="AP104" s="89">
        <f t="shared" si="76"/>
        <v>0</v>
      </c>
      <c r="AQ104" s="89">
        <f t="shared" si="77"/>
        <v>0</v>
      </c>
      <c r="AR104" s="89">
        <f t="shared" si="78"/>
        <v>0</v>
      </c>
      <c r="AS104" s="88">
        <f t="shared" si="79"/>
        <v>30</v>
      </c>
      <c r="AT104" s="88">
        <f t="shared" ca="1" si="80"/>
        <v>30</v>
      </c>
      <c r="AU104" s="98">
        <f t="shared" si="81"/>
        <v>0</v>
      </c>
      <c r="AV104" s="88">
        <f t="shared" si="82"/>
        <v>0</v>
      </c>
      <c r="AW104" t="b">
        <f>OR((F104&gt;0),(NOT(ISBLANK(H104))),SUM(H104:H$373),SUM(G104:G$373))</f>
        <v>0</v>
      </c>
      <c r="AX104" t="b">
        <f t="shared" ca="1" si="57"/>
        <v>0</v>
      </c>
      <c r="AY104" s="519">
        <f t="shared" si="83"/>
        <v>-0.29166666666666669</v>
      </c>
      <c r="AZ104" s="180">
        <f>SUM(AY$5:AY104)</f>
        <v>-19.833333333333336</v>
      </c>
      <c r="BA104" s="567"/>
      <c r="BB104" s="567">
        <f t="shared" si="58"/>
        <v>0</v>
      </c>
      <c r="BC104" s="567"/>
    </row>
    <row r="105" spans="1:55" ht="15.75">
      <c r="A105" s="260">
        <f t="shared" si="84"/>
        <v>44933</v>
      </c>
      <c r="B105" s="261">
        <f t="shared" si="59"/>
        <v>44933</v>
      </c>
      <c r="C105" s="262">
        <f>IF(A105="","",NumberOfWeek(A105))</f>
        <v>1</v>
      </c>
      <c r="D105" s="263">
        <f t="shared" si="60"/>
        <v>44926</v>
      </c>
      <c r="E105" s="273" t="str">
        <f t="shared" si="61"/>
        <v/>
      </c>
      <c r="F105" s="5"/>
      <c r="G105" s="6" t="str">
        <f t="shared" si="46"/>
        <v/>
      </c>
      <c r="H105" s="7"/>
      <c r="I105" s="7">
        <f t="shared" si="62"/>
        <v>0</v>
      </c>
      <c r="J105" s="76">
        <f t="shared" si="63"/>
        <v>0</v>
      </c>
      <c r="K105" s="7"/>
      <c r="L105" s="7">
        <f t="shared" si="64"/>
        <v>0</v>
      </c>
      <c r="M105" s="76">
        <f t="shared" si="47"/>
        <v>0</v>
      </c>
      <c r="N105" s="76"/>
      <c r="O105" s="76">
        <f t="shared" si="48"/>
        <v>0</v>
      </c>
      <c r="P105" s="76"/>
      <c r="Q105" s="76">
        <f t="shared" si="49"/>
        <v>0</v>
      </c>
      <c r="R105" s="76">
        <f t="shared" si="65"/>
        <v>0</v>
      </c>
      <c r="S105" s="76">
        <f t="shared" si="66"/>
        <v>0</v>
      </c>
      <c r="T105" s="76">
        <f t="shared" si="67"/>
        <v>0</v>
      </c>
      <c r="U105" s="76">
        <f t="shared" si="68"/>
        <v>0</v>
      </c>
      <c r="V105" s="109">
        <f t="shared" si="69"/>
        <v>0</v>
      </c>
      <c r="W105" s="62"/>
      <c r="X105" s="78">
        <f t="shared" si="50"/>
        <v>3.125E-2</v>
      </c>
      <c r="Y105" s="73">
        <f t="shared" si="70"/>
        <v>0</v>
      </c>
      <c r="Z105" s="74">
        <f t="shared" si="71"/>
        <v>0.29166666666666669</v>
      </c>
      <c r="AA105" s="75">
        <f t="shared" si="72"/>
        <v>0</v>
      </c>
      <c r="AB105" s="63" t="str">
        <f t="shared" si="73"/>
        <v/>
      </c>
      <c r="AC105" s="148">
        <f t="shared" si="51"/>
        <v>0</v>
      </c>
      <c r="AD105" s="107" t="str">
        <f t="shared" si="52"/>
        <v/>
      </c>
      <c r="AE105" s="180">
        <f t="shared" si="74"/>
        <v>0</v>
      </c>
      <c r="AF105" s="73"/>
      <c r="AG105" s="525"/>
      <c r="AH105" s="73"/>
      <c r="AI105" s="73" t="str">
        <f t="shared" si="85"/>
        <v/>
      </c>
      <c r="AJ105" s="64">
        <f t="shared" si="53"/>
        <v>0</v>
      </c>
      <c r="AK105" s="64">
        <f t="shared" si="54"/>
        <v>0</v>
      </c>
      <c r="AL105" s="64" t="str">
        <f t="shared" si="55"/>
        <v/>
      </c>
      <c r="AM105">
        <f t="shared" si="56"/>
        <v>5</v>
      </c>
      <c r="AN105" s="85">
        <f>SUM($AD$6:AD105)</f>
        <v>0</v>
      </c>
      <c r="AO105" s="85">
        <f t="shared" ca="1" si="75"/>
        <v>0</v>
      </c>
      <c r="AP105" s="89">
        <f t="shared" si="76"/>
        <v>0</v>
      </c>
      <c r="AQ105" s="89">
        <f t="shared" si="77"/>
        <v>0</v>
      </c>
      <c r="AR105" s="89">
        <f t="shared" si="78"/>
        <v>0</v>
      </c>
      <c r="AS105" s="88">
        <f t="shared" si="79"/>
        <v>30</v>
      </c>
      <c r="AT105" s="88">
        <f t="shared" ca="1" si="80"/>
        <v>30</v>
      </c>
      <c r="AU105" s="98">
        <f t="shared" si="81"/>
        <v>0</v>
      </c>
      <c r="AV105" s="88">
        <f t="shared" si="82"/>
        <v>0</v>
      </c>
      <c r="AW105" t="b">
        <f>OR((F105&gt;0),(NOT(ISBLANK(H105))),SUM(H105:H$373),SUM(G105:G$373))</f>
        <v>0</v>
      </c>
      <c r="AX105" t="b">
        <f t="shared" ca="1" si="57"/>
        <v>0</v>
      </c>
      <c r="AY105" s="519">
        <f t="shared" si="83"/>
        <v>-0.29166666666666669</v>
      </c>
      <c r="AZ105" s="180">
        <f>SUM(AY$5:AY105)</f>
        <v>-20.125000000000004</v>
      </c>
      <c r="BA105" s="567"/>
      <c r="BB105" s="567">
        <f t="shared" si="58"/>
        <v>0</v>
      </c>
      <c r="BC105" s="567"/>
    </row>
    <row r="106" spans="1:55" ht="15.75">
      <c r="A106" s="260">
        <f t="shared" si="84"/>
        <v>44934</v>
      </c>
      <c r="B106" s="261">
        <f t="shared" si="59"/>
        <v>44934</v>
      </c>
      <c r="C106" s="262">
        <f>IF(A106="","",NumberOfWeek(A106))</f>
        <v>1</v>
      </c>
      <c r="D106" s="263">
        <f t="shared" si="60"/>
        <v>44926</v>
      </c>
      <c r="E106" s="273" t="str">
        <f t="shared" si="61"/>
        <v/>
      </c>
      <c r="F106" s="5"/>
      <c r="G106" s="6" t="str">
        <f t="shared" si="46"/>
        <v/>
      </c>
      <c r="H106" s="7"/>
      <c r="I106" s="7">
        <f t="shared" si="62"/>
        <v>0</v>
      </c>
      <c r="J106" s="76">
        <f t="shared" si="63"/>
        <v>0</v>
      </c>
      <c r="K106" s="7"/>
      <c r="L106" s="7">
        <f t="shared" si="64"/>
        <v>0</v>
      </c>
      <c r="M106" s="76">
        <f t="shared" si="47"/>
        <v>0</v>
      </c>
      <c r="N106" s="76"/>
      <c r="O106" s="76">
        <f t="shared" si="48"/>
        <v>0</v>
      </c>
      <c r="P106" s="76"/>
      <c r="Q106" s="76">
        <f t="shared" si="49"/>
        <v>0</v>
      </c>
      <c r="R106" s="76">
        <f t="shared" si="65"/>
        <v>0</v>
      </c>
      <c r="S106" s="76">
        <f t="shared" si="66"/>
        <v>0</v>
      </c>
      <c r="T106" s="76">
        <f t="shared" si="67"/>
        <v>0</v>
      </c>
      <c r="U106" s="76">
        <f t="shared" si="68"/>
        <v>0</v>
      </c>
      <c r="V106" s="109">
        <f t="shared" si="69"/>
        <v>0</v>
      </c>
      <c r="W106" s="62"/>
      <c r="X106" s="78">
        <f t="shared" si="50"/>
        <v>3.125E-2</v>
      </c>
      <c r="Y106" s="73">
        <f t="shared" si="70"/>
        <v>0</v>
      </c>
      <c r="Z106" s="74">
        <f t="shared" si="71"/>
        <v>0</v>
      </c>
      <c r="AA106" s="75">
        <f t="shared" si="72"/>
        <v>0</v>
      </c>
      <c r="AB106" s="63" t="str">
        <f t="shared" si="73"/>
        <v/>
      </c>
      <c r="AC106" s="148">
        <f t="shared" si="51"/>
        <v>0</v>
      </c>
      <c r="AD106" s="107" t="str">
        <f t="shared" si="52"/>
        <v/>
      </c>
      <c r="AE106" s="180">
        <f t="shared" si="74"/>
        <v>0</v>
      </c>
      <c r="AF106" s="73"/>
      <c r="AG106" s="525"/>
      <c r="AH106" s="73"/>
      <c r="AI106" s="73" t="str">
        <f t="shared" si="85"/>
        <v/>
      </c>
      <c r="AJ106" s="64">
        <f t="shared" si="53"/>
        <v>0</v>
      </c>
      <c r="AK106" s="64">
        <f t="shared" si="54"/>
        <v>0</v>
      </c>
      <c r="AL106" s="64" t="str">
        <f t="shared" si="55"/>
        <v/>
      </c>
      <c r="AM106">
        <f t="shared" si="56"/>
        <v>6</v>
      </c>
      <c r="AN106" s="85">
        <f>SUM($AD$6:AD106)</f>
        <v>0</v>
      </c>
      <c r="AO106" s="85">
        <f t="shared" ca="1" si="75"/>
        <v>0</v>
      </c>
      <c r="AP106" s="89">
        <f t="shared" si="76"/>
        <v>0</v>
      </c>
      <c r="AQ106" s="89">
        <f t="shared" si="77"/>
        <v>0</v>
      </c>
      <c r="AR106" s="89">
        <f t="shared" si="78"/>
        <v>0</v>
      </c>
      <c r="AS106" s="88">
        <f t="shared" si="79"/>
        <v>30</v>
      </c>
      <c r="AT106" s="88">
        <f t="shared" ca="1" si="80"/>
        <v>30</v>
      </c>
      <c r="AU106" s="98">
        <f t="shared" si="81"/>
        <v>0</v>
      </c>
      <c r="AV106" s="88">
        <f t="shared" si="82"/>
        <v>7</v>
      </c>
      <c r="AW106" t="b">
        <f>OR((F106&gt;0),(NOT(ISBLANK(H106))),SUM(H106:H$373),SUM(G106:G$373))</f>
        <v>0</v>
      </c>
      <c r="AX106" t="b">
        <f t="shared" ca="1" si="57"/>
        <v>1</v>
      </c>
      <c r="AY106" s="519">
        <f t="shared" si="83"/>
        <v>0</v>
      </c>
      <c r="AZ106" s="180">
        <f>SUM(AY$5:AY106)</f>
        <v>-20.125000000000004</v>
      </c>
      <c r="BA106" s="567"/>
      <c r="BB106" s="567">
        <f t="shared" si="58"/>
        <v>0</v>
      </c>
      <c r="BC106" s="567"/>
    </row>
    <row r="107" spans="1:55" ht="15.75">
      <c r="A107" s="260">
        <f t="shared" si="84"/>
        <v>44935</v>
      </c>
      <c r="B107" s="261">
        <f t="shared" si="59"/>
        <v>44935</v>
      </c>
      <c r="C107" s="262">
        <f>IF(A107="","",NumberOfWeek(A107))</f>
        <v>1</v>
      </c>
      <c r="D107" s="263">
        <f t="shared" si="60"/>
        <v>44926</v>
      </c>
      <c r="E107" s="273" t="str">
        <f t="shared" si="61"/>
        <v/>
      </c>
      <c r="F107" s="5"/>
      <c r="G107" s="6" t="str">
        <f t="shared" si="46"/>
        <v/>
      </c>
      <c r="H107" s="7"/>
      <c r="I107" s="7">
        <f t="shared" si="62"/>
        <v>0</v>
      </c>
      <c r="J107" s="76">
        <f t="shared" si="63"/>
        <v>0</v>
      </c>
      <c r="K107" s="7"/>
      <c r="L107" s="7">
        <f t="shared" si="64"/>
        <v>0</v>
      </c>
      <c r="M107" s="76">
        <f t="shared" si="47"/>
        <v>0</v>
      </c>
      <c r="N107" s="76"/>
      <c r="O107" s="76">
        <f t="shared" si="48"/>
        <v>0</v>
      </c>
      <c r="P107" s="76"/>
      <c r="Q107" s="76">
        <f t="shared" si="49"/>
        <v>0</v>
      </c>
      <c r="R107" s="76">
        <f t="shared" si="65"/>
        <v>0</v>
      </c>
      <c r="S107" s="76">
        <f t="shared" si="66"/>
        <v>0</v>
      </c>
      <c r="T107" s="76">
        <f t="shared" si="67"/>
        <v>0</v>
      </c>
      <c r="U107" s="76">
        <f t="shared" si="68"/>
        <v>0</v>
      </c>
      <c r="V107" s="109">
        <f t="shared" si="69"/>
        <v>0</v>
      </c>
      <c r="W107" s="62"/>
      <c r="X107" s="78">
        <f t="shared" si="50"/>
        <v>3.125E-2</v>
      </c>
      <c r="Y107" s="73">
        <f t="shared" si="70"/>
        <v>0</v>
      </c>
      <c r="Z107" s="74">
        <f t="shared" si="71"/>
        <v>0</v>
      </c>
      <c r="AA107" s="75">
        <f t="shared" si="72"/>
        <v>0</v>
      </c>
      <c r="AB107" s="63" t="str">
        <f t="shared" si="73"/>
        <v/>
      </c>
      <c r="AC107" s="148">
        <f t="shared" si="51"/>
        <v>0</v>
      </c>
      <c r="AD107" s="107" t="str">
        <f t="shared" si="52"/>
        <v/>
      </c>
      <c r="AE107" s="180">
        <f t="shared" si="74"/>
        <v>0</v>
      </c>
      <c r="AF107" s="73"/>
      <c r="AG107" s="525"/>
      <c r="AH107" s="73"/>
      <c r="AI107" s="73" t="str">
        <f t="shared" si="85"/>
        <v/>
      </c>
      <c r="AJ107" s="64">
        <f t="shared" si="53"/>
        <v>0</v>
      </c>
      <c r="AK107" s="64">
        <f t="shared" si="54"/>
        <v>0</v>
      </c>
      <c r="AL107" s="64" t="str">
        <f t="shared" si="55"/>
        <v/>
      </c>
      <c r="AM107">
        <f t="shared" si="56"/>
        <v>7</v>
      </c>
      <c r="AN107" s="85">
        <f>SUM($AD$6:AD107)</f>
        <v>0</v>
      </c>
      <c r="AO107" s="85">
        <f t="shared" ca="1" si="75"/>
        <v>0</v>
      </c>
      <c r="AP107" s="89">
        <f t="shared" si="76"/>
        <v>0</v>
      </c>
      <c r="AQ107" s="89">
        <f t="shared" si="77"/>
        <v>0</v>
      </c>
      <c r="AR107" s="89">
        <f t="shared" si="78"/>
        <v>0</v>
      </c>
      <c r="AS107" s="88">
        <f t="shared" si="79"/>
        <v>30</v>
      </c>
      <c r="AT107" s="88">
        <f t="shared" ca="1" si="80"/>
        <v>30</v>
      </c>
      <c r="AU107" s="98">
        <f t="shared" si="81"/>
        <v>0</v>
      </c>
      <c r="AV107" s="88">
        <f t="shared" si="82"/>
        <v>7</v>
      </c>
      <c r="AW107" t="b">
        <f>OR((F107&gt;0),(NOT(ISBLANK(H107))),SUM(H107:H$373),SUM(G107:G$373))</f>
        <v>0</v>
      </c>
      <c r="AX107" t="b">
        <f t="shared" ca="1" si="57"/>
        <v>1</v>
      </c>
      <c r="AY107" s="519">
        <f t="shared" si="83"/>
        <v>0</v>
      </c>
      <c r="AZ107" s="180">
        <f>SUM(AY$5:AY107)</f>
        <v>-20.125000000000004</v>
      </c>
      <c r="BA107" s="567"/>
      <c r="BB107" s="567">
        <f t="shared" si="58"/>
        <v>0</v>
      </c>
      <c r="BC107" s="567"/>
    </row>
    <row r="108" spans="1:55" ht="15.75">
      <c r="A108" s="260">
        <f t="shared" si="84"/>
        <v>44936</v>
      </c>
      <c r="B108" s="261">
        <f t="shared" si="59"/>
        <v>44936</v>
      </c>
      <c r="C108" s="262">
        <f>IF(A108="","",NumberOfWeek(A108))</f>
        <v>2</v>
      </c>
      <c r="D108" s="263">
        <f t="shared" si="60"/>
        <v>44926</v>
      </c>
      <c r="E108" s="273" t="str">
        <f t="shared" si="61"/>
        <v/>
      </c>
      <c r="F108" s="5"/>
      <c r="G108" s="6" t="str">
        <f t="shared" si="46"/>
        <v/>
      </c>
      <c r="H108" s="7"/>
      <c r="I108" s="7">
        <f t="shared" si="62"/>
        <v>0</v>
      </c>
      <c r="J108" s="76">
        <f t="shared" si="63"/>
        <v>0</v>
      </c>
      <c r="K108" s="7"/>
      <c r="L108" s="7">
        <f t="shared" si="64"/>
        <v>0</v>
      </c>
      <c r="M108" s="76">
        <f t="shared" si="47"/>
        <v>0</v>
      </c>
      <c r="N108" s="76"/>
      <c r="O108" s="76">
        <f t="shared" si="48"/>
        <v>0</v>
      </c>
      <c r="P108" s="76"/>
      <c r="Q108" s="76">
        <f t="shared" si="49"/>
        <v>0</v>
      </c>
      <c r="R108" s="76">
        <f t="shared" si="65"/>
        <v>0</v>
      </c>
      <c r="S108" s="76">
        <f t="shared" si="66"/>
        <v>0</v>
      </c>
      <c r="T108" s="76">
        <f t="shared" si="67"/>
        <v>0</v>
      </c>
      <c r="U108" s="76">
        <f t="shared" si="68"/>
        <v>0</v>
      </c>
      <c r="V108" s="109">
        <f t="shared" si="69"/>
        <v>0</v>
      </c>
      <c r="W108" s="62"/>
      <c r="X108" s="78">
        <f t="shared" si="50"/>
        <v>3.125E-2</v>
      </c>
      <c r="Y108" s="73">
        <f t="shared" si="70"/>
        <v>0</v>
      </c>
      <c r="Z108" s="74">
        <f t="shared" si="71"/>
        <v>0.29166666666666669</v>
      </c>
      <c r="AA108" s="75">
        <f t="shared" si="72"/>
        <v>0</v>
      </c>
      <c r="AB108" s="63" t="str">
        <f t="shared" si="73"/>
        <v/>
      </c>
      <c r="AC108" s="148">
        <f t="shared" si="51"/>
        <v>0</v>
      </c>
      <c r="AD108" s="107" t="str">
        <f t="shared" si="52"/>
        <v/>
      </c>
      <c r="AE108" s="180">
        <f t="shared" si="74"/>
        <v>0</v>
      </c>
      <c r="AF108" s="73"/>
      <c r="AG108" s="525"/>
      <c r="AH108" s="73"/>
      <c r="AI108" s="73" t="str">
        <f t="shared" si="85"/>
        <v/>
      </c>
      <c r="AJ108" s="64">
        <f t="shared" si="53"/>
        <v>0</v>
      </c>
      <c r="AK108" s="64">
        <f t="shared" si="54"/>
        <v>0</v>
      </c>
      <c r="AL108" s="64" t="str">
        <f t="shared" si="55"/>
        <v/>
      </c>
      <c r="AM108">
        <f t="shared" si="56"/>
        <v>1</v>
      </c>
      <c r="AN108" s="85">
        <f>SUM($AD$6:AD108)</f>
        <v>0</v>
      </c>
      <c r="AO108" s="85">
        <f t="shared" ca="1" si="75"/>
        <v>0</v>
      </c>
      <c r="AP108" s="89">
        <f t="shared" si="76"/>
        <v>0</v>
      </c>
      <c r="AQ108" s="89">
        <f t="shared" si="77"/>
        <v>0</v>
      </c>
      <c r="AR108" s="89">
        <f t="shared" si="78"/>
        <v>0</v>
      </c>
      <c r="AS108" s="88">
        <f t="shared" si="79"/>
        <v>30</v>
      </c>
      <c r="AT108" s="88">
        <f t="shared" ca="1" si="80"/>
        <v>30</v>
      </c>
      <c r="AU108" s="98">
        <f t="shared" si="81"/>
        <v>0</v>
      </c>
      <c r="AV108" s="88">
        <f t="shared" si="82"/>
        <v>0</v>
      </c>
      <c r="AW108" t="b">
        <f>OR((F108&gt;0),(NOT(ISBLANK(H108))),SUM(H108:H$373),SUM(G108:G$373))</f>
        <v>0</v>
      </c>
      <c r="AX108" t="b">
        <f t="shared" ca="1" si="57"/>
        <v>0</v>
      </c>
      <c r="AY108" s="519">
        <f t="shared" si="83"/>
        <v>-0.29166666666666669</v>
      </c>
      <c r="AZ108" s="180">
        <f>SUM(AY$5:AY108)</f>
        <v>-20.416666666666671</v>
      </c>
      <c r="BA108" s="567"/>
      <c r="BB108" s="567">
        <f t="shared" si="58"/>
        <v>0</v>
      </c>
      <c r="BC108" s="567"/>
    </row>
    <row r="109" spans="1:55" ht="15.75">
      <c r="A109" s="260">
        <f t="shared" si="84"/>
        <v>44937</v>
      </c>
      <c r="B109" s="261">
        <f t="shared" si="59"/>
        <v>44937</v>
      </c>
      <c r="C109" s="262">
        <f>IF(A109="","",NumberOfWeek(A109))</f>
        <v>2</v>
      </c>
      <c r="D109" s="263">
        <f t="shared" si="60"/>
        <v>44926</v>
      </c>
      <c r="E109" s="273" t="str">
        <f t="shared" si="61"/>
        <v/>
      </c>
      <c r="F109" s="5"/>
      <c r="G109" s="6" t="str">
        <f t="shared" si="46"/>
        <v/>
      </c>
      <c r="H109" s="7"/>
      <c r="I109" s="7">
        <f t="shared" si="62"/>
        <v>0</v>
      </c>
      <c r="J109" s="76">
        <f t="shared" si="63"/>
        <v>0</v>
      </c>
      <c r="K109" s="7"/>
      <c r="L109" s="7">
        <f t="shared" si="64"/>
        <v>0</v>
      </c>
      <c r="M109" s="76">
        <f t="shared" si="47"/>
        <v>0</v>
      </c>
      <c r="N109" s="76"/>
      <c r="O109" s="76">
        <f t="shared" si="48"/>
        <v>0</v>
      </c>
      <c r="P109" s="76"/>
      <c r="Q109" s="76">
        <f t="shared" si="49"/>
        <v>0</v>
      </c>
      <c r="R109" s="76">
        <f t="shared" si="65"/>
        <v>0</v>
      </c>
      <c r="S109" s="76">
        <f t="shared" si="66"/>
        <v>0</v>
      </c>
      <c r="T109" s="76">
        <f t="shared" si="67"/>
        <v>0</v>
      </c>
      <c r="U109" s="76">
        <f t="shared" si="68"/>
        <v>0</v>
      </c>
      <c r="V109" s="109">
        <f t="shared" si="69"/>
        <v>0</v>
      </c>
      <c r="W109" s="62"/>
      <c r="X109" s="78">
        <f t="shared" si="50"/>
        <v>3.125E-2</v>
      </c>
      <c r="Y109" s="73">
        <f t="shared" si="70"/>
        <v>0</v>
      </c>
      <c r="Z109" s="74">
        <f t="shared" si="71"/>
        <v>0.29166666666666669</v>
      </c>
      <c r="AA109" s="75">
        <f t="shared" si="72"/>
        <v>0</v>
      </c>
      <c r="AB109" s="63" t="str">
        <f t="shared" si="73"/>
        <v/>
      </c>
      <c r="AC109" s="148">
        <f t="shared" si="51"/>
        <v>0</v>
      </c>
      <c r="AD109" s="107" t="str">
        <f t="shared" si="52"/>
        <v/>
      </c>
      <c r="AE109" s="180">
        <f t="shared" si="74"/>
        <v>0</v>
      </c>
      <c r="AF109" s="73"/>
      <c r="AG109" s="525"/>
      <c r="AH109" s="73"/>
      <c r="AI109" s="73" t="str">
        <f t="shared" si="85"/>
        <v/>
      </c>
      <c r="AJ109" s="64">
        <f t="shared" si="53"/>
        <v>0</v>
      </c>
      <c r="AK109" s="64">
        <f t="shared" si="54"/>
        <v>0</v>
      </c>
      <c r="AL109" s="64" t="str">
        <f t="shared" si="55"/>
        <v/>
      </c>
      <c r="AM109">
        <f t="shared" si="56"/>
        <v>2</v>
      </c>
      <c r="AN109" s="85">
        <f>SUM($AD$6:AD109)</f>
        <v>0</v>
      </c>
      <c r="AO109" s="85">
        <f t="shared" ca="1" si="75"/>
        <v>0</v>
      </c>
      <c r="AP109" s="89">
        <f t="shared" si="76"/>
        <v>0</v>
      </c>
      <c r="AQ109" s="89">
        <f t="shared" si="77"/>
        <v>0</v>
      </c>
      <c r="AR109" s="89">
        <f t="shared" si="78"/>
        <v>0</v>
      </c>
      <c r="AS109" s="88">
        <f t="shared" si="79"/>
        <v>30</v>
      </c>
      <c r="AT109" s="88">
        <f t="shared" ca="1" si="80"/>
        <v>30</v>
      </c>
      <c r="AU109" s="98">
        <f t="shared" si="81"/>
        <v>0</v>
      </c>
      <c r="AV109" s="88">
        <f t="shared" si="82"/>
        <v>0</v>
      </c>
      <c r="AW109" t="b">
        <f>OR((F109&gt;0),(NOT(ISBLANK(H109))),SUM(H109:H$373),SUM(G109:G$373))</f>
        <v>0</v>
      </c>
      <c r="AX109" t="b">
        <f t="shared" ca="1" si="57"/>
        <v>0</v>
      </c>
      <c r="AY109" s="519">
        <f t="shared" si="83"/>
        <v>-0.29166666666666669</v>
      </c>
      <c r="AZ109" s="180">
        <f>SUM(AY$5:AY109)</f>
        <v>-20.708333333333339</v>
      </c>
      <c r="BA109" s="567"/>
      <c r="BB109" s="567">
        <f t="shared" si="58"/>
        <v>0</v>
      </c>
      <c r="BC109" s="567"/>
    </row>
    <row r="110" spans="1:55" ht="15.75">
      <c r="A110" s="260">
        <f t="shared" si="84"/>
        <v>44938</v>
      </c>
      <c r="B110" s="261">
        <f t="shared" si="59"/>
        <v>44938</v>
      </c>
      <c r="C110" s="262">
        <f>IF(A110="","",NumberOfWeek(A110))</f>
        <v>2</v>
      </c>
      <c r="D110" s="263">
        <f t="shared" si="60"/>
        <v>44926</v>
      </c>
      <c r="E110" s="273" t="str">
        <f t="shared" si="61"/>
        <v/>
      </c>
      <c r="F110" s="5"/>
      <c r="G110" s="6" t="str">
        <f t="shared" si="46"/>
        <v/>
      </c>
      <c r="H110" s="7"/>
      <c r="I110" s="7">
        <f t="shared" si="62"/>
        <v>0</v>
      </c>
      <c r="J110" s="76">
        <f t="shared" si="63"/>
        <v>0</v>
      </c>
      <c r="K110" s="7"/>
      <c r="L110" s="7">
        <f t="shared" si="64"/>
        <v>0</v>
      </c>
      <c r="M110" s="76">
        <f t="shared" si="47"/>
        <v>0</v>
      </c>
      <c r="N110" s="76"/>
      <c r="O110" s="76">
        <f t="shared" si="48"/>
        <v>0</v>
      </c>
      <c r="P110" s="76"/>
      <c r="Q110" s="76">
        <f t="shared" si="49"/>
        <v>0</v>
      </c>
      <c r="R110" s="76">
        <f t="shared" si="65"/>
        <v>0</v>
      </c>
      <c r="S110" s="76">
        <f t="shared" si="66"/>
        <v>0</v>
      </c>
      <c r="T110" s="76">
        <f t="shared" si="67"/>
        <v>0</v>
      </c>
      <c r="U110" s="76">
        <f t="shared" si="68"/>
        <v>0</v>
      </c>
      <c r="V110" s="109">
        <f t="shared" si="69"/>
        <v>0</v>
      </c>
      <c r="W110" s="62"/>
      <c r="X110" s="78">
        <f t="shared" si="50"/>
        <v>3.125E-2</v>
      </c>
      <c r="Y110" s="73">
        <f t="shared" si="70"/>
        <v>0</v>
      </c>
      <c r="Z110" s="74">
        <f t="shared" si="71"/>
        <v>0.29166666666666669</v>
      </c>
      <c r="AA110" s="75">
        <f t="shared" si="72"/>
        <v>0</v>
      </c>
      <c r="AB110" s="63" t="str">
        <f t="shared" si="73"/>
        <v/>
      </c>
      <c r="AC110" s="148">
        <f t="shared" si="51"/>
        <v>0</v>
      </c>
      <c r="AD110" s="107" t="str">
        <f t="shared" si="52"/>
        <v/>
      </c>
      <c r="AE110" s="180">
        <f t="shared" si="74"/>
        <v>0</v>
      </c>
      <c r="AF110" s="73"/>
      <c r="AG110" s="525"/>
      <c r="AH110" s="73"/>
      <c r="AI110" s="73" t="str">
        <f t="shared" si="85"/>
        <v/>
      </c>
      <c r="AJ110" s="64">
        <f t="shared" si="53"/>
        <v>0</v>
      </c>
      <c r="AK110" s="64">
        <f t="shared" si="54"/>
        <v>0</v>
      </c>
      <c r="AL110" s="64" t="str">
        <f t="shared" si="55"/>
        <v/>
      </c>
      <c r="AM110">
        <f t="shared" si="56"/>
        <v>3</v>
      </c>
      <c r="AN110" s="85">
        <f>SUM($AD$6:AD110)</f>
        <v>0</v>
      </c>
      <c r="AO110" s="85">
        <f t="shared" ca="1" si="75"/>
        <v>0</v>
      </c>
      <c r="AP110" s="89">
        <f t="shared" si="76"/>
        <v>0</v>
      </c>
      <c r="AQ110" s="89">
        <f t="shared" si="77"/>
        <v>0</v>
      </c>
      <c r="AR110" s="89">
        <f t="shared" si="78"/>
        <v>0</v>
      </c>
      <c r="AS110" s="88">
        <f t="shared" si="79"/>
        <v>30</v>
      </c>
      <c r="AT110" s="88">
        <f t="shared" ca="1" si="80"/>
        <v>30</v>
      </c>
      <c r="AU110" s="98">
        <f t="shared" si="81"/>
        <v>0</v>
      </c>
      <c r="AV110" s="88">
        <f t="shared" si="82"/>
        <v>0</v>
      </c>
      <c r="AW110" t="b">
        <f>OR((F110&gt;0),(NOT(ISBLANK(H110))),SUM(H110:H$373),SUM(G110:G$373))</f>
        <v>0</v>
      </c>
      <c r="AX110" t="b">
        <f t="shared" ca="1" si="57"/>
        <v>0</v>
      </c>
      <c r="AY110" s="519">
        <f t="shared" si="83"/>
        <v>-0.29166666666666669</v>
      </c>
      <c r="AZ110" s="180">
        <f>SUM(AY$5:AY110)</f>
        <v>-21.000000000000007</v>
      </c>
      <c r="BA110" s="567"/>
      <c r="BB110" s="567">
        <f t="shared" si="58"/>
        <v>0</v>
      </c>
      <c r="BC110" s="567"/>
    </row>
    <row r="111" spans="1:55" ht="15.75">
      <c r="A111" s="260">
        <f t="shared" si="84"/>
        <v>44939</v>
      </c>
      <c r="B111" s="261">
        <f t="shared" si="59"/>
        <v>44939</v>
      </c>
      <c r="C111" s="262">
        <f>IF(A111="","",NumberOfWeek(A111))</f>
        <v>2</v>
      </c>
      <c r="D111" s="263">
        <f t="shared" si="60"/>
        <v>44926</v>
      </c>
      <c r="E111" s="273" t="str">
        <f t="shared" si="61"/>
        <v/>
      </c>
      <c r="F111" s="5"/>
      <c r="G111" s="6" t="str">
        <f t="shared" si="46"/>
        <v/>
      </c>
      <c r="H111" s="7"/>
      <c r="I111" s="7">
        <f t="shared" si="62"/>
        <v>0</v>
      </c>
      <c r="J111" s="76">
        <f t="shared" si="63"/>
        <v>0</v>
      </c>
      <c r="K111" s="7"/>
      <c r="L111" s="7">
        <f t="shared" si="64"/>
        <v>0</v>
      </c>
      <c r="M111" s="76">
        <f t="shared" si="47"/>
        <v>0</v>
      </c>
      <c r="N111" s="76"/>
      <c r="O111" s="76">
        <f t="shared" si="48"/>
        <v>0</v>
      </c>
      <c r="P111" s="76"/>
      <c r="Q111" s="76">
        <f t="shared" si="49"/>
        <v>0</v>
      </c>
      <c r="R111" s="76">
        <f t="shared" si="65"/>
        <v>0</v>
      </c>
      <c r="S111" s="76">
        <f t="shared" si="66"/>
        <v>0</v>
      </c>
      <c r="T111" s="76">
        <f t="shared" si="67"/>
        <v>0</v>
      </c>
      <c r="U111" s="76">
        <f t="shared" si="68"/>
        <v>0</v>
      </c>
      <c r="V111" s="109">
        <f t="shared" si="69"/>
        <v>0</v>
      </c>
      <c r="W111" s="62"/>
      <c r="X111" s="78">
        <f t="shared" si="50"/>
        <v>3.125E-2</v>
      </c>
      <c r="Y111" s="73">
        <f t="shared" si="70"/>
        <v>0</v>
      </c>
      <c r="Z111" s="74">
        <f t="shared" si="71"/>
        <v>0.29166666666666669</v>
      </c>
      <c r="AA111" s="75">
        <f t="shared" si="72"/>
        <v>0</v>
      </c>
      <c r="AB111" s="63" t="str">
        <f t="shared" si="73"/>
        <v/>
      </c>
      <c r="AC111" s="148">
        <f t="shared" si="51"/>
        <v>0</v>
      </c>
      <c r="AD111" s="107" t="str">
        <f t="shared" si="52"/>
        <v/>
      </c>
      <c r="AE111" s="180">
        <f t="shared" si="74"/>
        <v>0</v>
      </c>
      <c r="AF111" s="73"/>
      <c r="AG111" s="525"/>
      <c r="AH111" s="73"/>
      <c r="AI111" s="73" t="str">
        <f t="shared" si="85"/>
        <v/>
      </c>
      <c r="AJ111" s="64">
        <f t="shared" si="53"/>
        <v>0</v>
      </c>
      <c r="AK111" s="64">
        <f t="shared" si="54"/>
        <v>0</v>
      </c>
      <c r="AL111" s="64" t="str">
        <f t="shared" si="55"/>
        <v/>
      </c>
      <c r="AM111">
        <f t="shared" si="56"/>
        <v>4</v>
      </c>
      <c r="AN111" s="85">
        <f>SUM($AD$6:AD111)</f>
        <v>0</v>
      </c>
      <c r="AO111" s="85">
        <f t="shared" ca="1" si="75"/>
        <v>0</v>
      </c>
      <c r="AP111" s="89">
        <f t="shared" si="76"/>
        <v>0</v>
      </c>
      <c r="AQ111" s="89">
        <f t="shared" si="77"/>
        <v>0</v>
      </c>
      <c r="AR111" s="89">
        <f t="shared" si="78"/>
        <v>0</v>
      </c>
      <c r="AS111" s="88">
        <f t="shared" si="79"/>
        <v>30</v>
      </c>
      <c r="AT111" s="88">
        <f t="shared" ca="1" si="80"/>
        <v>30</v>
      </c>
      <c r="AU111" s="98">
        <f t="shared" si="81"/>
        <v>0</v>
      </c>
      <c r="AV111" s="88">
        <f t="shared" si="82"/>
        <v>0</v>
      </c>
      <c r="AW111" t="b">
        <f>OR((F111&gt;0),(NOT(ISBLANK(H111))),SUM(H111:H$373),SUM(G111:G$373))</f>
        <v>0</v>
      </c>
      <c r="AX111" t="b">
        <f t="shared" ca="1" si="57"/>
        <v>0</v>
      </c>
      <c r="AY111" s="519">
        <f t="shared" si="83"/>
        <v>-0.29166666666666669</v>
      </c>
      <c r="AZ111" s="180">
        <f>SUM(AY$5:AY111)</f>
        <v>-21.291666666666675</v>
      </c>
      <c r="BA111" s="567"/>
      <c r="BB111" s="567">
        <f t="shared" si="58"/>
        <v>0</v>
      </c>
      <c r="BC111" s="567"/>
    </row>
    <row r="112" spans="1:55" ht="15.75">
      <c r="A112" s="260">
        <f t="shared" si="84"/>
        <v>44940</v>
      </c>
      <c r="B112" s="261">
        <f t="shared" si="59"/>
        <v>44940</v>
      </c>
      <c r="C112" s="262">
        <f>IF(A112="","",NumberOfWeek(A112))</f>
        <v>2</v>
      </c>
      <c r="D112" s="263">
        <f t="shared" si="60"/>
        <v>44926</v>
      </c>
      <c r="E112" s="273" t="str">
        <f t="shared" si="61"/>
        <v/>
      </c>
      <c r="F112" s="5"/>
      <c r="G112" s="6" t="str">
        <f t="shared" si="46"/>
        <v/>
      </c>
      <c r="H112" s="7"/>
      <c r="I112" s="7">
        <f t="shared" si="62"/>
        <v>0</v>
      </c>
      <c r="J112" s="76">
        <f t="shared" si="63"/>
        <v>0</v>
      </c>
      <c r="K112" s="7"/>
      <c r="L112" s="7">
        <f t="shared" si="64"/>
        <v>0</v>
      </c>
      <c r="M112" s="76">
        <f t="shared" si="47"/>
        <v>0</v>
      </c>
      <c r="N112" s="76"/>
      <c r="O112" s="76">
        <f t="shared" si="48"/>
        <v>0</v>
      </c>
      <c r="P112" s="76"/>
      <c r="Q112" s="76">
        <f t="shared" si="49"/>
        <v>0</v>
      </c>
      <c r="R112" s="76">
        <f t="shared" si="65"/>
        <v>0</v>
      </c>
      <c r="S112" s="76">
        <f t="shared" si="66"/>
        <v>0</v>
      </c>
      <c r="T112" s="76">
        <f t="shared" si="67"/>
        <v>0</v>
      </c>
      <c r="U112" s="76">
        <f t="shared" si="68"/>
        <v>0</v>
      </c>
      <c r="V112" s="109">
        <f t="shared" si="69"/>
        <v>0</v>
      </c>
      <c r="W112" s="62"/>
      <c r="X112" s="78">
        <f t="shared" si="50"/>
        <v>3.125E-2</v>
      </c>
      <c r="Y112" s="73">
        <f t="shared" si="70"/>
        <v>0</v>
      </c>
      <c r="Z112" s="74">
        <f t="shared" si="71"/>
        <v>0.29166666666666669</v>
      </c>
      <c r="AA112" s="75">
        <f t="shared" si="72"/>
        <v>0</v>
      </c>
      <c r="AB112" s="63" t="str">
        <f t="shared" si="73"/>
        <v/>
      </c>
      <c r="AC112" s="148">
        <f t="shared" si="51"/>
        <v>0</v>
      </c>
      <c r="AD112" s="107" t="str">
        <f t="shared" si="52"/>
        <v/>
      </c>
      <c r="AE112" s="180">
        <f t="shared" si="74"/>
        <v>0</v>
      </c>
      <c r="AF112" s="73"/>
      <c r="AG112" s="525"/>
      <c r="AH112" s="73"/>
      <c r="AI112" s="73" t="str">
        <f t="shared" si="85"/>
        <v/>
      </c>
      <c r="AJ112" s="64">
        <f t="shared" si="53"/>
        <v>0</v>
      </c>
      <c r="AK112" s="64">
        <f t="shared" si="54"/>
        <v>0</v>
      </c>
      <c r="AL112" s="64" t="str">
        <f t="shared" si="55"/>
        <v/>
      </c>
      <c r="AM112">
        <f t="shared" si="56"/>
        <v>5</v>
      </c>
      <c r="AN112" s="85">
        <f>SUM($AD$6:AD112)</f>
        <v>0</v>
      </c>
      <c r="AO112" s="85">
        <f t="shared" ca="1" si="75"/>
        <v>0</v>
      </c>
      <c r="AP112" s="89">
        <f t="shared" si="76"/>
        <v>0</v>
      </c>
      <c r="AQ112" s="89">
        <f t="shared" si="77"/>
        <v>0</v>
      </c>
      <c r="AR112" s="89">
        <f t="shared" si="78"/>
        <v>0</v>
      </c>
      <c r="AS112" s="88">
        <f t="shared" si="79"/>
        <v>30</v>
      </c>
      <c r="AT112" s="88">
        <f t="shared" ca="1" si="80"/>
        <v>30</v>
      </c>
      <c r="AU112" s="98">
        <f t="shared" si="81"/>
        <v>0</v>
      </c>
      <c r="AV112" s="88">
        <f t="shared" si="82"/>
        <v>0</v>
      </c>
      <c r="AW112" t="b">
        <f>OR((F112&gt;0),(NOT(ISBLANK(H112))),SUM(H112:H$373),SUM(G112:G$373))</f>
        <v>0</v>
      </c>
      <c r="AX112" t="b">
        <f t="shared" ca="1" si="57"/>
        <v>0</v>
      </c>
      <c r="AY112" s="519">
        <f t="shared" si="83"/>
        <v>-0.29166666666666669</v>
      </c>
      <c r="AZ112" s="180">
        <f>SUM(AY$5:AY112)</f>
        <v>-21.583333333333343</v>
      </c>
      <c r="BA112" s="567"/>
      <c r="BB112" s="567">
        <f t="shared" si="58"/>
        <v>0</v>
      </c>
      <c r="BC112" s="567"/>
    </row>
    <row r="113" spans="1:55" ht="15.75">
      <c r="A113" s="260">
        <f t="shared" si="84"/>
        <v>44941</v>
      </c>
      <c r="B113" s="261">
        <f t="shared" si="59"/>
        <v>44941</v>
      </c>
      <c r="C113" s="262">
        <f>IF(A113="","",NumberOfWeek(A113))</f>
        <v>2</v>
      </c>
      <c r="D113" s="263">
        <f t="shared" si="60"/>
        <v>44926</v>
      </c>
      <c r="E113" s="273" t="str">
        <f t="shared" si="61"/>
        <v/>
      </c>
      <c r="F113" s="5"/>
      <c r="G113" s="6" t="str">
        <f t="shared" si="46"/>
        <v/>
      </c>
      <c r="H113" s="7"/>
      <c r="I113" s="7">
        <f t="shared" si="62"/>
        <v>0</v>
      </c>
      <c r="J113" s="76">
        <f t="shared" si="63"/>
        <v>0</v>
      </c>
      <c r="K113" s="7"/>
      <c r="L113" s="7">
        <f t="shared" si="64"/>
        <v>0</v>
      </c>
      <c r="M113" s="76">
        <f t="shared" si="47"/>
        <v>0</v>
      </c>
      <c r="N113" s="76"/>
      <c r="O113" s="76">
        <f t="shared" si="48"/>
        <v>0</v>
      </c>
      <c r="P113" s="76"/>
      <c r="Q113" s="76">
        <f t="shared" si="49"/>
        <v>0</v>
      </c>
      <c r="R113" s="76">
        <f t="shared" si="65"/>
        <v>0</v>
      </c>
      <c r="S113" s="76">
        <f t="shared" si="66"/>
        <v>0</v>
      </c>
      <c r="T113" s="76">
        <f t="shared" si="67"/>
        <v>0</v>
      </c>
      <c r="U113" s="76">
        <f t="shared" si="68"/>
        <v>0</v>
      </c>
      <c r="V113" s="109">
        <f t="shared" si="69"/>
        <v>0</v>
      </c>
      <c r="W113" s="62"/>
      <c r="X113" s="78">
        <f t="shared" si="50"/>
        <v>3.125E-2</v>
      </c>
      <c r="Y113" s="73">
        <f t="shared" si="70"/>
        <v>0</v>
      </c>
      <c r="Z113" s="74">
        <f t="shared" si="71"/>
        <v>0</v>
      </c>
      <c r="AA113" s="75">
        <f t="shared" si="72"/>
        <v>0</v>
      </c>
      <c r="AB113" s="63" t="str">
        <f t="shared" si="73"/>
        <v/>
      </c>
      <c r="AC113" s="148">
        <f t="shared" si="51"/>
        <v>0</v>
      </c>
      <c r="AD113" s="107" t="str">
        <f t="shared" si="52"/>
        <v/>
      </c>
      <c r="AE113" s="180">
        <f t="shared" si="74"/>
        <v>0</v>
      </c>
      <c r="AF113" s="73"/>
      <c r="AG113" s="525"/>
      <c r="AH113" s="73"/>
      <c r="AI113" s="73" t="str">
        <f t="shared" si="85"/>
        <v/>
      </c>
      <c r="AJ113" s="64">
        <f t="shared" si="53"/>
        <v>0</v>
      </c>
      <c r="AK113" s="64">
        <f t="shared" si="54"/>
        <v>0</v>
      </c>
      <c r="AL113" s="64" t="str">
        <f t="shared" si="55"/>
        <v/>
      </c>
      <c r="AM113">
        <f t="shared" si="56"/>
        <v>6</v>
      </c>
      <c r="AN113" s="85">
        <f>SUM($AD$6:AD113)</f>
        <v>0</v>
      </c>
      <c r="AO113" s="85">
        <f t="shared" ca="1" si="75"/>
        <v>0</v>
      </c>
      <c r="AP113" s="89">
        <f t="shared" si="76"/>
        <v>0</v>
      </c>
      <c r="AQ113" s="89">
        <f t="shared" si="77"/>
        <v>0</v>
      </c>
      <c r="AR113" s="89">
        <f t="shared" si="78"/>
        <v>0</v>
      </c>
      <c r="AS113" s="88">
        <f t="shared" si="79"/>
        <v>30</v>
      </c>
      <c r="AT113" s="88">
        <f t="shared" ca="1" si="80"/>
        <v>30</v>
      </c>
      <c r="AU113" s="98">
        <f t="shared" si="81"/>
        <v>0</v>
      </c>
      <c r="AV113" s="88">
        <f t="shared" si="82"/>
        <v>7</v>
      </c>
      <c r="AW113" t="b">
        <f>OR((F113&gt;0),(NOT(ISBLANK(H113))),SUM(H113:H$373),SUM(G113:G$373))</f>
        <v>0</v>
      </c>
      <c r="AX113" t="b">
        <f t="shared" ca="1" si="57"/>
        <v>1</v>
      </c>
      <c r="AY113" s="519">
        <f t="shared" si="83"/>
        <v>0</v>
      </c>
      <c r="AZ113" s="180">
        <f>SUM(AY$5:AY113)</f>
        <v>-21.583333333333343</v>
      </c>
      <c r="BA113" s="567"/>
      <c r="BB113" s="567">
        <f t="shared" si="58"/>
        <v>0</v>
      </c>
      <c r="BC113" s="567"/>
    </row>
    <row r="114" spans="1:55" ht="15.75">
      <c r="A114" s="260">
        <f t="shared" si="84"/>
        <v>44942</v>
      </c>
      <c r="B114" s="261">
        <f t="shared" si="59"/>
        <v>44942</v>
      </c>
      <c r="C114" s="262">
        <f>IF(A114="","",NumberOfWeek(A114))</f>
        <v>2</v>
      </c>
      <c r="D114" s="263">
        <f t="shared" si="60"/>
        <v>44926</v>
      </c>
      <c r="E114" s="273" t="str">
        <f t="shared" si="61"/>
        <v/>
      </c>
      <c r="F114" s="5"/>
      <c r="G114" s="6" t="str">
        <f t="shared" si="46"/>
        <v/>
      </c>
      <c r="H114" s="7"/>
      <c r="I114" s="7">
        <f t="shared" si="62"/>
        <v>0</v>
      </c>
      <c r="J114" s="76">
        <f t="shared" si="63"/>
        <v>0</v>
      </c>
      <c r="K114" s="7"/>
      <c r="L114" s="7">
        <f t="shared" si="64"/>
        <v>0</v>
      </c>
      <c r="M114" s="76">
        <f t="shared" si="47"/>
        <v>0</v>
      </c>
      <c r="N114" s="76"/>
      <c r="O114" s="76">
        <f t="shared" si="48"/>
        <v>0</v>
      </c>
      <c r="P114" s="76"/>
      <c r="Q114" s="76">
        <f t="shared" si="49"/>
        <v>0</v>
      </c>
      <c r="R114" s="76">
        <f t="shared" si="65"/>
        <v>0</v>
      </c>
      <c r="S114" s="76">
        <f t="shared" si="66"/>
        <v>0</v>
      </c>
      <c r="T114" s="76">
        <f t="shared" si="67"/>
        <v>0</v>
      </c>
      <c r="U114" s="76">
        <f t="shared" si="68"/>
        <v>0</v>
      </c>
      <c r="V114" s="109">
        <f t="shared" si="69"/>
        <v>0</v>
      </c>
      <c r="W114" s="62"/>
      <c r="X114" s="78">
        <f t="shared" si="50"/>
        <v>3.125E-2</v>
      </c>
      <c r="Y114" s="73">
        <f t="shared" si="70"/>
        <v>0</v>
      </c>
      <c r="Z114" s="74">
        <f t="shared" si="71"/>
        <v>0</v>
      </c>
      <c r="AA114" s="75">
        <f t="shared" si="72"/>
        <v>0</v>
      </c>
      <c r="AB114" s="63" t="str">
        <f t="shared" si="73"/>
        <v/>
      </c>
      <c r="AC114" s="148">
        <f t="shared" si="51"/>
        <v>0</v>
      </c>
      <c r="AD114" s="107" t="str">
        <f t="shared" si="52"/>
        <v/>
      </c>
      <c r="AE114" s="180">
        <f t="shared" si="74"/>
        <v>0</v>
      </c>
      <c r="AF114" s="73"/>
      <c r="AG114" s="525"/>
      <c r="AH114" s="73"/>
      <c r="AI114" s="73" t="str">
        <f t="shared" si="85"/>
        <v/>
      </c>
      <c r="AJ114" s="64">
        <f t="shared" si="53"/>
        <v>0</v>
      </c>
      <c r="AK114" s="64">
        <f t="shared" si="54"/>
        <v>0</v>
      </c>
      <c r="AL114" s="64" t="str">
        <f t="shared" si="55"/>
        <v/>
      </c>
      <c r="AM114">
        <f t="shared" si="56"/>
        <v>7</v>
      </c>
      <c r="AN114" s="85">
        <f>SUM($AD$6:AD114)</f>
        <v>0</v>
      </c>
      <c r="AO114" s="85">
        <f t="shared" ca="1" si="75"/>
        <v>0</v>
      </c>
      <c r="AP114" s="89">
        <f t="shared" si="76"/>
        <v>0</v>
      </c>
      <c r="AQ114" s="89">
        <f t="shared" si="77"/>
        <v>0</v>
      </c>
      <c r="AR114" s="89">
        <f t="shared" si="78"/>
        <v>0</v>
      </c>
      <c r="AS114" s="88">
        <f t="shared" si="79"/>
        <v>30</v>
      </c>
      <c r="AT114" s="88">
        <f t="shared" ca="1" si="80"/>
        <v>30</v>
      </c>
      <c r="AU114" s="98">
        <f t="shared" si="81"/>
        <v>0</v>
      </c>
      <c r="AV114" s="88">
        <f t="shared" si="82"/>
        <v>7</v>
      </c>
      <c r="AW114" t="b">
        <f>OR((F114&gt;0),(NOT(ISBLANK(H114))),SUM(H114:H$373),SUM(G114:G$373))</f>
        <v>0</v>
      </c>
      <c r="AX114" t="b">
        <f t="shared" ca="1" si="57"/>
        <v>1</v>
      </c>
      <c r="AY114" s="519">
        <f t="shared" si="83"/>
        <v>0</v>
      </c>
      <c r="AZ114" s="180">
        <f>SUM(AY$5:AY114)</f>
        <v>-21.583333333333343</v>
      </c>
      <c r="BA114" s="567"/>
      <c r="BB114" s="567">
        <f t="shared" si="58"/>
        <v>0</v>
      </c>
      <c r="BC114" s="567"/>
    </row>
    <row r="115" spans="1:55" ht="15.75">
      <c r="A115" s="260">
        <f t="shared" si="84"/>
        <v>44943</v>
      </c>
      <c r="B115" s="261">
        <f t="shared" si="59"/>
        <v>44943</v>
      </c>
      <c r="C115" s="262">
        <f>IF(A115="","",NumberOfWeek(A115))</f>
        <v>3</v>
      </c>
      <c r="D115" s="263">
        <f t="shared" si="60"/>
        <v>44926</v>
      </c>
      <c r="E115" s="273" t="str">
        <f t="shared" si="61"/>
        <v/>
      </c>
      <c r="F115" s="5"/>
      <c r="G115" s="6" t="str">
        <f t="shared" si="46"/>
        <v/>
      </c>
      <c r="H115" s="7"/>
      <c r="I115" s="7">
        <f t="shared" si="62"/>
        <v>0</v>
      </c>
      <c r="J115" s="76">
        <f t="shared" si="63"/>
        <v>0</v>
      </c>
      <c r="K115" s="7"/>
      <c r="L115" s="7">
        <f t="shared" si="64"/>
        <v>0</v>
      </c>
      <c r="M115" s="76">
        <f t="shared" si="47"/>
        <v>0</v>
      </c>
      <c r="N115" s="76"/>
      <c r="O115" s="76">
        <f t="shared" si="48"/>
        <v>0</v>
      </c>
      <c r="P115" s="76"/>
      <c r="Q115" s="76">
        <f t="shared" si="49"/>
        <v>0</v>
      </c>
      <c r="R115" s="76">
        <f t="shared" si="65"/>
        <v>0</v>
      </c>
      <c r="S115" s="76">
        <f t="shared" si="66"/>
        <v>0</v>
      </c>
      <c r="T115" s="76">
        <f t="shared" si="67"/>
        <v>0</v>
      </c>
      <c r="U115" s="76">
        <f t="shared" si="68"/>
        <v>0</v>
      </c>
      <c r="V115" s="109">
        <f t="shared" si="69"/>
        <v>0</v>
      </c>
      <c r="W115" s="62"/>
      <c r="X115" s="78">
        <f t="shared" si="50"/>
        <v>3.125E-2</v>
      </c>
      <c r="Y115" s="73">
        <f t="shared" si="70"/>
        <v>0</v>
      </c>
      <c r="Z115" s="74">
        <f t="shared" si="71"/>
        <v>0.29166666666666669</v>
      </c>
      <c r="AA115" s="75">
        <f t="shared" si="72"/>
        <v>0</v>
      </c>
      <c r="AB115" s="63" t="str">
        <f t="shared" si="73"/>
        <v/>
      </c>
      <c r="AC115" s="148">
        <f t="shared" si="51"/>
        <v>0</v>
      </c>
      <c r="AD115" s="107" t="str">
        <f t="shared" si="52"/>
        <v/>
      </c>
      <c r="AE115" s="180">
        <f t="shared" si="74"/>
        <v>0</v>
      </c>
      <c r="AF115" s="73"/>
      <c r="AG115" s="525"/>
      <c r="AH115" s="73"/>
      <c r="AI115" s="73" t="str">
        <f t="shared" si="85"/>
        <v/>
      </c>
      <c r="AJ115" s="64">
        <f t="shared" si="53"/>
        <v>0</v>
      </c>
      <c r="AK115" s="64">
        <f t="shared" si="54"/>
        <v>0</v>
      </c>
      <c r="AL115" s="64" t="str">
        <f t="shared" si="55"/>
        <v/>
      </c>
      <c r="AM115">
        <f t="shared" si="56"/>
        <v>1</v>
      </c>
      <c r="AN115" s="85">
        <f>SUM($AD$6:AD115)</f>
        <v>0</v>
      </c>
      <c r="AO115" s="85">
        <f t="shared" ca="1" si="75"/>
        <v>0</v>
      </c>
      <c r="AP115" s="89">
        <f t="shared" si="76"/>
        <v>0</v>
      </c>
      <c r="AQ115" s="89">
        <f t="shared" si="77"/>
        <v>0</v>
      </c>
      <c r="AR115" s="89">
        <f t="shared" si="78"/>
        <v>0</v>
      </c>
      <c r="AS115" s="88">
        <f t="shared" si="79"/>
        <v>30</v>
      </c>
      <c r="AT115" s="88">
        <f t="shared" ca="1" si="80"/>
        <v>30</v>
      </c>
      <c r="AU115" s="98">
        <f t="shared" si="81"/>
        <v>0</v>
      </c>
      <c r="AV115" s="88">
        <f t="shared" si="82"/>
        <v>0</v>
      </c>
      <c r="AW115" t="b">
        <f>OR((F115&gt;0),(NOT(ISBLANK(H115))),SUM(H115:H$373),SUM(G115:G$373))</f>
        <v>0</v>
      </c>
      <c r="AX115" t="b">
        <f t="shared" ca="1" si="57"/>
        <v>0</v>
      </c>
      <c r="AY115" s="519">
        <f t="shared" si="83"/>
        <v>-0.29166666666666669</v>
      </c>
      <c r="AZ115" s="180">
        <f>SUM(AY$5:AY115)</f>
        <v>-21.875000000000011</v>
      </c>
      <c r="BA115" s="567"/>
      <c r="BB115" s="567">
        <f t="shared" si="58"/>
        <v>0</v>
      </c>
      <c r="BC115" s="567"/>
    </row>
    <row r="116" spans="1:55" ht="15.75">
      <c r="A116" s="260">
        <f t="shared" si="84"/>
        <v>44944</v>
      </c>
      <c r="B116" s="261">
        <f t="shared" si="59"/>
        <v>44944</v>
      </c>
      <c r="C116" s="262">
        <f>IF(A116="","",NumberOfWeek(A116))</f>
        <v>3</v>
      </c>
      <c r="D116" s="263">
        <f t="shared" si="60"/>
        <v>44926</v>
      </c>
      <c r="E116" s="273" t="str">
        <f t="shared" si="61"/>
        <v/>
      </c>
      <c r="F116" s="5"/>
      <c r="G116" s="6" t="str">
        <f t="shared" si="46"/>
        <v/>
      </c>
      <c r="H116" s="7"/>
      <c r="I116" s="7">
        <f t="shared" si="62"/>
        <v>0</v>
      </c>
      <c r="J116" s="76">
        <f t="shared" si="63"/>
        <v>0</v>
      </c>
      <c r="K116" s="7"/>
      <c r="L116" s="7">
        <f t="shared" si="64"/>
        <v>0</v>
      </c>
      <c r="M116" s="76">
        <f t="shared" si="47"/>
        <v>0</v>
      </c>
      <c r="N116" s="76"/>
      <c r="O116" s="76">
        <f t="shared" si="48"/>
        <v>0</v>
      </c>
      <c r="P116" s="76"/>
      <c r="Q116" s="76">
        <f t="shared" si="49"/>
        <v>0</v>
      </c>
      <c r="R116" s="76">
        <f t="shared" si="65"/>
        <v>0</v>
      </c>
      <c r="S116" s="76">
        <f t="shared" si="66"/>
        <v>0</v>
      </c>
      <c r="T116" s="76">
        <f t="shared" si="67"/>
        <v>0</v>
      </c>
      <c r="U116" s="76">
        <f t="shared" si="68"/>
        <v>0</v>
      </c>
      <c r="V116" s="109">
        <f t="shared" si="69"/>
        <v>0</v>
      </c>
      <c r="W116" s="62"/>
      <c r="X116" s="78">
        <f t="shared" si="50"/>
        <v>3.125E-2</v>
      </c>
      <c r="Y116" s="73">
        <f t="shared" si="70"/>
        <v>0</v>
      </c>
      <c r="Z116" s="74">
        <f t="shared" si="71"/>
        <v>0.29166666666666669</v>
      </c>
      <c r="AA116" s="75">
        <f t="shared" si="72"/>
        <v>0</v>
      </c>
      <c r="AB116" s="63" t="str">
        <f t="shared" si="73"/>
        <v/>
      </c>
      <c r="AC116" s="148">
        <f t="shared" si="51"/>
        <v>0</v>
      </c>
      <c r="AD116" s="107" t="str">
        <f t="shared" si="52"/>
        <v/>
      </c>
      <c r="AE116" s="180">
        <f t="shared" si="74"/>
        <v>0</v>
      </c>
      <c r="AF116" s="73"/>
      <c r="AG116" s="525"/>
      <c r="AH116" s="73"/>
      <c r="AI116" s="73" t="str">
        <f t="shared" si="85"/>
        <v/>
      </c>
      <c r="AJ116" s="64">
        <f t="shared" si="53"/>
        <v>0</v>
      </c>
      <c r="AK116" s="64">
        <f t="shared" si="54"/>
        <v>0</v>
      </c>
      <c r="AL116" s="64" t="str">
        <f t="shared" si="55"/>
        <v/>
      </c>
      <c r="AM116">
        <f t="shared" si="56"/>
        <v>2</v>
      </c>
      <c r="AN116" s="85">
        <f>SUM($AD$6:AD116)</f>
        <v>0</v>
      </c>
      <c r="AO116" s="85">
        <f t="shared" ca="1" si="75"/>
        <v>0</v>
      </c>
      <c r="AP116" s="89">
        <f t="shared" si="76"/>
        <v>0</v>
      </c>
      <c r="AQ116" s="89">
        <f t="shared" si="77"/>
        <v>0</v>
      </c>
      <c r="AR116" s="89">
        <f t="shared" si="78"/>
        <v>0</v>
      </c>
      <c r="AS116" s="88">
        <f t="shared" si="79"/>
        <v>30</v>
      </c>
      <c r="AT116" s="88">
        <f t="shared" ca="1" si="80"/>
        <v>30</v>
      </c>
      <c r="AU116" s="98">
        <f t="shared" si="81"/>
        <v>0</v>
      </c>
      <c r="AV116" s="88">
        <f t="shared" si="82"/>
        <v>0</v>
      </c>
      <c r="AW116" t="b">
        <f>OR((F116&gt;0),(NOT(ISBLANK(H116))),SUM(H116:H$373),SUM(G116:G$373))</f>
        <v>0</v>
      </c>
      <c r="AX116" t="b">
        <f t="shared" ca="1" si="57"/>
        <v>0</v>
      </c>
      <c r="AY116" s="519">
        <f t="shared" si="83"/>
        <v>-0.29166666666666669</v>
      </c>
      <c r="AZ116" s="180">
        <f>SUM(AY$5:AY116)</f>
        <v>-22.166666666666679</v>
      </c>
      <c r="BA116" s="567"/>
      <c r="BB116" s="567">
        <f t="shared" si="58"/>
        <v>0</v>
      </c>
      <c r="BC116" s="567"/>
    </row>
    <row r="117" spans="1:55" ht="15.75">
      <c r="A117" s="260">
        <f t="shared" si="84"/>
        <v>44945</v>
      </c>
      <c r="B117" s="261">
        <f t="shared" si="59"/>
        <v>44945</v>
      </c>
      <c r="C117" s="262">
        <f>IF(A117="","",NumberOfWeek(A117))</f>
        <v>3</v>
      </c>
      <c r="D117" s="263">
        <f t="shared" si="60"/>
        <v>44926</v>
      </c>
      <c r="E117" s="273" t="str">
        <f t="shared" si="61"/>
        <v/>
      </c>
      <c r="F117" s="5"/>
      <c r="G117" s="6" t="str">
        <f t="shared" si="46"/>
        <v/>
      </c>
      <c r="H117" s="7"/>
      <c r="I117" s="7">
        <f t="shared" si="62"/>
        <v>0</v>
      </c>
      <c r="J117" s="76">
        <f t="shared" si="63"/>
        <v>0</v>
      </c>
      <c r="K117" s="7"/>
      <c r="L117" s="7">
        <f t="shared" si="64"/>
        <v>0</v>
      </c>
      <c r="M117" s="76">
        <f t="shared" si="47"/>
        <v>0</v>
      </c>
      <c r="N117" s="76"/>
      <c r="O117" s="76">
        <f t="shared" si="48"/>
        <v>0</v>
      </c>
      <c r="P117" s="76"/>
      <c r="Q117" s="76">
        <f t="shared" si="49"/>
        <v>0</v>
      </c>
      <c r="R117" s="76">
        <f t="shared" si="65"/>
        <v>0</v>
      </c>
      <c r="S117" s="76">
        <f t="shared" si="66"/>
        <v>0</v>
      </c>
      <c r="T117" s="76">
        <f t="shared" si="67"/>
        <v>0</v>
      </c>
      <c r="U117" s="76">
        <f t="shared" si="68"/>
        <v>0</v>
      </c>
      <c r="V117" s="109">
        <f t="shared" si="69"/>
        <v>0</v>
      </c>
      <c r="W117" s="62"/>
      <c r="X117" s="78">
        <f t="shared" si="50"/>
        <v>3.125E-2</v>
      </c>
      <c r="Y117" s="73">
        <f t="shared" si="70"/>
        <v>0</v>
      </c>
      <c r="Z117" s="74">
        <f t="shared" si="71"/>
        <v>0.29166666666666669</v>
      </c>
      <c r="AA117" s="75">
        <f t="shared" si="72"/>
        <v>0</v>
      </c>
      <c r="AB117" s="63" t="str">
        <f t="shared" si="73"/>
        <v/>
      </c>
      <c r="AC117" s="148">
        <f t="shared" si="51"/>
        <v>0</v>
      </c>
      <c r="AD117" s="107" t="str">
        <f t="shared" si="52"/>
        <v/>
      </c>
      <c r="AE117" s="180">
        <f t="shared" si="74"/>
        <v>0</v>
      </c>
      <c r="AF117" s="73"/>
      <c r="AG117" s="525"/>
      <c r="AH117" s="73"/>
      <c r="AI117" s="73" t="str">
        <f t="shared" si="85"/>
        <v/>
      </c>
      <c r="AJ117" s="64">
        <f t="shared" si="53"/>
        <v>0</v>
      </c>
      <c r="AK117" s="64">
        <f t="shared" si="54"/>
        <v>0</v>
      </c>
      <c r="AL117" s="64" t="str">
        <f t="shared" si="55"/>
        <v/>
      </c>
      <c r="AM117">
        <f t="shared" si="56"/>
        <v>3</v>
      </c>
      <c r="AN117" s="85">
        <f>SUM($AD$6:AD117)</f>
        <v>0</v>
      </c>
      <c r="AO117" s="85">
        <f t="shared" ca="1" si="75"/>
        <v>0</v>
      </c>
      <c r="AP117" s="89">
        <f t="shared" si="76"/>
        <v>0</v>
      </c>
      <c r="AQ117" s="89">
        <f t="shared" si="77"/>
        <v>0</v>
      </c>
      <c r="AR117" s="89">
        <f t="shared" si="78"/>
        <v>0</v>
      </c>
      <c r="AS117" s="88">
        <f t="shared" si="79"/>
        <v>30</v>
      </c>
      <c r="AT117" s="88">
        <f t="shared" ca="1" si="80"/>
        <v>30</v>
      </c>
      <c r="AU117" s="98">
        <f t="shared" si="81"/>
        <v>0</v>
      </c>
      <c r="AV117" s="88">
        <f t="shared" si="82"/>
        <v>0</v>
      </c>
      <c r="AW117" t="b">
        <f>OR((F117&gt;0),(NOT(ISBLANK(H117))),SUM(H117:H$373),SUM(G117:G$373))</f>
        <v>0</v>
      </c>
      <c r="AX117" t="b">
        <f t="shared" ca="1" si="57"/>
        <v>0</v>
      </c>
      <c r="AY117" s="519">
        <f t="shared" si="83"/>
        <v>-0.29166666666666669</v>
      </c>
      <c r="AZ117" s="180">
        <f>SUM(AY$5:AY117)</f>
        <v>-22.458333333333346</v>
      </c>
      <c r="BA117" s="567"/>
      <c r="BB117" s="567">
        <f t="shared" si="58"/>
        <v>0</v>
      </c>
      <c r="BC117" s="567"/>
    </row>
    <row r="118" spans="1:55" ht="15.75">
      <c r="A118" s="260">
        <f t="shared" si="84"/>
        <v>44946</v>
      </c>
      <c r="B118" s="261">
        <f t="shared" si="59"/>
        <v>44946</v>
      </c>
      <c r="C118" s="262">
        <f>IF(A118="","",NumberOfWeek(A118))</f>
        <v>3</v>
      </c>
      <c r="D118" s="263">
        <f t="shared" si="60"/>
        <v>44926</v>
      </c>
      <c r="E118" s="273" t="str">
        <f t="shared" si="61"/>
        <v/>
      </c>
      <c r="F118" s="5"/>
      <c r="G118" s="6" t="str">
        <f t="shared" si="46"/>
        <v/>
      </c>
      <c r="H118" s="7"/>
      <c r="I118" s="7">
        <f t="shared" si="62"/>
        <v>0</v>
      </c>
      <c r="J118" s="76">
        <f t="shared" si="63"/>
        <v>0</v>
      </c>
      <c r="K118" s="7"/>
      <c r="L118" s="7">
        <f t="shared" si="64"/>
        <v>0</v>
      </c>
      <c r="M118" s="76">
        <f t="shared" si="47"/>
        <v>0</v>
      </c>
      <c r="N118" s="76"/>
      <c r="O118" s="76">
        <f t="shared" si="48"/>
        <v>0</v>
      </c>
      <c r="P118" s="76"/>
      <c r="Q118" s="76">
        <f t="shared" si="49"/>
        <v>0</v>
      </c>
      <c r="R118" s="76">
        <f t="shared" si="65"/>
        <v>0</v>
      </c>
      <c r="S118" s="76">
        <f t="shared" si="66"/>
        <v>0</v>
      </c>
      <c r="T118" s="76">
        <f t="shared" si="67"/>
        <v>0</v>
      </c>
      <c r="U118" s="76">
        <f t="shared" si="68"/>
        <v>0</v>
      </c>
      <c r="V118" s="109">
        <f t="shared" si="69"/>
        <v>0</v>
      </c>
      <c r="W118" s="62"/>
      <c r="X118" s="78">
        <f t="shared" si="50"/>
        <v>3.125E-2</v>
      </c>
      <c r="Y118" s="73">
        <f t="shared" si="70"/>
        <v>0</v>
      </c>
      <c r="Z118" s="74">
        <f t="shared" si="71"/>
        <v>0.29166666666666669</v>
      </c>
      <c r="AA118" s="75">
        <f t="shared" si="72"/>
        <v>0</v>
      </c>
      <c r="AB118" s="63" t="str">
        <f t="shared" si="73"/>
        <v/>
      </c>
      <c r="AC118" s="148">
        <f t="shared" si="51"/>
        <v>0</v>
      </c>
      <c r="AD118" s="107" t="str">
        <f t="shared" si="52"/>
        <v/>
      </c>
      <c r="AE118" s="180">
        <f t="shared" si="74"/>
        <v>0</v>
      </c>
      <c r="AF118" s="73"/>
      <c r="AG118" s="525"/>
      <c r="AH118" s="73"/>
      <c r="AI118" s="73" t="str">
        <f t="shared" si="85"/>
        <v/>
      </c>
      <c r="AJ118" s="64">
        <f t="shared" si="53"/>
        <v>0</v>
      </c>
      <c r="AK118" s="64">
        <f t="shared" si="54"/>
        <v>0</v>
      </c>
      <c r="AL118" s="64" t="str">
        <f t="shared" si="55"/>
        <v/>
      </c>
      <c r="AM118">
        <f t="shared" si="56"/>
        <v>4</v>
      </c>
      <c r="AN118" s="85">
        <f>SUM($AD$6:AD118)</f>
        <v>0</v>
      </c>
      <c r="AO118" s="85">
        <f t="shared" ca="1" si="75"/>
        <v>0</v>
      </c>
      <c r="AP118" s="89">
        <f t="shared" si="76"/>
        <v>0</v>
      </c>
      <c r="AQ118" s="89">
        <f t="shared" si="77"/>
        <v>0</v>
      </c>
      <c r="AR118" s="89">
        <f t="shared" si="78"/>
        <v>0</v>
      </c>
      <c r="AS118" s="88">
        <f t="shared" si="79"/>
        <v>30</v>
      </c>
      <c r="AT118" s="88">
        <f t="shared" ca="1" si="80"/>
        <v>30</v>
      </c>
      <c r="AU118" s="98">
        <f t="shared" si="81"/>
        <v>0</v>
      </c>
      <c r="AV118" s="88">
        <f t="shared" si="82"/>
        <v>0</v>
      </c>
      <c r="AW118" t="b">
        <f>OR((F118&gt;0),(NOT(ISBLANK(H118))),SUM(H118:H$373),SUM(G118:G$373))</f>
        <v>0</v>
      </c>
      <c r="AX118" t="b">
        <f t="shared" ca="1" si="57"/>
        <v>0</v>
      </c>
      <c r="AY118" s="519">
        <f t="shared" si="83"/>
        <v>-0.29166666666666669</v>
      </c>
      <c r="AZ118" s="180">
        <f>SUM(AY$5:AY118)</f>
        <v>-22.750000000000014</v>
      </c>
      <c r="BA118" s="567"/>
      <c r="BB118" s="567">
        <f t="shared" si="58"/>
        <v>0</v>
      </c>
      <c r="BC118" s="567"/>
    </row>
    <row r="119" spans="1:55" ht="15.75">
      <c r="A119" s="260">
        <f t="shared" si="84"/>
        <v>44947</v>
      </c>
      <c r="B119" s="261">
        <f t="shared" si="59"/>
        <v>44947</v>
      </c>
      <c r="C119" s="262">
        <f>IF(A119="","",NumberOfWeek(A119))</f>
        <v>3</v>
      </c>
      <c r="D119" s="263">
        <f t="shared" si="60"/>
        <v>44926</v>
      </c>
      <c r="E119" s="273" t="str">
        <f t="shared" si="61"/>
        <v/>
      </c>
      <c r="F119" s="5"/>
      <c r="G119" s="6" t="str">
        <f t="shared" si="46"/>
        <v/>
      </c>
      <c r="H119" s="7"/>
      <c r="I119" s="7">
        <f t="shared" si="62"/>
        <v>0</v>
      </c>
      <c r="J119" s="76">
        <f t="shared" si="63"/>
        <v>0</v>
      </c>
      <c r="K119" s="7"/>
      <c r="L119" s="7">
        <f t="shared" si="64"/>
        <v>0</v>
      </c>
      <c r="M119" s="76">
        <f t="shared" si="47"/>
        <v>0</v>
      </c>
      <c r="N119" s="76"/>
      <c r="O119" s="76">
        <f t="shared" si="48"/>
        <v>0</v>
      </c>
      <c r="P119" s="76"/>
      <c r="Q119" s="76">
        <f t="shared" si="49"/>
        <v>0</v>
      </c>
      <c r="R119" s="76">
        <f t="shared" si="65"/>
        <v>0</v>
      </c>
      <c r="S119" s="76">
        <f t="shared" si="66"/>
        <v>0</v>
      </c>
      <c r="T119" s="76">
        <f t="shared" si="67"/>
        <v>0</v>
      </c>
      <c r="U119" s="76">
        <f t="shared" si="68"/>
        <v>0</v>
      </c>
      <c r="V119" s="109">
        <f t="shared" si="69"/>
        <v>0</v>
      </c>
      <c r="W119" s="62"/>
      <c r="X119" s="78">
        <f t="shared" si="50"/>
        <v>3.125E-2</v>
      </c>
      <c r="Y119" s="73">
        <f t="shared" si="70"/>
        <v>0</v>
      </c>
      <c r="Z119" s="74">
        <f t="shared" si="71"/>
        <v>0.29166666666666669</v>
      </c>
      <c r="AA119" s="75">
        <f t="shared" si="72"/>
        <v>0</v>
      </c>
      <c r="AB119" s="63" t="str">
        <f t="shared" si="73"/>
        <v/>
      </c>
      <c r="AC119" s="148">
        <f t="shared" si="51"/>
        <v>0</v>
      </c>
      <c r="AD119" s="107" t="str">
        <f t="shared" si="52"/>
        <v/>
      </c>
      <c r="AE119" s="180">
        <f t="shared" si="74"/>
        <v>0</v>
      </c>
      <c r="AF119" s="73"/>
      <c r="AG119" s="525"/>
      <c r="AH119" s="73"/>
      <c r="AI119" s="73" t="str">
        <f t="shared" si="85"/>
        <v/>
      </c>
      <c r="AJ119" s="64">
        <f t="shared" si="53"/>
        <v>0</v>
      </c>
      <c r="AK119" s="64">
        <f t="shared" si="54"/>
        <v>0</v>
      </c>
      <c r="AL119" s="64" t="str">
        <f t="shared" si="55"/>
        <v/>
      </c>
      <c r="AM119">
        <f t="shared" si="56"/>
        <v>5</v>
      </c>
      <c r="AN119" s="85">
        <f>SUM($AD$6:AD119)</f>
        <v>0</v>
      </c>
      <c r="AO119" s="85">
        <f t="shared" ca="1" si="75"/>
        <v>0</v>
      </c>
      <c r="AP119" s="89">
        <f t="shared" si="76"/>
        <v>0</v>
      </c>
      <c r="AQ119" s="89">
        <f t="shared" si="77"/>
        <v>0</v>
      </c>
      <c r="AR119" s="89">
        <f t="shared" si="78"/>
        <v>0</v>
      </c>
      <c r="AS119" s="88">
        <f t="shared" si="79"/>
        <v>30</v>
      </c>
      <c r="AT119" s="88">
        <f t="shared" ca="1" si="80"/>
        <v>30</v>
      </c>
      <c r="AU119" s="98">
        <f t="shared" si="81"/>
        <v>0</v>
      </c>
      <c r="AV119" s="88">
        <f t="shared" si="82"/>
        <v>0</v>
      </c>
      <c r="AW119" t="b">
        <f>OR((F119&gt;0),(NOT(ISBLANK(H119))),SUM(H119:H$373),SUM(G119:G$373))</f>
        <v>0</v>
      </c>
      <c r="AX119" t="b">
        <f t="shared" ca="1" si="57"/>
        <v>0</v>
      </c>
      <c r="AY119" s="519">
        <f t="shared" si="83"/>
        <v>-0.29166666666666669</v>
      </c>
      <c r="AZ119" s="180">
        <f>SUM(AY$5:AY119)</f>
        <v>-23.041666666666682</v>
      </c>
      <c r="BA119" s="567"/>
      <c r="BB119" s="567">
        <f t="shared" si="58"/>
        <v>0</v>
      </c>
      <c r="BC119" s="567"/>
    </row>
    <row r="120" spans="1:55" ht="15.75">
      <c r="A120" s="260">
        <f t="shared" si="84"/>
        <v>44948</v>
      </c>
      <c r="B120" s="261">
        <f t="shared" si="59"/>
        <v>44948</v>
      </c>
      <c r="C120" s="262">
        <f>IF(A120="","",NumberOfWeek(A120))</f>
        <v>3</v>
      </c>
      <c r="D120" s="263">
        <f t="shared" si="60"/>
        <v>44926</v>
      </c>
      <c r="E120" s="273" t="str">
        <f t="shared" si="61"/>
        <v/>
      </c>
      <c r="F120" s="5"/>
      <c r="G120" s="6" t="str">
        <f t="shared" si="46"/>
        <v/>
      </c>
      <c r="H120" s="7"/>
      <c r="I120" s="7">
        <f t="shared" si="62"/>
        <v>0</v>
      </c>
      <c r="J120" s="76">
        <f t="shared" si="63"/>
        <v>0</v>
      </c>
      <c r="K120" s="7"/>
      <c r="L120" s="7">
        <f t="shared" si="64"/>
        <v>0</v>
      </c>
      <c r="M120" s="76">
        <f t="shared" si="47"/>
        <v>0</v>
      </c>
      <c r="N120" s="76"/>
      <c r="O120" s="76">
        <f t="shared" si="48"/>
        <v>0</v>
      </c>
      <c r="P120" s="76"/>
      <c r="Q120" s="76">
        <f t="shared" si="49"/>
        <v>0</v>
      </c>
      <c r="R120" s="76">
        <f t="shared" si="65"/>
        <v>0</v>
      </c>
      <c r="S120" s="76">
        <f t="shared" si="66"/>
        <v>0</v>
      </c>
      <c r="T120" s="76">
        <f t="shared" si="67"/>
        <v>0</v>
      </c>
      <c r="U120" s="76">
        <f t="shared" si="68"/>
        <v>0</v>
      </c>
      <c r="V120" s="109">
        <f t="shared" si="69"/>
        <v>0</v>
      </c>
      <c r="W120" s="62"/>
      <c r="X120" s="78">
        <f t="shared" si="50"/>
        <v>3.125E-2</v>
      </c>
      <c r="Y120" s="73">
        <f t="shared" si="70"/>
        <v>0</v>
      </c>
      <c r="Z120" s="74">
        <f t="shared" si="71"/>
        <v>0</v>
      </c>
      <c r="AA120" s="75">
        <f t="shared" si="72"/>
        <v>0</v>
      </c>
      <c r="AB120" s="63" t="str">
        <f t="shared" si="73"/>
        <v/>
      </c>
      <c r="AC120" s="148">
        <f t="shared" si="51"/>
        <v>0</v>
      </c>
      <c r="AD120" s="107" t="str">
        <f t="shared" si="52"/>
        <v/>
      </c>
      <c r="AE120" s="180">
        <f t="shared" si="74"/>
        <v>0</v>
      </c>
      <c r="AF120" s="73"/>
      <c r="AG120" s="525"/>
      <c r="AH120" s="73"/>
      <c r="AI120" s="73" t="str">
        <f t="shared" si="85"/>
        <v/>
      </c>
      <c r="AJ120" s="64">
        <f t="shared" si="53"/>
        <v>0</v>
      </c>
      <c r="AK120" s="64">
        <f t="shared" si="54"/>
        <v>0</v>
      </c>
      <c r="AL120" s="64" t="str">
        <f t="shared" si="55"/>
        <v/>
      </c>
      <c r="AM120">
        <f t="shared" si="56"/>
        <v>6</v>
      </c>
      <c r="AN120" s="85">
        <f>SUM($AD$6:AD120)</f>
        <v>0</v>
      </c>
      <c r="AO120" s="85">
        <f t="shared" ca="1" si="75"/>
        <v>0</v>
      </c>
      <c r="AP120" s="89">
        <f t="shared" si="76"/>
        <v>0</v>
      </c>
      <c r="AQ120" s="89">
        <f t="shared" si="77"/>
        <v>0</v>
      </c>
      <c r="AR120" s="89">
        <f t="shared" si="78"/>
        <v>0</v>
      </c>
      <c r="AS120" s="88">
        <f t="shared" si="79"/>
        <v>30</v>
      </c>
      <c r="AT120" s="88">
        <f t="shared" ca="1" si="80"/>
        <v>30</v>
      </c>
      <c r="AU120" s="98">
        <f t="shared" si="81"/>
        <v>0</v>
      </c>
      <c r="AV120" s="88">
        <f t="shared" si="82"/>
        <v>7</v>
      </c>
      <c r="AW120" t="b">
        <f>OR((F120&gt;0),(NOT(ISBLANK(H120))),SUM(H120:H$373),SUM(G120:G$373))</f>
        <v>0</v>
      </c>
      <c r="AX120" t="b">
        <f t="shared" ca="1" si="57"/>
        <v>1</v>
      </c>
      <c r="AY120" s="519">
        <f t="shared" si="83"/>
        <v>0</v>
      </c>
      <c r="AZ120" s="180">
        <f>SUM(AY$5:AY120)</f>
        <v>-23.041666666666682</v>
      </c>
      <c r="BA120" s="567"/>
      <c r="BB120" s="567">
        <f t="shared" si="58"/>
        <v>0</v>
      </c>
      <c r="BC120" s="567"/>
    </row>
    <row r="121" spans="1:55" ht="15.75" customHeight="1">
      <c r="A121" s="260">
        <f t="shared" si="84"/>
        <v>44949</v>
      </c>
      <c r="B121" s="261">
        <f t="shared" si="59"/>
        <v>44949</v>
      </c>
      <c r="C121" s="262">
        <f>IF(A121="","",NumberOfWeek(A121))</f>
        <v>3</v>
      </c>
      <c r="D121" s="263">
        <f t="shared" si="60"/>
        <v>44926</v>
      </c>
      <c r="E121" s="273" t="str">
        <f t="shared" si="61"/>
        <v/>
      </c>
      <c r="F121" s="5"/>
      <c r="G121" s="6" t="str">
        <f t="shared" si="46"/>
        <v/>
      </c>
      <c r="H121" s="7"/>
      <c r="I121" s="7">
        <f t="shared" si="62"/>
        <v>0</v>
      </c>
      <c r="J121" s="76">
        <f t="shared" si="63"/>
        <v>0</v>
      </c>
      <c r="K121" s="7"/>
      <c r="L121" s="7">
        <f t="shared" si="64"/>
        <v>0</v>
      </c>
      <c r="M121" s="76">
        <f t="shared" si="47"/>
        <v>0</v>
      </c>
      <c r="N121" s="76"/>
      <c r="O121" s="76">
        <f t="shared" si="48"/>
        <v>0</v>
      </c>
      <c r="P121" s="76"/>
      <c r="Q121" s="76">
        <f t="shared" si="49"/>
        <v>0</v>
      </c>
      <c r="R121" s="76">
        <f t="shared" si="65"/>
        <v>0</v>
      </c>
      <c r="S121" s="76">
        <f t="shared" si="66"/>
        <v>0</v>
      </c>
      <c r="T121" s="76">
        <f t="shared" si="67"/>
        <v>0</v>
      </c>
      <c r="U121" s="76">
        <f t="shared" si="68"/>
        <v>0</v>
      </c>
      <c r="V121" s="109">
        <f t="shared" si="69"/>
        <v>0</v>
      </c>
      <c r="W121" s="62"/>
      <c r="X121" s="78">
        <f t="shared" si="50"/>
        <v>3.125E-2</v>
      </c>
      <c r="Y121" s="73">
        <f t="shared" si="70"/>
        <v>0</v>
      </c>
      <c r="Z121" s="74">
        <f t="shared" si="71"/>
        <v>0</v>
      </c>
      <c r="AA121" s="75">
        <f t="shared" si="72"/>
        <v>0</v>
      </c>
      <c r="AB121" s="63" t="str">
        <f t="shared" si="73"/>
        <v/>
      </c>
      <c r="AC121" s="148">
        <f t="shared" si="51"/>
        <v>0</v>
      </c>
      <c r="AD121" s="107" t="str">
        <f t="shared" si="52"/>
        <v/>
      </c>
      <c r="AE121" s="180">
        <f t="shared" si="74"/>
        <v>0</v>
      </c>
      <c r="AF121" s="73"/>
      <c r="AG121" s="525"/>
      <c r="AH121" s="73"/>
      <c r="AI121" s="73" t="str">
        <f t="shared" si="85"/>
        <v/>
      </c>
      <c r="AJ121" s="64">
        <f t="shared" si="53"/>
        <v>0</v>
      </c>
      <c r="AK121" s="64">
        <f t="shared" si="54"/>
        <v>0</v>
      </c>
      <c r="AL121" s="64" t="str">
        <f t="shared" si="55"/>
        <v/>
      </c>
      <c r="AM121">
        <f t="shared" si="56"/>
        <v>7</v>
      </c>
      <c r="AN121" s="85">
        <f>SUM($AD$6:AD121)</f>
        <v>0</v>
      </c>
      <c r="AO121" s="85">
        <f t="shared" ca="1" si="75"/>
        <v>0</v>
      </c>
      <c r="AP121" s="89">
        <f t="shared" si="76"/>
        <v>0</v>
      </c>
      <c r="AQ121" s="89">
        <f t="shared" si="77"/>
        <v>0</v>
      </c>
      <c r="AR121" s="89">
        <f t="shared" si="78"/>
        <v>0</v>
      </c>
      <c r="AS121" s="88">
        <f t="shared" si="79"/>
        <v>30</v>
      </c>
      <c r="AT121" s="88">
        <f t="shared" ca="1" si="80"/>
        <v>30</v>
      </c>
      <c r="AU121" s="98">
        <f t="shared" si="81"/>
        <v>0</v>
      </c>
      <c r="AV121" s="88">
        <f t="shared" si="82"/>
        <v>7</v>
      </c>
      <c r="AW121" t="b">
        <f>OR((F121&gt;0),(NOT(ISBLANK(H121))),SUM(H121:H$373),SUM(G121:G$373))</f>
        <v>0</v>
      </c>
      <c r="AX121" t="b">
        <f t="shared" ca="1" si="57"/>
        <v>1</v>
      </c>
      <c r="AY121" s="519">
        <f t="shared" si="83"/>
        <v>0</v>
      </c>
      <c r="AZ121" s="180">
        <f>SUM(AY$5:AY121)</f>
        <v>-23.041666666666682</v>
      </c>
      <c r="BA121" s="567"/>
      <c r="BB121" s="567">
        <f t="shared" si="58"/>
        <v>0</v>
      </c>
      <c r="BC121" s="567"/>
    </row>
    <row r="122" spans="1:55" ht="15.75">
      <c r="A122" s="260">
        <f t="shared" si="84"/>
        <v>44950</v>
      </c>
      <c r="B122" s="261">
        <f t="shared" si="59"/>
        <v>44950</v>
      </c>
      <c r="C122" s="262">
        <f>IF(A122="","",NumberOfWeek(A122))</f>
        <v>4</v>
      </c>
      <c r="D122" s="263">
        <f t="shared" si="60"/>
        <v>44926</v>
      </c>
      <c r="E122" s="273" t="str">
        <f t="shared" si="61"/>
        <v/>
      </c>
      <c r="F122" s="5"/>
      <c r="G122" s="6" t="str">
        <f t="shared" si="46"/>
        <v/>
      </c>
      <c r="H122" s="7"/>
      <c r="I122" s="7">
        <f t="shared" si="62"/>
        <v>0</v>
      </c>
      <c r="J122" s="76">
        <f t="shared" si="63"/>
        <v>0</v>
      </c>
      <c r="K122" s="7"/>
      <c r="L122" s="7">
        <f t="shared" si="64"/>
        <v>0</v>
      </c>
      <c r="M122" s="76">
        <f t="shared" si="47"/>
        <v>0</v>
      </c>
      <c r="N122" s="76"/>
      <c r="O122" s="76">
        <f t="shared" si="48"/>
        <v>0</v>
      </c>
      <c r="P122" s="76"/>
      <c r="Q122" s="76">
        <f t="shared" si="49"/>
        <v>0</v>
      </c>
      <c r="R122" s="76">
        <f t="shared" si="65"/>
        <v>0</v>
      </c>
      <c r="S122" s="76">
        <f t="shared" si="66"/>
        <v>0</v>
      </c>
      <c r="T122" s="76">
        <f t="shared" si="67"/>
        <v>0</v>
      </c>
      <c r="U122" s="76">
        <f t="shared" si="68"/>
        <v>0</v>
      </c>
      <c r="V122" s="109">
        <f t="shared" si="69"/>
        <v>0</v>
      </c>
      <c r="W122" s="62"/>
      <c r="X122" s="78">
        <f t="shared" si="50"/>
        <v>3.125E-2</v>
      </c>
      <c r="Y122" s="73">
        <f t="shared" si="70"/>
        <v>0</v>
      </c>
      <c r="Z122" s="74">
        <f t="shared" si="71"/>
        <v>0.29166666666666669</v>
      </c>
      <c r="AA122" s="75">
        <f t="shared" si="72"/>
        <v>0</v>
      </c>
      <c r="AB122" s="63" t="str">
        <f t="shared" si="73"/>
        <v/>
      </c>
      <c r="AC122" s="148">
        <f t="shared" si="51"/>
        <v>0</v>
      </c>
      <c r="AD122" s="107" t="str">
        <f t="shared" si="52"/>
        <v/>
      </c>
      <c r="AE122" s="180">
        <f t="shared" si="74"/>
        <v>0</v>
      </c>
      <c r="AF122" s="73"/>
      <c r="AG122" s="525"/>
      <c r="AH122" s="73"/>
      <c r="AI122" s="73" t="str">
        <f t="shared" si="85"/>
        <v/>
      </c>
      <c r="AJ122" s="64">
        <f t="shared" si="53"/>
        <v>0</v>
      </c>
      <c r="AK122" s="64">
        <f t="shared" si="54"/>
        <v>0</v>
      </c>
      <c r="AL122" s="64" t="str">
        <f t="shared" si="55"/>
        <v/>
      </c>
      <c r="AM122">
        <f t="shared" si="56"/>
        <v>1</v>
      </c>
      <c r="AN122" s="85">
        <f>SUM($AD$6:AD122)</f>
        <v>0</v>
      </c>
      <c r="AO122" s="85">
        <f t="shared" ca="1" si="75"/>
        <v>0</v>
      </c>
      <c r="AP122" s="89">
        <f t="shared" si="76"/>
        <v>0</v>
      </c>
      <c r="AQ122" s="89">
        <f t="shared" si="77"/>
        <v>0</v>
      </c>
      <c r="AR122" s="89">
        <f t="shared" si="78"/>
        <v>0</v>
      </c>
      <c r="AS122" s="88">
        <f t="shared" si="79"/>
        <v>30</v>
      </c>
      <c r="AT122" s="88">
        <f t="shared" ca="1" si="80"/>
        <v>30</v>
      </c>
      <c r="AU122" s="98">
        <f t="shared" si="81"/>
        <v>0</v>
      </c>
      <c r="AV122" s="88">
        <f t="shared" si="82"/>
        <v>0</v>
      </c>
      <c r="AW122" t="b">
        <f>OR((F122&gt;0),(NOT(ISBLANK(H122))),SUM(H122:H$373),SUM(G122:G$373))</f>
        <v>0</v>
      </c>
      <c r="AX122" t="b">
        <f t="shared" ca="1" si="57"/>
        <v>0</v>
      </c>
      <c r="AY122" s="519">
        <f t="shared" si="83"/>
        <v>-0.29166666666666669</v>
      </c>
      <c r="AZ122" s="180">
        <f>SUM(AY$5:AY122)</f>
        <v>-23.33333333333335</v>
      </c>
      <c r="BA122" s="567"/>
      <c r="BB122" s="567">
        <f t="shared" si="58"/>
        <v>0</v>
      </c>
      <c r="BC122" s="567"/>
    </row>
    <row r="123" spans="1:55" ht="15.75">
      <c r="A123" s="260">
        <f t="shared" si="84"/>
        <v>44951</v>
      </c>
      <c r="B123" s="261">
        <f t="shared" si="59"/>
        <v>44951</v>
      </c>
      <c r="C123" s="262">
        <f>IF(A123="","",NumberOfWeek(A123))</f>
        <v>4</v>
      </c>
      <c r="D123" s="263">
        <f t="shared" si="60"/>
        <v>44926</v>
      </c>
      <c r="E123" s="273" t="str">
        <f t="shared" si="61"/>
        <v/>
      </c>
      <c r="F123" s="5"/>
      <c r="G123" s="6" t="str">
        <f t="shared" si="46"/>
        <v/>
      </c>
      <c r="H123" s="7"/>
      <c r="I123" s="7">
        <f t="shared" si="62"/>
        <v>0</v>
      </c>
      <c r="J123" s="76">
        <f t="shared" si="63"/>
        <v>0</v>
      </c>
      <c r="K123" s="7"/>
      <c r="L123" s="7">
        <f t="shared" si="64"/>
        <v>0</v>
      </c>
      <c r="M123" s="76">
        <f t="shared" si="47"/>
        <v>0</v>
      </c>
      <c r="N123" s="76"/>
      <c r="O123" s="76">
        <f t="shared" si="48"/>
        <v>0</v>
      </c>
      <c r="P123" s="76"/>
      <c r="Q123" s="76">
        <f t="shared" si="49"/>
        <v>0</v>
      </c>
      <c r="R123" s="76">
        <f t="shared" si="65"/>
        <v>0</v>
      </c>
      <c r="S123" s="76">
        <f t="shared" si="66"/>
        <v>0</v>
      </c>
      <c r="T123" s="76">
        <f t="shared" si="67"/>
        <v>0</v>
      </c>
      <c r="U123" s="76">
        <f t="shared" si="68"/>
        <v>0</v>
      </c>
      <c r="V123" s="109">
        <f t="shared" si="69"/>
        <v>0</v>
      </c>
      <c r="W123" s="62"/>
      <c r="X123" s="78">
        <f t="shared" si="50"/>
        <v>3.125E-2</v>
      </c>
      <c r="Y123" s="73">
        <f t="shared" si="70"/>
        <v>0</v>
      </c>
      <c r="Z123" s="74">
        <f t="shared" si="71"/>
        <v>0.29166666666666669</v>
      </c>
      <c r="AA123" s="75">
        <f t="shared" si="72"/>
        <v>0</v>
      </c>
      <c r="AB123" s="63" t="str">
        <f t="shared" si="73"/>
        <v/>
      </c>
      <c r="AC123" s="148">
        <f t="shared" si="51"/>
        <v>0</v>
      </c>
      <c r="AD123" s="107" t="str">
        <f t="shared" si="52"/>
        <v/>
      </c>
      <c r="AE123" s="180">
        <f t="shared" si="74"/>
        <v>0</v>
      </c>
      <c r="AF123" s="73"/>
      <c r="AG123" s="525"/>
      <c r="AH123" s="73"/>
      <c r="AI123" s="73" t="str">
        <f t="shared" si="85"/>
        <v/>
      </c>
      <c r="AJ123" s="64">
        <f t="shared" si="53"/>
        <v>0</v>
      </c>
      <c r="AK123" s="64">
        <f t="shared" si="54"/>
        <v>0</v>
      </c>
      <c r="AL123" s="64" t="str">
        <f t="shared" si="55"/>
        <v/>
      </c>
      <c r="AM123">
        <f t="shared" si="56"/>
        <v>2</v>
      </c>
      <c r="AN123" s="85">
        <f>SUM($AD$6:AD123)</f>
        <v>0</v>
      </c>
      <c r="AO123" s="85">
        <f t="shared" ca="1" si="75"/>
        <v>0</v>
      </c>
      <c r="AP123" s="89">
        <f t="shared" si="76"/>
        <v>0</v>
      </c>
      <c r="AQ123" s="89">
        <f t="shared" si="77"/>
        <v>0</v>
      </c>
      <c r="AR123" s="89">
        <f t="shared" si="78"/>
        <v>0</v>
      </c>
      <c r="AS123" s="88">
        <f t="shared" si="79"/>
        <v>30</v>
      </c>
      <c r="AT123" s="88">
        <f t="shared" ca="1" si="80"/>
        <v>30</v>
      </c>
      <c r="AU123" s="98">
        <f t="shared" si="81"/>
        <v>0</v>
      </c>
      <c r="AV123" s="88">
        <f t="shared" si="82"/>
        <v>0</v>
      </c>
      <c r="AW123" t="b">
        <f>OR((F123&gt;0),(NOT(ISBLANK(H123))),SUM(H123:H$373),SUM(G123:G$373))</f>
        <v>0</v>
      </c>
      <c r="AX123" t="b">
        <f t="shared" ca="1" si="57"/>
        <v>0</v>
      </c>
      <c r="AY123" s="519">
        <f t="shared" si="83"/>
        <v>-0.29166666666666669</v>
      </c>
      <c r="AZ123" s="180">
        <f>SUM(AY$5:AY123)</f>
        <v>-23.625000000000018</v>
      </c>
      <c r="BA123" s="567"/>
      <c r="BB123" s="567">
        <f t="shared" si="58"/>
        <v>0</v>
      </c>
      <c r="BC123" s="567"/>
    </row>
    <row r="124" spans="1:55" ht="15.75">
      <c r="A124" s="260">
        <f t="shared" si="84"/>
        <v>44952</v>
      </c>
      <c r="B124" s="261">
        <f t="shared" si="59"/>
        <v>44952</v>
      </c>
      <c r="C124" s="262">
        <f>IF(A124="","",NumberOfWeek(A124))</f>
        <v>4</v>
      </c>
      <c r="D124" s="263">
        <f t="shared" si="60"/>
        <v>44926</v>
      </c>
      <c r="E124" s="273" t="str">
        <f t="shared" si="61"/>
        <v/>
      </c>
      <c r="F124" s="5"/>
      <c r="G124" s="6" t="str">
        <f t="shared" si="46"/>
        <v/>
      </c>
      <c r="H124" s="7"/>
      <c r="I124" s="7">
        <f t="shared" si="62"/>
        <v>0</v>
      </c>
      <c r="J124" s="76">
        <f t="shared" si="63"/>
        <v>0</v>
      </c>
      <c r="K124" s="7"/>
      <c r="L124" s="7">
        <f t="shared" si="64"/>
        <v>0</v>
      </c>
      <c r="M124" s="76">
        <f t="shared" si="47"/>
        <v>0</v>
      </c>
      <c r="N124" s="76"/>
      <c r="O124" s="76">
        <f t="shared" si="48"/>
        <v>0</v>
      </c>
      <c r="P124" s="76"/>
      <c r="Q124" s="76">
        <f t="shared" si="49"/>
        <v>0</v>
      </c>
      <c r="R124" s="76">
        <f t="shared" si="65"/>
        <v>0</v>
      </c>
      <c r="S124" s="76">
        <f t="shared" si="66"/>
        <v>0</v>
      </c>
      <c r="T124" s="76">
        <f t="shared" si="67"/>
        <v>0</v>
      </c>
      <c r="U124" s="76">
        <f t="shared" si="68"/>
        <v>0</v>
      </c>
      <c r="V124" s="109">
        <f t="shared" si="69"/>
        <v>0</v>
      </c>
      <c r="W124" s="62"/>
      <c r="X124" s="78">
        <f t="shared" si="50"/>
        <v>3.125E-2</v>
      </c>
      <c r="Y124" s="73">
        <f t="shared" si="70"/>
        <v>0</v>
      </c>
      <c r="Z124" s="74">
        <f t="shared" si="71"/>
        <v>0.29166666666666669</v>
      </c>
      <c r="AA124" s="75">
        <f t="shared" si="72"/>
        <v>0</v>
      </c>
      <c r="AB124" s="63" t="str">
        <f t="shared" si="73"/>
        <v/>
      </c>
      <c r="AC124" s="148">
        <f t="shared" si="51"/>
        <v>0</v>
      </c>
      <c r="AD124" s="107" t="str">
        <f t="shared" si="52"/>
        <v/>
      </c>
      <c r="AE124" s="180">
        <f t="shared" si="74"/>
        <v>0</v>
      </c>
      <c r="AF124" s="73"/>
      <c r="AG124" s="525"/>
      <c r="AH124" s="73"/>
      <c r="AI124" s="73" t="str">
        <f t="shared" si="85"/>
        <v/>
      </c>
      <c r="AJ124" s="64">
        <f t="shared" si="53"/>
        <v>0</v>
      </c>
      <c r="AK124" s="64">
        <f t="shared" si="54"/>
        <v>0</v>
      </c>
      <c r="AL124" s="64" t="str">
        <f t="shared" si="55"/>
        <v/>
      </c>
      <c r="AM124">
        <f t="shared" si="56"/>
        <v>3</v>
      </c>
      <c r="AN124" s="85">
        <f>SUM($AD$6:AD124)</f>
        <v>0</v>
      </c>
      <c r="AO124" s="85">
        <f t="shared" ca="1" si="75"/>
        <v>0</v>
      </c>
      <c r="AP124" s="89">
        <f t="shared" si="76"/>
        <v>0</v>
      </c>
      <c r="AQ124" s="89">
        <f t="shared" si="77"/>
        <v>0</v>
      </c>
      <c r="AR124" s="89">
        <f t="shared" si="78"/>
        <v>0</v>
      </c>
      <c r="AS124" s="88">
        <f t="shared" si="79"/>
        <v>30</v>
      </c>
      <c r="AT124" s="88">
        <f t="shared" ca="1" si="80"/>
        <v>30</v>
      </c>
      <c r="AU124" s="98">
        <f t="shared" si="81"/>
        <v>0</v>
      </c>
      <c r="AV124" s="88">
        <f t="shared" si="82"/>
        <v>0</v>
      </c>
      <c r="AW124" t="b">
        <f>OR((F124&gt;0),(NOT(ISBLANK(H124))),SUM(H124:H$373),SUM(G124:G$373))</f>
        <v>0</v>
      </c>
      <c r="AX124" t="b">
        <f t="shared" ca="1" si="57"/>
        <v>0</v>
      </c>
      <c r="AY124" s="519">
        <f t="shared" si="83"/>
        <v>-0.29166666666666669</v>
      </c>
      <c r="AZ124" s="180">
        <f>SUM(AY$5:AY124)</f>
        <v>-23.916666666666686</v>
      </c>
      <c r="BA124" s="567"/>
      <c r="BB124" s="567">
        <f t="shared" si="58"/>
        <v>0</v>
      </c>
      <c r="BC124" s="567"/>
    </row>
    <row r="125" spans="1:55" ht="15.75">
      <c r="A125" s="260">
        <f t="shared" si="84"/>
        <v>44953</v>
      </c>
      <c r="B125" s="261">
        <f t="shared" si="59"/>
        <v>44953</v>
      </c>
      <c r="C125" s="262">
        <f>IF(A125="","",NumberOfWeek(A125))</f>
        <v>4</v>
      </c>
      <c r="D125" s="263">
        <f t="shared" si="60"/>
        <v>44926</v>
      </c>
      <c r="E125" s="273" t="str">
        <f t="shared" si="61"/>
        <v/>
      </c>
      <c r="F125" s="5"/>
      <c r="G125" s="6" t="str">
        <f t="shared" si="46"/>
        <v/>
      </c>
      <c r="H125" s="7"/>
      <c r="I125" s="7">
        <f t="shared" si="62"/>
        <v>0</v>
      </c>
      <c r="J125" s="76">
        <f t="shared" si="63"/>
        <v>0</v>
      </c>
      <c r="K125" s="7"/>
      <c r="L125" s="7">
        <f t="shared" si="64"/>
        <v>0</v>
      </c>
      <c r="M125" s="76">
        <f t="shared" si="47"/>
        <v>0</v>
      </c>
      <c r="N125" s="76"/>
      <c r="O125" s="76">
        <f t="shared" si="48"/>
        <v>0</v>
      </c>
      <c r="P125" s="76"/>
      <c r="Q125" s="76">
        <f t="shared" si="49"/>
        <v>0</v>
      </c>
      <c r="R125" s="76">
        <f t="shared" si="65"/>
        <v>0</v>
      </c>
      <c r="S125" s="76">
        <f t="shared" si="66"/>
        <v>0</v>
      </c>
      <c r="T125" s="76">
        <f t="shared" si="67"/>
        <v>0</v>
      </c>
      <c r="U125" s="76">
        <f t="shared" si="68"/>
        <v>0</v>
      </c>
      <c r="V125" s="109">
        <f t="shared" si="69"/>
        <v>0</v>
      </c>
      <c r="W125" s="62"/>
      <c r="X125" s="78">
        <f t="shared" si="50"/>
        <v>3.125E-2</v>
      </c>
      <c r="Y125" s="73">
        <f t="shared" si="70"/>
        <v>0</v>
      </c>
      <c r="Z125" s="74">
        <f t="shared" si="71"/>
        <v>0.29166666666666669</v>
      </c>
      <c r="AA125" s="75">
        <f t="shared" si="72"/>
        <v>0</v>
      </c>
      <c r="AB125" s="63" t="str">
        <f t="shared" si="73"/>
        <v/>
      </c>
      <c r="AC125" s="148">
        <f t="shared" si="51"/>
        <v>0</v>
      </c>
      <c r="AD125" s="107" t="str">
        <f t="shared" si="52"/>
        <v/>
      </c>
      <c r="AE125" s="180">
        <f t="shared" si="74"/>
        <v>0</v>
      </c>
      <c r="AF125" s="73"/>
      <c r="AG125" s="525"/>
      <c r="AH125" s="73"/>
      <c r="AI125" s="73" t="str">
        <f t="shared" si="85"/>
        <v/>
      </c>
      <c r="AJ125" s="64">
        <f t="shared" si="53"/>
        <v>0</v>
      </c>
      <c r="AK125" s="64">
        <f t="shared" si="54"/>
        <v>0</v>
      </c>
      <c r="AL125" s="64" t="str">
        <f t="shared" si="55"/>
        <v/>
      </c>
      <c r="AM125">
        <f t="shared" si="56"/>
        <v>4</v>
      </c>
      <c r="AN125" s="85">
        <f>SUM($AD$6:AD125)</f>
        <v>0</v>
      </c>
      <c r="AO125" s="85">
        <f t="shared" ca="1" si="75"/>
        <v>0</v>
      </c>
      <c r="AP125" s="89">
        <f t="shared" si="76"/>
        <v>0</v>
      </c>
      <c r="AQ125" s="89">
        <f t="shared" si="77"/>
        <v>0</v>
      </c>
      <c r="AR125" s="89">
        <f t="shared" si="78"/>
        <v>0</v>
      </c>
      <c r="AS125" s="88">
        <f t="shared" si="79"/>
        <v>30</v>
      </c>
      <c r="AT125" s="88">
        <f t="shared" ca="1" si="80"/>
        <v>30</v>
      </c>
      <c r="AU125" s="98">
        <f t="shared" si="81"/>
        <v>0</v>
      </c>
      <c r="AV125" s="88">
        <f t="shared" si="82"/>
        <v>0</v>
      </c>
      <c r="AW125" t="b">
        <f>OR((F125&gt;0),(NOT(ISBLANK(H125))),SUM(H125:H$373),SUM(G125:G$373))</f>
        <v>0</v>
      </c>
      <c r="AX125" t="b">
        <f t="shared" ca="1" si="57"/>
        <v>0</v>
      </c>
      <c r="AY125" s="519">
        <f t="shared" si="83"/>
        <v>-0.29166666666666669</v>
      </c>
      <c r="AZ125" s="180">
        <f>SUM(AY$5:AY125)</f>
        <v>-24.208333333333353</v>
      </c>
      <c r="BA125" s="567"/>
      <c r="BB125" s="567">
        <f t="shared" si="58"/>
        <v>0</v>
      </c>
      <c r="BC125" s="567"/>
    </row>
    <row r="126" spans="1:55" ht="15.75">
      <c r="A126" s="260">
        <f t="shared" si="84"/>
        <v>44954</v>
      </c>
      <c r="B126" s="261">
        <f t="shared" si="59"/>
        <v>44954</v>
      </c>
      <c r="C126" s="262">
        <f>IF(A126="","",NumberOfWeek(A126))</f>
        <v>4</v>
      </c>
      <c r="D126" s="263">
        <f t="shared" si="60"/>
        <v>44926</v>
      </c>
      <c r="E126" s="273" t="str">
        <f t="shared" si="61"/>
        <v/>
      </c>
      <c r="F126" s="5"/>
      <c r="G126" s="6" t="str">
        <f t="shared" si="46"/>
        <v/>
      </c>
      <c r="H126" s="7"/>
      <c r="I126" s="7">
        <f t="shared" si="62"/>
        <v>0</v>
      </c>
      <c r="J126" s="76">
        <f t="shared" si="63"/>
        <v>0</v>
      </c>
      <c r="K126" s="7"/>
      <c r="L126" s="7">
        <f t="shared" si="64"/>
        <v>0</v>
      </c>
      <c r="M126" s="76">
        <f t="shared" si="47"/>
        <v>0</v>
      </c>
      <c r="N126" s="76"/>
      <c r="O126" s="76">
        <f t="shared" si="48"/>
        <v>0</v>
      </c>
      <c r="P126" s="76"/>
      <c r="Q126" s="76">
        <f t="shared" si="49"/>
        <v>0</v>
      </c>
      <c r="R126" s="76">
        <f t="shared" si="65"/>
        <v>0</v>
      </c>
      <c r="S126" s="76">
        <f t="shared" si="66"/>
        <v>0</v>
      </c>
      <c r="T126" s="76">
        <f t="shared" si="67"/>
        <v>0</v>
      </c>
      <c r="U126" s="76">
        <f t="shared" si="68"/>
        <v>0</v>
      </c>
      <c r="V126" s="109">
        <f t="shared" si="69"/>
        <v>0</v>
      </c>
      <c r="W126" s="62"/>
      <c r="X126" s="78">
        <f t="shared" si="50"/>
        <v>3.125E-2</v>
      </c>
      <c r="Y126" s="73">
        <f t="shared" si="70"/>
        <v>0</v>
      </c>
      <c r="Z126" s="74">
        <f t="shared" si="71"/>
        <v>0.29166666666666669</v>
      </c>
      <c r="AA126" s="75">
        <f t="shared" si="72"/>
        <v>0</v>
      </c>
      <c r="AB126" s="63" t="str">
        <f t="shared" si="73"/>
        <v/>
      </c>
      <c r="AC126" s="148">
        <f t="shared" si="51"/>
        <v>0</v>
      </c>
      <c r="AD126" s="107" t="str">
        <f t="shared" si="52"/>
        <v/>
      </c>
      <c r="AE126" s="180">
        <f t="shared" si="74"/>
        <v>0</v>
      </c>
      <c r="AF126" s="73"/>
      <c r="AG126" s="525"/>
      <c r="AH126" s="73"/>
      <c r="AI126" s="73" t="str">
        <f t="shared" si="85"/>
        <v/>
      </c>
      <c r="AJ126" s="64">
        <f t="shared" si="53"/>
        <v>0</v>
      </c>
      <c r="AK126" s="64">
        <f t="shared" si="54"/>
        <v>0</v>
      </c>
      <c r="AL126" s="64" t="str">
        <f t="shared" si="55"/>
        <v/>
      </c>
      <c r="AM126">
        <f t="shared" si="56"/>
        <v>5</v>
      </c>
      <c r="AN126" s="85">
        <f>SUM($AD$6:AD126)</f>
        <v>0</v>
      </c>
      <c r="AO126" s="85">
        <f t="shared" ca="1" si="75"/>
        <v>0</v>
      </c>
      <c r="AP126" s="89">
        <f t="shared" si="76"/>
        <v>0</v>
      </c>
      <c r="AQ126" s="89">
        <f t="shared" si="77"/>
        <v>0</v>
      </c>
      <c r="AR126" s="89">
        <f t="shared" si="78"/>
        <v>0</v>
      </c>
      <c r="AS126" s="88">
        <f t="shared" si="79"/>
        <v>30</v>
      </c>
      <c r="AT126" s="88">
        <f t="shared" ca="1" si="80"/>
        <v>30</v>
      </c>
      <c r="AU126" s="98">
        <f t="shared" si="81"/>
        <v>0</v>
      </c>
      <c r="AV126" s="88">
        <f t="shared" si="82"/>
        <v>0</v>
      </c>
      <c r="AW126" t="b">
        <f>OR((F126&gt;0),(NOT(ISBLANK(H126))),SUM(H126:H$373),SUM(G126:G$373))</f>
        <v>0</v>
      </c>
      <c r="AX126" t="b">
        <f t="shared" ca="1" si="57"/>
        <v>0</v>
      </c>
      <c r="AY126" s="519">
        <f t="shared" si="83"/>
        <v>-0.29166666666666669</v>
      </c>
      <c r="AZ126" s="180">
        <f>SUM(AY$5:AY126)</f>
        <v>-24.500000000000021</v>
      </c>
      <c r="BA126" s="567"/>
      <c r="BB126" s="567">
        <f t="shared" si="58"/>
        <v>0</v>
      </c>
      <c r="BC126" s="567"/>
    </row>
    <row r="127" spans="1:55" ht="15.75">
      <c r="A127" s="260">
        <f t="shared" si="84"/>
        <v>44955</v>
      </c>
      <c r="B127" s="261">
        <f t="shared" si="59"/>
        <v>44955</v>
      </c>
      <c r="C127" s="262">
        <f>IF(A127="","",NumberOfWeek(A127))</f>
        <v>4</v>
      </c>
      <c r="D127" s="263">
        <f t="shared" si="60"/>
        <v>44926</v>
      </c>
      <c r="E127" s="273" t="str">
        <f t="shared" si="61"/>
        <v/>
      </c>
      <c r="F127" s="5"/>
      <c r="G127" s="6" t="str">
        <f t="shared" si="46"/>
        <v/>
      </c>
      <c r="H127" s="7"/>
      <c r="I127" s="7">
        <f t="shared" si="62"/>
        <v>0</v>
      </c>
      <c r="J127" s="76">
        <f t="shared" si="63"/>
        <v>0</v>
      </c>
      <c r="K127" s="7"/>
      <c r="L127" s="7">
        <f t="shared" si="64"/>
        <v>0</v>
      </c>
      <c r="M127" s="76">
        <f t="shared" si="47"/>
        <v>0</v>
      </c>
      <c r="N127" s="76"/>
      <c r="O127" s="76">
        <f t="shared" si="48"/>
        <v>0</v>
      </c>
      <c r="P127" s="76"/>
      <c r="Q127" s="76">
        <f t="shared" si="49"/>
        <v>0</v>
      </c>
      <c r="R127" s="76">
        <f t="shared" si="65"/>
        <v>0</v>
      </c>
      <c r="S127" s="76">
        <f t="shared" si="66"/>
        <v>0</v>
      </c>
      <c r="T127" s="76">
        <f t="shared" si="67"/>
        <v>0</v>
      </c>
      <c r="U127" s="76">
        <f t="shared" si="68"/>
        <v>0</v>
      </c>
      <c r="V127" s="109">
        <f t="shared" si="69"/>
        <v>0</v>
      </c>
      <c r="W127" s="62"/>
      <c r="X127" s="78">
        <f t="shared" si="50"/>
        <v>3.125E-2</v>
      </c>
      <c r="Y127" s="73">
        <f t="shared" si="70"/>
        <v>0</v>
      </c>
      <c r="Z127" s="74">
        <f t="shared" si="71"/>
        <v>0</v>
      </c>
      <c r="AA127" s="75">
        <f t="shared" si="72"/>
        <v>0</v>
      </c>
      <c r="AB127" s="63" t="str">
        <f t="shared" si="73"/>
        <v/>
      </c>
      <c r="AC127" s="148">
        <f t="shared" si="51"/>
        <v>0</v>
      </c>
      <c r="AD127" s="107" t="str">
        <f t="shared" si="52"/>
        <v/>
      </c>
      <c r="AE127" s="180">
        <f t="shared" si="74"/>
        <v>0</v>
      </c>
      <c r="AF127" s="73"/>
      <c r="AG127" s="525"/>
      <c r="AH127" s="73"/>
      <c r="AI127" s="73" t="str">
        <f t="shared" si="85"/>
        <v/>
      </c>
      <c r="AJ127" s="64">
        <f t="shared" si="53"/>
        <v>0</v>
      </c>
      <c r="AK127" s="64">
        <f t="shared" si="54"/>
        <v>0</v>
      </c>
      <c r="AL127" s="64" t="str">
        <f t="shared" si="55"/>
        <v/>
      </c>
      <c r="AM127">
        <f t="shared" si="56"/>
        <v>6</v>
      </c>
      <c r="AN127" s="85">
        <f>SUM($AD$6:AD127)</f>
        <v>0</v>
      </c>
      <c r="AO127" s="85">
        <f t="shared" ca="1" si="75"/>
        <v>0</v>
      </c>
      <c r="AP127" s="89">
        <f t="shared" si="76"/>
        <v>0</v>
      </c>
      <c r="AQ127" s="89">
        <f t="shared" si="77"/>
        <v>0</v>
      </c>
      <c r="AR127" s="89">
        <f t="shared" si="78"/>
        <v>0</v>
      </c>
      <c r="AS127" s="88">
        <f t="shared" si="79"/>
        <v>30</v>
      </c>
      <c r="AT127" s="88">
        <f t="shared" ca="1" si="80"/>
        <v>30</v>
      </c>
      <c r="AU127" s="98">
        <f t="shared" si="81"/>
        <v>0</v>
      </c>
      <c r="AV127" s="88">
        <f t="shared" si="82"/>
        <v>7</v>
      </c>
      <c r="AW127" t="b">
        <f>OR((F127&gt;0),(NOT(ISBLANK(H127))),SUM(H127:H$373),SUM(G127:G$373))</f>
        <v>0</v>
      </c>
      <c r="AX127" t="b">
        <f t="shared" ca="1" si="57"/>
        <v>1</v>
      </c>
      <c r="AY127" s="519">
        <f t="shared" si="83"/>
        <v>0</v>
      </c>
      <c r="AZ127" s="180">
        <f>SUM(AY$5:AY127)</f>
        <v>-24.500000000000021</v>
      </c>
      <c r="BA127" s="567"/>
      <c r="BB127" s="567">
        <f t="shared" si="58"/>
        <v>0</v>
      </c>
      <c r="BC127" s="567"/>
    </row>
    <row r="128" spans="1:55" ht="15.75">
      <c r="A128" s="260">
        <f t="shared" si="84"/>
        <v>44956</v>
      </c>
      <c r="B128" s="261">
        <f t="shared" si="59"/>
        <v>44956</v>
      </c>
      <c r="C128" s="262">
        <f>IF(A128="","",NumberOfWeek(A128))</f>
        <v>4</v>
      </c>
      <c r="D128" s="263">
        <f t="shared" si="60"/>
        <v>44926</v>
      </c>
      <c r="E128" s="273" t="str">
        <f t="shared" si="61"/>
        <v/>
      </c>
      <c r="F128" s="5"/>
      <c r="G128" s="6" t="str">
        <f t="shared" si="46"/>
        <v/>
      </c>
      <c r="H128" s="7"/>
      <c r="I128" s="7">
        <f t="shared" si="62"/>
        <v>0</v>
      </c>
      <c r="J128" s="76">
        <f t="shared" si="63"/>
        <v>0</v>
      </c>
      <c r="K128" s="7"/>
      <c r="L128" s="7">
        <f t="shared" si="64"/>
        <v>0</v>
      </c>
      <c r="M128" s="76">
        <f t="shared" si="47"/>
        <v>0</v>
      </c>
      <c r="N128" s="76"/>
      <c r="O128" s="76">
        <f t="shared" si="48"/>
        <v>0</v>
      </c>
      <c r="P128" s="76"/>
      <c r="Q128" s="76">
        <f t="shared" si="49"/>
        <v>0</v>
      </c>
      <c r="R128" s="76">
        <f t="shared" si="65"/>
        <v>0</v>
      </c>
      <c r="S128" s="76">
        <f t="shared" si="66"/>
        <v>0</v>
      </c>
      <c r="T128" s="76">
        <f t="shared" si="67"/>
        <v>0</v>
      </c>
      <c r="U128" s="76">
        <f t="shared" si="68"/>
        <v>0</v>
      </c>
      <c r="V128" s="109">
        <f t="shared" si="69"/>
        <v>0</v>
      </c>
      <c r="W128" s="62"/>
      <c r="X128" s="78">
        <f t="shared" si="50"/>
        <v>3.125E-2</v>
      </c>
      <c r="Y128" s="73">
        <f t="shared" si="70"/>
        <v>0</v>
      </c>
      <c r="Z128" s="74">
        <f t="shared" si="71"/>
        <v>0</v>
      </c>
      <c r="AA128" s="75">
        <f t="shared" si="72"/>
        <v>0</v>
      </c>
      <c r="AB128" s="63" t="str">
        <f t="shared" si="73"/>
        <v/>
      </c>
      <c r="AC128" s="148">
        <f t="shared" si="51"/>
        <v>0</v>
      </c>
      <c r="AD128" s="107" t="str">
        <f t="shared" si="52"/>
        <v/>
      </c>
      <c r="AE128" s="180">
        <f t="shared" si="74"/>
        <v>0</v>
      </c>
      <c r="AF128" s="73"/>
      <c r="AG128" s="525"/>
      <c r="AH128" s="73"/>
      <c r="AI128" s="73" t="str">
        <f t="shared" si="85"/>
        <v/>
      </c>
      <c r="AJ128" s="64">
        <f t="shared" si="53"/>
        <v>0</v>
      </c>
      <c r="AK128" s="64">
        <f t="shared" si="54"/>
        <v>0</v>
      </c>
      <c r="AL128" s="64" t="str">
        <f t="shared" si="55"/>
        <v/>
      </c>
      <c r="AM128">
        <f t="shared" si="56"/>
        <v>7</v>
      </c>
      <c r="AN128" s="85">
        <f>SUM($AD$6:AD128)</f>
        <v>0</v>
      </c>
      <c r="AO128" s="85">
        <f t="shared" ca="1" si="75"/>
        <v>0</v>
      </c>
      <c r="AP128" s="89">
        <f t="shared" si="76"/>
        <v>0</v>
      </c>
      <c r="AQ128" s="89">
        <f t="shared" si="77"/>
        <v>0</v>
      </c>
      <c r="AR128" s="89">
        <f t="shared" si="78"/>
        <v>0</v>
      </c>
      <c r="AS128" s="88">
        <f t="shared" si="79"/>
        <v>30</v>
      </c>
      <c r="AT128" s="88">
        <f t="shared" ca="1" si="80"/>
        <v>30</v>
      </c>
      <c r="AU128" s="98">
        <f t="shared" si="81"/>
        <v>0</v>
      </c>
      <c r="AV128" s="88">
        <f t="shared" si="82"/>
        <v>7</v>
      </c>
      <c r="AW128" t="b">
        <f>OR((F128&gt;0),(NOT(ISBLANK(H128))),SUM(H128:H$373),SUM(G128:G$373))</f>
        <v>0</v>
      </c>
      <c r="AX128" t="b">
        <f t="shared" ca="1" si="57"/>
        <v>1</v>
      </c>
      <c r="AY128" s="519">
        <f t="shared" si="83"/>
        <v>0</v>
      </c>
      <c r="AZ128" s="180">
        <f>SUM(AY$5:AY128)</f>
        <v>-24.500000000000021</v>
      </c>
      <c r="BA128" s="567"/>
      <c r="BB128" s="567">
        <f t="shared" si="58"/>
        <v>0</v>
      </c>
      <c r="BC128" s="567"/>
    </row>
    <row r="129" spans="1:55" ht="15.75">
      <c r="A129" s="260">
        <f t="shared" si="84"/>
        <v>44957</v>
      </c>
      <c r="B129" s="261">
        <f t="shared" si="59"/>
        <v>44957</v>
      </c>
      <c r="C129" s="262">
        <f>IF(A129="","",NumberOfWeek(A129))</f>
        <v>5</v>
      </c>
      <c r="D129" s="263">
        <f t="shared" si="60"/>
        <v>44957</v>
      </c>
      <c r="E129" s="273" t="str">
        <f t="shared" si="61"/>
        <v/>
      </c>
      <c r="F129" s="5"/>
      <c r="G129" s="6" t="str">
        <f t="shared" si="46"/>
        <v/>
      </c>
      <c r="H129" s="7"/>
      <c r="I129" s="7">
        <f t="shared" si="62"/>
        <v>0</v>
      </c>
      <c r="J129" s="76">
        <f t="shared" si="63"/>
        <v>0</v>
      </c>
      <c r="K129" s="7"/>
      <c r="L129" s="7">
        <f t="shared" si="64"/>
        <v>0</v>
      </c>
      <c r="M129" s="76">
        <f t="shared" si="47"/>
        <v>0</v>
      </c>
      <c r="N129" s="76"/>
      <c r="O129" s="76">
        <f t="shared" si="48"/>
        <v>0</v>
      </c>
      <c r="P129" s="76"/>
      <c r="Q129" s="76">
        <f t="shared" si="49"/>
        <v>0</v>
      </c>
      <c r="R129" s="76">
        <f t="shared" si="65"/>
        <v>0</v>
      </c>
      <c r="S129" s="76">
        <f t="shared" si="66"/>
        <v>0</v>
      </c>
      <c r="T129" s="76">
        <f t="shared" si="67"/>
        <v>0</v>
      </c>
      <c r="U129" s="76">
        <f t="shared" si="68"/>
        <v>0</v>
      </c>
      <c r="V129" s="109">
        <f t="shared" si="69"/>
        <v>0</v>
      </c>
      <c r="W129" s="62"/>
      <c r="X129" s="78">
        <f t="shared" si="50"/>
        <v>3.125E-2</v>
      </c>
      <c r="Y129" s="73">
        <f t="shared" si="70"/>
        <v>0</v>
      </c>
      <c r="Z129" s="74">
        <f t="shared" si="71"/>
        <v>0.29166666666666669</v>
      </c>
      <c r="AA129" s="75">
        <f t="shared" si="72"/>
        <v>0</v>
      </c>
      <c r="AB129" s="63" t="str">
        <f t="shared" si="73"/>
        <v/>
      </c>
      <c r="AC129" s="148">
        <f t="shared" si="51"/>
        <v>0</v>
      </c>
      <c r="AD129" s="107" t="str">
        <f t="shared" si="52"/>
        <v/>
      </c>
      <c r="AE129" s="180">
        <f t="shared" si="74"/>
        <v>0</v>
      </c>
      <c r="AF129" s="73"/>
      <c r="AG129" s="525"/>
      <c r="AH129" s="73"/>
      <c r="AI129" s="73" t="str">
        <f t="shared" si="85"/>
        <v/>
      </c>
      <c r="AJ129" s="64">
        <f t="shared" si="53"/>
        <v>0</v>
      </c>
      <c r="AK129" s="64">
        <f t="shared" si="54"/>
        <v>0</v>
      </c>
      <c r="AL129" s="64" t="str">
        <f t="shared" si="55"/>
        <v/>
      </c>
      <c r="AM129">
        <f t="shared" si="56"/>
        <v>1</v>
      </c>
      <c r="AN129" s="85">
        <f>SUM($AD$6:AD129)</f>
        <v>0</v>
      </c>
      <c r="AO129" s="85">
        <f t="shared" ca="1" si="75"/>
        <v>0</v>
      </c>
      <c r="AP129" s="89">
        <f t="shared" si="76"/>
        <v>0</v>
      </c>
      <c r="AQ129" s="89">
        <f t="shared" si="77"/>
        <v>0</v>
      </c>
      <c r="AR129" s="89">
        <f t="shared" si="78"/>
        <v>0</v>
      </c>
      <c r="AS129" s="88">
        <f t="shared" si="79"/>
        <v>30</v>
      </c>
      <c r="AT129" s="88">
        <f t="shared" ca="1" si="80"/>
        <v>30</v>
      </c>
      <c r="AU129" s="98">
        <f t="shared" si="81"/>
        <v>0</v>
      </c>
      <c r="AV129" s="88">
        <f t="shared" si="82"/>
        <v>0</v>
      </c>
      <c r="AW129" t="b">
        <f>OR((F129&gt;0),(NOT(ISBLANK(H129))),SUM(H129:H$373),SUM(G129:G$373))</f>
        <v>0</v>
      </c>
      <c r="AX129" t="b">
        <f t="shared" ca="1" si="57"/>
        <v>0</v>
      </c>
      <c r="AY129" s="519">
        <f t="shared" si="83"/>
        <v>-0.29166666666666669</v>
      </c>
      <c r="AZ129" s="180">
        <f>SUM(AY$5:AY129)</f>
        <v>-24.791666666666689</v>
      </c>
      <c r="BA129" s="567"/>
      <c r="BB129" s="567">
        <f t="shared" si="58"/>
        <v>0</v>
      </c>
      <c r="BC129" s="567"/>
    </row>
    <row r="130" spans="1:55" ht="15.75">
      <c r="A130" s="260">
        <f t="shared" si="84"/>
        <v>44958</v>
      </c>
      <c r="B130" s="261">
        <f t="shared" si="59"/>
        <v>44958</v>
      </c>
      <c r="C130" s="262">
        <f>IF(A130="","",NumberOfWeek(A130))</f>
        <v>5</v>
      </c>
      <c r="D130" s="263">
        <f t="shared" si="60"/>
        <v>44957</v>
      </c>
      <c r="E130" s="273" t="str">
        <f t="shared" si="61"/>
        <v/>
      </c>
      <c r="F130" s="5"/>
      <c r="G130" s="6" t="str">
        <f t="shared" si="46"/>
        <v/>
      </c>
      <c r="H130" s="7"/>
      <c r="I130" s="7">
        <f t="shared" si="62"/>
        <v>0</v>
      </c>
      <c r="J130" s="76">
        <f t="shared" si="63"/>
        <v>0</v>
      </c>
      <c r="K130" s="7"/>
      <c r="L130" s="7">
        <f t="shared" si="64"/>
        <v>0</v>
      </c>
      <c r="M130" s="76">
        <f t="shared" si="47"/>
        <v>0</v>
      </c>
      <c r="N130" s="76"/>
      <c r="O130" s="76">
        <f t="shared" si="48"/>
        <v>0</v>
      </c>
      <c r="P130" s="76"/>
      <c r="Q130" s="76">
        <f t="shared" si="49"/>
        <v>0</v>
      </c>
      <c r="R130" s="76">
        <f t="shared" si="65"/>
        <v>0</v>
      </c>
      <c r="S130" s="76">
        <f t="shared" si="66"/>
        <v>0</v>
      </c>
      <c r="T130" s="76">
        <f t="shared" si="67"/>
        <v>0</v>
      </c>
      <c r="U130" s="76">
        <f t="shared" si="68"/>
        <v>0</v>
      </c>
      <c r="V130" s="109">
        <f t="shared" si="69"/>
        <v>0</v>
      </c>
      <c r="W130" s="62"/>
      <c r="X130" s="78">
        <f t="shared" si="50"/>
        <v>3.125E-2</v>
      </c>
      <c r="Y130" s="73">
        <f t="shared" si="70"/>
        <v>0</v>
      </c>
      <c r="Z130" s="74">
        <f t="shared" si="71"/>
        <v>0.29166666666666669</v>
      </c>
      <c r="AA130" s="75">
        <f t="shared" si="72"/>
        <v>0</v>
      </c>
      <c r="AB130" s="63" t="str">
        <f t="shared" si="73"/>
        <v/>
      </c>
      <c r="AC130" s="148">
        <f t="shared" si="51"/>
        <v>0</v>
      </c>
      <c r="AD130" s="107" t="str">
        <f t="shared" si="52"/>
        <v/>
      </c>
      <c r="AE130" s="180">
        <f t="shared" si="74"/>
        <v>0</v>
      </c>
      <c r="AF130" s="73"/>
      <c r="AG130" s="525"/>
      <c r="AH130" s="73"/>
      <c r="AI130" s="73" t="str">
        <f t="shared" si="85"/>
        <v/>
      </c>
      <c r="AJ130" s="64">
        <f t="shared" si="53"/>
        <v>0</v>
      </c>
      <c r="AK130" s="64">
        <f t="shared" si="54"/>
        <v>0</v>
      </c>
      <c r="AL130" s="64" t="str">
        <f t="shared" si="55"/>
        <v/>
      </c>
      <c r="AM130">
        <f t="shared" si="56"/>
        <v>2</v>
      </c>
      <c r="AN130" s="85">
        <f>SUM($AD$6:AD130)</f>
        <v>0</v>
      </c>
      <c r="AO130" s="85">
        <f t="shared" ca="1" si="75"/>
        <v>0</v>
      </c>
      <c r="AP130" s="89">
        <f t="shared" si="76"/>
        <v>0</v>
      </c>
      <c r="AQ130" s="89">
        <f t="shared" si="77"/>
        <v>0</v>
      </c>
      <c r="AR130" s="89">
        <f t="shared" si="78"/>
        <v>0</v>
      </c>
      <c r="AS130" s="88">
        <f t="shared" si="79"/>
        <v>30</v>
      </c>
      <c r="AT130" s="88">
        <f t="shared" ca="1" si="80"/>
        <v>30</v>
      </c>
      <c r="AU130" s="98">
        <f t="shared" si="81"/>
        <v>0</v>
      </c>
      <c r="AV130" s="88">
        <f t="shared" si="82"/>
        <v>0</v>
      </c>
      <c r="AW130" t="b">
        <f>OR((F130&gt;0),(NOT(ISBLANK(H130))),SUM(H130:H$373),SUM(G130:G$373))</f>
        <v>0</v>
      </c>
      <c r="AX130" t="b">
        <f t="shared" ca="1" si="57"/>
        <v>0</v>
      </c>
      <c r="AY130" s="519">
        <f t="shared" si="83"/>
        <v>-0.29166666666666669</v>
      </c>
      <c r="AZ130" s="180">
        <f>SUM(AY$5:AY130)</f>
        <v>-25.083333333333357</v>
      </c>
      <c r="BA130" s="567"/>
      <c r="BB130" s="567">
        <f t="shared" si="58"/>
        <v>0</v>
      </c>
      <c r="BC130" s="567"/>
    </row>
    <row r="131" spans="1:55" ht="15.75">
      <c r="A131" s="260">
        <f t="shared" si="84"/>
        <v>44959</v>
      </c>
      <c r="B131" s="261">
        <f t="shared" si="59"/>
        <v>44959</v>
      </c>
      <c r="C131" s="262">
        <f>IF(A131="","",NumberOfWeek(A131))</f>
        <v>5</v>
      </c>
      <c r="D131" s="263">
        <f t="shared" si="60"/>
        <v>44957</v>
      </c>
      <c r="E131" s="273" t="str">
        <f t="shared" si="61"/>
        <v/>
      </c>
      <c r="F131" s="5"/>
      <c r="G131" s="6" t="str">
        <f t="shared" si="46"/>
        <v/>
      </c>
      <c r="H131" s="7"/>
      <c r="I131" s="7">
        <f t="shared" si="62"/>
        <v>0</v>
      </c>
      <c r="J131" s="76">
        <f t="shared" si="63"/>
        <v>0</v>
      </c>
      <c r="K131" s="7"/>
      <c r="L131" s="7">
        <f t="shared" si="64"/>
        <v>0</v>
      </c>
      <c r="M131" s="76">
        <f t="shared" si="47"/>
        <v>0</v>
      </c>
      <c r="N131" s="76"/>
      <c r="O131" s="76">
        <f t="shared" si="48"/>
        <v>0</v>
      </c>
      <c r="P131" s="76"/>
      <c r="Q131" s="76">
        <f t="shared" si="49"/>
        <v>0</v>
      </c>
      <c r="R131" s="76">
        <f t="shared" si="65"/>
        <v>0</v>
      </c>
      <c r="S131" s="76">
        <f t="shared" si="66"/>
        <v>0</v>
      </c>
      <c r="T131" s="76">
        <f t="shared" si="67"/>
        <v>0</v>
      </c>
      <c r="U131" s="76">
        <f t="shared" si="68"/>
        <v>0</v>
      </c>
      <c r="V131" s="109">
        <f t="shared" si="69"/>
        <v>0</v>
      </c>
      <c r="W131" s="62"/>
      <c r="X131" s="78">
        <f t="shared" si="50"/>
        <v>3.125E-2</v>
      </c>
      <c r="Y131" s="73">
        <f t="shared" si="70"/>
        <v>0</v>
      </c>
      <c r="Z131" s="74">
        <f t="shared" si="71"/>
        <v>0.29166666666666669</v>
      </c>
      <c r="AA131" s="75">
        <f t="shared" si="72"/>
        <v>0</v>
      </c>
      <c r="AB131" s="63" t="str">
        <f t="shared" si="73"/>
        <v/>
      </c>
      <c r="AC131" s="148">
        <f t="shared" si="51"/>
        <v>0</v>
      </c>
      <c r="AD131" s="107" t="str">
        <f t="shared" si="52"/>
        <v/>
      </c>
      <c r="AE131" s="180">
        <f t="shared" si="74"/>
        <v>0</v>
      </c>
      <c r="AF131" s="73"/>
      <c r="AG131" s="525"/>
      <c r="AH131" s="73"/>
      <c r="AI131" s="73" t="str">
        <f t="shared" si="85"/>
        <v/>
      </c>
      <c r="AJ131" s="64">
        <f t="shared" si="53"/>
        <v>0</v>
      </c>
      <c r="AK131" s="64">
        <f t="shared" si="54"/>
        <v>0</v>
      </c>
      <c r="AL131" s="64" t="str">
        <f t="shared" si="55"/>
        <v/>
      </c>
      <c r="AM131">
        <f t="shared" si="56"/>
        <v>3</v>
      </c>
      <c r="AN131" s="85">
        <f>SUM($AD$6:AD131)</f>
        <v>0</v>
      </c>
      <c r="AO131" s="85">
        <f t="shared" ca="1" si="75"/>
        <v>0</v>
      </c>
      <c r="AP131" s="89">
        <f t="shared" si="76"/>
        <v>0</v>
      </c>
      <c r="AQ131" s="89">
        <f t="shared" si="77"/>
        <v>0</v>
      </c>
      <c r="AR131" s="89">
        <f t="shared" si="78"/>
        <v>0</v>
      </c>
      <c r="AS131" s="88">
        <f t="shared" si="79"/>
        <v>30</v>
      </c>
      <c r="AT131" s="88">
        <f t="shared" ca="1" si="80"/>
        <v>30</v>
      </c>
      <c r="AU131" s="98">
        <f t="shared" si="81"/>
        <v>0</v>
      </c>
      <c r="AV131" s="88">
        <f t="shared" si="82"/>
        <v>0</v>
      </c>
      <c r="AW131" t="b">
        <f>OR((F131&gt;0),(NOT(ISBLANK(H131))),SUM(H131:H$373),SUM(G131:G$373))</f>
        <v>0</v>
      </c>
      <c r="AX131" t="b">
        <f t="shared" ca="1" si="57"/>
        <v>0</v>
      </c>
      <c r="AY131" s="519">
        <f t="shared" si="83"/>
        <v>-0.29166666666666669</v>
      </c>
      <c r="AZ131" s="180">
        <f>SUM(AY$5:AY131)</f>
        <v>-25.375000000000025</v>
      </c>
      <c r="BA131" s="567"/>
      <c r="BB131" s="567">
        <f t="shared" si="58"/>
        <v>0</v>
      </c>
      <c r="BC131" s="567"/>
    </row>
    <row r="132" spans="1:55" ht="15.75">
      <c r="A132" s="260">
        <f t="shared" si="84"/>
        <v>44960</v>
      </c>
      <c r="B132" s="261">
        <f t="shared" si="59"/>
        <v>44960</v>
      </c>
      <c r="C132" s="262">
        <f>IF(A132="","",NumberOfWeek(A132))</f>
        <v>5</v>
      </c>
      <c r="D132" s="263">
        <f t="shared" si="60"/>
        <v>44957</v>
      </c>
      <c r="E132" s="273" t="str">
        <f t="shared" si="61"/>
        <v/>
      </c>
      <c r="F132" s="5"/>
      <c r="G132" s="6" t="str">
        <f t="shared" si="46"/>
        <v/>
      </c>
      <c r="H132" s="7"/>
      <c r="I132" s="7">
        <f t="shared" si="62"/>
        <v>0</v>
      </c>
      <c r="J132" s="76">
        <f t="shared" si="63"/>
        <v>0</v>
      </c>
      <c r="K132" s="7"/>
      <c r="L132" s="7">
        <f t="shared" si="64"/>
        <v>0</v>
      </c>
      <c r="M132" s="76">
        <f t="shared" si="47"/>
        <v>0</v>
      </c>
      <c r="N132" s="76"/>
      <c r="O132" s="76">
        <f t="shared" si="48"/>
        <v>0</v>
      </c>
      <c r="P132" s="76"/>
      <c r="Q132" s="76">
        <f t="shared" si="49"/>
        <v>0</v>
      </c>
      <c r="R132" s="76">
        <f t="shared" si="65"/>
        <v>0</v>
      </c>
      <c r="S132" s="76">
        <f t="shared" si="66"/>
        <v>0</v>
      </c>
      <c r="T132" s="76">
        <f t="shared" si="67"/>
        <v>0</v>
      </c>
      <c r="U132" s="76">
        <f t="shared" si="68"/>
        <v>0</v>
      </c>
      <c r="V132" s="109">
        <f t="shared" si="69"/>
        <v>0</v>
      </c>
      <c r="W132" s="62"/>
      <c r="X132" s="78">
        <f t="shared" si="50"/>
        <v>3.125E-2</v>
      </c>
      <c r="Y132" s="73">
        <f t="shared" si="70"/>
        <v>0</v>
      </c>
      <c r="Z132" s="74">
        <f t="shared" si="71"/>
        <v>0.29166666666666669</v>
      </c>
      <c r="AA132" s="75">
        <f t="shared" si="72"/>
        <v>0</v>
      </c>
      <c r="AB132" s="63" t="str">
        <f t="shared" si="73"/>
        <v/>
      </c>
      <c r="AC132" s="148">
        <f t="shared" si="51"/>
        <v>0</v>
      </c>
      <c r="AD132" s="107" t="str">
        <f t="shared" si="52"/>
        <v/>
      </c>
      <c r="AE132" s="180">
        <f t="shared" si="74"/>
        <v>0</v>
      </c>
      <c r="AF132" s="73"/>
      <c r="AG132" s="525"/>
      <c r="AH132" s="73"/>
      <c r="AI132" s="73" t="str">
        <f t="shared" si="85"/>
        <v/>
      </c>
      <c r="AJ132" s="64">
        <f t="shared" si="53"/>
        <v>0</v>
      </c>
      <c r="AK132" s="64">
        <f t="shared" si="54"/>
        <v>0</v>
      </c>
      <c r="AL132" s="64" t="str">
        <f t="shared" si="55"/>
        <v/>
      </c>
      <c r="AM132">
        <f t="shared" si="56"/>
        <v>4</v>
      </c>
      <c r="AN132" s="85">
        <f>SUM($AD$6:AD132)</f>
        <v>0</v>
      </c>
      <c r="AO132" s="85">
        <f t="shared" ca="1" si="75"/>
        <v>0</v>
      </c>
      <c r="AP132" s="89">
        <f t="shared" si="76"/>
        <v>0</v>
      </c>
      <c r="AQ132" s="89">
        <f t="shared" si="77"/>
        <v>0</v>
      </c>
      <c r="AR132" s="89">
        <f t="shared" si="78"/>
        <v>0</v>
      </c>
      <c r="AS132" s="88">
        <f t="shared" si="79"/>
        <v>30</v>
      </c>
      <c r="AT132" s="88">
        <f t="shared" ca="1" si="80"/>
        <v>30</v>
      </c>
      <c r="AU132" s="98">
        <f t="shared" si="81"/>
        <v>0</v>
      </c>
      <c r="AV132" s="88">
        <f t="shared" si="82"/>
        <v>0</v>
      </c>
      <c r="AW132" t="b">
        <f>OR((F132&gt;0),(NOT(ISBLANK(H132))),SUM(H132:H$373),SUM(G132:G$373))</f>
        <v>0</v>
      </c>
      <c r="AX132" t="b">
        <f t="shared" ca="1" si="57"/>
        <v>0</v>
      </c>
      <c r="AY132" s="519">
        <f t="shared" si="83"/>
        <v>-0.29166666666666669</v>
      </c>
      <c r="AZ132" s="180">
        <f>SUM(AY$5:AY132)</f>
        <v>-25.666666666666693</v>
      </c>
      <c r="BA132" s="567"/>
      <c r="BB132" s="567">
        <f t="shared" si="58"/>
        <v>0</v>
      </c>
      <c r="BC132" s="567"/>
    </row>
    <row r="133" spans="1:55" ht="15.75">
      <c r="A133" s="260">
        <f t="shared" si="84"/>
        <v>44961</v>
      </c>
      <c r="B133" s="261">
        <f t="shared" si="59"/>
        <v>44961</v>
      </c>
      <c r="C133" s="262">
        <f>IF(A133="","",NumberOfWeek(A133))</f>
        <v>5</v>
      </c>
      <c r="D133" s="263">
        <f t="shared" si="60"/>
        <v>44957</v>
      </c>
      <c r="E133" s="273" t="str">
        <f t="shared" si="61"/>
        <v/>
      </c>
      <c r="F133" s="5"/>
      <c r="G133" s="6" t="str">
        <f t="shared" ref="G133:G196" si="86">IF(ISBLANK(F133),IF(ISBLANK(H133),"",0),CODE(UPPER(F133)))</f>
        <v/>
      </c>
      <c r="H133" s="7"/>
      <c r="I133" s="7">
        <f t="shared" si="62"/>
        <v>0</v>
      </c>
      <c r="J133" s="76">
        <f t="shared" si="63"/>
        <v>0</v>
      </c>
      <c r="K133" s="7"/>
      <c r="L133" s="7">
        <f t="shared" si="64"/>
        <v>0</v>
      </c>
      <c r="M133" s="76">
        <f t="shared" ref="M133:M196" si="87">IF(L133&lt;K133,L133+1,L133)</f>
        <v>0</v>
      </c>
      <c r="N133" s="76"/>
      <c r="O133" s="76">
        <f t="shared" ref="O133:O196" si="88">IF(N133&gt;0,N133+IF((J133-H133+M133-K133)&lt;Y133,Y133-(J133-H133+M133-K133),TIME(0,10,0))+IF((K133-J133+N133-M133)&gt;xNoWorkTime,0,xNoWorkTime-(K133-J133+N133-M133)),0)</f>
        <v>0</v>
      </c>
      <c r="P133" s="76"/>
      <c r="Q133" s="76">
        <f t="shared" ref="Q133:Q196" si="89">IF(O133&lt;N133,O133+1,O133)</f>
        <v>0</v>
      </c>
      <c r="R133" s="76">
        <f t="shared" si="65"/>
        <v>0</v>
      </c>
      <c r="S133" s="76">
        <f t="shared" si="66"/>
        <v>0</v>
      </c>
      <c r="T133" s="76">
        <f t="shared" si="67"/>
        <v>0</v>
      </c>
      <c r="U133" s="76">
        <f t="shared" si="68"/>
        <v>0</v>
      </c>
      <c r="V133" s="109">
        <f t="shared" si="69"/>
        <v>0</v>
      </c>
      <c r="W133" s="62"/>
      <c r="X133" s="78">
        <f t="shared" ref="X133:X196" si="90">xNoWorkTime</f>
        <v>3.125E-2</v>
      </c>
      <c r="Y133" s="73">
        <f t="shared" si="70"/>
        <v>0</v>
      </c>
      <c r="Z133" s="74">
        <f t="shared" si="71"/>
        <v>0.29166666666666669</v>
      </c>
      <c r="AA133" s="75">
        <f t="shared" si="72"/>
        <v>0</v>
      </c>
      <c r="AB133" s="63" t="str">
        <f t="shared" si="73"/>
        <v/>
      </c>
      <c r="AC133" s="148">
        <f t="shared" ref="AC133:AC196" si="91">xOverTime</f>
        <v>0</v>
      </c>
      <c r="AD133" s="107" t="str">
        <f t="shared" ref="AD133:AD196" si="92">IF((R133-U133)&gt;XWorkTimeMax,(R133-U133-XWorkTimeMax),"")</f>
        <v/>
      </c>
      <c r="AE133" s="180">
        <f t="shared" si="74"/>
        <v>0</v>
      </c>
      <c r="AF133" s="73"/>
      <c r="AG133" s="525"/>
      <c r="AH133" s="73"/>
      <c r="AI133" s="73" t="str">
        <f t="shared" si="85"/>
        <v/>
      </c>
      <c r="AJ133" s="64">
        <f t="shared" ref="AJ133:AJ196" si="93">IF(ISNUMBER(V133 ), IF( V133 &gt;= Y133, Y133, V133 ),"")</f>
        <v>0</v>
      </c>
      <c r="AK133" s="64">
        <f t="shared" ref="AK133:AK196" si="94">IF( ISNUMBER( V133 ), IF( V133 &gt;= Y133, V133 - Y133, "" ), "" )</f>
        <v>0</v>
      </c>
      <c r="AL133" s="64" t="str">
        <f t="shared" ref="AL133:AL196" si="95">IF( AND(ISNUMBER( V133 ),ISNUMBER( Y133 )), IF( V133 &gt;= Y133, "", Y133 - V133 ), "" )</f>
        <v/>
      </c>
      <c r="AM133">
        <f t="shared" ref="AM133:AM196" si="96">IF(A133="",0,IF(ISERROR(VLOOKUP(A133,db_Feiertag,2,FALSE)),WEEKDAY(A133,2),Feiertag))</f>
        <v>5</v>
      </c>
      <c r="AN133" s="85">
        <f>SUM($AD$6:AD133)</f>
        <v>0</v>
      </c>
      <c r="AO133" s="85">
        <f t="shared" ca="1" si="75"/>
        <v>0</v>
      </c>
      <c r="AP133" s="89">
        <f t="shared" si="76"/>
        <v>0</v>
      </c>
      <c r="AQ133" s="89">
        <f t="shared" si="77"/>
        <v>0</v>
      </c>
      <c r="AR133" s="89">
        <f t="shared" si="78"/>
        <v>0</v>
      </c>
      <c r="AS133" s="88">
        <f t="shared" si="79"/>
        <v>30</v>
      </c>
      <c r="AT133" s="88">
        <f t="shared" ca="1" si="80"/>
        <v>30</v>
      </c>
      <c r="AU133" s="98">
        <f t="shared" si="81"/>
        <v>0</v>
      </c>
      <c r="AV133" s="88">
        <f t="shared" si="82"/>
        <v>0</v>
      </c>
      <c r="AW133" t="b">
        <f>OR((F133&gt;0),(NOT(ISBLANK(H133))),SUM(H133:H$373),SUM(G133:G$373))</f>
        <v>0</v>
      </c>
      <c r="AX133" t="b">
        <f t="shared" ref="AX133:AX196" ca="1" si="97">INDIRECT(ADDRESS(ROW(),COLUMN(xDay)))&gt;5</f>
        <v>0</v>
      </c>
      <c r="AY133" s="519">
        <f t="shared" si="83"/>
        <v>-0.29166666666666669</v>
      </c>
      <c r="AZ133" s="180">
        <f>SUM(AY$5:AY133)</f>
        <v>-25.958333333333361</v>
      </c>
      <c r="BA133" s="567"/>
      <c r="BB133" s="567">
        <f t="shared" ref="BB133:BB196" si="98">IF(ISNA(MATCH(BA133,B_Arbeitsort,0)),0,MATCH(BA133,B_Arbeitsort,0))</f>
        <v>0</v>
      </c>
      <c r="BC133" s="567"/>
    </row>
    <row r="134" spans="1:55" ht="15.75">
      <c r="A134" s="260">
        <f t="shared" si="84"/>
        <v>44962</v>
      </c>
      <c r="B134" s="261">
        <f t="shared" ref="B134:B197" si="99">IF(A134="","",A134)</f>
        <v>44962</v>
      </c>
      <c r="C134" s="262">
        <f>IF(A134="","",NumberOfWeek(A134))</f>
        <v>5</v>
      </c>
      <c r="D134" s="263">
        <f t="shared" ref="D134:D197" si="100">IF(A134="","",DATE(YEAR(A134),MONTH(A134),1))</f>
        <v>44957</v>
      </c>
      <c r="E134" s="273" t="str">
        <f t="shared" ref="E134:E197" si="101">IF((R134-U134)&gt;XWorkTimeMax,$Z$4,IF(AV134=Feiertag,VLOOKUP(B134,db_Feiertag,2,FALSE),""))</f>
        <v/>
      </c>
      <c r="F134" s="5"/>
      <c r="G134" s="6" t="str">
        <f t="shared" si="86"/>
        <v/>
      </c>
      <c r="H134" s="7"/>
      <c r="I134" s="7">
        <f t="shared" ref="I134:I197" si="102">IF(H134&gt;0,H134+Y134+X134+AC134,0)</f>
        <v>0</v>
      </c>
      <c r="J134" s="76">
        <f t="shared" ref="J134:J197" si="103">IF(K134&gt;I134,IF(I134&lt;H134,I134+1,I134)-B_WalkTime,IF(I134&lt;H134,I134+1,I134))</f>
        <v>0</v>
      </c>
      <c r="K134" s="7"/>
      <c r="L134" s="7">
        <f t="shared" ref="L134:L197" si="104">IF(K134&gt;0,K134+IF((J134-H134)&lt;Y134,Y134-(J134-H134),TIME(0,10,0))+IF((K134-J134)&gt;xNoWorkTime,0,xNoWorkTime-(K134-J134)),0)</f>
        <v>0</v>
      </c>
      <c r="M134" s="76">
        <f t="shared" si="87"/>
        <v>0</v>
      </c>
      <c r="N134" s="76"/>
      <c r="O134" s="76">
        <f t="shared" si="88"/>
        <v>0</v>
      </c>
      <c r="P134" s="76"/>
      <c r="Q134" s="76">
        <f t="shared" si="89"/>
        <v>0</v>
      </c>
      <c r="R134" s="76">
        <f t="shared" ref="R134:R197" si="105">J134-H134+M134-K134+Q134-N134</f>
        <v>0</v>
      </c>
      <c r="S134" s="76">
        <f t="shared" ref="S134:S197" si="106">IF(K134&gt;0,K134-I134,0)+IF(N134&gt;0,N134-L134)</f>
        <v>0</v>
      </c>
      <c r="T134" s="76">
        <f t="shared" ref="T134:T197" si="107">IF(H134&gt;0,(IF(R134&gt;B_Pause1Nach,B_Pause1Dauer+IF(BA134="Büro",B_WalkTime,0),IF(BA134="Büro",B_WalkTime,0))+IF(R134&gt;B_Pause2Nach,B_Pause2Dauer,0)),0)</f>
        <v>0</v>
      </c>
      <c r="U134" s="76">
        <f t="shared" ref="U134:U197" si="108">IF(T134&gt;S134,T134-S134,0)</f>
        <v>0</v>
      </c>
      <c r="V134" s="109">
        <f t="shared" ref="V134:V197" si="109">IF(F134="S",Z134,(IF((R134-U134)&gt;XWorkTimeMax,XWorkTimeMax,IF((R134-U134)&gt;0,R134-U134,0))))</f>
        <v>0</v>
      </c>
      <c r="W134" s="62"/>
      <c r="X134" s="78">
        <f t="shared" si="90"/>
        <v>3.125E-2</v>
      </c>
      <c r="Y134" s="73">
        <f t="shared" ref="Y134:Y197" si="110">IF(AND((AM134&lt;Feiertag),(G134&lt;&gt;85)),IF(OR(F134="B",F134="G",F134="S",H134&gt;0),H134-H134+Z134,0),0)</f>
        <v>0</v>
      </c>
      <c r="Z134" s="74">
        <f t="shared" ref="Z134:Z197" si="111">IF(AND(AM134&gt;0,AM134&lt;Feiertag),INDEX(Arbeitszeit,AM134),"")</f>
        <v>0</v>
      </c>
      <c r="AA134" s="75">
        <f t="shared" ref="AA134:AA197" si="112">V134-Y134</f>
        <v>0</v>
      </c>
      <c r="AB134" s="63" t="str">
        <f t="shared" ref="AB134:AB197" si="113">IF((V134-Y134)&lt;0,"*","")</f>
        <v/>
      </c>
      <c r="AC134" s="148">
        <f t="shared" si="91"/>
        <v>0</v>
      </c>
      <c r="AD134" s="107" t="str">
        <f t="shared" si="92"/>
        <v/>
      </c>
      <c r="AE134" s="180">
        <f t="shared" ref="AE134:AE197" si="114">IF(AW134,(AE133+SUM(AA134)+(IF(AG134="+",AF134,-AF134))),)</f>
        <v>0</v>
      </c>
      <c r="AF134" s="73"/>
      <c r="AG134" s="525"/>
      <c r="AH134" s="73"/>
      <c r="AI134" s="73" t="str">
        <f t="shared" si="85"/>
        <v/>
      </c>
      <c r="AJ134" s="64">
        <f t="shared" si="93"/>
        <v>0</v>
      </c>
      <c r="AK134" s="64">
        <f t="shared" si="94"/>
        <v>0</v>
      </c>
      <c r="AL134" s="64" t="str">
        <f t="shared" si="95"/>
        <v/>
      </c>
      <c r="AM134">
        <f t="shared" si="96"/>
        <v>6</v>
      </c>
      <c r="AN134" s="85">
        <f>SUM($AD$6:AD134)</f>
        <v>0</v>
      </c>
      <c r="AO134" s="85">
        <f t="shared" ref="AO134:AO197" ca="1" si="115">IF(D134=D133,AO133,OFFSET(AO134,-1,COLUMN(db_jSaldoGes)-COLUMN()))</f>
        <v>0</v>
      </c>
      <c r="AP134" s="89">
        <f t="shared" ref="AP134:AP197" si="116">IF(OR($G134=-1,$G134=82),-1,IF(OR($G134=0,$G134=83),1,0))</f>
        <v>0</v>
      </c>
      <c r="AQ134" s="89">
        <f t="shared" ref="AQ134:AQ197" si="117">IF($F134=Krank,1,IF($F134="J",-1,0))</f>
        <v>0</v>
      </c>
      <c r="AR134" s="89">
        <f t="shared" ref="AR134:AR197" si="118">IF($F134=Urlaub,1,IF($F134="T",-1,0))</f>
        <v>0</v>
      </c>
      <c r="AS134" s="88">
        <f t="shared" ref="AS134:AS197" si="119">IF(A134="","",AS133-IF(F134=Urlaub,1,0)+IF(AND(MONTH(A134)=1,DAY(A134)=1),B_UrlaubNeu,0))</f>
        <v>30</v>
      </c>
      <c r="AT134" s="88">
        <f t="shared" ref="AT134:AT197" ca="1" si="120">IF(A134="","",IF(D134=D133,AT133,OFFSET(AT134,-1,COLUMN(db_jUrlRest)-COLUMN()))+IF(AND(MONTH(A134)=1,DAY(A134)=1),B_UrlaubNeu,0))</f>
        <v>30</v>
      </c>
      <c r="AU134" s="98">
        <f t="shared" ref="AU134:AU197" si="121">(IF(ISNUMBER(V134),V134,0)+IF(ISNUMBER(AD134),AD134,0))*24</f>
        <v>0</v>
      </c>
      <c r="AV134" s="88">
        <f t="shared" ref="AV134:AV197" si="122">IF(ISNUMBER(AD134),K_ArbeitOverMax,IF(AND(ISNUMBER(AA134),AA134&gt;0),K_ArbeitOverTime,IF(AND(ISNUMBER(V134),V134&gt;0),K_ArbeitNormal,IF(F134=Krank,K_Krank,IF(F134=Urlaub,K_Urlaub,IF(AM134=Feiertag,K_Feiertag,IF(OR(AM134=6,AM134=7),K_Wochenende,0)))))))+IF(F134=Gleittag,K_Gleittag,0)</f>
        <v>7</v>
      </c>
      <c r="AW134" t="b">
        <f>OR((F134&gt;0),(NOT(ISBLANK(H134))),SUM(H134:H$373),SUM(G134:G$373))</f>
        <v>0</v>
      </c>
      <c r="AX134" t="b">
        <f t="shared" ca="1" si="97"/>
        <v>1</v>
      </c>
      <c r="AY134" s="519">
        <f t="shared" ref="AY134:AY197" si="123">IF(OR(R134&lt;&gt;0,F134&lt;&gt;0),AA134,IF(Z134="",0,-Z134))+(IF(AG134="+",AF134,-AF134))</f>
        <v>0</v>
      </c>
      <c r="AZ134" s="180">
        <f>SUM(AY$5:AY134)</f>
        <v>-25.958333333333361</v>
      </c>
      <c r="BA134" s="567"/>
      <c r="BB134" s="567">
        <f t="shared" si="98"/>
        <v>0</v>
      </c>
      <c r="BC134" s="567"/>
    </row>
    <row r="135" spans="1:55" ht="15.75">
      <c r="A135" s="260">
        <f t="shared" ref="A135:A198" si="124">IF(A134="","",IF((A134+1)&gt;=DATE(YEAR(xJahr)+1,MONTH(xJahr),DAY(xJahr)),"",A134+1))</f>
        <v>44963</v>
      </c>
      <c r="B135" s="261">
        <f t="shared" si="99"/>
        <v>44963</v>
      </c>
      <c r="C135" s="262">
        <f>IF(A135="","",NumberOfWeek(A135))</f>
        <v>5</v>
      </c>
      <c r="D135" s="263">
        <f t="shared" si="100"/>
        <v>44957</v>
      </c>
      <c r="E135" s="273" t="str">
        <f t="shared" si="101"/>
        <v/>
      </c>
      <c r="F135" s="5"/>
      <c r="G135" s="6" t="str">
        <f t="shared" si="86"/>
        <v/>
      </c>
      <c r="H135" s="7"/>
      <c r="I135" s="7">
        <f t="shared" si="102"/>
        <v>0</v>
      </c>
      <c r="J135" s="76">
        <f t="shared" si="103"/>
        <v>0</v>
      </c>
      <c r="K135" s="7"/>
      <c r="L135" s="7">
        <f t="shared" si="104"/>
        <v>0</v>
      </c>
      <c r="M135" s="76">
        <f t="shared" si="87"/>
        <v>0</v>
      </c>
      <c r="N135" s="76"/>
      <c r="O135" s="76">
        <f t="shared" si="88"/>
        <v>0</v>
      </c>
      <c r="P135" s="76"/>
      <c r="Q135" s="76">
        <f t="shared" si="89"/>
        <v>0</v>
      </c>
      <c r="R135" s="76">
        <f t="shared" si="105"/>
        <v>0</v>
      </c>
      <c r="S135" s="76">
        <f t="shared" si="106"/>
        <v>0</v>
      </c>
      <c r="T135" s="76">
        <f t="shared" si="107"/>
        <v>0</v>
      </c>
      <c r="U135" s="76">
        <f t="shared" si="108"/>
        <v>0</v>
      </c>
      <c r="V135" s="109">
        <f t="shared" si="109"/>
        <v>0</v>
      </c>
      <c r="W135" s="62"/>
      <c r="X135" s="78">
        <f t="shared" si="90"/>
        <v>3.125E-2</v>
      </c>
      <c r="Y135" s="73">
        <f t="shared" si="110"/>
        <v>0</v>
      </c>
      <c r="Z135" s="74">
        <f t="shared" si="111"/>
        <v>0</v>
      </c>
      <c r="AA135" s="75">
        <f t="shared" si="112"/>
        <v>0</v>
      </c>
      <c r="AB135" s="63" t="str">
        <f t="shared" si="113"/>
        <v/>
      </c>
      <c r="AC135" s="148">
        <f t="shared" si="91"/>
        <v>0</v>
      </c>
      <c r="AD135" s="107" t="str">
        <f t="shared" si="92"/>
        <v/>
      </c>
      <c r="AE135" s="180">
        <f t="shared" si="114"/>
        <v>0</v>
      </c>
      <c r="AF135" s="73"/>
      <c r="AG135" s="525"/>
      <c r="AH135" s="73"/>
      <c r="AI135" s="73" t="str">
        <f t="shared" si="85"/>
        <v/>
      </c>
      <c r="AJ135" s="64">
        <f t="shared" si="93"/>
        <v>0</v>
      </c>
      <c r="AK135" s="64">
        <f t="shared" si="94"/>
        <v>0</v>
      </c>
      <c r="AL135" s="64" t="str">
        <f t="shared" si="95"/>
        <v/>
      </c>
      <c r="AM135">
        <f t="shared" si="96"/>
        <v>7</v>
      </c>
      <c r="AN135" s="85">
        <f>SUM($AD$6:AD135)</f>
        <v>0</v>
      </c>
      <c r="AO135" s="85">
        <f t="shared" ca="1" si="115"/>
        <v>0</v>
      </c>
      <c r="AP135" s="89">
        <f t="shared" si="116"/>
        <v>0</v>
      </c>
      <c r="AQ135" s="89">
        <f t="shared" si="117"/>
        <v>0</v>
      </c>
      <c r="AR135" s="89">
        <f t="shared" si="118"/>
        <v>0</v>
      </c>
      <c r="AS135" s="88">
        <f t="shared" si="119"/>
        <v>30</v>
      </c>
      <c r="AT135" s="88">
        <f t="shared" ca="1" si="120"/>
        <v>30</v>
      </c>
      <c r="AU135" s="98">
        <f t="shared" si="121"/>
        <v>0</v>
      </c>
      <c r="AV135" s="88">
        <f t="shared" si="122"/>
        <v>7</v>
      </c>
      <c r="AW135" t="b">
        <f>OR((F135&gt;0),(NOT(ISBLANK(H135))),SUM(H135:H$373),SUM(G135:G$373))</f>
        <v>0</v>
      </c>
      <c r="AX135" t="b">
        <f t="shared" ca="1" si="97"/>
        <v>1</v>
      </c>
      <c r="AY135" s="519">
        <f t="shared" si="123"/>
        <v>0</v>
      </c>
      <c r="AZ135" s="180">
        <f>SUM(AY$5:AY135)</f>
        <v>-25.958333333333361</v>
      </c>
      <c r="BA135" s="567"/>
      <c r="BB135" s="567">
        <f t="shared" si="98"/>
        <v>0</v>
      </c>
      <c r="BC135" s="567"/>
    </row>
    <row r="136" spans="1:55" ht="15.75">
      <c r="A136" s="260">
        <f t="shared" si="124"/>
        <v>44964</v>
      </c>
      <c r="B136" s="261">
        <f t="shared" si="99"/>
        <v>44964</v>
      </c>
      <c r="C136" s="262">
        <f>IF(A136="","",NumberOfWeek(A136))</f>
        <v>6</v>
      </c>
      <c r="D136" s="263">
        <f t="shared" si="100"/>
        <v>44957</v>
      </c>
      <c r="E136" s="273" t="str">
        <f t="shared" si="101"/>
        <v/>
      </c>
      <c r="F136" s="5"/>
      <c r="G136" s="6" t="str">
        <f t="shared" si="86"/>
        <v/>
      </c>
      <c r="H136" s="7"/>
      <c r="I136" s="7">
        <f t="shared" si="102"/>
        <v>0</v>
      </c>
      <c r="J136" s="76">
        <f t="shared" si="103"/>
        <v>0</v>
      </c>
      <c r="K136" s="7"/>
      <c r="L136" s="7">
        <f t="shared" si="104"/>
        <v>0</v>
      </c>
      <c r="M136" s="76">
        <f t="shared" si="87"/>
        <v>0</v>
      </c>
      <c r="N136" s="76"/>
      <c r="O136" s="76">
        <f t="shared" si="88"/>
        <v>0</v>
      </c>
      <c r="P136" s="76"/>
      <c r="Q136" s="76">
        <f t="shared" si="89"/>
        <v>0</v>
      </c>
      <c r="R136" s="76">
        <f t="shared" si="105"/>
        <v>0</v>
      </c>
      <c r="S136" s="76">
        <f t="shared" si="106"/>
        <v>0</v>
      </c>
      <c r="T136" s="76">
        <f t="shared" si="107"/>
        <v>0</v>
      </c>
      <c r="U136" s="76">
        <f t="shared" si="108"/>
        <v>0</v>
      </c>
      <c r="V136" s="109">
        <f t="shared" si="109"/>
        <v>0</v>
      </c>
      <c r="W136" s="62"/>
      <c r="X136" s="78">
        <f t="shared" si="90"/>
        <v>3.125E-2</v>
      </c>
      <c r="Y136" s="73">
        <f t="shared" si="110"/>
        <v>0</v>
      </c>
      <c r="Z136" s="74">
        <f t="shared" si="111"/>
        <v>0.29166666666666669</v>
      </c>
      <c r="AA136" s="75">
        <f t="shared" si="112"/>
        <v>0</v>
      </c>
      <c r="AB136" s="63" t="str">
        <f t="shared" si="113"/>
        <v/>
      </c>
      <c r="AC136" s="148">
        <f t="shared" si="91"/>
        <v>0</v>
      </c>
      <c r="AD136" s="107" t="str">
        <f t="shared" si="92"/>
        <v/>
      </c>
      <c r="AE136" s="180">
        <f t="shared" si="114"/>
        <v>0</v>
      </c>
      <c r="AF136" s="73"/>
      <c r="AG136" s="525"/>
      <c r="AH136" s="73"/>
      <c r="AI136" s="73" t="str">
        <f t="shared" si="85"/>
        <v/>
      </c>
      <c r="AJ136" s="64">
        <f t="shared" si="93"/>
        <v>0</v>
      </c>
      <c r="AK136" s="64">
        <f t="shared" si="94"/>
        <v>0</v>
      </c>
      <c r="AL136" s="64" t="str">
        <f t="shared" si="95"/>
        <v/>
      </c>
      <c r="AM136">
        <f t="shared" si="96"/>
        <v>1</v>
      </c>
      <c r="AN136" s="85">
        <f>SUM($AD$6:AD136)</f>
        <v>0</v>
      </c>
      <c r="AO136" s="85">
        <f t="shared" ca="1" si="115"/>
        <v>0</v>
      </c>
      <c r="AP136" s="89">
        <f t="shared" si="116"/>
        <v>0</v>
      </c>
      <c r="AQ136" s="89">
        <f t="shared" si="117"/>
        <v>0</v>
      </c>
      <c r="AR136" s="89">
        <f t="shared" si="118"/>
        <v>0</v>
      </c>
      <c r="AS136" s="88">
        <f t="shared" si="119"/>
        <v>30</v>
      </c>
      <c r="AT136" s="88">
        <f t="shared" ca="1" si="120"/>
        <v>30</v>
      </c>
      <c r="AU136" s="98">
        <f t="shared" si="121"/>
        <v>0</v>
      </c>
      <c r="AV136" s="88">
        <f t="shared" si="122"/>
        <v>0</v>
      </c>
      <c r="AW136" t="b">
        <f>OR((F136&gt;0),(NOT(ISBLANK(H136))),SUM(H136:H$373),SUM(G136:G$373))</f>
        <v>0</v>
      </c>
      <c r="AX136" t="b">
        <f t="shared" ca="1" si="97"/>
        <v>0</v>
      </c>
      <c r="AY136" s="519">
        <f t="shared" si="123"/>
        <v>-0.29166666666666669</v>
      </c>
      <c r="AZ136" s="180">
        <f>SUM(AY$5:AY136)</f>
        <v>-26.250000000000028</v>
      </c>
      <c r="BA136" s="567"/>
      <c r="BB136" s="567">
        <f t="shared" si="98"/>
        <v>0</v>
      </c>
      <c r="BC136" s="567"/>
    </row>
    <row r="137" spans="1:55" ht="15.75">
      <c r="A137" s="260">
        <f t="shared" si="124"/>
        <v>44965</v>
      </c>
      <c r="B137" s="261">
        <f t="shared" si="99"/>
        <v>44965</v>
      </c>
      <c r="C137" s="262">
        <f>IF(A137="","",NumberOfWeek(A137))</f>
        <v>6</v>
      </c>
      <c r="D137" s="263">
        <f t="shared" si="100"/>
        <v>44957</v>
      </c>
      <c r="E137" s="273" t="str">
        <f t="shared" si="101"/>
        <v/>
      </c>
      <c r="F137" s="5"/>
      <c r="G137" s="6" t="str">
        <f t="shared" si="86"/>
        <v/>
      </c>
      <c r="H137" s="7"/>
      <c r="I137" s="7">
        <f t="shared" si="102"/>
        <v>0</v>
      </c>
      <c r="J137" s="76">
        <f t="shared" si="103"/>
        <v>0</v>
      </c>
      <c r="K137" s="7"/>
      <c r="L137" s="7">
        <f t="shared" si="104"/>
        <v>0</v>
      </c>
      <c r="M137" s="76">
        <f t="shared" si="87"/>
        <v>0</v>
      </c>
      <c r="N137" s="76"/>
      <c r="O137" s="76">
        <f t="shared" si="88"/>
        <v>0</v>
      </c>
      <c r="P137" s="76"/>
      <c r="Q137" s="76">
        <f t="shared" si="89"/>
        <v>0</v>
      </c>
      <c r="R137" s="76">
        <f t="shared" si="105"/>
        <v>0</v>
      </c>
      <c r="S137" s="76">
        <f t="shared" si="106"/>
        <v>0</v>
      </c>
      <c r="T137" s="76">
        <f t="shared" si="107"/>
        <v>0</v>
      </c>
      <c r="U137" s="76">
        <f t="shared" si="108"/>
        <v>0</v>
      </c>
      <c r="V137" s="109">
        <f t="shared" si="109"/>
        <v>0</v>
      </c>
      <c r="W137" s="62"/>
      <c r="X137" s="78">
        <f t="shared" si="90"/>
        <v>3.125E-2</v>
      </c>
      <c r="Y137" s="73">
        <f t="shared" si="110"/>
        <v>0</v>
      </c>
      <c r="Z137" s="74">
        <f t="shared" si="111"/>
        <v>0.29166666666666669</v>
      </c>
      <c r="AA137" s="75">
        <f t="shared" si="112"/>
        <v>0</v>
      </c>
      <c r="AB137" s="63" t="str">
        <f t="shared" si="113"/>
        <v/>
      </c>
      <c r="AC137" s="148">
        <f t="shared" si="91"/>
        <v>0</v>
      </c>
      <c r="AD137" s="107" t="str">
        <f t="shared" si="92"/>
        <v/>
      </c>
      <c r="AE137" s="180">
        <f t="shared" si="114"/>
        <v>0</v>
      </c>
      <c r="AF137" s="73"/>
      <c r="AG137" s="525"/>
      <c r="AH137" s="73"/>
      <c r="AI137" s="73" t="str">
        <f t="shared" si="85"/>
        <v/>
      </c>
      <c r="AJ137" s="64">
        <f t="shared" si="93"/>
        <v>0</v>
      </c>
      <c r="AK137" s="64">
        <f t="shared" si="94"/>
        <v>0</v>
      </c>
      <c r="AL137" s="64" t="str">
        <f t="shared" si="95"/>
        <v/>
      </c>
      <c r="AM137">
        <f t="shared" si="96"/>
        <v>2</v>
      </c>
      <c r="AN137" s="85">
        <f>SUM($AD$6:AD137)</f>
        <v>0</v>
      </c>
      <c r="AO137" s="85">
        <f t="shared" ca="1" si="115"/>
        <v>0</v>
      </c>
      <c r="AP137" s="89">
        <f t="shared" si="116"/>
        <v>0</v>
      </c>
      <c r="AQ137" s="89">
        <f t="shared" si="117"/>
        <v>0</v>
      </c>
      <c r="AR137" s="89">
        <f t="shared" si="118"/>
        <v>0</v>
      </c>
      <c r="AS137" s="88">
        <f t="shared" si="119"/>
        <v>30</v>
      </c>
      <c r="AT137" s="88">
        <f t="shared" ca="1" si="120"/>
        <v>30</v>
      </c>
      <c r="AU137" s="98">
        <f t="shared" si="121"/>
        <v>0</v>
      </c>
      <c r="AV137" s="88">
        <f t="shared" si="122"/>
        <v>0</v>
      </c>
      <c r="AW137" t="b">
        <f>OR((F137&gt;0),(NOT(ISBLANK(H137))),SUM(H137:H$373),SUM(G137:G$373))</f>
        <v>0</v>
      </c>
      <c r="AX137" t="b">
        <f t="shared" ca="1" si="97"/>
        <v>0</v>
      </c>
      <c r="AY137" s="519">
        <f t="shared" si="123"/>
        <v>-0.29166666666666669</v>
      </c>
      <c r="AZ137" s="180">
        <f>SUM(AY$5:AY137)</f>
        <v>-26.541666666666696</v>
      </c>
      <c r="BA137" s="567"/>
      <c r="BB137" s="567">
        <f t="shared" si="98"/>
        <v>0</v>
      </c>
      <c r="BC137" s="567"/>
    </row>
    <row r="138" spans="1:55" ht="15.75">
      <c r="A138" s="260">
        <f t="shared" si="124"/>
        <v>44966</v>
      </c>
      <c r="B138" s="261">
        <f t="shared" si="99"/>
        <v>44966</v>
      </c>
      <c r="C138" s="262">
        <f>IF(A138="","",NumberOfWeek(A138))</f>
        <v>6</v>
      </c>
      <c r="D138" s="263">
        <f t="shared" si="100"/>
        <v>44957</v>
      </c>
      <c r="E138" s="273" t="str">
        <f t="shared" si="101"/>
        <v/>
      </c>
      <c r="F138" s="5"/>
      <c r="G138" s="6" t="str">
        <f t="shared" si="86"/>
        <v/>
      </c>
      <c r="H138" s="7"/>
      <c r="I138" s="7">
        <f t="shared" si="102"/>
        <v>0</v>
      </c>
      <c r="J138" s="76">
        <f t="shared" si="103"/>
        <v>0</v>
      </c>
      <c r="K138" s="7"/>
      <c r="L138" s="7">
        <f t="shared" si="104"/>
        <v>0</v>
      </c>
      <c r="M138" s="76">
        <f t="shared" si="87"/>
        <v>0</v>
      </c>
      <c r="N138" s="76"/>
      <c r="O138" s="76">
        <f t="shared" si="88"/>
        <v>0</v>
      </c>
      <c r="P138" s="76"/>
      <c r="Q138" s="76">
        <f t="shared" si="89"/>
        <v>0</v>
      </c>
      <c r="R138" s="76">
        <f t="shared" si="105"/>
        <v>0</v>
      </c>
      <c r="S138" s="76">
        <f t="shared" si="106"/>
        <v>0</v>
      </c>
      <c r="T138" s="76">
        <f t="shared" si="107"/>
        <v>0</v>
      </c>
      <c r="U138" s="76">
        <f t="shared" si="108"/>
        <v>0</v>
      </c>
      <c r="V138" s="109">
        <f t="shared" si="109"/>
        <v>0</v>
      </c>
      <c r="W138" s="62"/>
      <c r="X138" s="78">
        <f t="shared" si="90"/>
        <v>3.125E-2</v>
      </c>
      <c r="Y138" s="73">
        <f t="shared" si="110"/>
        <v>0</v>
      </c>
      <c r="Z138" s="74">
        <f t="shared" si="111"/>
        <v>0.29166666666666669</v>
      </c>
      <c r="AA138" s="75">
        <f t="shared" si="112"/>
        <v>0</v>
      </c>
      <c r="AB138" s="63" t="str">
        <f t="shared" si="113"/>
        <v/>
      </c>
      <c r="AC138" s="148">
        <f t="shared" si="91"/>
        <v>0</v>
      </c>
      <c r="AD138" s="107" t="str">
        <f t="shared" si="92"/>
        <v/>
      </c>
      <c r="AE138" s="180">
        <f t="shared" si="114"/>
        <v>0</v>
      </c>
      <c r="AF138" s="73"/>
      <c r="AG138" s="525"/>
      <c r="AH138" s="73"/>
      <c r="AI138" s="73" t="str">
        <f t="shared" si="85"/>
        <v/>
      </c>
      <c r="AJ138" s="64">
        <f t="shared" si="93"/>
        <v>0</v>
      </c>
      <c r="AK138" s="64">
        <f t="shared" si="94"/>
        <v>0</v>
      </c>
      <c r="AL138" s="64" t="str">
        <f t="shared" si="95"/>
        <v/>
      </c>
      <c r="AM138">
        <f t="shared" si="96"/>
        <v>3</v>
      </c>
      <c r="AN138" s="85">
        <f>SUM($AD$6:AD138)</f>
        <v>0</v>
      </c>
      <c r="AO138" s="85">
        <f t="shared" ca="1" si="115"/>
        <v>0</v>
      </c>
      <c r="AP138" s="89">
        <f t="shared" si="116"/>
        <v>0</v>
      </c>
      <c r="AQ138" s="89">
        <f t="shared" si="117"/>
        <v>0</v>
      </c>
      <c r="AR138" s="89">
        <f t="shared" si="118"/>
        <v>0</v>
      </c>
      <c r="AS138" s="88">
        <f t="shared" si="119"/>
        <v>30</v>
      </c>
      <c r="AT138" s="88">
        <f t="shared" ca="1" si="120"/>
        <v>30</v>
      </c>
      <c r="AU138" s="98">
        <f t="shared" si="121"/>
        <v>0</v>
      </c>
      <c r="AV138" s="88">
        <f t="shared" si="122"/>
        <v>0</v>
      </c>
      <c r="AW138" t="b">
        <f>OR((F138&gt;0),(NOT(ISBLANK(H138))),SUM(H138:H$373),SUM(G138:G$373))</f>
        <v>0</v>
      </c>
      <c r="AX138" t="b">
        <f t="shared" ca="1" si="97"/>
        <v>0</v>
      </c>
      <c r="AY138" s="519">
        <f t="shared" si="123"/>
        <v>-0.29166666666666669</v>
      </c>
      <c r="AZ138" s="180">
        <f>SUM(AY$5:AY138)</f>
        <v>-26.833333333333364</v>
      </c>
      <c r="BA138" s="567"/>
      <c r="BB138" s="567">
        <f t="shared" si="98"/>
        <v>0</v>
      </c>
      <c r="BC138" s="567"/>
    </row>
    <row r="139" spans="1:55" ht="15.75">
      <c r="A139" s="260">
        <f t="shared" si="124"/>
        <v>44967</v>
      </c>
      <c r="B139" s="261">
        <f t="shared" si="99"/>
        <v>44967</v>
      </c>
      <c r="C139" s="262">
        <f>IF(A139="","",NumberOfWeek(A139))</f>
        <v>6</v>
      </c>
      <c r="D139" s="263">
        <f t="shared" si="100"/>
        <v>44957</v>
      </c>
      <c r="E139" s="273" t="str">
        <f t="shared" si="101"/>
        <v/>
      </c>
      <c r="F139" s="5"/>
      <c r="G139" s="6" t="str">
        <f t="shared" si="86"/>
        <v/>
      </c>
      <c r="H139" s="7"/>
      <c r="I139" s="7">
        <f t="shared" si="102"/>
        <v>0</v>
      </c>
      <c r="J139" s="76">
        <f t="shared" si="103"/>
        <v>0</v>
      </c>
      <c r="K139" s="7"/>
      <c r="L139" s="7">
        <f t="shared" si="104"/>
        <v>0</v>
      </c>
      <c r="M139" s="76">
        <f t="shared" si="87"/>
        <v>0</v>
      </c>
      <c r="N139" s="76"/>
      <c r="O139" s="76">
        <f t="shared" si="88"/>
        <v>0</v>
      </c>
      <c r="P139" s="76"/>
      <c r="Q139" s="76">
        <f t="shared" si="89"/>
        <v>0</v>
      </c>
      <c r="R139" s="76">
        <f t="shared" si="105"/>
        <v>0</v>
      </c>
      <c r="S139" s="76">
        <f t="shared" si="106"/>
        <v>0</v>
      </c>
      <c r="T139" s="76">
        <f t="shared" si="107"/>
        <v>0</v>
      </c>
      <c r="U139" s="76">
        <f t="shared" si="108"/>
        <v>0</v>
      </c>
      <c r="V139" s="109">
        <f t="shared" si="109"/>
        <v>0</v>
      </c>
      <c r="W139" s="62"/>
      <c r="X139" s="78">
        <f t="shared" si="90"/>
        <v>3.125E-2</v>
      </c>
      <c r="Y139" s="73">
        <f t="shared" si="110"/>
        <v>0</v>
      </c>
      <c r="Z139" s="74">
        <f t="shared" si="111"/>
        <v>0.29166666666666669</v>
      </c>
      <c r="AA139" s="75">
        <f t="shared" si="112"/>
        <v>0</v>
      </c>
      <c r="AB139" s="63" t="str">
        <f t="shared" si="113"/>
        <v/>
      </c>
      <c r="AC139" s="148">
        <f t="shared" si="91"/>
        <v>0</v>
      </c>
      <c r="AD139" s="107" t="str">
        <f t="shared" si="92"/>
        <v/>
      </c>
      <c r="AE139" s="180">
        <f t="shared" si="114"/>
        <v>0</v>
      </c>
      <c r="AF139" s="73"/>
      <c r="AG139" s="525"/>
      <c r="AH139" s="73"/>
      <c r="AI139" s="73" t="str">
        <f t="shared" si="85"/>
        <v/>
      </c>
      <c r="AJ139" s="64">
        <f t="shared" si="93"/>
        <v>0</v>
      </c>
      <c r="AK139" s="64">
        <f t="shared" si="94"/>
        <v>0</v>
      </c>
      <c r="AL139" s="64" t="str">
        <f t="shared" si="95"/>
        <v/>
      </c>
      <c r="AM139">
        <f t="shared" si="96"/>
        <v>4</v>
      </c>
      <c r="AN139" s="85">
        <f>SUM($AD$6:AD139)</f>
        <v>0</v>
      </c>
      <c r="AO139" s="85">
        <f t="shared" ca="1" si="115"/>
        <v>0</v>
      </c>
      <c r="AP139" s="89">
        <f t="shared" si="116"/>
        <v>0</v>
      </c>
      <c r="AQ139" s="89">
        <f t="shared" si="117"/>
        <v>0</v>
      </c>
      <c r="AR139" s="89">
        <f t="shared" si="118"/>
        <v>0</v>
      </c>
      <c r="AS139" s="88">
        <f t="shared" si="119"/>
        <v>30</v>
      </c>
      <c r="AT139" s="88">
        <f t="shared" ca="1" si="120"/>
        <v>30</v>
      </c>
      <c r="AU139" s="98">
        <f t="shared" si="121"/>
        <v>0</v>
      </c>
      <c r="AV139" s="88">
        <f t="shared" si="122"/>
        <v>0</v>
      </c>
      <c r="AW139" t="b">
        <f>OR((F139&gt;0),(NOT(ISBLANK(H139))),SUM(H139:H$373),SUM(G139:G$373))</f>
        <v>0</v>
      </c>
      <c r="AX139" t="b">
        <f t="shared" ca="1" si="97"/>
        <v>0</v>
      </c>
      <c r="AY139" s="519">
        <f t="shared" si="123"/>
        <v>-0.29166666666666669</v>
      </c>
      <c r="AZ139" s="180">
        <f>SUM(AY$5:AY139)</f>
        <v>-27.125000000000032</v>
      </c>
      <c r="BA139" s="567"/>
      <c r="BB139" s="567">
        <f t="shared" si="98"/>
        <v>0</v>
      </c>
      <c r="BC139" s="567"/>
    </row>
    <row r="140" spans="1:55" ht="15.75">
      <c r="A140" s="260">
        <f t="shared" si="124"/>
        <v>44968</v>
      </c>
      <c r="B140" s="261">
        <f t="shared" si="99"/>
        <v>44968</v>
      </c>
      <c r="C140" s="262">
        <f>IF(A140="","",NumberOfWeek(A140))</f>
        <v>6</v>
      </c>
      <c r="D140" s="263">
        <f t="shared" si="100"/>
        <v>44957</v>
      </c>
      <c r="E140" s="273" t="str">
        <f t="shared" si="101"/>
        <v/>
      </c>
      <c r="F140" s="5"/>
      <c r="G140" s="6" t="str">
        <f t="shared" si="86"/>
        <v/>
      </c>
      <c r="H140" s="7"/>
      <c r="I140" s="7">
        <f t="shared" si="102"/>
        <v>0</v>
      </c>
      <c r="J140" s="76">
        <f t="shared" si="103"/>
        <v>0</v>
      </c>
      <c r="K140" s="7"/>
      <c r="L140" s="7">
        <f t="shared" si="104"/>
        <v>0</v>
      </c>
      <c r="M140" s="76">
        <f t="shared" si="87"/>
        <v>0</v>
      </c>
      <c r="N140" s="76"/>
      <c r="O140" s="76">
        <f t="shared" si="88"/>
        <v>0</v>
      </c>
      <c r="P140" s="76"/>
      <c r="Q140" s="76">
        <f t="shared" si="89"/>
        <v>0</v>
      </c>
      <c r="R140" s="76">
        <f t="shared" si="105"/>
        <v>0</v>
      </c>
      <c r="S140" s="76">
        <f t="shared" si="106"/>
        <v>0</v>
      </c>
      <c r="T140" s="76">
        <f t="shared" si="107"/>
        <v>0</v>
      </c>
      <c r="U140" s="76">
        <f t="shared" si="108"/>
        <v>0</v>
      </c>
      <c r="V140" s="109">
        <f t="shared" si="109"/>
        <v>0</v>
      </c>
      <c r="W140" s="62"/>
      <c r="X140" s="78">
        <f t="shared" si="90"/>
        <v>3.125E-2</v>
      </c>
      <c r="Y140" s="73">
        <f t="shared" si="110"/>
        <v>0</v>
      </c>
      <c r="Z140" s="74">
        <f t="shared" si="111"/>
        <v>0.29166666666666669</v>
      </c>
      <c r="AA140" s="75">
        <f t="shared" si="112"/>
        <v>0</v>
      </c>
      <c r="AB140" s="63" t="str">
        <f t="shared" si="113"/>
        <v/>
      </c>
      <c r="AC140" s="148">
        <f t="shared" si="91"/>
        <v>0</v>
      </c>
      <c r="AD140" s="107" t="str">
        <f t="shared" si="92"/>
        <v/>
      </c>
      <c r="AE140" s="180">
        <f t="shared" si="114"/>
        <v>0</v>
      </c>
      <c r="AF140" s="73"/>
      <c r="AG140" s="525"/>
      <c r="AH140" s="73"/>
      <c r="AI140" s="73" t="str">
        <f t="shared" si="85"/>
        <v/>
      </c>
      <c r="AJ140" s="64">
        <f t="shared" si="93"/>
        <v>0</v>
      </c>
      <c r="AK140" s="64">
        <f t="shared" si="94"/>
        <v>0</v>
      </c>
      <c r="AL140" s="64" t="str">
        <f t="shared" si="95"/>
        <v/>
      </c>
      <c r="AM140">
        <f t="shared" si="96"/>
        <v>5</v>
      </c>
      <c r="AN140" s="85">
        <f>SUM($AD$6:AD140)</f>
        <v>0</v>
      </c>
      <c r="AO140" s="85">
        <f t="shared" ca="1" si="115"/>
        <v>0</v>
      </c>
      <c r="AP140" s="89">
        <f t="shared" si="116"/>
        <v>0</v>
      </c>
      <c r="AQ140" s="89">
        <f t="shared" si="117"/>
        <v>0</v>
      </c>
      <c r="AR140" s="89">
        <f t="shared" si="118"/>
        <v>0</v>
      </c>
      <c r="AS140" s="88">
        <f t="shared" si="119"/>
        <v>30</v>
      </c>
      <c r="AT140" s="88">
        <f t="shared" ca="1" si="120"/>
        <v>30</v>
      </c>
      <c r="AU140" s="98">
        <f t="shared" si="121"/>
        <v>0</v>
      </c>
      <c r="AV140" s="88">
        <f t="shared" si="122"/>
        <v>0</v>
      </c>
      <c r="AW140" t="b">
        <f>OR((F140&gt;0),(NOT(ISBLANK(H140))),SUM(H140:H$373),SUM(G140:G$373))</f>
        <v>0</v>
      </c>
      <c r="AX140" t="b">
        <f t="shared" ca="1" si="97"/>
        <v>0</v>
      </c>
      <c r="AY140" s="519">
        <f t="shared" si="123"/>
        <v>-0.29166666666666669</v>
      </c>
      <c r="AZ140" s="180">
        <f>SUM(AY$5:AY140)</f>
        <v>-27.4166666666667</v>
      </c>
      <c r="BA140" s="567"/>
      <c r="BB140" s="567">
        <f t="shared" si="98"/>
        <v>0</v>
      </c>
      <c r="BC140" s="567"/>
    </row>
    <row r="141" spans="1:55" ht="15.75">
      <c r="A141" s="260">
        <f t="shared" si="124"/>
        <v>44969</v>
      </c>
      <c r="B141" s="261">
        <f t="shared" si="99"/>
        <v>44969</v>
      </c>
      <c r="C141" s="262">
        <f>IF(A141="","",NumberOfWeek(A141))</f>
        <v>6</v>
      </c>
      <c r="D141" s="263">
        <f t="shared" si="100"/>
        <v>44957</v>
      </c>
      <c r="E141" s="273" t="str">
        <f t="shared" si="101"/>
        <v/>
      </c>
      <c r="F141" s="5"/>
      <c r="G141" s="6" t="str">
        <f t="shared" si="86"/>
        <v/>
      </c>
      <c r="H141" s="7"/>
      <c r="I141" s="7">
        <f t="shared" si="102"/>
        <v>0</v>
      </c>
      <c r="J141" s="76">
        <f t="shared" si="103"/>
        <v>0</v>
      </c>
      <c r="K141" s="7"/>
      <c r="L141" s="7">
        <f t="shared" si="104"/>
        <v>0</v>
      </c>
      <c r="M141" s="76">
        <f t="shared" si="87"/>
        <v>0</v>
      </c>
      <c r="N141" s="76"/>
      <c r="O141" s="76">
        <f t="shared" si="88"/>
        <v>0</v>
      </c>
      <c r="P141" s="76"/>
      <c r="Q141" s="76">
        <f t="shared" si="89"/>
        <v>0</v>
      </c>
      <c r="R141" s="76">
        <f t="shared" si="105"/>
        <v>0</v>
      </c>
      <c r="S141" s="76">
        <f t="shared" si="106"/>
        <v>0</v>
      </c>
      <c r="T141" s="76">
        <f t="shared" si="107"/>
        <v>0</v>
      </c>
      <c r="U141" s="76">
        <f t="shared" si="108"/>
        <v>0</v>
      </c>
      <c r="V141" s="109">
        <f t="shared" si="109"/>
        <v>0</v>
      </c>
      <c r="W141" s="62"/>
      <c r="X141" s="78">
        <f t="shared" si="90"/>
        <v>3.125E-2</v>
      </c>
      <c r="Y141" s="73">
        <f t="shared" si="110"/>
        <v>0</v>
      </c>
      <c r="Z141" s="74">
        <f t="shared" si="111"/>
        <v>0</v>
      </c>
      <c r="AA141" s="75">
        <f t="shared" si="112"/>
        <v>0</v>
      </c>
      <c r="AB141" s="63" t="str">
        <f t="shared" si="113"/>
        <v/>
      </c>
      <c r="AC141" s="148">
        <f t="shared" si="91"/>
        <v>0</v>
      </c>
      <c r="AD141" s="107" t="str">
        <f t="shared" si="92"/>
        <v/>
      </c>
      <c r="AE141" s="180">
        <f t="shared" si="114"/>
        <v>0</v>
      </c>
      <c r="AF141" s="73"/>
      <c r="AG141" s="525"/>
      <c r="AH141" s="73"/>
      <c r="AI141" s="73" t="str">
        <f t="shared" si="85"/>
        <v/>
      </c>
      <c r="AJ141" s="64">
        <f t="shared" si="93"/>
        <v>0</v>
      </c>
      <c r="AK141" s="64">
        <f t="shared" si="94"/>
        <v>0</v>
      </c>
      <c r="AL141" s="64" t="str">
        <f t="shared" si="95"/>
        <v/>
      </c>
      <c r="AM141">
        <f t="shared" si="96"/>
        <v>6</v>
      </c>
      <c r="AN141" s="85">
        <f>SUM($AD$6:AD141)</f>
        <v>0</v>
      </c>
      <c r="AO141" s="85">
        <f t="shared" ca="1" si="115"/>
        <v>0</v>
      </c>
      <c r="AP141" s="89">
        <f t="shared" si="116"/>
        <v>0</v>
      </c>
      <c r="AQ141" s="89">
        <f t="shared" si="117"/>
        <v>0</v>
      </c>
      <c r="AR141" s="89">
        <f t="shared" si="118"/>
        <v>0</v>
      </c>
      <c r="AS141" s="88">
        <f t="shared" si="119"/>
        <v>30</v>
      </c>
      <c r="AT141" s="88">
        <f t="shared" ca="1" si="120"/>
        <v>30</v>
      </c>
      <c r="AU141" s="98">
        <f t="shared" si="121"/>
        <v>0</v>
      </c>
      <c r="AV141" s="88">
        <f t="shared" si="122"/>
        <v>7</v>
      </c>
      <c r="AW141" t="b">
        <f>OR((F141&gt;0),(NOT(ISBLANK(H141))),SUM(H141:H$373),SUM(G141:G$373))</f>
        <v>0</v>
      </c>
      <c r="AX141" t="b">
        <f t="shared" ca="1" si="97"/>
        <v>1</v>
      </c>
      <c r="AY141" s="519">
        <f t="shared" si="123"/>
        <v>0</v>
      </c>
      <c r="AZ141" s="180">
        <f>SUM(AY$5:AY141)</f>
        <v>-27.4166666666667</v>
      </c>
      <c r="BA141" s="567"/>
      <c r="BB141" s="567">
        <f t="shared" si="98"/>
        <v>0</v>
      </c>
      <c r="BC141" s="567"/>
    </row>
    <row r="142" spans="1:55" ht="15.75">
      <c r="A142" s="260">
        <f t="shared" si="124"/>
        <v>44970</v>
      </c>
      <c r="B142" s="261">
        <f t="shared" si="99"/>
        <v>44970</v>
      </c>
      <c r="C142" s="262">
        <f>IF(A142="","",NumberOfWeek(A142))</f>
        <v>6</v>
      </c>
      <c r="D142" s="263">
        <f t="shared" si="100"/>
        <v>44957</v>
      </c>
      <c r="E142" s="273" t="str">
        <f t="shared" si="101"/>
        <v/>
      </c>
      <c r="F142" s="5"/>
      <c r="G142" s="6" t="str">
        <f t="shared" si="86"/>
        <v/>
      </c>
      <c r="H142" s="7"/>
      <c r="I142" s="7">
        <f t="shared" si="102"/>
        <v>0</v>
      </c>
      <c r="J142" s="76">
        <f t="shared" si="103"/>
        <v>0</v>
      </c>
      <c r="K142" s="7"/>
      <c r="L142" s="7">
        <f t="shared" si="104"/>
        <v>0</v>
      </c>
      <c r="M142" s="76">
        <f t="shared" si="87"/>
        <v>0</v>
      </c>
      <c r="N142" s="76"/>
      <c r="O142" s="76">
        <f t="shared" si="88"/>
        <v>0</v>
      </c>
      <c r="P142" s="76"/>
      <c r="Q142" s="76">
        <f t="shared" si="89"/>
        <v>0</v>
      </c>
      <c r="R142" s="76">
        <f t="shared" si="105"/>
        <v>0</v>
      </c>
      <c r="S142" s="76">
        <f t="shared" si="106"/>
        <v>0</v>
      </c>
      <c r="T142" s="76">
        <f t="shared" si="107"/>
        <v>0</v>
      </c>
      <c r="U142" s="76">
        <f t="shared" si="108"/>
        <v>0</v>
      </c>
      <c r="V142" s="109">
        <f t="shared" si="109"/>
        <v>0</v>
      </c>
      <c r="W142" s="62"/>
      <c r="X142" s="78">
        <f t="shared" si="90"/>
        <v>3.125E-2</v>
      </c>
      <c r="Y142" s="73">
        <f t="shared" si="110"/>
        <v>0</v>
      </c>
      <c r="Z142" s="74">
        <f t="shared" si="111"/>
        <v>0</v>
      </c>
      <c r="AA142" s="75">
        <f t="shared" si="112"/>
        <v>0</v>
      </c>
      <c r="AB142" s="63" t="str">
        <f t="shared" si="113"/>
        <v/>
      </c>
      <c r="AC142" s="148">
        <f t="shared" si="91"/>
        <v>0</v>
      </c>
      <c r="AD142" s="107" t="str">
        <f t="shared" si="92"/>
        <v/>
      </c>
      <c r="AE142" s="180">
        <f t="shared" si="114"/>
        <v>0</v>
      </c>
      <c r="AF142" s="73"/>
      <c r="AG142" s="525"/>
      <c r="AH142" s="73"/>
      <c r="AI142" s="73" t="str">
        <f t="shared" ref="AI142:AI205" si="125">IF(AND(AF142&lt;&gt;"",AF142&lt;=V142),V142-AF142,"")</f>
        <v/>
      </c>
      <c r="AJ142" s="64">
        <f t="shared" si="93"/>
        <v>0</v>
      </c>
      <c r="AK142" s="64">
        <f t="shared" si="94"/>
        <v>0</v>
      </c>
      <c r="AL142" s="64" t="str">
        <f t="shared" si="95"/>
        <v/>
      </c>
      <c r="AM142">
        <f t="shared" si="96"/>
        <v>7</v>
      </c>
      <c r="AN142" s="85">
        <f>SUM($AD$6:AD142)</f>
        <v>0</v>
      </c>
      <c r="AO142" s="85">
        <f t="shared" ca="1" si="115"/>
        <v>0</v>
      </c>
      <c r="AP142" s="89">
        <f t="shared" si="116"/>
        <v>0</v>
      </c>
      <c r="AQ142" s="89">
        <f t="shared" si="117"/>
        <v>0</v>
      </c>
      <c r="AR142" s="89">
        <f t="shared" si="118"/>
        <v>0</v>
      </c>
      <c r="AS142" s="88">
        <f t="shared" si="119"/>
        <v>30</v>
      </c>
      <c r="AT142" s="88">
        <f t="shared" ca="1" si="120"/>
        <v>30</v>
      </c>
      <c r="AU142" s="98">
        <f t="shared" si="121"/>
        <v>0</v>
      </c>
      <c r="AV142" s="88">
        <f t="shared" si="122"/>
        <v>7</v>
      </c>
      <c r="AW142" t="b">
        <f>OR((F142&gt;0),(NOT(ISBLANK(H142))),SUM(H142:H$373),SUM(G142:G$373))</f>
        <v>0</v>
      </c>
      <c r="AX142" t="b">
        <f t="shared" ca="1" si="97"/>
        <v>1</v>
      </c>
      <c r="AY142" s="519">
        <f t="shared" si="123"/>
        <v>0</v>
      </c>
      <c r="AZ142" s="180">
        <f>SUM(AY$5:AY142)</f>
        <v>-27.4166666666667</v>
      </c>
      <c r="BA142" s="567"/>
      <c r="BB142" s="567">
        <f t="shared" si="98"/>
        <v>0</v>
      </c>
      <c r="BC142" s="567"/>
    </row>
    <row r="143" spans="1:55" ht="15.75">
      <c r="A143" s="260">
        <f t="shared" si="124"/>
        <v>44971</v>
      </c>
      <c r="B143" s="261">
        <f t="shared" si="99"/>
        <v>44971</v>
      </c>
      <c r="C143" s="262">
        <f>IF(A143="","",NumberOfWeek(A143))</f>
        <v>7</v>
      </c>
      <c r="D143" s="263">
        <f t="shared" si="100"/>
        <v>44957</v>
      </c>
      <c r="E143" s="273" t="str">
        <f t="shared" si="101"/>
        <v/>
      </c>
      <c r="F143" s="5"/>
      <c r="G143" s="6" t="str">
        <f t="shared" si="86"/>
        <v/>
      </c>
      <c r="H143" s="7"/>
      <c r="I143" s="7">
        <f t="shared" si="102"/>
        <v>0</v>
      </c>
      <c r="J143" s="76">
        <f t="shared" si="103"/>
        <v>0</v>
      </c>
      <c r="K143" s="7"/>
      <c r="L143" s="7">
        <f t="shared" si="104"/>
        <v>0</v>
      </c>
      <c r="M143" s="76">
        <f t="shared" si="87"/>
        <v>0</v>
      </c>
      <c r="N143" s="76"/>
      <c r="O143" s="76">
        <f t="shared" si="88"/>
        <v>0</v>
      </c>
      <c r="P143" s="76"/>
      <c r="Q143" s="76">
        <f t="shared" si="89"/>
        <v>0</v>
      </c>
      <c r="R143" s="76">
        <f t="shared" si="105"/>
        <v>0</v>
      </c>
      <c r="S143" s="76">
        <f t="shared" si="106"/>
        <v>0</v>
      </c>
      <c r="T143" s="76">
        <f t="shared" si="107"/>
        <v>0</v>
      </c>
      <c r="U143" s="76">
        <f t="shared" si="108"/>
        <v>0</v>
      </c>
      <c r="V143" s="109">
        <f t="shared" si="109"/>
        <v>0</v>
      </c>
      <c r="W143" s="62"/>
      <c r="X143" s="78">
        <f t="shared" si="90"/>
        <v>3.125E-2</v>
      </c>
      <c r="Y143" s="73">
        <f t="shared" si="110"/>
        <v>0</v>
      </c>
      <c r="Z143" s="74">
        <f t="shared" si="111"/>
        <v>0.29166666666666669</v>
      </c>
      <c r="AA143" s="75">
        <f t="shared" si="112"/>
        <v>0</v>
      </c>
      <c r="AB143" s="63" t="str">
        <f t="shared" si="113"/>
        <v/>
      </c>
      <c r="AC143" s="148">
        <f t="shared" si="91"/>
        <v>0</v>
      </c>
      <c r="AD143" s="107" t="str">
        <f t="shared" si="92"/>
        <v/>
      </c>
      <c r="AE143" s="180">
        <f t="shared" si="114"/>
        <v>0</v>
      </c>
      <c r="AF143" s="73"/>
      <c r="AG143" s="525"/>
      <c r="AH143" s="73"/>
      <c r="AI143" s="73" t="str">
        <f t="shared" si="125"/>
        <v/>
      </c>
      <c r="AJ143" s="64">
        <f t="shared" si="93"/>
        <v>0</v>
      </c>
      <c r="AK143" s="64">
        <f t="shared" si="94"/>
        <v>0</v>
      </c>
      <c r="AL143" s="64" t="str">
        <f t="shared" si="95"/>
        <v/>
      </c>
      <c r="AM143">
        <f t="shared" si="96"/>
        <v>1</v>
      </c>
      <c r="AN143" s="85">
        <f>SUM($AD$6:AD143)</f>
        <v>0</v>
      </c>
      <c r="AO143" s="85">
        <f t="shared" ca="1" si="115"/>
        <v>0</v>
      </c>
      <c r="AP143" s="89">
        <f t="shared" si="116"/>
        <v>0</v>
      </c>
      <c r="AQ143" s="89">
        <f t="shared" si="117"/>
        <v>0</v>
      </c>
      <c r="AR143" s="89">
        <f t="shared" si="118"/>
        <v>0</v>
      </c>
      <c r="AS143" s="88">
        <f t="shared" si="119"/>
        <v>30</v>
      </c>
      <c r="AT143" s="88">
        <f t="shared" ca="1" si="120"/>
        <v>30</v>
      </c>
      <c r="AU143" s="98">
        <f t="shared" si="121"/>
        <v>0</v>
      </c>
      <c r="AV143" s="88">
        <f t="shared" si="122"/>
        <v>0</v>
      </c>
      <c r="AW143" t="b">
        <f>OR((F143&gt;0),(NOT(ISBLANK(H143))),SUM(H143:H$373),SUM(G143:G$373))</f>
        <v>0</v>
      </c>
      <c r="AX143" t="b">
        <f t="shared" ca="1" si="97"/>
        <v>0</v>
      </c>
      <c r="AY143" s="519">
        <f t="shared" si="123"/>
        <v>-0.29166666666666669</v>
      </c>
      <c r="AZ143" s="180">
        <f>SUM(AY$5:AY143)</f>
        <v>-27.708333333333368</v>
      </c>
      <c r="BA143" s="567"/>
      <c r="BB143" s="567">
        <f t="shared" si="98"/>
        <v>0</v>
      </c>
      <c r="BC143" s="567"/>
    </row>
    <row r="144" spans="1:55" ht="15.75">
      <c r="A144" s="260">
        <f t="shared" si="124"/>
        <v>44972</v>
      </c>
      <c r="B144" s="261">
        <f t="shared" si="99"/>
        <v>44972</v>
      </c>
      <c r="C144" s="262">
        <f>IF(A144="","",NumberOfWeek(A144))</f>
        <v>7</v>
      </c>
      <c r="D144" s="263">
        <f t="shared" si="100"/>
        <v>44957</v>
      </c>
      <c r="E144" s="273" t="str">
        <f t="shared" si="101"/>
        <v/>
      </c>
      <c r="F144" s="5"/>
      <c r="G144" s="6" t="str">
        <f t="shared" si="86"/>
        <v/>
      </c>
      <c r="H144" s="7"/>
      <c r="I144" s="7">
        <f t="shared" si="102"/>
        <v>0</v>
      </c>
      <c r="J144" s="76">
        <f t="shared" si="103"/>
        <v>0</v>
      </c>
      <c r="K144" s="7"/>
      <c r="L144" s="7">
        <f t="shared" si="104"/>
        <v>0</v>
      </c>
      <c r="M144" s="76">
        <f t="shared" si="87"/>
        <v>0</v>
      </c>
      <c r="N144" s="76"/>
      <c r="O144" s="76">
        <f t="shared" si="88"/>
        <v>0</v>
      </c>
      <c r="P144" s="76"/>
      <c r="Q144" s="76">
        <f t="shared" si="89"/>
        <v>0</v>
      </c>
      <c r="R144" s="76">
        <f t="shared" si="105"/>
        <v>0</v>
      </c>
      <c r="S144" s="76">
        <f t="shared" si="106"/>
        <v>0</v>
      </c>
      <c r="T144" s="76">
        <f t="shared" si="107"/>
        <v>0</v>
      </c>
      <c r="U144" s="76">
        <f t="shared" si="108"/>
        <v>0</v>
      </c>
      <c r="V144" s="109">
        <f t="shared" si="109"/>
        <v>0</v>
      </c>
      <c r="W144" s="62"/>
      <c r="X144" s="78">
        <f t="shared" si="90"/>
        <v>3.125E-2</v>
      </c>
      <c r="Y144" s="73">
        <f t="shared" si="110"/>
        <v>0</v>
      </c>
      <c r="Z144" s="74">
        <f t="shared" si="111"/>
        <v>0.29166666666666669</v>
      </c>
      <c r="AA144" s="75">
        <f t="shared" si="112"/>
        <v>0</v>
      </c>
      <c r="AB144" s="63" t="str">
        <f t="shared" si="113"/>
        <v/>
      </c>
      <c r="AC144" s="148">
        <f t="shared" si="91"/>
        <v>0</v>
      </c>
      <c r="AD144" s="107" t="str">
        <f t="shared" si="92"/>
        <v/>
      </c>
      <c r="AE144" s="180">
        <f t="shared" si="114"/>
        <v>0</v>
      </c>
      <c r="AF144" s="73"/>
      <c r="AG144" s="525"/>
      <c r="AH144" s="73"/>
      <c r="AI144" s="73" t="str">
        <f t="shared" si="125"/>
        <v/>
      </c>
      <c r="AJ144" s="64">
        <f t="shared" si="93"/>
        <v>0</v>
      </c>
      <c r="AK144" s="64">
        <f t="shared" si="94"/>
        <v>0</v>
      </c>
      <c r="AL144" s="64" t="str">
        <f t="shared" si="95"/>
        <v/>
      </c>
      <c r="AM144">
        <f t="shared" si="96"/>
        <v>2</v>
      </c>
      <c r="AN144" s="85">
        <f>SUM($AD$6:AD144)</f>
        <v>0</v>
      </c>
      <c r="AO144" s="85">
        <f t="shared" ca="1" si="115"/>
        <v>0</v>
      </c>
      <c r="AP144" s="89">
        <f t="shared" si="116"/>
        <v>0</v>
      </c>
      <c r="AQ144" s="89">
        <f t="shared" si="117"/>
        <v>0</v>
      </c>
      <c r="AR144" s="89">
        <f t="shared" si="118"/>
        <v>0</v>
      </c>
      <c r="AS144" s="88">
        <f t="shared" si="119"/>
        <v>30</v>
      </c>
      <c r="AT144" s="88">
        <f t="shared" ca="1" si="120"/>
        <v>30</v>
      </c>
      <c r="AU144" s="98">
        <f t="shared" si="121"/>
        <v>0</v>
      </c>
      <c r="AV144" s="88">
        <f t="shared" si="122"/>
        <v>0</v>
      </c>
      <c r="AW144" t="b">
        <f>OR((F144&gt;0),(NOT(ISBLANK(H144))),SUM(H144:H$373),SUM(G144:G$373))</f>
        <v>0</v>
      </c>
      <c r="AX144" t="b">
        <f t="shared" ca="1" si="97"/>
        <v>0</v>
      </c>
      <c r="AY144" s="519">
        <f t="shared" si="123"/>
        <v>-0.29166666666666669</v>
      </c>
      <c r="AZ144" s="180">
        <f>SUM(AY$5:AY144)</f>
        <v>-28.000000000000036</v>
      </c>
      <c r="BA144" s="567"/>
      <c r="BB144" s="567">
        <f t="shared" si="98"/>
        <v>0</v>
      </c>
      <c r="BC144" s="567"/>
    </row>
    <row r="145" spans="1:55" ht="15.75">
      <c r="A145" s="260">
        <f t="shared" si="124"/>
        <v>44973</v>
      </c>
      <c r="B145" s="261">
        <f t="shared" si="99"/>
        <v>44973</v>
      </c>
      <c r="C145" s="262">
        <f>IF(A145="","",NumberOfWeek(A145))</f>
        <v>7</v>
      </c>
      <c r="D145" s="263">
        <f t="shared" si="100"/>
        <v>44957</v>
      </c>
      <c r="E145" s="273" t="str">
        <f t="shared" si="101"/>
        <v/>
      </c>
      <c r="F145" s="5"/>
      <c r="G145" s="6" t="str">
        <f t="shared" si="86"/>
        <v/>
      </c>
      <c r="H145" s="7"/>
      <c r="I145" s="7">
        <f t="shared" si="102"/>
        <v>0</v>
      </c>
      <c r="J145" s="76">
        <f t="shared" si="103"/>
        <v>0</v>
      </c>
      <c r="K145" s="7"/>
      <c r="L145" s="7">
        <f t="shared" si="104"/>
        <v>0</v>
      </c>
      <c r="M145" s="76">
        <f t="shared" si="87"/>
        <v>0</v>
      </c>
      <c r="N145" s="76"/>
      <c r="O145" s="76">
        <f t="shared" si="88"/>
        <v>0</v>
      </c>
      <c r="P145" s="76"/>
      <c r="Q145" s="76">
        <f t="shared" si="89"/>
        <v>0</v>
      </c>
      <c r="R145" s="76">
        <f t="shared" si="105"/>
        <v>0</v>
      </c>
      <c r="S145" s="76">
        <f t="shared" si="106"/>
        <v>0</v>
      </c>
      <c r="T145" s="76">
        <f t="shared" si="107"/>
        <v>0</v>
      </c>
      <c r="U145" s="76">
        <f t="shared" si="108"/>
        <v>0</v>
      </c>
      <c r="V145" s="109">
        <f t="shared" si="109"/>
        <v>0</v>
      </c>
      <c r="W145" s="62"/>
      <c r="X145" s="78">
        <f t="shared" si="90"/>
        <v>3.125E-2</v>
      </c>
      <c r="Y145" s="73">
        <f t="shared" si="110"/>
        <v>0</v>
      </c>
      <c r="Z145" s="74">
        <f t="shared" si="111"/>
        <v>0.29166666666666669</v>
      </c>
      <c r="AA145" s="75">
        <f t="shared" si="112"/>
        <v>0</v>
      </c>
      <c r="AB145" s="63" t="str">
        <f t="shared" si="113"/>
        <v/>
      </c>
      <c r="AC145" s="148">
        <f t="shared" si="91"/>
        <v>0</v>
      </c>
      <c r="AD145" s="107" t="str">
        <f t="shared" si="92"/>
        <v/>
      </c>
      <c r="AE145" s="180">
        <f t="shared" si="114"/>
        <v>0</v>
      </c>
      <c r="AF145" s="73"/>
      <c r="AG145" s="525"/>
      <c r="AH145" s="73"/>
      <c r="AI145" s="73" t="str">
        <f t="shared" si="125"/>
        <v/>
      </c>
      <c r="AJ145" s="64">
        <f t="shared" si="93"/>
        <v>0</v>
      </c>
      <c r="AK145" s="64">
        <f t="shared" si="94"/>
        <v>0</v>
      </c>
      <c r="AL145" s="64" t="str">
        <f t="shared" si="95"/>
        <v/>
      </c>
      <c r="AM145">
        <f t="shared" si="96"/>
        <v>3</v>
      </c>
      <c r="AN145" s="85">
        <f>SUM($AD$6:AD145)</f>
        <v>0</v>
      </c>
      <c r="AO145" s="85">
        <f t="shared" ca="1" si="115"/>
        <v>0</v>
      </c>
      <c r="AP145" s="89">
        <f t="shared" si="116"/>
        <v>0</v>
      </c>
      <c r="AQ145" s="89">
        <f t="shared" si="117"/>
        <v>0</v>
      </c>
      <c r="AR145" s="89">
        <f t="shared" si="118"/>
        <v>0</v>
      </c>
      <c r="AS145" s="88">
        <f t="shared" si="119"/>
        <v>30</v>
      </c>
      <c r="AT145" s="88">
        <f t="shared" ca="1" si="120"/>
        <v>30</v>
      </c>
      <c r="AU145" s="98">
        <f t="shared" si="121"/>
        <v>0</v>
      </c>
      <c r="AV145" s="88">
        <f t="shared" si="122"/>
        <v>0</v>
      </c>
      <c r="AW145" t="b">
        <f>OR((F145&gt;0),(NOT(ISBLANK(H145))),SUM(H145:H$373),SUM(G145:G$373))</f>
        <v>0</v>
      </c>
      <c r="AX145" t="b">
        <f t="shared" ca="1" si="97"/>
        <v>0</v>
      </c>
      <c r="AY145" s="519">
        <f t="shared" si="123"/>
        <v>-0.29166666666666669</v>
      </c>
      <c r="AZ145" s="180">
        <f>SUM(AY$5:AY145)</f>
        <v>-28.291666666666703</v>
      </c>
      <c r="BA145" s="567"/>
      <c r="BB145" s="567">
        <f t="shared" si="98"/>
        <v>0</v>
      </c>
      <c r="BC145" s="567"/>
    </row>
    <row r="146" spans="1:55" ht="15.75">
      <c r="A146" s="260">
        <f t="shared" si="124"/>
        <v>44974</v>
      </c>
      <c r="B146" s="261">
        <f t="shared" si="99"/>
        <v>44974</v>
      </c>
      <c r="C146" s="262">
        <f>IF(A146="","",NumberOfWeek(A146))</f>
        <v>7</v>
      </c>
      <c r="D146" s="263">
        <f t="shared" si="100"/>
        <v>44957</v>
      </c>
      <c r="E146" s="273" t="str">
        <f t="shared" si="101"/>
        <v/>
      </c>
      <c r="F146" s="5"/>
      <c r="G146" s="6" t="str">
        <f t="shared" si="86"/>
        <v/>
      </c>
      <c r="H146" s="7"/>
      <c r="I146" s="7">
        <f t="shared" si="102"/>
        <v>0</v>
      </c>
      <c r="J146" s="76">
        <f t="shared" si="103"/>
        <v>0</v>
      </c>
      <c r="K146" s="7"/>
      <c r="L146" s="7">
        <f t="shared" si="104"/>
        <v>0</v>
      </c>
      <c r="M146" s="76">
        <f t="shared" si="87"/>
        <v>0</v>
      </c>
      <c r="N146" s="76"/>
      <c r="O146" s="76">
        <f t="shared" si="88"/>
        <v>0</v>
      </c>
      <c r="P146" s="76"/>
      <c r="Q146" s="76">
        <f t="shared" si="89"/>
        <v>0</v>
      </c>
      <c r="R146" s="76">
        <f t="shared" si="105"/>
        <v>0</v>
      </c>
      <c r="S146" s="76">
        <f t="shared" si="106"/>
        <v>0</v>
      </c>
      <c r="T146" s="76">
        <f t="shared" si="107"/>
        <v>0</v>
      </c>
      <c r="U146" s="76">
        <f t="shared" si="108"/>
        <v>0</v>
      </c>
      <c r="V146" s="109">
        <f t="shared" si="109"/>
        <v>0</v>
      </c>
      <c r="W146" s="62"/>
      <c r="X146" s="78">
        <f t="shared" si="90"/>
        <v>3.125E-2</v>
      </c>
      <c r="Y146" s="73">
        <f t="shared" si="110"/>
        <v>0</v>
      </c>
      <c r="Z146" s="74">
        <f t="shared" si="111"/>
        <v>0.29166666666666669</v>
      </c>
      <c r="AA146" s="75">
        <f t="shared" si="112"/>
        <v>0</v>
      </c>
      <c r="AB146" s="63" t="str">
        <f t="shared" si="113"/>
        <v/>
      </c>
      <c r="AC146" s="148">
        <f t="shared" si="91"/>
        <v>0</v>
      </c>
      <c r="AD146" s="107" t="str">
        <f t="shared" si="92"/>
        <v/>
      </c>
      <c r="AE146" s="180">
        <f t="shared" si="114"/>
        <v>0</v>
      </c>
      <c r="AF146" s="73"/>
      <c r="AG146" s="525"/>
      <c r="AH146" s="73"/>
      <c r="AI146" s="73" t="str">
        <f t="shared" si="125"/>
        <v/>
      </c>
      <c r="AJ146" s="64">
        <f t="shared" si="93"/>
        <v>0</v>
      </c>
      <c r="AK146" s="64">
        <f t="shared" si="94"/>
        <v>0</v>
      </c>
      <c r="AL146" s="64" t="str">
        <f t="shared" si="95"/>
        <v/>
      </c>
      <c r="AM146">
        <f t="shared" si="96"/>
        <v>4</v>
      </c>
      <c r="AN146" s="85">
        <f>SUM($AD$6:AD146)</f>
        <v>0</v>
      </c>
      <c r="AO146" s="85">
        <f t="shared" ca="1" si="115"/>
        <v>0</v>
      </c>
      <c r="AP146" s="89">
        <f t="shared" si="116"/>
        <v>0</v>
      </c>
      <c r="AQ146" s="89">
        <f t="shared" si="117"/>
        <v>0</v>
      </c>
      <c r="AR146" s="89">
        <f t="shared" si="118"/>
        <v>0</v>
      </c>
      <c r="AS146" s="88">
        <f t="shared" si="119"/>
        <v>30</v>
      </c>
      <c r="AT146" s="88">
        <f t="shared" ca="1" si="120"/>
        <v>30</v>
      </c>
      <c r="AU146" s="98">
        <f t="shared" si="121"/>
        <v>0</v>
      </c>
      <c r="AV146" s="88">
        <f t="shared" si="122"/>
        <v>0</v>
      </c>
      <c r="AW146" t="b">
        <f>OR((F146&gt;0),(NOT(ISBLANK(H146))),SUM(H146:H$373),SUM(G146:G$373))</f>
        <v>0</v>
      </c>
      <c r="AX146" t="b">
        <f t="shared" ca="1" si="97"/>
        <v>0</v>
      </c>
      <c r="AY146" s="519">
        <f t="shared" si="123"/>
        <v>-0.29166666666666669</v>
      </c>
      <c r="AZ146" s="180">
        <f>SUM(AY$5:AY146)</f>
        <v>-28.583333333333371</v>
      </c>
      <c r="BA146" s="567"/>
      <c r="BB146" s="567">
        <f t="shared" si="98"/>
        <v>0</v>
      </c>
      <c r="BC146" s="567"/>
    </row>
    <row r="147" spans="1:55" ht="15.75">
      <c r="A147" s="260">
        <f t="shared" si="124"/>
        <v>44975</v>
      </c>
      <c r="B147" s="261">
        <f t="shared" si="99"/>
        <v>44975</v>
      </c>
      <c r="C147" s="262">
        <f>IF(A147="","",NumberOfWeek(A147))</f>
        <v>7</v>
      </c>
      <c r="D147" s="263">
        <f t="shared" si="100"/>
        <v>44957</v>
      </c>
      <c r="E147" s="273" t="str">
        <f t="shared" si="101"/>
        <v/>
      </c>
      <c r="F147" s="5"/>
      <c r="G147" s="6" t="str">
        <f t="shared" si="86"/>
        <v/>
      </c>
      <c r="H147" s="7"/>
      <c r="I147" s="7">
        <f t="shared" si="102"/>
        <v>0</v>
      </c>
      <c r="J147" s="76">
        <f t="shared" si="103"/>
        <v>0</v>
      </c>
      <c r="K147" s="7"/>
      <c r="L147" s="7">
        <f t="shared" si="104"/>
        <v>0</v>
      </c>
      <c r="M147" s="76">
        <f t="shared" si="87"/>
        <v>0</v>
      </c>
      <c r="N147" s="76"/>
      <c r="O147" s="76">
        <f t="shared" si="88"/>
        <v>0</v>
      </c>
      <c r="P147" s="76"/>
      <c r="Q147" s="76">
        <f t="shared" si="89"/>
        <v>0</v>
      </c>
      <c r="R147" s="76">
        <f t="shared" si="105"/>
        <v>0</v>
      </c>
      <c r="S147" s="76">
        <f t="shared" si="106"/>
        <v>0</v>
      </c>
      <c r="T147" s="76">
        <f t="shared" si="107"/>
        <v>0</v>
      </c>
      <c r="U147" s="76">
        <f t="shared" si="108"/>
        <v>0</v>
      </c>
      <c r="V147" s="109">
        <f t="shared" si="109"/>
        <v>0</v>
      </c>
      <c r="W147" s="62"/>
      <c r="X147" s="78">
        <f t="shared" si="90"/>
        <v>3.125E-2</v>
      </c>
      <c r="Y147" s="73">
        <f t="shared" si="110"/>
        <v>0</v>
      </c>
      <c r="Z147" s="74">
        <f t="shared" si="111"/>
        <v>0.29166666666666669</v>
      </c>
      <c r="AA147" s="75">
        <f t="shared" si="112"/>
        <v>0</v>
      </c>
      <c r="AB147" s="63" t="str">
        <f t="shared" si="113"/>
        <v/>
      </c>
      <c r="AC147" s="148">
        <f t="shared" si="91"/>
        <v>0</v>
      </c>
      <c r="AD147" s="107" t="str">
        <f t="shared" si="92"/>
        <v/>
      </c>
      <c r="AE147" s="180">
        <f t="shared" si="114"/>
        <v>0</v>
      </c>
      <c r="AF147" s="73"/>
      <c r="AG147" s="525"/>
      <c r="AH147" s="73"/>
      <c r="AI147" s="73" t="str">
        <f t="shared" si="125"/>
        <v/>
      </c>
      <c r="AJ147" s="64">
        <f t="shared" si="93"/>
        <v>0</v>
      </c>
      <c r="AK147" s="64">
        <f t="shared" si="94"/>
        <v>0</v>
      </c>
      <c r="AL147" s="64" t="str">
        <f t="shared" si="95"/>
        <v/>
      </c>
      <c r="AM147">
        <f t="shared" si="96"/>
        <v>5</v>
      </c>
      <c r="AN147" s="85">
        <f>SUM($AD$6:AD147)</f>
        <v>0</v>
      </c>
      <c r="AO147" s="85">
        <f t="shared" ca="1" si="115"/>
        <v>0</v>
      </c>
      <c r="AP147" s="89">
        <f t="shared" si="116"/>
        <v>0</v>
      </c>
      <c r="AQ147" s="89">
        <f t="shared" si="117"/>
        <v>0</v>
      </c>
      <c r="AR147" s="89">
        <f t="shared" si="118"/>
        <v>0</v>
      </c>
      <c r="AS147" s="88">
        <f t="shared" si="119"/>
        <v>30</v>
      </c>
      <c r="AT147" s="88">
        <f t="shared" ca="1" si="120"/>
        <v>30</v>
      </c>
      <c r="AU147" s="98">
        <f t="shared" si="121"/>
        <v>0</v>
      </c>
      <c r="AV147" s="88">
        <f t="shared" si="122"/>
        <v>0</v>
      </c>
      <c r="AW147" t="b">
        <f>OR((F147&gt;0),(NOT(ISBLANK(H147))),SUM(H147:H$373),SUM(G147:G$373))</f>
        <v>0</v>
      </c>
      <c r="AX147" t="b">
        <f t="shared" ca="1" si="97"/>
        <v>0</v>
      </c>
      <c r="AY147" s="519">
        <f t="shared" si="123"/>
        <v>-0.29166666666666669</v>
      </c>
      <c r="AZ147" s="180">
        <f>SUM(AY$5:AY147)</f>
        <v>-28.875000000000039</v>
      </c>
      <c r="BA147" s="567"/>
      <c r="BB147" s="567">
        <f t="shared" si="98"/>
        <v>0</v>
      </c>
      <c r="BC147" s="567"/>
    </row>
    <row r="148" spans="1:55" ht="15.75">
      <c r="A148" s="260">
        <f t="shared" si="124"/>
        <v>44976</v>
      </c>
      <c r="B148" s="261">
        <f t="shared" si="99"/>
        <v>44976</v>
      </c>
      <c r="C148" s="262">
        <f>IF(A148="","",NumberOfWeek(A148))</f>
        <v>7</v>
      </c>
      <c r="D148" s="263">
        <f t="shared" si="100"/>
        <v>44957</v>
      </c>
      <c r="E148" s="273" t="str">
        <f t="shared" si="101"/>
        <v/>
      </c>
      <c r="F148" s="5"/>
      <c r="G148" s="6" t="str">
        <f t="shared" si="86"/>
        <v/>
      </c>
      <c r="H148" s="7"/>
      <c r="I148" s="7">
        <f t="shared" si="102"/>
        <v>0</v>
      </c>
      <c r="J148" s="76">
        <f t="shared" si="103"/>
        <v>0</v>
      </c>
      <c r="K148" s="7"/>
      <c r="L148" s="7">
        <f t="shared" si="104"/>
        <v>0</v>
      </c>
      <c r="M148" s="76">
        <f t="shared" si="87"/>
        <v>0</v>
      </c>
      <c r="N148" s="76"/>
      <c r="O148" s="76">
        <f t="shared" si="88"/>
        <v>0</v>
      </c>
      <c r="P148" s="76"/>
      <c r="Q148" s="76">
        <f t="shared" si="89"/>
        <v>0</v>
      </c>
      <c r="R148" s="76">
        <f t="shared" si="105"/>
        <v>0</v>
      </c>
      <c r="S148" s="76">
        <f t="shared" si="106"/>
        <v>0</v>
      </c>
      <c r="T148" s="76">
        <f t="shared" si="107"/>
        <v>0</v>
      </c>
      <c r="U148" s="76">
        <f t="shared" si="108"/>
        <v>0</v>
      </c>
      <c r="V148" s="109">
        <f t="shared" si="109"/>
        <v>0</v>
      </c>
      <c r="W148" s="62"/>
      <c r="X148" s="78">
        <f t="shared" si="90"/>
        <v>3.125E-2</v>
      </c>
      <c r="Y148" s="73">
        <f t="shared" si="110"/>
        <v>0</v>
      </c>
      <c r="Z148" s="74">
        <f t="shared" si="111"/>
        <v>0</v>
      </c>
      <c r="AA148" s="75">
        <f t="shared" si="112"/>
        <v>0</v>
      </c>
      <c r="AB148" s="63" t="str">
        <f t="shared" si="113"/>
        <v/>
      </c>
      <c r="AC148" s="148">
        <f t="shared" si="91"/>
        <v>0</v>
      </c>
      <c r="AD148" s="107" t="str">
        <f t="shared" si="92"/>
        <v/>
      </c>
      <c r="AE148" s="180">
        <f t="shared" si="114"/>
        <v>0</v>
      </c>
      <c r="AF148" s="73"/>
      <c r="AG148" s="525"/>
      <c r="AH148" s="73"/>
      <c r="AI148" s="73" t="str">
        <f t="shared" si="125"/>
        <v/>
      </c>
      <c r="AJ148" s="64">
        <f t="shared" si="93"/>
        <v>0</v>
      </c>
      <c r="AK148" s="64">
        <f t="shared" si="94"/>
        <v>0</v>
      </c>
      <c r="AL148" s="64" t="str">
        <f t="shared" si="95"/>
        <v/>
      </c>
      <c r="AM148">
        <f t="shared" si="96"/>
        <v>6</v>
      </c>
      <c r="AN148" s="85">
        <f>SUM($AD$6:AD148)</f>
        <v>0</v>
      </c>
      <c r="AO148" s="85">
        <f t="shared" ca="1" si="115"/>
        <v>0</v>
      </c>
      <c r="AP148" s="89">
        <f t="shared" si="116"/>
        <v>0</v>
      </c>
      <c r="AQ148" s="89">
        <f t="shared" si="117"/>
        <v>0</v>
      </c>
      <c r="AR148" s="89">
        <f t="shared" si="118"/>
        <v>0</v>
      </c>
      <c r="AS148" s="88">
        <f t="shared" si="119"/>
        <v>30</v>
      </c>
      <c r="AT148" s="88">
        <f t="shared" ca="1" si="120"/>
        <v>30</v>
      </c>
      <c r="AU148" s="98">
        <f t="shared" si="121"/>
        <v>0</v>
      </c>
      <c r="AV148" s="88">
        <f t="shared" si="122"/>
        <v>7</v>
      </c>
      <c r="AW148" t="b">
        <f>OR((F148&gt;0),(NOT(ISBLANK(H148))),SUM(H148:H$373),SUM(G148:G$373))</f>
        <v>0</v>
      </c>
      <c r="AX148" t="b">
        <f t="shared" ca="1" si="97"/>
        <v>1</v>
      </c>
      <c r="AY148" s="519">
        <f t="shared" si="123"/>
        <v>0</v>
      </c>
      <c r="AZ148" s="180">
        <f>SUM(AY$5:AY148)</f>
        <v>-28.875000000000039</v>
      </c>
      <c r="BA148" s="567"/>
      <c r="BB148" s="567">
        <f t="shared" si="98"/>
        <v>0</v>
      </c>
      <c r="BC148" s="567"/>
    </row>
    <row r="149" spans="1:55" ht="15.75">
      <c r="A149" s="260">
        <f t="shared" si="124"/>
        <v>44977</v>
      </c>
      <c r="B149" s="261">
        <f t="shared" si="99"/>
        <v>44977</v>
      </c>
      <c r="C149" s="262">
        <f>IF(A149="","",NumberOfWeek(A149))</f>
        <v>7</v>
      </c>
      <c r="D149" s="263">
        <f t="shared" si="100"/>
        <v>44957</v>
      </c>
      <c r="E149" s="273" t="str">
        <f t="shared" si="101"/>
        <v/>
      </c>
      <c r="F149" s="5"/>
      <c r="G149" s="6" t="str">
        <f t="shared" si="86"/>
        <v/>
      </c>
      <c r="H149" s="7"/>
      <c r="I149" s="7">
        <f t="shared" si="102"/>
        <v>0</v>
      </c>
      <c r="J149" s="76">
        <f t="shared" si="103"/>
        <v>0</v>
      </c>
      <c r="K149" s="7"/>
      <c r="L149" s="7">
        <f t="shared" si="104"/>
        <v>0</v>
      </c>
      <c r="M149" s="76">
        <f t="shared" si="87"/>
        <v>0</v>
      </c>
      <c r="N149" s="76"/>
      <c r="O149" s="76">
        <f t="shared" si="88"/>
        <v>0</v>
      </c>
      <c r="P149" s="76"/>
      <c r="Q149" s="76">
        <f t="shared" si="89"/>
        <v>0</v>
      </c>
      <c r="R149" s="76">
        <f t="shared" si="105"/>
        <v>0</v>
      </c>
      <c r="S149" s="76">
        <f t="shared" si="106"/>
        <v>0</v>
      </c>
      <c r="T149" s="76">
        <f t="shared" si="107"/>
        <v>0</v>
      </c>
      <c r="U149" s="76">
        <f t="shared" si="108"/>
        <v>0</v>
      </c>
      <c r="V149" s="109">
        <f t="shared" si="109"/>
        <v>0</v>
      </c>
      <c r="W149" s="62"/>
      <c r="X149" s="78">
        <f t="shared" si="90"/>
        <v>3.125E-2</v>
      </c>
      <c r="Y149" s="73">
        <f t="shared" si="110"/>
        <v>0</v>
      </c>
      <c r="Z149" s="74">
        <f t="shared" si="111"/>
        <v>0</v>
      </c>
      <c r="AA149" s="75">
        <f t="shared" si="112"/>
        <v>0</v>
      </c>
      <c r="AB149" s="63" t="str">
        <f t="shared" si="113"/>
        <v/>
      </c>
      <c r="AC149" s="148">
        <f t="shared" si="91"/>
        <v>0</v>
      </c>
      <c r="AD149" s="107" t="str">
        <f t="shared" si="92"/>
        <v/>
      </c>
      <c r="AE149" s="180">
        <f t="shared" si="114"/>
        <v>0</v>
      </c>
      <c r="AF149" s="73"/>
      <c r="AG149" s="525"/>
      <c r="AH149" s="73"/>
      <c r="AI149" s="73" t="str">
        <f t="shared" si="125"/>
        <v/>
      </c>
      <c r="AJ149" s="64">
        <f t="shared" si="93"/>
        <v>0</v>
      </c>
      <c r="AK149" s="64">
        <f t="shared" si="94"/>
        <v>0</v>
      </c>
      <c r="AL149" s="64" t="str">
        <f t="shared" si="95"/>
        <v/>
      </c>
      <c r="AM149">
        <f t="shared" si="96"/>
        <v>7</v>
      </c>
      <c r="AN149" s="85">
        <f>SUM($AD$6:AD149)</f>
        <v>0</v>
      </c>
      <c r="AO149" s="85">
        <f t="shared" ca="1" si="115"/>
        <v>0</v>
      </c>
      <c r="AP149" s="89">
        <f t="shared" si="116"/>
        <v>0</v>
      </c>
      <c r="AQ149" s="89">
        <f t="shared" si="117"/>
        <v>0</v>
      </c>
      <c r="AR149" s="89">
        <f t="shared" si="118"/>
        <v>0</v>
      </c>
      <c r="AS149" s="88">
        <f t="shared" si="119"/>
        <v>30</v>
      </c>
      <c r="AT149" s="88">
        <f t="shared" ca="1" si="120"/>
        <v>30</v>
      </c>
      <c r="AU149" s="98">
        <f t="shared" si="121"/>
        <v>0</v>
      </c>
      <c r="AV149" s="88">
        <f t="shared" si="122"/>
        <v>7</v>
      </c>
      <c r="AW149" t="b">
        <f>OR((F149&gt;0),(NOT(ISBLANK(H149))),SUM(H149:H$373),SUM(G149:G$373))</f>
        <v>0</v>
      </c>
      <c r="AX149" t="b">
        <f t="shared" ca="1" si="97"/>
        <v>1</v>
      </c>
      <c r="AY149" s="519">
        <f t="shared" si="123"/>
        <v>0</v>
      </c>
      <c r="AZ149" s="180">
        <f>SUM(AY$5:AY149)</f>
        <v>-28.875000000000039</v>
      </c>
      <c r="BA149" s="567"/>
      <c r="BB149" s="567">
        <f t="shared" si="98"/>
        <v>0</v>
      </c>
      <c r="BC149" s="567"/>
    </row>
    <row r="150" spans="1:55" ht="15.75">
      <c r="A150" s="260">
        <f t="shared" si="124"/>
        <v>44978</v>
      </c>
      <c r="B150" s="261">
        <f t="shared" si="99"/>
        <v>44978</v>
      </c>
      <c r="C150" s="262">
        <f>IF(A150="","",NumberOfWeek(A150))</f>
        <v>8</v>
      </c>
      <c r="D150" s="263">
        <f t="shared" si="100"/>
        <v>44957</v>
      </c>
      <c r="E150" s="273" t="str">
        <f t="shared" si="101"/>
        <v/>
      </c>
      <c r="F150" s="5"/>
      <c r="G150" s="6" t="str">
        <f t="shared" si="86"/>
        <v/>
      </c>
      <c r="H150" s="7"/>
      <c r="I150" s="7">
        <f t="shared" si="102"/>
        <v>0</v>
      </c>
      <c r="J150" s="76">
        <f t="shared" si="103"/>
        <v>0</v>
      </c>
      <c r="K150" s="7"/>
      <c r="L150" s="7">
        <f t="shared" si="104"/>
        <v>0</v>
      </c>
      <c r="M150" s="76">
        <f t="shared" si="87"/>
        <v>0</v>
      </c>
      <c r="N150" s="76"/>
      <c r="O150" s="76">
        <f t="shared" si="88"/>
        <v>0</v>
      </c>
      <c r="P150" s="76"/>
      <c r="Q150" s="76">
        <f t="shared" si="89"/>
        <v>0</v>
      </c>
      <c r="R150" s="76">
        <f t="shared" si="105"/>
        <v>0</v>
      </c>
      <c r="S150" s="76">
        <f t="shared" si="106"/>
        <v>0</v>
      </c>
      <c r="T150" s="76">
        <f t="shared" si="107"/>
        <v>0</v>
      </c>
      <c r="U150" s="76">
        <f t="shared" si="108"/>
        <v>0</v>
      </c>
      <c r="V150" s="109">
        <f t="shared" si="109"/>
        <v>0</v>
      </c>
      <c r="W150" s="62"/>
      <c r="X150" s="78">
        <f t="shared" si="90"/>
        <v>3.125E-2</v>
      </c>
      <c r="Y150" s="73">
        <f t="shared" si="110"/>
        <v>0</v>
      </c>
      <c r="Z150" s="74">
        <f t="shared" si="111"/>
        <v>0.29166666666666669</v>
      </c>
      <c r="AA150" s="75">
        <f t="shared" si="112"/>
        <v>0</v>
      </c>
      <c r="AB150" s="63" t="str">
        <f t="shared" si="113"/>
        <v/>
      </c>
      <c r="AC150" s="148">
        <f t="shared" si="91"/>
        <v>0</v>
      </c>
      <c r="AD150" s="107" t="str">
        <f t="shared" si="92"/>
        <v/>
      </c>
      <c r="AE150" s="180">
        <f t="shared" si="114"/>
        <v>0</v>
      </c>
      <c r="AF150" s="73"/>
      <c r="AG150" s="525"/>
      <c r="AH150" s="73"/>
      <c r="AI150" s="73" t="str">
        <f t="shared" si="125"/>
        <v/>
      </c>
      <c r="AJ150" s="64">
        <f t="shared" si="93"/>
        <v>0</v>
      </c>
      <c r="AK150" s="64">
        <f t="shared" si="94"/>
        <v>0</v>
      </c>
      <c r="AL150" s="64" t="str">
        <f t="shared" si="95"/>
        <v/>
      </c>
      <c r="AM150">
        <f t="shared" si="96"/>
        <v>1</v>
      </c>
      <c r="AN150" s="85">
        <f>SUM($AD$6:AD150)</f>
        <v>0</v>
      </c>
      <c r="AO150" s="85">
        <f t="shared" ca="1" si="115"/>
        <v>0</v>
      </c>
      <c r="AP150" s="89">
        <f t="shared" si="116"/>
        <v>0</v>
      </c>
      <c r="AQ150" s="89">
        <f t="shared" si="117"/>
        <v>0</v>
      </c>
      <c r="AR150" s="89">
        <f t="shared" si="118"/>
        <v>0</v>
      </c>
      <c r="AS150" s="88">
        <f t="shared" si="119"/>
        <v>30</v>
      </c>
      <c r="AT150" s="88">
        <f t="shared" ca="1" si="120"/>
        <v>30</v>
      </c>
      <c r="AU150" s="98">
        <f t="shared" si="121"/>
        <v>0</v>
      </c>
      <c r="AV150" s="88">
        <f t="shared" si="122"/>
        <v>0</v>
      </c>
      <c r="AW150" t="b">
        <f>OR((F150&gt;0),(NOT(ISBLANK(H150))),SUM(H150:H$373),SUM(G150:G$373))</f>
        <v>0</v>
      </c>
      <c r="AX150" t="b">
        <f t="shared" ca="1" si="97"/>
        <v>0</v>
      </c>
      <c r="AY150" s="519">
        <f t="shared" si="123"/>
        <v>-0.29166666666666669</v>
      </c>
      <c r="AZ150" s="180">
        <f>SUM(AY$5:AY150)</f>
        <v>-29.166666666666707</v>
      </c>
      <c r="BA150" s="567"/>
      <c r="BB150" s="567">
        <f t="shared" si="98"/>
        <v>0</v>
      </c>
      <c r="BC150" s="567"/>
    </row>
    <row r="151" spans="1:55" ht="15.75">
      <c r="A151" s="260">
        <f t="shared" si="124"/>
        <v>44979</v>
      </c>
      <c r="B151" s="261">
        <f t="shared" si="99"/>
        <v>44979</v>
      </c>
      <c r="C151" s="262">
        <f>IF(A151="","",NumberOfWeek(A151))</f>
        <v>8</v>
      </c>
      <c r="D151" s="263">
        <f t="shared" si="100"/>
        <v>44957</v>
      </c>
      <c r="E151" s="273" t="str">
        <f t="shared" si="101"/>
        <v/>
      </c>
      <c r="F151" s="5"/>
      <c r="G151" s="6" t="str">
        <f t="shared" si="86"/>
        <v/>
      </c>
      <c r="H151" s="7"/>
      <c r="I151" s="7">
        <f t="shared" si="102"/>
        <v>0</v>
      </c>
      <c r="J151" s="76">
        <f t="shared" si="103"/>
        <v>0</v>
      </c>
      <c r="K151" s="7"/>
      <c r="L151" s="7">
        <f t="shared" si="104"/>
        <v>0</v>
      </c>
      <c r="M151" s="76">
        <f t="shared" si="87"/>
        <v>0</v>
      </c>
      <c r="N151" s="76"/>
      <c r="O151" s="76">
        <f t="shared" si="88"/>
        <v>0</v>
      </c>
      <c r="P151" s="76"/>
      <c r="Q151" s="76">
        <f t="shared" si="89"/>
        <v>0</v>
      </c>
      <c r="R151" s="76">
        <f t="shared" si="105"/>
        <v>0</v>
      </c>
      <c r="S151" s="76">
        <f t="shared" si="106"/>
        <v>0</v>
      </c>
      <c r="T151" s="76">
        <f t="shared" si="107"/>
        <v>0</v>
      </c>
      <c r="U151" s="76">
        <f t="shared" si="108"/>
        <v>0</v>
      </c>
      <c r="V151" s="109">
        <f t="shared" si="109"/>
        <v>0</v>
      </c>
      <c r="W151" s="62"/>
      <c r="X151" s="78">
        <f t="shared" si="90"/>
        <v>3.125E-2</v>
      </c>
      <c r="Y151" s="73">
        <f t="shared" si="110"/>
        <v>0</v>
      </c>
      <c r="Z151" s="74">
        <f t="shared" si="111"/>
        <v>0.29166666666666669</v>
      </c>
      <c r="AA151" s="75">
        <f t="shared" si="112"/>
        <v>0</v>
      </c>
      <c r="AB151" s="63" t="str">
        <f t="shared" si="113"/>
        <v/>
      </c>
      <c r="AC151" s="148">
        <f t="shared" si="91"/>
        <v>0</v>
      </c>
      <c r="AD151" s="107" t="str">
        <f t="shared" si="92"/>
        <v/>
      </c>
      <c r="AE151" s="180">
        <f t="shared" si="114"/>
        <v>0</v>
      </c>
      <c r="AF151" s="73"/>
      <c r="AG151" s="525"/>
      <c r="AH151" s="73"/>
      <c r="AI151" s="73" t="str">
        <f t="shared" si="125"/>
        <v/>
      </c>
      <c r="AJ151" s="64">
        <f t="shared" si="93"/>
        <v>0</v>
      </c>
      <c r="AK151" s="64">
        <f t="shared" si="94"/>
        <v>0</v>
      </c>
      <c r="AL151" s="64" t="str">
        <f t="shared" si="95"/>
        <v/>
      </c>
      <c r="AM151">
        <f t="shared" si="96"/>
        <v>2</v>
      </c>
      <c r="AN151" s="85">
        <f>SUM($AD$6:AD151)</f>
        <v>0</v>
      </c>
      <c r="AO151" s="85">
        <f t="shared" ca="1" si="115"/>
        <v>0</v>
      </c>
      <c r="AP151" s="89">
        <f t="shared" si="116"/>
        <v>0</v>
      </c>
      <c r="AQ151" s="89">
        <f t="shared" si="117"/>
        <v>0</v>
      </c>
      <c r="AR151" s="89">
        <f t="shared" si="118"/>
        <v>0</v>
      </c>
      <c r="AS151" s="88">
        <f t="shared" si="119"/>
        <v>30</v>
      </c>
      <c r="AT151" s="88">
        <f t="shared" ca="1" si="120"/>
        <v>30</v>
      </c>
      <c r="AU151" s="98">
        <f t="shared" si="121"/>
        <v>0</v>
      </c>
      <c r="AV151" s="88">
        <f t="shared" si="122"/>
        <v>0</v>
      </c>
      <c r="AW151" t="b">
        <f>OR((F151&gt;0),(NOT(ISBLANK(H151))),SUM(H151:H$373),SUM(G151:G$373))</f>
        <v>0</v>
      </c>
      <c r="AX151" t="b">
        <f t="shared" ca="1" si="97"/>
        <v>0</v>
      </c>
      <c r="AY151" s="519">
        <f t="shared" si="123"/>
        <v>-0.29166666666666669</v>
      </c>
      <c r="AZ151" s="180">
        <f>SUM(AY$5:AY151)</f>
        <v>-29.458333333333375</v>
      </c>
      <c r="BA151" s="567"/>
      <c r="BB151" s="567">
        <f t="shared" si="98"/>
        <v>0</v>
      </c>
      <c r="BC151" s="567"/>
    </row>
    <row r="152" spans="1:55" ht="15.75">
      <c r="A152" s="260">
        <f t="shared" si="124"/>
        <v>44980</v>
      </c>
      <c r="B152" s="261">
        <f t="shared" si="99"/>
        <v>44980</v>
      </c>
      <c r="C152" s="262">
        <f>IF(A152="","",NumberOfWeek(A152))</f>
        <v>8</v>
      </c>
      <c r="D152" s="263">
        <f t="shared" si="100"/>
        <v>44957</v>
      </c>
      <c r="E152" s="273" t="str">
        <f t="shared" si="101"/>
        <v/>
      </c>
      <c r="F152" s="5"/>
      <c r="G152" s="6" t="str">
        <f t="shared" si="86"/>
        <v/>
      </c>
      <c r="H152" s="7"/>
      <c r="I152" s="7">
        <f t="shared" si="102"/>
        <v>0</v>
      </c>
      <c r="J152" s="76">
        <f t="shared" si="103"/>
        <v>0</v>
      </c>
      <c r="K152" s="7"/>
      <c r="L152" s="7">
        <f t="shared" si="104"/>
        <v>0</v>
      </c>
      <c r="M152" s="76">
        <f t="shared" si="87"/>
        <v>0</v>
      </c>
      <c r="N152" s="76"/>
      <c r="O152" s="76">
        <f t="shared" si="88"/>
        <v>0</v>
      </c>
      <c r="P152" s="76"/>
      <c r="Q152" s="76">
        <f t="shared" si="89"/>
        <v>0</v>
      </c>
      <c r="R152" s="76">
        <f t="shared" si="105"/>
        <v>0</v>
      </c>
      <c r="S152" s="76">
        <f t="shared" si="106"/>
        <v>0</v>
      </c>
      <c r="T152" s="76">
        <f t="shared" si="107"/>
        <v>0</v>
      </c>
      <c r="U152" s="76">
        <f t="shared" si="108"/>
        <v>0</v>
      </c>
      <c r="V152" s="109">
        <f t="shared" si="109"/>
        <v>0</v>
      </c>
      <c r="W152" s="62"/>
      <c r="X152" s="78">
        <f t="shared" si="90"/>
        <v>3.125E-2</v>
      </c>
      <c r="Y152" s="73">
        <f t="shared" si="110"/>
        <v>0</v>
      </c>
      <c r="Z152" s="74">
        <f t="shared" si="111"/>
        <v>0.29166666666666669</v>
      </c>
      <c r="AA152" s="75">
        <f t="shared" si="112"/>
        <v>0</v>
      </c>
      <c r="AB152" s="63" t="str">
        <f t="shared" si="113"/>
        <v/>
      </c>
      <c r="AC152" s="148">
        <f t="shared" si="91"/>
        <v>0</v>
      </c>
      <c r="AD152" s="107" t="str">
        <f t="shared" si="92"/>
        <v/>
      </c>
      <c r="AE152" s="180">
        <f t="shared" si="114"/>
        <v>0</v>
      </c>
      <c r="AF152" s="73"/>
      <c r="AG152" s="525"/>
      <c r="AH152" s="73"/>
      <c r="AI152" s="73" t="str">
        <f t="shared" si="125"/>
        <v/>
      </c>
      <c r="AJ152" s="64">
        <f t="shared" si="93"/>
        <v>0</v>
      </c>
      <c r="AK152" s="64">
        <f t="shared" si="94"/>
        <v>0</v>
      </c>
      <c r="AL152" s="64" t="str">
        <f t="shared" si="95"/>
        <v/>
      </c>
      <c r="AM152">
        <f t="shared" si="96"/>
        <v>3</v>
      </c>
      <c r="AN152" s="85">
        <f>SUM($AD$6:AD152)</f>
        <v>0</v>
      </c>
      <c r="AO152" s="85">
        <f t="shared" ca="1" si="115"/>
        <v>0</v>
      </c>
      <c r="AP152" s="89">
        <f t="shared" si="116"/>
        <v>0</v>
      </c>
      <c r="AQ152" s="89">
        <f t="shared" si="117"/>
        <v>0</v>
      </c>
      <c r="AR152" s="89">
        <f t="shared" si="118"/>
        <v>0</v>
      </c>
      <c r="AS152" s="88">
        <f t="shared" si="119"/>
        <v>30</v>
      </c>
      <c r="AT152" s="88">
        <f t="shared" ca="1" si="120"/>
        <v>30</v>
      </c>
      <c r="AU152" s="98">
        <f t="shared" si="121"/>
        <v>0</v>
      </c>
      <c r="AV152" s="88">
        <f t="shared" si="122"/>
        <v>0</v>
      </c>
      <c r="AW152" t="b">
        <f>OR((F152&gt;0),(NOT(ISBLANK(H152))),SUM(H152:H$373),SUM(G152:G$373))</f>
        <v>0</v>
      </c>
      <c r="AX152" t="b">
        <f t="shared" ca="1" si="97"/>
        <v>0</v>
      </c>
      <c r="AY152" s="519">
        <f t="shared" si="123"/>
        <v>-0.29166666666666669</v>
      </c>
      <c r="AZ152" s="180">
        <f>SUM(AY$5:AY152)</f>
        <v>-29.750000000000043</v>
      </c>
      <c r="BA152" s="567"/>
      <c r="BB152" s="567">
        <f t="shared" si="98"/>
        <v>0</v>
      </c>
      <c r="BC152" s="567"/>
    </row>
    <row r="153" spans="1:55" ht="15.75">
      <c r="A153" s="260">
        <f t="shared" si="124"/>
        <v>44981</v>
      </c>
      <c r="B153" s="261">
        <f t="shared" si="99"/>
        <v>44981</v>
      </c>
      <c r="C153" s="262">
        <f>IF(A153="","",NumberOfWeek(A153))</f>
        <v>8</v>
      </c>
      <c r="D153" s="263">
        <f t="shared" si="100"/>
        <v>44957</v>
      </c>
      <c r="E153" s="273" t="str">
        <f t="shared" si="101"/>
        <v/>
      </c>
      <c r="F153" s="5"/>
      <c r="G153" s="6" t="str">
        <f t="shared" si="86"/>
        <v/>
      </c>
      <c r="H153" s="7"/>
      <c r="I153" s="7">
        <f t="shared" si="102"/>
        <v>0</v>
      </c>
      <c r="J153" s="76">
        <f t="shared" si="103"/>
        <v>0</v>
      </c>
      <c r="K153" s="7"/>
      <c r="L153" s="7">
        <f t="shared" si="104"/>
        <v>0</v>
      </c>
      <c r="M153" s="76">
        <f t="shared" si="87"/>
        <v>0</v>
      </c>
      <c r="N153" s="76"/>
      <c r="O153" s="76">
        <f t="shared" si="88"/>
        <v>0</v>
      </c>
      <c r="P153" s="76"/>
      <c r="Q153" s="76">
        <f t="shared" si="89"/>
        <v>0</v>
      </c>
      <c r="R153" s="76">
        <f t="shared" si="105"/>
        <v>0</v>
      </c>
      <c r="S153" s="76">
        <f t="shared" si="106"/>
        <v>0</v>
      </c>
      <c r="T153" s="76">
        <f t="shared" si="107"/>
        <v>0</v>
      </c>
      <c r="U153" s="76">
        <f t="shared" si="108"/>
        <v>0</v>
      </c>
      <c r="V153" s="109">
        <f t="shared" si="109"/>
        <v>0</v>
      </c>
      <c r="W153" s="62"/>
      <c r="X153" s="78">
        <f t="shared" si="90"/>
        <v>3.125E-2</v>
      </c>
      <c r="Y153" s="73">
        <f t="shared" si="110"/>
        <v>0</v>
      </c>
      <c r="Z153" s="74">
        <f t="shared" si="111"/>
        <v>0.29166666666666669</v>
      </c>
      <c r="AA153" s="75">
        <f t="shared" si="112"/>
        <v>0</v>
      </c>
      <c r="AB153" s="63" t="str">
        <f t="shared" si="113"/>
        <v/>
      </c>
      <c r="AC153" s="148">
        <f t="shared" si="91"/>
        <v>0</v>
      </c>
      <c r="AD153" s="107" t="str">
        <f t="shared" si="92"/>
        <v/>
      </c>
      <c r="AE153" s="180">
        <f t="shared" si="114"/>
        <v>0</v>
      </c>
      <c r="AF153" s="73"/>
      <c r="AG153" s="525"/>
      <c r="AH153" s="73"/>
      <c r="AI153" s="73" t="str">
        <f t="shared" si="125"/>
        <v/>
      </c>
      <c r="AJ153" s="64">
        <f t="shared" si="93"/>
        <v>0</v>
      </c>
      <c r="AK153" s="64">
        <f t="shared" si="94"/>
        <v>0</v>
      </c>
      <c r="AL153" s="64" t="str">
        <f t="shared" si="95"/>
        <v/>
      </c>
      <c r="AM153">
        <f t="shared" si="96"/>
        <v>4</v>
      </c>
      <c r="AN153" s="85">
        <f>SUM($AD$6:AD153)</f>
        <v>0</v>
      </c>
      <c r="AO153" s="85">
        <f t="shared" ca="1" si="115"/>
        <v>0</v>
      </c>
      <c r="AP153" s="89">
        <f t="shared" si="116"/>
        <v>0</v>
      </c>
      <c r="AQ153" s="89">
        <f t="shared" si="117"/>
        <v>0</v>
      </c>
      <c r="AR153" s="89">
        <f t="shared" si="118"/>
        <v>0</v>
      </c>
      <c r="AS153" s="88">
        <f t="shared" si="119"/>
        <v>30</v>
      </c>
      <c r="AT153" s="88">
        <f t="shared" ca="1" si="120"/>
        <v>30</v>
      </c>
      <c r="AU153" s="98">
        <f t="shared" si="121"/>
        <v>0</v>
      </c>
      <c r="AV153" s="88">
        <f t="shared" si="122"/>
        <v>0</v>
      </c>
      <c r="AW153" t="b">
        <f>OR((F153&gt;0),(NOT(ISBLANK(H153))),SUM(H153:H$373),SUM(G153:G$373))</f>
        <v>0</v>
      </c>
      <c r="AX153" t="b">
        <f t="shared" ca="1" si="97"/>
        <v>0</v>
      </c>
      <c r="AY153" s="519">
        <f t="shared" si="123"/>
        <v>-0.29166666666666669</v>
      </c>
      <c r="AZ153" s="180">
        <f>SUM(AY$5:AY153)</f>
        <v>-30.04166666666671</v>
      </c>
      <c r="BA153" s="567"/>
      <c r="BB153" s="567">
        <f t="shared" si="98"/>
        <v>0</v>
      </c>
      <c r="BC153" s="567"/>
    </row>
    <row r="154" spans="1:55" ht="15.75">
      <c r="A154" s="260">
        <f t="shared" si="124"/>
        <v>44982</v>
      </c>
      <c r="B154" s="261">
        <f t="shared" si="99"/>
        <v>44982</v>
      </c>
      <c r="C154" s="262">
        <f>IF(A154="","",NumberOfWeek(A154))</f>
        <v>8</v>
      </c>
      <c r="D154" s="263">
        <f t="shared" si="100"/>
        <v>44957</v>
      </c>
      <c r="E154" s="273" t="str">
        <f t="shared" si="101"/>
        <v/>
      </c>
      <c r="F154" s="5"/>
      <c r="G154" s="6" t="str">
        <f t="shared" si="86"/>
        <v/>
      </c>
      <c r="H154" s="7"/>
      <c r="I154" s="7">
        <f t="shared" si="102"/>
        <v>0</v>
      </c>
      <c r="J154" s="76">
        <f t="shared" si="103"/>
        <v>0</v>
      </c>
      <c r="K154" s="7"/>
      <c r="L154" s="7">
        <f t="shared" si="104"/>
        <v>0</v>
      </c>
      <c r="M154" s="76">
        <f t="shared" si="87"/>
        <v>0</v>
      </c>
      <c r="N154" s="76"/>
      <c r="O154" s="76">
        <f t="shared" si="88"/>
        <v>0</v>
      </c>
      <c r="P154" s="76"/>
      <c r="Q154" s="76">
        <f t="shared" si="89"/>
        <v>0</v>
      </c>
      <c r="R154" s="76">
        <f t="shared" si="105"/>
        <v>0</v>
      </c>
      <c r="S154" s="76">
        <f t="shared" si="106"/>
        <v>0</v>
      </c>
      <c r="T154" s="76">
        <f t="shared" si="107"/>
        <v>0</v>
      </c>
      <c r="U154" s="76">
        <f t="shared" si="108"/>
        <v>0</v>
      </c>
      <c r="V154" s="109">
        <f t="shared" si="109"/>
        <v>0</v>
      </c>
      <c r="W154" s="62"/>
      <c r="X154" s="78">
        <f t="shared" si="90"/>
        <v>3.125E-2</v>
      </c>
      <c r="Y154" s="73">
        <f t="shared" si="110"/>
        <v>0</v>
      </c>
      <c r="Z154" s="74">
        <f t="shared" si="111"/>
        <v>0.29166666666666669</v>
      </c>
      <c r="AA154" s="75">
        <f t="shared" si="112"/>
        <v>0</v>
      </c>
      <c r="AB154" s="63" t="str">
        <f t="shared" si="113"/>
        <v/>
      </c>
      <c r="AC154" s="148">
        <f t="shared" si="91"/>
        <v>0</v>
      </c>
      <c r="AD154" s="107" t="str">
        <f t="shared" si="92"/>
        <v/>
      </c>
      <c r="AE154" s="180">
        <f t="shared" si="114"/>
        <v>0</v>
      </c>
      <c r="AF154" s="73"/>
      <c r="AG154" s="525"/>
      <c r="AH154" s="73"/>
      <c r="AI154" s="73" t="str">
        <f t="shared" si="125"/>
        <v/>
      </c>
      <c r="AJ154" s="64">
        <f t="shared" si="93"/>
        <v>0</v>
      </c>
      <c r="AK154" s="64">
        <f t="shared" si="94"/>
        <v>0</v>
      </c>
      <c r="AL154" s="64" t="str">
        <f t="shared" si="95"/>
        <v/>
      </c>
      <c r="AM154">
        <f t="shared" si="96"/>
        <v>5</v>
      </c>
      <c r="AN154" s="85">
        <f>SUM($AD$6:AD154)</f>
        <v>0</v>
      </c>
      <c r="AO154" s="85">
        <f t="shared" ca="1" si="115"/>
        <v>0</v>
      </c>
      <c r="AP154" s="89">
        <f t="shared" si="116"/>
        <v>0</v>
      </c>
      <c r="AQ154" s="89">
        <f t="shared" si="117"/>
        <v>0</v>
      </c>
      <c r="AR154" s="89">
        <f t="shared" si="118"/>
        <v>0</v>
      </c>
      <c r="AS154" s="88">
        <f t="shared" si="119"/>
        <v>30</v>
      </c>
      <c r="AT154" s="88">
        <f t="shared" ca="1" si="120"/>
        <v>30</v>
      </c>
      <c r="AU154" s="98">
        <f t="shared" si="121"/>
        <v>0</v>
      </c>
      <c r="AV154" s="88">
        <f t="shared" si="122"/>
        <v>0</v>
      </c>
      <c r="AW154" t="b">
        <f>OR((F154&gt;0),(NOT(ISBLANK(H154))),SUM(H154:H$373),SUM(G154:G$373))</f>
        <v>0</v>
      </c>
      <c r="AX154" t="b">
        <f t="shared" ca="1" si="97"/>
        <v>0</v>
      </c>
      <c r="AY154" s="519">
        <f t="shared" si="123"/>
        <v>-0.29166666666666669</v>
      </c>
      <c r="AZ154" s="180">
        <f>SUM(AY$5:AY154)</f>
        <v>-30.333333333333378</v>
      </c>
      <c r="BA154" s="567"/>
      <c r="BB154" s="567">
        <f t="shared" si="98"/>
        <v>0</v>
      </c>
      <c r="BC154" s="567"/>
    </row>
    <row r="155" spans="1:55" ht="15.75">
      <c r="A155" s="260">
        <f t="shared" si="124"/>
        <v>44983</v>
      </c>
      <c r="B155" s="261">
        <f t="shared" si="99"/>
        <v>44983</v>
      </c>
      <c r="C155" s="262">
        <f>IF(A155="","",NumberOfWeek(A155))</f>
        <v>8</v>
      </c>
      <c r="D155" s="263">
        <f t="shared" si="100"/>
        <v>44957</v>
      </c>
      <c r="E155" s="273" t="str">
        <f t="shared" si="101"/>
        <v/>
      </c>
      <c r="F155" s="5"/>
      <c r="G155" s="6" t="str">
        <f t="shared" si="86"/>
        <v/>
      </c>
      <c r="H155" s="7"/>
      <c r="I155" s="7">
        <f t="shared" si="102"/>
        <v>0</v>
      </c>
      <c r="J155" s="76">
        <f t="shared" si="103"/>
        <v>0</v>
      </c>
      <c r="K155" s="7"/>
      <c r="L155" s="7">
        <f t="shared" si="104"/>
        <v>0</v>
      </c>
      <c r="M155" s="76">
        <f t="shared" si="87"/>
        <v>0</v>
      </c>
      <c r="N155" s="76"/>
      <c r="O155" s="76">
        <f t="shared" si="88"/>
        <v>0</v>
      </c>
      <c r="P155" s="76"/>
      <c r="Q155" s="76">
        <f t="shared" si="89"/>
        <v>0</v>
      </c>
      <c r="R155" s="76">
        <f t="shared" si="105"/>
        <v>0</v>
      </c>
      <c r="S155" s="76">
        <f t="shared" si="106"/>
        <v>0</v>
      </c>
      <c r="T155" s="76">
        <f t="shared" si="107"/>
        <v>0</v>
      </c>
      <c r="U155" s="76">
        <f t="shared" si="108"/>
        <v>0</v>
      </c>
      <c r="V155" s="109">
        <f t="shared" si="109"/>
        <v>0</v>
      </c>
      <c r="W155" s="62"/>
      <c r="X155" s="78">
        <f t="shared" si="90"/>
        <v>3.125E-2</v>
      </c>
      <c r="Y155" s="73">
        <f t="shared" si="110"/>
        <v>0</v>
      </c>
      <c r="Z155" s="74">
        <f t="shared" si="111"/>
        <v>0</v>
      </c>
      <c r="AA155" s="75">
        <f t="shared" si="112"/>
        <v>0</v>
      </c>
      <c r="AB155" s="63" t="str">
        <f t="shared" si="113"/>
        <v/>
      </c>
      <c r="AC155" s="148">
        <f t="shared" si="91"/>
        <v>0</v>
      </c>
      <c r="AD155" s="107" t="str">
        <f t="shared" si="92"/>
        <v/>
      </c>
      <c r="AE155" s="180">
        <f t="shared" si="114"/>
        <v>0</v>
      </c>
      <c r="AF155" s="73"/>
      <c r="AG155" s="525"/>
      <c r="AH155" s="73"/>
      <c r="AI155" s="73" t="str">
        <f t="shared" si="125"/>
        <v/>
      </c>
      <c r="AJ155" s="64">
        <f t="shared" si="93"/>
        <v>0</v>
      </c>
      <c r="AK155" s="64">
        <f t="shared" si="94"/>
        <v>0</v>
      </c>
      <c r="AL155" s="64" t="str">
        <f t="shared" si="95"/>
        <v/>
      </c>
      <c r="AM155">
        <f t="shared" si="96"/>
        <v>6</v>
      </c>
      <c r="AN155" s="85">
        <f>SUM($AD$6:AD155)</f>
        <v>0</v>
      </c>
      <c r="AO155" s="85">
        <f t="shared" ca="1" si="115"/>
        <v>0</v>
      </c>
      <c r="AP155" s="89">
        <f t="shared" si="116"/>
        <v>0</v>
      </c>
      <c r="AQ155" s="89">
        <f t="shared" si="117"/>
        <v>0</v>
      </c>
      <c r="AR155" s="89">
        <f t="shared" si="118"/>
        <v>0</v>
      </c>
      <c r="AS155" s="88">
        <f t="shared" si="119"/>
        <v>30</v>
      </c>
      <c r="AT155" s="88">
        <f t="shared" ca="1" si="120"/>
        <v>30</v>
      </c>
      <c r="AU155" s="98">
        <f t="shared" si="121"/>
        <v>0</v>
      </c>
      <c r="AV155" s="88">
        <f t="shared" si="122"/>
        <v>7</v>
      </c>
      <c r="AW155" t="b">
        <f>OR((F155&gt;0),(NOT(ISBLANK(H155))),SUM(H155:H$373),SUM(G155:G$373))</f>
        <v>0</v>
      </c>
      <c r="AX155" t="b">
        <f t="shared" ca="1" si="97"/>
        <v>1</v>
      </c>
      <c r="AY155" s="519">
        <f t="shared" si="123"/>
        <v>0</v>
      </c>
      <c r="AZ155" s="180">
        <f>SUM(AY$5:AY155)</f>
        <v>-30.333333333333378</v>
      </c>
      <c r="BA155" s="567"/>
      <c r="BB155" s="567">
        <f t="shared" si="98"/>
        <v>0</v>
      </c>
      <c r="BC155" s="567"/>
    </row>
    <row r="156" spans="1:55" ht="15.75">
      <c r="A156" s="260">
        <f t="shared" si="124"/>
        <v>44984</v>
      </c>
      <c r="B156" s="261">
        <f t="shared" si="99"/>
        <v>44984</v>
      </c>
      <c r="C156" s="262">
        <f>IF(A156="","",NumberOfWeek(A156))</f>
        <v>8</v>
      </c>
      <c r="D156" s="263">
        <f t="shared" si="100"/>
        <v>44957</v>
      </c>
      <c r="E156" s="273" t="str">
        <f t="shared" si="101"/>
        <v/>
      </c>
      <c r="F156" s="5"/>
      <c r="G156" s="6" t="str">
        <f t="shared" si="86"/>
        <v/>
      </c>
      <c r="H156" s="7"/>
      <c r="I156" s="7">
        <f t="shared" si="102"/>
        <v>0</v>
      </c>
      <c r="J156" s="76">
        <f t="shared" si="103"/>
        <v>0</v>
      </c>
      <c r="K156" s="7"/>
      <c r="L156" s="7">
        <f t="shared" si="104"/>
        <v>0</v>
      </c>
      <c r="M156" s="76">
        <f t="shared" si="87"/>
        <v>0</v>
      </c>
      <c r="N156" s="76"/>
      <c r="O156" s="76">
        <f t="shared" si="88"/>
        <v>0</v>
      </c>
      <c r="P156" s="76"/>
      <c r="Q156" s="76">
        <f t="shared" si="89"/>
        <v>0</v>
      </c>
      <c r="R156" s="76">
        <f t="shared" si="105"/>
        <v>0</v>
      </c>
      <c r="S156" s="76">
        <f t="shared" si="106"/>
        <v>0</v>
      </c>
      <c r="T156" s="76">
        <f t="shared" si="107"/>
        <v>0</v>
      </c>
      <c r="U156" s="76">
        <f t="shared" si="108"/>
        <v>0</v>
      </c>
      <c r="V156" s="109">
        <f t="shared" si="109"/>
        <v>0</v>
      </c>
      <c r="W156" s="62"/>
      <c r="X156" s="78">
        <f t="shared" si="90"/>
        <v>3.125E-2</v>
      </c>
      <c r="Y156" s="73">
        <f t="shared" si="110"/>
        <v>0</v>
      </c>
      <c r="Z156" s="74">
        <f t="shared" si="111"/>
        <v>0</v>
      </c>
      <c r="AA156" s="75">
        <f t="shared" si="112"/>
        <v>0</v>
      </c>
      <c r="AB156" s="63" t="str">
        <f t="shared" si="113"/>
        <v/>
      </c>
      <c r="AC156" s="148">
        <f t="shared" si="91"/>
        <v>0</v>
      </c>
      <c r="AD156" s="107" t="str">
        <f t="shared" si="92"/>
        <v/>
      </c>
      <c r="AE156" s="180">
        <f t="shared" si="114"/>
        <v>0</v>
      </c>
      <c r="AF156" s="73"/>
      <c r="AG156" s="525"/>
      <c r="AH156" s="73"/>
      <c r="AI156" s="73" t="str">
        <f t="shared" si="125"/>
        <v/>
      </c>
      <c r="AJ156" s="64">
        <f t="shared" si="93"/>
        <v>0</v>
      </c>
      <c r="AK156" s="64">
        <f t="shared" si="94"/>
        <v>0</v>
      </c>
      <c r="AL156" s="64" t="str">
        <f t="shared" si="95"/>
        <v/>
      </c>
      <c r="AM156">
        <f t="shared" si="96"/>
        <v>7</v>
      </c>
      <c r="AN156" s="85">
        <f>SUM($AD$6:AD156)</f>
        <v>0</v>
      </c>
      <c r="AO156" s="85">
        <f t="shared" ca="1" si="115"/>
        <v>0</v>
      </c>
      <c r="AP156" s="89">
        <f t="shared" si="116"/>
        <v>0</v>
      </c>
      <c r="AQ156" s="89">
        <f t="shared" si="117"/>
        <v>0</v>
      </c>
      <c r="AR156" s="89">
        <f t="shared" si="118"/>
        <v>0</v>
      </c>
      <c r="AS156" s="88">
        <f t="shared" si="119"/>
        <v>30</v>
      </c>
      <c r="AT156" s="88">
        <f t="shared" ca="1" si="120"/>
        <v>30</v>
      </c>
      <c r="AU156" s="98">
        <f t="shared" si="121"/>
        <v>0</v>
      </c>
      <c r="AV156" s="88">
        <f t="shared" si="122"/>
        <v>7</v>
      </c>
      <c r="AW156" t="b">
        <f>OR((F156&gt;0),(NOT(ISBLANK(H156))),SUM(H156:H$373),SUM(G156:G$373))</f>
        <v>0</v>
      </c>
      <c r="AX156" t="b">
        <f t="shared" ca="1" si="97"/>
        <v>1</v>
      </c>
      <c r="AY156" s="519">
        <f t="shared" si="123"/>
        <v>0</v>
      </c>
      <c r="AZ156" s="180">
        <f>SUM(AY$5:AY156)</f>
        <v>-30.333333333333378</v>
      </c>
      <c r="BA156" s="567"/>
      <c r="BB156" s="567">
        <f t="shared" si="98"/>
        <v>0</v>
      </c>
      <c r="BC156" s="567"/>
    </row>
    <row r="157" spans="1:55" ht="15.75">
      <c r="A157" s="260">
        <f t="shared" si="124"/>
        <v>44985</v>
      </c>
      <c r="B157" s="261">
        <f t="shared" si="99"/>
        <v>44985</v>
      </c>
      <c r="C157" s="262">
        <f>IF(A157="","",NumberOfWeek(A157))</f>
        <v>9</v>
      </c>
      <c r="D157" s="263">
        <f t="shared" si="100"/>
        <v>44985</v>
      </c>
      <c r="E157" s="273" t="str">
        <f t="shared" si="101"/>
        <v/>
      </c>
      <c r="F157" s="5"/>
      <c r="G157" s="6" t="str">
        <f t="shared" si="86"/>
        <v/>
      </c>
      <c r="H157" s="7"/>
      <c r="I157" s="7">
        <f t="shared" si="102"/>
        <v>0</v>
      </c>
      <c r="J157" s="76">
        <f t="shared" si="103"/>
        <v>0</v>
      </c>
      <c r="K157" s="7"/>
      <c r="L157" s="7">
        <f t="shared" si="104"/>
        <v>0</v>
      </c>
      <c r="M157" s="76">
        <f t="shared" si="87"/>
        <v>0</v>
      </c>
      <c r="N157" s="76"/>
      <c r="O157" s="76">
        <f t="shared" si="88"/>
        <v>0</v>
      </c>
      <c r="P157" s="76"/>
      <c r="Q157" s="76">
        <f t="shared" si="89"/>
        <v>0</v>
      </c>
      <c r="R157" s="76">
        <f t="shared" si="105"/>
        <v>0</v>
      </c>
      <c r="S157" s="76">
        <f t="shared" si="106"/>
        <v>0</v>
      </c>
      <c r="T157" s="76">
        <f t="shared" si="107"/>
        <v>0</v>
      </c>
      <c r="U157" s="76">
        <f t="shared" si="108"/>
        <v>0</v>
      </c>
      <c r="V157" s="109">
        <f t="shared" si="109"/>
        <v>0</v>
      </c>
      <c r="W157" s="62"/>
      <c r="X157" s="78">
        <f t="shared" si="90"/>
        <v>3.125E-2</v>
      </c>
      <c r="Y157" s="73">
        <f t="shared" si="110"/>
        <v>0</v>
      </c>
      <c r="Z157" s="74">
        <f t="shared" si="111"/>
        <v>0.29166666666666669</v>
      </c>
      <c r="AA157" s="75">
        <f t="shared" si="112"/>
        <v>0</v>
      </c>
      <c r="AB157" s="63" t="str">
        <f t="shared" si="113"/>
        <v/>
      </c>
      <c r="AC157" s="148">
        <f t="shared" si="91"/>
        <v>0</v>
      </c>
      <c r="AD157" s="107" t="str">
        <f t="shared" si="92"/>
        <v/>
      </c>
      <c r="AE157" s="180">
        <f t="shared" si="114"/>
        <v>0</v>
      </c>
      <c r="AF157" s="73"/>
      <c r="AG157" s="525"/>
      <c r="AH157" s="73"/>
      <c r="AI157" s="73" t="str">
        <f t="shared" si="125"/>
        <v/>
      </c>
      <c r="AJ157" s="64">
        <f t="shared" si="93"/>
        <v>0</v>
      </c>
      <c r="AK157" s="64">
        <f t="shared" si="94"/>
        <v>0</v>
      </c>
      <c r="AL157" s="64" t="str">
        <f t="shared" si="95"/>
        <v/>
      </c>
      <c r="AM157">
        <f t="shared" si="96"/>
        <v>1</v>
      </c>
      <c r="AN157" s="85">
        <f>SUM($AD$6:AD157)</f>
        <v>0</v>
      </c>
      <c r="AO157" s="85">
        <f t="shared" ca="1" si="115"/>
        <v>0</v>
      </c>
      <c r="AP157" s="89">
        <f t="shared" si="116"/>
        <v>0</v>
      </c>
      <c r="AQ157" s="89">
        <f t="shared" si="117"/>
        <v>0</v>
      </c>
      <c r="AR157" s="89">
        <f t="shared" si="118"/>
        <v>0</v>
      </c>
      <c r="AS157" s="88">
        <f t="shared" si="119"/>
        <v>30</v>
      </c>
      <c r="AT157" s="88">
        <f t="shared" ca="1" si="120"/>
        <v>30</v>
      </c>
      <c r="AU157" s="98">
        <f t="shared" si="121"/>
        <v>0</v>
      </c>
      <c r="AV157" s="88">
        <f t="shared" si="122"/>
        <v>0</v>
      </c>
      <c r="AW157" t="b">
        <f>OR((F157&gt;0),(NOT(ISBLANK(H157))),SUM(H157:H$373),SUM(G157:G$373))</f>
        <v>0</v>
      </c>
      <c r="AX157" t="b">
        <f t="shared" ca="1" si="97"/>
        <v>0</v>
      </c>
      <c r="AY157" s="519">
        <f t="shared" si="123"/>
        <v>-0.29166666666666669</v>
      </c>
      <c r="AZ157" s="180">
        <f>SUM(AY$5:AY157)</f>
        <v>-30.625000000000046</v>
      </c>
      <c r="BA157" s="567"/>
      <c r="BB157" s="567">
        <f t="shared" si="98"/>
        <v>0</v>
      </c>
      <c r="BC157" s="567"/>
    </row>
    <row r="158" spans="1:55" ht="15.75">
      <c r="A158" s="260">
        <f t="shared" si="124"/>
        <v>44986</v>
      </c>
      <c r="B158" s="261">
        <f t="shared" si="99"/>
        <v>44986</v>
      </c>
      <c r="C158" s="262">
        <f>IF(A158="","",NumberOfWeek(A158))</f>
        <v>9</v>
      </c>
      <c r="D158" s="263">
        <f t="shared" si="100"/>
        <v>44985</v>
      </c>
      <c r="E158" s="273" t="str">
        <f t="shared" si="101"/>
        <v/>
      </c>
      <c r="F158" s="5"/>
      <c r="G158" s="6" t="str">
        <f t="shared" si="86"/>
        <v/>
      </c>
      <c r="H158" s="7"/>
      <c r="I158" s="7">
        <f t="shared" si="102"/>
        <v>0</v>
      </c>
      <c r="J158" s="76">
        <f t="shared" si="103"/>
        <v>0</v>
      </c>
      <c r="K158" s="7"/>
      <c r="L158" s="7">
        <f t="shared" si="104"/>
        <v>0</v>
      </c>
      <c r="M158" s="76">
        <f t="shared" si="87"/>
        <v>0</v>
      </c>
      <c r="N158" s="76"/>
      <c r="O158" s="76">
        <f t="shared" si="88"/>
        <v>0</v>
      </c>
      <c r="P158" s="76"/>
      <c r="Q158" s="76">
        <f t="shared" si="89"/>
        <v>0</v>
      </c>
      <c r="R158" s="76">
        <f t="shared" si="105"/>
        <v>0</v>
      </c>
      <c r="S158" s="76">
        <f t="shared" si="106"/>
        <v>0</v>
      </c>
      <c r="T158" s="76">
        <f t="shared" si="107"/>
        <v>0</v>
      </c>
      <c r="U158" s="76">
        <f t="shared" si="108"/>
        <v>0</v>
      </c>
      <c r="V158" s="109">
        <f t="shared" si="109"/>
        <v>0</v>
      </c>
      <c r="W158" s="62"/>
      <c r="X158" s="78">
        <f t="shared" si="90"/>
        <v>3.125E-2</v>
      </c>
      <c r="Y158" s="73">
        <f t="shared" si="110"/>
        <v>0</v>
      </c>
      <c r="Z158" s="74">
        <f t="shared" si="111"/>
        <v>0.29166666666666669</v>
      </c>
      <c r="AA158" s="75">
        <f t="shared" si="112"/>
        <v>0</v>
      </c>
      <c r="AB158" s="63" t="str">
        <f t="shared" si="113"/>
        <v/>
      </c>
      <c r="AC158" s="148">
        <f t="shared" si="91"/>
        <v>0</v>
      </c>
      <c r="AD158" s="107" t="str">
        <f t="shared" si="92"/>
        <v/>
      </c>
      <c r="AE158" s="180">
        <f t="shared" si="114"/>
        <v>0</v>
      </c>
      <c r="AF158" s="73"/>
      <c r="AG158" s="525"/>
      <c r="AH158" s="73"/>
      <c r="AI158" s="73" t="str">
        <f t="shared" si="125"/>
        <v/>
      </c>
      <c r="AJ158" s="64">
        <f t="shared" si="93"/>
        <v>0</v>
      </c>
      <c r="AK158" s="64">
        <f t="shared" si="94"/>
        <v>0</v>
      </c>
      <c r="AL158" s="64" t="str">
        <f t="shared" si="95"/>
        <v/>
      </c>
      <c r="AM158">
        <f t="shared" si="96"/>
        <v>2</v>
      </c>
      <c r="AN158" s="85">
        <f>SUM($AD$6:AD158)</f>
        <v>0</v>
      </c>
      <c r="AO158" s="85">
        <f t="shared" ca="1" si="115"/>
        <v>0</v>
      </c>
      <c r="AP158" s="89">
        <f t="shared" si="116"/>
        <v>0</v>
      </c>
      <c r="AQ158" s="89">
        <f t="shared" si="117"/>
        <v>0</v>
      </c>
      <c r="AR158" s="89">
        <f t="shared" si="118"/>
        <v>0</v>
      </c>
      <c r="AS158" s="88">
        <f t="shared" si="119"/>
        <v>30</v>
      </c>
      <c r="AT158" s="88">
        <f t="shared" ca="1" si="120"/>
        <v>30</v>
      </c>
      <c r="AU158" s="98">
        <f t="shared" si="121"/>
        <v>0</v>
      </c>
      <c r="AV158" s="88">
        <f t="shared" si="122"/>
        <v>0</v>
      </c>
      <c r="AW158" t="b">
        <f>OR((F158&gt;0),(NOT(ISBLANK(H158))),SUM(H158:H$373),SUM(G158:G$373))</f>
        <v>0</v>
      </c>
      <c r="AX158" t="b">
        <f t="shared" ca="1" si="97"/>
        <v>0</v>
      </c>
      <c r="AY158" s="519">
        <f t="shared" si="123"/>
        <v>-0.29166666666666669</v>
      </c>
      <c r="AZ158" s="180">
        <f>SUM(AY$5:AY158)</f>
        <v>-30.916666666666714</v>
      </c>
      <c r="BA158" s="567"/>
      <c r="BB158" s="567">
        <f t="shared" si="98"/>
        <v>0</v>
      </c>
      <c r="BC158" s="567"/>
    </row>
    <row r="159" spans="1:55" ht="15.75">
      <c r="A159" s="260">
        <f t="shared" si="124"/>
        <v>44987</v>
      </c>
      <c r="B159" s="261">
        <f t="shared" si="99"/>
        <v>44987</v>
      </c>
      <c r="C159" s="262">
        <f>IF(A159="","",NumberOfWeek(A159))</f>
        <v>9</v>
      </c>
      <c r="D159" s="263">
        <f t="shared" si="100"/>
        <v>44985</v>
      </c>
      <c r="E159" s="273" t="str">
        <f t="shared" si="101"/>
        <v/>
      </c>
      <c r="F159" s="5"/>
      <c r="G159" s="6" t="str">
        <f t="shared" si="86"/>
        <v/>
      </c>
      <c r="H159" s="7"/>
      <c r="I159" s="7">
        <f t="shared" si="102"/>
        <v>0</v>
      </c>
      <c r="J159" s="76">
        <f t="shared" si="103"/>
        <v>0</v>
      </c>
      <c r="K159" s="7"/>
      <c r="L159" s="7">
        <f t="shared" si="104"/>
        <v>0</v>
      </c>
      <c r="M159" s="76">
        <f t="shared" si="87"/>
        <v>0</v>
      </c>
      <c r="N159" s="76"/>
      <c r="O159" s="76">
        <f t="shared" si="88"/>
        <v>0</v>
      </c>
      <c r="P159" s="76"/>
      <c r="Q159" s="76">
        <f t="shared" si="89"/>
        <v>0</v>
      </c>
      <c r="R159" s="76">
        <f t="shared" si="105"/>
        <v>0</v>
      </c>
      <c r="S159" s="76">
        <f t="shared" si="106"/>
        <v>0</v>
      </c>
      <c r="T159" s="76">
        <f t="shared" si="107"/>
        <v>0</v>
      </c>
      <c r="U159" s="76">
        <f t="shared" si="108"/>
        <v>0</v>
      </c>
      <c r="V159" s="109">
        <f t="shared" si="109"/>
        <v>0</v>
      </c>
      <c r="W159" s="62"/>
      <c r="X159" s="78">
        <f t="shared" si="90"/>
        <v>3.125E-2</v>
      </c>
      <c r="Y159" s="73">
        <f t="shared" si="110"/>
        <v>0</v>
      </c>
      <c r="Z159" s="74">
        <f t="shared" si="111"/>
        <v>0.29166666666666669</v>
      </c>
      <c r="AA159" s="75">
        <f t="shared" si="112"/>
        <v>0</v>
      </c>
      <c r="AB159" s="63" t="str">
        <f t="shared" si="113"/>
        <v/>
      </c>
      <c r="AC159" s="148">
        <f t="shared" si="91"/>
        <v>0</v>
      </c>
      <c r="AD159" s="107" t="str">
        <f t="shared" si="92"/>
        <v/>
      </c>
      <c r="AE159" s="180">
        <f t="shared" si="114"/>
        <v>0</v>
      </c>
      <c r="AF159" s="73"/>
      <c r="AG159" s="525"/>
      <c r="AH159" s="73"/>
      <c r="AI159" s="73" t="str">
        <f t="shared" si="125"/>
        <v/>
      </c>
      <c r="AJ159" s="64">
        <f t="shared" si="93"/>
        <v>0</v>
      </c>
      <c r="AK159" s="64">
        <f t="shared" si="94"/>
        <v>0</v>
      </c>
      <c r="AL159" s="64" t="str">
        <f t="shared" si="95"/>
        <v/>
      </c>
      <c r="AM159">
        <f t="shared" si="96"/>
        <v>3</v>
      </c>
      <c r="AN159" s="85">
        <f>SUM($AD$6:AD159)</f>
        <v>0</v>
      </c>
      <c r="AO159" s="85">
        <f t="shared" ca="1" si="115"/>
        <v>0</v>
      </c>
      <c r="AP159" s="89">
        <f t="shared" si="116"/>
        <v>0</v>
      </c>
      <c r="AQ159" s="89">
        <f t="shared" si="117"/>
        <v>0</v>
      </c>
      <c r="AR159" s="89">
        <f t="shared" si="118"/>
        <v>0</v>
      </c>
      <c r="AS159" s="88">
        <f t="shared" si="119"/>
        <v>30</v>
      </c>
      <c r="AT159" s="88">
        <f t="shared" ca="1" si="120"/>
        <v>30</v>
      </c>
      <c r="AU159" s="98">
        <f t="shared" si="121"/>
        <v>0</v>
      </c>
      <c r="AV159" s="88">
        <f t="shared" si="122"/>
        <v>0</v>
      </c>
      <c r="AW159" t="b">
        <f>OR((F159&gt;0),(NOT(ISBLANK(H159))),SUM(H159:H$373),SUM(G159:G$373))</f>
        <v>0</v>
      </c>
      <c r="AX159" t="b">
        <f t="shared" ca="1" si="97"/>
        <v>0</v>
      </c>
      <c r="AY159" s="519">
        <f t="shared" si="123"/>
        <v>-0.29166666666666669</v>
      </c>
      <c r="AZ159" s="180">
        <f>SUM(AY$5:AY159)</f>
        <v>-31.208333333333382</v>
      </c>
      <c r="BA159" s="567"/>
      <c r="BB159" s="567">
        <f t="shared" si="98"/>
        <v>0</v>
      </c>
      <c r="BC159" s="567"/>
    </row>
    <row r="160" spans="1:55" ht="15.75">
      <c r="A160" s="260">
        <f t="shared" si="124"/>
        <v>44988</v>
      </c>
      <c r="B160" s="261">
        <f t="shared" si="99"/>
        <v>44988</v>
      </c>
      <c r="C160" s="262">
        <f>IF(A160="","",NumberOfWeek(A160))</f>
        <v>9</v>
      </c>
      <c r="D160" s="263">
        <f t="shared" si="100"/>
        <v>44985</v>
      </c>
      <c r="E160" s="273" t="str">
        <f t="shared" si="101"/>
        <v/>
      </c>
      <c r="F160" s="5"/>
      <c r="G160" s="6" t="str">
        <f t="shared" si="86"/>
        <v/>
      </c>
      <c r="H160" s="7"/>
      <c r="I160" s="7">
        <f t="shared" si="102"/>
        <v>0</v>
      </c>
      <c r="J160" s="76">
        <f t="shared" si="103"/>
        <v>0</v>
      </c>
      <c r="K160" s="7"/>
      <c r="L160" s="7">
        <f t="shared" si="104"/>
        <v>0</v>
      </c>
      <c r="M160" s="76">
        <f t="shared" si="87"/>
        <v>0</v>
      </c>
      <c r="N160" s="76"/>
      <c r="O160" s="76">
        <f t="shared" si="88"/>
        <v>0</v>
      </c>
      <c r="P160" s="76"/>
      <c r="Q160" s="76">
        <f t="shared" si="89"/>
        <v>0</v>
      </c>
      <c r="R160" s="76">
        <f t="shared" si="105"/>
        <v>0</v>
      </c>
      <c r="S160" s="76">
        <f t="shared" si="106"/>
        <v>0</v>
      </c>
      <c r="T160" s="76">
        <f t="shared" si="107"/>
        <v>0</v>
      </c>
      <c r="U160" s="76">
        <f t="shared" si="108"/>
        <v>0</v>
      </c>
      <c r="V160" s="109">
        <f t="shared" si="109"/>
        <v>0</v>
      </c>
      <c r="W160" s="62"/>
      <c r="X160" s="78">
        <f t="shared" si="90"/>
        <v>3.125E-2</v>
      </c>
      <c r="Y160" s="73">
        <f t="shared" si="110"/>
        <v>0</v>
      </c>
      <c r="Z160" s="74">
        <f t="shared" si="111"/>
        <v>0.29166666666666669</v>
      </c>
      <c r="AA160" s="75">
        <f t="shared" si="112"/>
        <v>0</v>
      </c>
      <c r="AB160" s="63" t="str">
        <f t="shared" si="113"/>
        <v/>
      </c>
      <c r="AC160" s="148">
        <f t="shared" si="91"/>
        <v>0</v>
      </c>
      <c r="AD160" s="107" t="str">
        <f t="shared" si="92"/>
        <v/>
      </c>
      <c r="AE160" s="180">
        <f t="shared" si="114"/>
        <v>0</v>
      </c>
      <c r="AF160" s="73"/>
      <c r="AG160" s="525"/>
      <c r="AH160" s="73"/>
      <c r="AI160" s="73" t="str">
        <f t="shared" si="125"/>
        <v/>
      </c>
      <c r="AJ160" s="64">
        <f t="shared" si="93"/>
        <v>0</v>
      </c>
      <c r="AK160" s="64">
        <f t="shared" si="94"/>
        <v>0</v>
      </c>
      <c r="AL160" s="64" t="str">
        <f t="shared" si="95"/>
        <v/>
      </c>
      <c r="AM160">
        <f t="shared" si="96"/>
        <v>4</v>
      </c>
      <c r="AN160" s="85">
        <f>SUM($AD$6:AD160)</f>
        <v>0</v>
      </c>
      <c r="AO160" s="85">
        <f t="shared" ca="1" si="115"/>
        <v>0</v>
      </c>
      <c r="AP160" s="89">
        <f t="shared" si="116"/>
        <v>0</v>
      </c>
      <c r="AQ160" s="89">
        <f t="shared" si="117"/>
        <v>0</v>
      </c>
      <c r="AR160" s="89">
        <f t="shared" si="118"/>
        <v>0</v>
      </c>
      <c r="AS160" s="88">
        <f t="shared" si="119"/>
        <v>30</v>
      </c>
      <c r="AT160" s="88">
        <f t="shared" ca="1" si="120"/>
        <v>30</v>
      </c>
      <c r="AU160" s="98">
        <f t="shared" si="121"/>
        <v>0</v>
      </c>
      <c r="AV160" s="88">
        <f t="shared" si="122"/>
        <v>0</v>
      </c>
      <c r="AW160" t="b">
        <f>OR((F160&gt;0),(NOT(ISBLANK(H160))),SUM(H160:H$373),SUM(G160:G$373))</f>
        <v>0</v>
      </c>
      <c r="AX160" t="b">
        <f t="shared" ca="1" si="97"/>
        <v>0</v>
      </c>
      <c r="AY160" s="519">
        <f t="shared" si="123"/>
        <v>-0.29166666666666669</v>
      </c>
      <c r="AZ160" s="180">
        <f>SUM(AY$5:AY160)</f>
        <v>-31.50000000000005</v>
      </c>
      <c r="BA160" s="567"/>
      <c r="BB160" s="567">
        <f t="shared" si="98"/>
        <v>0</v>
      </c>
      <c r="BC160" s="567"/>
    </row>
    <row r="161" spans="1:55" ht="15.75">
      <c r="A161" s="260">
        <f t="shared" si="124"/>
        <v>44989</v>
      </c>
      <c r="B161" s="261">
        <f t="shared" si="99"/>
        <v>44989</v>
      </c>
      <c r="C161" s="262">
        <f>IF(A161="","",NumberOfWeek(A161))</f>
        <v>9</v>
      </c>
      <c r="D161" s="263">
        <f t="shared" si="100"/>
        <v>44985</v>
      </c>
      <c r="E161" s="273" t="str">
        <f t="shared" si="101"/>
        <v/>
      </c>
      <c r="F161" s="5"/>
      <c r="G161" s="6" t="str">
        <f t="shared" si="86"/>
        <v/>
      </c>
      <c r="H161" s="7"/>
      <c r="I161" s="7">
        <f t="shared" si="102"/>
        <v>0</v>
      </c>
      <c r="J161" s="76">
        <f t="shared" si="103"/>
        <v>0</v>
      </c>
      <c r="K161" s="7"/>
      <c r="L161" s="7">
        <f t="shared" si="104"/>
        <v>0</v>
      </c>
      <c r="M161" s="76">
        <f t="shared" si="87"/>
        <v>0</v>
      </c>
      <c r="N161" s="76"/>
      <c r="O161" s="76">
        <f t="shared" si="88"/>
        <v>0</v>
      </c>
      <c r="P161" s="76"/>
      <c r="Q161" s="76">
        <f t="shared" si="89"/>
        <v>0</v>
      </c>
      <c r="R161" s="76">
        <f t="shared" si="105"/>
        <v>0</v>
      </c>
      <c r="S161" s="76">
        <f t="shared" si="106"/>
        <v>0</v>
      </c>
      <c r="T161" s="76">
        <f t="shared" si="107"/>
        <v>0</v>
      </c>
      <c r="U161" s="76">
        <f t="shared" si="108"/>
        <v>0</v>
      </c>
      <c r="V161" s="109">
        <f t="shared" si="109"/>
        <v>0</v>
      </c>
      <c r="W161" s="62"/>
      <c r="X161" s="78">
        <f t="shared" si="90"/>
        <v>3.125E-2</v>
      </c>
      <c r="Y161" s="73">
        <f t="shared" si="110"/>
        <v>0</v>
      </c>
      <c r="Z161" s="74">
        <f t="shared" si="111"/>
        <v>0.29166666666666669</v>
      </c>
      <c r="AA161" s="75">
        <f t="shared" si="112"/>
        <v>0</v>
      </c>
      <c r="AB161" s="63" t="str">
        <f t="shared" si="113"/>
        <v/>
      </c>
      <c r="AC161" s="148">
        <f t="shared" si="91"/>
        <v>0</v>
      </c>
      <c r="AD161" s="107" t="str">
        <f t="shared" si="92"/>
        <v/>
      </c>
      <c r="AE161" s="180">
        <f t="shared" si="114"/>
        <v>0</v>
      </c>
      <c r="AF161" s="73"/>
      <c r="AG161" s="525"/>
      <c r="AH161" s="73"/>
      <c r="AI161" s="73" t="str">
        <f t="shared" si="125"/>
        <v/>
      </c>
      <c r="AJ161" s="64">
        <f t="shared" si="93"/>
        <v>0</v>
      </c>
      <c r="AK161" s="64">
        <f t="shared" si="94"/>
        <v>0</v>
      </c>
      <c r="AL161" s="64" t="str">
        <f t="shared" si="95"/>
        <v/>
      </c>
      <c r="AM161">
        <f t="shared" si="96"/>
        <v>5</v>
      </c>
      <c r="AN161" s="85">
        <f>SUM($AD$6:AD161)</f>
        <v>0</v>
      </c>
      <c r="AO161" s="85">
        <f t="shared" ca="1" si="115"/>
        <v>0</v>
      </c>
      <c r="AP161" s="89">
        <f t="shared" si="116"/>
        <v>0</v>
      </c>
      <c r="AQ161" s="89">
        <f t="shared" si="117"/>
        <v>0</v>
      </c>
      <c r="AR161" s="89">
        <f t="shared" si="118"/>
        <v>0</v>
      </c>
      <c r="AS161" s="88">
        <f t="shared" si="119"/>
        <v>30</v>
      </c>
      <c r="AT161" s="88">
        <f t="shared" ca="1" si="120"/>
        <v>30</v>
      </c>
      <c r="AU161" s="98">
        <f t="shared" si="121"/>
        <v>0</v>
      </c>
      <c r="AV161" s="88">
        <f t="shared" si="122"/>
        <v>0</v>
      </c>
      <c r="AW161" t="b">
        <f>OR((F161&gt;0),(NOT(ISBLANK(H161))),SUM(H161:H$373),SUM(G161:G$373))</f>
        <v>0</v>
      </c>
      <c r="AX161" t="b">
        <f t="shared" ca="1" si="97"/>
        <v>0</v>
      </c>
      <c r="AY161" s="519">
        <f t="shared" si="123"/>
        <v>-0.29166666666666669</v>
      </c>
      <c r="AZ161" s="180">
        <f>SUM(AY$5:AY161)</f>
        <v>-31.791666666666718</v>
      </c>
      <c r="BA161" s="567"/>
      <c r="BB161" s="567">
        <f t="shared" si="98"/>
        <v>0</v>
      </c>
      <c r="BC161" s="567"/>
    </row>
    <row r="162" spans="1:55" ht="15.75">
      <c r="A162" s="260">
        <f t="shared" si="124"/>
        <v>44990</v>
      </c>
      <c r="B162" s="261">
        <f t="shared" si="99"/>
        <v>44990</v>
      </c>
      <c r="C162" s="262">
        <f>IF(A162="","",NumberOfWeek(A162))</f>
        <v>9</v>
      </c>
      <c r="D162" s="263">
        <f t="shared" si="100"/>
        <v>44985</v>
      </c>
      <c r="E162" s="273" t="str">
        <f t="shared" si="101"/>
        <v/>
      </c>
      <c r="F162" s="5"/>
      <c r="G162" s="6" t="str">
        <f t="shared" si="86"/>
        <v/>
      </c>
      <c r="H162" s="7"/>
      <c r="I162" s="7">
        <f t="shared" si="102"/>
        <v>0</v>
      </c>
      <c r="J162" s="76">
        <f t="shared" si="103"/>
        <v>0</v>
      </c>
      <c r="K162" s="7"/>
      <c r="L162" s="7">
        <f t="shared" si="104"/>
        <v>0</v>
      </c>
      <c r="M162" s="76">
        <f t="shared" si="87"/>
        <v>0</v>
      </c>
      <c r="N162" s="76"/>
      <c r="O162" s="76">
        <f t="shared" si="88"/>
        <v>0</v>
      </c>
      <c r="P162" s="76"/>
      <c r="Q162" s="76">
        <f t="shared" si="89"/>
        <v>0</v>
      </c>
      <c r="R162" s="76">
        <f t="shared" si="105"/>
        <v>0</v>
      </c>
      <c r="S162" s="76">
        <f t="shared" si="106"/>
        <v>0</v>
      </c>
      <c r="T162" s="76">
        <f t="shared" si="107"/>
        <v>0</v>
      </c>
      <c r="U162" s="76">
        <f t="shared" si="108"/>
        <v>0</v>
      </c>
      <c r="V162" s="109">
        <f t="shared" si="109"/>
        <v>0</v>
      </c>
      <c r="W162" s="62"/>
      <c r="X162" s="78">
        <f t="shared" si="90"/>
        <v>3.125E-2</v>
      </c>
      <c r="Y162" s="73">
        <f t="shared" si="110"/>
        <v>0</v>
      </c>
      <c r="Z162" s="74">
        <f t="shared" si="111"/>
        <v>0</v>
      </c>
      <c r="AA162" s="75">
        <f t="shared" si="112"/>
        <v>0</v>
      </c>
      <c r="AB162" s="63" t="str">
        <f t="shared" si="113"/>
        <v/>
      </c>
      <c r="AC162" s="148">
        <f t="shared" si="91"/>
        <v>0</v>
      </c>
      <c r="AD162" s="107" t="str">
        <f t="shared" si="92"/>
        <v/>
      </c>
      <c r="AE162" s="180">
        <f t="shared" si="114"/>
        <v>0</v>
      </c>
      <c r="AF162" s="73"/>
      <c r="AG162" s="525"/>
      <c r="AH162" s="73"/>
      <c r="AI162" s="73" t="str">
        <f t="shared" si="125"/>
        <v/>
      </c>
      <c r="AJ162" s="64">
        <f t="shared" si="93"/>
        <v>0</v>
      </c>
      <c r="AK162" s="64">
        <f t="shared" si="94"/>
        <v>0</v>
      </c>
      <c r="AL162" s="64" t="str">
        <f t="shared" si="95"/>
        <v/>
      </c>
      <c r="AM162">
        <f t="shared" si="96"/>
        <v>6</v>
      </c>
      <c r="AN162" s="85">
        <f>SUM($AD$6:AD162)</f>
        <v>0</v>
      </c>
      <c r="AO162" s="85">
        <f t="shared" ca="1" si="115"/>
        <v>0</v>
      </c>
      <c r="AP162" s="89">
        <f t="shared" si="116"/>
        <v>0</v>
      </c>
      <c r="AQ162" s="89">
        <f t="shared" si="117"/>
        <v>0</v>
      </c>
      <c r="AR162" s="89">
        <f t="shared" si="118"/>
        <v>0</v>
      </c>
      <c r="AS162" s="88">
        <f t="shared" si="119"/>
        <v>30</v>
      </c>
      <c r="AT162" s="88">
        <f t="shared" ca="1" si="120"/>
        <v>30</v>
      </c>
      <c r="AU162" s="98">
        <f t="shared" si="121"/>
        <v>0</v>
      </c>
      <c r="AV162" s="88">
        <f t="shared" si="122"/>
        <v>7</v>
      </c>
      <c r="AW162" t="b">
        <f>OR((F162&gt;0),(NOT(ISBLANK(H162))),SUM(H162:H$373),SUM(G162:G$373))</f>
        <v>0</v>
      </c>
      <c r="AX162" t="b">
        <f t="shared" ca="1" si="97"/>
        <v>1</v>
      </c>
      <c r="AY162" s="519">
        <f t="shared" si="123"/>
        <v>0</v>
      </c>
      <c r="AZ162" s="180">
        <f>SUM(AY$5:AY162)</f>
        <v>-31.791666666666718</v>
      </c>
      <c r="BA162" s="567"/>
      <c r="BB162" s="567">
        <f t="shared" si="98"/>
        <v>0</v>
      </c>
      <c r="BC162" s="567"/>
    </row>
    <row r="163" spans="1:55" ht="15.75">
      <c r="A163" s="260">
        <f t="shared" si="124"/>
        <v>44991</v>
      </c>
      <c r="B163" s="261">
        <f t="shared" si="99"/>
        <v>44991</v>
      </c>
      <c r="C163" s="262">
        <f>IF(A163="","",NumberOfWeek(A163))</f>
        <v>9</v>
      </c>
      <c r="D163" s="263">
        <f t="shared" si="100"/>
        <v>44985</v>
      </c>
      <c r="E163" s="273" t="str">
        <f t="shared" si="101"/>
        <v/>
      </c>
      <c r="F163" s="5"/>
      <c r="G163" s="6" t="str">
        <f t="shared" si="86"/>
        <v/>
      </c>
      <c r="H163" s="7"/>
      <c r="I163" s="7">
        <f t="shared" si="102"/>
        <v>0</v>
      </c>
      <c r="J163" s="76">
        <f t="shared" si="103"/>
        <v>0</v>
      </c>
      <c r="K163" s="7"/>
      <c r="L163" s="7">
        <f t="shared" si="104"/>
        <v>0</v>
      </c>
      <c r="M163" s="76">
        <f t="shared" si="87"/>
        <v>0</v>
      </c>
      <c r="N163" s="76"/>
      <c r="O163" s="76">
        <f t="shared" si="88"/>
        <v>0</v>
      </c>
      <c r="P163" s="76"/>
      <c r="Q163" s="76">
        <f t="shared" si="89"/>
        <v>0</v>
      </c>
      <c r="R163" s="76">
        <f t="shared" si="105"/>
        <v>0</v>
      </c>
      <c r="S163" s="76">
        <f t="shared" si="106"/>
        <v>0</v>
      </c>
      <c r="T163" s="76">
        <f t="shared" si="107"/>
        <v>0</v>
      </c>
      <c r="U163" s="76">
        <f t="shared" si="108"/>
        <v>0</v>
      </c>
      <c r="V163" s="109">
        <f t="shared" si="109"/>
        <v>0</v>
      </c>
      <c r="W163" s="62"/>
      <c r="X163" s="78">
        <f t="shared" si="90"/>
        <v>3.125E-2</v>
      </c>
      <c r="Y163" s="73">
        <f t="shared" si="110"/>
        <v>0</v>
      </c>
      <c r="Z163" s="74">
        <f t="shared" si="111"/>
        <v>0</v>
      </c>
      <c r="AA163" s="75">
        <f t="shared" si="112"/>
        <v>0</v>
      </c>
      <c r="AB163" s="63" t="str">
        <f t="shared" si="113"/>
        <v/>
      </c>
      <c r="AC163" s="148">
        <f t="shared" si="91"/>
        <v>0</v>
      </c>
      <c r="AD163" s="107" t="str">
        <f t="shared" si="92"/>
        <v/>
      </c>
      <c r="AE163" s="180">
        <f t="shared" si="114"/>
        <v>0</v>
      </c>
      <c r="AF163" s="73"/>
      <c r="AG163" s="525"/>
      <c r="AH163" s="73"/>
      <c r="AI163" s="73" t="str">
        <f t="shared" si="125"/>
        <v/>
      </c>
      <c r="AJ163" s="64">
        <f t="shared" si="93"/>
        <v>0</v>
      </c>
      <c r="AK163" s="64">
        <f t="shared" si="94"/>
        <v>0</v>
      </c>
      <c r="AL163" s="64" t="str">
        <f t="shared" si="95"/>
        <v/>
      </c>
      <c r="AM163">
        <f t="shared" si="96"/>
        <v>7</v>
      </c>
      <c r="AN163" s="85">
        <f>SUM($AD$6:AD163)</f>
        <v>0</v>
      </c>
      <c r="AO163" s="85">
        <f t="shared" ca="1" si="115"/>
        <v>0</v>
      </c>
      <c r="AP163" s="89">
        <f t="shared" si="116"/>
        <v>0</v>
      </c>
      <c r="AQ163" s="89">
        <f t="shared" si="117"/>
        <v>0</v>
      </c>
      <c r="AR163" s="89">
        <f t="shared" si="118"/>
        <v>0</v>
      </c>
      <c r="AS163" s="88">
        <f t="shared" si="119"/>
        <v>30</v>
      </c>
      <c r="AT163" s="88">
        <f t="shared" ca="1" si="120"/>
        <v>30</v>
      </c>
      <c r="AU163" s="98">
        <f t="shared" si="121"/>
        <v>0</v>
      </c>
      <c r="AV163" s="88">
        <f t="shared" si="122"/>
        <v>7</v>
      </c>
      <c r="AW163" t="b">
        <f>OR((F163&gt;0),(NOT(ISBLANK(H163))),SUM(H163:H$373),SUM(G163:G$373))</f>
        <v>0</v>
      </c>
      <c r="AX163" t="b">
        <f t="shared" ca="1" si="97"/>
        <v>1</v>
      </c>
      <c r="AY163" s="519">
        <f t="shared" si="123"/>
        <v>0</v>
      </c>
      <c r="AZ163" s="180">
        <f>SUM(AY$5:AY163)</f>
        <v>-31.791666666666718</v>
      </c>
      <c r="BA163" s="567"/>
      <c r="BB163" s="567">
        <f t="shared" si="98"/>
        <v>0</v>
      </c>
      <c r="BC163" s="567"/>
    </row>
    <row r="164" spans="1:55" ht="15.75">
      <c r="A164" s="260">
        <f t="shared" si="124"/>
        <v>44992</v>
      </c>
      <c r="B164" s="261">
        <f t="shared" si="99"/>
        <v>44992</v>
      </c>
      <c r="C164" s="262">
        <f>IF(A164="","",NumberOfWeek(A164))</f>
        <v>10</v>
      </c>
      <c r="D164" s="263">
        <f t="shared" si="100"/>
        <v>44985</v>
      </c>
      <c r="E164" s="273" t="str">
        <f t="shared" si="101"/>
        <v/>
      </c>
      <c r="F164" s="5"/>
      <c r="G164" s="6" t="str">
        <f t="shared" si="86"/>
        <v/>
      </c>
      <c r="H164" s="7"/>
      <c r="I164" s="7">
        <f t="shared" si="102"/>
        <v>0</v>
      </c>
      <c r="J164" s="76">
        <f t="shared" si="103"/>
        <v>0</v>
      </c>
      <c r="K164" s="7"/>
      <c r="L164" s="7">
        <f t="shared" si="104"/>
        <v>0</v>
      </c>
      <c r="M164" s="76">
        <f t="shared" si="87"/>
        <v>0</v>
      </c>
      <c r="N164" s="76"/>
      <c r="O164" s="76">
        <f t="shared" si="88"/>
        <v>0</v>
      </c>
      <c r="P164" s="76"/>
      <c r="Q164" s="76">
        <f t="shared" si="89"/>
        <v>0</v>
      </c>
      <c r="R164" s="76">
        <f t="shared" si="105"/>
        <v>0</v>
      </c>
      <c r="S164" s="76">
        <f t="shared" si="106"/>
        <v>0</v>
      </c>
      <c r="T164" s="76">
        <f t="shared" si="107"/>
        <v>0</v>
      </c>
      <c r="U164" s="76">
        <f t="shared" si="108"/>
        <v>0</v>
      </c>
      <c r="V164" s="109">
        <f t="shared" si="109"/>
        <v>0</v>
      </c>
      <c r="W164" s="62"/>
      <c r="X164" s="78">
        <f t="shared" si="90"/>
        <v>3.125E-2</v>
      </c>
      <c r="Y164" s="73">
        <f t="shared" si="110"/>
        <v>0</v>
      </c>
      <c r="Z164" s="74">
        <f t="shared" si="111"/>
        <v>0.29166666666666669</v>
      </c>
      <c r="AA164" s="75">
        <f t="shared" si="112"/>
        <v>0</v>
      </c>
      <c r="AB164" s="63" t="str">
        <f t="shared" si="113"/>
        <v/>
      </c>
      <c r="AC164" s="148">
        <f t="shared" si="91"/>
        <v>0</v>
      </c>
      <c r="AD164" s="107" t="str">
        <f t="shared" si="92"/>
        <v/>
      </c>
      <c r="AE164" s="180">
        <f t="shared" si="114"/>
        <v>0</v>
      </c>
      <c r="AF164" s="73"/>
      <c r="AG164" s="525"/>
      <c r="AH164" s="73"/>
      <c r="AI164" s="73" t="str">
        <f t="shared" si="125"/>
        <v/>
      </c>
      <c r="AJ164" s="64">
        <f t="shared" si="93"/>
        <v>0</v>
      </c>
      <c r="AK164" s="64">
        <f t="shared" si="94"/>
        <v>0</v>
      </c>
      <c r="AL164" s="64" t="str">
        <f t="shared" si="95"/>
        <v/>
      </c>
      <c r="AM164">
        <f t="shared" si="96"/>
        <v>1</v>
      </c>
      <c r="AN164" s="85">
        <f>SUM($AD$6:AD164)</f>
        <v>0</v>
      </c>
      <c r="AO164" s="85">
        <f t="shared" ca="1" si="115"/>
        <v>0</v>
      </c>
      <c r="AP164" s="89">
        <f t="shared" si="116"/>
        <v>0</v>
      </c>
      <c r="AQ164" s="89">
        <f t="shared" si="117"/>
        <v>0</v>
      </c>
      <c r="AR164" s="89">
        <f t="shared" si="118"/>
        <v>0</v>
      </c>
      <c r="AS164" s="88">
        <f t="shared" si="119"/>
        <v>30</v>
      </c>
      <c r="AT164" s="88">
        <f t="shared" ca="1" si="120"/>
        <v>30</v>
      </c>
      <c r="AU164" s="98">
        <f t="shared" si="121"/>
        <v>0</v>
      </c>
      <c r="AV164" s="88">
        <f t="shared" si="122"/>
        <v>0</v>
      </c>
      <c r="AW164" t="b">
        <f>OR((F164&gt;0),(NOT(ISBLANK(H164))),SUM(H164:H$373),SUM(G164:G$373))</f>
        <v>0</v>
      </c>
      <c r="AX164" t="b">
        <f t="shared" ca="1" si="97"/>
        <v>0</v>
      </c>
      <c r="AY164" s="519">
        <f t="shared" si="123"/>
        <v>-0.29166666666666669</v>
      </c>
      <c r="AZ164" s="180">
        <f>SUM(AY$5:AY164)</f>
        <v>-32.083333333333385</v>
      </c>
      <c r="BA164" s="567"/>
      <c r="BB164" s="567">
        <f t="shared" si="98"/>
        <v>0</v>
      </c>
      <c r="BC164" s="567"/>
    </row>
    <row r="165" spans="1:55" ht="15.75">
      <c r="A165" s="260">
        <f t="shared" si="124"/>
        <v>44993</v>
      </c>
      <c r="B165" s="261">
        <f t="shared" si="99"/>
        <v>44993</v>
      </c>
      <c r="C165" s="262">
        <f>IF(A165="","",NumberOfWeek(A165))</f>
        <v>10</v>
      </c>
      <c r="D165" s="263">
        <f t="shared" si="100"/>
        <v>44985</v>
      </c>
      <c r="E165" s="273" t="str">
        <f t="shared" si="101"/>
        <v/>
      </c>
      <c r="F165" s="5"/>
      <c r="G165" s="6" t="str">
        <f t="shared" si="86"/>
        <v/>
      </c>
      <c r="H165" s="7"/>
      <c r="I165" s="7">
        <f t="shared" si="102"/>
        <v>0</v>
      </c>
      <c r="J165" s="76">
        <f t="shared" si="103"/>
        <v>0</v>
      </c>
      <c r="K165" s="7"/>
      <c r="L165" s="7">
        <f t="shared" si="104"/>
        <v>0</v>
      </c>
      <c r="M165" s="76">
        <f t="shared" si="87"/>
        <v>0</v>
      </c>
      <c r="N165" s="76"/>
      <c r="O165" s="76">
        <f t="shared" si="88"/>
        <v>0</v>
      </c>
      <c r="P165" s="76"/>
      <c r="Q165" s="76">
        <f t="shared" si="89"/>
        <v>0</v>
      </c>
      <c r="R165" s="76">
        <f t="shared" si="105"/>
        <v>0</v>
      </c>
      <c r="S165" s="76">
        <f t="shared" si="106"/>
        <v>0</v>
      </c>
      <c r="T165" s="76">
        <f t="shared" si="107"/>
        <v>0</v>
      </c>
      <c r="U165" s="76">
        <f t="shared" si="108"/>
        <v>0</v>
      </c>
      <c r="V165" s="109">
        <f t="shared" si="109"/>
        <v>0</v>
      </c>
      <c r="W165" s="62"/>
      <c r="X165" s="78">
        <f t="shared" si="90"/>
        <v>3.125E-2</v>
      </c>
      <c r="Y165" s="73">
        <f t="shared" si="110"/>
        <v>0</v>
      </c>
      <c r="Z165" s="74">
        <f t="shared" si="111"/>
        <v>0.29166666666666669</v>
      </c>
      <c r="AA165" s="75">
        <f t="shared" si="112"/>
        <v>0</v>
      </c>
      <c r="AB165" s="63" t="str">
        <f t="shared" si="113"/>
        <v/>
      </c>
      <c r="AC165" s="148">
        <f t="shared" si="91"/>
        <v>0</v>
      </c>
      <c r="AD165" s="107" t="str">
        <f t="shared" si="92"/>
        <v/>
      </c>
      <c r="AE165" s="180">
        <f t="shared" si="114"/>
        <v>0</v>
      </c>
      <c r="AF165" s="73"/>
      <c r="AG165" s="525"/>
      <c r="AH165" s="73"/>
      <c r="AI165" s="73" t="str">
        <f t="shared" si="125"/>
        <v/>
      </c>
      <c r="AJ165" s="64">
        <f t="shared" si="93"/>
        <v>0</v>
      </c>
      <c r="AK165" s="64">
        <f t="shared" si="94"/>
        <v>0</v>
      </c>
      <c r="AL165" s="64" t="str">
        <f t="shared" si="95"/>
        <v/>
      </c>
      <c r="AM165">
        <f t="shared" si="96"/>
        <v>2</v>
      </c>
      <c r="AN165" s="85">
        <f>SUM($AD$6:AD165)</f>
        <v>0</v>
      </c>
      <c r="AO165" s="85">
        <f t="shared" ca="1" si="115"/>
        <v>0</v>
      </c>
      <c r="AP165" s="89">
        <f t="shared" si="116"/>
        <v>0</v>
      </c>
      <c r="AQ165" s="89">
        <f t="shared" si="117"/>
        <v>0</v>
      </c>
      <c r="AR165" s="89">
        <f t="shared" si="118"/>
        <v>0</v>
      </c>
      <c r="AS165" s="88">
        <f t="shared" si="119"/>
        <v>30</v>
      </c>
      <c r="AT165" s="88">
        <f t="shared" ca="1" si="120"/>
        <v>30</v>
      </c>
      <c r="AU165" s="98">
        <f t="shared" si="121"/>
        <v>0</v>
      </c>
      <c r="AV165" s="88">
        <f t="shared" si="122"/>
        <v>0</v>
      </c>
      <c r="AW165" t="b">
        <f>OR((F165&gt;0),(NOT(ISBLANK(H165))),SUM(H165:H$373),SUM(G165:G$373))</f>
        <v>0</v>
      </c>
      <c r="AX165" t="b">
        <f t="shared" ca="1" si="97"/>
        <v>0</v>
      </c>
      <c r="AY165" s="519">
        <f t="shared" si="123"/>
        <v>-0.29166666666666669</v>
      </c>
      <c r="AZ165" s="180">
        <f>SUM(AY$5:AY165)</f>
        <v>-32.37500000000005</v>
      </c>
      <c r="BA165" s="567"/>
      <c r="BB165" s="567">
        <f t="shared" si="98"/>
        <v>0</v>
      </c>
      <c r="BC165" s="567"/>
    </row>
    <row r="166" spans="1:55" ht="15.75">
      <c r="A166" s="260">
        <f t="shared" si="124"/>
        <v>44994</v>
      </c>
      <c r="B166" s="261">
        <f t="shared" si="99"/>
        <v>44994</v>
      </c>
      <c r="C166" s="262">
        <f>IF(A166="","",NumberOfWeek(A166))</f>
        <v>10</v>
      </c>
      <c r="D166" s="263">
        <f t="shared" si="100"/>
        <v>44985</v>
      </c>
      <c r="E166" s="273" t="str">
        <f t="shared" si="101"/>
        <v/>
      </c>
      <c r="F166" s="5"/>
      <c r="G166" s="6" t="str">
        <f t="shared" si="86"/>
        <v/>
      </c>
      <c r="H166" s="7"/>
      <c r="I166" s="7">
        <f t="shared" si="102"/>
        <v>0</v>
      </c>
      <c r="J166" s="76">
        <f t="shared" si="103"/>
        <v>0</v>
      </c>
      <c r="K166" s="7"/>
      <c r="L166" s="7">
        <f t="shared" si="104"/>
        <v>0</v>
      </c>
      <c r="M166" s="76">
        <f t="shared" si="87"/>
        <v>0</v>
      </c>
      <c r="N166" s="76"/>
      <c r="O166" s="76">
        <f t="shared" si="88"/>
        <v>0</v>
      </c>
      <c r="P166" s="76"/>
      <c r="Q166" s="76">
        <f t="shared" si="89"/>
        <v>0</v>
      </c>
      <c r="R166" s="76">
        <f t="shared" si="105"/>
        <v>0</v>
      </c>
      <c r="S166" s="76">
        <f t="shared" si="106"/>
        <v>0</v>
      </c>
      <c r="T166" s="76">
        <f t="shared" si="107"/>
        <v>0</v>
      </c>
      <c r="U166" s="76">
        <f t="shared" si="108"/>
        <v>0</v>
      </c>
      <c r="V166" s="109">
        <f t="shared" si="109"/>
        <v>0</v>
      </c>
      <c r="W166" s="62"/>
      <c r="X166" s="78">
        <f t="shared" si="90"/>
        <v>3.125E-2</v>
      </c>
      <c r="Y166" s="73">
        <f t="shared" si="110"/>
        <v>0</v>
      </c>
      <c r="Z166" s="74">
        <f t="shared" si="111"/>
        <v>0.29166666666666669</v>
      </c>
      <c r="AA166" s="75">
        <f t="shared" si="112"/>
        <v>0</v>
      </c>
      <c r="AB166" s="63" t="str">
        <f t="shared" si="113"/>
        <v/>
      </c>
      <c r="AC166" s="148">
        <f t="shared" si="91"/>
        <v>0</v>
      </c>
      <c r="AD166" s="107" t="str">
        <f t="shared" si="92"/>
        <v/>
      </c>
      <c r="AE166" s="180">
        <f t="shared" si="114"/>
        <v>0</v>
      </c>
      <c r="AF166" s="73"/>
      <c r="AG166" s="525"/>
      <c r="AH166" s="73"/>
      <c r="AI166" s="73" t="str">
        <f t="shared" si="125"/>
        <v/>
      </c>
      <c r="AJ166" s="64">
        <f t="shared" si="93"/>
        <v>0</v>
      </c>
      <c r="AK166" s="64">
        <f t="shared" si="94"/>
        <v>0</v>
      </c>
      <c r="AL166" s="64" t="str">
        <f t="shared" si="95"/>
        <v/>
      </c>
      <c r="AM166">
        <f t="shared" si="96"/>
        <v>3</v>
      </c>
      <c r="AN166" s="85">
        <f>SUM($AD$6:AD166)</f>
        <v>0</v>
      </c>
      <c r="AO166" s="85">
        <f t="shared" ca="1" si="115"/>
        <v>0</v>
      </c>
      <c r="AP166" s="89">
        <f t="shared" si="116"/>
        <v>0</v>
      </c>
      <c r="AQ166" s="89">
        <f t="shared" si="117"/>
        <v>0</v>
      </c>
      <c r="AR166" s="89">
        <f t="shared" si="118"/>
        <v>0</v>
      </c>
      <c r="AS166" s="88">
        <f t="shared" si="119"/>
        <v>30</v>
      </c>
      <c r="AT166" s="88">
        <f t="shared" ca="1" si="120"/>
        <v>30</v>
      </c>
      <c r="AU166" s="98">
        <f t="shared" si="121"/>
        <v>0</v>
      </c>
      <c r="AV166" s="88">
        <f t="shared" si="122"/>
        <v>0</v>
      </c>
      <c r="AW166" t="b">
        <f>OR((F166&gt;0),(NOT(ISBLANK(H166))),SUM(H166:H$373),SUM(G166:G$373))</f>
        <v>0</v>
      </c>
      <c r="AX166" t="b">
        <f t="shared" ca="1" si="97"/>
        <v>0</v>
      </c>
      <c r="AY166" s="519">
        <f t="shared" si="123"/>
        <v>-0.29166666666666669</v>
      </c>
      <c r="AZ166" s="180">
        <f>SUM(AY$5:AY166)</f>
        <v>-32.666666666666714</v>
      </c>
      <c r="BA166" s="567"/>
      <c r="BB166" s="567">
        <f t="shared" si="98"/>
        <v>0</v>
      </c>
      <c r="BC166" s="567"/>
    </row>
    <row r="167" spans="1:55" ht="15.75">
      <c r="A167" s="260">
        <f t="shared" si="124"/>
        <v>44995</v>
      </c>
      <c r="B167" s="261">
        <f t="shared" si="99"/>
        <v>44995</v>
      </c>
      <c r="C167" s="262">
        <f>IF(A167="","",NumberOfWeek(A167))</f>
        <v>10</v>
      </c>
      <c r="D167" s="263">
        <f t="shared" si="100"/>
        <v>44985</v>
      </c>
      <c r="E167" s="273" t="str">
        <f t="shared" si="101"/>
        <v/>
      </c>
      <c r="F167" s="5"/>
      <c r="G167" s="6" t="str">
        <f t="shared" si="86"/>
        <v/>
      </c>
      <c r="H167" s="7"/>
      <c r="I167" s="7">
        <f t="shared" si="102"/>
        <v>0</v>
      </c>
      <c r="J167" s="76">
        <f t="shared" si="103"/>
        <v>0</v>
      </c>
      <c r="K167" s="7"/>
      <c r="L167" s="7">
        <f t="shared" si="104"/>
        <v>0</v>
      </c>
      <c r="M167" s="76">
        <f t="shared" si="87"/>
        <v>0</v>
      </c>
      <c r="N167" s="76"/>
      <c r="O167" s="76">
        <f t="shared" si="88"/>
        <v>0</v>
      </c>
      <c r="P167" s="76"/>
      <c r="Q167" s="76">
        <f t="shared" si="89"/>
        <v>0</v>
      </c>
      <c r="R167" s="76">
        <f t="shared" si="105"/>
        <v>0</v>
      </c>
      <c r="S167" s="76">
        <f t="shared" si="106"/>
        <v>0</v>
      </c>
      <c r="T167" s="76">
        <f t="shared" si="107"/>
        <v>0</v>
      </c>
      <c r="U167" s="76">
        <f t="shared" si="108"/>
        <v>0</v>
      </c>
      <c r="V167" s="109">
        <f t="shared" si="109"/>
        <v>0</v>
      </c>
      <c r="W167" s="62"/>
      <c r="X167" s="78">
        <f t="shared" si="90"/>
        <v>3.125E-2</v>
      </c>
      <c r="Y167" s="73">
        <f t="shared" si="110"/>
        <v>0</v>
      </c>
      <c r="Z167" s="74">
        <f t="shared" si="111"/>
        <v>0.29166666666666669</v>
      </c>
      <c r="AA167" s="75">
        <f t="shared" si="112"/>
        <v>0</v>
      </c>
      <c r="AB167" s="63" t="str">
        <f t="shared" si="113"/>
        <v/>
      </c>
      <c r="AC167" s="148">
        <f t="shared" si="91"/>
        <v>0</v>
      </c>
      <c r="AD167" s="107" t="str">
        <f t="shared" si="92"/>
        <v/>
      </c>
      <c r="AE167" s="180">
        <f t="shared" si="114"/>
        <v>0</v>
      </c>
      <c r="AF167" s="73"/>
      <c r="AG167" s="525"/>
      <c r="AH167" s="73"/>
      <c r="AI167" s="73" t="str">
        <f t="shared" si="125"/>
        <v/>
      </c>
      <c r="AJ167" s="64">
        <f t="shared" si="93"/>
        <v>0</v>
      </c>
      <c r="AK167" s="64">
        <f t="shared" si="94"/>
        <v>0</v>
      </c>
      <c r="AL167" s="64" t="str">
        <f t="shared" si="95"/>
        <v/>
      </c>
      <c r="AM167">
        <f t="shared" si="96"/>
        <v>4</v>
      </c>
      <c r="AN167" s="85">
        <f>SUM($AD$6:AD167)</f>
        <v>0</v>
      </c>
      <c r="AO167" s="85">
        <f t="shared" ca="1" si="115"/>
        <v>0</v>
      </c>
      <c r="AP167" s="89">
        <f t="shared" si="116"/>
        <v>0</v>
      </c>
      <c r="AQ167" s="89">
        <f t="shared" si="117"/>
        <v>0</v>
      </c>
      <c r="AR167" s="89">
        <f t="shared" si="118"/>
        <v>0</v>
      </c>
      <c r="AS167" s="88">
        <f t="shared" si="119"/>
        <v>30</v>
      </c>
      <c r="AT167" s="88">
        <f t="shared" ca="1" si="120"/>
        <v>30</v>
      </c>
      <c r="AU167" s="98">
        <f t="shared" si="121"/>
        <v>0</v>
      </c>
      <c r="AV167" s="88">
        <f t="shared" si="122"/>
        <v>0</v>
      </c>
      <c r="AW167" t="b">
        <f>OR((F167&gt;0),(NOT(ISBLANK(H167))),SUM(H167:H$373),SUM(G167:G$373))</f>
        <v>0</v>
      </c>
      <c r="AX167" t="b">
        <f t="shared" ca="1" si="97"/>
        <v>0</v>
      </c>
      <c r="AY167" s="519">
        <f t="shared" si="123"/>
        <v>-0.29166666666666669</v>
      </c>
      <c r="AZ167" s="180">
        <f>SUM(AY$5:AY167)</f>
        <v>-32.958333333333378</v>
      </c>
      <c r="BA167" s="567"/>
      <c r="BB167" s="567">
        <f t="shared" si="98"/>
        <v>0</v>
      </c>
      <c r="BC167" s="567"/>
    </row>
    <row r="168" spans="1:55" ht="15.75">
      <c r="A168" s="260">
        <f t="shared" si="124"/>
        <v>44996</v>
      </c>
      <c r="B168" s="261">
        <f t="shared" si="99"/>
        <v>44996</v>
      </c>
      <c r="C168" s="262">
        <f>IF(A168="","",NumberOfWeek(A168))</f>
        <v>10</v>
      </c>
      <c r="D168" s="263">
        <f t="shared" si="100"/>
        <v>44985</v>
      </c>
      <c r="E168" s="273" t="str">
        <f t="shared" si="101"/>
        <v/>
      </c>
      <c r="F168" s="5"/>
      <c r="G168" s="6" t="str">
        <f t="shared" si="86"/>
        <v/>
      </c>
      <c r="H168" s="7"/>
      <c r="I168" s="7">
        <f t="shared" si="102"/>
        <v>0</v>
      </c>
      <c r="J168" s="76">
        <f t="shared" si="103"/>
        <v>0</v>
      </c>
      <c r="K168" s="7"/>
      <c r="L168" s="7">
        <f t="shared" si="104"/>
        <v>0</v>
      </c>
      <c r="M168" s="76">
        <f t="shared" si="87"/>
        <v>0</v>
      </c>
      <c r="N168" s="76"/>
      <c r="O168" s="76">
        <f t="shared" si="88"/>
        <v>0</v>
      </c>
      <c r="P168" s="76"/>
      <c r="Q168" s="76">
        <f t="shared" si="89"/>
        <v>0</v>
      </c>
      <c r="R168" s="76">
        <f t="shared" si="105"/>
        <v>0</v>
      </c>
      <c r="S168" s="76">
        <f t="shared" si="106"/>
        <v>0</v>
      </c>
      <c r="T168" s="76">
        <f t="shared" si="107"/>
        <v>0</v>
      </c>
      <c r="U168" s="76">
        <f t="shared" si="108"/>
        <v>0</v>
      </c>
      <c r="V168" s="109">
        <f t="shared" si="109"/>
        <v>0</v>
      </c>
      <c r="W168" s="62"/>
      <c r="X168" s="78">
        <f t="shared" si="90"/>
        <v>3.125E-2</v>
      </c>
      <c r="Y168" s="73">
        <f t="shared" si="110"/>
        <v>0</v>
      </c>
      <c r="Z168" s="74">
        <f t="shared" si="111"/>
        <v>0.29166666666666669</v>
      </c>
      <c r="AA168" s="75">
        <f t="shared" si="112"/>
        <v>0</v>
      </c>
      <c r="AB168" s="63" t="str">
        <f t="shared" si="113"/>
        <v/>
      </c>
      <c r="AC168" s="148">
        <f t="shared" si="91"/>
        <v>0</v>
      </c>
      <c r="AD168" s="107" t="str">
        <f t="shared" si="92"/>
        <v/>
      </c>
      <c r="AE168" s="180">
        <f t="shared" si="114"/>
        <v>0</v>
      </c>
      <c r="AF168" s="73"/>
      <c r="AG168" s="525"/>
      <c r="AH168" s="73"/>
      <c r="AI168" s="73" t="str">
        <f t="shared" si="125"/>
        <v/>
      </c>
      <c r="AJ168" s="64">
        <f t="shared" si="93"/>
        <v>0</v>
      </c>
      <c r="AK168" s="64">
        <f t="shared" si="94"/>
        <v>0</v>
      </c>
      <c r="AL168" s="64" t="str">
        <f t="shared" si="95"/>
        <v/>
      </c>
      <c r="AM168">
        <f t="shared" si="96"/>
        <v>5</v>
      </c>
      <c r="AN168" s="85">
        <f>SUM($AD$6:AD168)</f>
        <v>0</v>
      </c>
      <c r="AO168" s="85">
        <f t="shared" ca="1" si="115"/>
        <v>0</v>
      </c>
      <c r="AP168" s="89">
        <f t="shared" si="116"/>
        <v>0</v>
      </c>
      <c r="AQ168" s="89">
        <f t="shared" si="117"/>
        <v>0</v>
      </c>
      <c r="AR168" s="89">
        <f t="shared" si="118"/>
        <v>0</v>
      </c>
      <c r="AS168" s="88">
        <f t="shared" si="119"/>
        <v>30</v>
      </c>
      <c r="AT168" s="88">
        <f t="shared" ca="1" si="120"/>
        <v>30</v>
      </c>
      <c r="AU168" s="98">
        <f t="shared" si="121"/>
        <v>0</v>
      </c>
      <c r="AV168" s="88">
        <f t="shared" si="122"/>
        <v>0</v>
      </c>
      <c r="AW168" t="b">
        <f>OR((F168&gt;0),(NOT(ISBLANK(H168))),SUM(H168:H$373),SUM(G168:G$373))</f>
        <v>0</v>
      </c>
      <c r="AX168" t="b">
        <f t="shared" ca="1" si="97"/>
        <v>0</v>
      </c>
      <c r="AY168" s="519">
        <f t="shared" si="123"/>
        <v>-0.29166666666666669</v>
      </c>
      <c r="AZ168" s="180">
        <f>SUM(AY$5:AY168)</f>
        <v>-33.250000000000043</v>
      </c>
      <c r="BA168" s="567"/>
      <c r="BB168" s="567">
        <f t="shared" si="98"/>
        <v>0</v>
      </c>
      <c r="BC168" s="567"/>
    </row>
    <row r="169" spans="1:55" ht="15.75">
      <c r="A169" s="260">
        <f t="shared" si="124"/>
        <v>44997</v>
      </c>
      <c r="B169" s="261">
        <f t="shared" si="99"/>
        <v>44997</v>
      </c>
      <c r="C169" s="262">
        <f>IF(A169="","",NumberOfWeek(A169))</f>
        <v>10</v>
      </c>
      <c r="D169" s="263">
        <f t="shared" si="100"/>
        <v>44985</v>
      </c>
      <c r="E169" s="273" t="str">
        <f t="shared" si="101"/>
        <v/>
      </c>
      <c r="F169" s="5"/>
      <c r="G169" s="6" t="str">
        <f t="shared" si="86"/>
        <v/>
      </c>
      <c r="H169" s="7"/>
      <c r="I169" s="7">
        <f t="shared" si="102"/>
        <v>0</v>
      </c>
      <c r="J169" s="76">
        <f t="shared" si="103"/>
        <v>0</v>
      </c>
      <c r="K169" s="7"/>
      <c r="L169" s="7">
        <f t="shared" si="104"/>
        <v>0</v>
      </c>
      <c r="M169" s="76">
        <f t="shared" si="87"/>
        <v>0</v>
      </c>
      <c r="N169" s="76"/>
      <c r="O169" s="76">
        <f t="shared" si="88"/>
        <v>0</v>
      </c>
      <c r="P169" s="76"/>
      <c r="Q169" s="76">
        <f t="shared" si="89"/>
        <v>0</v>
      </c>
      <c r="R169" s="76">
        <f t="shared" si="105"/>
        <v>0</v>
      </c>
      <c r="S169" s="76">
        <f t="shared" si="106"/>
        <v>0</v>
      </c>
      <c r="T169" s="76">
        <f t="shared" si="107"/>
        <v>0</v>
      </c>
      <c r="U169" s="76">
        <f t="shared" si="108"/>
        <v>0</v>
      </c>
      <c r="V169" s="109">
        <f t="shared" si="109"/>
        <v>0</v>
      </c>
      <c r="W169" s="62"/>
      <c r="X169" s="78">
        <f t="shared" si="90"/>
        <v>3.125E-2</v>
      </c>
      <c r="Y169" s="73">
        <f t="shared" si="110"/>
        <v>0</v>
      </c>
      <c r="Z169" s="74">
        <f t="shared" si="111"/>
        <v>0</v>
      </c>
      <c r="AA169" s="75">
        <f t="shared" si="112"/>
        <v>0</v>
      </c>
      <c r="AB169" s="63" t="str">
        <f t="shared" si="113"/>
        <v/>
      </c>
      <c r="AC169" s="148">
        <f t="shared" si="91"/>
        <v>0</v>
      </c>
      <c r="AD169" s="107" t="str">
        <f t="shared" si="92"/>
        <v/>
      </c>
      <c r="AE169" s="180">
        <f t="shared" si="114"/>
        <v>0</v>
      </c>
      <c r="AF169" s="73"/>
      <c r="AG169" s="525"/>
      <c r="AH169" s="73"/>
      <c r="AI169" s="73" t="str">
        <f t="shared" si="125"/>
        <v/>
      </c>
      <c r="AJ169" s="64">
        <f t="shared" si="93"/>
        <v>0</v>
      </c>
      <c r="AK169" s="64">
        <f t="shared" si="94"/>
        <v>0</v>
      </c>
      <c r="AL169" s="64" t="str">
        <f t="shared" si="95"/>
        <v/>
      </c>
      <c r="AM169">
        <f t="shared" si="96"/>
        <v>6</v>
      </c>
      <c r="AN169" s="85">
        <f>SUM($AD$6:AD169)</f>
        <v>0</v>
      </c>
      <c r="AO169" s="85">
        <f t="shared" ca="1" si="115"/>
        <v>0</v>
      </c>
      <c r="AP169" s="89">
        <f t="shared" si="116"/>
        <v>0</v>
      </c>
      <c r="AQ169" s="89">
        <f t="shared" si="117"/>
        <v>0</v>
      </c>
      <c r="AR169" s="89">
        <f t="shared" si="118"/>
        <v>0</v>
      </c>
      <c r="AS169" s="88">
        <f t="shared" si="119"/>
        <v>30</v>
      </c>
      <c r="AT169" s="88">
        <f t="shared" ca="1" si="120"/>
        <v>30</v>
      </c>
      <c r="AU169" s="98">
        <f t="shared" si="121"/>
        <v>0</v>
      </c>
      <c r="AV169" s="88">
        <f t="shared" si="122"/>
        <v>7</v>
      </c>
      <c r="AW169" t="b">
        <f>OR((F169&gt;0),(NOT(ISBLANK(H169))),SUM(H169:H$373),SUM(G169:G$373))</f>
        <v>0</v>
      </c>
      <c r="AX169" t="b">
        <f t="shared" ca="1" si="97"/>
        <v>1</v>
      </c>
      <c r="AY169" s="519">
        <f t="shared" si="123"/>
        <v>0</v>
      </c>
      <c r="AZ169" s="180">
        <f>SUM(AY$5:AY169)</f>
        <v>-33.250000000000043</v>
      </c>
      <c r="BA169" s="567"/>
      <c r="BB169" s="567">
        <f t="shared" si="98"/>
        <v>0</v>
      </c>
      <c r="BC169" s="567"/>
    </row>
    <row r="170" spans="1:55" ht="15.75">
      <c r="A170" s="260">
        <f t="shared" si="124"/>
        <v>44998</v>
      </c>
      <c r="B170" s="261">
        <f t="shared" si="99"/>
        <v>44998</v>
      </c>
      <c r="C170" s="262">
        <f>IF(A170="","",NumberOfWeek(A170))</f>
        <v>10</v>
      </c>
      <c r="D170" s="263">
        <f t="shared" si="100"/>
        <v>44985</v>
      </c>
      <c r="E170" s="273" t="str">
        <f t="shared" si="101"/>
        <v/>
      </c>
      <c r="F170" s="5"/>
      <c r="G170" s="6" t="str">
        <f t="shared" si="86"/>
        <v/>
      </c>
      <c r="H170" s="7"/>
      <c r="I170" s="7">
        <f t="shared" si="102"/>
        <v>0</v>
      </c>
      <c r="J170" s="76">
        <f t="shared" si="103"/>
        <v>0</v>
      </c>
      <c r="K170" s="7"/>
      <c r="L170" s="7">
        <f t="shared" si="104"/>
        <v>0</v>
      </c>
      <c r="M170" s="76">
        <f t="shared" si="87"/>
        <v>0</v>
      </c>
      <c r="N170" s="76"/>
      <c r="O170" s="76">
        <f t="shared" si="88"/>
        <v>0</v>
      </c>
      <c r="P170" s="76"/>
      <c r="Q170" s="76">
        <f t="shared" si="89"/>
        <v>0</v>
      </c>
      <c r="R170" s="76">
        <f t="shared" si="105"/>
        <v>0</v>
      </c>
      <c r="S170" s="76">
        <f t="shared" si="106"/>
        <v>0</v>
      </c>
      <c r="T170" s="76">
        <f t="shared" si="107"/>
        <v>0</v>
      </c>
      <c r="U170" s="76">
        <f t="shared" si="108"/>
        <v>0</v>
      </c>
      <c r="V170" s="109">
        <f t="shared" si="109"/>
        <v>0</v>
      </c>
      <c r="W170" s="62"/>
      <c r="X170" s="78">
        <f t="shared" si="90"/>
        <v>3.125E-2</v>
      </c>
      <c r="Y170" s="73">
        <f t="shared" si="110"/>
        <v>0</v>
      </c>
      <c r="Z170" s="74">
        <f t="shared" si="111"/>
        <v>0</v>
      </c>
      <c r="AA170" s="75">
        <f t="shared" si="112"/>
        <v>0</v>
      </c>
      <c r="AB170" s="63" t="str">
        <f t="shared" si="113"/>
        <v/>
      </c>
      <c r="AC170" s="148">
        <f t="shared" si="91"/>
        <v>0</v>
      </c>
      <c r="AD170" s="107" t="str">
        <f t="shared" si="92"/>
        <v/>
      </c>
      <c r="AE170" s="180">
        <f t="shared" si="114"/>
        <v>0</v>
      </c>
      <c r="AF170" s="73"/>
      <c r="AG170" s="525"/>
      <c r="AH170" s="73"/>
      <c r="AI170" s="73" t="str">
        <f t="shared" si="125"/>
        <v/>
      </c>
      <c r="AJ170" s="64">
        <f t="shared" si="93"/>
        <v>0</v>
      </c>
      <c r="AK170" s="64">
        <f t="shared" si="94"/>
        <v>0</v>
      </c>
      <c r="AL170" s="64" t="str">
        <f t="shared" si="95"/>
        <v/>
      </c>
      <c r="AM170">
        <f t="shared" si="96"/>
        <v>7</v>
      </c>
      <c r="AN170" s="85">
        <f>SUM($AD$6:AD170)</f>
        <v>0</v>
      </c>
      <c r="AO170" s="85">
        <f t="shared" ca="1" si="115"/>
        <v>0</v>
      </c>
      <c r="AP170" s="89">
        <f t="shared" si="116"/>
        <v>0</v>
      </c>
      <c r="AQ170" s="89">
        <f t="shared" si="117"/>
        <v>0</v>
      </c>
      <c r="AR170" s="89">
        <f t="shared" si="118"/>
        <v>0</v>
      </c>
      <c r="AS170" s="88">
        <f t="shared" si="119"/>
        <v>30</v>
      </c>
      <c r="AT170" s="88">
        <f t="shared" ca="1" si="120"/>
        <v>30</v>
      </c>
      <c r="AU170" s="98">
        <f t="shared" si="121"/>
        <v>0</v>
      </c>
      <c r="AV170" s="88">
        <f t="shared" si="122"/>
        <v>7</v>
      </c>
      <c r="AW170" t="b">
        <f>OR((F170&gt;0),(NOT(ISBLANK(H170))),SUM(H170:H$373),SUM(G170:G$373))</f>
        <v>0</v>
      </c>
      <c r="AX170" t="b">
        <f t="shared" ca="1" si="97"/>
        <v>1</v>
      </c>
      <c r="AY170" s="519">
        <f t="shared" si="123"/>
        <v>0</v>
      </c>
      <c r="AZ170" s="180">
        <f>SUM(AY$5:AY170)</f>
        <v>-33.250000000000043</v>
      </c>
      <c r="BA170" s="567"/>
      <c r="BB170" s="567">
        <f t="shared" si="98"/>
        <v>0</v>
      </c>
      <c r="BC170" s="567"/>
    </row>
    <row r="171" spans="1:55" ht="15.75">
      <c r="A171" s="260">
        <f t="shared" si="124"/>
        <v>44999</v>
      </c>
      <c r="B171" s="261">
        <f t="shared" si="99"/>
        <v>44999</v>
      </c>
      <c r="C171" s="262">
        <f>IF(A171="","",NumberOfWeek(A171))</f>
        <v>11</v>
      </c>
      <c r="D171" s="263">
        <f t="shared" si="100"/>
        <v>44985</v>
      </c>
      <c r="E171" s="273" t="str">
        <f t="shared" si="101"/>
        <v/>
      </c>
      <c r="F171" s="5"/>
      <c r="G171" s="6" t="str">
        <f t="shared" si="86"/>
        <v/>
      </c>
      <c r="H171" s="7"/>
      <c r="I171" s="7">
        <f t="shared" si="102"/>
        <v>0</v>
      </c>
      <c r="J171" s="76">
        <f t="shared" si="103"/>
        <v>0</v>
      </c>
      <c r="K171" s="7"/>
      <c r="L171" s="7">
        <f t="shared" si="104"/>
        <v>0</v>
      </c>
      <c r="M171" s="76">
        <f t="shared" si="87"/>
        <v>0</v>
      </c>
      <c r="N171" s="76"/>
      <c r="O171" s="76">
        <f t="shared" si="88"/>
        <v>0</v>
      </c>
      <c r="P171" s="76"/>
      <c r="Q171" s="76">
        <f t="shared" si="89"/>
        <v>0</v>
      </c>
      <c r="R171" s="76">
        <f t="shared" si="105"/>
        <v>0</v>
      </c>
      <c r="S171" s="76">
        <f t="shared" si="106"/>
        <v>0</v>
      </c>
      <c r="T171" s="76">
        <f t="shared" si="107"/>
        <v>0</v>
      </c>
      <c r="U171" s="76">
        <f t="shared" si="108"/>
        <v>0</v>
      </c>
      <c r="V171" s="109">
        <f t="shared" si="109"/>
        <v>0</v>
      </c>
      <c r="W171" s="62"/>
      <c r="X171" s="78">
        <f t="shared" si="90"/>
        <v>3.125E-2</v>
      </c>
      <c r="Y171" s="73">
        <f t="shared" si="110"/>
        <v>0</v>
      </c>
      <c r="Z171" s="74">
        <f t="shared" si="111"/>
        <v>0.29166666666666669</v>
      </c>
      <c r="AA171" s="75">
        <f t="shared" si="112"/>
        <v>0</v>
      </c>
      <c r="AB171" s="63" t="str">
        <f t="shared" si="113"/>
        <v/>
      </c>
      <c r="AC171" s="148">
        <f t="shared" si="91"/>
        <v>0</v>
      </c>
      <c r="AD171" s="107" t="str">
        <f t="shared" si="92"/>
        <v/>
      </c>
      <c r="AE171" s="180">
        <f t="shared" si="114"/>
        <v>0</v>
      </c>
      <c r="AF171" s="73"/>
      <c r="AG171" s="525"/>
      <c r="AH171" s="73"/>
      <c r="AI171" s="73" t="str">
        <f t="shared" si="125"/>
        <v/>
      </c>
      <c r="AJ171" s="64">
        <f t="shared" si="93"/>
        <v>0</v>
      </c>
      <c r="AK171" s="64">
        <f t="shared" si="94"/>
        <v>0</v>
      </c>
      <c r="AL171" s="64" t="str">
        <f t="shared" si="95"/>
        <v/>
      </c>
      <c r="AM171">
        <f t="shared" si="96"/>
        <v>1</v>
      </c>
      <c r="AN171" s="85">
        <f>SUM($AD$6:AD171)</f>
        <v>0</v>
      </c>
      <c r="AO171" s="85">
        <f t="shared" ca="1" si="115"/>
        <v>0</v>
      </c>
      <c r="AP171" s="89">
        <f t="shared" si="116"/>
        <v>0</v>
      </c>
      <c r="AQ171" s="89">
        <f t="shared" si="117"/>
        <v>0</v>
      </c>
      <c r="AR171" s="89">
        <f t="shared" si="118"/>
        <v>0</v>
      </c>
      <c r="AS171" s="88">
        <f t="shared" si="119"/>
        <v>30</v>
      </c>
      <c r="AT171" s="88">
        <f t="shared" ca="1" si="120"/>
        <v>30</v>
      </c>
      <c r="AU171" s="98">
        <f t="shared" si="121"/>
        <v>0</v>
      </c>
      <c r="AV171" s="88">
        <f t="shared" si="122"/>
        <v>0</v>
      </c>
      <c r="AW171" t="b">
        <f>OR((F171&gt;0),(NOT(ISBLANK(H171))),SUM(H171:H$373),SUM(G171:G$373))</f>
        <v>0</v>
      </c>
      <c r="AX171" t="b">
        <f t="shared" ca="1" si="97"/>
        <v>0</v>
      </c>
      <c r="AY171" s="519">
        <f t="shared" si="123"/>
        <v>-0.29166666666666669</v>
      </c>
      <c r="AZ171" s="180">
        <f>SUM(AY$5:AY171)</f>
        <v>-33.541666666666707</v>
      </c>
      <c r="BA171" s="567"/>
      <c r="BB171" s="567">
        <f t="shared" si="98"/>
        <v>0</v>
      </c>
      <c r="BC171" s="567"/>
    </row>
    <row r="172" spans="1:55" ht="15.75">
      <c r="A172" s="260">
        <f t="shared" si="124"/>
        <v>45000</v>
      </c>
      <c r="B172" s="261">
        <f t="shared" si="99"/>
        <v>45000</v>
      </c>
      <c r="C172" s="262">
        <f>IF(A172="","",NumberOfWeek(A172))</f>
        <v>11</v>
      </c>
      <c r="D172" s="263">
        <f t="shared" si="100"/>
        <v>44985</v>
      </c>
      <c r="E172" s="273" t="str">
        <f t="shared" si="101"/>
        <v/>
      </c>
      <c r="F172" s="5"/>
      <c r="G172" s="6" t="str">
        <f t="shared" si="86"/>
        <v/>
      </c>
      <c r="H172" s="7"/>
      <c r="I172" s="7">
        <f t="shared" si="102"/>
        <v>0</v>
      </c>
      <c r="J172" s="76">
        <f t="shared" si="103"/>
        <v>0</v>
      </c>
      <c r="K172" s="7"/>
      <c r="L172" s="7">
        <f t="shared" si="104"/>
        <v>0</v>
      </c>
      <c r="M172" s="76">
        <f t="shared" si="87"/>
        <v>0</v>
      </c>
      <c r="N172" s="76"/>
      <c r="O172" s="76">
        <f t="shared" si="88"/>
        <v>0</v>
      </c>
      <c r="P172" s="76"/>
      <c r="Q172" s="76">
        <f t="shared" si="89"/>
        <v>0</v>
      </c>
      <c r="R172" s="76">
        <f t="shared" si="105"/>
        <v>0</v>
      </c>
      <c r="S172" s="76">
        <f t="shared" si="106"/>
        <v>0</v>
      </c>
      <c r="T172" s="76">
        <f t="shared" si="107"/>
        <v>0</v>
      </c>
      <c r="U172" s="76">
        <f t="shared" si="108"/>
        <v>0</v>
      </c>
      <c r="V172" s="109">
        <f t="shared" si="109"/>
        <v>0</v>
      </c>
      <c r="W172" s="62"/>
      <c r="X172" s="78">
        <f t="shared" si="90"/>
        <v>3.125E-2</v>
      </c>
      <c r="Y172" s="73">
        <f t="shared" si="110"/>
        <v>0</v>
      </c>
      <c r="Z172" s="74">
        <f t="shared" si="111"/>
        <v>0.29166666666666669</v>
      </c>
      <c r="AA172" s="75">
        <f t="shared" si="112"/>
        <v>0</v>
      </c>
      <c r="AB172" s="63" t="str">
        <f t="shared" si="113"/>
        <v/>
      </c>
      <c r="AC172" s="148">
        <f t="shared" si="91"/>
        <v>0</v>
      </c>
      <c r="AD172" s="107" t="str">
        <f t="shared" si="92"/>
        <v/>
      </c>
      <c r="AE172" s="180">
        <f t="shared" si="114"/>
        <v>0</v>
      </c>
      <c r="AF172" s="73"/>
      <c r="AG172" s="525"/>
      <c r="AH172" s="73"/>
      <c r="AI172" s="73" t="str">
        <f t="shared" si="125"/>
        <v/>
      </c>
      <c r="AJ172" s="64">
        <f t="shared" si="93"/>
        <v>0</v>
      </c>
      <c r="AK172" s="64">
        <f t="shared" si="94"/>
        <v>0</v>
      </c>
      <c r="AL172" s="64" t="str">
        <f t="shared" si="95"/>
        <v/>
      </c>
      <c r="AM172">
        <f t="shared" si="96"/>
        <v>2</v>
      </c>
      <c r="AN172" s="85">
        <f>SUM($AD$6:AD172)</f>
        <v>0</v>
      </c>
      <c r="AO172" s="85">
        <f t="shared" ca="1" si="115"/>
        <v>0</v>
      </c>
      <c r="AP172" s="89">
        <f t="shared" si="116"/>
        <v>0</v>
      </c>
      <c r="AQ172" s="89">
        <f t="shared" si="117"/>
        <v>0</v>
      </c>
      <c r="AR172" s="89">
        <f t="shared" si="118"/>
        <v>0</v>
      </c>
      <c r="AS172" s="88">
        <f t="shared" si="119"/>
        <v>30</v>
      </c>
      <c r="AT172" s="88">
        <f t="shared" ca="1" si="120"/>
        <v>30</v>
      </c>
      <c r="AU172" s="98">
        <f t="shared" si="121"/>
        <v>0</v>
      </c>
      <c r="AV172" s="88">
        <f t="shared" si="122"/>
        <v>0</v>
      </c>
      <c r="AW172" t="b">
        <f>OR((F172&gt;0),(NOT(ISBLANK(H172))),SUM(H172:H$373),SUM(G172:G$373))</f>
        <v>0</v>
      </c>
      <c r="AX172" t="b">
        <f t="shared" ca="1" si="97"/>
        <v>0</v>
      </c>
      <c r="AY172" s="519">
        <f t="shared" si="123"/>
        <v>-0.29166666666666669</v>
      </c>
      <c r="AZ172" s="180">
        <f>SUM(AY$5:AY172)</f>
        <v>-33.833333333333371</v>
      </c>
      <c r="BA172" s="567"/>
      <c r="BB172" s="567">
        <f t="shared" si="98"/>
        <v>0</v>
      </c>
      <c r="BC172" s="567"/>
    </row>
    <row r="173" spans="1:55" ht="15.75">
      <c r="A173" s="260">
        <f t="shared" si="124"/>
        <v>45001</v>
      </c>
      <c r="B173" s="261">
        <f t="shared" si="99"/>
        <v>45001</v>
      </c>
      <c r="C173" s="262">
        <f>IF(A173="","",NumberOfWeek(A173))</f>
        <v>11</v>
      </c>
      <c r="D173" s="263">
        <f t="shared" si="100"/>
        <v>44985</v>
      </c>
      <c r="E173" s="273" t="str">
        <f t="shared" si="101"/>
        <v/>
      </c>
      <c r="F173" s="5"/>
      <c r="G173" s="6" t="str">
        <f t="shared" si="86"/>
        <v/>
      </c>
      <c r="H173" s="7"/>
      <c r="I173" s="7">
        <f t="shared" si="102"/>
        <v>0</v>
      </c>
      <c r="J173" s="76">
        <f t="shared" si="103"/>
        <v>0</v>
      </c>
      <c r="K173" s="7"/>
      <c r="L173" s="7">
        <f t="shared" si="104"/>
        <v>0</v>
      </c>
      <c r="M173" s="76">
        <f t="shared" si="87"/>
        <v>0</v>
      </c>
      <c r="N173" s="76"/>
      <c r="O173" s="76">
        <f t="shared" si="88"/>
        <v>0</v>
      </c>
      <c r="P173" s="76"/>
      <c r="Q173" s="76">
        <f t="shared" si="89"/>
        <v>0</v>
      </c>
      <c r="R173" s="76">
        <f t="shared" si="105"/>
        <v>0</v>
      </c>
      <c r="S173" s="76">
        <f t="shared" si="106"/>
        <v>0</v>
      </c>
      <c r="T173" s="76">
        <f t="shared" si="107"/>
        <v>0</v>
      </c>
      <c r="U173" s="76">
        <f t="shared" si="108"/>
        <v>0</v>
      </c>
      <c r="V173" s="109">
        <f t="shared" si="109"/>
        <v>0</v>
      </c>
      <c r="W173" s="62"/>
      <c r="X173" s="78">
        <f t="shared" si="90"/>
        <v>3.125E-2</v>
      </c>
      <c r="Y173" s="73">
        <f t="shared" si="110"/>
        <v>0</v>
      </c>
      <c r="Z173" s="74">
        <f t="shared" si="111"/>
        <v>0.29166666666666669</v>
      </c>
      <c r="AA173" s="75">
        <f t="shared" si="112"/>
        <v>0</v>
      </c>
      <c r="AB173" s="63" t="str">
        <f t="shared" si="113"/>
        <v/>
      </c>
      <c r="AC173" s="148">
        <f t="shared" si="91"/>
        <v>0</v>
      </c>
      <c r="AD173" s="107" t="str">
        <f t="shared" si="92"/>
        <v/>
      </c>
      <c r="AE173" s="180">
        <f t="shared" si="114"/>
        <v>0</v>
      </c>
      <c r="AF173" s="73"/>
      <c r="AG173" s="525"/>
      <c r="AH173" s="73"/>
      <c r="AI173" s="73" t="str">
        <f t="shared" si="125"/>
        <v/>
      </c>
      <c r="AJ173" s="64">
        <f t="shared" si="93"/>
        <v>0</v>
      </c>
      <c r="AK173" s="64">
        <f t="shared" si="94"/>
        <v>0</v>
      </c>
      <c r="AL173" s="64" t="str">
        <f t="shared" si="95"/>
        <v/>
      </c>
      <c r="AM173">
        <f t="shared" si="96"/>
        <v>3</v>
      </c>
      <c r="AN173" s="85">
        <f>SUM($AD$6:AD173)</f>
        <v>0</v>
      </c>
      <c r="AO173" s="85">
        <f t="shared" ca="1" si="115"/>
        <v>0</v>
      </c>
      <c r="AP173" s="89">
        <f t="shared" si="116"/>
        <v>0</v>
      </c>
      <c r="AQ173" s="89">
        <f t="shared" si="117"/>
        <v>0</v>
      </c>
      <c r="AR173" s="89">
        <f t="shared" si="118"/>
        <v>0</v>
      </c>
      <c r="AS173" s="88">
        <f t="shared" si="119"/>
        <v>30</v>
      </c>
      <c r="AT173" s="88">
        <f t="shared" ca="1" si="120"/>
        <v>30</v>
      </c>
      <c r="AU173" s="98">
        <f t="shared" si="121"/>
        <v>0</v>
      </c>
      <c r="AV173" s="88">
        <f t="shared" si="122"/>
        <v>0</v>
      </c>
      <c r="AW173" t="b">
        <f>OR((F173&gt;0),(NOT(ISBLANK(H173))),SUM(H173:H$373),SUM(G173:G$373))</f>
        <v>0</v>
      </c>
      <c r="AX173" t="b">
        <f t="shared" ca="1" si="97"/>
        <v>0</v>
      </c>
      <c r="AY173" s="519">
        <f t="shared" si="123"/>
        <v>-0.29166666666666669</v>
      </c>
      <c r="AZ173" s="180">
        <f>SUM(AY$5:AY173)</f>
        <v>-34.125000000000036</v>
      </c>
      <c r="BA173" s="567"/>
      <c r="BB173" s="567">
        <f t="shared" si="98"/>
        <v>0</v>
      </c>
      <c r="BC173" s="567"/>
    </row>
    <row r="174" spans="1:55" ht="15.75">
      <c r="A174" s="260">
        <f t="shared" si="124"/>
        <v>45002</v>
      </c>
      <c r="B174" s="261">
        <f t="shared" si="99"/>
        <v>45002</v>
      </c>
      <c r="C174" s="262">
        <f>IF(A174="","",NumberOfWeek(A174))</f>
        <v>11</v>
      </c>
      <c r="D174" s="263">
        <f t="shared" si="100"/>
        <v>44985</v>
      </c>
      <c r="E174" s="273" t="str">
        <f t="shared" si="101"/>
        <v/>
      </c>
      <c r="F174" s="5"/>
      <c r="G174" s="6" t="str">
        <f t="shared" si="86"/>
        <v/>
      </c>
      <c r="H174" s="7"/>
      <c r="I174" s="7">
        <f t="shared" si="102"/>
        <v>0</v>
      </c>
      <c r="J174" s="76">
        <f t="shared" si="103"/>
        <v>0</v>
      </c>
      <c r="K174" s="7"/>
      <c r="L174" s="7">
        <f t="shared" si="104"/>
        <v>0</v>
      </c>
      <c r="M174" s="76">
        <f t="shared" si="87"/>
        <v>0</v>
      </c>
      <c r="N174" s="76"/>
      <c r="O174" s="76">
        <f t="shared" si="88"/>
        <v>0</v>
      </c>
      <c r="P174" s="76"/>
      <c r="Q174" s="76">
        <f t="shared" si="89"/>
        <v>0</v>
      </c>
      <c r="R174" s="76">
        <f t="shared" si="105"/>
        <v>0</v>
      </c>
      <c r="S174" s="76">
        <f t="shared" si="106"/>
        <v>0</v>
      </c>
      <c r="T174" s="76">
        <f t="shared" si="107"/>
        <v>0</v>
      </c>
      <c r="U174" s="76">
        <f t="shared" si="108"/>
        <v>0</v>
      </c>
      <c r="V174" s="109">
        <f t="shared" si="109"/>
        <v>0</v>
      </c>
      <c r="W174" s="62"/>
      <c r="X174" s="78">
        <f t="shared" si="90"/>
        <v>3.125E-2</v>
      </c>
      <c r="Y174" s="73">
        <f t="shared" si="110"/>
        <v>0</v>
      </c>
      <c r="Z174" s="74">
        <f t="shared" si="111"/>
        <v>0.29166666666666669</v>
      </c>
      <c r="AA174" s="75">
        <f t="shared" si="112"/>
        <v>0</v>
      </c>
      <c r="AB174" s="63" t="str">
        <f t="shared" si="113"/>
        <v/>
      </c>
      <c r="AC174" s="148">
        <f t="shared" si="91"/>
        <v>0</v>
      </c>
      <c r="AD174" s="107" t="str">
        <f t="shared" si="92"/>
        <v/>
      </c>
      <c r="AE174" s="180">
        <f t="shared" si="114"/>
        <v>0</v>
      </c>
      <c r="AF174" s="73"/>
      <c r="AG174" s="525"/>
      <c r="AH174" s="73"/>
      <c r="AI174" s="73" t="str">
        <f t="shared" si="125"/>
        <v/>
      </c>
      <c r="AJ174" s="64">
        <f t="shared" si="93"/>
        <v>0</v>
      </c>
      <c r="AK174" s="64">
        <f t="shared" si="94"/>
        <v>0</v>
      </c>
      <c r="AL174" s="64" t="str">
        <f t="shared" si="95"/>
        <v/>
      </c>
      <c r="AM174">
        <f t="shared" si="96"/>
        <v>4</v>
      </c>
      <c r="AN174" s="85">
        <f>SUM($AD$6:AD174)</f>
        <v>0</v>
      </c>
      <c r="AO174" s="85">
        <f t="shared" ca="1" si="115"/>
        <v>0</v>
      </c>
      <c r="AP174" s="89">
        <f t="shared" si="116"/>
        <v>0</v>
      </c>
      <c r="AQ174" s="89">
        <f t="shared" si="117"/>
        <v>0</v>
      </c>
      <c r="AR174" s="89">
        <f t="shared" si="118"/>
        <v>0</v>
      </c>
      <c r="AS174" s="88">
        <f t="shared" si="119"/>
        <v>30</v>
      </c>
      <c r="AT174" s="88">
        <f t="shared" ca="1" si="120"/>
        <v>30</v>
      </c>
      <c r="AU174" s="98">
        <f t="shared" si="121"/>
        <v>0</v>
      </c>
      <c r="AV174" s="88">
        <f t="shared" si="122"/>
        <v>0</v>
      </c>
      <c r="AW174" t="b">
        <f>OR((F174&gt;0),(NOT(ISBLANK(H174))),SUM(H174:H$373),SUM(G174:G$373))</f>
        <v>0</v>
      </c>
      <c r="AX174" t="b">
        <f t="shared" ca="1" si="97"/>
        <v>0</v>
      </c>
      <c r="AY174" s="519">
        <f t="shared" si="123"/>
        <v>-0.29166666666666669</v>
      </c>
      <c r="AZ174" s="180">
        <f>SUM(AY$5:AY174)</f>
        <v>-34.4166666666667</v>
      </c>
      <c r="BA174" s="567"/>
      <c r="BB174" s="567">
        <f t="shared" si="98"/>
        <v>0</v>
      </c>
      <c r="BC174" s="567"/>
    </row>
    <row r="175" spans="1:55" ht="15.75">
      <c r="A175" s="260">
        <f t="shared" si="124"/>
        <v>45003</v>
      </c>
      <c r="B175" s="261">
        <f t="shared" si="99"/>
        <v>45003</v>
      </c>
      <c r="C175" s="262">
        <f>IF(A175="","",NumberOfWeek(A175))</f>
        <v>11</v>
      </c>
      <c r="D175" s="263">
        <f t="shared" si="100"/>
        <v>44985</v>
      </c>
      <c r="E175" s="273" t="str">
        <f t="shared" si="101"/>
        <v/>
      </c>
      <c r="F175" s="5"/>
      <c r="G175" s="6" t="str">
        <f t="shared" si="86"/>
        <v/>
      </c>
      <c r="H175" s="7"/>
      <c r="I175" s="7">
        <f t="shared" si="102"/>
        <v>0</v>
      </c>
      <c r="J175" s="76">
        <f t="shared" si="103"/>
        <v>0</v>
      </c>
      <c r="K175" s="7"/>
      <c r="L175" s="7">
        <f t="shared" si="104"/>
        <v>0</v>
      </c>
      <c r="M175" s="76">
        <f t="shared" si="87"/>
        <v>0</v>
      </c>
      <c r="N175" s="76"/>
      <c r="O175" s="76">
        <f t="shared" si="88"/>
        <v>0</v>
      </c>
      <c r="P175" s="76"/>
      <c r="Q175" s="76">
        <f t="shared" si="89"/>
        <v>0</v>
      </c>
      <c r="R175" s="76">
        <f t="shared" si="105"/>
        <v>0</v>
      </c>
      <c r="S175" s="76">
        <f t="shared" si="106"/>
        <v>0</v>
      </c>
      <c r="T175" s="76">
        <f t="shared" si="107"/>
        <v>0</v>
      </c>
      <c r="U175" s="76">
        <f t="shared" si="108"/>
        <v>0</v>
      </c>
      <c r="V175" s="109">
        <f t="shared" si="109"/>
        <v>0</v>
      </c>
      <c r="W175" s="62"/>
      <c r="X175" s="78">
        <f t="shared" si="90"/>
        <v>3.125E-2</v>
      </c>
      <c r="Y175" s="73">
        <f t="shared" si="110"/>
        <v>0</v>
      </c>
      <c r="Z175" s="74">
        <f t="shared" si="111"/>
        <v>0.29166666666666669</v>
      </c>
      <c r="AA175" s="75">
        <f t="shared" si="112"/>
        <v>0</v>
      </c>
      <c r="AB175" s="63" t="str">
        <f t="shared" si="113"/>
        <v/>
      </c>
      <c r="AC175" s="148">
        <f t="shared" si="91"/>
        <v>0</v>
      </c>
      <c r="AD175" s="107" t="str">
        <f t="shared" si="92"/>
        <v/>
      </c>
      <c r="AE175" s="180">
        <f t="shared" si="114"/>
        <v>0</v>
      </c>
      <c r="AF175" s="73"/>
      <c r="AG175" s="525"/>
      <c r="AH175" s="73"/>
      <c r="AI175" s="73" t="str">
        <f t="shared" si="125"/>
        <v/>
      </c>
      <c r="AJ175" s="64">
        <f t="shared" si="93"/>
        <v>0</v>
      </c>
      <c r="AK175" s="64">
        <f t="shared" si="94"/>
        <v>0</v>
      </c>
      <c r="AL175" s="64" t="str">
        <f t="shared" si="95"/>
        <v/>
      </c>
      <c r="AM175">
        <f t="shared" si="96"/>
        <v>5</v>
      </c>
      <c r="AN175" s="85">
        <f>SUM($AD$6:AD175)</f>
        <v>0</v>
      </c>
      <c r="AO175" s="85">
        <f t="shared" ca="1" si="115"/>
        <v>0</v>
      </c>
      <c r="AP175" s="89">
        <f t="shared" si="116"/>
        <v>0</v>
      </c>
      <c r="AQ175" s="89">
        <f t="shared" si="117"/>
        <v>0</v>
      </c>
      <c r="AR175" s="89">
        <f t="shared" si="118"/>
        <v>0</v>
      </c>
      <c r="AS175" s="88">
        <f t="shared" si="119"/>
        <v>30</v>
      </c>
      <c r="AT175" s="88">
        <f t="shared" ca="1" si="120"/>
        <v>30</v>
      </c>
      <c r="AU175" s="98">
        <f t="shared" si="121"/>
        <v>0</v>
      </c>
      <c r="AV175" s="88">
        <f t="shared" si="122"/>
        <v>0</v>
      </c>
      <c r="AW175" t="b">
        <f>OR((F175&gt;0),(NOT(ISBLANK(H175))),SUM(H175:H$373),SUM(G175:G$373))</f>
        <v>0</v>
      </c>
      <c r="AX175" t="b">
        <f t="shared" ca="1" si="97"/>
        <v>0</v>
      </c>
      <c r="AY175" s="519">
        <f t="shared" si="123"/>
        <v>-0.29166666666666669</v>
      </c>
      <c r="AZ175" s="180">
        <f>SUM(AY$5:AY175)</f>
        <v>-34.708333333333364</v>
      </c>
      <c r="BA175" s="567"/>
      <c r="BB175" s="567">
        <f t="shared" si="98"/>
        <v>0</v>
      </c>
      <c r="BC175" s="567"/>
    </row>
    <row r="176" spans="1:55" ht="15.75">
      <c r="A176" s="260">
        <f t="shared" si="124"/>
        <v>45004</v>
      </c>
      <c r="B176" s="261">
        <f t="shared" si="99"/>
        <v>45004</v>
      </c>
      <c r="C176" s="262">
        <f>IF(A176="","",NumberOfWeek(A176))</f>
        <v>11</v>
      </c>
      <c r="D176" s="263">
        <f t="shared" si="100"/>
        <v>44985</v>
      </c>
      <c r="E176" s="273" t="str">
        <f t="shared" si="101"/>
        <v/>
      </c>
      <c r="F176" s="5"/>
      <c r="G176" s="6" t="str">
        <f t="shared" si="86"/>
        <v/>
      </c>
      <c r="H176" s="7"/>
      <c r="I176" s="7">
        <f t="shared" si="102"/>
        <v>0</v>
      </c>
      <c r="J176" s="76">
        <f t="shared" si="103"/>
        <v>0</v>
      </c>
      <c r="K176" s="7"/>
      <c r="L176" s="7">
        <f t="shared" si="104"/>
        <v>0</v>
      </c>
      <c r="M176" s="76">
        <f t="shared" si="87"/>
        <v>0</v>
      </c>
      <c r="N176" s="76"/>
      <c r="O176" s="76">
        <f t="shared" si="88"/>
        <v>0</v>
      </c>
      <c r="P176" s="76"/>
      <c r="Q176" s="76">
        <f t="shared" si="89"/>
        <v>0</v>
      </c>
      <c r="R176" s="76">
        <f t="shared" si="105"/>
        <v>0</v>
      </c>
      <c r="S176" s="76">
        <f t="shared" si="106"/>
        <v>0</v>
      </c>
      <c r="T176" s="76">
        <f t="shared" si="107"/>
        <v>0</v>
      </c>
      <c r="U176" s="76">
        <f t="shared" si="108"/>
        <v>0</v>
      </c>
      <c r="V176" s="109">
        <f t="shared" si="109"/>
        <v>0</v>
      </c>
      <c r="W176" s="62"/>
      <c r="X176" s="78">
        <f t="shared" si="90"/>
        <v>3.125E-2</v>
      </c>
      <c r="Y176" s="73">
        <f t="shared" si="110"/>
        <v>0</v>
      </c>
      <c r="Z176" s="74">
        <f t="shared" si="111"/>
        <v>0</v>
      </c>
      <c r="AA176" s="75">
        <f t="shared" si="112"/>
        <v>0</v>
      </c>
      <c r="AB176" s="63" t="str">
        <f t="shared" si="113"/>
        <v/>
      </c>
      <c r="AC176" s="148">
        <f t="shared" si="91"/>
        <v>0</v>
      </c>
      <c r="AD176" s="107" t="str">
        <f t="shared" si="92"/>
        <v/>
      </c>
      <c r="AE176" s="180">
        <f t="shared" si="114"/>
        <v>0</v>
      </c>
      <c r="AF176" s="73"/>
      <c r="AG176" s="525"/>
      <c r="AH176" s="73"/>
      <c r="AI176" s="73" t="str">
        <f t="shared" si="125"/>
        <v/>
      </c>
      <c r="AJ176" s="64">
        <f t="shared" si="93"/>
        <v>0</v>
      </c>
      <c r="AK176" s="64">
        <f t="shared" si="94"/>
        <v>0</v>
      </c>
      <c r="AL176" s="64" t="str">
        <f t="shared" si="95"/>
        <v/>
      </c>
      <c r="AM176">
        <f t="shared" si="96"/>
        <v>6</v>
      </c>
      <c r="AN176" s="85">
        <f>SUM($AD$6:AD176)</f>
        <v>0</v>
      </c>
      <c r="AO176" s="85">
        <f t="shared" ca="1" si="115"/>
        <v>0</v>
      </c>
      <c r="AP176" s="89">
        <f t="shared" si="116"/>
        <v>0</v>
      </c>
      <c r="AQ176" s="89">
        <f t="shared" si="117"/>
        <v>0</v>
      </c>
      <c r="AR176" s="89">
        <f t="shared" si="118"/>
        <v>0</v>
      </c>
      <c r="AS176" s="88">
        <f t="shared" si="119"/>
        <v>30</v>
      </c>
      <c r="AT176" s="88">
        <f t="shared" ca="1" si="120"/>
        <v>30</v>
      </c>
      <c r="AU176" s="98">
        <f t="shared" si="121"/>
        <v>0</v>
      </c>
      <c r="AV176" s="88">
        <f t="shared" si="122"/>
        <v>7</v>
      </c>
      <c r="AW176" t="b">
        <f>OR((F176&gt;0),(NOT(ISBLANK(H176))),SUM(H176:H$373),SUM(G176:G$373))</f>
        <v>0</v>
      </c>
      <c r="AX176" t="b">
        <f t="shared" ca="1" si="97"/>
        <v>1</v>
      </c>
      <c r="AY176" s="519">
        <f t="shared" si="123"/>
        <v>0</v>
      </c>
      <c r="AZ176" s="180">
        <f>SUM(AY$5:AY176)</f>
        <v>-34.708333333333364</v>
      </c>
      <c r="BA176" s="567"/>
      <c r="BB176" s="567">
        <f t="shared" si="98"/>
        <v>0</v>
      </c>
      <c r="BC176" s="567"/>
    </row>
    <row r="177" spans="1:55" ht="15.75">
      <c r="A177" s="260">
        <f t="shared" si="124"/>
        <v>45005</v>
      </c>
      <c r="B177" s="261">
        <f t="shared" si="99"/>
        <v>45005</v>
      </c>
      <c r="C177" s="262">
        <f>IF(A177="","",NumberOfWeek(A177))</f>
        <v>11</v>
      </c>
      <c r="D177" s="263">
        <f t="shared" si="100"/>
        <v>44985</v>
      </c>
      <c r="E177" s="273" t="str">
        <f t="shared" si="101"/>
        <v/>
      </c>
      <c r="F177" s="5"/>
      <c r="G177" s="6" t="str">
        <f t="shared" si="86"/>
        <v/>
      </c>
      <c r="H177" s="7"/>
      <c r="I177" s="7">
        <f t="shared" si="102"/>
        <v>0</v>
      </c>
      <c r="J177" s="76">
        <f t="shared" si="103"/>
        <v>0</v>
      </c>
      <c r="K177" s="7"/>
      <c r="L177" s="7">
        <f t="shared" si="104"/>
        <v>0</v>
      </c>
      <c r="M177" s="76">
        <f t="shared" si="87"/>
        <v>0</v>
      </c>
      <c r="N177" s="76"/>
      <c r="O177" s="76">
        <f t="shared" si="88"/>
        <v>0</v>
      </c>
      <c r="P177" s="76"/>
      <c r="Q177" s="76">
        <f t="shared" si="89"/>
        <v>0</v>
      </c>
      <c r="R177" s="76">
        <f t="shared" si="105"/>
        <v>0</v>
      </c>
      <c r="S177" s="76">
        <f t="shared" si="106"/>
        <v>0</v>
      </c>
      <c r="T177" s="76">
        <f t="shared" si="107"/>
        <v>0</v>
      </c>
      <c r="U177" s="76">
        <f t="shared" si="108"/>
        <v>0</v>
      </c>
      <c r="V177" s="109">
        <f t="shared" si="109"/>
        <v>0</v>
      </c>
      <c r="W177" s="62"/>
      <c r="X177" s="78">
        <f t="shared" si="90"/>
        <v>3.125E-2</v>
      </c>
      <c r="Y177" s="73">
        <f t="shared" si="110"/>
        <v>0</v>
      </c>
      <c r="Z177" s="74">
        <f t="shared" si="111"/>
        <v>0</v>
      </c>
      <c r="AA177" s="75">
        <f t="shared" si="112"/>
        <v>0</v>
      </c>
      <c r="AB177" s="63" t="str">
        <f t="shared" si="113"/>
        <v/>
      </c>
      <c r="AC177" s="148">
        <f t="shared" si="91"/>
        <v>0</v>
      </c>
      <c r="AD177" s="107" t="str">
        <f t="shared" si="92"/>
        <v/>
      </c>
      <c r="AE177" s="180">
        <f t="shared" si="114"/>
        <v>0</v>
      </c>
      <c r="AF177" s="73"/>
      <c r="AG177" s="525"/>
      <c r="AH177" s="73"/>
      <c r="AI177" s="73" t="str">
        <f t="shared" si="125"/>
        <v/>
      </c>
      <c r="AJ177" s="64">
        <f t="shared" si="93"/>
        <v>0</v>
      </c>
      <c r="AK177" s="64">
        <f t="shared" si="94"/>
        <v>0</v>
      </c>
      <c r="AL177" s="64" t="str">
        <f t="shared" si="95"/>
        <v/>
      </c>
      <c r="AM177">
        <f t="shared" si="96"/>
        <v>7</v>
      </c>
      <c r="AN177" s="85">
        <f>SUM($AD$6:AD177)</f>
        <v>0</v>
      </c>
      <c r="AO177" s="85">
        <f t="shared" ca="1" si="115"/>
        <v>0</v>
      </c>
      <c r="AP177" s="89">
        <f t="shared" si="116"/>
        <v>0</v>
      </c>
      <c r="AQ177" s="89">
        <f t="shared" si="117"/>
        <v>0</v>
      </c>
      <c r="AR177" s="89">
        <f t="shared" si="118"/>
        <v>0</v>
      </c>
      <c r="AS177" s="88">
        <f t="shared" si="119"/>
        <v>30</v>
      </c>
      <c r="AT177" s="88">
        <f t="shared" ca="1" si="120"/>
        <v>30</v>
      </c>
      <c r="AU177" s="98">
        <f t="shared" si="121"/>
        <v>0</v>
      </c>
      <c r="AV177" s="88">
        <f t="shared" si="122"/>
        <v>7</v>
      </c>
      <c r="AW177" t="b">
        <f>OR((F177&gt;0),(NOT(ISBLANK(H177))),SUM(H177:H$373),SUM(G177:G$373))</f>
        <v>0</v>
      </c>
      <c r="AX177" t="b">
        <f t="shared" ca="1" si="97"/>
        <v>1</v>
      </c>
      <c r="AY177" s="519">
        <f t="shared" si="123"/>
        <v>0</v>
      </c>
      <c r="AZ177" s="180">
        <f>SUM(AY$5:AY177)</f>
        <v>-34.708333333333364</v>
      </c>
      <c r="BA177" s="567"/>
      <c r="BB177" s="567">
        <f t="shared" si="98"/>
        <v>0</v>
      </c>
      <c r="BC177" s="567"/>
    </row>
    <row r="178" spans="1:55" ht="15.75">
      <c r="A178" s="260">
        <f t="shared" si="124"/>
        <v>45006</v>
      </c>
      <c r="B178" s="261">
        <f t="shared" si="99"/>
        <v>45006</v>
      </c>
      <c r="C178" s="262">
        <f>IF(A178="","",NumberOfWeek(A178))</f>
        <v>12</v>
      </c>
      <c r="D178" s="263">
        <f t="shared" si="100"/>
        <v>44985</v>
      </c>
      <c r="E178" s="273" t="str">
        <f t="shared" si="101"/>
        <v/>
      </c>
      <c r="F178" s="5"/>
      <c r="G178" s="6" t="str">
        <f t="shared" si="86"/>
        <v/>
      </c>
      <c r="H178" s="7"/>
      <c r="I178" s="7">
        <f t="shared" si="102"/>
        <v>0</v>
      </c>
      <c r="J178" s="76">
        <f t="shared" si="103"/>
        <v>0</v>
      </c>
      <c r="K178" s="7"/>
      <c r="L178" s="7">
        <f t="shared" si="104"/>
        <v>0</v>
      </c>
      <c r="M178" s="76">
        <f t="shared" si="87"/>
        <v>0</v>
      </c>
      <c r="N178" s="76"/>
      <c r="O178" s="76">
        <f t="shared" si="88"/>
        <v>0</v>
      </c>
      <c r="P178" s="76"/>
      <c r="Q178" s="76">
        <f t="shared" si="89"/>
        <v>0</v>
      </c>
      <c r="R178" s="76">
        <f t="shared" si="105"/>
        <v>0</v>
      </c>
      <c r="S178" s="76">
        <f t="shared" si="106"/>
        <v>0</v>
      </c>
      <c r="T178" s="76">
        <f t="shared" si="107"/>
        <v>0</v>
      </c>
      <c r="U178" s="76">
        <f t="shared" si="108"/>
        <v>0</v>
      </c>
      <c r="V178" s="109">
        <f t="shared" si="109"/>
        <v>0</v>
      </c>
      <c r="W178" s="62"/>
      <c r="X178" s="78">
        <f t="shared" si="90"/>
        <v>3.125E-2</v>
      </c>
      <c r="Y178" s="73">
        <f t="shared" si="110"/>
        <v>0</v>
      </c>
      <c r="Z178" s="74">
        <f t="shared" si="111"/>
        <v>0.29166666666666669</v>
      </c>
      <c r="AA178" s="75">
        <f t="shared" si="112"/>
        <v>0</v>
      </c>
      <c r="AB178" s="63" t="str">
        <f t="shared" si="113"/>
        <v/>
      </c>
      <c r="AC178" s="148">
        <f t="shared" si="91"/>
        <v>0</v>
      </c>
      <c r="AD178" s="107" t="str">
        <f t="shared" si="92"/>
        <v/>
      </c>
      <c r="AE178" s="180">
        <f t="shared" si="114"/>
        <v>0</v>
      </c>
      <c r="AF178" s="73"/>
      <c r="AG178" s="525"/>
      <c r="AH178" s="73"/>
      <c r="AI178" s="73" t="str">
        <f t="shared" si="125"/>
        <v/>
      </c>
      <c r="AJ178" s="64">
        <f t="shared" si="93"/>
        <v>0</v>
      </c>
      <c r="AK178" s="64">
        <f t="shared" si="94"/>
        <v>0</v>
      </c>
      <c r="AL178" s="64" t="str">
        <f t="shared" si="95"/>
        <v/>
      </c>
      <c r="AM178">
        <f t="shared" si="96"/>
        <v>1</v>
      </c>
      <c r="AN178" s="85">
        <f>SUM($AD$6:AD178)</f>
        <v>0</v>
      </c>
      <c r="AO178" s="85">
        <f t="shared" ca="1" si="115"/>
        <v>0</v>
      </c>
      <c r="AP178" s="89">
        <f t="shared" si="116"/>
        <v>0</v>
      </c>
      <c r="AQ178" s="89">
        <f t="shared" si="117"/>
        <v>0</v>
      </c>
      <c r="AR178" s="89">
        <f t="shared" si="118"/>
        <v>0</v>
      </c>
      <c r="AS178" s="88">
        <f t="shared" si="119"/>
        <v>30</v>
      </c>
      <c r="AT178" s="88">
        <f t="shared" ca="1" si="120"/>
        <v>30</v>
      </c>
      <c r="AU178" s="98">
        <f t="shared" si="121"/>
        <v>0</v>
      </c>
      <c r="AV178" s="88">
        <f t="shared" si="122"/>
        <v>0</v>
      </c>
      <c r="AW178" t="b">
        <f>OR((F178&gt;0),(NOT(ISBLANK(H178))),SUM(H178:H$373),SUM(G178:G$373))</f>
        <v>0</v>
      </c>
      <c r="AX178" t="b">
        <f t="shared" ca="1" si="97"/>
        <v>0</v>
      </c>
      <c r="AY178" s="519">
        <f t="shared" si="123"/>
        <v>-0.29166666666666669</v>
      </c>
      <c r="AZ178" s="180">
        <f>SUM(AY$5:AY178)</f>
        <v>-35.000000000000028</v>
      </c>
      <c r="BA178" s="567"/>
      <c r="BB178" s="567">
        <f t="shared" si="98"/>
        <v>0</v>
      </c>
      <c r="BC178" s="567"/>
    </row>
    <row r="179" spans="1:55" ht="15.75">
      <c r="A179" s="260">
        <f t="shared" si="124"/>
        <v>45007</v>
      </c>
      <c r="B179" s="261">
        <f t="shared" si="99"/>
        <v>45007</v>
      </c>
      <c r="C179" s="262">
        <f>IF(A179="","",NumberOfWeek(A179))</f>
        <v>12</v>
      </c>
      <c r="D179" s="263">
        <f t="shared" si="100"/>
        <v>44985</v>
      </c>
      <c r="E179" s="273" t="str">
        <f t="shared" si="101"/>
        <v/>
      </c>
      <c r="F179" s="5"/>
      <c r="G179" s="6" t="str">
        <f t="shared" si="86"/>
        <v/>
      </c>
      <c r="H179" s="7"/>
      <c r="I179" s="7">
        <f t="shared" si="102"/>
        <v>0</v>
      </c>
      <c r="J179" s="76">
        <f t="shared" si="103"/>
        <v>0</v>
      </c>
      <c r="K179" s="7"/>
      <c r="L179" s="7">
        <f t="shared" si="104"/>
        <v>0</v>
      </c>
      <c r="M179" s="76">
        <f t="shared" si="87"/>
        <v>0</v>
      </c>
      <c r="N179" s="76"/>
      <c r="O179" s="76">
        <f t="shared" si="88"/>
        <v>0</v>
      </c>
      <c r="P179" s="76"/>
      <c r="Q179" s="76">
        <f t="shared" si="89"/>
        <v>0</v>
      </c>
      <c r="R179" s="76">
        <f t="shared" si="105"/>
        <v>0</v>
      </c>
      <c r="S179" s="76">
        <f t="shared" si="106"/>
        <v>0</v>
      </c>
      <c r="T179" s="76">
        <f t="shared" si="107"/>
        <v>0</v>
      </c>
      <c r="U179" s="76">
        <f t="shared" si="108"/>
        <v>0</v>
      </c>
      <c r="V179" s="109">
        <f t="shared" si="109"/>
        <v>0</v>
      </c>
      <c r="W179" s="62"/>
      <c r="X179" s="78">
        <f t="shared" si="90"/>
        <v>3.125E-2</v>
      </c>
      <c r="Y179" s="73">
        <f t="shared" si="110"/>
        <v>0</v>
      </c>
      <c r="Z179" s="74">
        <f t="shared" si="111"/>
        <v>0.29166666666666669</v>
      </c>
      <c r="AA179" s="75">
        <f t="shared" si="112"/>
        <v>0</v>
      </c>
      <c r="AB179" s="63" t="str">
        <f t="shared" si="113"/>
        <v/>
      </c>
      <c r="AC179" s="148">
        <f t="shared" si="91"/>
        <v>0</v>
      </c>
      <c r="AD179" s="107" t="str">
        <f t="shared" si="92"/>
        <v/>
      </c>
      <c r="AE179" s="180">
        <f t="shared" si="114"/>
        <v>0</v>
      </c>
      <c r="AF179" s="73"/>
      <c r="AG179" s="525"/>
      <c r="AH179" s="73"/>
      <c r="AI179" s="73" t="str">
        <f t="shared" si="125"/>
        <v/>
      </c>
      <c r="AJ179" s="64">
        <f t="shared" si="93"/>
        <v>0</v>
      </c>
      <c r="AK179" s="64">
        <f t="shared" si="94"/>
        <v>0</v>
      </c>
      <c r="AL179" s="64" t="str">
        <f t="shared" si="95"/>
        <v/>
      </c>
      <c r="AM179">
        <f t="shared" si="96"/>
        <v>2</v>
      </c>
      <c r="AN179" s="85">
        <f>SUM($AD$6:AD179)</f>
        <v>0</v>
      </c>
      <c r="AO179" s="85">
        <f t="shared" ca="1" si="115"/>
        <v>0</v>
      </c>
      <c r="AP179" s="89">
        <f t="shared" si="116"/>
        <v>0</v>
      </c>
      <c r="AQ179" s="89">
        <f t="shared" si="117"/>
        <v>0</v>
      </c>
      <c r="AR179" s="89">
        <f t="shared" si="118"/>
        <v>0</v>
      </c>
      <c r="AS179" s="88">
        <f t="shared" si="119"/>
        <v>30</v>
      </c>
      <c r="AT179" s="88">
        <f t="shared" ca="1" si="120"/>
        <v>30</v>
      </c>
      <c r="AU179" s="98">
        <f t="shared" si="121"/>
        <v>0</v>
      </c>
      <c r="AV179" s="88">
        <f t="shared" si="122"/>
        <v>0</v>
      </c>
      <c r="AW179" t="b">
        <f>OR((F179&gt;0),(NOT(ISBLANK(H179))),SUM(H179:H$373),SUM(G179:G$373))</f>
        <v>0</v>
      </c>
      <c r="AX179" t="b">
        <f t="shared" ca="1" si="97"/>
        <v>0</v>
      </c>
      <c r="AY179" s="519">
        <f t="shared" si="123"/>
        <v>-0.29166666666666669</v>
      </c>
      <c r="AZ179" s="180">
        <f>SUM(AY$5:AY179)</f>
        <v>-35.291666666666693</v>
      </c>
      <c r="BA179" s="567"/>
      <c r="BB179" s="567">
        <f t="shared" si="98"/>
        <v>0</v>
      </c>
      <c r="BC179" s="567"/>
    </row>
    <row r="180" spans="1:55" ht="15.75">
      <c r="A180" s="260">
        <f t="shared" si="124"/>
        <v>45008</v>
      </c>
      <c r="B180" s="261">
        <f t="shared" si="99"/>
        <v>45008</v>
      </c>
      <c r="C180" s="262">
        <f>IF(A180="","",NumberOfWeek(A180))</f>
        <v>12</v>
      </c>
      <c r="D180" s="263">
        <f t="shared" si="100"/>
        <v>44985</v>
      </c>
      <c r="E180" s="273" t="str">
        <f t="shared" si="101"/>
        <v/>
      </c>
      <c r="F180" s="5"/>
      <c r="G180" s="6" t="str">
        <f t="shared" si="86"/>
        <v/>
      </c>
      <c r="H180" s="7"/>
      <c r="I180" s="7">
        <f t="shared" si="102"/>
        <v>0</v>
      </c>
      <c r="J180" s="76">
        <f t="shared" si="103"/>
        <v>0</v>
      </c>
      <c r="K180" s="7"/>
      <c r="L180" s="7">
        <f t="shared" si="104"/>
        <v>0</v>
      </c>
      <c r="M180" s="76">
        <f t="shared" si="87"/>
        <v>0</v>
      </c>
      <c r="N180" s="76"/>
      <c r="O180" s="76">
        <f t="shared" si="88"/>
        <v>0</v>
      </c>
      <c r="P180" s="76"/>
      <c r="Q180" s="76">
        <f t="shared" si="89"/>
        <v>0</v>
      </c>
      <c r="R180" s="76">
        <f t="shared" si="105"/>
        <v>0</v>
      </c>
      <c r="S180" s="76">
        <f t="shared" si="106"/>
        <v>0</v>
      </c>
      <c r="T180" s="76">
        <f t="shared" si="107"/>
        <v>0</v>
      </c>
      <c r="U180" s="76">
        <f t="shared" si="108"/>
        <v>0</v>
      </c>
      <c r="V180" s="109">
        <f t="shared" si="109"/>
        <v>0</v>
      </c>
      <c r="W180" s="62"/>
      <c r="X180" s="78">
        <f t="shared" si="90"/>
        <v>3.125E-2</v>
      </c>
      <c r="Y180" s="73">
        <f t="shared" si="110"/>
        <v>0</v>
      </c>
      <c r="Z180" s="74">
        <f t="shared" si="111"/>
        <v>0.29166666666666669</v>
      </c>
      <c r="AA180" s="75">
        <f t="shared" si="112"/>
        <v>0</v>
      </c>
      <c r="AB180" s="63" t="str">
        <f t="shared" si="113"/>
        <v/>
      </c>
      <c r="AC180" s="148">
        <f t="shared" si="91"/>
        <v>0</v>
      </c>
      <c r="AD180" s="107" t="str">
        <f t="shared" si="92"/>
        <v/>
      </c>
      <c r="AE180" s="180">
        <f t="shared" si="114"/>
        <v>0</v>
      </c>
      <c r="AF180" s="73"/>
      <c r="AG180" s="525"/>
      <c r="AH180" s="73"/>
      <c r="AI180" s="73" t="str">
        <f t="shared" si="125"/>
        <v/>
      </c>
      <c r="AJ180" s="64">
        <f t="shared" si="93"/>
        <v>0</v>
      </c>
      <c r="AK180" s="64">
        <f t="shared" si="94"/>
        <v>0</v>
      </c>
      <c r="AL180" s="64" t="str">
        <f t="shared" si="95"/>
        <v/>
      </c>
      <c r="AM180">
        <f t="shared" si="96"/>
        <v>3</v>
      </c>
      <c r="AN180" s="85">
        <f>SUM($AD$6:AD180)</f>
        <v>0</v>
      </c>
      <c r="AO180" s="85">
        <f t="shared" ca="1" si="115"/>
        <v>0</v>
      </c>
      <c r="AP180" s="89">
        <f t="shared" si="116"/>
        <v>0</v>
      </c>
      <c r="AQ180" s="89">
        <f t="shared" si="117"/>
        <v>0</v>
      </c>
      <c r="AR180" s="89">
        <f t="shared" si="118"/>
        <v>0</v>
      </c>
      <c r="AS180" s="88">
        <f t="shared" si="119"/>
        <v>30</v>
      </c>
      <c r="AT180" s="88">
        <f t="shared" ca="1" si="120"/>
        <v>30</v>
      </c>
      <c r="AU180" s="98">
        <f t="shared" si="121"/>
        <v>0</v>
      </c>
      <c r="AV180" s="88">
        <f t="shared" si="122"/>
        <v>0</v>
      </c>
      <c r="AW180" t="b">
        <f>OR((F180&gt;0),(NOT(ISBLANK(H180))),SUM(H180:H$373),SUM(G180:G$373))</f>
        <v>0</v>
      </c>
      <c r="AX180" t="b">
        <f t="shared" ca="1" si="97"/>
        <v>0</v>
      </c>
      <c r="AY180" s="519">
        <f t="shared" si="123"/>
        <v>-0.29166666666666669</v>
      </c>
      <c r="AZ180" s="180">
        <f>SUM(AY$5:AY180)</f>
        <v>-35.583333333333357</v>
      </c>
      <c r="BA180" s="567"/>
      <c r="BB180" s="567">
        <f t="shared" si="98"/>
        <v>0</v>
      </c>
      <c r="BC180" s="567"/>
    </row>
    <row r="181" spans="1:55" ht="15.75">
      <c r="A181" s="260">
        <f t="shared" si="124"/>
        <v>45009</v>
      </c>
      <c r="B181" s="261">
        <f t="shared" si="99"/>
        <v>45009</v>
      </c>
      <c r="C181" s="262">
        <f>IF(A181="","",NumberOfWeek(A181))</f>
        <v>12</v>
      </c>
      <c r="D181" s="263">
        <f t="shared" si="100"/>
        <v>44985</v>
      </c>
      <c r="E181" s="273" t="str">
        <f t="shared" si="101"/>
        <v/>
      </c>
      <c r="F181" s="5"/>
      <c r="G181" s="6" t="str">
        <f t="shared" si="86"/>
        <v/>
      </c>
      <c r="H181" s="7"/>
      <c r="I181" s="7">
        <f t="shared" si="102"/>
        <v>0</v>
      </c>
      <c r="J181" s="76">
        <f t="shared" si="103"/>
        <v>0</v>
      </c>
      <c r="K181" s="7"/>
      <c r="L181" s="7">
        <f t="shared" si="104"/>
        <v>0</v>
      </c>
      <c r="M181" s="76">
        <f t="shared" si="87"/>
        <v>0</v>
      </c>
      <c r="N181" s="76"/>
      <c r="O181" s="76">
        <f t="shared" si="88"/>
        <v>0</v>
      </c>
      <c r="P181" s="76"/>
      <c r="Q181" s="76">
        <f t="shared" si="89"/>
        <v>0</v>
      </c>
      <c r="R181" s="76">
        <f t="shared" si="105"/>
        <v>0</v>
      </c>
      <c r="S181" s="76">
        <f t="shared" si="106"/>
        <v>0</v>
      </c>
      <c r="T181" s="76">
        <f t="shared" si="107"/>
        <v>0</v>
      </c>
      <c r="U181" s="76">
        <f t="shared" si="108"/>
        <v>0</v>
      </c>
      <c r="V181" s="109">
        <f t="shared" si="109"/>
        <v>0</v>
      </c>
      <c r="W181" s="62"/>
      <c r="X181" s="78">
        <f t="shared" si="90"/>
        <v>3.125E-2</v>
      </c>
      <c r="Y181" s="73">
        <f t="shared" si="110"/>
        <v>0</v>
      </c>
      <c r="Z181" s="74">
        <f t="shared" si="111"/>
        <v>0.29166666666666669</v>
      </c>
      <c r="AA181" s="75">
        <f t="shared" si="112"/>
        <v>0</v>
      </c>
      <c r="AB181" s="63" t="str">
        <f t="shared" si="113"/>
        <v/>
      </c>
      <c r="AC181" s="148">
        <f t="shared" si="91"/>
        <v>0</v>
      </c>
      <c r="AD181" s="107" t="str">
        <f t="shared" si="92"/>
        <v/>
      </c>
      <c r="AE181" s="180">
        <f t="shared" si="114"/>
        <v>0</v>
      </c>
      <c r="AF181" s="73"/>
      <c r="AG181" s="525"/>
      <c r="AH181" s="73"/>
      <c r="AI181" s="73" t="str">
        <f t="shared" si="125"/>
        <v/>
      </c>
      <c r="AJ181" s="64">
        <f t="shared" si="93"/>
        <v>0</v>
      </c>
      <c r="AK181" s="64">
        <f t="shared" si="94"/>
        <v>0</v>
      </c>
      <c r="AL181" s="64" t="str">
        <f t="shared" si="95"/>
        <v/>
      </c>
      <c r="AM181">
        <f t="shared" si="96"/>
        <v>4</v>
      </c>
      <c r="AN181" s="85">
        <f>SUM($AD$6:AD181)</f>
        <v>0</v>
      </c>
      <c r="AO181" s="85">
        <f t="shared" ca="1" si="115"/>
        <v>0</v>
      </c>
      <c r="AP181" s="89">
        <f t="shared" si="116"/>
        <v>0</v>
      </c>
      <c r="AQ181" s="89">
        <f t="shared" si="117"/>
        <v>0</v>
      </c>
      <c r="AR181" s="89">
        <f t="shared" si="118"/>
        <v>0</v>
      </c>
      <c r="AS181" s="88">
        <f t="shared" si="119"/>
        <v>30</v>
      </c>
      <c r="AT181" s="88">
        <f t="shared" ca="1" si="120"/>
        <v>30</v>
      </c>
      <c r="AU181" s="98">
        <f t="shared" si="121"/>
        <v>0</v>
      </c>
      <c r="AV181" s="88">
        <f t="shared" si="122"/>
        <v>0</v>
      </c>
      <c r="AW181" t="b">
        <f>OR((F181&gt;0),(NOT(ISBLANK(H181))),SUM(H181:H$373),SUM(G181:G$373))</f>
        <v>0</v>
      </c>
      <c r="AX181" t="b">
        <f t="shared" ca="1" si="97"/>
        <v>0</v>
      </c>
      <c r="AY181" s="519">
        <f t="shared" si="123"/>
        <v>-0.29166666666666669</v>
      </c>
      <c r="AZ181" s="180">
        <f>SUM(AY$5:AY181)</f>
        <v>-35.875000000000021</v>
      </c>
      <c r="BA181" s="567"/>
      <c r="BB181" s="567">
        <f t="shared" si="98"/>
        <v>0</v>
      </c>
      <c r="BC181" s="567"/>
    </row>
    <row r="182" spans="1:55" ht="15.75">
      <c r="A182" s="260">
        <f t="shared" si="124"/>
        <v>45010</v>
      </c>
      <c r="B182" s="261">
        <f t="shared" si="99"/>
        <v>45010</v>
      </c>
      <c r="C182" s="262">
        <f>IF(A182="","",NumberOfWeek(A182))</f>
        <v>12</v>
      </c>
      <c r="D182" s="263">
        <f t="shared" si="100"/>
        <v>44985</v>
      </c>
      <c r="E182" s="273" t="str">
        <f t="shared" si="101"/>
        <v>Karfreitag</v>
      </c>
      <c r="F182" s="5"/>
      <c r="G182" s="6" t="str">
        <f t="shared" si="86"/>
        <v/>
      </c>
      <c r="H182" s="7"/>
      <c r="I182" s="7">
        <f t="shared" si="102"/>
        <v>0</v>
      </c>
      <c r="J182" s="76">
        <f t="shared" si="103"/>
        <v>0</v>
      </c>
      <c r="K182" s="7"/>
      <c r="L182" s="7">
        <f t="shared" si="104"/>
        <v>0</v>
      </c>
      <c r="M182" s="76">
        <f t="shared" si="87"/>
        <v>0</v>
      </c>
      <c r="N182" s="76"/>
      <c r="O182" s="76">
        <f t="shared" si="88"/>
        <v>0</v>
      </c>
      <c r="P182" s="76"/>
      <c r="Q182" s="76">
        <f t="shared" si="89"/>
        <v>0</v>
      </c>
      <c r="R182" s="76">
        <f t="shared" si="105"/>
        <v>0</v>
      </c>
      <c r="S182" s="76">
        <f t="shared" si="106"/>
        <v>0</v>
      </c>
      <c r="T182" s="76">
        <f t="shared" si="107"/>
        <v>0</v>
      </c>
      <c r="U182" s="76">
        <f t="shared" si="108"/>
        <v>0</v>
      </c>
      <c r="V182" s="109">
        <f t="shared" si="109"/>
        <v>0</v>
      </c>
      <c r="W182" s="62"/>
      <c r="X182" s="78">
        <f t="shared" si="90"/>
        <v>3.125E-2</v>
      </c>
      <c r="Y182" s="73">
        <f t="shared" si="110"/>
        <v>0</v>
      </c>
      <c r="Z182" s="74" t="str">
        <f t="shared" si="111"/>
        <v/>
      </c>
      <c r="AA182" s="75">
        <f t="shared" si="112"/>
        <v>0</v>
      </c>
      <c r="AB182" s="63" t="str">
        <f t="shared" si="113"/>
        <v/>
      </c>
      <c r="AC182" s="148">
        <f t="shared" si="91"/>
        <v>0</v>
      </c>
      <c r="AD182" s="107" t="str">
        <f t="shared" si="92"/>
        <v/>
      </c>
      <c r="AE182" s="180">
        <f t="shared" si="114"/>
        <v>0</v>
      </c>
      <c r="AF182" s="73"/>
      <c r="AG182" s="525"/>
      <c r="AH182" s="73"/>
      <c r="AI182" s="73" t="str">
        <f t="shared" si="125"/>
        <v/>
      </c>
      <c r="AJ182" s="64">
        <f t="shared" si="93"/>
        <v>0</v>
      </c>
      <c r="AK182" s="64">
        <f t="shared" si="94"/>
        <v>0</v>
      </c>
      <c r="AL182" s="64" t="str">
        <f t="shared" si="95"/>
        <v/>
      </c>
      <c r="AM182">
        <f t="shared" si="96"/>
        <v>8</v>
      </c>
      <c r="AN182" s="85">
        <f>SUM($AD$6:AD182)</f>
        <v>0</v>
      </c>
      <c r="AO182" s="85">
        <f t="shared" ca="1" si="115"/>
        <v>0</v>
      </c>
      <c r="AP182" s="89">
        <f t="shared" si="116"/>
        <v>0</v>
      </c>
      <c r="AQ182" s="89">
        <f t="shared" si="117"/>
        <v>0</v>
      </c>
      <c r="AR182" s="89">
        <f t="shared" si="118"/>
        <v>0</v>
      </c>
      <c r="AS182" s="88">
        <f t="shared" si="119"/>
        <v>30</v>
      </c>
      <c r="AT182" s="88">
        <f t="shared" ca="1" si="120"/>
        <v>30</v>
      </c>
      <c r="AU182" s="98">
        <f t="shared" si="121"/>
        <v>0</v>
      </c>
      <c r="AV182" s="88">
        <f t="shared" si="122"/>
        <v>8</v>
      </c>
      <c r="AW182" t="b">
        <f>OR((F182&gt;0),(NOT(ISBLANK(H182))),SUM(H182:H$373),SUM(G182:G$373))</f>
        <v>0</v>
      </c>
      <c r="AX182" t="b">
        <f t="shared" ca="1" si="97"/>
        <v>1</v>
      </c>
      <c r="AY182" s="519">
        <f t="shared" si="123"/>
        <v>0</v>
      </c>
      <c r="AZ182" s="180">
        <f>SUM(AY$5:AY182)</f>
        <v>-35.875000000000021</v>
      </c>
      <c r="BA182" s="567"/>
      <c r="BB182" s="567">
        <f t="shared" si="98"/>
        <v>0</v>
      </c>
      <c r="BC182" s="567"/>
    </row>
    <row r="183" spans="1:55" ht="15.75">
      <c r="A183" s="260">
        <f t="shared" si="124"/>
        <v>45011</v>
      </c>
      <c r="B183" s="261">
        <f t="shared" si="99"/>
        <v>45011</v>
      </c>
      <c r="C183" s="262">
        <f>IF(A183="","",NumberOfWeek(A183))</f>
        <v>12</v>
      </c>
      <c r="D183" s="263">
        <f t="shared" si="100"/>
        <v>44985</v>
      </c>
      <c r="E183" s="273" t="str">
        <f t="shared" si="101"/>
        <v/>
      </c>
      <c r="F183" s="5"/>
      <c r="G183" s="6" t="str">
        <f t="shared" si="86"/>
        <v/>
      </c>
      <c r="H183" s="7"/>
      <c r="I183" s="7">
        <f t="shared" si="102"/>
        <v>0</v>
      </c>
      <c r="J183" s="76">
        <f t="shared" si="103"/>
        <v>0</v>
      </c>
      <c r="K183" s="7"/>
      <c r="L183" s="7">
        <f t="shared" si="104"/>
        <v>0</v>
      </c>
      <c r="M183" s="76">
        <f t="shared" si="87"/>
        <v>0</v>
      </c>
      <c r="N183" s="76"/>
      <c r="O183" s="76">
        <f t="shared" si="88"/>
        <v>0</v>
      </c>
      <c r="P183" s="76"/>
      <c r="Q183" s="76">
        <f t="shared" si="89"/>
        <v>0</v>
      </c>
      <c r="R183" s="76">
        <f t="shared" si="105"/>
        <v>0</v>
      </c>
      <c r="S183" s="76">
        <f t="shared" si="106"/>
        <v>0</v>
      </c>
      <c r="T183" s="76">
        <f t="shared" si="107"/>
        <v>0</v>
      </c>
      <c r="U183" s="76">
        <f t="shared" si="108"/>
        <v>0</v>
      </c>
      <c r="V183" s="109">
        <f t="shared" si="109"/>
        <v>0</v>
      </c>
      <c r="W183" s="62"/>
      <c r="X183" s="78">
        <f t="shared" si="90"/>
        <v>3.125E-2</v>
      </c>
      <c r="Y183" s="73">
        <f t="shared" si="110"/>
        <v>0</v>
      </c>
      <c r="Z183" s="74">
        <f t="shared" si="111"/>
        <v>0</v>
      </c>
      <c r="AA183" s="75">
        <f t="shared" si="112"/>
        <v>0</v>
      </c>
      <c r="AB183" s="63" t="str">
        <f t="shared" si="113"/>
        <v/>
      </c>
      <c r="AC183" s="148">
        <f t="shared" si="91"/>
        <v>0</v>
      </c>
      <c r="AD183" s="107" t="str">
        <f t="shared" si="92"/>
        <v/>
      </c>
      <c r="AE183" s="180">
        <f t="shared" si="114"/>
        <v>0</v>
      </c>
      <c r="AF183" s="73"/>
      <c r="AG183" s="525"/>
      <c r="AH183" s="73"/>
      <c r="AI183" s="73" t="str">
        <f t="shared" si="125"/>
        <v/>
      </c>
      <c r="AJ183" s="64">
        <f t="shared" si="93"/>
        <v>0</v>
      </c>
      <c r="AK183" s="64">
        <f t="shared" si="94"/>
        <v>0</v>
      </c>
      <c r="AL183" s="64" t="str">
        <f t="shared" si="95"/>
        <v/>
      </c>
      <c r="AM183">
        <f t="shared" si="96"/>
        <v>6</v>
      </c>
      <c r="AN183" s="85">
        <f>SUM($AD$6:AD183)</f>
        <v>0</v>
      </c>
      <c r="AO183" s="85">
        <f t="shared" ca="1" si="115"/>
        <v>0</v>
      </c>
      <c r="AP183" s="89">
        <f t="shared" si="116"/>
        <v>0</v>
      </c>
      <c r="AQ183" s="89">
        <f t="shared" si="117"/>
        <v>0</v>
      </c>
      <c r="AR183" s="89">
        <f t="shared" si="118"/>
        <v>0</v>
      </c>
      <c r="AS183" s="88">
        <f t="shared" si="119"/>
        <v>30</v>
      </c>
      <c r="AT183" s="88">
        <f t="shared" ca="1" si="120"/>
        <v>30</v>
      </c>
      <c r="AU183" s="98">
        <f t="shared" si="121"/>
        <v>0</v>
      </c>
      <c r="AV183" s="88">
        <f t="shared" si="122"/>
        <v>7</v>
      </c>
      <c r="AW183" t="b">
        <f>OR((F183&gt;0),(NOT(ISBLANK(H183))),SUM(H183:H$373),SUM(G183:G$373))</f>
        <v>0</v>
      </c>
      <c r="AX183" t="b">
        <f t="shared" ca="1" si="97"/>
        <v>1</v>
      </c>
      <c r="AY183" s="519">
        <f t="shared" si="123"/>
        <v>0</v>
      </c>
      <c r="AZ183" s="180">
        <f>SUM(AY$5:AY183)</f>
        <v>-35.875000000000021</v>
      </c>
      <c r="BA183" s="567"/>
      <c r="BB183" s="567">
        <f t="shared" si="98"/>
        <v>0</v>
      </c>
      <c r="BC183" s="567"/>
    </row>
    <row r="184" spans="1:55" ht="15.75">
      <c r="A184" s="260">
        <f t="shared" si="124"/>
        <v>45012</v>
      </c>
      <c r="B184" s="261">
        <f t="shared" si="99"/>
        <v>45012</v>
      </c>
      <c r="C184" s="262">
        <f>IF(A184="","",NumberOfWeek(A184))</f>
        <v>12</v>
      </c>
      <c r="D184" s="263">
        <f t="shared" si="100"/>
        <v>44985</v>
      </c>
      <c r="E184" s="273" t="str">
        <f t="shared" si="101"/>
        <v>Ostersonntag</v>
      </c>
      <c r="F184" s="5"/>
      <c r="G184" s="6" t="str">
        <f t="shared" si="86"/>
        <v/>
      </c>
      <c r="H184" s="7"/>
      <c r="I184" s="7">
        <f t="shared" si="102"/>
        <v>0</v>
      </c>
      <c r="J184" s="76">
        <f t="shared" si="103"/>
        <v>0</v>
      </c>
      <c r="K184" s="7"/>
      <c r="L184" s="7">
        <f t="shared" si="104"/>
        <v>0</v>
      </c>
      <c r="M184" s="76">
        <f t="shared" si="87"/>
        <v>0</v>
      </c>
      <c r="N184" s="76"/>
      <c r="O184" s="76">
        <f t="shared" si="88"/>
        <v>0</v>
      </c>
      <c r="P184" s="76"/>
      <c r="Q184" s="76">
        <f t="shared" si="89"/>
        <v>0</v>
      </c>
      <c r="R184" s="76">
        <f t="shared" si="105"/>
        <v>0</v>
      </c>
      <c r="S184" s="76">
        <f t="shared" si="106"/>
        <v>0</v>
      </c>
      <c r="T184" s="76">
        <f t="shared" si="107"/>
        <v>0</v>
      </c>
      <c r="U184" s="76">
        <f t="shared" si="108"/>
        <v>0</v>
      </c>
      <c r="V184" s="109">
        <f t="shared" si="109"/>
        <v>0</v>
      </c>
      <c r="W184" s="62"/>
      <c r="X184" s="78">
        <f t="shared" si="90"/>
        <v>3.125E-2</v>
      </c>
      <c r="Y184" s="73">
        <f t="shared" si="110"/>
        <v>0</v>
      </c>
      <c r="Z184" s="74" t="str">
        <f t="shared" si="111"/>
        <v/>
      </c>
      <c r="AA184" s="75">
        <f t="shared" si="112"/>
        <v>0</v>
      </c>
      <c r="AB184" s="63" t="str">
        <f t="shared" si="113"/>
        <v/>
      </c>
      <c r="AC184" s="148">
        <f t="shared" si="91"/>
        <v>0</v>
      </c>
      <c r="AD184" s="107" t="str">
        <f t="shared" si="92"/>
        <v/>
      </c>
      <c r="AE184" s="180">
        <f t="shared" si="114"/>
        <v>0</v>
      </c>
      <c r="AF184" s="73"/>
      <c r="AG184" s="525"/>
      <c r="AH184" s="73"/>
      <c r="AI184" s="73" t="str">
        <f t="shared" si="125"/>
        <v/>
      </c>
      <c r="AJ184" s="64">
        <f t="shared" si="93"/>
        <v>0</v>
      </c>
      <c r="AK184" s="64">
        <f t="shared" si="94"/>
        <v>0</v>
      </c>
      <c r="AL184" s="64" t="str">
        <f t="shared" si="95"/>
        <v/>
      </c>
      <c r="AM184">
        <f t="shared" si="96"/>
        <v>8</v>
      </c>
      <c r="AN184" s="85">
        <f>SUM($AD$6:AD184)</f>
        <v>0</v>
      </c>
      <c r="AO184" s="85">
        <f t="shared" ca="1" si="115"/>
        <v>0</v>
      </c>
      <c r="AP184" s="89">
        <f t="shared" si="116"/>
        <v>0</v>
      </c>
      <c r="AQ184" s="89">
        <f t="shared" si="117"/>
        <v>0</v>
      </c>
      <c r="AR184" s="89">
        <f t="shared" si="118"/>
        <v>0</v>
      </c>
      <c r="AS184" s="88">
        <f t="shared" si="119"/>
        <v>30</v>
      </c>
      <c r="AT184" s="88">
        <f t="shared" ca="1" si="120"/>
        <v>30</v>
      </c>
      <c r="AU184" s="98">
        <f t="shared" si="121"/>
        <v>0</v>
      </c>
      <c r="AV184" s="88">
        <f t="shared" si="122"/>
        <v>8</v>
      </c>
      <c r="AW184" t="b">
        <f>OR((F184&gt;0),(NOT(ISBLANK(H184))),SUM(H184:H$373),SUM(G184:G$373))</f>
        <v>0</v>
      </c>
      <c r="AX184" t="b">
        <f t="shared" ca="1" si="97"/>
        <v>1</v>
      </c>
      <c r="AY184" s="519">
        <f t="shared" si="123"/>
        <v>0</v>
      </c>
      <c r="AZ184" s="180">
        <f>SUM(AY$5:AY184)</f>
        <v>-35.875000000000021</v>
      </c>
      <c r="BA184" s="567"/>
      <c r="BB184" s="567">
        <f t="shared" si="98"/>
        <v>0</v>
      </c>
      <c r="BC184" s="567"/>
    </row>
    <row r="185" spans="1:55" ht="15.75">
      <c r="A185" s="260">
        <f t="shared" si="124"/>
        <v>45013</v>
      </c>
      <c r="B185" s="261">
        <f t="shared" si="99"/>
        <v>45013</v>
      </c>
      <c r="C185" s="262">
        <f>IF(A185="","",NumberOfWeek(A185))</f>
        <v>13</v>
      </c>
      <c r="D185" s="263">
        <f t="shared" si="100"/>
        <v>44985</v>
      </c>
      <c r="E185" s="273" t="str">
        <f t="shared" si="101"/>
        <v>Ostermontag</v>
      </c>
      <c r="F185" s="5"/>
      <c r="G185" s="6" t="str">
        <f t="shared" si="86"/>
        <v/>
      </c>
      <c r="H185" s="7"/>
      <c r="I185" s="7">
        <f t="shared" si="102"/>
        <v>0</v>
      </c>
      <c r="J185" s="76">
        <f t="shared" si="103"/>
        <v>0</v>
      </c>
      <c r="K185" s="7"/>
      <c r="L185" s="7">
        <f t="shared" si="104"/>
        <v>0</v>
      </c>
      <c r="M185" s="76">
        <f t="shared" si="87"/>
        <v>0</v>
      </c>
      <c r="N185" s="76"/>
      <c r="O185" s="76">
        <f t="shared" si="88"/>
        <v>0</v>
      </c>
      <c r="P185" s="76"/>
      <c r="Q185" s="76">
        <f t="shared" si="89"/>
        <v>0</v>
      </c>
      <c r="R185" s="76">
        <f t="shared" si="105"/>
        <v>0</v>
      </c>
      <c r="S185" s="76">
        <f t="shared" si="106"/>
        <v>0</v>
      </c>
      <c r="T185" s="76">
        <f t="shared" si="107"/>
        <v>0</v>
      </c>
      <c r="U185" s="76">
        <f t="shared" si="108"/>
        <v>0</v>
      </c>
      <c r="V185" s="109">
        <f t="shared" si="109"/>
        <v>0</v>
      </c>
      <c r="W185" s="62"/>
      <c r="X185" s="78">
        <f t="shared" si="90"/>
        <v>3.125E-2</v>
      </c>
      <c r="Y185" s="73">
        <f t="shared" si="110"/>
        <v>0</v>
      </c>
      <c r="Z185" s="74" t="str">
        <f t="shared" si="111"/>
        <v/>
      </c>
      <c r="AA185" s="75">
        <f t="shared" si="112"/>
        <v>0</v>
      </c>
      <c r="AB185" s="63" t="str">
        <f t="shared" si="113"/>
        <v/>
      </c>
      <c r="AC185" s="148">
        <f t="shared" si="91"/>
        <v>0</v>
      </c>
      <c r="AD185" s="107" t="str">
        <f t="shared" si="92"/>
        <v/>
      </c>
      <c r="AE185" s="180">
        <f t="shared" si="114"/>
        <v>0</v>
      </c>
      <c r="AF185" s="73"/>
      <c r="AG185" s="525"/>
      <c r="AH185" s="73"/>
      <c r="AI185" s="73" t="str">
        <f t="shared" si="125"/>
        <v/>
      </c>
      <c r="AJ185" s="64">
        <f t="shared" si="93"/>
        <v>0</v>
      </c>
      <c r="AK185" s="64">
        <f t="shared" si="94"/>
        <v>0</v>
      </c>
      <c r="AL185" s="64" t="str">
        <f t="shared" si="95"/>
        <v/>
      </c>
      <c r="AM185">
        <f t="shared" si="96"/>
        <v>8</v>
      </c>
      <c r="AN185" s="85">
        <f>SUM($AD$6:AD185)</f>
        <v>0</v>
      </c>
      <c r="AO185" s="85">
        <f t="shared" ca="1" si="115"/>
        <v>0</v>
      </c>
      <c r="AP185" s="89">
        <f t="shared" si="116"/>
        <v>0</v>
      </c>
      <c r="AQ185" s="89">
        <f t="shared" si="117"/>
        <v>0</v>
      </c>
      <c r="AR185" s="89">
        <f t="shared" si="118"/>
        <v>0</v>
      </c>
      <c r="AS185" s="88">
        <f t="shared" si="119"/>
        <v>30</v>
      </c>
      <c r="AT185" s="88">
        <f t="shared" ca="1" si="120"/>
        <v>30</v>
      </c>
      <c r="AU185" s="98">
        <f t="shared" si="121"/>
        <v>0</v>
      </c>
      <c r="AV185" s="88">
        <f t="shared" si="122"/>
        <v>8</v>
      </c>
      <c r="AW185" t="b">
        <f>OR((F185&gt;0),(NOT(ISBLANK(H185))),SUM(H185:H$373),SUM(G185:G$373))</f>
        <v>0</v>
      </c>
      <c r="AX185" t="b">
        <f t="shared" ca="1" si="97"/>
        <v>1</v>
      </c>
      <c r="AY185" s="519">
        <f t="shared" si="123"/>
        <v>0</v>
      </c>
      <c r="AZ185" s="180">
        <f>SUM(AY$5:AY185)</f>
        <v>-35.875000000000021</v>
      </c>
      <c r="BA185" s="567"/>
      <c r="BB185" s="567">
        <f t="shared" si="98"/>
        <v>0</v>
      </c>
      <c r="BC185" s="567"/>
    </row>
    <row r="186" spans="1:55" ht="15.75">
      <c r="A186" s="260">
        <f t="shared" si="124"/>
        <v>45014</v>
      </c>
      <c r="B186" s="261">
        <f t="shared" si="99"/>
        <v>45014</v>
      </c>
      <c r="C186" s="262">
        <f>IF(A186="","",NumberOfWeek(A186))</f>
        <v>13</v>
      </c>
      <c r="D186" s="263">
        <f t="shared" si="100"/>
        <v>44985</v>
      </c>
      <c r="E186" s="273" t="str">
        <f t="shared" si="101"/>
        <v/>
      </c>
      <c r="F186" s="5"/>
      <c r="G186" s="6" t="str">
        <f t="shared" si="86"/>
        <v/>
      </c>
      <c r="H186" s="7"/>
      <c r="I186" s="7">
        <f t="shared" si="102"/>
        <v>0</v>
      </c>
      <c r="J186" s="76">
        <f t="shared" si="103"/>
        <v>0</v>
      </c>
      <c r="K186" s="7"/>
      <c r="L186" s="7">
        <f t="shared" si="104"/>
        <v>0</v>
      </c>
      <c r="M186" s="76">
        <f t="shared" si="87"/>
        <v>0</v>
      </c>
      <c r="N186" s="76"/>
      <c r="O186" s="76">
        <f t="shared" si="88"/>
        <v>0</v>
      </c>
      <c r="P186" s="76"/>
      <c r="Q186" s="76">
        <f t="shared" si="89"/>
        <v>0</v>
      </c>
      <c r="R186" s="76">
        <f t="shared" si="105"/>
        <v>0</v>
      </c>
      <c r="S186" s="76">
        <f t="shared" si="106"/>
        <v>0</v>
      </c>
      <c r="T186" s="76">
        <f t="shared" si="107"/>
        <v>0</v>
      </c>
      <c r="U186" s="76">
        <f t="shared" si="108"/>
        <v>0</v>
      </c>
      <c r="V186" s="109">
        <f t="shared" si="109"/>
        <v>0</v>
      </c>
      <c r="W186" s="62"/>
      <c r="X186" s="78">
        <f t="shared" si="90"/>
        <v>3.125E-2</v>
      </c>
      <c r="Y186" s="73">
        <f t="shared" si="110"/>
        <v>0</v>
      </c>
      <c r="Z186" s="74">
        <f t="shared" si="111"/>
        <v>0.29166666666666669</v>
      </c>
      <c r="AA186" s="75">
        <f t="shared" si="112"/>
        <v>0</v>
      </c>
      <c r="AB186" s="63" t="str">
        <f t="shared" si="113"/>
        <v/>
      </c>
      <c r="AC186" s="148">
        <f t="shared" si="91"/>
        <v>0</v>
      </c>
      <c r="AD186" s="107" t="str">
        <f t="shared" si="92"/>
        <v/>
      </c>
      <c r="AE186" s="180">
        <f t="shared" si="114"/>
        <v>0</v>
      </c>
      <c r="AF186" s="73"/>
      <c r="AG186" s="525"/>
      <c r="AH186" s="73"/>
      <c r="AI186" s="73" t="str">
        <f t="shared" si="125"/>
        <v/>
      </c>
      <c r="AJ186" s="64">
        <f t="shared" si="93"/>
        <v>0</v>
      </c>
      <c r="AK186" s="64">
        <f t="shared" si="94"/>
        <v>0</v>
      </c>
      <c r="AL186" s="64" t="str">
        <f t="shared" si="95"/>
        <v/>
      </c>
      <c r="AM186">
        <f t="shared" si="96"/>
        <v>2</v>
      </c>
      <c r="AN186" s="85">
        <f>SUM($AD$6:AD186)</f>
        <v>0</v>
      </c>
      <c r="AO186" s="85">
        <f t="shared" ca="1" si="115"/>
        <v>0</v>
      </c>
      <c r="AP186" s="89">
        <f t="shared" si="116"/>
        <v>0</v>
      </c>
      <c r="AQ186" s="89">
        <f t="shared" si="117"/>
        <v>0</v>
      </c>
      <c r="AR186" s="89">
        <f t="shared" si="118"/>
        <v>0</v>
      </c>
      <c r="AS186" s="88">
        <f t="shared" si="119"/>
        <v>30</v>
      </c>
      <c r="AT186" s="88">
        <f t="shared" ca="1" si="120"/>
        <v>30</v>
      </c>
      <c r="AU186" s="98">
        <f t="shared" si="121"/>
        <v>0</v>
      </c>
      <c r="AV186" s="88">
        <f t="shared" si="122"/>
        <v>0</v>
      </c>
      <c r="AW186" t="b">
        <f>OR((F186&gt;0),(NOT(ISBLANK(H186))),SUM(H186:H$373),SUM(G186:G$373))</f>
        <v>0</v>
      </c>
      <c r="AX186" t="b">
        <f t="shared" ca="1" si="97"/>
        <v>0</v>
      </c>
      <c r="AY186" s="519">
        <f t="shared" si="123"/>
        <v>-0.29166666666666669</v>
      </c>
      <c r="AZ186" s="180">
        <f>SUM(AY$5:AY186)</f>
        <v>-36.166666666666686</v>
      </c>
      <c r="BA186" s="567"/>
      <c r="BB186" s="567">
        <f t="shared" si="98"/>
        <v>0</v>
      </c>
      <c r="BC186" s="567"/>
    </row>
    <row r="187" spans="1:55" ht="15.75">
      <c r="A187" s="260">
        <f t="shared" si="124"/>
        <v>45015</v>
      </c>
      <c r="B187" s="261">
        <f t="shared" si="99"/>
        <v>45015</v>
      </c>
      <c r="C187" s="262">
        <f>IF(A187="","",NumberOfWeek(A187))</f>
        <v>13</v>
      </c>
      <c r="D187" s="263">
        <f t="shared" si="100"/>
        <v>44985</v>
      </c>
      <c r="E187" s="273" t="str">
        <f t="shared" si="101"/>
        <v/>
      </c>
      <c r="F187" s="5"/>
      <c r="G187" s="6" t="str">
        <f t="shared" si="86"/>
        <v/>
      </c>
      <c r="H187" s="7"/>
      <c r="I187" s="7">
        <f t="shared" si="102"/>
        <v>0</v>
      </c>
      <c r="J187" s="76">
        <f t="shared" si="103"/>
        <v>0</v>
      </c>
      <c r="K187" s="7"/>
      <c r="L187" s="7">
        <f t="shared" si="104"/>
        <v>0</v>
      </c>
      <c r="M187" s="76">
        <f t="shared" si="87"/>
        <v>0</v>
      </c>
      <c r="N187" s="76"/>
      <c r="O187" s="76">
        <f t="shared" si="88"/>
        <v>0</v>
      </c>
      <c r="P187" s="76"/>
      <c r="Q187" s="76">
        <f t="shared" si="89"/>
        <v>0</v>
      </c>
      <c r="R187" s="76">
        <f t="shared" si="105"/>
        <v>0</v>
      </c>
      <c r="S187" s="76">
        <f t="shared" si="106"/>
        <v>0</v>
      </c>
      <c r="T187" s="76">
        <f t="shared" si="107"/>
        <v>0</v>
      </c>
      <c r="U187" s="76">
        <f t="shared" si="108"/>
        <v>0</v>
      </c>
      <c r="V187" s="109">
        <f t="shared" si="109"/>
        <v>0</v>
      </c>
      <c r="W187" s="62"/>
      <c r="X187" s="78">
        <f t="shared" si="90"/>
        <v>3.125E-2</v>
      </c>
      <c r="Y187" s="73">
        <f t="shared" si="110"/>
        <v>0</v>
      </c>
      <c r="Z187" s="74">
        <f t="shared" si="111"/>
        <v>0.29166666666666669</v>
      </c>
      <c r="AA187" s="75">
        <f t="shared" si="112"/>
        <v>0</v>
      </c>
      <c r="AB187" s="63" t="str">
        <f t="shared" si="113"/>
        <v/>
      </c>
      <c r="AC187" s="148">
        <f t="shared" si="91"/>
        <v>0</v>
      </c>
      <c r="AD187" s="107" t="str">
        <f t="shared" si="92"/>
        <v/>
      </c>
      <c r="AE187" s="180">
        <f t="shared" si="114"/>
        <v>0</v>
      </c>
      <c r="AF187" s="73"/>
      <c r="AG187" s="525"/>
      <c r="AH187" s="73"/>
      <c r="AI187" s="73" t="str">
        <f t="shared" si="125"/>
        <v/>
      </c>
      <c r="AJ187" s="64">
        <f t="shared" si="93"/>
        <v>0</v>
      </c>
      <c r="AK187" s="64">
        <f t="shared" si="94"/>
        <v>0</v>
      </c>
      <c r="AL187" s="64" t="str">
        <f t="shared" si="95"/>
        <v/>
      </c>
      <c r="AM187">
        <f t="shared" si="96"/>
        <v>3</v>
      </c>
      <c r="AN187" s="85">
        <f>SUM($AD$6:AD187)</f>
        <v>0</v>
      </c>
      <c r="AO187" s="85">
        <f t="shared" ca="1" si="115"/>
        <v>0</v>
      </c>
      <c r="AP187" s="89">
        <f t="shared" si="116"/>
        <v>0</v>
      </c>
      <c r="AQ187" s="89">
        <f t="shared" si="117"/>
        <v>0</v>
      </c>
      <c r="AR187" s="89">
        <f t="shared" si="118"/>
        <v>0</v>
      </c>
      <c r="AS187" s="88">
        <f t="shared" si="119"/>
        <v>30</v>
      </c>
      <c r="AT187" s="88">
        <f t="shared" ca="1" si="120"/>
        <v>30</v>
      </c>
      <c r="AU187" s="98">
        <f t="shared" si="121"/>
        <v>0</v>
      </c>
      <c r="AV187" s="88">
        <f t="shared" si="122"/>
        <v>0</v>
      </c>
      <c r="AW187" t="b">
        <f>OR((F187&gt;0),(NOT(ISBLANK(H187))),SUM(H187:H$373),SUM(G187:G$373))</f>
        <v>0</v>
      </c>
      <c r="AX187" t="b">
        <f t="shared" ca="1" si="97"/>
        <v>0</v>
      </c>
      <c r="AY187" s="519">
        <f t="shared" si="123"/>
        <v>-0.29166666666666669</v>
      </c>
      <c r="AZ187" s="180">
        <f>SUM(AY$5:AY187)</f>
        <v>-36.45833333333335</v>
      </c>
      <c r="BA187" s="567"/>
      <c r="BB187" s="567">
        <f t="shared" si="98"/>
        <v>0</v>
      </c>
      <c r="BC187" s="567"/>
    </row>
    <row r="188" spans="1:55" ht="15.75">
      <c r="A188" s="260">
        <f t="shared" si="124"/>
        <v>45016</v>
      </c>
      <c r="B188" s="261">
        <f t="shared" si="99"/>
        <v>45016</v>
      </c>
      <c r="C188" s="262">
        <f>IF(A188="","",NumberOfWeek(A188))</f>
        <v>13</v>
      </c>
      <c r="D188" s="263">
        <f t="shared" si="100"/>
        <v>45016</v>
      </c>
      <c r="E188" s="273" t="str">
        <f t="shared" si="101"/>
        <v/>
      </c>
      <c r="F188" s="5"/>
      <c r="G188" s="6" t="str">
        <f t="shared" si="86"/>
        <v/>
      </c>
      <c r="H188" s="7"/>
      <c r="I188" s="7">
        <f t="shared" si="102"/>
        <v>0</v>
      </c>
      <c r="J188" s="76">
        <f t="shared" si="103"/>
        <v>0</v>
      </c>
      <c r="K188" s="7"/>
      <c r="L188" s="7">
        <f t="shared" si="104"/>
        <v>0</v>
      </c>
      <c r="M188" s="76">
        <f t="shared" si="87"/>
        <v>0</v>
      </c>
      <c r="N188" s="76"/>
      <c r="O188" s="76">
        <f t="shared" si="88"/>
        <v>0</v>
      </c>
      <c r="P188" s="76"/>
      <c r="Q188" s="76">
        <f t="shared" si="89"/>
        <v>0</v>
      </c>
      <c r="R188" s="76">
        <f t="shared" si="105"/>
        <v>0</v>
      </c>
      <c r="S188" s="76">
        <f t="shared" si="106"/>
        <v>0</v>
      </c>
      <c r="T188" s="76">
        <f t="shared" si="107"/>
        <v>0</v>
      </c>
      <c r="U188" s="76">
        <f t="shared" si="108"/>
        <v>0</v>
      </c>
      <c r="V188" s="109">
        <f t="shared" si="109"/>
        <v>0</v>
      </c>
      <c r="W188" s="62"/>
      <c r="X188" s="78">
        <f t="shared" si="90"/>
        <v>3.125E-2</v>
      </c>
      <c r="Y188" s="73">
        <f t="shared" si="110"/>
        <v>0</v>
      </c>
      <c r="Z188" s="74">
        <f t="shared" si="111"/>
        <v>0.29166666666666669</v>
      </c>
      <c r="AA188" s="75">
        <f t="shared" si="112"/>
        <v>0</v>
      </c>
      <c r="AB188" s="63" t="str">
        <f t="shared" si="113"/>
        <v/>
      </c>
      <c r="AC188" s="148">
        <f t="shared" si="91"/>
        <v>0</v>
      </c>
      <c r="AD188" s="107" t="str">
        <f t="shared" si="92"/>
        <v/>
      </c>
      <c r="AE188" s="180">
        <f t="shared" si="114"/>
        <v>0</v>
      </c>
      <c r="AF188" s="73"/>
      <c r="AG188" s="525"/>
      <c r="AH188" s="73"/>
      <c r="AI188" s="73" t="str">
        <f t="shared" si="125"/>
        <v/>
      </c>
      <c r="AJ188" s="64">
        <f t="shared" si="93"/>
        <v>0</v>
      </c>
      <c r="AK188" s="64">
        <f t="shared" si="94"/>
        <v>0</v>
      </c>
      <c r="AL188" s="64" t="str">
        <f t="shared" si="95"/>
        <v/>
      </c>
      <c r="AM188">
        <f t="shared" si="96"/>
        <v>4</v>
      </c>
      <c r="AN188" s="85">
        <f>SUM($AD$6:AD188)</f>
        <v>0</v>
      </c>
      <c r="AO188" s="85">
        <f t="shared" ca="1" si="115"/>
        <v>0</v>
      </c>
      <c r="AP188" s="89">
        <f t="shared" si="116"/>
        <v>0</v>
      </c>
      <c r="AQ188" s="89">
        <f t="shared" si="117"/>
        <v>0</v>
      </c>
      <c r="AR188" s="89">
        <f t="shared" si="118"/>
        <v>0</v>
      </c>
      <c r="AS188" s="88">
        <f t="shared" si="119"/>
        <v>30</v>
      </c>
      <c r="AT188" s="88">
        <f t="shared" ca="1" si="120"/>
        <v>30</v>
      </c>
      <c r="AU188" s="98">
        <f t="shared" si="121"/>
        <v>0</v>
      </c>
      <c r="AV188" s="88">
        <f t="shared" si="122"/>
        <v>0</v>
      </c>
      <c r="AW188" t="b">
        <f>OR((F188&gt;0),(NOT(ISBLANK(H188))),SUM(H188:H$373),SUM(G188:G$373))</f>
        <v>0</v>
      </c>
      <c r="AX188" t="b">
        <f t="shared" ca="1" si="97"/>
        <v>0</v>
      </c>
      <c r="AY188" s="519">
        <f t="shared" si="123"/>
        <v>-0.29166666666666669</v>
      </c>
      <c r="AZ188" s="180">
        <f>SUM(AY$5:AY188)</f>
        <v>-36.750000000000014</v>
      </c>
      <c r="BA188" s="567"/>
      <c r="BB188" s="567">
        <f t="shared" si="98"/>
        <v>0</v>
      </c>
      <c r="BC188" s="567"/>
    </row>
    <row r="189" spans="1:55" ht="15.75">
      <c r="A189" s="260">
        <f t="shared" si="124"/>
        <v>45017</v>
      </c>
      <c r="B189" s="261">
        <f t="shared" si="99"/>
        <v>45017</v>
      </c>
      <c r="C189" s="262">
        <f>IF(A189="","",NumberOfWeek(A189))</f>
        <v>13</v>
      </c>
      <c r="D189" s="263">
        <f t="shared" si="100"/>
        <v>45016</v>
      </c>
      <c r="E189" s="273" t="str">
        <f t="shared" si="101"/>
        <v/>
      </c>
      <c r="F189" s="5"/>
      <c r="G189" s="6" t="str">
        <f t="shared" si="86"/>
        <v/>
      </c>
      <c r="H189" s="7"/>
      <c r="I189" s="7">
        <f t="shared" si="102"/>
        <v>0</v>
      </c>
      <c r="J189" s="76">
        <f t="shared" si="103"/>
        <v>0</v>
      </c>
      <c r="K189" s="7"/>
      <c r="L189" s="7">
        <f t="shared" si="104"/>
        <v>0</v>
      </c>
      <c r="M189" s="76">
        <f t="shared" si="87"/>
        <v>0</v>
      </c>
      <c r="N189" s="76"/>
      <c r="O189" s="76">
        <f t="shared" si="88"/>
        <v>0</v>
      </c>
      <c r="P189" s="76"/>
      <c r="Q189" s="76">
        <f t="shared" si="89"/>
        <v>0</v>
      </c>
      <c r="R189" s="76">
        <f t="shared" si="105"/>
        <v>0</v>
      </c>
      <c r="S189" s="76">
        <f t="shared" si="106"/>
        <v>0</v>
      </c>
      <c r="T189" s="76">
        <f t="shared" si="107"/>
        <v>0</v>
      </c>
      <c r="U189" s="76">
        <f t="shared" si="108"/>
        <v>0</v>
      </c>
      <c r="V189" s="109">
        <f t="shared" si="109"/>
        <v>0</v>
      </c>
      <c r="W189" s="62"/>
      <c r="X189" s="78">
        <f t="shared" si="90"/>
        <v>3.125E-2</v>
      </c>
      <c r="Y189" s="73">
        <f t="shared" si="110"/>
        <v>0</v>
      </c>
      <c r="Z189" s="74">
        <f t="shared" si="111"/>
        <v>0.29166666666666669</v>
      </c>
      <c r="AA189" s="75">
        <f t="shared" si="112"/>
        <v>0</v>
      </c>
      <c r="AB189" s="63" t="str">
        <f t="shared" si="113"/>
        <v/>
      </c>
      <c r="AC189" s="148">
        <f t="shared" si="91"/>
        <v>0</v>
      </c>
      <c r="AD189" s="107" t="str">
        <f t="shared" si="92"/>
        <v/>
      </c>
      <c r="AE189" s="180">
        <f t="shared" si="114"/>
        <v>0</v>
      </c>
      <c r="AF189" s="73"/>
      <c r="AG189" s="525"/>
      <c r="AH189" s="73"/>
      <c r="AI189" s="73" t="str">
        <f t="shared" si="125"/>
        <v/>
      </c>
      <c r="AJ189" s="64">
        <f t="shared" si="93"/>
        <v>0</v>
      </c>
      <c r="AK189" s="64">
        <f t="shared" si="94"/>
        <v>0</v>
      </c>
      <c r="AL189" s="64" t="str">
        <f t="shared" si="95"/>
        <v/>
      </c>
      <c r="AM189">
        <f t="shared" si="96"/>
        <v>5</v>
      </c>
      <c r="AN189" s="85">
        <f>SUM($AD$6:AD189)</f>
        <v>0</v>
      </c>
      <c r="AO189" s="85">
        <f t="shared" ca="1" si="115"/>
        <v>0</v>
      </c>
      <c r="AP189" s="89">
        <f t="shared" si="116"/>
        <v>0</v>
      </c>
      <c r="AQ189" s="89">
        <f t="shared" si="117"/>
        <v>0</v>
      </c>
      <c r="AR189" s="89">
        <f t="shared" si="118"/>
        <v>0</v>
      </c>
      <c r="AS189" s="88">
        <f t="shared" si="119"/>
        <v>30</v>
      </c>
      <c r="AT189" s="88">
        <f t="shared" ca="1" si="120"/>
        <v>30</v>
      </c>
      <c r="AU189" s="98">
        <f t="shared" si="121"/>
        <v>0</v>
      </c>
      <c r="AV189" s="88">
        <f t="shared" si="122"/>
        <v>0</v>
      </c>
      <c r="AW189" t="b">
        <f>OR((F189&gt;0),(NOT(ISBLANK(H189))),SUM(H189:H$373),SUM(G189:G$373))</f>
        <v>0</v>
      </c>
      <c r="AX189" t="b">
        <f t="shared" ca="1" si="97"/>
        <v>0</v>
      </c>
      <c r="AY189" s="519">
        <f t="shared" si="123"/>
        <v>-0.29166666666666669</v>
      </c>
      <c r="AZ189" s="180">
        <f>SUM(AY$5:AY189)</f>
        <v>-37.041666666666679</v>
      </c>
      <c r="BA189" s="567"/>
      <c r="BB189" s="567">
        <f t="shared" si="98"/>
        <v>0</v>
      </c>
      <c r="BC189" s="567"/>
    </row>
    <row r="190" spans="1:55" ht="15.75">
      <c r="A190" s="260">
        <f t="shared" si="124"/>
        <v>45018</v>
      </c>
      <c r="B190" s="261">
        <f t="shared" si="99"/>
        <v>45018</v>
      </c>
      <c r="C190" s="262">
        <f>IF(A190="","",NumberOfWeek(A190))</f>
        <v>13</v>
      </c>
      <c r="D190" s="263">
        <f t="shared" si="100"/>
        <v>45016</v>
      </c>
      <c r="E190" s="273" t="str">
        <f t="shared" si="101"/>
        <v/>
      </c>
      <c r="F190" s="5"/>
      <c r="G190" s="6" t="str">
        <f t="shared" si="86"/>
        <v/>
      </c>
      <c r="H190" s="7"/>
      <c r="I190" s="7">
        <f t="shared" si="102"/>
        <v>0</v>
      </c>
      <c r="J190" s="76">
        <f t="shared" si="103"/>
        <v>0</v>
      </c>
      <c r="K190" s="7"/>
      <c r="L190" s="7">
        <f t="shared" si="104"/>
        <v>0</v>
      </c>
      <c r="M190" s="76">
        <f t="shared" si="87"/>
        <v>0</v>
      </c>
      <c r="N190" s="76"/>
      <c r="O190" s="76">
        <f t="shared" si="88"/>
        <v>0</v>
      </c>
      <c r="P190" s="76"/>
      <c r="Q190" s="76">
        <f t="shared" si="89"/>
        <v>0</v>
      </c>
      <c r="R190" s="76">
        <f t="shared" si="105"/>
        <v>0</v>
      </c>
      <c r="S190" s="76">
        <f t="shared" si="106"/>
        <v>0</v>
      </c>
      <c r="T190" s="76">
        <f t="shared" si="107"/>
        <v>0</v>
      </c>
      <c r="U190" s="76">
        <f t="shared" si="108"/>
        <v>0</v>
      </c>
      <c r="V190" s="109">
        <f t="shared" si="109"/>
        <v>0</v>
      </c>
      <c r="W190" s="62"/>
      <c r="X190" s="78">
        <f t="shared" si="90"/>
        <v>3.125E-2</v>
      </c>
      <c r="Y190" s="73">
        <f t="shared" si="110"/>
        <v>0</v>
      </c>
      <c r="Z190" s="74">
        <f t="shared" si="111"/>
        <v>0</v>
      </c>
      <c r="AA190" s="75">
        <f t="shared" si="112"/>
        <v>0</v>
      </c>
      <c r="AB190" s="63" t="str">
        <f t="shared" si="113"/>
        <v/>
      </c>
      <c r="AC190" s="148">
        <f t="shared" si="91"/>
        <v>0</v>
      </c>
      <c r="AD190" s="107" t="str">
        <f t="shared" si="92"/>
        <v/>
      </c>
      <c r="AE190" s="180">
        <f t="shared" si="114"/>
        <v>0</v>
      </c>
      <c r="AF190" s="73"/>
      <c r="AG190" s="525"/>
      <c r="AH190" s="73"/>
      <c r="AI190" s="73" t="str">
        <f t="shared" si="125"/>
        <v/>
      </c>
      <c r="AJ190" s="64">
        <f t="shared" si="93"/>
        <v>0</v>
      </c>
      <c r="AK190" s="64">
        <f t="shared" si="94"/>
        <v>0</v>
      </c>
      <c r="AL190" s="64" t="str">
        <f t="shared" si="95"/>
        <v/>
      </c>
      <c r="AM190">
        <f t="shared" si="96"/>
        <v>6</v>
      </c>
      <c r="AN190" s="85">
        <f>SUM($AD$6:AD190)</f>
        <v>0</v>
      </c>
      <c r="AO190" s="85">
        <f t="shared" ca="1" si="115"/>
        <v>0</v>
      </c>
      <c r="AP190" s="89">
        <f t="shared" si="116"/>
        <v>0</v>
      </c>
      <c r="AQ190" s="89">
        <f t="shared" si="117"/>
        <v>0</v>
      </c>
      <c r="AR190" s="89">
        <f t="shared" si="118"/>
        <v>0</v>
      </c>
      <c r="AS190" s="88">
        <f t="shared" si="119"/>
        <v>30</v>
      </c>
      <c r="AT190" s="88">
        <f t="shared" ca="1" si="120"/>
        <v>30</v>
      </c>
      <c r="AU190" s="98">
        <f t="shared" si="121"/>
        <v>0</v>
      </c>
      <c r="AV190" s="88">
        <f t="shared" si="122"/>
        <v>7</v>
      </c>
      <c r="AW190" t="b">
        <f>OR((F190&gt;0),(NOT(ISBLANK(H190))),SUM(H190:H$373),SUM(G190:G$373))</f>
        <v>0</v>
      </c>
      <c r="AX190" t="b">
        <f t="shared" ca="1" si="97"/>
        <v>1</v>
      </c>
      <c r="AY190" s="519">
        <f t="shared" si="123"/>
        <v>0</v>
      </c>
      <c r="AZ190" s="180">
        <f>SUM(AY$5:AY190)</f>
        <v>-37.041666666666679</v>
      </c>
      <c r="BA190" s="567"/>
      <c r="BB190" s="567">
        <f t="shared" si="98"/>
        <v>0</v>
      </c>
      <c r="BC190" s="567"/>
    </row>
    <row r="191" spans="1:55" ht="15.75">
      <c r="A191" s="260">
        <f t="shared" si="124"/>
        <v>45019</v>
      </c>
      <c r="B191" s="261">
        <f t="shared" si="99"/>
        <v>45019</v>
      </c>
      <c r="C191" s="262">
        <f>IF(A191="","",NumberOfWeek(A191))</f>
        <v>13</v>
      </c>
      <c r="D191" s="263">
        <f t="shared" si="100"/>
        <v>45016</v>
      </c>
      <c r="E191" s="273" t="str">
        <f t="shared" si="101"/>
        <v/>
      </c>
      <c r="F191" s="5"/>
      <c r="G191" s="6" t="str">
        <f t="shared" si="86"/>
        <v/>
      </c>
      <c r="H191" s="7"/>
      <c r="I191" s="7">
        <f t="shared" si="102"/>
        <v>0</v>
      </c>
      <c r="J191" s="76">
        <f t="shared" si="103"/>
        <v>0</v>
      </c>
      <c r="K191" s="7"/>
      <c r="L191" s="7">
        <f t="shared" si="104"/>
        <v>0</v>
      </c>
      <c r="M191" s="76">
        <f t="shared" si="87"/>
        <v>0</v>
      </c>
      <c r="N191" s="76"/>
      <c r="O191" s="76">
        <f t="shared" si="88"/>
        <v>0</v>
      </c>
      <c r="P191" s="76"/>
      <c r="Q191" s="76">
        <f t="shared" si="89"/>
        <v>0</v>
      </c>
      <c r="R191" s="76">
        <f t="shared" si="105"/>
        <v>0</v>
      </c>
      <c r="S191" s="76">
        <f t="shared" si="106"/>
        <v>0</v>
      </c>
      <c r="T191" s="76">
        <f t="shared" si="107"/>
        <v>0</v>
      </c>
      <c r="U191" s="76">
        <f t="shared" si="108"/>
        <v>0</v>
      </c>
      <c r="V191" s="109">
        <f t="shared" si="109"/>
        <v>0</v>
      </c>
      <c r="W191" s="62"/>
      <c r="X191" s="78">
        <f t="shared" si="90"/>
        <v>3.125E-2</v>
      </c>
      <c r="Y191" s="73">
        <f t="shared" si="110"/>
        <v>0</v>
      </c>
      <c r="Z191" s="74">
        <f t="shared" si="111"/>
        <v>0</v>
      </c>
      <c r="AA191" s="75">
        <f t="shared" si="112"/>
        <v>0</v>
      </c>
      <c r="AB191" s="63" t="str">
        <f t="shared" si="113"/>
        <v/>
      </c>
      <c r="AC191" s="148">
        <f t="shared" si="91"/>
        <v>0</v>
      </c>
      <c r="AD191" s="107" t="str">
        <f t="shared" si="92"/>
        <v/>
      </c>
      <c r="AE191" s="180">
        <f t="shared" si="114"/>
        <v>0</v>
      </c>
      <c r="AF191" s="73"/>
      <c r="AG191" s="525"/>
      <c r="AH191" s="73"/>
      <c r="AI191" s="73" t="str">
        <f t="shared" si="125"/>
        <v/>
      </c>
      <c r="AJ191" s="64">
        <f t="shared" si="93"/>
        <v>0</v>
      </c>
      <c r="AK191" s="64">
        <f t="shared" si="94"/>
        <v>0</v>
      </c>
      <c r="AL191" s="64" t="str">
        <f t="shared" si="95"/>
        <v/>
      </c>
      <c r="AM191">
        <f t="shared" si="96"/>
        <v>7</v>
      </c>
      <c r="AN191" s="85">
        <f>SUM($AD$6:AD191)</f>
        <v>0</v>
      </c>
      <c r="AO191" s="85">
        <f t="shared" ca="1" si="115"/>
        <v>0</v>
      </c>
      <c r="AP191" s="89">
        <f t="shared" si="116"/>
        <v>0</v>
      </c>
      <c r="AQ191" s="89">
        <f t="shared" si="117"/>
        <v>0</v>
      </c>
      <c r="AR191" s="89">
        <f t="shared" si="118"/>
        <v>0</v>
      </c>
      <c r="AS191" s="88">
        <f t="shared" si="119"/>
        <v>30</v>
      </c>
      <c r="AT191" s="88">
        <f t="shared" ca="1" si="120"/>
        <v>30</v>
      </c>
      <c r="AU191" s="98">
        <f t="shared" si="121"/>
        <v>0</v>
      </c>
      <c r="AV191" s="88">
        <f t="shared" si="122"/>
        <v>7</v>
      </c>
      <c r="AW191" t="b">
        <f>OR((F191&gt;0),(NOT(ISBLANK(H191))),SUM(H191:H$373),SUM(G191:G$373))</f>
        <v>0</v>
      </c>
      <c r="AX191" t="b">
        <f t="shared" ca="1" si="97"/>
        <v>1</v>
      </c>
      <c r="AY191" s="519">
        <f t="shared" si="123"/>
        <v>0</v>
      </c>
      <c r="AZ191" s="180">
        <f>SUM(AY$5:AY191)</f>
        <v>-37.041666666666679</v>
      </c>
      <c r="BA191" s="567"/>
      <c r="BB191" s="567">
        <f t="shared" si="98"/>
        <v>0</v>
      </c>
      <c r="BC191" s="567"/>
    </row>
    <row r="192" spans="1:55" ht="15.75">
      <c r="A192" s="260">
        <f t="shared" si="124"/>
        <v>45020</v>
      </c>
      <c r="B192" s="261">
        <f t="shared" si="99"/>
        <v>45020</v>
      </c>
      <c r="C192" s="262">
        <f>IF(A192="","",NumberOfWeek(A192))</f>
        <v>14</v>
      </c>
      <c r="D192" s="263">
        <f t="shared" si="100"/>
        <v>45016</v>
      </c>
      <c r="E192" s="273" t="str">
        <f t="shared" si="101"/>
        <v/>
      </c>
      <c r="F192" s="5"/>
      <c r="G192" s="6" t="str">
        <f t="shared" si="86"/>
        <v/>
      </c>
      <c r="H192" s="7"/>
      <c r="I192" s="7">
        <f t="shared" si="102"/>
        <v>0</v>
      </c>
      <c r="J192" s="76">
        <f t="shared" si="103"/>
        <v>0</v>
      </c>
      <c r="K192" s="7"/>
      <c r="L192" s="7">
        <f t="shared" si="104"/>
        <v>0</v>
      </c>
      <c r="M192" s="76">
        <f t="shared" si="87"/>
        <v>0</v>
      </c>
      <c r="N192" s="76"/>
      <c r="O192" s="76">
        <f t="shared" si="88"/>
        <v>0</v>
      </c>
      <c r="P192" s="76"/>
      <c r="Q192" s="76">
        <f t="shared" si="89"/>
        <v>0</v>
      </c>
      <c r="R192" s="76">
        <f t="shared" si="105"/>
        <v>0</v>
      </c>
      <c r="S192" s="76">
        <f t="shared" si="106"/>
        <v>0</v>
      </c>
      <c r="T192" s="76">
        <f t="shared" si="107"/>
        <v>0</v>
      </c>
      <c r="U192" s="76">
        <f t="shared" si="108"/>
        <v>0</v>
      </c>
      <c r="V192" s="109">
        <f t="shared" si="109"/>
        <v>0</v>
      </c>
      <c r="W192" s="62"/>
      <c r="X192" s="78">
        <f t="shared" si="90"/>
        <v>3.125E-2</v>
      </c>
      <c r="Y192" s="73">
        <f t="shared" si="110"/>
        <v>0</v>
      </c>
      <c r="Z192" s="74">
        <f t="shared" si="111"/>
        <v>0.29166666666666669</v>
      </c>
      <c r="AA192" s="75">
        <f t="shared" si="112"/>
        <v>0</v>
      </c>
      <c r="AB192" s="63" t="str">
        <f t="shared" si="113"/>
        <v/>
      </c>
      <c r="AC192" s="148">
        <f t="shared" si="91"/>
        <v>0</v>
      </c>
      <c r="AD192" s="107" t="str">
        <f t="shared" si="92"/>
        <v/>
      </c>
      <c r="AE192" s="180">
        <f t="shared" si="114"/>
        <v>0</v>
      </c>
      <c r="AF192" s="73"/>
      <c r="AG192" s="525"/>
      <c r="AH192" s="73"/>
      <c r="AI192" s="73" t="str">
        <f t="shared" si="125"/>
        <v/>
      </c>
      <c r="AJ192" s="64">
        <f t="shared" si="93"/>
        <v>0</v>
      </c>
      <c r="AK192" s="64">
        <f t="shared" si="94"/>
        <v>0</v>
      </c>
      <c r="AL192" s="64" t="str">
        <f t="shared" si="95"/>
        <v/>
      </c>
      <c r="AM192">
        <f t="shared" si="96"/>
        <v>1</v>
      </c>
      <c r="AN192" s="85">
        <f>SUM($AD$6:AD192)</f>
        <v>0</v>
      </c>
      <c r="AO192" s="85">
        <f t="shared" ca="1" si="115"/>
        <v>0</v>
      </c>
      <c r="AP192" s="89">
        <f t="shared" si="116"/>
        <v>0</v>
      </c>
      <c r="AQ192" s="89">
        <f t="shared" si="117"/>
        <v>0</v>
      </c>
      <c r="AR192" s="89">
        <f t="shared" si="118"/>
        <v>0</v>
      </c>
      <c r="AS192" s="88">
        <f t="shared" si="119"/>
        <v>30</v>
      </c>
      <c r="AT192" s="88">
        <f t="shared" ca="1" si="120"/>
        <v>30</v>
      </c>
      <c r="AU192" s="98">
        <f t="shared" si="121"/>
        <v>0</v>
      </c>
      <c r="AV192" s="88">
        <f t="shared" si="122"/>
        <v>0</v>
      </c>
      <c r="AW192" t="b">
        <f>OR((F192&gt;0),(NOT(ISBLANK(H192))),SUM(H192:H$373),SUM(G192:G$373))</f>
        <v>0</v>
      </c>
      <c r="AX192" t="b">
        <f t="shared" ca="1" si="97"/>
        <v>0</v>
      </c>
      <c r="AY192" s="519">
        <f t="shared" si="123"/>
        <v>-0.29166666666666669</v>
      </c>
      <c r="AZ192" s="180">
        <f>SUM(AY$5:AY192)</f>
        <v>-37.333333333333343</v>
      </c>
      <c r="BA192" s="567"/>
      <c r="BB192" s="567">
        <f t="shared" si="98"/>
        <v>0</v>
      </c>
      <c r="BC192" s="567"/>
    </row>
    <row r="193" spans="1:55" ht="15.75">
      <c r="A193" s="260">
        <f t="shared" si="124"/>
        <v>45021</v>
      </c>
      <c r="B193" s="261">
        <f t="shared" si="99"/>
        <v>45021</v>
      </c>
      <c r="C193" s="262">
        <f>IF(A193="","",NumberOfWeek(A193))</f>
        <v>14</v>
      </c>
      <c r="D193" s="263">
        <f t="shared" si="100"/>
        <v>45016</v>
      </c>
      <c r="E193" s="273" t="str">
        <f t="shared" si="101"/>
        <v/>
      </c>
      <c r="F193" s="5"/>
      <c r="G193" s="6" t="str">
        <f t="shared" si="86"/>
        <v/>
      </c>
      <c r="H193" s="7"/>
      <c r="I193" s="7">
        <f t="shared" si="102"/>
        <v>0</v>
      </c>
      <c r="J193" s="76">
        <f t="shared" si="103"/>
        <v>0</v>
      </c>
      <c r="K193" s="7"/>
      <c r="L193" s="7">
        <f t="shared" si="104"/>
        <v>0</v>
      </c>
      <c r="M193" s="76">
        <f t="shared" si="87"/>
        <v>0</v>
      </c>
      <c r="N193" s="76"/>
      <c r="O193" s="76">
        <f t="shared" si="88"/>
        <v>0</v>
      </c>
      <c r="P193" s="76"/>
      <c r="Q193" s="76">
        <f t="shared" si="89"/>
        <v>0</v>
      </c>
      <c r="R193" s="76">
        <f t="shared" si="105"/>
        <v>0</v>
      </c>
      <c r="S193" s="76">
        <f t="shared" si="106"/>
        <v>0</v>
      </c>
      <c r="T193" s="76">
        <f t="shared" si="107"/>
        <v>0</v>
      </c>
      <c r="U193" s="76">
        <f t="shared" si="108"/>
        <v>0</v>
      </c>
      <c r="V193" s="109">
        <f t="shared" si="109"/>
        <v>0</v>
      </c>
      <c r="W193" s="62"/>
      <c r="X193" s="78">
        <f t="shared" si="90"/>
        <v>3.125E-2</v>
      </c>
      <c r="Y193" s="73">
        <f t="shared" si="110"/>
        <v>0</v>
      </c>
      <c r="Z193" s="74">
        <f t="shared" si="111"/>
        <v>0.29166666666666669</v>
      </c>
      <c r="AA193" s="75">
        <f t="shared" si="112"/>
        <v>0</v>
      </c>
      <c r="AB193" s="63" t="str">
        <f t="shared" si="113"/>
        <v/>
      </c>
      <c r="AC193" s="148">
        <f t="shared" si="91"/>
        <v>0</v>
      </c>
      <c r="AD193" s="107" t="str">
        <f t="shared" si="92"/>
        <v/>
      </c>
      <c r="AE193" s="180">
        <f t="shared" si="114"/>
        <v>0</v>
      </c>
      <c r="AF193" s="73"/>
      <c r="AG193" s="525"/>
      <c r="AH193" s="73"/>
      <c r="AI193" s="73" t="str">
        <f t="shared" si="125"/>
        <v/>
      </c>
      <c r="AJ193" s="64">
        <f t="shared" si="93"/>
        <v>0</v>
      </c>
      <c r="AK193" s="64">
        <f t="shared" si="94"/>
        <v>0</v>
      </c>
      <c r="AL193" s="64" t="str">
        <f t="shared" si="95"/>
        <v/>
      </c>
      <c r="AM193">
        <f t="shared" si="96"/>
        <v>2</v>
      </c>
      <c r="AN193" s="85">
        <f>SUM($AD$6:AD193)</f>
        <v>0</v>
      </c>
      <c r="AO193" s="85">
        <f t="shared" ca="1" si="115"/>
        <v>0</v>
      </c>
      <c r="AP193" s="89">
        <f t="shared" si="116"/>
        <v>0</v>
      </c>
      <c r="AQ193" s="89">
        <f t="shared" si="117"/>
        <v>0</v>
      </c>
      <c r="AR193" s="89">
        <f t="shared" si="118"/>
        <v>0</v>
      </c>
      <c r="AS193" s="88">
        <f t="shared" si="119"/>
        <v>30</v>
      </c>
      <c r="AT193" s="88">
        <f t="shared" ca="1" si="120"/>
        <v>30</v>
      </c>
      <c r="AU193" s="98">
        <f t="shared" si="121"/>
        <v>0</v>
      </c>
      <c r="AV193" s="88">
        <f t="shared" si="122"/>
        <v>0</v>
      </c>
      <c r="AW193" t="b">
        <f>OR((F193&gt;0),(NOT(ISBLANK(H193))),SUM(H193:H$373),SUM(G193:G$373))</f>
        <v>0</v>
      </c>
      <c r="AX193" t="b">
        <f t="shared" ca="1" si="97"/>
        <v>0</v>
      </c>
      <c r="AY193" s="519">
        <f t="shared" si="123"/>
        <v>-0.29166666666666669</v>
      </c>
      <c r="AZ193" s="180">
        <f>SUM(AY$5:AY193)</f>
        <v>-37.625000000000007</v>
      </c>
      <c r="BA193" s="567"/>
      <c r="BB193" s="567">
        <f t="shared" si="98"/>
        <v>0</v>
      </c>
      <c r="BC193" s="567"/>
    </row>
    <row r="194" spans="1:55" ht="15.75">
      <c r="A194" s="260">
        <f t="shared" si="124"/>
        <v>45022</v>
      </c>
      <c r="B194" s="261">
        <f t="shared" si="99"/>
        <v>45022</v>
      </c>
      <c r="C194" s="262">
        <f>IF(A194="","",NumberOfWeek(A194))</f>
        <v>14</v>
      </c>
      <c r="D194" s="263">
        <f t="shared" si="100"/>
        <v>45016</v>
      </c>
      <c r="E194" s="273" t="str">
        <f t="shared" si="101"/>
        <v/>
      </c>
      <c r="F194" s="5"/>
      <c r="G194" s="6" t="str">
        <f t="shared" si="86"/>
        <v/>
      </c>
      <c r="H194" s="7"/>
      <c r="I194" s="7">
        <f t="shared" si="102"/>
        <v>0</v>
      </c>
      <c r="J194" s="76">
        <f t="shared" si="103"/>
        <v>0</v>
      </c>
      <c r="K194" s="7"/>
      <c r="L194" s="7">
        <f t="shared" si="104"/>
        <v>0</v>
      </c>
      <c r="M194" s="76">
        <f t="shared" si="87"/>
        <v>0</v>
      </c>
      <c r="N194" s="76"/>
      <c r="O194" s="76">
        <f t="shared" si="88"/>
        <v>0</v>
      </c>
      <c r="P194" s="76"/>
      <c r="Q194" s="76">
        <f t="shared" si="89"/>
        <v>0</v>
      </c>
      <c r="R194" s="76">
        <f t="shared" si="105"/>
        <v>0</v>
      </c>
      <c r="S194" s="76">
        <f t="shared" si="106"/>
        <v>0</v>
      </c>
      <c r="T194" s="76">
        <f t="shared" si="107"/>
        <v>0</v>
      </c>
      <c r="U194" s="76">
        <f t="shared" si="108"/>
        <v>0</v>
      </c>
      <c r="V194" s="109">
        <f t="shared" si="109"/>
        <v>0</v>
      </c>
      <c r="W194" s="62"/>
      <c r="X194" s="78">
        <f t="shared" si="90"/>
        <v>3.125E-2</v>
      </c>
      <c r="Y194" s="73">
        <f t="shared" si="110"/>
        <v>0</v>
      </c>
      <c r="Z194" s="74">
        <f t="shared" si="111"/>
        <v>0.29166666666666669</v>
      </c>
      <c r="AA194" s="75">
        <f t="shared" si="112"/>
        <v>0</v>
      </c>
      <c r="AB194" s="63" t="str">
        <f t="shared" si="113"/>
        <v/>
      </c>
      <c r="AC194" s="148">
        <f t="shared" si="91"/>
        <v>0</v>
      </c>
      <c r="AD194" s="107" t="str">
        <f t="shared" si="92"/>
        <v/>
      </c>
      <c r="AE194" s="180">
        <f t="shared" si="114"/>
        <v>0</v>
      </c>
      <c r="AF194" s="73"/>
      <c r="AG194" s="525"/>
      <c r="AH194" s="73"/>
      <c r="AI194" s="73" t="str">
        <f t="shared" si="125"/>
        <v/>
      </c>
      <c r="AJ194" s="64">
        <f t="shared" si="93"/>
        <v>0</v>
      </c>
      <c r="AK194" s="64">
        <f t="shared" si="94"/>
        <v>0</v>
      </c>
      <c r="AL194" s="64" t="str">
        <f t="shared" si="95"/>
        <v/>
      </c>
      <c r="AM194">
        <f t="shared" si="96"/>
        <v>3</v>
      </c>
      <c r="AN194" s="85">
        <f>SUM($AD$6:AD194)</f>
        <v>0</v>
      </c>
      <c r="AO194" s="85">
        <f t="shared" ca="1" si="115"/>
        <v>0</v>
      </c>
      <c r="AP194" s="89">
        <f t="shared" si="116"/>
        <v>0</v>
      </c>
      <c r="AQ194" s="89">
        <f t="shared" si="117"/>
        <v>0</v>
      </c>
      <c r="AR194" s="89">
        <f t="shared" si="118"/>
        <v>0</v>
      </c>
      <c r="AS194" s="88">
        <f t="shared" si="119"/>
        <v>30</v>
      </c>
      <c r="AT194" s="88">
        <f t="shared" ca="1" si="120"/>
        <v>30</v>
      </c>
      <c r="AU194" s="98">
        <f t="shared" si="121"/>
        <v>0</v>
      </c>
      <c r="AV194" s="88">
        <f t="shared" si="122"/>
        <v>0</v>
      </c>
      <c r="AW194" t="b">
        <f>OR((F194&gt;0),(NOT(ISBLANK(H194))),SUM(H194:H$373),SUM(G194:G$373))</f>
        <v>0</v>
      </c>
      <c r="AX194" t="b">
        <f t="shared" ca="1" si="97"/>
        <v>0</v>
      </c>
      <c r="AY194" s="519">
        <f t="shared" si="123"/>
        <v>-0.29166666666666669</v>
      </c>
      <c r="AZ194" s="180">
        <f>SUM(AY$5:AY194)</f>
        <v>-37.916666666666671</v>
      </c>
      <c r="BA194" s="567"/>
      <c r="BB194" s="567">
        <f t="shared" si="98"/>
        <v>0</v>
      </c>
      <c r="BC194" s="567"/>
    </row>
    <row r="195" spans="1:55" ht="15.75">
      <c r="A195" s="260">
        <f t="shared" si="124"/>
        <v>45023</v>
      </c>
      <c r="B195" s="261">
        <f t="shared" si="99"/>
        <v>45023</v>
      </c>
      <c r="C195" s="262">
        <f>IF(A195="","",NumberOfWeek(A195))</f>
        <v>14</v>
      </c>
      <c r="D195" s="263">
        <f t="shared" si="100"/>
        <v>45016</v>
      </c>
      <c r="E195" s="273" t="str">
        <f t="shared" si="101"/>
        <v/>
      </c>
      <c r="F195" s="5"/>
      <c r="G195" s="6" t="str">
        <f t="shared" si="86"/>
        <v/>
      </c>
      <c r="H195" s="7"/>
      <c r="I195" s="7">
        <f t="shared" si="102"/>
        <v>0</v>
      </c>
      <c r="J195" s="76">
        <f t="shared" si="103"/>
        <v>0</v>
      </c>
      <c r="K195" s="7"/>
      <c r="L195" s="7">
        <f t="shared" si="104"/>
        <v>0</v>
      </c>
      <c r="M195" s="76">
        <f t="shared" si="87"/>
        <v>0</v>
      </c>
      <c r="N195" s="76"/>
      <c r="O195" s="76">
        <f t="shared" si="88"/>
        <v>0</v>
      </c>
      <c r="P195" s="76"/>
      <c r="Q195" s="76">
        <f t="shared" si="89"/>
        <v>0</v>
      </c>
      <c r="R195" s="76">
        <f t="shared" si="105"/>
        <v>0</v>
      </c>
      <c r="S195" s="76">
        <f t="shared" si="106"/>
        <v>0</v>
      </c>
      <c r="T195" s="76">
        <f t="shared" si="107"/>
        <v>0</v>
      </c>
      <c r="U195" s="76">
        <f t="shared" si="108"/>
        <v>0</v>
      </c>
      <c r="V195" s="109">
        <f t="shared" si="109"/>
        <v>0</v>
      </c>
      <c r="W195" s="62"/>
      <c r="X195" s="78">
        <f t="shared" si="90"/>
        <v>3.125E-2</v>
      </c>
      <c r="Y195" s="73">
        <f t="shared" si="110"/>
        <v>0</v>
      </c>
      <c r="Z195" s="74">
        <f t="shared" si="111"/>
        <v>0.29166666666666669</v>
      </c>
      <c r="AA195" s="75">
        <f t="shared" si="112"/>
        <v>0</v>
      </c>
      <c r="AB195" s="63" t="str">
        <f t="shared" si="113"/>
        <v/>
      </c>
      <c r="AC195" s="148">
        <f t="shared" si="91"/>
        <v>0</v>
      </c>
      <c r="AD195" s="107" t="str">
        <f t="shared" si="92"/>
        <v/>
      </c>
      <c r="AE195" s="180">
        <f t="shared" si="114"/>
        <v>0</v>
      </c>
      <c r="AF195" s="73"/>
      <c r="AG195" s="525"/>
      <c r="AH195" s="73"/>
      <c r="AI195" s="73" t="str">
        <f t="shared" si="125"/>
        <v/>
      </c>
      <c r="AJ195" s="64">
        <f t="shared" si="93"/>
        <v>0</v>
      </c>
      <c r="AK195" s="64">
        <f t="shared" si="94"/>
        <v>0</v>
      </c>
      <c r="AL195" s="64" t="str">
        <f t="shared" si="95"/>
        <v/>
      </c>
      <c r="AM195">
        <f t="shared" si="96"/>
        <v>4</v>
      </c>
      <c r="AN195" s="85">
        <f>SUM($AD$6:AD195)</f>
        <v>0</v>
      </c>
      <c r="AO195" s="85">
        <f t="shared" ca="1" si="115"/>
        <v>0</v>
      </c>
      <c r="AP195" s="89">
        <f t="shared" si="116"/>
        <v>0</v>
      </c>
      <c r="AQ195" s="89">
        <f t="shared" si="117"/>
        <v>0</v>
      </c>
      <c r="AR195" s="89">
        <f t="shared" si="118"/>
        <v>0</v>
      </c>
      <c r="AS195" s="88">
        <f t="shared" si="119"/>
        <v>30</v>
      </c>
      <c r="AT195" s="88">
        <f t="shared" ca="1" si="120"/>
        <v>30</v>
      </c>
      <c r="AU195" s="98">
        <f t="shared" si="121"/>
        <v>0</v>
      </c>
      <c r="AV195" s="88">
        <f t="shared" si="122"/>
        <v>0</v>
      </c>
      <c r="AW195" t="b">
        <f>OR((F195&gt;0),(NOT(ISBLANK(H195))),SUM(H195:H$373),SUM(G195:G$373))</f>
        <v>0</v>
      </c>
      <c r="AX195" t="b">
        <f t="shared" ca="1" si="97"/>
        <v>0</v>
      </c>
      <c r="AY195" s="519">
        <f t="shared" si="123"/>
        <v>-0.29166666666666669</v>
      </c>
      <c r="AZ195" s="180">
        <f>SUM(AY$5:AY195)</f>
        <v>-38.208333333333336</v>
      </c>
      <c r="BA195" s="567"/>
      <c r="BB195" s="567">
        <f t="shared" si="98"/>
        <v>0</v>
      </c>
      <c r="BC195" s="567"/>
    </row>
    <row r="196" spans="1:55" ht="15.75">
      <c r="A196" s="260">
        <f t="shared" si="124"/>
        <v>45024</v>
      </c>
      <c r="B196" s="261">
        <f t="shared" si="99"/>
        <v>45024</v>
      </c>
      <c r="C196" s="262">
        <f>IF(A196="","",NumberOfWeek(A196))</f>
        <v>14</v>
      </c>
      <c r="D196" s="263">
        <f t="shared" si="100"/>
        <v>45016</v>
      </c>
      <c r="E196" s="273" t="str">
        <f t="shared" si="101"/>
        <v/>
      </c>
      <c r="F196" s="5"/>
      <c r="G196" s="6" t="str">
        <f t="shared" si="86"/>
        <v/>
      </c>
      <c r="H196" s="7"/>
      <c r="I196" s="7">
        <f t="shared" si="102"/>
        <v>0</v>
      </c>
      <c r="J196" s="76">
        <f t="shared" si="103"/>
        <v>0</v>
      </c>
      <c r="K196" s="7"/>
      <c r="L196" s="7">
        <f t="shared" si="104"/>
        <v>0</v>
      </c>
      <c r="M196" s="76">
        <f t="shared" si="87"/>
        <v>0</v>
      </c>
      <c r="N196" s="76"/>
      <c r="O196" s="76">
        <f t="shared" si="88"/>
        <v>0</v>
      </c>
      <c r="P196" s="76"/>
      <c r="Q196" s="76">
        <f t="shared" si="89"/>
        <v>0</v>
      </c>
      <c r="R196" s="76">
        <f t="shared" si="105"/>
        <v>0</v>
      </c>
      <c r="S196" s="76">
        <f t="shared" si="106"/>
        <v>0</v>
      </c>
      <c r="T196" s="76">
        <f t="shared" si="107"/>
        <v>0</v>
      </c>
      <c r="U196" s="76">
        <f t="shared" si="108"/>
        <v>0</v>
      </c>
      <c r="V196" s="109">
        <f t="shared" si="109"/>
        <v>0</v>
      </c>
      <c r="W196" s="62"/>
      <c r="X196" s="78">
        <f t="shared" si="90"/>
        <v>3.125E-2</v>
      </c>
      <c r="Y196" s="73">
        <f t="shared" si="110"/>
        <v>0</v>
      </c>
      <c r="Z196" s="74">
        <f t="shared" si="111"/>
        <v>0.29166666666666669</v>
      </c>
      <c r="AA196" s="75">
        <f t="shared" si="112"/>
        <v>0</v>
      </c>
      <c r="AB196" s="63" t="str">
        <f t="shared" si="113"/>
        <v/>
      </c>
      <c r="AC196" s="148">
        <f t="shared" si="91"/>
        <v>0</v>
      </c>
      <c r="AD196" s="107" t="str">
        <f t="shared" si="92"/>
        <v/>
      </c>
      <c r="AE196" s="180">
        <f t="shared" si="114"/>
        <v>0</v>
      </c>
      <c r="AF196" s="73"/>
      <c r="AG196" s="525"/>
      <c r="AH196" s="73"/>
      <c r="AI196" s="73" t="str">
        <f t="shared" si="125"/>
        <v/>
      </c>
      <c r="AJ196" s="64">
        <f t="shared" si="93"/>
        <v>0</v>
      </c>
      <c r="AK196" s="64">
        <f t="shared" si="94"/>
        <v>0</v>
      </c>
      <c r="AL196" s="64" t="str">
        <f t="shared" si="95"/>
        <v/>
      </c>
      <c r="AM196">
        <f t="shared" si="96"/>
        <v>5</v>
      </c>
      <c r="AN196" s="85">
        <f>SUM($AD$6:AD196)</f>
        <v>0</v>
      </c>
      <c r="AO196" s="85">
        <f t="shared" ca="1" si="115"/>
        <v>0</v>
      </c>
      <c r="AP196" s="89">
        <f t="shared" si="116"/>
        <v>0</v>
      </c>
      <c r="AQ196" s="89">
        <f t="shared" si="117"/>
        <v>0</v>
      </c>
      <c r="AR196" s="89">
        <f t="shared" si="118"/>
        <v>0</v>
      </c>
      <c r="AS196" s="88">
        <f t="shared" si="119"/>
        <v>30</v>
      </c>
      <c r="AT196" s="88">
        <f t="shared" ca="1" si="120"/>
        <v>30</v>
      </c>
      <c r="AU196" s="98">
        <f t="shared" si="121"/>
        <v>0</v>
      </c>
      <c r="AV196" s="88">
        <f t="shared" si="122"/>
        <v>0</v>
      </c>
      <c r="AW196" t="b">
        <f>OR((F196&gt;0),(NOT(ISBLANK(H196))),SUM(H196:H$373),SUM(G196:G$373))</f>
        <v>0</v>
      </c>
      <c r="AX196" t="b">
        <f t="shared" ca="1" si="97"/>
        <v>0</v>
      </c>
      <c r="AY196" s="519">
        <f t="shared" si="123"/>
        <v>-0.29166666666666669</v>
      </c>
      <c r="AZ196" s="180">
        <f>SUM(AY$5:AY196)</f>
        <v>-38.5</v>
      </c>
      <c r="BA196" s="567"/>
      <c r="BB196" s="567">
        <f t="shared" si="98"/>
        <v>0</v>
      </c>
      <c r="BC196" s="567"/>
    </row>
    <row r="197" spans="1:55" ht="15.75">
      <c r="A197" s="260">
        <f t="shared" si="124"/>
        <v>45025</v>
      </c>
      <c r="B197" s="261">
        <f t="shared" si="99"/>
        <v>45025</v>
      </c>
      <c r="C197" s="262">
        <f>IF(A197="","",NumberOfWeek(A197))</f>
        <v>14</v>
      </c>
      <c r="D197" s="263">
        <f t="shared" si="100"/>
        <v>45016</v>
      </c>
      <c r="E197" s="273" t="str">
        <f t="shared" si="101"/>
        <v/>
      </c>
      <c r="F197" s="5"/>
      <c r="G197" s="6" t="str">
        <f t="shared" ref="G197:G260" si="126">IF(ISBLANK(F197),IF(ISBLANK(H197),"",0),CODE(UPPER(F197)))</f>
        <v/>
      </c>
      <c r="H197" s="7"/>
      <c r="I197" s="7">
        <f t="shared" si="102"/>
        <v>0</v>
      </c>
      <c r="J197" s="76">
        <f t="shared" si="103"/>
        <v>0</v>
      </c>
      <c r="K197" s="7"/>
      <c r="L197" s="7">
        <f t="shared" si="104"/>
        <v>0</v>
      </c>
      <c r="M197" s="76">
        <f t="shared" ref="M197:M260" si="127">IF(L197&lt;K197,L197+1,L197)</f>
        <v>0</v>
      </c>
      <c r="N197" s="76"/>
      <c r="O197" s="76">
        <f t="shared" ref="O197:O260" si="128">IF(N197&gt;0,N197+IF((J197-H197+M197-K197)&lt;Y197,Y197-(J197-H197+M197-K197),TIME(0,10,0))+IF((K197-J197+N197-M197)&gt;xNoWorkTime,0,xNoWorkTime-(K197-J197+N197-M197)),0)</f>
        <v>0</v>
      </c>
      <c r="P197" s="76"/>
      <c r="Q197" s="76">
        <f t="shared" ref="Q197:Q260" si="129">IF(O197&lt;N197,O197+1,O197)</f>
        <v>0</v>
      </c>
      <c r="R197" s="76">
        <f t="shared" si="105"/>
        <v>0</v>
      </c>
      <c r="S197" s="76">
        <f t="shared" si="106"/>
        <v>0</v>
      </c>
      <c r="T197" s="76">
        <f t="shared" si="107"/>
        <v>0</v>
      </c>
      <c r="U197" s="76">
        <f t="shared" si="108"/>
        <v>0</v>
      </c>
      <c r="V197" s="109">
        <f t="shared" si="109"/>
        <v>0</v>
      </c>
      <c r="W197" s="62"/>
      <c r="X197" s="78">
        <f t="shared" ref="X197:X260" si="130">xNoWorkTime</f>
        <v>3.125E-2</v>
      </c>
      <c r="Y197" s="73">
        <f t="shared" si="110"/>
        <v>0</v>
      </c>
      <c r="Z197" s="74">
        <f t="shared" si="111"/>
        <v>0</v>
      </c>
      <c r="AA197" s="75">
        <f t="shared" si="112"/>
        <v>0</v>
      </c>
      <c r="AB197" s="63" t="str">
        <f t="shared" si="113"/>
        <v/>
      </c>
      <c r="AC197" s="148">
        <f t="shared" ref="AC197:AC260" si="131">xOverTime</f>
        <v>0</v>
      </c>
      <c r="AD197" s="107" t="str">
        <f t="shared" ref="AD197:AD260" si="132">IF((R197-U197)&gt;XWorkTimeMax,(R197-U197-XWorkTimeMax),"")</f>
        <v/>
      </c>
      <c r="AE197" s="180">
        <f t="shared" si="114"/>
        <v>0</v>
      </c>
      <c r="AF197" s="73"/>
      <c r="AG197" s="525"/>
      <c r="AH197" s="73"/>
      <c r="AI197" s="73" t="str">
        <f t="shared" si="125"/>
        <v/>
      </c>
      <c r="AJ197" s="64">
        <f t="shared" ref="AJ197:AJ260" si="133">IF(ISNUMBER(V197 ), IF( V197 &gt;= Y197, Y197, V197 ),"")</f>
        <v>0</v>
      </c>
      <c r="AK197" s="64">
        <f t="shared" ref="AK197:AK260" si="134">IF( ISNUMBER( V197 ), IF( V197 &gt;= Y197, V197 - Y197, "" ), "" )</f>
        <v>0</v>
      </c>
      <c r="AL197" s="64" t="str">
        <f t="shared" ref="AL197:AL260" si="135">IF( AND(ISNUMBER( V197 ),ISNUMBER( Y197 )), IF( V197 &gt;= Y197, "", Y197 - V197 ), "" )</f>
        <v/>
      </c>
      <c r="AM197">
        <f t="shared" ref="AM197:AM260" si="136">IF(A197="",0,IF(ISERROR(VLOOKUP(A197,db_Feiertag,2,FALSE)),WEEKDAY(A197,2),Feiertag))</f>
        <v>6</v>
      </c>
      <c r="AN197" s="85">
        <f>SUM($AD$6:AD197)</f>
        <v>0</v>
      </c>
      <c r="AO197" s="85">
        <f t="shared" ca="1" si="115"/>
        <v>0</v>
      </c>
      <c r="AP197" s="89">
        <f t="shared" si="116"/>
        <v>0</v>
      </c>
      <c r="AQ197" s="89">
        <f t="shared" si="117"/>
        <v>0</v>
      </c>
      <c r="AR197" s="89">
        <f t="shared" si="118"/>
        <v>0</v>
      </c>
      <c r="AS197" s="88">
        <f t="shared" si="119"/>
        <v>30</v>
      </c>
      <c r="AT197" s="88">
        <f t="shared" ca="1" si="120"/>
        <v>30</v>
      </c>
      <c r="AU197" s="98">
        <f t="shared" si="121"/>
        <v>0</v>
      </c>
      <c r="AV197" s="88">
        <f t="shared" si="122"/>
        <v>7</v>
      </c>
      <c r="AW197" t="b">
        <f>OR((F197&gt;0),(NOT(ISBLANK(H197))),SUM(H197:H$373),SUM(G197:G$373))</f>
        <v>0</v>
      </c>
      <c r="AX197" t="b">
        <f t="shared" ref="AX197:AX260" ca="1" si="137">INDIRECT(ADDRESS(ROW(),COLUMN(xDay)))&gt;5</f>
        <v>1</v>
      </c>
      <c r="AY197" s="519">
        <f t="shared" si="123"/>
        <v>0</v>
      </c>
      <c r="AZ197" s="180">
        <f>SUM(AY$5:AY197)</f>
        <v>-38.5</v>
      </c>
      <c r="BA197" s="567"/>
      <c r="BB197" s="567">
        <f t="shared" ref="BB197:BB260" si="138">IF(ISNA(MATCH(BA197,B_Arbeitsort,0)),0,MATCH(BA197,B_Arbeitsort,0))</f>
        <v>0</v>
      </c>
      <c r="BC197" s="567"/>
    </row>
    <row r="198" spans="1:55" ht="15.75">
      <c r="A198" s="260">
        <f t="shared" si="124"/>
        <v>45026</v>
      </c>
      <c r="B198" s="261">
        <f t="shared" ref="B198:B261" si="139">IF(A198="","",A198)</f>
        <v>45026</v>
      </c>
      <c r="C198" s="262">
        <f>IF(A198="","",NumberOfWeek(A198))</f>
        <v>14</v>
      </c>
      <c r="D198" s="263">
        <f t="shared" ref="D198:D261" si="140">IF(A198="","",DATE(YEAR(A198),MONTH(A198),1))</f>
        <v>45016</v>
      </c>
      <c r="E198" s="273" t="str">
        <f t="shared" ref="E198:E261" si="141">IF((R198-U198)&gt;XWorkTimeMax,$Z$4,IF(AV198=Feiertag,VLOOKUP(B198,db_Feiertag,2,FALSE),""))</f>
        <v/>
      </c>
      <c r="F198" s="5"/>
      <c r="G198" s="6" t="str">
        <f t="shared" si="126"/>
        <v/>
      </c>
      <c r="H198" s="7"/>
      <c r="I198" s="7">
        <f t="shared" ref="I198:I261" si="142">IF(H198&gt;0,H198+Y198+X198+AC198,0)</f>
        <v>0</v>
      </c>
      <c r="J198" s="76">
        <f t="shared" ref="J198:J261" si="143">IF(K198&gt;I198,IF(I198&lt;H198,I198+1,I198)-B_WalkTime,IF(I198&lt;H198,I198+1,I198))</f>
        <v>0</v>
      </c>
      <c r="K198" s="7"/>
      <c r="L198" s="7">
        <f t="shared" ref="L198:L261" si="144">IF(K198&gt;0,K198+IF((J198-H198)&lt;Y198,Y198-(J198-H198),TIME(0,10,0))+IF((K198-J198)&gt;xNoWorkTime,0,xNoWorkTime-(K198-J198)),0)</f>
        <v>0</v>
      </c>
      <c r="M198" s="76">
        <f t="shared" si="127"/>
        <v>0</v>
      </c>
      <c r="N198" s="76"/>
      <c r="O198" s="76">
        <f t="shared" si="128"/>
        <v>0</v>
      </c>
      <c r="P198" s="76"/>
      <c r="Q198" s="76">
        <f t="shared" si="129"/>
        <v>0</v>
      </c>
      <c r="R198" s="76">
        <f t="shared" ref="R198:R261" si="145">J198-H198+M198-K198+Q198-N198</f>
        <v>0</v>
      </c>
      <c r="S198" s="76">
        <f t="shared" ref="S198:S261" si="146">IF(K198&gt;0,K198-I198,0)+IF(N198&gt;0,N198-L198)</f>
        <v>0</v>
      </c>
      <c r="T198" s="76">
        <f t="shared" ref="T198:T261" si="147">IF(H198&gt;0,(IF(R198&gt;B_Pause1Nach,B_Pause1Dauer+IF(BA198="Büro",B_WalkTime,0),IF(BA198="Büro",B_WalkTime,0))+IF(R198&gt;B_Pause2Nach,B_Pause2Dauer,0)),0)</f>
        <v>0</v>
      </c>
      <c r="U198" s="76">
        <f t="shared" ref="U198:U261" si="148">IF(T198&gt;S198,T198-S198,0)</f>
        <v>0</v>
      </c>
      <c r="V198" s="109">
        <f t="shared" ref="V198:V261" si="149">IF(F198="S",Z198,(IF((R198-U198)&gt;XWorkTimeMax,XWorkTimeMax,IF((R198-U198)&gt;0,R198-U198,0))))</f>
        <v>0</v>
      </c>
      <c r="W198" s="62"/>
      <c r="X198" s="78">
        <f t="shared" si="130"/>
        <v>3.125E-2</v>
      </c>
      <c r="Y198" s="73">
        <f t="shared" ref="Y198:Y261" si="150">IF(AND((AM198&lt;Feiertag),(G198&lt;&gt;85)),IF(OR(F198="B",F198="G",F198="S",H198&gt;0),H198-H198+Z198,0),0)</f>
        <v>0</v>
      </c>
      <c r="Z198" s="74">
        <f t="shared" ref="Z198:Z261" si="151">IF(AND(AM198&gt;0,AM198&lt;Feiertag),INDEX(Arbeitszeit,AM198),"")</f>
        <v>0</v>
      </c>
      <c r="AA198" s="75">
        <f t="shared" ref="AA198:AA261" si="152">V198-Y198</f>
        <v>0</v>
      </c>
      <c r="AB198" s="63" t="str">
        <f t="shared" ref="AB198:AB261" si="153">IF((V198-Y198)&lt;0,"*","")</f>
        <v/>
      </c>
      <c r="AC198" s="148">
        <f t="shared" si="131"/>
        <v>0</v>
      </c>
      <c r="AD198" s="107" t="str">
        <f t="shared" si="132"/>
        <v/>
      </c>
      <c r="AE198" s="180">
        <f t="shared" ref="AE198:AE261" si="154">IF(AW198,(AE197+SUM(AA198)+(IF(AG198="+",AF198,-AF198))),)</f>
        <v>0</v>
      </c>
      <c r="AF198" s="73"/>
      <c r="AG198" s="525"/>
      <c r="AH198" s="73"/>
      <c r="AI198" s="73" t="str">
        <f t="shared" si="125"/>
        <v/>
      </c>
      <c r="AJ198" s="64">
        <f t="shared" si="133"/>
        <v>0</v>
      </c>
      <c r="AK198" s="64">
        <f t="shared" si="134"/>
        <v>0</v>
      </c>
      <c r="AL198" s="64" t="str">
        <f t="shared" si="135"/>
        <v/>
      </c>
      <c r="AM198">
        <f t="shared" si="136"/>
        <v>7</v>
      </c>
      <c r="AN198" s="85">
        <f>SUM($AD$6:AD198)</f>
        <v>0</v>
      </c>
      <c r="AO198" s="85">
        <f t="shared" ref="AO198:AO261" ca="1" si="155">IF(D198=D197,AO197,OFFSET(AO198,-1,COLUMN(db_jSaldoGes)-COLUMN()))</f>
        <v>0</v>
      </c>
      <c r="AP198" s="89">
        <f t="shared" ref="AP198:AP261" si="156">IF(OR($G198=-1,$G198=82),-1,IF(OR($G198=0,$G198=83),1,0))</f>
        <v>0</v>
      </c>
      <c r="AQ198" s="89">
        <f t="shared" ref="AQ198:AQ261" si="157">IF($F198=Krank,1,IF($F198="J",-1,0))</f>
        <v>0</v>
      </c>
      <c r="AR198" s="89">
        <f t="shared" ref="AR198:AR261" si="158">IF($F198=Urlaub,1,IF($F198="T",-1,0))</f>
        <v>0</v>
      </c>
      <c r="AS198" s="88">
        <f t="shared" ref="AS198:AS261" si="159">IF(A198="","",AS197-IF(F198=Urlaub,1,0)+IF(AND(MONTH(A198)=1,DAY(A198)=1),B_UrlaubNeu,0))</f>
        <v>30</v>
      </c>
      <c r="AT198" s="88">
        <f t="shared" ref="AT198:AT261" ca="1" si="160">IF(A198="","",IF(D198=D197,AT197,OFFSET(AT198,-1,COLUMN(db_jUrlRest)-COLUMN()))+IF(AND(MONTH(A198)=1,DAY(A198)=1),B_UrlaubNeu,0))</f>
        <v>30</v>
      </c>
      <c r="AU198" s="98">
        <f t="shared" ref="AU198:AU261" si="161">(IF(ISNUMBER(V198),V198,0)+IF(ISNUMBER(AD198),AD198,0))*24</f>
        <v>0</v>
      </c>
      <c r="AV198" s="88">
        <f t="shared" ref="AV198:AV261" si="162">IF(ISNUMBER(AD198),K_ArbeitOverMax,IF(AND(ISNUMBER(AA198),AA198&gt;0),K_ArbeitOverTime,IF(AND(ISNUMBER(V198),V198&gt;0),K_ArbeitNormal,IF(F198=Krank,K_Krank,IF(F198=Urlaub,K_Urlaub,IF(AM198=Feiertag,K_Feiertag,IF(OR(AM198=6,AM198=7),K_Wochenende,0)))))))+IF(F198=Gleittag,K_Gleittag,0)</f>
        <v>7</v>
      </c>
      <c r="AW198" t="b">
        <f>OR((F198&gt;0),(NOT(ISBLANK(H198))),SUM(H198:H$373),SUM(G198:G$373))</f>
        <v>0</v>
      </c>
      <c r="AX198" t="b">
        <f t="shared" ca="1" si="137"/>
        <v>1</v>
      </c>
      <c r="AY198" s="519">
        <f t="shared" ref="AY198:AY261" si="163">IF(OR(R198&lt;&gt;0,F198&lt;&gt;0),AA198,IF(Z198="",0,-Z198))+(IF(AG198="+",AF198,-AF198))</f>
        <v>0</v>
      </c>
      <c r="AZ198" s="180">
        <f>SUM(AY$5:AY198)</f>
        <v>-38.5</v>
      </c>
      <c r="BA198" s="567"/>
      <c r="BB198" s="567">
        <f t="shared" si="138"/>
        <v>0</v>
      </c>
      <c r="BC198" s="567"/>
    </row>
    <row r="199" spans="1:55" ht="15.75">
      <c r="A199" s="260">
        <f t="shared" ref="A199:A262" si="164">IF(A198="","",IF((A198+1)&gt;=DATE(YEAR(xJahr)+1,MONTH(xJahr),DAY(xJahr)),"",A198+1))</f>
        <v>45027</v>
      </c>
      <c r="B199" s="261">
        <f t="shared" si="139"/>
        <v>45027</v>
      </c>
      <c r="C199" s="262">
        <f>IF(A199="","",NumberOfWeek(A199))</f>
        <v>15</v>
      </c>
      <c r="D199" s="263">
        <f t="shared" si="140"/>
        <v>45016</v>
      </c>
      <c r="E199" s="273" t="str">
        <f t="shared" si="141"/>
        <v/>
      </c>
      <c r="F199" s="5"/>
      <c r="G199" s="6" t="str">
        <f t="shared" si="126"/>
        <v/>
      </c>
      <c r="H199" s="7"/>
      <c r="I199" s="7">
        <f t="shared" si="142"/>
        <v>0</v>
      </c>
      <c r="J199" s="76">
        <f t="shared" si="143"/>
        <v>0</v>
      </c>
      <c r="K199" s="7"/>
      <c r="L199" s="7">
        <f t="shared" si="144"/>
        <v>0</v>
      </c>
      <c r="M199" s="76">
        <f t="shared" si="127"/>
        <v>0</v>
      </c>
      <c r="N199" s="76"/>
      <c r="O199" s="76">
        <f t="shared" si="128"/>
        <v>0</v>
      </c>
      <c r="P199" s="76"/>
      <c r="Q199" s="76">
        <f t="shared" si="129"/>
        <v>0</v>
      </c>
      <c r="R199" s="76">
        <f t="shared" si="145"/>
        <v>0</v>
      </c>
      <c r="S199" s="76">
        <f t="shared" si="146"/>
        <v>0</v>
      </c>
      <c r="T199" s="76">
        <f t="shared" si="147"/>
        <v>0</v>
      </c>
      <c r="U199" s="76">
        <f t="shared" si="148"/>
        <v>0</v>
      </c>
      <c r="V199" s="109">
        <f t="shared" si="149"/>
        <v>0</v>
      </c>
      <c r="W199" s="62"/>
      <c r="X199" s="78">
        <f t="shared" si="130"/>
        <v>3.125E-2</v>
      </c>
      <c r="Y199" s="73">
        <f t="shared" si="150"/>
        <v>0</v>
      </c>
      <c r="Z199" s="74">
        <f t="shared" si="151"/>
        <v>0.29166666666666669</v>
      </c>
      <c r="AA199" s="75">
        <f t="shared" si="152"/>
        <v>0</v>
      </c>
      <c r="AB199" s="63" t="str">
        <f t="shared" si="153"/>
        <v/>
      </c>
      <c r="AC199" s="148">
        <f t="shared" si="131"/>
        <v>0</v>
      </c>
      <c r="AD199" s="107" t="str">
        <f t="shared" si="132"/>
        <v/>
      </c>
      <c r="AE199" s="180">
        <f t="shared" si="154"/>
        <v>0</v>
      </c>
      <c r="AF199" s="73"/>
      <c r="AG199" s="525"/>
      <c r="AH199" s="73"/>
      <c r="AI199" s="73" t="str">
        <f t="shared" si="125"/>
        <v/>
      </c>
      <c r="AJ199" s="64">
        <f t="shared" si="133"/>
        <v>0</v>
      </c>
      <c r="AK199" s="64">
        <f t="shared" si="134"/>
        <v>0</v>
      </c>
      <c r="AL199" s="64" t="str">
        <f t="shared" si="135"/>
        <v/>
      </c>
      <c r="AM199">
        <f t="shared" si="136"/>
        <v>1</v>
      </c>
      <c r="AN199" s="85">
        <f>SUM($AD$6:AD199)</f>
        <v>0</v>
      </c>
      <c r="AO199" s="85">
        <f t="shared" ca="1" si="155"/>
        <v>0</v>
      </c>
      <c r="AP199" s="89">
        <f t="shared" si="156"/>
        <v>0</v>
      </c>
      <c r="AQ199" s="89">
        <f t="shared" si="157"/>
        <v>0</v>
      </c>
      <c r="AR199" s="89">
        <f t="shared" si="158"/>
        <v>0</v>
      </c>
      <c r="AS199" s="88">
        <f t="shared" si="159"/>
        <v>30</v>
      </c>
      <c r="AT199" s="88">
        <f t="shared" ca="1" si="160"/>
        <v>30</v>
      </c>
      <c r="AU199" s="98">
        <f t="shared" si="161"/>
        <v>0</v>
      </c>
      <c r="AV199" s="88">
        <f t="shared" si="162"/>
        <v>0</v>
      </c>
      <c r="AW199" t="b">
        <f>OR((F199&gt;0),(NOT(ISBLANK(H199))),SUM(H199:H$373),SUM(G199:G$373))</f>
        <v>0</v>
      </c>
      <c r="AX199" t="b">
        <f t="shared" ca="1" si="137"/>
        <v>0</v>
      </c>
      <c r="AY199" s="519">
        <f t="shared" si="163"/>
        <v>-0.29166666666666669</v>
      </c>
      <c r="AZ199" s="180">
        <f>SUM(AY$5:AY199)</f>
        <v>-38.791666666666664</v>
      </c>
      <c r="BA199" s="567"/>
      <c r="BB199" s="567">
        <f t="shared" si="138"/>
        <v>0</v>
      </c>
      <c r="BC199" s="567"/>
    </row>
    <row r="200" spans="1:55" ht="15.75">
      <c r="A200" s="260">
        <f t="shared" si="164"/>
        <v>45028</v>
      </c>
      <c r="B200" s="261">
        <f t="shared" si="139"/>
        <v>45028</v>
      </c>
      <c r="C200" s="262">
        <f>IF(A200="","",NumberOfWeek(A200))</f>
        <v>15</v>
      </c>
      <c r="D200" s="263">
        <f t="shared" si="140"/>
        <v>45016</v>
      </c>
      <c r="E200" s="273" t="str">
        <f t="shared" si="141"/>
        <v/>
      </c>
      <c r="F200" s="5"/>
      <c r="G200" s="6" t="str">
        <f t="shared" si="126"/>
        <v/>
      </c>
      <c r="H200" s="7"/>
      <c r="I200" s="7">
        <f t="shared" si="142"/>
        <v>0</v>
      </c>
      <c r="J200" s="76">
        <f t="shared" si="143"/>
        <v>0</v>
      </c>
      <c r="K200" s="7"/>
      <c r="L200" s="7">
        <f t="shared" si="144"/>
        <v>0</v>
      </c>
      <c r="M200" s="76">
        <f t="shared" si="127"/>
        <v>0</v>
      </c>
      <c r="N200" s="76"/>
      <c r="O200" s="76">
        <f t="shared" si="128"/>
        <v>0</v>
      </c>
      <c r="P200" s="76"/>
      <c r="Q200" s="76">
        <f t="shared" si="129"/>
        <v>0</v>
      </c>
      <c r="R200" s="76">
        <f t="shared" si="145"/>
        <v>0</v>
      </c>
      <c r="S200" s="76">
        <f t="shared" si="146"/>
        <v>0</v>
      </c>
      <c r="T200" s="76">
        <f t="shared" si="147"/>
        <v>0</v>
      </c>
      <c r="U200" s="76">
        <f t="shared" si="148"/>
        <v>0</v>
      </c>
      <c r="V200" s="109">
        <f t="shared" si="149"/>
        <v>0</v>
      </c>
      <c r="W200" s="62"/>
      <c r="X200" s="78">
        <f t="shared" si="130"/>
        <v>3.125E-2</v>
      </c>
      <c r="Y200" s="73">
        <f t="shared" si="150"/>
        <v>0</v>
      </c>
      <c r="Z200" s="74">
        <f t="shared" si="151"/>
        <v>0.29166666666666669</v>
      </c>
      <c r="AA200" s="75">
        <f t="shared" si="152"/>
        <v>0</v>
      </c>
      <c r="AB200" s="63" t="str">
        <f t="shared" si="153"/>
        <v/>
      </c>
      <c r="AC200" s="148">
        <f t="shared" si="131"/>
        <v>0</v>
      </c>
      <c r="AD200" s="107" t="str">
        <f t="shared" si="132"/>
        <v/>
      </c>
      <c r="AE200" s="180">
        <f t="shared" si="154"/>
        <v>0</v>
      </c>
      <c r="AF200" s="73"/>
      <c r="AG200" s="525"/>
      <c r="AH200" s="73"/>
      <c r="AI200" s="73" t="str">
        <f t="shared" si="125"/>
        <v/>
      </c>
      <c r="AJ200" s="64">
        <f t="shared" si="133"/>
        <v>0</v>
      </c>
      <c r="AK200" s="64">
        <f t="shared" si="134"/>
        <v>0</v>
      </c>
      <c r="AL200" s="64" t="str">
        <f t="shared" si="135"/>
        <v/>
      </c>
      <c r="AM200">
        <f t="shared" si="136"/>
        <v>2</v>
      </c>
      <c r="AN200" s="85">
        <f>SUM($AD$6:AD200)</f>
        <v>0</v>
      </c>
      <c r="AO200" s="85">
        <f t="shared" ca="1" si="155"/>
        <v>0</v>
      </c>
      <c r="AP200" s="89">
        <f t="shared" si="156"/>
        <v>0</v>
      </c>
      <c r="AQ200" s="89">
        <f t="shared" si="157"/>
        <v>0</v>
      </c>
      <c r="AR200" s="89">
        <f t="shared" si="158"/>
        <v>0</v>
      </c>
      <c r="AS200" s="88">
        <f t="shared" si="159"/>
        <v>30</v>
      </c>
      <c r="AT200" s="88">
        <f t="shared" ca="1" si="160"/>
        <v>30</v>
      </c>
      <c r="AU200" s="98">
        <f t="shared" si="161"/>
        <v>0</v>
      </c>
      <c r="AV200" s="88">
        <f t="shared" si="162"/>
        <v>0</v>
      </c>
      <c r="AW200" t="b">
        <f>OR((F200&gt;0),(NOT(ISBLANK(H200))),SUM(H200:H$373),SUM(G200:G$373))</f>
        <v>0</v>
      </c>
      <c r="AX200" t="b">
        <f t="shared" ca="1" si="137"/>
        <v>0</v>
      </c>
      <c r="AY200" s="519">
        <f t="shared" si="163"/>
        <v>-0.29166666666666669</v>
      </c>
      <c r="AZ200" s="180">
        <f>SUM(AY$5:AY200)</f>
        <v>-39.083333333333329</v>
      </c>
      <c r="BA200" s="567"/>
      <c r="BB200" s="567">
        <f t="shared" si="138"/>
        <v>0</v>
      </c>
      <c r="BC200" s="567"/>
    </row>
    <row r="201" spans="1:55" ht="15.75">
      <c r="A201" s="260">
        <f t="shared" si="164"/>
        <v>45029</v>
      </c>
      <c r="B201" s="261">
        <f t="shared" si="139"/>
        <v>45029</v>
      </c>
      <c r="C201" s="262">
        <f>IF(A201="","",NumberOfWeek(A201))</f>
        <v>15</v>
      </c>
      <c r="D201" s="263">
        <f t="shared" si="140"/>
        <v>45016</v>
      </c>
      <c r="E201" s="273" t="str">
        <f t="shared" si="141"/>
        <v/>
      </c>
      <c r="F201" s="5"/>
      <c r="G201" s="6" t="str">
        <f t="shared" si="126"/>
        <v/>
      </c>
      <c r="H201" s="7"/>
      <c r="I201" s="7">
        <f t="shared" si="142"/>
        <v>0</v>
      </c>
      <c r="J201" s="76">
        <f t="shared" si="143"/>
        <v>0</v>
      </c>
      <c r="K201" s="7"/>
      <c r="L201" s="7">
        <f t="shared" si="144"/>
        <v>0</v>
      </c>
      <c r="M201" s="76">
        <f t="shared" si="127"/>
        <v>0</v>
      </c>
      <c r="N201" s="76"/>
      <c r="O201" s="76">
        <f t="shared" si="128"/>
        <v>0</v>
      </c>
      <c r="P201" s="76"/>
      <c r="Q201" s="76">
        <f t="shared" si="129"/>
        <v>0</v>
      </c>
      <c r="R201" s="76">
        <f t="shared" si="145"/>
        <v>0</v>
      </c>
      <c r="S201" s="76">
        <f t="shared" si="146"/>
        <v>0</v>
      </c>
      <c r="T201" s="76">
        <f t="shared" si="147"/>
        <v>0</v>
      </c>
      <c r="U201" s="76">
        <f t="shared" si="148"/>
        <v>0</v>
      </c>
      <c r="V201" s="109">
        <f t="shared" si="149"/>
        <v>0</v>
      </c>
      <c r="W201" s="62"/>
      <c r="X201" s="78">
        <f t="shared" si="130"/>
        <v>3.125E-2</v>
      </c>
      <c r="Y201" s="73">
        <f t="shared" si="150"/>
        <v>0</v>
      </c>
      <c r="Z201" s="74">
        <f t="shared" si="151"/>
        <v>0.29166666666666669</v>
      </c>
      <c r="AA201" s="75">
        <f t="shared" si="152"/>
        <v>0</v>
      </c>
      <c r="AB201" s="63" t="str">
        <f t="shared" si="153"/>
        <v/>
      </c>
      <c r="AC201" s="148">
        <f t="shared" si="131"/>
        <v>0</v>
      </c>
      <c r="AD201" s="107" t="str">
        <f t="shared" si="132"/>
        <v/>
      </c>
      <c r="AE201" s="180">
        <f t="shared" si="154"/>
        <v>0</v>
      </c>
      <c r="AF201" s="73"/>
      <c r="AG201" s="525"/>
      <c r="AH201" s="73"/>
      <c r="AI201" s="73" t="str">
        <f t="shared" si="125"/>
        <v/>
      </c>
      <c r="AJ201" s="64">
        <f t="shared" si="133"/>
        <v>0</v>
      </c>
      <c r="AK201" s="64">
        <f t="shared" si="134"/>
        <v>0</v>
      </c>
      <c r="AL201" s="64" t="str">
        <f t="shared" si="135"/>
        <v/>
      </c>
      <c r="AM201">
        <f t="shared" si="136"/>
        <v>3</v>
      </c>
      <c r="AN201" s="85">
        <f>SUM($AD$6:AD201)</f>
        <v>0</v>
      </c>
      <c r="AO201" s="85">
        <f t="shared" ca="1" si="155"/>
        <v>0</v>
      </c>
      <c r="AP201" s="89">
        <f t="shared" si="156"/>
        <v>0</v>
      </c>
      <c r="AQ201" s="89">
        <f t="shared" si="157"/>
        <v>0</v>
      </c>
      <c r="AR201" s="89">
        <f t="shared" si="158"/>
        <v>0</v>
      </c>
      <c r="AS201" s="88">
        <f t="shared" si="159"/>
        <v>30</v>
      </c>
      <c r="AT201" s="88">
        <f t="shared" ca="1" si="160"/>
        <v>30</v>
      </c>
      <c r="AU201" s="98">
        <f t="shared" si="161"/>
        <v>0</v>
      </c>
      <c r="AV201" s="88">
        <f t="shared" si="162"/>
        <v>0</v>
      </c>
      <c r="AW201" t="b">
        <f>OR((F201&gt;0),(NOT(ISBLANK(H201))),SUM(H201:H$373),SUM(G201:G$373))</f>
        <v>0</v>
      </c>
      <c r="AX201" t="b">
        <f t="shared" ca="1" si="137"/>
        <v>0</v>
      </c>
      <c r="AY201" s="519">
        <f t="shared" si="163"/>
        <v>-0.29166666666666669</v>
      </c>
      <c r="AZ201" s="180">
        <f>SUM(AY$5:AY201)</f>
        <v>-39.374999999999993</v>
      </c>
      <c r="BA201" s="567"/>
      <c r="BB201" s="567">
        <f t="shared" si="138"/>
        <v>0</v>
      </c>
      <c r="BC201" s="567"/>
    </row>
    <row r="202" spans="1:55" ht="15.75">
      <c r="A202" s="260">
        <f t="shared" si="164"/>
        <v>45030</v>
      </c>
      <c r="B202" s="261">
        <f t="shared" si="139"/>
        <v>45030</v>
      </c>
      <c r="C202" s="262">
        <f>IF(A202="","",NumberOfWeek(A202))</f>
        <v>15</v>
      </c>
      <c r="D202" s="263">
        <f t="shared" si="140"/>
        <v>45016</v>
      </c>
      <c r="E202" s="273" t="str">
        <f t="shared" si="141"/>
        <v/>
      </c>
      <c r="F202" s="5"/>
      <c r="G202" s="6" t="str">
        <f t="shared" si="126"/>
        <v/>
      </c>
      <c r="H202" s="7"/>
      <c r="I202" s="7">
        <f t="shared" si="142"/>
        <v>0</v>
      </c>
      <c r="J202" s="76">
        <f t="shared" si="143"/>
        <v>0</v>
      </c>
      <c r="K202" s="7"/>
      <c r="L202" s="7">
        <f t="shared" si="144"/>
        <v>0</v>
      </c>
      <c r="M202" s="76">
        <f t="shared" si="127"/>
        <v>0</v>
      </c>
      <c r="N202" s="76"/>
      <c r="O202" s="76">
        <f t="shared" si="128"/>
        <v>0</v>
      </c>
      <c r="P202" s="76"/>
      <c r="Q202" s="76">
        <f t="shared" si="129"/>
        <v>0</v>
      </c>
      <c r="R202" s="76">
        <f t="shared" si="145"/>
        <v>0</v>
      </c>
      <c r="S202" s="76">
        <f t="shared" si="146"/>
        <v>0</v>
      </c>
      <c r="T202" s="76">
        <f t="shared" si="147"/>
        <v>0</v>
      </c>
      <c r="U202" s="76">
        <f t="shared" si="148"/>
        <v>0</v>
      </c>
      <c r="V202" s="109">
        <f t="shared" si="149"/>
        <v>0</v>
      </c>
      <c r="W202" s="62"/>
      <c r="X202" s="78">
        <f t="shared" si="130"/>
        <v>3.125E-2</v>
      </c>
      <c r="Y202" s="73">
        <f t="shared" si="150"/>
        <v>0</v>
      </c>
      <c r="Z202" s="74">
        <f t="shared" si="151"/>
        <v>0.29166666666666669</v>
      </c>
      <c r="AA202" s="75">
        <f t="shared" si="152"/>
        <v>0</v>
      </c>
      <c r="AB202" s="63" t="str">
        <f t="shared" si="153"/>
        <v/>
      </c>
      <c r="AC202" s="148">
        <f t="shared" si="131"/>
        <v>0</v>
      </c>
      <c r="AD202" s="107" t="str">
        <f t="shared" si="132"/>
        <v/>
      </c>
      <c r="AE202" s="180">
        <f t="shared" si="154"/>
        <v>0</v>
      </c>
      <c r="AF202" s="73"/>
      <c r="AG202" s="525"/>
      <c r="AH202" s="73"/>
      <c r="AI202" s="73" t="str">
        <f t="shared" si="125"/>
        <v/>
      </c>
      <c r="AJ202" s="64">
        <f t="shared" si="133"/>
        <v>0</v>
      </c>
      <c r="AK202" s="64">
        <f t="shared" si="134"/>
        <v>0</v>
      </c>
      <c r="AL202" s="64" t="str">
        <f t="shared" si="135"/>
        <v/>
      </c>
      <c r="AM202">
        <f t="shared" si="136"/>
        <v>4</v>
      </c>
      <c r="AN202" s="85">
        <f>SUM($AD$6:AD202)</f>
        <v>0</v>
      </c>
      <c r="AO202" s="85">
        <f t="shared" ca="1" si="155"/>
        <v>0</v>
      </c>
      <c r="AP202" s="89">
        <f t="shared" si="156"/>
        <v>0</v>
      </c>
      <c r="AQ202" s="89">
        <f t="shared" si="157"/>
        <v>0</v>
      </c>
      <c r="AR202" s="89">
        <f t="shared" si="158"/>
        <v>0</v>
      </c>
      <c r="AS202" s="88">
        <f t="shared" si="159"/>
        <v>30</v>
      </c>
      <c r="AT202" s="88">
        <f t="shared" ca="1" si="160"/>
        <v>30</v>
      </c>
      <c r="AU202" s="98">
        <f t="shared" si="161"/>
        <v>0</v>
      </c>
      <c r="AV202" s="88">
        <f t="shared" si="162"/>
        <v>0</v>
      </c>
      <c r="AW202" t="b">
        <f>OR((F202&gt;0),(NOT(ISBLANK(H202))),SUM(H202:H$373),SUM(G202:G$373))</f>
        <v>0</v>
      </c>
      <c r="AX202" t="b">
        <f t="shared" ca="1" si="137"/>
        <v>0</v>
      </c>
      <c r="AY202" s="519">
        <f t="shared" si="163"/>
        <v>-0.29166666666666669</v>
      </c>
      <c r="AZ202" s="180">
        <f>SUM(AY$5:AY202)</f>
        <v>-39.666666666666657</v>
      </c>
      <c r="BA202" s="567"/>
      <c r="BB202" s="567">
        <f t="shared" si="138"/>
        <v>0</v>
      </c>
      <c r="BC202" s="567"/>
    </row>
    <row r="203" spans="1:55" ht="15.75">
      <c r="A203" s="260">
        <f t="shared" si="164"/>
        <v>45031</v>
      </c>
      <c r="B203" s="261">
        <f t="shared" si="139"/>
        <v>45031</v>
      </c>
      <c r="C203" s="262">
        <f>IF(A203="","",NumberOfWeek(A203))</f>
        <v>15</v>
      </c>
      <c r="D203" s="263">
        <f t="shared" si="140"/>
        <v>45016</v>
      </c>
      <c r="E203" s="273" t="str">
        <f t="shared" si="141"/>
        <v/>
      </c>
      <c r="F203" s="5"/>
      <c r="G203" s="6" t="str">
        <f t="shared" si="126"/>
        <v/>
      </c>
      <c r="H203" s="7"/>
      <c r="I203" s="7">
        <f t="shared" si="142"/>
        <v>0</v>
      </c>
      <c r="J203" s="76">
        <f t="shared" si="143"/>
        <v>0</v>
      </c>
      <c r="K203" s="7"/>
      <c r="L203" s="7">
        <f t="shared" si="144"/>
        <v>0</v>
      </c>
      <c r="M203" s="76">
        <f t="shared" si="127"/>
        <v>0</v>
      </c>
      <c r="N203" s="76"/>
      <c r="O203" s="76">
        <f t="shared" si="128"/>
        <v>0</v>
      </c>
      <c r="P203" s="76"/>
      <c r="Q203" s="76">
        <f t="shared" si="129"/>
        <v>0</v>
      </c>
      <c r="R203" s="76">
        <f t="shared" si="145"/>
        <v>0</v>
      </c>
      <c r="S203" s="76">
        <f t="shared" si="146"/>
        <v>0</v>
      </c>
      <c r="T203" s="76">
        <f t="shared" si="147"/>
        <v>0</v>
      </c>
      <c r="U203" s="76">
        <f t="shared" si="148"/>
        <v>0</v>
      </c>
      <c r="V203" s="109">
        <f t="shared" si="149"/>
        <v>0</v>
      </c>
      <c r="W203" s="62"/>
      <c r="X203" s="78">
        <f t="shared" si="130"/>
        <v>3.125E-2</v>
      </c>
      <c r="Y203" s="73">
        <f t="shared" si="150"/>
        <v>0</v>
      </c>
      <c r="Z203" s="74">
        <f t="shared" si="151"/>
        <v>0.29166666666666669</v>
      </c>
      <c r="AA203" s="75">
        <f t="shared" si="152"/>
        <v>0</v>
      </c>
      <c r="AB203" s="63" t="str">
        <f t="shared" si="153"/>
        <v/>
      </c>
      <c r="AC203" s="148">
        <f t="shared" si="131"/>
        <v>0</v>
      </c>
      <c r="AD203" s="107" t="str">
        <f t="shared" si="132"/>
        <v/>
      </c>
      <c r="AE203" s="180">
        <f t="shared" si="154"/>
        <v>0</v>
      </c>
      <c r="AF203" s="73"/>
      <c r="AG203" s="525"/>
      <c r="AH203" s="73"/>
      <c r="AI203" s="73" t="str">
        <f t="shared" si="125"/>
        <v/>
      </c>
      <c r="AJ203" s="64">
        <f t="shared" si="133"/>
        <v>0</v>
      </c>
      <c r="AK203" s="64">
        <f t="shared" si="134"/>
        <v>0</v>
      </c>
      <c r="AL203" s="64" t="str">
        <f t="shared" si="135"/>
        <v/>
      </c>
      <c r="AM203">
        <f t="shared" si="136"/>
        <v>5</v>
      </c>
      <c r="AN203" s="85">
        <f>SUM($AD$6:AD203)</f>
        <v>0</v>
      </c>
      <c r="AO203" s="85">
        <f t="shared" ca="1" si="155"/>
        <v>0</v>
      </c>
      <c r="AP203" s="89">
        <f t="shared" si="156"/>
        <v>0</v>
      </c>
      <c r="AQ203" s="89">
        <f t="shared" si="157"/>
        <v>0</v>
      </c>
      <c r="AR203" s="89">
        <f t="shared" si="158"/>
        <v>0</v>
      </c>
      <c r="AS203" s="88">
        <f t="shared" si="159"/>
        <v>30</v>
      </c>
      <c r="AT203" s="88">
        <f t="shared" ca="1" si="160"/>
        <v>30</v>
      </c>
      <c r="AU203" s="98">
        <f t="shared" si="161"/>
        <v>0</v>
      </c>
      <c r="AV203" s="88">
        <f t="shared" si="162"/>
        <v>0</v>
      </c>
      <c r="AW203" t="b">
        <f>OR((F203&gt;0),(NOT(ISBLANK(H203))),SUM(H203:H$373),SUM(G203:G$373))</f>
        <v>0</v>
      </c>
      <c r="AX203" t="b">
        <f t="shared" ca="1" si="137"/>
        <v>0</v>
      </c>
      <c r="AY203" s="519">
        <f t="shared" si="163"/>
        <v>-0.29166666666666669</v>
      </c>
      <c r="AZ203" s="180">
        <f>SUM(AY$5:AY203)</f>
        <v>-39.958333333333321</v>
      </c>
      <c r="BA203" s="567"/>
      <c r="BB203" s="567">
        <f t="shared" si="138"/>
        <v>0</v>
      </c>
      <c r="BC203" s="567"/>
    </row>
    <row r="204" spans="1:55" ht="15.75">
      <c r="A204" s="260">
        <f t="shared" si="164"/>
        <v>45032</v>
      </c>
      <c r="B204" s="261">
        <f t="shared" si="139"/>
        <v>45032</v>
      </c>
      <c r="C204" s="262">
        <f>IF(A204="","",NumberOfWeek(A204))</f>
        <v>15</v>
      </c>
      <c r="D204" s="263">
        <f t="shared" si="140"/>
        <v>45016</v>
      </c>
      <c r="E204" s="273" t="str">
        <f t="shared" si="141"/>
        <v/>
      </c>
      <c r="F204" s="5"/>
      <c r="G204" s="6" t="str">
        <f t="shared" si="126"/>
        <v/>
      </c>
      <c r="H204" s="7"/>
      <c r="I204" s="7">
        <f t="shared" si="142"/>
        <v>0</v>
      </c>
      <c r="J204" s="76">
        <f t="shared" si="143"/>
        <v>0</v>
      </c>
      <c r="K204" s="7"/>
      <c r="L204" s="7">
        <f t="shared" si="144"/>
        <v>0</v>
      </c>
      <c r="M204" s="76">
        <f t="shared" si="127"/>
        <v>0</v>
      </c>
      <c r="N204" s="76"/>
      <c r="O204" s="76">
        <f t="shared" si="128"/>
        <v>0</v>
      </c>
      <c r="P204" s="76"/>
      <c r="Q204" s="76">
        <f t="shared" si="129"/>
        <v>0</v>
      </c>
      <c r="R204" s="76">
        <f t="shared" si="145"/>
        <v>0</v>
      </c>
      <c r="S204" s="76">
        <f t="shared" si="146"/>
        <v>0</v>
      </c>
      <c r="T204" s="76">
        <f t="shared" si="147"/>
        <v>0</v>
      </c>
      <c r="U204" s="76">
        <f t="shared" si="148"/>
        <v>0</v>
      </c>
      <c r="V204" s="109">
        <f t="shared" si="149"/>
        <v>0</v>
      </c>
      <c r="W204" s="62"/>
      <c r="X204" s="78">
        <f t="shared" si="130"/>
        <v>3.125E-2</v>
      </c>
      <c r="Y204" s="73">
        <f t="shared" si="150"/>
        <v>0</v>
      </c>
      <c r="Z204" s="74">
        <f t="shared" si="151"/>
        <v>0</v>
      </c>
      <c r="AA204" s="75">
        <f t="shared" si="152"/>
        <v>0</v>
      </c>
      <c r="AB204" s="63" t="str">
        <f t="shared" si="153"/>
        <v/>
      </c>
      <c r="AC204" s="148">
        <f t="shared" si="131"/>
        <v>0</v>
      </c>
      <c r="AD204" s="107" t="str">
        <f t="shared" si="132"/>
        <v/>
      </c>
      <c r="AE204" s="180">
        <f t="shared" si="154"/>
        <v>0</v>
      </c>
      <c r="AF204" s="73"/>
      <c r="AG204" s="525"/>
      <c r="AH204" s="73"/>
      <c r="AI204" s="73" t="str">
        <f t="shared" si="125"/>
        <v/>
      </c>
      <c r="AJ204" s="64">
        <f t="shared" si="133"/>
        <v>0</v>
      </c>
      <c r="AK204" s="64">
        <f t="shared" si="134"/>
        <v>0</v>
      </c>
      <c r="AL204" s="64" t="str">
        <f t="shared" si="135"/>
        <v/>
      </c>
      <c r="AM204">
        <f t="shared" si="136"/>
        <v>6</v>
      </c>
      <c r="AN204" s="85">
        <f>SUM($AD$6:AD204)</f>
        <v>0</v>
      </c>
      <c r="AO204" s="85">
        <f t="shared" ca="1" si="155"/>
        <v>0</v>
      </c>
      <c r="AP204" s="89">
        <f t="shared" si="156"/>
        <v>0</v>
      </c>
      <c r="AQ204" s="89">
        <f t="shared" si="157"/>
        <v>0</v>
      </c>
      <c r="AR204" s="89">
        <f t="shared" si="158"/>
        <v>0</v>
      </c>
      <c r="AS204" s="88">
        <f t="shared" si="159"/>
        <v>30</v>
      </c>
      <c r="AT204" s="88">
        <f t="shared" ca="1" si="160"/>
        <v>30</v>
      </c>
      <c r="AU204" s="98">
        <f t="shared" si="161"/>
        <v>0</v>
      </c>
      <c r="AV204" s="88">
        <f t="shared" si="162"/>
        <v>7</v>
      </c>
      <c r="AW204" t="b">
        <f>OR((F204&gt;0),(NOT(ISBLANK(H204))),SUM(H204:H$373),SUM(G204:G$373))</f>
        <v>0</v>
      </c>
      <c r="AX204" t="b">
        <f t="shared" ca="1" si="137"/>
        <v>1</v>
      </c>
      <c r="AY204" s="519">
        <f t="shared" si="163"/>
        <v>0</v>
      </c>
      <c r="AZ204" s="180">
        <f>SUM(AY$5:AY204)</f>
        <v>-39.958333333333321</v>
      </c>
      <c r="BA204" s="567"/>
      <c r="BB204" s="567">
        <f t="shared" si="138"/>
        <v>0</v>
      </c>
      <c r="BC204" s="567"/>
    </row>
    <row r="205" spans="1:55" ht="15.75">
      <c r="A205" s="260">
        <f t="shared" si="164"/>
        <v>45033</v>
      </c>
      <c r="B205" s="261">
        <f t="shared" si="139"/>
        <v>45033</v>
      </c>
      <c r="C205" s="262">
        <f>IF(A205="","",NumberOfWeek(A205))</f>
        <v>15</v>
      </c>
      <c r="D205" s="263">
        <f t="shared" si="140"/>
        <v>45016</v>
      </c>
      <c r="E205" s="273" t="str">
        <f t="shared" si="141"/>
        <v/>
      </c>
      <c r="F205" s="5"/>
      <c r="G205" s="6" t="str">
        <f t="shared" si="126"/>
        <v/>
      </c>
      <c r="H205" s="7"/>
      <c r="I205" s="7">
        <f t="shared" si="142"/>
        <v>0</v>
      </c>
      <c r="J205" s="76">
        <f t="shared" si="143"/>
        <v>0</v>
      </c>
      <c r="K205" s="7"/>
      <c r="L205" s="7">
        <f t="shared" si="144"/>
        <v>0</v>
      </c>
      <c r="M205" s="76">
        <f t="shared" si="127"/>
        <v>0</v>
      </c>
      <c r="N205" s="76"/>
      <c r="O205" s="76">
        <f t="shared" si="128"/>
        <v>0</v>
      </c>
      <c r="P205" s="76"/>
      <c r="Q205" s="76">
        <f t="shared" si="129"/>
        <v>0</v>
      </c>
      <c r="R205" s="76">
        <f t="shared" si="145"/>
        <v>0</v>
      </c>
      <c r="S205" s="76">
        <f t="shared" si="146"/>
        <v>0</v>
      </c>
      <c r="T205" s="76">
        <f t="shared" si="147"/>
        <v>0</v>
      </c>
      <c r="U205" s="76">
        <f t="shared" si="148"/>
        <v>0</v>
      </c>
      <c r="V205" s="109">
        <f t="shared" si="149"/>
        <v>0</v>
      </c>
      <c r="W205" s="62"/>
      <c r="X205" s="78">
        <f t="shared" si="130"/>
        <v>3.125E-2</v>
      </c>
      <c r="Y205" s="73">
        <f t="shared" si="150"/>
        <v>0</v>
      </c>
      <c r="Z205" s="74">
        <f t="shared" si="151"/>
        <v>0</v>
      </c>
      <c r="AA205" s="75">
        <f t="shared" si="152"/>
        <v>0</v>
      </c>
      <c r="AB205" s="63" t="str">
        <f t="shared" si="153"/>
        <v/>
      </c>
      <c r="AC205" s="148">
        <f t="shared" si="131"/>
        <v>0</v>
      </c>
      <c r="AD205" s="107" t="str">
        <f t="shared" si="132"/>
        <v/>
      </c>
      <c r="AE205" s="180">
        <f t="shared" si="154"/>
        <v>0</v>
      </c>
      <c r="AF205" s="73"/>
      <c r="AG205" s="525"/>
      <c r="AH205" s="73"/>
      <c r="AI205" s="73" t="str">
        <f t="shared" si="125"/>
        <v/>
      </c>
      <c r="AJ205" s="64">
        <f t="shared" si="133"/>
        <v>0</v>
      </c>
      <c r="AK205" s="64">
        <f t="shared" si="134"/>
        <v>0</v>
      </c>
      <c r="AL205" s="64" t="str">
        <f t="shared" si="135"/>
        <v/>
      </c>
      <c r="AM205">
        <f t="shared" si="136"/>
        <v>7</v>
      </c>
      <c r="AN205" s="85">
        <f>SUM($AD$6:AD205)</f>
        <v>0</v>
      </c>
      <c r="AO205" s="85">
        <f t="shared" ca="1" si="155"/>
        <v>0</v>
      </c>
      <c r="AP205" s="89">
        <f t="shared" si="156"/>
        <v>0</v>
      </c>
      <c r="AQ205" s="89">
        <f t="shared" si="157"/>
        <v>0</v>
      </c>
      <c r="AR205" s="89">
        <f t="shared" si="158"/>
        <v>0</v>
      </c>
      <c r="AS205" s="88">
        <f t="shared" si="159"/>
        <v>30</v>
      </c>
      <c r="AT205" s="88">
        <f t="shared" ca="1" si="160"/>
        <v>30</v>
      </c>
      <c r="AU205" s="98">
        <f t="shared" si="161"/>
        <v>0</v>
      </c>
      <c r="AV205" s="88">
        <f t="shared" si="162"/>
        <v>7</v>
      </c>
      <c r="AW205" t="b">
        <f>OR((F205&gt;0),(NOT(ISBLANK(H205))),SUM(H205:H$373),SUM(G205:G$373))</f>
        <v>0</v>
      </c>
      <c r="AX205" t="b">
        <f t="shared" ca="1" si="137"/>
        <v>1</v>
      </c>
      <c r="AY205" s="519">
        <f t="shared" si="163"/>
        <v>0</v>
      </c>
      <c r="AZ205" s="180">
        <f>SUM(AY$5:AY205)</f>
        <v>-39.958333333333321</v>
      </c>
      <c r="BA205" s="567"/>
      <c r="BB205" s="567">
        <f t="shared" si="138"/>
        <v>0</v>
      </c>
      <c r="BC205" s="567"/>
    </row>
    <row r="206" spans="1:55" ht="15.75">
      <c r="A206" s="260">
        <f t="shared" si="164"/>
        <v>45034</v>
      </c>
      <c r="B206" s="261">
        <f t="shared" si="139"/>
        <v>45034</v>
      </c>
      <c r="C206" s="262">
        <f>IF(A206="","",NumberOfWeek(A206))</f>
        <v>16</v>
      </c>
      <c r="D206" s="263">
        <f t="shared" si="140"/>
        <v>45016</v>
      </c>
      <c r="E206" s="273" t="str">
        <f t="shared" si="141"/>
        <v/>
      </c>
      <c r="F206" s="5"/>
      <c r="G206" s="6" t="str">
        <f t="shared" si="126"/>
        <v/>
      </c>
      <c r="H206" s="7"/>
      <c r="I206" s="7">
        <f t="shared" si="142"/>
        <v>0</v>
      </c>
      <c r="J206" s="76">
        <f t="shared" si="143"/>
        <v>0</v>
      </c>
      <c r="K206" s="7"/>
      <c r="L206" s="7">
        <f t="shared" si="144"/>
        <v>0</v>
      </c>
      <c r="M206" s="76">
        <f t="shared" si="127"/>
        <v>0</v>
      </c>
      <c r="N206" s="76"/>
      <c r="O206" s="76">
        <f t="shared" si="128"/>
        <v>0</v>
      </c>
      <c r="P206" s="76"/>
      <c r="Q206" s="76">
        <f t="shared" si="129"/>
        <v>0</v>
      </c>
      <c r="R206" s="76">
        <f t="shared" si="145"/>
        <v>0</v>
      </c>
      <c r="S206" s="76">
        <f t="shared" si="146"/>
        <v>0</v>
      </c>
      <c r="T206" s="76">
        <f t="shared" si="147"/>
        <v>0</v>
      </c>
      <c r="U206" s="76">
        <f t="shared" si="148"/>
        <v>0</v>
      </c>
      <c r="V206" s="109">
        <f t="shared" si="149"/>
        <v>0</v>
      </c>
      <c r="W206" s="62"/>
      <c r="X206" s="78">
        <f t="shared" si="130"/>
        <v>3.125E-2</v>
      </c>
      <c r="Y206" s="73">
        <f t="shared" si="150"/>
        <v>0</v>
      </c>
      <c r="Z206" s="74">
        <f t="shared" si="151"/>
        <v>0.29166666666666669</v>
      </c>
      <c r="AA206" s="75">
        <f t="shared" si="152"/>
        <v>0</v>
      </c>
      <c r="AB206" s="63" t="str">
        <f t="shared" si="153"/>
        <v/>
      </c>
      <c r="AC206" s="148">
        <f t="shared" si="131"/>
        <v>0</v>
      </c>
      <c r="AD206" s="107" t="str">
        <f t="shared" si="132"/>
        <v/>
      </c>
      <c r="AE206" s="180">
        <f t="shared" si="154"/>
        <v>0</v>
      </c>
      <c r="AF206" s="73"/>
      <c r="AG206" s="525"/>
      <c r="AH206" s="73"/>
      <c r="AI206" s="73" t="str">
        <f t="shared" ref="AI206:AI269" si="165">IF(AND(AF206&lt;&gt;"",AF206&lt;=V206),V206-AF206,"")</f>
        <v/>
      </c>
      <c r="AJ206" s="64">
        <f t="shared" si="133"/>
        <v>0</v>
      </c>
      <c r="AK206" s="64">
        <f t="shared" si="134"/>
        <v>0</v>
      </c>
      <c r="AL206" s="64" t="str">
        <f t="shared" si="135"/>
        <v/>
      </c>
      <c r="AM206">
        <f t="shared" si="136"/>
        <v>1</v>
      </c>
      <c r="AN206" s="85">
        <f>SUM($AD$6:AD206)</f>
        <v>0</v>
      </c>
      <c r="AO206" s="85">
        <f t="shared" ca="1" si="155"/>
        <v>0</v>
      </c>
      <c r="AP206" s="89">
        <f t="shared" si="156"/>
        <v>0</v>
      </c>
      <c r="AQ206" s="89">
        <f t="shared" si="157"/>
        <v>0</v>
      </c>
      <c r="AR206" s="89">
        <f t="shared" si="158"/>
        <v>0</v>
      </c>
      <c r="AS206" s="88">
        <f t="shared" si="159"/>
        <v>30</v>
      </c>
      <c r="AT206" s="88">
        <f t="shared" ca="1" si="160"/>
        <v>30</v>
      </c>
      <c r="AU206" s="98">
        <f t="shared" si="161"/>
        <v>0</v>
      </c>
      <c r="AV206" s="88">
        <f t="shared" si="162"/>
        <v>0</v>
      </c>
      <c r="AW206" t="b">
        <f>OR((F206&gt;0),(NOT(ISBLANK(H206))),SUM(H206:H$373),SUM(G206:G$373))</f>
        <v>0</v>
      </c>
      <c r="AX206" t="b">
        <f t="shared" ca="1" si="137"/>
        <v>0</v>
      </c>
      <c r="AY206" s="519">
        <f t="shared" si="163"/>
        <v>-0.29166666666666669</v>
      </c>
      <c r="AZ206" s="180">
        <f>SUM(AY$5:AY206)</f>
        <v>-40.249999999999986</v>
      </c>
      <c r="BA206" s="567"/>
      <c r="BB206" s="567">
        <f t="shared" si="138"/>
        <v>0</v>
      </c>
      <c r="BC206" s="567"/>
    </row>
    <row r="207" spans="1:55" ht="15.75">
      <c r="A207" s="260">
        <f t="shared" si="164"/>
        <v>45035</v>
      </c>
      <c r="B207" s="261">
        <f t="shared" si="139"/>
        <v>45035</v>
      </c>
      <c r="C207" s="262">
        <f>IF(A207="","",NumberOfWeek(A207))</f>
        <v>16</v>
      </c>
      <c r="D207" s="263">
        <f t="shared" si="140"/>
        <v>45016</v>
      </c>
      <c r="E207" s="273" t="str">
        <f t="shared" si="141"/>
        <v/>
      </c>
      <c r="F207" s="5"/>
      <c r="G207" s="6" t="str">
        <f t="shared" si="126"/>
        <v/>
      </c>
      <c r="H207" s="7"/>
      <c r="I207" s="7">
        <f t="shared" si="142"/>
        <v>0</v>
      </c>
      <c r="J207" s="76">
        <f t="shared" si="143"/>
        <v>0</v>
      </c>
      <c r="K207" s="7"/>
      <c r="L207" s="7">
        <f t="shared" si="144"/>
        <v>0</v>
      </c>
      <c r="M207" s="76">
        <f t="shared" si="127"/>
        <v>0</v>
      </c>
      <c r="N207" s="76"/>
      <c r="O207" s="76">
        <f t="shared" si="128"/>
        <v>0</v>
      </c>
      <c r="P207" s="76"/>
      <c r="Q207" s="76">
        <f t="shared" si="129"/>
        <v>0</v>
      </c>
      <c r="R207" s="76">
        <f t="shared" si="145"/>
        <v>0</v>
      </c>
      <c r="S207" s="76">
        <f t="shared" si="146"/>
        <v>0</v>
      </c>
      <c r="T207" s="76">
        <f t="shared" si="147"/>
        <v>0</v>
      </c>
      <c r="U207" s="76">
        <f t="shared" si="148"/>
        <v>0</v>
      </c>
      <c r="V207" s="109">
        <f t="shared" si="149"/>
        <v>0</v>
      </c>
      <c r="W207" s="62"/>
      <c r="X207" s="78">
        <f t="shared" si="130"/>
        <v>3.125E-2</v>
      </c>
      <c r="Y207" s="73">
        <f t="shared" si="150"/>
        <v>0</v>
      </c>
      <c r="Z207" s="74">
        <f t="shared" si="151"/>
        <v>0.29166666666666669</v>
      </c>
      <c r="AA207" s="75">
        <f t="shared" si="152"/>
        <v>0</v>
      </c>
      <c r="AB207" s="63" t="str">
        <f t="shared" si="153"/>
        <v/>
      </c>
      <c r="AC207" s="148">
        <f t="shared" si="131"/>
        <v>0</v>
      </c>
      <c r="AD207" s="107" t="str">
        <f t="shared" si="132"/>
        <v/>
      </c>
      <c r="AE207" s="180">
        <f t="shared" si="154"/>
        <v>0</v>
      </c>
      <c r="AF207" s="73"/>
      <c r="AG207" s="525"/>
      <c r="AH207" s="73"/>
      <c r="AI207" s="73" t="str">
        <f t="shared" si="165"/>
        <v/>
      </c>
      <c r="AJ207" s="64">
        <f t="shared" si="133"/>
        <v>0</v>
      </c>
      <c r="AK207" s="64">
        <f t="shared" si="134"/>
        <v>0</v>
      </c>
      <c r="AL207" s="64" t="str">
        <f t="shared" si="135"/>
        <v/>
      </c>
      <c r="AM207">
        <f t="shared" si="136"/>
        <v>2</v>
      </c>
      <c r="AN207" s="85">
        <f>SUM($AD$6:AD207)</f>
        <v>0</v>
      </c>
      <c r="AO207" s="85">
        <f t="shared" ca="1" si="155"/>
        <v>0</v>
      </c>
      <c r="AP207" s="89">
        <f t="shared" si="156"/>
        <v>0</v>
      </c>
      <c r="AQ207" s="89">
        <f t="shared" si="157"/>
        <v>0</v>
      </c>
      <c r="AR207" s="89">
        <f t="shared" si="158"/>
        <v>0</v>
      </c>
      <c r="AS207" s="88">
        <f t="shared" si="159"/>
        <v>30</v>
      </c>
      <c r="AT207" s="88">
        <f t="shared" ca="1" si="160"/>
        <v>30</v>
      </c>
      <c r="AU207" s="98">
        <f t="shared" si="161"/>
        <v>0</v>
      </c>
      <c r="AV207" s="88">
        <f t="shared" si="162"/>
        <v>0</v>
      </c>
      <c r="AW207" t="b">
        <f>OR((F207&gt;0),(NOT(ISBLANK(H207))),SUM(H207:H$373),SUM(G207:G$373))</f>
        <v>0</v>
      </c>
      <c r="AX207" t="b">
        <f t="shared" ca="1" si="137"/>
        <v>0</v>
      </c>
      <c r="AY207" s="519">
        <f t="shared" si="163"/>
        <v>-0.29166666666666669</v>
      </c>
      <c r="AZ207" s="180">
        <f>SUM(AY$5:AY207)</f>
        <v>-40.54166666666665</v>
      </c>
      <c r="BA207" s="567"/>
      <c r="BB207" s="567">
        <f t="shared" si="138"/>
        <v>0</v>
      </c>
      <c r="BC207" s="567"/>
    </row>
    <row r="208" spans="1:55" ht="15.75">
      <c r="A208" s="260">
        <f t="shared" si="164"/>
        <v>45036</v>
      </c>
      <c r="B208" s="261">
        <f t="shared" si="139"/>
        <v>45036</v>
      </c>
      <c r="C208" s="262">
        <f>IF(A208="","",NumberOfWeek(A208))</f>
        <v>16</v>
      </c>
      <c r="D208" s="263">
        <f t="shared" si="140"/>
        <v>45016</v>
      </c>
      <c r="E208" s="273" t="str">
        <f t="shared" si="141"/>
        <v/>
      </c>
      <c r="F208" s="5"/>
      <c r="G208" s="6" t="str">
        <f t="shared" si="126"/>
        <v/>
      </c>
      <c r="H208" s="7"/>
      <c r="I208" s="7">
        <f t="shared" si="142"/>
        <v>0</v>
      </c>
      <c r="J208" s="76">
        <f t="shared" si="143"/>
        <v>0</v>
      </c>
      <c r="K208" s="7"/>
      <c r="L208" s="7">
        <f t="shared" si="144"/>
        <v>0</v>
      </c>
      <c r="M208" s="76">
        <f t="shared" si="127"/>
        <v>0</v>
      </c>
      <c r="N208" s="76"/>
      <c r="O208" s="76">
        <f t="shared" si="128"/>
        <v>0</v>
      </c>
      <c r="P208" s="76"/>
      <c r="Q208" s="76">
        <f t="shared" si="129"/>
        <v>0</v>
      </c>
      <c r="R208" s="76">
        <f t="shared" si="145"/>
        <v>0</v>
      </c>
      <c r="S208" s="76">
        <f t="shared" si="146"/>
        <v>0</v>
      </c>
      <c r="T208" s="76">
        <f t="shared" si="147"/>
        <v>0</v>
      </c>
      <c r="U208" s="76">
        <f t="shared" si="148"/>
        <v>0</v>
      </c>
      <c r="V208" s="109">
        <f t="shared" si="149"/>
        <v>0</v>
      </c>
      <c r="W208" s="62"/>
      <c r="X208" s="78">
        <f t="shared" si="130"/>
        <v>3.125E-2</v>
      </c>
      <c r="Y208" s="73">
        <f t="shared" si="150"/>
        <v>0</v>
      </c>
      <c r="Z208" s="74">
        <f t="shared" si="151"/>
        <v>0.29166666666666669</v>
      </c>
      <c r="AA208" s="75">
        <f t="shared" si="152"/>
        <v>0</v>
      </c>
      <c r="AB208" s="63" t="str">
        <f t="shared" si="153"/>
        <v/>
      </c>
      <c r="AC208" s="148">
        <f t="shared" si="131"/>
        <v>0</v>
      </c>
      <c r="AD208" s="107" t="str">
        <f t="shared" si="132"/>
        <v/>
      </c>
      <c r="AE208" s="180">
        <f t="shared" si="154"/>
        <v>0</v>
      </c>
      <c r="AF208" s="73"/>
      <c r="AG208" s="525"/>
      <c r="AH208" s="73"/>
      <c r="AI208" s="73" t="str">
        <f t="shared" si="165"/>
        <v/>
      </c>
      <c r="AJ208" s="64">
        <f t="shared" si="133"/>
        <v>0</v>
      </c>
      <c r="AK208" s="64">
        <f t="shared" si="134"/>
        <v>0</v>
      </c>
      <c r="AL208" s="64" t="str">
        <f t="shared" si="135"/>
        <v/>
      </c>
      <c r="AM208">
        <f t="shared" si="136"/>
        <v>3</v>
      </c>
      <c r="AN208" s="85">
        <f>SUM($AD$6:AD208)</f>
        <v>0</v>
      </c>
      <c r="AO208" s="85">
        <f t="shared" ca="1" si="155"/>
        <v>0</v>
      </c>
      <c r="AP208" s="89">
        <f t="shared" si="156"/>
        <v>0</v>
      </c>
      <c r="AQ208" s="89">
        <f t="shared" si="157"/>
        <v>0</v>
      </c>
      <c r="AR208" s="89">
        <f t="shared" si="158"/>
        <v>0</v>
      </c>
      <c r="AS208" s="88">
        <f t="shared" si="159"/>
        <v>30</v>
      </c>
      <c r="AT208" s="88">
        <f t="shared" ca="1" si="160"/>
        <v>30</v>
      </c>
      <c r="AU208" s="98">
        <f t="shared" si="161"/>
        <v>0</v>
      </c>
      <c r="AV208" s="88">
        <f t="shared" si="162"/>
        <v>0</v>
      </c>
      <c r="AW208" t="b">
        <f>OR((F208&gt;0),(NOT(ISBLANK(H208))),SUM(H208:H$373),SUM(G208:G$373))</f>
        <v>0</v>
      </c>
      <c r="AX208" t="b">
        <f t="shared" ca="1" si="137"/>
        <v>0</v>
      </c>
      <c r="AY208" s="519">
        <f t="shared" si="163"/>
        <v>-0.29166666666666669</v>
      </c>
      <c r="AZ208" s="180">
        <f>SUM(AY$5:AY208)</f>
        <v>-40.833333333333314</v>
      </c>
      <c r="BA208" s="567"/>
      <c r="BB208" s="567">
        <f t="shared" si="138"/>
        <v>0</v>
      </c>
      <c r="BC208" s="567"/>
    </row>
    <row r="209" spans="1:55" ht="15.75">
      <c r="A209" s="260">
        <f t="shared" si="164"/>
        <v>45037</v>
      </c>
      <c r="B209" s="261">
        <f t="shared" si="139"/>
        <v>45037</v>
      </c>
      <c r="C209" s="262">
        <f>IF(A209="","",NumberOfWeek(A209))</f>
        <v>16</v>
      </c>
      <c r="D209" s="263">
        <f t="shared" si="140"/>
        <v>45016</v>
      </c>
      <c r="E209" s="273" t="str">
        <f t="shared" si="141"/>
        <v/>
      </c>
      <c r="F209" s="5"/>
      <c r="G209" s="6" t="str">
        <f t="shared" si="126"/>
        <v/>
      </c>
      <c r="H209" s="7"/>
      <c r="I209" s="7">
        <f t="shared" si="142"/>
        <v>0</v>
      </c>
      <c r="J209" s="76">
        <f t="shared" si="143"/>
        <v>0</v>
      </c>
      <c r="K209" s="7"/>
      <c r="L209" s="7">
        <f t="shared" si="144"/>
        <v>0</v>
      </c>
      <c r="M209" s="76">
        <f t="shared" si="127"/>
        <v>0</v>
      </c>
      <c r="N209" s="76"/>
      <c r="O209" s="76">
        <f t="shared" si="128"/>
        <v>0</v>
      </c>
      <c r="P209" s="76"/>
      <c r="Q209" s="76">
        <f t="shared" si="129"/>
        <v>0</v>
      </c>
      <c r="R209" s="76">
        <f t="shared" si="145"/>
        <v>0</v>
      </c>
      <c r="S209" s="76">
        <f t="shared" si="146"/>
        <v>0</v>
      </c>
      <c r="T209" s="76">
        <f t="shared" si="147"/>
        <v>0</v>
      </c>
      <c r="U209" s="76">
        <f t="shared" si="148"/>
        <v>0</v>
      </c>
      <c r="V209" s="109">
        <f t="shared" si="149"/>
        <v>0</v>
      </c>
      <c r="W209" s="62"/>
      <c r="X209" s="78">
        <f t="shared" si="130"/>
        <v>3.125E-2</v>
      </c>
      <c r="Y209" s="73">
        <f t="shared" si="150"/>
        <v>0</v>
      </c>
      <c r="Z209" s="74">
        <f t="shared" si="151"/>
        <v>0.29166666666666669</v>
      </c>
      <c r="AA209" s="75">
        <f t="shared" si="152"/>
        <v>0</v>
      </c>
      <c r="AB209" s="63" t="str">
        <f t="shared" si="153"/>
        <v/>
      </c>
      <c r="AC209" s="148">
        <f t="shared" si="131"/>
        <v>0</v>
      </c>
      <c r="AD209" s="107" t="str">
        <f t="shared" si="132"/>
        <v/>
      </c>
      <c r="AE209" s="180">
        <f t="shared" si="154"/>
        <v>0</v>
      </c>
      <c r="AF209" s="73"/>
      <c r="AG209" s="525"/>
      <c r="AH209" s="73"/>
      <c r="AI209" s="73" t="str">
        <f t="shared" si="165"/>
        <v/>
      </c>
      <c r="AJ209" s="64">
        <f t="shared" si="133"/>
        <v>0</v>
      </c>
      <c r="AK209" s="64">
        <f t="shared" si="134"/>
        <v>0</v>
      </c>
      <c r="AL209" s="64" t="str">
        <f t="shared" si="135"/>
        <v/>
      </c>
      <c r="AM209">
        <f t="shared" si="136"/>
        <v>4</v>
      </c>
      <c r="AN209" s="85">
        <f>SUM($AD$6:AD209)</f>
        <v>0</v>
      </c>
      <c r="AO209" s="85">
        <f t="shared" ca="1" si="155"/>
        <v>0</v>
      </c>
      <c r="AP209" s="89">
        <f t="shared" si="156"/>
        <v>0</v>
      </c>
      <c r="AQ209" s="89">
        <f t="shared" si="157"/>
        <v>0</v>
      </c>
      <c r="AR209" s="89">
        <f t="shared" si="158"/>
        <v>0</v>
      </c>
      <c r="AS209" s="88">
        <f t="shared" si="159"/>
        <v>30</v>
      </c>
      <c r="AT209" s="88">
        <f t="shared" ca="1" si="160"/>
        <v>30</v>
      </c>
      <c r="AU209" s="98">
        <f t="shared" si="161"/>
        <v>0</v>
      </c>
      <c r="AV209" s="88">
        <f t="shared" si="162"/>
        <v>0</v>
      </c>
      <c r="AW209" t="b">
        <f>OR((F209&gt;0),(NOT(ISBLANK(H209))),SUM(H209:H$373),SUM(G209:G$373))</f>
        <v>0</v>
      </c>
      <c r="AX209" t="b">
        <f t="shared" ca="1" si="137"/>
        <v>0</v>
      </c>
      <c r="AY209" s="519">
        <f t="shared" si="163"/>
        <v>-0.29166666666666669</v>
      </c>
      <c r="AZ209" s="180">
        <f>SUM(AY$5:AY209)</f>
        <v>-41.124999999999979</v>
      </c>
      <c r="BA209" s="567"/>
      <c r="BB209" s="567">
        <f t="shared" si="138"/>
        <v>0</v>
      </c>
      <c r="BC209" s="567"/>
    </row>
    <row r="210" spans="1:55" ht="15.75">
      <c r="A210" s="260">
        <f t="shared" si="164"/>
        <v>45038</v>
      </c>
      <c r="B210" s="261">
        <f t="shared" si="139"/>
        <v>45038</v>
      </c>
      <c r="C210" s="262">
        <f>IF(A210="","",NumberOfWeek(A210))</f>
        <v>16</v>
      </c>
      <c r="D210" s="263">
        <f t="shared" si="140"/>
        <v>45016</v>
      </c>
      <c r="E210" s="273" t="str">
        <f t="shared" si="141"/>
        <v/>
      </c>
      <c r="F210" s="5"/>
      <c r="G210" s="6" t="str">
        <f t="shared" si="126"/>
        <v/>
      </c>
      <c r="H210" s="7"/>
      <c r="I210" s="7">
        <f t="shared" si="142"/>
        <v>0</v>
      </c>
      <c r="J210" s="76">
        <f t="shared" si="143"/>
        <v>0</v>
      </c>
      <c r="K210" s="7"/>
      <c r="L210" s="7">
        <f t="shared" si="144"/>
        <v>0</v>
      </c>
      <c r="M210" s="76">
        <f t="shared" si="127"/>
        <v>0</v>
      </c>
      <c r="N210" s="76"/>
      <c r="O210" s="76">
        <f t="shared" si="128"/>
        <v>0</v>
      </c>
      <c r="P210" s="76"/>
      <c r="Q210" s="76">
        <f t="shared" si="129"/>
        <v>0</v>
      </c>
      <c r="R210" s="76">
        <f t="shared" si="145"/>
        <v>0</v>
      </c>
      <c r="S210" s="76">
        <f t="shared" si="146"/>
        <v>0</v>
      </c>
      <c r="T210" s="76">
        <f t="shared" si="147"/>
        <v>0</v>
      </c>
      <c r="U210" s="76">
        <f t="shared" si="148"/>
        <v>0</v>
      </c>
      <c r="V210" s="109">
        <f t="shared" si="149"/>
        <v>0</v>
      </c>
      <c r="W210" s="62"/>
      <c r="X210" s="78">
        <f t="shared" si="130"/>
        <v>3.125E-2</v>
      </c>
      <c r="Y210" s="73">
        <f t="shared" si="150"/>
        <v>0</v>
      </c>
      <c r="Z210" s="74">
        <f t="shared" si="151"/>
        <v>0.29166666666666669</v>
      </c>
      <c r="AA210" s="75">
        <f t="shared" si="152"/>
        <v>0</v>
      </c>
      <c r="AB210" s="63" t="str">
        <f t="shared" si="153"/>
        <v/>
      </c>
      <c r="AC210" s="148">
        <f t="shared" si="131"/>
        <v>0</v>
      </c>
      <c r="AD210" s="107" t="str">
        <f t="shared" si="132"/>
        <v/>
      </c>
      <c r="AE210" s="180">
        <f t="shared" si="154"/>
        <v>0</v>
      </c>
      <c r="AF210" s="73"/>
      <c r="AG210" s="525"/>
      <c r="AH210" s="73"/>
      <c r="AI210" s="73" t="str">
        <f t="shared" si="165"/>
        <v/>
      </c>
      <c r="AJ210" s="64">
        <f t="shared" si="133"/>
        <v>0</v>
      </c>
      <c r="AK210" s="64">
        <f t="shared" si="134"/>
        <v>0</v>
      </c>
      <c r="AL210" s="64" t="str">
        <f t="shared" si="135"/>
        <v/>
      </c>
      <c r="AM210">
        <f t="shared" si="136"/>
        <v>5</v>
      </c>
      <c r="AN210" s="85">
        <f>SUM($AD$6:AD210)</f>
        <v>0</v>
      </c>
      <c r="AO210" s="85">
        <f t="shared" ca="1" si="155"/>
        <v>0</v>
      </c>
      <c r="AP210" s="89">
        <f t="shared" si="156"/>
        <v>0</v>
      </c>
      <c r="AQ210" s="89">
        <f t="shared" si="157"/>
        <v>0</v>
      </c>
      <c r="AR210" s="89">
        <f t="shared" si="158"/>
        <v>0</v>
      </c>
      <c r="AS210" s="88">
        <f t="shared" si="159"/>
        <v>30</v>
      </c>
      <c r="AT210" s="88">
        <f t="shared" ca="1" si="160"/>
        <v>30</v>
      </c>
      <c r="AU210" s="98">
        <f t="shared" si="161"/>
        <v>0</v>
      </c>
      <c r="AV210" s="88">
        <f t="shared" si="162"/>
        <v>0</v>
      </c>
      <c r="AW210" t="b">
        <f>OR((F210&gt;0),(NOT(ISBLANK(H210))),SUM(H210:H$373),SUM(G210:G$373))</f>
        <v>0</v>
      </c>
      <c r="AX210" t="b">
        <f t="shared" ca="1" si="137"/>
        <v>0</v>
      </c>
      <c r="AY210" s="519">
        <f t="shared" si="163"/>
        <v>-0.29166666666666669</v>
      </c>
      <c r="AZ210" s="180">
        <f>SUM(AY$5:AY210)</f>
        <v>-41.416666666666643</v>
      </c>
      <c r="BA210" s="567"/>
      <c r="BB210" s="567">
        <f t="shared" si="138"/>
        <v>0</v>
      </c>
      <c r="BC210" s="567"/>
    </row>
    <row r="211" spans="1:55" ht="15.75">
      <c r="A211" s="260">
        <f t="shared" si="164"/>
        <v>45039</v>
      </c>
      <c r="B211" s="261">
        <f t="shared" si="139"/>
        <v>45039</v>
      </c>
      <c r="C211" s="262">
        <f>IF(A211="","",NumberOfWeek(A211))</f>
        <v>16</v>
      </c>
      <c r="D211" s="263">
        <f t="shared" si="140"/>
        <v>45016</v>
      </c>
      <c r="E211" s="273" t="str">
        <f t="shared" si="141"/>
        <v/>
      </c>
      <c r="F211" s="5"/>
      <c r="G211" s="6" t="str">
        <f t="shared" si="126"/>
        <v/>
      </c>
      <c r="H211" s="7"/>
      <c r="I211" s="7">
        <f t="shared" si="142"/>
        <v>0</v>
      </c>
      <c r="J211" s="76">
        <f t="shared" si="143"/>
        <v>0</v>
      </c>
      <c r="K211" s="7"/>
      <c r="L211" s="7">
        <f t="shared" si="144"/>
        <v>0</v>
      </c>
      <c r="M211" s="76">
        <f t="shared" si="127"/>
        <v>0</v>
      </c>
      <c r="N211" s="76"/>
      <c r="O211" s="76">
        <f t="shared" si="128"/>
        <v>0</v>
      </c>
      <c r="P211" s="76"/>
      <c r="Q211" s="76">
        <f t="shared" si="129"/>
        <v>0</v>
      </c>
      <c r="R211" s="76">
        <f t="shared" si="145"/>
        <v>0</v>
      </c>
      <c r="S211" s="76">
        <f t="shared" si="146"/>
        <v>0</v>
      </c>
      <c r="T211" s="76">
        <f t="shared" si="147"/>
        <v>0</v>
      </c>
      <c r="U211" s="76">
        <f t="shared" si="148"/>
        <v>0</v>
      </c>
      <c r="V211" s="109">
        <f t="shared" si="149"/>
        <v>0</v>
      </c>
      <c r="W211" s="62"/>
      <c r="X211" s="78">
        <f t="shared" si="130"/>
        <v>3.125E-2</v>
      </c>
      <c r="Y211" s="73">
        <f t="shared" si="150"/>
        <v>0</v>
      </c>
      <c r="Z211" s="74">
        <f t="shared" si="151"/>
        <v>0</v>
      </c>
      <c r="AA211" s="75">
        <f t="shared" si="152"/>
        <v>0</v>
      </c>
      <c r="AB211" s="63" t="str">
        <f t="shared" si="153"/>
        <v/>
      </c>
      <c r="AC211" s="148">
        <f t="shared" si="131"/>
        <v>0</v>
      </c>
      <c r="AD211" s="107" t="str">
        <f t="shared" si="132"/>
        <v/>
      </c>
      <c r="AE211" s="180">
        <f t="shared" si="154"/>
        <v>0</v>
      </c>
      <c r="AF211" s="73"/>
      <c r="AG211" s="525"/>
      <c r="AH211" s="73"/>
      <c r="AI211" s="73" t="str">
        <f t="shared" si="165"/>
        <v/>
      </c>
      <c r="AJ211" s="64">
        <f t="shared" si="133"/>
        <v>0</v>
      </c>
      <c r="AK211" s="64">
        <f t="shared" si="134"/>
        <v>0</v>
      </c>
      <c r="AL211" s="64" t="str">
        <f t="shared" si="135"/>
        <v/>
      </c>
      <c r="AM211">
        <f t="shared" si="136"/>
        <v>6</v>
      </c>
      <c r="AN211" s="85">
        <f>SUM($AD$6:AD211)</f>
        <v>0</v>
      </c>
      <c r="AO211" s="85">
        <f t="shared" ca="1" si="155"/>
        <v>0</v>
      </c>
      <c r="AP211" s="89">
        <f t="shared" si="156"/>
        <v>0</v>
      </c>
      <c r="AQ211" s="89">
        <f t="shared" si="157"/>
        <v>0</v>
      </c>
      <c r="AR211" s="89">
        <f t="shared" si="158"/>
        <v>0</v>
      </c>
      <c r="AS211" s="88">
        <f t="shared" si="159"/>
        <v>30</v>
      </c>
      <c r="AT211" s="88">
        <f t="shared" ca="1" si="160"/>
        <v>30</v>
      </c>
      <c r="AU211" s="98">
        <f t="shared" si="161"/>
        <v>0</v>
      </c>
      <c r="AV211" s="88">
        <f t="shared" si="162"/>
        <v>7</v>
      </c>
      <c r="AW211" t="b">
        <f>OR((F211&gt;0),(NOT(ISBLANK(H211))),SUM(H211:H$373),SUM(G211:G$373))</f>
        <v>0</v>
      </c>
      <c r="AX211" t="b">
        <f t="shared" ca="1" si="137"/>
        <v>1</v>
      </c>
      <c r="AY211" s="519">
        <f t="shared" si="163"/>
        <v>0</v>
      </c>
      <c r="AZ211" s="180">
        <f>SUM(AY$5:AY211)</f>
        <v>-41.416666666666643</v>
      </c>
      <c r="BA211" s="567"/>
      <c r="BB211" s="567">
        <f t="shared" si="138"/>
        <v>0</v>
      </c>
      <c r="BC211" s="567"/>
    </row>
    <row r="212" spans="1:55" ht="15.75">
      <c r="A212" s="260">
        <f t="shared" si="164"/>
        <v>45040</v>
      </c>
      <c r="B212" s="261">
        <f t="shared" si="139"/>
        <v>45040</v>
      </c>
      <c r="C212" s="262">
        <f>IF(A212="","",NumberOfWeek(A212))</f>
        <v>16</v>
      </c>
      <c r="D212" s="263">
        <f t="shared" si="140"/>
        <v>45016</v>
      </c>
      <c r="E212" s="273" t="str">
        <f t="shared" si="141"/>
        <v/>
      </c>
      <c r="F212" s="5"/>
      <c r="G212" s="6" t="str">
        <f t="shared" si="126"/>
        <v/>
      </c>
      <c r="H212" s="7"/>
      <c r="I212" s="7">
        <f t="shared" si="142"/>
        <v>0</v>
      </c>
      <c r="J212" s="76">
        <f t="shared" si="143"/>
        <v>0</v>
      </c>
      <c r="K212" s="7"/>
      <c r="L212" s="7">
        <f t="shared" si="144"/>
        <v>0</v>
      </c>
      <c r="M212" s="76">
        <f t="shared" si="127"/>
        <v>0</v>
      </c>
      <c r="N212" s="76"/>
      <c r="O212" s="76">
        <f t="shared" si="128"/>
        <v>0</v>
      </c>
      <c r="P212" s="76"/>
      <c r="Q212" s="76">
        <f t="shared" si="129"/>
        <v>0</v>
      </c>
      <c r="R212" s="76">
        <f t="shared" si="145"/>
        <v>0</v>
      </c>
      <c r="S212" s="76">
        <f t="shared" si="146"/>
        <v>0</v>
      </c>
      <c r="T212" s="76">
        <f t="shared" si="147"/>
        <v>0</v>
      </c>
      <c r="U212" s="76">
        <f t="shared" si="148"/>
        <v>0</v>
      </c>
      <c r="V212" s="109">
        <f t="shared" si="149"/>
        <v>0</v>
      </c>
      <c r="W212" s="62"/>
      <c r="X212" s="78">
        <f t="shared" si="130"/>
        <v>3.125E-2</v>
      </c>
      <c r="Y212" s="73">
        <f t="shared" si="150"/>
        <v>0</v>
      </c>
      <c r="Z212" s="74">
        <f t="shared" si="151"/>
        <v>0</v>
      </c>
      <c r="AA212" s="75">
        <f t="shared" si="152"/>
        <v>0</v>
      </c>
      <c r="AB212" s="63" t="str">
        <f t="shared" si="153"/>
        <v/>
      </c>
      <c r="AC212" s="148">
        <f t="shared" si="131"/>
        <v>0</v>
      </c>
      <c r="AD212" s="107" t="str">
        <f t="shared" si="132"/>
        <v/>
      </c>
      <c r="AE212" s="180">
        <f t="shared" si="154"/>
        <v>0</v>
      </c>
      <c r="AF212" s="73"/>
      <c r="AG212" s="525"/>
      <c r="AH212" s="73"/>
      <c r="AI212" s="73" t="str">
        <f t="shared" si="165"/>
        <v/>
      </c>
      <c r="AJ212" s="64">
        <f t="shared" si="133"/>
        <v>0</v>
      </c>
      <c r="AK212" s="64">
        <f t="shared" si="134"/>
        <v>0</v>
      </c>
      <c r="AL212" s="64" t="str">
        <f t="shared" si="135"/>
        <v/>
      </c>
      <c r="AM212">
        <f t="shared" si="136"/>
        <v>7</v>
      </c>
      <c r="AN212" s="85">
        <f>SUM($AD$6:AD212)</f>
        <v>0</v>
      </c>
      <c r="AO212" s="85">
        <f t="shared" ca="1" si="155"/>
        <v>0</v>
      </c>
      <c r="AP212" s="89">
        <f t="shared" si="156"/>
        <v>0</v>
      </c>
      <c r="AQ212" s="89">
        <f t="shared" si="157"/>
        <v>0</v>
      </c>
      <c r="AR212" s="89">
        <f t="shared" si="158"/>
        <v>0</v>
      </c>
      <c r="AS212" s="88">
        <f t="shared" si="159"/>
        <v>30</v>
      </c>
      <c r="AT212" s="88">
        <f t="shared" ca="1" si="160"/>
        <v>30</v>
      </c>
      <c r="AU212" s="98">
        <f t="shared" si="161"/>
        <v>0</v>
      </c>
      <c r="AV212" s="88">
        <f t="shared" si="162"/>
        <v>7</v>
      </c>
      <c r="AW212" t="b">
        <f>OR((F212&gt;0),(NOT(ISBLANK(H212))),SUM(H212:H$373),SUM(G212:G$373))</f>
        <v>0</v>
      </c>
      <c r="AX212" t="b">
        <f t="shared" ca="1" si="137"/>
        <v>1</v>
      </c>
      <c r="AY212" s="519">
        <f t="shared" si="163"/>
        <v>0</v>
      </c>
      <c r="AZ212" s="180">
        <f>SUM(AY$5:AY212)</f>
        <v>-41.416666666666643</v>
      </c>
      <c r="BA212" s="567"/>
      <c r="BB212" s="567">
        <f t="shared" si="138"/>
        <v>0</v>
      </c>
      <c r="BC212" s="567"/>
    </row>
    <row r="213" spans="1:55" ht="15.75">
      <c r="A213" s="260">
        <f t="shared" si="164"/>
        <v>45041</v>
      </c>
      <c r="B213" s="261">
        <f t="shared" si="139"/>
        <v>45041</v>
      </c>
      <c r="C213" s="262">
        <f>IF(A213="","",NumberOfWeek(A213))</f>
        <v>17</v>
      </c>
      <c r="D213" s="263">
        <f t="shared" si="140"/>
        <v>45016</v>
      </c>
      <c r="E213" s="273" t="str">
        <f t="shared" si="141"/>
        <v/>
      </c>
      <c r="F213" s="5"/>
      <c r="G213" s="6" t="str">
        <f t="shared" si="126"/>
        <v/>
      </c>
      <c r="H213" s="7"/>
      <c r="I213" s="7">
        <f t="shared" si="142"/>
        <v>0</v>
      </c>
      <c r="J213" s="76">
        <f t="shared" si="143"/>
        <v>0</v>
      </c>
      <c r="K213" s="7"/>
      <c r="L213" s="7">
        <f t="shared" si="144"/>
        <v>0</v>
      </c>
      <c r="M213" s="76">
        <f t="shared" si="127"/>
        <v>0</v>
      </c>
      <c r="N213" s="76"/>
      <c r="O213" s="76">
        <f t="shared" si="128"/>
        <v>0</v>
      </c>
      <c r="P213" s="76"/>
      <c r="Q213" s="76">
        <f t="shared" si="129"/>
        <v>0</v>
      </c>
      <c r="R213" s="76">
        <f t="shared" si="145"/>
        <v>0</v>
      </c>
      <c r="S213" s="76">
        <f t="shared" si="146"/>
        <v>0</v>
      </c>
      <c r="T213" s="76">
        <f t="shared" si="147"/>
        <v>0</v>
      </c>
      <c r="U213" s="76">
        <f t="shared" si="148"/>
        <v>0</v>
      </c>
      <c r="V213" s="109">
        <f t="shared" si="149"/>
        <v>0</v>
      </c>
      <c r="W213" s="62"/>
      <c r="X213" s="78">
        <f t="shared" si="130"/>
        <v>3.125E-2</v>
      </c>
      <c r="Y213" s="73">
        <f t="shared" si="150"/>
        <v>0</v>
      </c>
      <c r="Z213" s="74">
        <f t="shared" si="151"/>
        <v>0.29166666666666669</v>
      </c>
      <c r="AA213" s="75">
        <f t="shared" si="152"/>
        <v>0</v>
      </c>
      <c r="AB213" s="63" t="str">
        <f t="shared" si="153"/>
        <v/>
      </c>
      <c r="AC213" s="148">
        <f t="shared" si="131"/>
        <v>0</v>
      </c>
      <c r="AD213" s="107" t="str">
        <f t="shared" si="132"/>
        <v/>
      </c>
      <c r="AE213" s="180">
        <f t="shared" si="154"/>
        <v>0</v>
      </c>
      <c r="AF213" s="73"/>
      <c r="AG213" s="525"/>
      <c r="AH213" s="73"/>
      <c r="AI213" s="73" t="str">
        <f t="shared" si="165"/>
        <v/>
      </c>
      <c r="AJ213" s="64">
        <f t="shared" si="133"/>
        <v>0</v>
      </c>
      <c r="AK213" s="64">
        <f t="shared" si="134"/>
        <v>0</v>
      </c>
      <c r="AL213" s="64" t="str">
        <f t="shared" si="135"/>
        <v/>
      </c>
      <c r="AM213">
        <f t="shared" si="136"/>
        <v>1</v>
      </c>
      <c r="AN213" s="85">
        <f>SUM($AD$6:AD213)</f>
        <v>0</v>
      </c>
      <c r="AO213" s="85">
        <f t="shared" ca="1" si="155"/>
        <v>0</v>
      </c>
      <c r="AP213" s="89">
        <f t="shared" si="156"/>
        <v>0</v>
      </c>
      <c r="AQ213" s="89">
        <f t="shared" si="157"/>
        <v>0</v>
      </c>
      <c r="AR213" s="89">
        <f t="shared" si="158"/>
        <v>0</v>
      </c>
      <c r="AS213" s="88">
        <f t="shared" si="159"/>
        <v>30</v>
      </c>
      <c r="AT213" s="88">
        <f t="shared" ca="1" si="160"/>
        <v>30</v>
      </c>
      <c r="AU213" s="98">
        <f t="shared" si="161"/>
        <v>0</v>
      </c>
      <c r="AV213" s="88">
        <f t="shared" si="162"/>
        <v>0</v>
      </c>
      <c r="AW213" t="b">
        <f>OR((F213&gt;0),(NOT(ISBLANK(H213))),SUM(H213:H$373),SUM(G213:G$373))</f>
        <v>0</v>
      </c>
      <c r="AX213" t="b">
        <f t="shared" ca="1" si="137"/>
        <v>0</v>
      </c>
      <c r="AY213" s="519">
        <f t="shared" si="163"/>
        <v>-0.29166666666666669</v>
      </c>
      <c r="AZ213" s="180">
        <f>SUM(AY$5:AY213)</f>
        <v>-41.708333333333307</v>
      </c>
      <c r="BA213" s="567"/>
      <c r="BB213" s="567">
        <f t="shared" si="138"/>
        <v>0</v>
      </c>
      <c r="BC213" s="567"/>
    </row>
    <row r="214" spans="1:55" ht="15.75">
      <c r="A214" s="260">
        <f t="shared" si="164"/>
        <v>45042</v>
      </c>
      <c r="B214" s="261">
        <f t="shared" si="139"/>
        <v>45042</v>
      </c>
      <c r="C214" s="262">
        <f>IF(A214="","",NumberOfWeek(A214))</f>
        <v>17</v>
      </c>
      <c r="D214" s="263">
        <f t="shared" si="140"/>
        <v>45016</v>
      </c>
      <c r="E214" s="273" t="str">
        <f t="shared" si="141"/>
        <v/>
      </c>
      <c r="F214" s="5"/>
      <c r="G214" s="6" t="str">
        <f t="shared" si="126"/>
        <v/>
      </c>
      <c r="H214" s="7"/>
      <c r="I214" s="7">
        <f t="shared" si="142"/>
        <v>0</v>
      </c>
      <c r="J214" s="76">
        <f t="shared" si="143"/>
        <v>0</v>
      </c>
      <c r="K214" s="7"/>
      <c r="L214" s="7">
        <f t="shared" si="144"/>
        <v>0</v>
      </c>
      <c r="M214" s="76">
        <f t="shared" si="127"/>
        <v>0</v>
      </c>
      <c r="N214" s="76"/>
      <c r="O214" s="76">
        <f t="shared" si="128"/>
        <v>0</v>
      </c>
      <c r="P214" s="76"/>
      <c r="Q214" s="76">
        <f t="shared" si="129"/>
        <v>0</v>
      </c>
      <c r="R214" s="76">
        <f t="shared" si="145"/>
        <v>0</v>
      </c>
      <c r="S214" s="76">
        <f t="shared" si="146"/>
        <v>0</v>
      </c>
      <c r="T214" s="76">
        <f t="shared" si="147"/>
        <v>0</v>
      </c>
      <c r="U214" s="76">
        <f t="shared" si="148"/>
        <v>0</v>
      </c>
      <c r="V214" s="109">
        <f t="shared" si="149"/>
        <v>0</v>
      </c>
      <c r="W214" s="62"/>
      <c r="X214" s="78">
        <f t="shared" si="130"/>
        <v>3.125E-2</v>
      </c>
      <c r="Y214" s="73">
        <f t="shared" si="150"/>
        <v>0</v>
      </c>
      <c r="Z214" s="74">
        <f t="shared" si="151"/>
        <v>0.29166666666666669</v>
      </c>
      <c r="AA214" s="75">
        <f t="shared" si="152"/>
        <v>0</v>
      </c>
      <c r="AB214" s="63" t="str">
        <f t="shared" si="153"/>
        <v/>
      </c>
      <c r="AC214" s="148">
        <f t="shared" si="131"/>
        <v>0</v>
      </c>
      <c r="AD214" s="107" t="str">
        <f t="shared" si="132"/>
        <v/>
      </c>
      <c r="AE214" s="180">
        <f t="shared" si="154"/>
        <v>0</v>
      </c>
      <c r="AF214" s="73"/>
      <c r="AG214" s="525"/>
      <c r="AH214" s="73"/>
      <c r="AI214" s="73" t="str">
        <f t="shared" si="165"/>
        <v/>
      </c>
      <c r="AJ214" s="64">
        <f t="shared" si="133"/>
        <v>0</v>
      </c>
      <c r="AK214" s="64">
        <f t="shared" si="134"/>
        <v>0</v>
      </c>
      <c r="AL214" s="64" t="str">
        <f t="shared" si="135"/>
        <v/>
      </c>
      <c r="AM214">
        <f t="shared" si="136"/>
        <v>2</v>
      </c>
      <c r="AN214" s="85">
        <f>SUM($AD$6:AD214)</f>
        <v>0</v>
      </c>
      <c r="AO214" s="85">
        <f t="shared" ca="1" si="155"/>
        <v>0</v>
      </c>
      <c r="AP214" s="89">
        <f t="shared" si="156"/>
        <v>0</v>
      </c>
      <c r="AQ214" s="89">
        <f t="shared" si="157"/>
        <v>0</v>
      </c>
      <c r="AR214" s="89">
        <f t="shared" si="158"/>
        <v>0</v>
      </c>
      <c r="AS214" s="88">
        <f t="shared" si="159"/>
        <v>30</v>
      </c>
      <c r="AT214" s="88">
        <f t="shared" ca="1" si="160"/>
        <v>30</v>
      </c>
      <c r="AU214" s="98">
        <f t="shared" si="161"/>
        <v>0</v>
      </c>
      <c r="AV214" s="88">
        <f t="shared" si="162"/>
        <v>0</v>
      </c>
      <c r="AW214" t="b">
        <f>OR((F214&gt;0),(NOT(ISBLANK(H214))),SUM(H214:H$373),SUM(G214:G$373))</f>
        <v>0</v>
      </c>
      <c r="AX214" t="b">
        <f t="shared" ca="1" si="137"/>
        <v>0</v>
      </c>
      <c r="AY214" s="519">
        <f t="shared" si="163"/>
        <v>-0.29166666666666669</v>
      </c>
      <c r="AZ214" s="180">
        <f>SUM(AY$5:AY214)</f>
        <v>-41.999999999999972</v>
      </c>
      <c r="BA214" s="567"/>
      <c r="BB214" s="567">
        <f t="shared" si="138"/>
        <v>0</v>
      </c>
      <c r="BC214" s="567"/>
    </row>
    <row r="215" spans="1:55" ht="15.75">
      <c r="A215" s="260">
        <f t="shared" si="164"/>
        <v>45043</v>
      </c>
      <c r="B215" s="261">
        <f t="shared" si="139"/>
        <v>45043</v>
      </c>
      <c r="C215" s="262">
        <f>IF(A215="","",NumberOfWeek(A215))</f>
        <v>17</v>
      </c>
      <c r="D215" s="263">
        <f t="shared" si="140"/>
        <v>45016</v>
      </c>
      <c r="E215" s="273" t="str">
        <f t="shared" si="141"/>
        <v/>
      </c>
      <c r="F215" s="5"/>
      <c r="G215" s="6" t="str">
        <f t="shared" si="126"/>
        <v/>
      </c>
      <c r="H215" s="7"/>
      <c r="I215" s="7">
        <f t="shared" si="142"/>
        <v>0</v>
      </c>
      <c r="J215" s="76">
        <f t="shared" si="143"/>
        <v>0</v>
      </c>
      <c r="K215" s="7"/>
      <c r="L215" s="7">
        <f t="shared" si="144"/>
        <v>0</v>
      </c>
      <c r="M215" s="76">
        <f t="shared" si="127"/>
        <v>0</v>
      </c>
      <c r="N215" s="76"/>
      <c r="O215" s="76">
        <f t="shared" si="128"/>
        <v>0</v>
      </c>
      <c r="P215" s="76"/>
      <c r="Q215" s="76">
        <f t="shared" si="129"/>
        <v>0</v>
      </c>
      <c r="R215" s="76">
        <f t="shared" si="145"/>
        <v>0</v>
      </c>
      <c r="S215" s="76">
        <f t="shared" si="146"/>
        <v>0</v>
      </c>
      <c r="T215" s="76">
        <f t="shared" si="147"/>
        <v>0</v>
      </c>
      <c r="U215" s="76">
        <f t="shared" si="148"/>
        <v>0</v>
      </c>
      <c r="V215" s="109">
        <f t="shared" si="149"/>
        <v>0</v>
      </c>
      <c r="W215" s="62"/>
      <c r="X215" s="78">
        <f t="shared" si="130"/>
        <v>3.125E-2</v>
      </c>
      <c r="Y215" s="73">
        <f t="shared" si="150"/>
        <v>0</v>
      </c>
      <c r="Z215" s="74">
        <f t="shared" si="151"/>
        <v>0.29166666666666669</v>
      </c>
      <c r="AA215" s="75">
        <f t="shared" si="152"/>
        <v>0</v>
      </c>
      <c r="AB215" s="63" t="str">
        <f t="shared" si="153"/>
        <v/>
      </c>
      <c r="AC215" s="148">
        <f t="shared" si="131"/>
        <v>0</v>
      </c>
      <c r="AD215" s="107" t="str">
        <f t="shared" si="132"/>
        <v/>
      </c>
      <c r="AE215" s="180">
        <f t="shared" si="154"/>
        <v>0</v>
      </c>
      <c r="AF215" s="73"/>
      <c r="AG215" s="525"/>
      <c r="AH215" s="73"/>
      <c r="AI215" s="73" t="str">
        <f t="shared" si="165"/>
        <v/>
      </c>
      <c r="AJ215" s="64">
        <f t="shared" si="133"/>
        <v>0</v>
      </c>
      <c r="AK215" s="64">
        <f t="shared" si="134"/>
        <v>0</v>
      </c>
      <c r="AL215" s="64" t="str">
        <f t="shared" si="135"/>
        <v/>
      </c>
      <c r="AM215">
        <f t="shared" si="136"/>
        <v>3</v>
      </c>
      <c r="AN215" s="85">
        <f>SUM($AD$6:AD215)</f>
        <v>0</v>
      </c>
      <c r="AO215" s="85">
        <f t="shared" ca="1" si="155"/>
        <v>0</v>
      </c>
      <c r="AP215" s="89">
        <f t="shared" si="156"/>
        <v>0</v>
      </c>
      <c r="AQ215" s="89">
        <f t="shared" si="157"/>
        <v>0</v>
      </c>
      <c r="AR215" s="89">
        <f t="shared" si="158"/>
        <v>0</v>
      </c>
      <c r="AS215" s="88">
        <f t="shared" si="159"/>
        <v>30</v>
      </c>
      <c r="AT215" s="88">
        <f t="shared" ca="1" si="160"/>
        <v>30</v>
      </c>
      <c r="AU215" s="98">
        <f t="shared" si="161"/>
        <v>0</v>
      </c>
      <c r="AV215" s="88">
        <f t="shared" si="162"/>
        <v>0</v>
      </c>
      <c r="AW215" t="b">
        <f>OR((F215&gt;0),(NOT(ISBLANK(H215))),SUM(H215:H$373),SUM(G215:G$373))</f>
        <v>0</v>
      </c>
      <c r="AX215" t="b">
        <f t="shared" ca="1" si="137"/>
        <v>0</v>
      </c>
      <c r="AY215" s="519">
        <f t="shared" si="163"/>
        <v>-0.29166666666666669</v>
      </c>
      <c r="AZ215" s="180">
        <f>SUM(AY$5:AY215)</f>
        <v>-42.291666666666636</v>
      </c>
      <c r="BA215" s="567"/>
      <c r="BB215" s="567">
        <f t="shared" si="138"/>
        <v>0</v>
      </c>
      <c r="BC215" s="567"/>
    </row>
    <row r="216" spans="1:55" ht="15.75">
      <c r="A216" s="260">
        <f t="shared" si="164"/>
        <v>45044</v>
      </c>
      <c r="B216" s="261">
        <f t="shared" si="139"/>
        <v>45044</v>
      </c>
      <c r="C216" s="262">
        <f>IF(A216="","",NumberOfWeek(A216))</f>
        <v>17</v>
      </c>
      <c r="D216" s="263">
        <f t="shared" si="140"/>
        <v>45016</v>
      </c>
      <c r="E216" s="273" t="str">
        <f t="shared" si="141"/>
        <v/>
      </c>
      <c r="F216" s="5"/>
      <c r="G216" s="6" t="str">
        <f t="shared" si="126"/>
        <v/>
      </c>
      <c r="H216" s="7"/>
      <c r="I216" s="7">
        <f t="shared" si="142"/>
        <v>0</v>
      </c>
      <c r="J216" s="76">
        <f t="shared" si="143"/>
        <v>0</v>
      </c>
      <c r="K216" s="7"/>
      <c r="L216" s="7">
        <f t="shared" si="144"/>
        <v>0</v>
      </c>
      <c r="M216" s="76">
        <f t="shared" si="127"/>
        <v>0</v>
      </c>
      <c r="N216" s="76"/>
      <c r="O216" s="76">
        <f t="shared" si="128"/>
        <v>0</v>
      </c>
      <c r="P216" s="76"/>
      <c r="Q216" s="76">
        <f t="shared" si="129"/>
        <v>0</v>
      </c>
      <c r="R216" s="76">
        <f t="shared" si="145"/>
        <v>0</v>
      </c>
      <c r="S216" s="76">
        <f t="shared" si="146"/>
        <v>0</v>
      </c>
      <c r="T216" s="76">
        <f t="shared" si="147"/>
        <v>0</v>
      </c>
      <c r="U216" s="76">
        <f t="shared" si="148"/>
        <v>0</v>
      </c>
      <c r="V216" s="109">
        <f t="shared" si="149"/>
        <v>0</v>
      </c>
      <c r="W216" s="62"/>
      <c r="X216" s="78">
        <f t="shared" si="130"/>
        <v>3.125E-2</v>
      </c>
      <c r="Y216" s="73">
        <f t="shared" si="150"/>
        <v>0</v>
      </c>
      <c r="Z216" s="74">
        <f t="shared" si="151"/>
        <v>0.29166666666666669</v>
      </c>
      <c r="AA216" s="75">
        <f t="shared" si="152"/>
        <v>0</v>
      </c>
      <c r="AB216" s="63" t="str">
        <f t="shared" si="153"/>
        <v/>
      </c>
      <c r="AC216" s="148">
        <f t="shared" si="131"/>
        <v>0</v>
      </c>
      <c r="AD216" s="107" t="str">
        <f t="shared" si="132"/>
        <v/>
      </c>
      <c r="AE216" s="180">
        <f t="shared" si="154"/>
        <v>0</v>
      </c>
      <c r="AF216" s="73"/>
      <c r="AG216" s="525"/>
      <c r="AH216" s="73"/>
      <c r="AI216" s="73" t="str">
        <f t="shared" si="165"/>
        <v/>
      </c>
      <c r="AJ216" s="64">
        <f t="shared" si="133"/>
        <v>0</v>
      </c>
      <c r="AK216" s="64">
        <f t="shared" si="134"/>
        <v>0</v>
      </c>
      <c r="AL216" s="64" t="str">
        <f t="shared" si="135"/>
        <v/>
      </c>
      <c r="AM216">
        <f t="shared" si="136"/>
        <v>4</v>
      </c>
      <c r="AN216" s="85">
        <f>SUM($AD$6:AD216)</f>
        <v>0</v>
      </c>
      <c r="AO216" s="85">
        <f t="shared" ca="1" si="155"/>
        <v>0</v>
      </c>
      <c r="AP216" s="89">
        <f t="shared" si="156"/>
        <v>0</v>
      </c>
      <c r="AQ216" s="89">
        <f t="shared" si="157"/>
        <v>0</v>
      </c>
      <c r="AR216" s="89">
        <f t="shared" si="158"/>
        <v>0</v>
      </c>
      <c r="AS216" s="88">
        <f t="shared" si="159"/>
        <v>30</v>
      </c>
      <c r="AT216" s="88">
        <f t="shared" ca="1" si="160"/>
        <v>30</v>
      </c>
      <c r="AU216" s="98">
        <f t="shared" si="161"/>
        <v>0</v>
      </c>
      <c r="AV216" s="88">
        <f t="shared" si="162"/>
        <v>0</v>
      </c>
      <c r="AW216" t="b">
        <f>OR((F216&gt;0),(NOT(ISBLANK(H216))),SUM(H216:H$373),SUM(G216:G$373))</f>
        <v>0</v>
      </c>
      <c r="AX216" t="b">
        <f t="shared" ca="1" si="137"/>
        <v>0</v>
      </c>
      <c r="AY216" s="519">
        <f t="shared" si="163"/>
        <v>-0.29166666666666669</v>
      </c>
      <c r="AZ216" s="180">
        <f>SUM(AY$5:AY216)</f>
        <v>-42.5833333333333</v>
      </c>
      <c r="BA216" s="567"/>
      <c r="BB216" s="567">
        <f t="shared" si="138"/>
        <v>0</v>
      </c>
      <c r="BC216" s="567"/>
    </row>
    <row r="217" spans="1:55" ht="15.75">
      <c r="A217" s="260">
        <f t="shared" si="164"/>
        <v>45045</v>
      </c>
      <c r="B217" s="261">
        <f t="shared" si="139"/>
        <v>45045</v>
      </c>
      <c r="C217" s="262">
        <f>IF(A217="","",NumberOfWeek(A217))</f>
        <v>17</v>
      </c>
      <c r="D217" s="263">
        <f t="shared" si="140"/>
        <v>45016</v>
      </c>
      <c r="E217" s="273" t="str">
        <f t="shared" si="141"/>
        <v/>
      </c>
      <c r="F217" s="5"/>
      <c r="G217" s="6" t="str">
        <f t="shared" si="126"/>
        <v/>
      </c>
      <c r="H217" s="7"/>
      <c r="I217" s="7">
        <f t="shared" si="142"/>
        <v>0</v>
      </c>
      <c r="J217" s="76">
        <f t="shared" si="143"/>
        <v>0</v>
      </c>
      <c r="K217" s="7"/>
      <c r="L217" s="7">
        <f t="shared" si="144"/>
        <v>0</v>
      </c>
      <c r="M217" s="76">
        <f t="shared" si="127"/>
        <v>0</v>
      </c>
      <c r="N217" s="76"/>
      <c r="O217" s="76">
        <f t="shared" si="128"/>
        <v>0</v>
      </c>
      <c r="P217" s="76"/>
      <c r="Q217" s="76">
        <f t="shared" si="129"/>
        <v>0</v>
      </c>
      <c r="R217" s="76">
        <f t="shared" si="145"/>
        <v>0</v>
      </c>
      <c r="S217" s="76">
        <f t="shared" si="146"/>
        <v>0</v>
      </c>
      <c r="T217" s="76">
        <f t="shared" si="147"/>
        <v>0</v>
      </c>
      <c r="U217" s="76">
        <f t="shared" si="148"/>
        <v>0</v>
      </c>
      <c r="V217" s="109">
        <f t="shared" si="149"/>
        <v>0</v>
      </c>
      <c r="W217" s="62"/>
      <c r="X217" s="78">
        <f t="shared" si="130"/>
        <v>3.125E-2</v>
      </c>
      <c r="Y217" s="73">
        <f t="shared" si="150"/>
        <v>0</v>
      </c>
      <c r="Z217" s="74">
        <f t="shared" si="151"/>
        <v>0.29166666666666669</v>
      </c>
      <c r="AA217" s="75">
        <f t="shared" si="152"/>
        <v>0</v>
      </c>
      <c r="AB217" s="63" t="str">
        <f t="shared" si="153"/>
        <v/>
      </c>
      <c r="AC217" s="148">
        <f t="shared" si="131"/>
        <v>0</v>
      </c>
      <c r="AD217" s="107" t="str">
        <f t="shared" si="132"/>
        <v/>
      </c>
      <c r="AE217" s="180">
        <f t="shared" si="154"/>
        <v>0</v>
      </c>
      <c r="AF217" s="73"/>
      <c r="AG217" s="525"/>
      <c r="AH217" s="73"/>
      <c r="AI217" s="73" t="str">
        <f t="shared" si="165"/>
        <v/>
      </c>
      <c r="AJ217" s="64">
        <f t="shared" si="133"/>
        <v>0</v>
      </c>
      <c r="AK217" s="64">
        <f t="shared" si="134"/>
        <v>0</v>
      </c>
      <c r="AL217" s="64" t="str">
        <f t="shared" si="135"/>
        <v/>
      </c>
      <c r="AM217">
        <f t="shared" si="136"/>
        <v>5</v>
      </c>
      <c r="AN217" s="85">
        <f>SUM($AD$6:AD217)</f>
        <v>0</v>
      </c>
      <c r="AO217" s="85">
        <f t="shared" ca="1" si="155"/>
        <v>0</v>
      </c>
      <c r="AP217" s="89">
        <f t="shared" si="156"/>
        <v>0</v>
      </c>
      <c r="AQ217" s="89">
        <f t="shared" si="157"/>
        <v>0</v>
      </c>
      <c r="AR217" s="89">
        <f t="shared" si="158"/>
        <v>0</v>
      </c>
      <c r="AS217" s="88">
        <f t="shared" si="159"/>
        <v>30</v>
      </c>
      <c r="AT217" s="88">
        <f t="shared" ca="1" si="160"/>
        <v>30</v>
      </c>
      <c r="AU217" s="98">
        <f t="shared" si="161"/>
        <v>0</v>
      </c>
      <c r="AV217" s="88">
        <f t="shared" si="162"/>
        <v>0</v>
      </c>
      <c r="AW217" t="b">
        <f>OR((F217&gt;0),(NOT(ISBLANK(H217))),SUM(H217:H$373),SUM(G217:G$373))</f>
        <v>0</v>
      </c>
      <c r="AX217" t="b">
        <f t="shared" ca="1" si="137"/>
        <v>0</v>
      </c>
      <c r="AY217" s="519">
        <f t="shared" si="163"/>
        <v>-0.29166666666666669</v>
      </c>
      <c r="AZ217" s="180">
        <f>SUM(AY$5:AY217)</f>
        <v>-42.874999999999964</v>
      </c>
      <c r="BA217" s="567"/>
      <c r="BB217" s="567">
        <f t="shared" si="138"/>
        <v>0</v>
      </c>
      <c r="BC217" s="567"/>
    </row>
    <row r="218" spans="1:55" ht="15.75">
      <c r="A218" s="260">
        <f t="shared" si="164"/>
        <v>45046</v>
      </c>
      <c r="B218" s="261">
        <f t="shared" si="139"/>
        <v>45046</v>
      </c>
      <c r="C218" s="262">
        <f>IF(A218="","",NumberOfWeek(A218))</f>
        <v>17</v>
      </c>
      <c r="D218" s="263">
        <f t="shared" si="140"/>
        <v>45046</v>
      </c>
      <c r="E218" s="273" t="str">
        <f t="shared" si="141"/>
        <v>Tag der Arbeit</v>
      </c>
      <c r="F218" s="5"/>
      <c r="G218" s="6" t="str">
        <f t="shared" si="126"/>
        <v/>
      </c>
      <c r="H218" s="7"/>
      <c r="I218" s="7">
        <f t="shared" si="142"/>
        <v>0</v>
      </c>
      <c r="J218" s="76">
        <f t="shared" si="143"/>
        <v>0</v>
      </c>
      <c r="K218" s="7"/>
      <c r="L218" s="7">
        <f t="shared" si="144"/>
        <v>0</v>
      </c>
      <c r="M218" s="76">
        <f t="shared" si="127"/>
        <v>0</v>
      </c>
      <c r="N218" s="76"/>
      <c r="O218" s="76">
        <f t="shared" si="128"/>
        <v>0</v>
      </c>
      <c r="P218" s="76"/>
      <c r="Q218" s="76">
        <f t="shared" si="129"/>
        <v>0</v>
      </c>
      <c r="R218" s="76">
        <f t="shared" si="145"/>
        <v>0</v>
      </c>
      <c r="S218" s="76">
        <f t="shared" si="146"/>
        <v>0</v>
      </c>
      <c r="T218" s="76">
        <f t="shared" si="147"/>
        <v>0</v>
      </c>
      <c r="U218" s="76">
        <f t="shared" si="148"/>
        <v>0</v>
      </c>
      <c r="V218" s="109">
        <f t="shared" si="149"/>
        <v>0</v>
      </c>
      <c r="W218" s="62"/>
      <c r="X218" s="78">
        <f t="shared" si="130"/>
        <v>3.125E-2</v>
      </c>
      <c r="Y218" s="73">
        <f t="shared" si="150"/>
        <v>0</v>
      </c>
      <c r="Z218" s="74" t="str">
        <f t="shared" si="151"/>
        <v/>
      </c>
      <c r="AA218" s="75">
        <f t="shared" si="152"/>
        <v>0</v>
      </c>
      <c r="AB218" s="63" t="str">
        <f t="shared" si="153"/>
        <v/>
      </c>
      <c r="AC218" s="148">
        <f t="shared" si="131"/>
        <v>0</v>
      </c>
      <c r="AD218" s="107" t="str">
        <f t="shared" si="132"/>
        <v/>
      </c>
      <c r="AE218" s="180">
        <f t="shared" si="154"/>
        <v>0</v>
      </c>
      <c r="AF218" s="73"/>
      <c r="AG218" s="525"/>
      <c r="AH218" s="73"/>
      <c r="AI218" s="73" t="str">
        <f t="shared" si="165"/>
        <v/>
      </c>
      <c r="AJ218" s="64">
        <f t="shared" si="133"/>
        <v>0</v>
      </c>
      <c r="AK218" s="64">
        <f t="shared" si="134"/>
        <v>0</v>
      </c>
      <c r="AL218" s="64" t="str">
        <f t="shared" si="135"/>
        <v/>
      </c>
      <c r="AM218">
        <f t="shared" si="136"/>
        <v>8</v>
      </c>
      <c r="AN218" s="85">
        <f>SUM($AD$6:AD218)</f>
        <v>0</v>
      </c>
      <c r="AO218" s="85">
        <f t="shared" ca="1" si="155"/>
        <v>0</v>
      </c>
      <c r="AP218" s="89">
        <f t="shared" si="156"/>
        <v>0</v>
      </c>
      <c r="AQ218" s="89">
        <f t="shared" si="157"/>
        <v>0</v>
      </c>
      <c r="AR218" s="89">
        <f t="shared" si="158"/>
        <v>0</v>
      </c>
      <c r="AS218" s="88">
        <f t="shared" si="159"/>
        <v>30</v>
      </c>
      <c r="AT218" s="88">
        <f t="shared" ca="1" si="160"/>
        <v>30</v>
      </c>
      <c r="AU218" s="98">
        <f t="shared" si="161"/>
        <v>0</v>
      </c>
      <c r="AV218" s="88">
        <f t="shared" si="162"/>
        <v>8</v>
      </c>
      <c r="AW218" t="b">
        <f>OR((F218&gt;0),(NOT(ISBLANK(H218))),SUM(H218:H$373),SUM(G218:G$373))</f>
        <v>0</v>
      </c>
      <c r="AX218" t="b">
        <f t="shared" ca="1" si="137"/>
        <v>1</v>
      </c>
      <c r="AY218" s="519">
        <f t="shared" si="163"/>
        <v>0</v>
      </c>
      <c r="AZ218" s="180">
        <f>SUM(AY$5:AY218)</f>
        <v>-42.874999999999964</v>
      </c>
      <c r="BA218" s="567"/>
      <c r="BB218" s="567">
        <f t="shared" si="138"/>
        <v>0</v>
      </c>
      <c r="BC218" s="567"/>
    </row>
    <row r="219" spans="1:55" ht="15.75">
      <c r="A219" s="260">
        <f t="shared" si="164"/>
        <v>45047</v>
      </c>
      <c r="B219" s="261">
        <f t="shared" si="139"/>
        <v>45047</v>
      </c>
      <c r="C219" s="262">
        <f>IF(A219="","",NumberOfWeek(A219))</f>
        <v>17</v>
      </c>
      <c r="D219" s="263">
        <f t="shared" si="140"/>
        <v>45046</v>
      </c>
      <c r="E219" s="273" t="str">
        <f t="shared" si="141"/>
        <v/>
      </c>
      <c r="F219" s="5"/>
      <c r="G219" s="6" t="str">
        <f t="shared" si="126"/>
        <v/>
      </c>
      <c r="H219" s="7"/>
      <c r="I219" s="7">
        <f t="shared" si="142"/>
        <v>0</v>
      </c>
      <c r="J219" s="76">
        <f t="shared" si="143"/>
        <v>0</v>
      </c>
      <c r="K219" s="7"/>
      <c r="L219" s="7">
        <f t="shared" si="144"/>
        <v>0</v>
      </c>
      <c r="M219" s="76">
        <f t="shared" si="127"/>
        <v>0</v>
      </c>
      <c r="N219" s="76"/>
      <c r="O219" s="76">
        <f t="shared" si="128"/>
        <v>0</v>
      </c>
      <c r="P219" s="76"/>
      <c r="Q219" s="76">
        <f t="shared" si="129"/>
        <v>0</v>
      </c>
      <c r="R219" s="76">
        <f t="shared" si="145"/>
        <v>0</v>
      </c>
      <c r="S219" s="76">
        <f t="shared" si="146"/>
        <v>0</v>
      </c>
      <c r="T219" s="76">
        <f t="shared" si="147"/>
        <v>0</v>
      </c>
      <c r="U219" s="76">
        <f t="shared" si="148"/>
        <v>0</v>
      </c>
      <c r="V219" s="109">
        <f t="shared" si="149"/>
        <v>0</v>
      </c>
      <c r="W219" s="62"/>
      <c r="X219" s="78">
        <f t="shared" si="130"/>
        <v>3.125E-2</v>
      </c>
      <c r="Y219" s="73">
        <f t="shared" si="150"/>
        <v>0</v>
      </c>
      <c r="Z219" s="74">
        <f t="shared" si="151"/>
        <v>0</v>
      </c>
      <c r="AA219" s="75">
        <f t="shared" si="152"/>
        <v>0</v>
      </c>
      <c r="AB219" s="63" t="str">
        <f t="shared" si="153"/>
        <v/>
      </c>
      <c r="AC219" s="148">
        <f t="shared" si="131"/>
        <v>0</v>
      </c>
      <c r="AD219" s="107" t="str">
        <f t="shared" si="132"/>
        <v/>
      </c>
      <c r="AE219" s="180">
        <f t="shared" si="154"/>
        <v>0</v>
      </c>
      <c r="AF219" s="73"/>
      <c r="AG219" s="525"/>
      <c r="AH219" s="73"/>
      <c r="AI219" s="73" t="str">
        <f t="shared" si="165"/>
        <v/>
      </c>
      <c r="AJ219" s="64">
        <f t="shared" si="133"/>
        <v>0</v>
      </c>
      <c r="AK219" s="64">
        <f t="shared" si="134"/>
        <v>0</v>
      </c>
      <c r="AL219" s="64" t="str">
        <f t="shared" si="135"/>
        <v/>
      </c>
      <c r="AM219">
        <f t="shared" si="136"/>
        <v>7</v>
      </c>
      <c r="AN219" s="85">
        <f>SUM($AD$6:AD219)</f>
        <v>0</v>
      </c>
      <c r="AO219" s="85">
        <f t="shared" ca="1" si="155"/>
        <v>0</v>
      </c>
      <c r="AP219" s="89">
        <f t="shared" si="156"/>
        <v>0</v>
      </c>
      <c r="AQ219" s="89">
        <f t="shared" si="157"/>
        <v>0</v>
      </c>
      <c r="AR219" s="89">
        <f t="shared" si="158"/>
        <v>0</v>
      </c>
      <c r="AS219" s="88">
        <f t="shared" si="159"/>
        <v>30</v>
      </c>
      <c r="AT219" s="88">
        <f t="shared" ca="1" si="160"/>
        <v>30</v>
      </c>
      <c r="AU219" s="98">
        <f t="shared" si="161"/>
        <v>0</v>
      </c>
      <c r="AV219" s="88">
        <f t="shared" si="162"/>
        <v>7</v>
      </c>
      <c r="AW219" t="b">
        <f>OR((F219&gt;0),(NOT(ISBLANK(H219))),SUM(H219:H$373),SUM(G219:G$373))</f>
        <v>0</v>
      </c>
      <c r="AX219" t="b">
        <f t="shared" ca="1" si="137"/>
        <v>1</v>
      </c>
      <c r="AY219" s="519">
        <f t="shared" si="163"/>
        <v>0</v>
      </c>
      <c r="AZ219" s="180">
        <f>SUM(AY$5:AY219)</f>
        <v>-42.874999999999964</v>
      </c>
      <c r="BA219" s="567"/>
      <c r="BB219" s="567">
        <f t="shared" si="138"/>
        <v>0</v>
      </c>
      <c r="BC219" s="567"/>
    </row>
    <row r="220" spans="1:55" ht="15.75">
      <c r="A220" s="260">
        <f t="shared" si="164"/>
        <v>45048</v>
      </c>
      <c r="B220" s="261">
        <f t="shared" si="139"/>
        <v>45048</v>
      </c>
      <c r="C220" s="262">
        <f>IF(A220="","",NumberOfWeek(A220))</f>
        <v>18</v>
      </c>
      <c r="D220" s="263">
        <f t="shared" si="140"/>
        <v>45046</v>
      </c>
      <c r="E220" s="273" t="str">
        <f t="shared" si="141"/>
        <v/>
      </c>
      <c r="F220" s="5"/>
      <c r="G220" s="6" t="str">
        <f t="shared" si="126"/>
        <v/>
      </c>
      <c r="H220" s="7"/>
      <c r="I220" s="7">
        <f t="shared" si="142"/>
        <v>0</v>
      </c>
      <c r="J220" s="76">
        <f t="shared" si="143"/>
        <v>0</v>
      </c>
      <c r="K220" s="7"/>
      <c r="L220" s="7">
        <f t="shared" si="144"/>
        <v>0</v>
      </c>
      <c r="M220" s="76">
        <f t="shared" si="127"/>
        <v>0</v>
      </c>
      <c r="N220" s="76"/>
      <c r="O220" s="76">
        <f t="shared" si="128"/>
        <v>0</v>
      </c>
      <c r="P220" s="76"/>
      <c r="Q220" s="76">
        <f t="shared" si="129"/>
        <v>0</v>
      </c>
      <c r="R220" s="76">
        <f t="shared" si="145"/>
        <v>0</v>
      </c>
      <c r="S220" s="76">
        <f t="shared" si="146"/>
        <v>0</v>
      </c>
      <c r="T220" s="76">
        <f t="shared" si="147"/>
        <v>0</v>
      </c>
      <c r="U220" s="76">
        <f t="shared" si="148"/>
        <v>0</v>
      </c>
      <c r="V220" s="109">
        <f t="shared" si="149"/>
        <v>0</v>
      </c>
      <c r="W220" s="62"/>
      <c r="X220" s="78">
        <f t="shared" si="130"/>
        <v>3.125E-2</v>
      </c>
      <c r="Y220" s="73">
        <f t="shared" si="150"/>
        <v>0</v>
      </c>
      <c r="Z220" s="74">
        <f t="shared" si="151"/>
        <v>0.29166666666666669</v>
      </c>
      <c r="AA220" s="75">
        <f t="shared" si="152"/>
        <v>0</v>
      </c>
      <c r="AB220" s="63" t="str">
        <f t="shared" si="153"/>
        <v/>
      </c>
      <c r="AC220" s="148">
        <f t="shared" si="131"/>
        <v>0</v>
      </c>
      <c r="AD220" s="107" t="str">
        <f t="shared" si="132"/>
        <v/>
      </c>
      <c r="AE220" s="180">
        <f t="shared" si="154"/>
        <v>0</v>
      </c>
      <c r="AF220" s="73"/>
      <c r="AG220" s="525"/>
      <c r="AH220" s="73"/>
      <c r="AI220" s="73" t="str">
        <f t="shared" si="165"/>
        <v/>
      </c>
      <c r="AJ220" s="64">
        <f t="shared" si="133"/>
        <v>0</v>
      </c>
      <c r="AK220" s="64">
        <f t="shared" si="134"/>
        <v>0</v>
      </c>
      <c r="AL220" s="64" t="str">
        <f t="shared" si="135"/>
        <v/>
      </c>
      <c r="AM220">
        <f t="shared" si="136"/>
        <v>1</v>
      </c>
      <c r="AN220" s="85">
        <f>SUM($AD$6:AD220)</f>
        <v>0</v>
      </c>
      <c r="AO220" s="85">
        <f t="shared" ca="1" si="155"/>
        <v>0</v>
      </c>
      <c r="AP220" s="89">
        <f t="shared" si="156"/>
        <v>0</v>
      </c>
      <c r="AQ220" s="89">
        <f t="shared" si="157"/>
        <v>0</v>
      </c>
      <c r="AR220" s="89">
        <f t="shared" si="158"/>
        <v>0</v>
      </c>
      <c r="AS220" s="88">
        <f t="shared" si="159"/>
        <v>30</v>
      </c>
      <c r="AT220" s="88">
        <f t="shared" ca="1" si="160"/>
        <v>30</v>
      </c>
      <c r="AU220" s="98">
        <f t="shared" si="161"/>
        <v>0</v>
      </c>
      <c r="AV220" s="88">
        <f t="shared" si="162"/>
        <v>0</v>
      </c>
      <c r="AW220" t="b">
        <f>OR((F220&gt;0),(NOT(ISBLANK(H220))),SUM(H220:H$373),SUM(G220:G$373))</f>
        <v>0</v>
      </c>
      <c r="AX220" t="b">
        <f t="shared" ca="1" si="137"/>
        <v>0</v>
      </c>
      <c r="AY220" s="519">
        <f t="shared" si="163"/>
        <v>-0.29166666666666669</v>
      </c>
      <c r="AZ220" s="180">
        <f>SUM(AY$5:AY220)</f>
        <v>-43.166666666666629</v>
      </c>
      <c r="BA220" s="567"/>
      <c r="BB220" s="567">
        <f t="shared" si="138"/>
        <v>0</v>
      </c>
      <c r="BC220" s="567"/>
    </row>
    <row r="221" spans="1:55" ht="15.75">
      <c r="A221" s="260">
        <f t="shared" si="164"/>
        <v>45049</v>
      </c>
      <c r="B221" s="261">
        <f t="shared" si="139"/>
        <v>45049</v>
      </c>
      <c r="C221" s="262">
        <f>IF(A221="","",NumberOfWeek(A221))</f>
        <v>18</v>
      </c>
      <c r="D221" s="263">
        <f t="shared" si="140"/>
        <v>45046</v>
      </c>
      <c r="E221" s="273" t="str">
        <f t="shared" si="141"/>
        <v/>
      </c>
      <c r="F221" s="5"/>
      <c r="G221" s="6" t="str">
        <f t="shared" si="126"/>
        <v/>
      </c>
      <c r="H221" s="7"/>
      <c r="I221" s="7">
        <f t="shared" si="142"/>
        <v>0</v>
      </c>
      <c r="J221" s="76">
        <f t="shared" si="143"/>
        <v>0</v>
      </c>
      <c r="K221" s="7"/>
      <c r="L221" s="7">
        <f t="shared" si="144"/>
        <v>0</v>
      </c>
      <c r="M221" s="76">
        <f t="shared" si="127"/>
        <v>0</v>
      </c>
      <c r="N221" s="76"/>
      <c r="O221" s="76">
        <f t="shared" si="128"/>
        <v>0</v>
      </c>
      <c r="P221" s="76"/>
      <c r="Q221" s="76">
        <f t="shared" si="129"/>
        <v>0</v>
      </c>
      <c r="R221" s="76">
        <f t="shared" si="145"/>
        <v>0</v>
      </c>
      <c r="S221" s="76">
        <f t="shared" si="146"/>
        <v>0</v>
      </c>
      <c r="T221" s="76">
        <f t="shared" si="147"/>
        <v>0</v>
      </c>
      <c r="U221" s="76">
        <f t="shared" si="148"/>
        <v>0</v>
      </c>
      <c r="V221" s="109">
        <f t="shared" si="149"/>
        <v>0</v>
      </c>
      <c r="W221" s="62"/>
      <c r="X221" s="78">
        <f t="shared" si="130"/>
        <v>3.125E-2</v>
      </c>
      <c r="Y221" s="73">
        <f t="shared" si="150"/>
        <v>0</v>
      </c>
      <c r="Z221" s="74">
        <f t="shared" si="151"/>
        <v>0.29166666666666669</v>
      </c>
      <c r="AA221" s="75">
        <f t="shared" si="152"/>
        <v>0</v>
      </c>
      <c r="AB221" s="63" t="str">
        <f t="shared" si="153"/>
        <v/>
      </c>
      <c r="AC221" s="148">
        <f t="shared" si="131"/>
        <v>0</v>
      </c>
      <c r="AD221" s="107" t="str">
        <f t="shared" si="132"/>
        <v/>
      </c>
      <c r="AE221" s="180">
        <f t="shared" si="154"/>
        <v>0</v>
      </c>
      <c r="AF221" s="73"/>
      <c r="AG221" s="525"/>
      <c r="AH221" s="73"/>
      <c r="AI221" s="73" t="str">
        <f t="shared" si="165"/>
        <v/>
      </c>
      <c r="AJ221" s="64">
        <f t="shared" si="133"/>
        <v>0</v>
      </c>
      <c r="AK221" s="64">
        <f t="shared" si="134"/>
        <v>0</v>
      </c>
      <c r="AL221" s="64" t="str">
        <f t="shared" si="135"/>
        <v/>
      </c>
      <c r="AM221">
        <f t="shared" si="136"/>
        <v>2</v>
      </c>
      <c r="AN221" s="85">
        <f>SUM($AD$6:AD221)</f>
        <v>0</v>
      </c>
      <c r="AO221" s="85">
        <f t="shared" ca="1" si="155"/>
        <v>0</v>
      </c>
      <c r="AP221" s="89">
        <f t="shared" si="156"/>
        <v>0</v>
      </c>
      <c r="AQ221" s="89">
        <f t="shared" si="157"/>
        <v>0</v>
      </c>
      <c r="AR221" s="89">
        <f t="shared" si="158"/>
        <v>0</v>
      </c>
      <c r="AS221" s="88">
        <f t="shared" si="159"/>
        <v>30</v>
      </c>
      <c r="AT221" s="88">
        <f t="shared" ca="1" si="160"/>
        <v>30</v>
      </c>
      <c r="AU221" s="98">
        <f t="shared" si="161"/>
        <v>0</v>
      </c>
      <c r="AV221" s="88">
        <f t="shared" si="162"/>
        <v>0</v>
      </c>
      <c r="AW221" t="b">
        <f>OR((F221&gt;0),(NOT(ISBLANK(H221))),SUM(H221:H$373),SUM(G221:G$373))</f>
        <v>0</v>
      </c>
      <c r="AX221" t="b">
        <f t="shared" ca="1" si="137"/>
        <v>0</v>
      </c>
      <c r="AY221" s="519">
        <f t="shared" si="163"/>
        <v>-0.29166666666666669</v>
      </c>
      <c r="AZ221" s="180">
        <f>SUM(AY$5:AY221)</f>
        <v>-43.458333333333293</v>
      </c>
      <c r="BA221" s="567"/>
      <c r="BB221" s="567">
        <f t="shared" si="138"/>
        <v>0</v>
      </c>
      <c r="BC221" s="567"/>
    </row>
    <row r="222" spans="1:55" ht="15.75">
      <c r="A222" s="260">
        <f t="shared" si="164"/>
        <v>45050</v>
      </c>
      <c r="B222" s="261">
        <f t="shared" si="139"/>
        <v>45050</v>
      </c>
      <c r="C222" s="262">
        <f>IF(A222="","",NumberOfWeek(A222))</f>
        <v>18</v>
      </c>
      <c r="D222" s="263">
        <f t="shared" si="140"/>
        <v>45046</v>
      </c>
      <c r="E222" s="273" t="str">
        <f t="shared" si="141"/>
        <v/>
      </c>
      <c r="F222" s="5"/>
      <c r="G222" s="6" t="str">
        <f t="shared" si="126"/>
        <v/>
      </c>
      <c r="H222" s="7"/>
      <c r="I222" s="7">
        <f t="shared" si="142"/>
        <v>0</v>
      </c>
      <c r="J222" s="76">
        <f t="shared" si="143"/>
        <v>0</v>
      </c>
      <c r="K222" s="7"/>
      <c r="L222" s="7">
        <f t="shared" si="144"/>
        <v>0</v>
      </c>
      <c r="M222" s="76">
        <f t="shared" si="127"/>
        <v>0</v>
      </c>
      <c r="N222" s="76"/>
      <c r="O222" s="76">
        <f t="shared" si="128"/>
        <v>0</v>
      </c>
      <c r="P222" s="76"/>
      <c r="Q222" s="76">
        <f t="shared" si="129"/>
        <v>0</v>
      </c>
      <c r="R222" s="76">
        <f t="shared" si="145"/>
        <v>0</v>
      </c>
      <c r="S222" s="76">
        <f t="shared" si="146"/>
        <v>0</v>
      </c>
      <c r="T222" s="76">
        <f t="shared" si="147"/>
        <v>0</v>
      </c>
      <c r="U222" s="76">
        <f t="shared" si="148"/>
        <v>0</v>
      </c>
      <c r="V222" s="109">
        <f t="shared" si="149"/>
        <v>0</v>
      </c>
      <c r="W222" s="62"/>
      <c r="X222" s="78">
        <f t="shared" si="130"/>
        <v>3.125E-2</v>
      </c>
      <c r="Y222" s="73">
        <f t="shared" si="150"/>
        <v>0</v>
      </c>
      <c r="Z222" s="74">
        <f t="shared" si="151"/>
        <v>0.29166666666666669</v>
      </c>
      <c r="AA222" s="75">
        <f t="shared" si="152"/>
        <v>0</v>
      </c>
      <c r="AB222" s="63" t="str">
        <f t="shared" si="153"/>
        <v/>
      </c>
      <c r="AC222" s="148">
        <f t="shared" si="131"/>
        <v>0</v>
      </c>
      <c r="AD222" s="107" t="str">
        <f t="shared" si="132"/>
        <v/>
      </c>
      <c r="AE222" s="180">
        <f t="shared" si="154"/>
        <v>0</v>
      </c>
      <c r="AF222" s="73"/>
      <c r="AG222" s="525"/>
      <c r="AH222" s="73"/>
      <c r="AI222" s="73" t="str">
        <f t="shared" si="165"/>
        <v/>
      </c>
      <c r="AJ222" s="64">
        <f t="shared" si="133"/>
        <v>0</v>
      </c>
      <c r="AK222" s="64">
        <f t="shared" si="134"/>
        <v>0</v>
      </c>
      <c r="AL222" s="64" t="str">
        <f t="shared" si="135"/>
        <v/>
      </c>
      <c r="AM222">
        <f t="shared" si="136"/>
        <v>3</v>
      </c>
      <c r="AN222" s="85">
        <f>SUM($AD$6:AD222)</f>
        <v>0</v>
      </c>
      <c r="AO222" s="85">
        <f t="shared" ca="1" si="155"/>
        <v>0</v>
      </c>
      <c r="AP222" s="89">
        <f t="shared" si="156"/>
        <v>0</v>
      </c>
      <c r="AQ222" s="89">
        <f t="shared" si="157"/>
        <v>0</v>
      </c>
      <c r="AR222" s="89">
        <f t="shared" si="158"/>
        <v>0</v>
      </c>
      <c r="AS222" s="88">
        <f t="shared" si="159"/>
        <v>30</v>
      </c>
      <c r="AT222" s="88">
        <f t="shared" ca="1" si="160"/>
        <v>30</v>
      </c>
      <c r="AU222" s="98">
        <f t="shared" si="161"/>
        <v>0</v>
      </c>
      <c r="AV222" s="88">
        <f t="shared" si="162"/>
        <v>0</v>
      </c>
      <c r="AW222" t="b">
        <f>OR((F222&gt;0),(NOT(ISBLANK(H222))),SUM(H222:H$373),SUM(G222:G$373))</f>
        <v>0</v>
      </c>
      <c r="AX222" t="b">
        <f t="shared" ca="1" si="137"/>
        <v>0</v>
      </c>
      <c r="AY222" s="519">
        <f t="shared" si="163"/>
        <v>-0.29166666666666669</v>
      </c>
      <c r="AZ222" s="180">
        <f>SUM(AY$5:AY222)</f>
        <v>-43.749999999999957</v>
      </c>
      <c r="BA222" s="567"/>
      <c r="BB222" s="567">
        <f t="shared" si="138"/>
        <v>0</v>
      </c>
      <c r="BC222" s="567"/>
    </row>
    <row r="223" spans="1:55" ht="15.75">
      <c r="A223" s="260">
        <f t="shared" si="164"/>
        <v>45051</v>
      </c>
      <c r="B223" s="261">
        <f t="shared" si="139"/>
        <v>45051</v>
      </c>
      <c r="C223" s="262">
        <f>IF(A223="","",NumberOfWeek(A223))</f>
        <v>18</v>
      </c>
      <c r="D223" s="263">
        <f t="shared" si="140"/>
        <v>45046</v>
      </c>
      <c r="E223" s="273" t="str">
        <f t="shared" si="141"/>
        <v>Christi Himmelfahrt</v>
      </c>
      <c r="F223" s="5"/>
      <c r="G223" s="6" t="str">
        <f t="shared" si="126"/>
        <v/>
      </c>
      <c r="H223" s="7"/>
      <c r="I223" s="7">
        <f t="shared" si="142"/>
        <v>0</v>
      </c>
      <c r="J223" s="76">
        <f t="shared" si="143"/>
        <v>0</v>
      </c>
      <c r="K223" s="7"/>
      <c r="L223" s="7">
        <f t="shared" si="144"/>
        <v>0</v>
      </c>
      <c r="M223" s="76">
        <f t="shared" si="127"/>
        <v>0</v>
      </c>
      <c r="N223" s="76"/>
      <c r="O223" s="76">
        <f t="shared" si="128"/>
        <v>0</v>
      </c>
      <c r="P223" s="76"/>
      <c r="Q223" s="76">
        <f t="shared" si="129"/>
        <v>0</v>
      </c>
      <c r="R223" s="76">
        <f t="shared" si="145"/>
        <v>0</v>
      </c>
      <c r="S223" s="76">
        <f t="shared" si="146"/>
        <v>0</v>
      </c>
      <c r="T223" s="76">
        <f t="shared" si="147"/>
        <v>0</v>
      </c>
      <c r="U223" s="76">
        <f t="shared" si="148"/>
        <v>0</v>
      </c>
      <c r="V223" s="109">
        <f t="shared" si="149"/>
        <v>0</v>
      </c>
      <c r="W223" s="62"/>
      <c r="X223" s="78">
        <f t="shared" si="130"/>
        <v>3.125E-2</v>
      </c>
      <c r="Y223" s="73">
        <f t="shared" si="150"/>
        <v>0</v>
      </c>
      <c r="Z223" s="74" t="str">
        <f t="shared" si="151"/>
        <v/>
      </c>
      <c r="AA223" s="75">
        <f t="shared" si="152"/>
        <v>0</v>
      </c>
      <c r="AB223" s="63" t="str">
        <f t="shared" si="153"/>
        <v/>
      </c>
      <c r="AC223" s="148">
        <f t="shared" si="131"/>
        <v>0</v>
      </c>
      <c r="AD223" s="107" t="str">
        <f t="shared" si="132"/>
        <v/>
      </c>
      <c r="AE223" s="180">
        <f t="shared" si="154"/>
        <v>0</v>
      </c>
      <c r="AF223" s="73"/>
      <c r="AG223" s="525"/>
      <c r="AH223" s="73"/>
      <c r="AI223" s="73" t="str">
        <f t="shared" si="165"/>
        <v/>
      </c>
      <c r="AJ223" s="64">
        <f t="shared" si="133"/>
        <v>0</v>
      </c>
      <c r="AK223" s="64">
        <f t="shared" si="134"/>
        <v>0</v>
      </c>
      <c r="AL223" s="64" t="str">
        <f t="shared" si="135"/>
        <v/>
      </c>
      <c r="AM223">
        <f t="shared" si="136"/>
        <v>8</v>
      </c>
      <c r="AN223" s="85">
        <f>SUM($AD$6:AD223)</f>
        <v>0</v>
      </c>
      <c r="AO223" s="85">
        <f t="shared" ca="1" si="155"/>
        <v>0</v>
      </c>
      <c r="AP223" s="89">
        <f t="shared" si="156"/>
        <v>0</v>
      </c>
      <c r="AQ223" s="89">
        <f t="shared" si="157"/>
        <v>0</v>
      </c>
      <c r="AR223" s="89">
        <f t="shared" si="158"/>
        <v>0</v>
      </c>
      <c r="AS223" s="88">
        <f t="shared" si="159"/>
        <v>30</v>
      </c>
      <c r="AT223" s="88">
        <f t="shared" ca="1" si="160"/>
        <v>30</v>
      </c>
      <c r="AU223" s="98">
        <f t="shared" si="161"/>
        <v>0</v>
      </c>
      <c r="AV223" s="88">
        <f t="shared" si="162"/>
        <v>8</v>
      </c>
      <c r="AW223" t="b">
        <f>OR((F223&gt;0),(NOT(ISBLANK(H223))),SUM(H223:H$373),SUM(G223:G$373))</f>
        <v>0</v>
      </c>
      <c r="AX223" t="b">
        <f t="shared" ca="1" si="137"/>
        <v>1</v>
      </c>
      <c r="AY223" s="519">
        <f t="shared" si="163"/>
        <v>0</v>
      </c>
      <c r="AZ223" s="180">
        <f>SUM(AY$5:AY223)</f>
        <v>-43.749999999999957</v>
      </c>
      <c r="BA223" s="567"/>
      <c r="BB223" s="567">
        <f t="shared" si="138"/>
        <v>0</v>
      </c>
      <c r="BC223" s="567"/>
    </row>
    <row r="224" spans="1:55" ht="15.75">
      <c r="A224" s="260">
        <f t="shared" si="164"/>
        <v>45052</v>
      </c>
      <c r="B224" s="261">
        <f t="shared" si="139"/>
        <v>45052</v>
      </c>
      <c r="C224" s="262">
        <f>IF(A224="","",NumberOfWeek(A224))</f>
        <v>18</v>
      </c>
      <c r="D224" s="263">
        <f t="shared" si="140"/>
        <v>45046</v>
      </c>
      <c r="E224" s="273" t="str">
        <f t="shared" si="141"/>
        <v/>
      </c>
      <c r="F224" s="5"/>
      <c r="G224" s="6" t="str">
        <f t="shared" si="126"/>
        <v/>
      </c>
      <c r="H224" s="7"/>
      <c r="I224" s="7">
        <f t="shared" si="142"/>
        <v>0</v>
      </c>
      <c r="J224" s="76">
        <f t="shared" si="143"/>
        <v>0</v>
      </c>
      <c r="K224" s="7"/>
      <c r="L224" s="7">
        <f t="shared" si="144"/>
        <v>0</v>
      </c>
      <c r="M224" s="76">
        <f t="shared" si="127"/>
        <v>0</v>
      </c>
      <c r="N224" s="76"/>
      <c r="O224" s="76">
        <f t="shared" si="128"/>
        <v>0</v>
      </c>
      <c r="P224" s="76"/>
      <c r="Q224" s="76">
        <f t="shared" si="129"/>
        <v>0</v>
      </c>
      <c r="R224" s="76">
        <f t="shared" si="145"/>
        <v>0</v>
      </c>
      <c r="S224" s="76">
        <f t="shared" si="146"/>
        <v>0</v>
      </c>
      <c r="T224" s="76">
        <f t="shared" si="147"/>
        <v>0</v>
      </c>
      <c r="U224" s="76">
        <f t="shared" si="148"/>
        <v>0</v>
      </c>
      <c r="V224" s="109">
        <f t="shared" si="149"/>
        <v>0</v>
      </c>
      <c r="W224" s="62"/>
      <c r="X224" s="78">
        <f t="shared" si="130"/>
        <v>3.125E-2</v>
      </c>
      <c r="Y224" s="73">
        <f t="shared" si="150"/>
        <v>0</v>
      </c>
      <c r="Z224" s="74">
        <f t="shared" si="151"/>
        <v>0.29166666666666669</v>
      </c>
      <c r="AA224" s="75">
        <f t="shared" si="152"/>
        <v>0</v>
      </c>
      <c r="AB224" s="63" t="str">
        <f t="shared" si="153"/>
        <v/>
      </c>
      <c r="AC224" s="148">
        <f t="shared" si="131"/>
        <v>0</v>
      </c>
      <c r="AD224" s="107" t="str">
        <f t="shared" si="132"/>
        <v/>
      </c>
      <c r="AE224" s="180">
        <f t="shared" si="154"/>
        <v>0</v>
      </c>
      <c r="AF224" s="73"/>
      <c r="AG224" s="525"/>
      <c r="AH224" s="73"/>
      <c r="AI224" s="73" t="str">
        <f t="shared" si="165"/>
        <v/>
      </c>
      <c r="AJ224" s="64">
        <f t="shared" si="133"/>
        <v>0</v>
      </c>
      <c r="AK224" s="64">
        <f t="shared" si="134"/>
        <v>0</v>
      </c>
      <c r="AL224" s="64" t="str">
        <f t="shared" si="135"/>
        <v/>
      </c>
      <c r="AM224">
        <f t="shared" si="136"/>
        <v>5</v>
      </c>
      <c r="AN224" s="85">
        <f>SUM($AD$6:AD224)</f>
        <v>0</v>
      </c>
      <c r="AO224" s="85">
        <f t="shared" ca="1" si="155"/>
        <v>0</v>
      </c>
      <c r="AP224" s="89">
        <f t="shared" si="156"/>
        <v>0</v>
      </c>
      <c r="AQ224" s="89">
        <f t="shared" si="157"/>
        <v>0</v>
      </c>
      <c r="AR224" s="89">
        <f t="shared" si="158"/>
        <v>0</v>
      </c>
      <c r="AS224" s="88">
        <f t="shared" si="159"/>
        <v>30</v>
      </c>
      <c r="AT224" s="88">
        <f t="shared" ca="1" si="160"/>
        <v>30</v>
      </c>
      <c r="AU224" s="98">
        <f t="shared" si="161"/>
        <v>0</v>
      </c>
      <c r="AV224" s="88">
        <f t="shared" si="162"/>
        <v>0</v>
      </c>
      <c r="AW224" t="b">
        <f>OR((F224&gt;0),(NOT(ISBLANK(H224))),SUM(H224:H$373),SUM(G224:G$373))</f>
        <v>0</v>
      </c>
      <c r="AX224" t="b">
        <f t="shared" ca="1" si="137"/>
        <v>0</v>
      </c>
      <c r="AY224" s="519">
        <f t="shared" si="163"/>
        <v>-0.29166666666666669</v>
      </c>
      <c r="AZ224" s="180">
        <f>SUM(AY$5:AY224)</f>
        <v>-44.041666666666622</v>
      </c>
      <c r="BA224" s="567"/>
      <c r="BB224" s="567">
        <f t="shared" si="138"/>
        <v>0</v>
      </c>
      <c r="BC224" s="567"/>
    </row>
    <row r="225" spans="1:55" ht="15.75">
      <c r="A225" s="260">
        <f t="shared" si="164"/>
        <v>45053</v>
      </c>
      <c r="B225" s="261">
        <f t="shared" si="139"/>
        <v>45053</v>
      </c>
      <c r="C225" s="262">
        <f>IF(A225="","",NumberOfWeek(A225))</f>
        <v>18</v>
      </c>
      <c r="D225" s="263">
        <f t="shared" si="140"/>
        <v>45046</v>
      </c>
      <c r="E225" s="273" t="str">
        <f t="shared" si="141"/>
        <v/>
      </c>
      <c r="F225" s="5"/>
      <c r="G225" s="6" t="str">
        <f t="shared" si="126"/>
        <v/>
      </c>
      <c r="H225" s="7"/>
      <c r="I225" s="7">
        <f t="shared" si="142"/>
        <v>0</v>
      </c>
      <c r="J225" s="76">
        <f t="shared" si="143"/>
        <v>0</v>
      </c>
      <c r="K225" s="7"/>
      <c r="L225" s="7">
        <f t="shared" si="144"/>
        <v>0</v>
      </c>
      <c r="M225" s="76">
        <f t="shared" si="127"/>
        <v>0</v>
      </c>
      <c r="N225" s="76"/>
      <c r="O225" s="76">
        <f t="shared" si="128"/>
        <v>0</v>
      </c>
      <c r="P225" s="76"/>
      <c r="Q225" s="76">
        <f t="shared" si="129"/>
        <v>0</v>
      </c>
      <c r="R225" s="76">
        <f t="shared" si="145"/>
        <v>0</v>
      </c>
      <c r="S225" s="76">
        <f t="shared" si="146"/>
        <v>0</v>
      </c>
      <c r="T225" s="76">
        <f t="shared" si="147"/>
        <v>0</v>
      </c>
      <c r="U225" s="76">
        <f t="shared" si="148"/>
        <v>0</v>
      </c>
      <c r="V225" s="109">
        <f t="shared" si="149"/>
        <v>0</v>
      </c>
      <c r="W225" s="62"/>
      <c r="X225" s="78">
        <f t="shared" si="130"/>
        <v>3.125E-2</v>
      </c>
      <c r="Y225" s="73">
        <f t="shared" si="150"/>
        <v>0</v>
      </c>
      <c r="Z225" s="74">
        <f t="shared" si="151"/>
        <v>0</v>
      </c>
      <c r="AA225" s="75">
        <f t="shared" si="152"/>
        <v>0</v>
      </c>
      <c r="AB225" s="63" t="str">
        <f t="shared" si="153"/>
        <v/>
      </c>
      <c r="AC225" s="148">
        <f t="shared" si="131"/>
        <v>0</v>
      </c>
      <c r="AD225" s="107" t="str">
        <f t="shared" si="132"/>
        <v/>
      </c>
      <c r="AE225" s="180">
        <f t="shared" si="154"/>
        <v>0</v>
      </c>
      <c r="AF225" s="73"/>
      <c r="AG225" s="525"/>
      <c r="AH225" s="73"/>
      <c r="AI225" s="73" t="str">
        <f t="shared" si="165"/>
        <v/>
      </c>
      <c r="AJ225" s="64">
        <f t="shared" si="133"/>
        <v>0</v>
      </c>
      <c r="AK225" s="64">
        <f t="shared" si="134"/>
        <v>0</v>
      </c>
      <c r="AL225" s="64" t="str">
        <f t="shared" si="135"/>
        <v/>
      </c>
      <c r="AM225">
        <f t="shared" si="136"/>
        <v>6</v>
      </c>
      <c r="AN225" s="85">
        <f>SUM($AD$6:AD225)</f>
        <v>0</v>
      </c>
      <c r="AO225" s="85">
        <f t="shared" ca="1" si="155"/>
        <v>0</v>
      </c>
      <c r="AP225" s="89">
        <f t="shared" si="156"/>
        <v>0</v>
      </c>
      <c r="AQ225" s="89">
        <f t="shared" si="157"/>
        <v>0</v>
      </c>
      <c r="AR225" s="89">
        <f t="shared" si="158"/>
        <v>0</v>
      </c>
      <c r="AS225" s="88">
        <f t="shared" si="159"/>
        <v>30</v>
      </c>
      <c r="AT225" s="88">
        <f t="shared" ca="1" si="160"/>
        <v>30</v>
      </c>
      <c r="AU225" s="98">
        <f t="shared" si="161"/>
        <v>0</v>
      </c>
      <c r="AV225" s="88">
        <f t="shared" si="162"/>
        <v>7</v>
      </c>
      <c r="AW225" t="b">
        <f>OR((F225&gt;0),(NOT(ISBLANK(H225))),SUM(H225:H$373),SUM(G225:G$373))</f>
        <v>0</v>
      </c>
      <c r="AX225" t="b">
        <f t="shared" ca="1" si="137"/>
        <v>1</v>
      </c>
      <c r="AY225" s="519">
        <f t="shared" si="163"/>
        <v>0</v>
      </c>
      <c r="AZ225" s="180">
        <f>SUM(AY$5:AY225)</f>
        <v>-44.041666666666622</v>
      </c>
      <c r="BA225" s="567"/>
      <c r="BB225" s="567">
        <f t="shared" si="138"/>
        <v>0</v>
      </c>
      <c r="BC225" s="567"/>
    </row>
    <row r="226" spans="1:55" ht="15.75">
      <c r="A226" s="260">
        <f t="shared" si="164"/>
        <v>45054</v>
      </c>
      <c r="B226" s="261">
        <f t="shared" si="139"/>
        <v>45054</v>
      </c>
      <c r="C226" s="262">
        <f>IF(A226="","",NumberOfWeek(A226))</f>
        <v>18</v>
      </c>
      <c r="D226" s="263">
        <f t="shared" si="140"/>
        <v>45046</v>
      </c>
      <c r="E226" s="273" t="str">
        <f t="shared" si="141"/>
        <v/>
      </c>
      <c r="F226" s="5"/>
      <c r="G226" s="6" t="str">
        <f t="shared" si="126"/>
        <v/>
      </c>
      <c r="H226" s="7"/>
      <c r="I226" s="7">
        <f t="shared" si="142"/>
        <v>0</v>
      </c>
      <c r="J226" s="76">
        <f t="shared" si="143"/>
        <v>0</v>
      </c>
      <c r="K226" s="7"/>
      <c r="L226" s="7">
        <f t="shared" si="144"/>
        <v>0</v>
      </c>
      <c r="M226" s="76">
        <f t="shared" si="127"/>
        <v>0</v>
      </c>
      <c r="N226" s="76"/>
      <c r="O226" s="76">
        <f t="shared" si="128"/>
        <v>0</v>
      </c>
      <c r="P226" s="76"/>
      <c r="Q226" s="76">
        <f t="shared" si="129"/>
        <v>0</v>
      </c>
      <c r="R226" s="76">
        <f t="shared" si="145"/>
        <v>0</v>
      </c>
      <c r="S226" s="76">
        <f t="shared" si="146"/>
        <v>0</v>
      </c>
      <c r="T226" s="76">
        <f t="shared" si="147"/>
        <v>0</v>
      </c>
      <c r="U226" s="76">
        <f t="shared" si="148"/>
        <v>0</v>
      </c>
      <c r="V226" s="109">
        <f t="shared" si="149"/>
        <v>0</v>
      </c>
      <c r="W226" s="62"/>
      <c r="X226" s="78">
        <f t="shared" si="130"/>
        <v>3.125E-2</v>
      </c>
      <c r="Y226" s="73">
        <f t="shared" si="150"/>
        <v>0</v>
      </c>
      <c r="Z226" s="74">
        <f t="shared" si="151"/>
        <v>0</v>
      </c>
      <c r="AA226" s="75">
        <f t="shared" si="152"/>
        <v>0</v>
      </c>
      <c r="AB226" s="63" t="str">
        <f t="shared" si="153"/>
        <v/>
      </c>
      <c r="AC226" s="148">
        <f t="shared" si="131"/>
        <v>0</v>
      </c>
      <c r="AD226" s="107" t="str">
        <f t="shared" si="132"/>
        <v/>
      </c>
      <c r="AE226" s="180">
        <f t="shared" si="154"/>
        <v>0</v>
      </c>
      <c r="AF226" s="73"/>
      <c r="AG226" s="525"/>
      <c r="AH226" s="73"/>
      <c r="AI226" s="73" t="str">
        <f t="shared" si="165"/>
        <v/>
      </c>
      <c r="AJ226" s="64">
        <f t="shared" si="133"/>
        <v>0</v>
      </c>
      <c r="AK226" s="64">
        <f t="shared" si="134"/>
        <v>0</v>
      </c>
      <c r="AL226" s="64" t="str">
        <f t="shared" si="135"/>
        <v/>
      </c>
      <c r="AM226">
        <f t="shared" si="136"/>
        <v>7</v>
      </c>
      <c r="AN226" s="85">
        <f>SUM($AD$6:AD226)</f>
        <v>0</v>
      </c>
      <c r="AO226" s="85">
        <f t="shared" ca="1" si="155"/>
        <v>0</v>
      </c>
      <c r="AP226" s="89">
        <f t="shared" si="156"/>
        <v>0</v>
      </c>
      <c r="AQ226" s="89">
        <f t="shared" si="157"/>
        <v>0</v>
      </c>
      <c r="AR226" s="89">
        <f t="shared" si="158"/>
        <v>0</v>
      </c>
      <c r="AS226" s="88">
        <f t="shared" si="159"/>
        <v>30</v>
      </c>
      <c r="AT226" s="88">
        <f t="shared" ca="1" si="160"/>
        <v>30</v>
      </c>
      <c r="AU226" s="98">
        <f t="shared" si="161"/>
        <v>0</v>
      </c>
      <c r="AV226" s="88">
        <f t="shared" si="162"/>
        <v>7</v>
      </c>
      <c r="AW226" t="b">
        <f>OR((F226&gt;0),(NOT(ISBLANK(H226))),SUM(H226:H$373),SUM(G226:G$373))</f>
        <v>0</v>
      </c>
      <c r="AX226" t="b">
        <f t="shared" ca="1" si="137"/>
        <v>1</v>
      </c>
      <c r="AY226" s="519">
        <f t="shared" si="163"/>
        <v>0</v>
      </c>
      <c r="AZ226" s="180">
        <f>SUM(AY$5:AY226)</f>
        <v>-44.041666666666622</v>
      </c>
      <c r="BA226" s="567"/>
      <c r="BB226" s="567">
        <f t="shared" si="138"/>
        <v>0</v>
      </c>
      <c r="BC226" s="567"/>
    </row>
    <row r="227" spans="1:55" ht="15.75">
      <c r="A227" s="260">
        <f t="shared" si="164"/>
        <v>45055</v>
      </c>
      <c r="B227" s="261">
        <f t="shared" si="139"/>
        <v>45055</v>
      </c>
      <c r="C227" s="262">
        <f>IF(A227="","",NumberOfWeek(A227))</f>
        <v>19</v>
      </c>
      <c r="D227" s="263">
        <f t="shared" si="140"/>
        <v>45046</v>
      </c>
      <c r="E227" s="273" t="str">
        <f t="shared" si="141"/>
        <v/>
      </c>
      <c r="F227" s="5"/>
      <c r="G227" s="6" t="str">
        <f t="shared" si="126"/>
        <v/>
      </c>
      <c r="H227" s="7"/>
      <c r="I227" s="7">
        <f t="shared" si="142"/>
        <v>0</v>
      </c>
      <c r="J227" s="76">
        <f t="shared" si="143"/>
        <v>0</v>
      </c>
      <c r="K227" s="7"/>
      <c r="L227" s="7">
        <f t="shared" si="144"/>
        <v>0</v>
      </c>
      <c r="M227" s="76">
        <f t="shared" si="127"/>
        <v>0</v>
      </c>
      <c r="N227" s="76"/>
      <c r="O227" s="76">
        <f t="shared" si="128"/>
        <v>0</v>
      </c>
      <c r="P227" s="76"/>
      <c r="Q227" s="76">
        <f t="shared" si="129"/>
        <v>0</v>
      </c>
      <c r="R227" s="76">
        <f t="shared" si="145"/>
        <v>0</v>
      </c>
      <c r="S227" s="76">
        <f t="shared" si="146"/>
        <v>0</v>
      </c>
      <c r="T227" s="76">
        <f t="shared" si="147"/>
        <v>0</v>
      </c>
      <c r="U227" s="76">
        <f t="shared" si="148"/>
        <v>0</v>
      </c>
      <c r="V227" s="109">
        <f t="shared" si="149"/>
        <v>0</v>
      </c>
      <c r="W227" s="62"/>
      <c r="X227" s="78">
        <f t="shared" si="130"/>
        <v>3.125E-2</v>
      </c>
      <c r="Y227" s="73">
        <f t="shared" si="150"/>
        <v>0</v>
      </c>
      <c r="Z227" s="74">
        <f t="shared" si="151"/>
        <v>0.29166666666666669</v>
      </c>
      <c r="AA227" s="75">
        <f t="shared" si="152"/>
        <v>0</v>
      </c>
      <c r="AB227" s="63" t="str">
        <f t="shared" si="153"/>
        <v/>
      </c>
      <c r="AC227" s="148">
        <f t="shared" si="131"/>
        <v>0</v>
      </c>
      <c r="AD227" s="107" t="str">
        <f t="shared" si="132"/>
        <v/>
      </c>
      <c r="AE227" s="180">
        <f t="shared" si="154"/>
        <v>0</v>
      </c>
      <c r="AF227" s="73"/>
      <c r="AG227" s="525"/>
      <c r="AH227" s="73"/>
      <c r="AI227" s="73" t="str">
        <f t="shared" si="165"/>
        <v/>
      </c>
      <c r="AJ227" s="64">
        <f t="shared" si="133"/>
        <v>0</v>
      </c>
      <c r="AK227" s="64">
        <f t="shared" si="134"/>
        <v>0</v>
      </c>
      <c r="AL227" s="64" t="str">
        <f t="shared" si="135"/>
        <v/>
      </c>
      <c r="AM227">
        <f t="shared" si="136"/>
        <v>1</v>
      </c>
      <c r="AN227" s="85">
        <f>SUM($AD$6:AD227)</f>
        <v>0</v>
      </c>
      <c r="AO227" s="85">
        <f t="shared" ca="1" si="155"/>
        <v>0</v>
      </c>
      <c r="AP227" s="89">
        <f t="shared" si="156"/>
        <v>0</v>
      </c>
      <c r="AQ227" s="89">
        <f t="shared" si="157"/>
        <v>0</v>
      </c>
      <c r="AR227" s="89">
        <f t="shared" si="158"/>
        <v>0</v>
      </c>
      <c r="AS227" s="88">
        <f t="shared" si="159"/>
        <v>30</v>
      </c>
      <c r="AT227" s="88">
        <f t="shared" ca="1" si="160"/>
        <v>30</v>
      </c>
      <c r="AU227" s="98">
        <f t="shared" si="161"/>
        <v>0</v>
      </c>
      <c r="AV227" s="88">
        <f t="shared" si="162"/>
        <v>0</v>
      </c>
      <c r="AW227" t="b">
        <f>OR((F227&gt;0),(NOT(ISBLANK(H227))),SUM(H227:H$373),SUM(G227:G$373))</f>
        <v>0</v>
      </c>
      <c r="AX227" t="b">
        <f t="shared" ca="1" si="137"/>
        <v>0</v>
      </c>
      <c r="AY227" s="519">
        <f t="shared" si="163"/>
        <v>-0.29166666666666669</v>
      </c>
      <c r="AZ227" s="180">
        <f>SUM(AY$5:AY227)</f>
        <v>-44.333333333333286</v>
      </c>
      <c r="BA227" s="567"/>
      <c r="BB227" s="567">
        <f t="shared" si="138"/>
        <v>0</v>
      </c>
      <c r="BC227" s="567"/>
    </row>
    <row r="228" spans="1:55" ht="15.75">
      <c r="A228" s="260">
        <f t="shared" si="164"/>
        <v>45056</v>
      </c>
      <c r="B228" s="261">
        <f t="shared" si="139"/>
        <v>45056</v>
      </c>
      <c r="C228" s="262">
        <f>IF(A228="","",NumberOfWeek(A228))</f>
        <v>19</v>
      </c>
      <c r="D228" s="263">
        <f t="shared" si="140"/>
        <v>45046</v>
      </c>
      <c r="E228" s="273" t="str">
        <f t="shared" si="141"/>
        <v/>
      </c>
      <c r="F228" s="5"/>
      <c r="G228" s="6" t="str">
        <f t="shared" si="126"/>
        <v/>
      </c>
      <c r="H228" s="7"/>
      <c r="I228" s="7">
        <f t="shared" si="142"/>
        <v>0</v>
      </c>
      <c r="J228" s="76">
        <f t="shared" si="143"/>
        <v>0</v>
      </c>
      <c r="K228" s="7"/>
      <c r="L228" s="7">
        <f t="shared" si="144"/>
        <v>0</v>
      </c>
      <c r="M228" s="76">
        <f t="shared" si="127"/>
        <v>0</v>
      </c>
      <c r="N228" s="76"/>
      <c r="O228" s="76">
        <f t="shared" si="128"/>
        <v>0</v>
      </c>
      <c r="P228" s="76"/>
      <c r="Q228" s="76">
        <f t="shared" si="129"/>
        <v>0</v>
      </c>
      <c r="R228" s="76">
        <f t="shared" si="145"/>
        <v>0</v>
      </c>
      <c r="S228" s="76">
        <f t="shared" si="146"/>
        <v>0</v>
      </c>
      <c r="T228" s="76">
        <f t="shared" si="147"/>
        <v>0</v>
      </c>
      <c r="U228" s="76">
        <f t="shared" si="148"/>
        <v>0</v>
      </c>
      <c r="V228" s="109">
        <f t="shared" si="149"/>
        <v>0</v>
      </c>
      <c r="W228" s="62"/>
      <c r="X228" s="78">
        <f t="shared" si="130"/>
        <v>3.125E-2</v>
      </c>
      <c r="Y228" s="73">
        <f t="shared" si="150"/>
        <v>0</v>
      </c>
      <c r="Z228" s="74">
        <f t="shared" si="151"/>
        <v>0.29166666666666669</v>
      </c>
      <c r="AA228" s="75">
        <f t="shared" si="152"/>
        <v>0</v>
      </c>
      <c r="AB228" s="63" t="str">
        <f t="shared" si="153"/>
        <v/>
      </c>
      <c r="AC228" s="148">
        <f t="shared" si="131"/>
        <v>0</v>
      </c>
      <c r="AD228" s="107" t="str">
        <f t="shared" si="132"/>
        <v/>
      </c>
      <c r="AE228" s="180">
        <f t="shared" si="154"/>
        <v>0</v>
      </c>
      <c r="AF228" s="73"/>
      <c r="AG228" s="525"/>
      <c r="AH228" s="73"/>
      <c r="AI228" s="73" t="str">
        <f t="shared" si="165"/>
        <v/>
      </c>
      <c r="AJ228" s="64">
        <f t="shared" si="133"/>
        <v>0</v>
      </c>
      <c r="AK228" s="64">
        <f t="shared" si="134"/>
        <v>0</v>
      </c>
      <c r="AL228" s="64" t="str">
        <f t="shared" si="135"/>
        <v/>
      </c>
      <c r="AM228">
        <f t="shared" si="136"/>
        <v>2</v>
      </c>
      <c r="AN228" s="85">
        <f>SUM($AD$6:AD228)</f>
        <v>0</v>
      </c>
      <c r="AO228" s="85">
        <f t="shared" ca="1" si="155"/>
        <v>0</v>
      </c>
      <c r="AP228" s="89">
        <f t="shared" si="156"/>
        <v>0</v>
      </c>
      <c r="AQ228" s="89">
        <f t="shared" si="157"/>
        <v>0</v>
      </c>
      <c r="AR228" s="89">
        <f t="shared" si="158"/>
        <v>0</v>
      </c>
      <c r="AS228" s="88">
        <f t="shared" si="159"/>
        <v>30</v>
      </c>
      <c r="AT228" s="88">
        <f t="shared" ca="1" si="160"/>
        <v>30</v>
      </c>
      <c r="AU228" s="98">
        <f t="shared" si="161"/>
        <v>0</v>
      </c>
      <c r="AV228" s="88">
        <f t="shared" si="162"/>
        <v>0</v>
      </c>
      <c r="AW228" t="b">
        <f>OR((F228&gt;0),(NOT(ISBLANK(H228))),SUM(H228:H$373),SUM(G228:G$373))</f>
        <v>0</v>
      </c>
      <c r="AX228" t="b">
        <f t="shared" ca="1" si="137"/>
        <v>0</v>
      </c>
      <c r="AY228" s="519">
        <f t="shared" si="163"/>
        <v>-0.29166666666666669</v>
      </c>
      <c r="AZ228" s="180">
        <f>SUM(AY$5:AY228)</f>
        <v>-44.62499999999995</v>
      </c>
      <c r="BA228" s="567"/>
      <c r="BB228" s="567">
        <f t="shared" si="138"/>
        <v>0</v>
      </c>
      <c r="BC228" s="567"/>
    </row>
    <row r="229" spans="1:55" ht="15.75">
      <c r="A229" s="260">
        <f t="shared" si="164"/>
        <v>45057</v>
      </c>
      <c r="B229" s="261">
        <f t="shared" si="139"/>
        <v>45057</v>
      </c>
      <c r="C229" s="262">
        <f>IF(A229="","",NumberOfWeek(A229))</f>
        <v>19</v>
      </c>
      <c r="D229" s="263">
        <f t="shared" si="140"/>
        <v>45046</v>
      </c>
      <c r="E229" s="273" t="str">
        <f t="shared" si="141"/>
        <v/>
      </c>
      <c r="F229" s="5"/>
      <c r="G229" s="6" t="str">
        <f t="shared" si="126"/>
        <v/>
      </c>
      <c r="H229" s="7"/>
      <c r="I229" s="7">
        <f t="shared" si="142"/>
        <v>0</v>
      </c>
      <c r="J229" s="76">
        <f t="shared" si="143"/>
        <v>0</v>
      </c>
      <c r="K229" s="7"/>
      <c r="L229" s="7">
        <f t="shared" si="144"/>
        <v>0</v>
      </c>
      <c r="M229" s="76">
        <f t="shared" si="127"/>
        <v>0</v>
      </c>
      <c r="N229" s="76"/>
      <c r="O229" s="76">
        <f t="shared" si="128"/>
        <v>0</v>
      </c>
      <c r="P229" s="76"/>
      <c r="Q229" s="76">
        <f t="shared" si="129"/>
        <v>0</v>
      </c>
      <c r="R229" s="76">
        <f t="shared" si="145"/>
        <v>0</v>
      </c>
      <c r="S229" s="76">
        <f t="shared" si="146"/>
        <v>0</v>
      </c>
      <c r="T229" s="76">
        <f t="shared" si="147"/>
        <v>0</v>
      </c>
      <c r="U229" s="76">
        <f t="shared" si="148"/>
        <v>0</v>
      </c>
      <c r="V229" s="109">
        <f t="shared" si="149"/>
        <v>0</v>
      </c>
      <c r="W229" s="62"/>
      <c r="X229" s="78">
        <f t="shared" si="130"/>
        <v>3.125E-2</v>
      </c>
      <c r="Y229" s="73">
        <f t="shared" si="150"/>
        <v>0</v>
      </c>
      <c r="Z229" s="74">
        <f t="shared" si="151"/>
        <v>0.29166666666666669</v>
      </c>
      <c r="AA229" s="75">
        <f t="shared" si="152"/>
        <v>0</v>
      </c>
      <c r="AB229" s="63" t="str">
        <f t="shared" si="153"/>
        <v/>
      </c>
      <c r="AC229" s="148">
        <f t="shared" si="131"/>
        <v>0</v>
      </c>
      <c r="AD229" s="107" t="str">
        <f t="shared" si="132"/>
        <v/>
      </c>
      <c r="AE229" s="180">
        <f t="shared" si="154"/>
        <v>0</v>
      </c>
      <c r="AF229" s="73"/>
      <c r="AG229" s="525"/>
      <c r="AH229" s="73"/>
      <c r="AI229" s="73" t="str">
        <f t="shared" si="165"/>
        <v/>
      </c>
      <c r="AJ229" s="64">
        <f t="shared" si="133"/>
        <v>0</v>
      </c>
      <c r="AK229" s="64">
        <f t="shared" si="134"/>
        <v>0</v>
      </c>
      <c r="AL229" s="64" t="str">
        <f t="shared" si="135"/>
        <v/>
      </c>
      <c r="AM229">
        <f t="shared" si="136"/>
        <v>3</v>
      </c>
      <c r="AN229" s="85">
        <f>SUM($AD$6:AD229)</f>
        <v>0</v>
      </c>
      <c r="AO229" s="85">
        <f t="shared" ca="1" si="155"/>
        <v>0</v>
      </c>
      <c r="AP229" s="89">
        <f t="shared" si="156"/>
        <v>0</v>
      </c>
      <c r="AQ229" s="89">
        <f t="shared" si="157"/>
        <v>0</v>
      </c>
      <c r="AR229" s="89">
        <f t="shared" si="158"/>
        <v>0</v>
      </c>
      <c r="AS229" s="88">
        <f t="shared" si="159"/>
        <v>30</v>
      </c>
      <c r="AT229" s="88">
        <f t="shared" ca="1" si="160"/>
        <v>30</v>
      </c>
      <c r="AU229" s="98">
        <f t="shared" si="161"/>
        <v>0</v>
      </c>
      <c r="AV229" s="88">
        <f t="shared" si="162"/>
        <v>0</v>
      </c>
      <c r="AW229" t="b">
        <f>OR((F229&gt;0),(NOT(ISBLANK(H229))),SUM(H229:H$373),SUM(G229:G$373))</f>
        <v>0</v>
      </c>
      <c r="AX229" t="b">
        <f t="shared" ca="1" si="137"/>
        <v>0</v>
      </c>
      <c r="AY229" s="519">
        <f t="shared" si="163"/>
        <v>-0.29166666666666669</v>
      </c>
      <c r="AZ229" s="180">
        <f>SUM(AY$5:AY229)</f>
        <v>-44.916666666666615</v>
      </c>
      <c r="BA229" s="567"/>
      <c r="BB229" s="567">
        <f t="shared" si="138"/>
        <v>0</v>
      </c>
      <c r="BC229" s="567"/>
    </row>
    <row r="230" spans="1:55" ht="15.75">
      <c r="A230" s="260">
        <f t="shared" si="164"/>
        <v>45058</v>
      </c>
      <c r="B230" s="261">
        <f t="shared" si="139"/>
        <v>45058</v>
      </c>
      <c r="C230" s="262">
        <f>IF(A230="","",NumberOfWeek(A230))</f>
        <v>19</v>
      </c>
      <c r="D230" s="263">
        <f t="shared" si="140"/>
        <v>45046</v>
      </c>
      <c r="E230" s="273" t="str">
        <f t="shared" si="141"/>
        <v/>
      </c>
      <c r="F230" s="5"/>
      <c r="G230" s="6" t="str">
        <f t="shared" si="126"/>
        <v/>
      </c>
      <c r="H230" s="7"/>
      <c r="I230" s="7">
        <f t="shared" si="142"/>
        <v>0</v>
      </c>
      <c r="J230" s="76">
        <f t="shared" si="143"/>
        <v>0</v>
      </c>
      <c r="K230" s="7"/>
      <c r="L230" s="7">
        <f t="shared" si="144"/>
        <v>0</v>
      </c>
      <c r="M230" s="76">
        <f t="shared" si="127"/>
        <v>0</v>
      </c>
      <c r="N230" s="76"/>
      <c r="O230" s="76">
        <f t="shared" si="128"/>
        <v>0</v>
      </c>
      <c r="P230" s="76"/>
      <c r="Q230" s="76">
        <f t="shared" si="129"/>
        <v>0</v>
      </c>
      <c r="R230" s="76">
        <f t="shared" si="145"/>
        <v>0</v>
      </c>
      <c r="S230" s="76">
        <f t="shared" si="146"/>
        <v>0</v>
      </c>
      <c r="T230" s="76">
        <f t="shared" si="147"/>
        <v>0</v>
      </c>
      <c r="U230" s="76">
        <f t="shared" si="148"/>
        <v>0</v>
      </c>
      <c r="V230" s="109">
        <f t="shared" si="149"/>
        <v>0</v>
      </c>
      <c r="W230" s="62"/>
      <c r="X230" s="78">
        <f t="shared" si="130"/>
        <v>3.125E-2</v>
      </c>
      <c r="Y230" s="73">
        <f t="shared" si="150"/>
        <v>0</v>
      </c>
      <c r="Z230" s="74">
        <f t="shared" si="151"/>
        <v>0.29166666666666669</v>
      </c>
      <c r="AA230" s="75">
        <f t="shared" si="152"/>
        <v>0</v>
      </c>
      <c r="AB230" s="63" t="str">
        <f t="shared" si="153"/>
        <v/>
      </c>
      <c r="AC230" s="148">
        <f t="shared" si="131"/>
        <v>0</v>
      </c>
      <c r="AD230" s="107" t="str">
        <f t="shared" si="132"/>
        <v/>
      </c>
      <c r="AE230" s="180">
        <f t="shared" si="154"/>
        <v>0</v>
      </c>
      <c r="AF230" s="73"/>
      <c r="AG230" s="525"/>
      <c r="AH230" s="73"/>
      <c r="AI230" s="73" t="str">
        <f t="shared" si="165"/>
        <v/>
      </c>
      <c r="AJ230" s="64">
        <f t="shared" si="133"/>
        <v>0</v>
      </c>
      <c r="AK230" s="64">
        <f t="shared" si="134"/>
        <v>0</v>
      </c>
      <c r="AL230" s="64" t="str">
        <f t="shared" si="135"/>
        <v/>
      </c>
      <c r="AM230">
        <f t="shared" si="136"/>
        <v>4</v>
      </c>
      <c r="AN230" s="85">
        <f>SUM($AD$6:AD230)</f>
        <v>0</v>
      </c>
      <c r="AO230" s="85">
        <f t="shared" ca="1" si="155"/>
        <v>0</v>
      </c>
      <c r="AP230" s="89">
        <f t="shared" si="156"/>
        <v>0</v>
      </c>
      <c r="AQ230" s="89">
        <f t="shared" si="157"/>
        <v>0</v>
      </c>
      <c r="AR230" s="89">
        <f t="shared" si="158"/>
        <v>0</v>
      </c>
      <c r="AS230" s="88">
        <f t="shared" si="159"/>
        <v>30</v>
      </c>
      <c r="AT230" s="88">
        <f t="shared" ca="1" si="160"/>
        <v>30</v>
      </c>
      <c r="AU230" s="98">
        <f t="shared" si="161"/>
        <v>0</v>
      </c>
      <c r="AV230" s="88">
        <f t="shared" si="162"/>
        <v>0</v>
      </c>
      <c r="AW230" t="b">
        <f>OR((F230&gt;0),(NOT(ISBLANK(H230))),SUM(H230:H$373),SUM(G230:G$373))</f>
        <v>0</v>
      </c>
      <c r="AX230" t="b">
        <f t="shared" ca="1" si="137"/>
        <v>0</v>
      </c>
      <c r="AY230" s="519">
        <f t="shared" si="163"/>
        <v>-0.29166666666666669</v>
      </c>
      <c r="AZ230" s="180">
        <f>SUM(AY$5:AY230)</f>
        <v>-45.208333333333279</v>
      </c>
      <c r="BA230" s="567"/>
      <c r="BB230" s="567">
        <f t="shared" si="138"/>
        <v>0</v>
      </c>
      <c r="BC230" s="567"/>
    </row>
    <row r="231" spans="1:55" ht="15.75">
      <c r="A231" s="260">
        <f t="shared" si="164"/>
        <v>45059</v>
      </c>
      <c r="B231" s="261">
        <f t="shared" si="139"/>
        <v>45059</v>
      </c>
      <c r="C231" s="262">
        <f>IF(A231="","",NumberOfWeek(A231))</f>
        <v>19</v>
      </c>
      <c r="D231" s="263">
        <f t="shared" si="140"/>
        <v>45046</v>
      </c>
      <c r="E231" s="273" t="str">
        <f t="shared" si="141"/>
        <v/>
      </c>
      <c r="F231" s="5"/>
      <c r="G231" s="6" t="str">
        <f t="shared" si="126"/>
        <v/>
      </c>
      <c r="H231" s="7"/>
      <c r="I231" s="7">
        <f t="shared" si="142"/>
        <v>0</v>
      </c>
      <c r="J231" s="76">
        <f t="shared" si="143"/>
        <v>0</v>
      </c>
      <c r="K231" s="7"/>
      <c r="L231" s="7">
        <f t="shared" si="144"/>
        <v>0</v>
      </c>
      <c r="M231" s="76">
        <f t="shared" si="127"/>
        <v>0</v>
      </c>
      <c r="N231" s="76"/>
      <c r="O231" s="76">
        <f t="shared" si="128"/>
        <v>0</v>
      </c>
      <c r="P231" s="76"/>
      <c r="Q231" s="76">
        <f t="shared" si="129"/>
        <v>0</v>
      </c>
      <c r="R231" s="76">
        <f t="shared" si="145"/>
        <v>0</v>
      </c>
      <c r="S231" s="76">
        <f t="shared" si="146"/>
        <v>0</v>
      </c>
      <c r="T231" s="76">
        <f t="shared" si="147"/>
        <v>0</v>
      </c>
      <c r="U231" s="76">
        <f t="shared" si="148"/>
        <v>0</v>
      </c>
      <c r="V231" s="109">
        <f t="shared" si="149"/>
        <v>0</v>
      </c>
      <c r="W231" s="62"/>
      <c r="X231" s="78">
        <f t="shared" si="130"/>
        <v>3.125E-2</v>
      </c>
      <c r="Y231" s="73">
        <f t="shared" si="150"/>
        <v>0</v>
      </c>
      <c r="Z231" s="74">
        <f t="shared" si="151"/>
        <v>0.29166666666666669</v>
      </c>
      <c r="AA231" s="75">
        <f t="shared" si="152"/>
        <v>0</v>
      </c>
      <c r="AB231" s="63" t="str">
        <f t="shared" si="153"/>
        <v/>
      </c>
      <c r="AC231" s="148">
        <f t="shared" si="131"/>
        <v>0</v>
      </c>
      <c r="AD231" s="107" t="str">
        <f t="shared" si="132"/>
        <v/>
      </c>
      <c r="AE231" s="180">
        <f t="shared" si="154"/>
        <v>0</v>
      </c>
      <c r="AF231" s="73"/>
      <c r="AG231" s="525"/>
      <c r="AH231" s="73"/>
      <c r="AI231" s="73" t="str">
        <f t="shared" si="165"/>
        <v/>
      </c>
      <c r="AJ231" s="64">
        <f t="shared" si="133"/>
        <v>0</v>
      </c>
      <c r="AK231" s="64">
        <f t="shared" si="134"/>
        <v>0</v>
      </c>
      <c r="AL231" s="64" t="str">
        <f t="shared" si="135"/>
        <v/>
      </c>
      <c r="AM231">
        <f t="shared" si="136"/>
        <v>5</v>
      </c>
      <c r="AN231" s="85">
        <f>SUM($AD$6:AD231)</f>
        <v>0</v>
      </c>
      <c r="AO231" s="85">
        <f t="shared" ca="1" si="155"/>
        <v>0</v>
      </c>
      <c r="AP231" s="89">
        <f t="shared" si="156"/>
        <v>0</v>
      </c>
      <c r="AQ231" s="89">
        <f t="shared" si="157"/>
        <v>0</v>
      </c>
      <c r="AR231" s="89">
        <f t="shared" si="158"/>
        <v>0</v>
      </c>
      <c r="AS231" s="88">
        <f t="shared" si="159"/>
        <v>30</v>
      </c>
      <c r="AT231" s="88">
        <f t="shared" ca="1" si="160"/>
        <v>30</v>
      </c>
      <c r="AU231" s="98">
        <f t="shared" si="161"/>
        <v>0</v>
      </c>
      <c r="AV231" s="88">
        <f t="shared" si="162"/>
        <v>0</v>
      </c>
      <c r="AW231" t="b">
        <f>OR((F231&gt;0),(NOT(ISBLANK(H231))),SUM(H231:H$373),SUM(G231:G$373))</f>
        <v>0</v>
      </c>
      <c r="AX231" t="b">
        <f t="shared" ca="1" si="137"/>
        <v>0</v>
      </c>
      <c r="AY231" s="519">
        <f t="shared" si="163"/>
        <v>-0.29166666666666669</v>
      </c>
      <c r="AZ231" s="180">
        <f>SUM(AY$5:AY231)</f>
        <v>-45.499999999999943</v>
      </c>
      <c r="BA231" s="567"/>
      <c r="BB231" s="567">
        <f t="shared" si="138"/>
        <v>0</v>
      </c>
      <c r="BC231" s="567"/>
    </row>
    <row r="232" spans="1:55" ht="15.75">
      <c r="A232" s="260">
        <f t="shared" si="164"/>
        <v>45060</v>
      </c>
      <c r="B232" s="261">
        <f t="shared" si="139"/>
        <v>45060</v>
      </c>
      <c r="C232" s="262">
        <f>IF(A232="","",NumberOfWeek(A232))</f>
        <v>19</v>
      </c>
      <c r="D232" s="263">
        <f t="shared" si="140"/>
        <v>45046</v>
      </c>
      <c r="E232" s="273" t="str">
        <f t="shared" si="141"/>
        <v/>
      </c>
      <c r="F232" s="5"/>
      <c r="G232" s="6" t="str">
        <f t="shared" si="126"/>
        <v/>
      </c>
      <c r="H232" s="7"/>
      <c r="I232" s="7">
        <f t="shared" si="142"/>
        <v>0</v>
      </c>
      <c r="J232" s="76">
        <f t="shared" si="143"/>
        <v>0</v>
      </c>
      <c r="K232" s="7"/>
      <c r="L232" s="7">
        <f t="shared" si="144"/>
        <v>0</v>
      </c>
      <c r="M232" s="76">
        <f t="shared" si="127"/>
        <v>0</v>
      </c>
      <c r="N232" s="76"/>
      <c r="O232" s="76">
        <f t="shared" si="128"/>
        <v>0</v>
      </c>
      <c r="P232" s="76"/>
      <c r="Q232" s="76">
        <f t="shared" si="129"/>
        <v>0</v>
      </c>
      <c r="R232" s="76">
        <f t="shared" si="145"/>
        <v>0</v>
      </c>
      <c r="S232" s="76">
        <f t="shared" si="146"/>
        <v>0</v>
      </c>
      <c r="T232" s="76">
        <f t="shared" si="147"/>
        <v>0</v>
      </c>
      <c r="U232" s="76">
        <f t="shared" si="148"/>
        <v>0</v>
      </c>
      <c r="V232" s="109">
        <f t="shared" si="149"/>
        <v>0</v>
      </c>
      <c r="W232" s="62"/>
      <c r="X232" s="78">
        <f t="shared" si="130"/>
        <v>3.125E-2</v>
      </c>
      <c r="Y232" s="73">
        <f t="shared" si="150"/>
        <v>0</v>
      </c>
      <c r="Z232" s="74">
        <f t="shared" si="151"/>
        <v>0</v>
      </c>
      <c r="AA232" s="75">
        <f t="shared" si="152"/>
        <v>0</v>
      </c>
      <c r="AB232" s="63" t="str">
        <f t="shared" si="153"/>
        <v/>
      </c>
      <c r="AC232" s="148">
        <f t="shared" si="131"/>
        <v>0</v>
      </c>
      <c r="AD232" s="107" t="str">
        <f t="shared" si="132"/>
        <v/>
      </c>
      <c r="AE232" s="180">
        <f t="shared" si="154"/>
        <v>0</v>
      </c>
      <c r="AF232" s="73"/>
      <c r="AG232" s="525"/>
      <c r="AH232" s="73"/>
      <c r="AI232" s="73" t="str">
        <f t="shared" si="165"/>
        <v/>
      </c>
      <c r="AJ232" s="64">
        <f t="shared" si="133"/>
        <v>0</v>
      </c>
      <c r="AK232" s="64">
        <f t="shared" si="134"/>
        <v>0</v>
      </c>
      <c r="AL232" s="64" t="str">
        <f t="shared" si="135"/>
        <v/>
      </c>
      <c r="AM232">
        <f t="shared" si="136"/>
        <v>6</v>
      </c>
      <c r="AN232" s="85">
        <f>SUM($AD$6:AD232)</f>
        <v>0</v>
      </c>
      <c r="AO232" s="85">
        <f t="shared" ca="1" si="155"/>
        <v>0</v>
      </c>
      <c r="AP232" s="89">
        <f t="shared" si="156"/>
        <v>0</v>
      </c>
      <c r="AQ232" s="89">
        <f t="shared" si="157"/>
        <v>0</v>
      </c>
      <c r="AR232" s="89">
        <f t="shared" si="158"/>
        <v>0</v>
      </c>
      <c r="AS232" s="88">
        <f t="shared" si="159"/>
        <v>30</v>
      </c>
      <c r="AT232" s="88">
        <f t="shared" ca="1" si="160"/>
        <v>30</v>
      </c>
      <c r="AU232" s="98">
        <f t="shared" si="161"/>
        <v>0</v>
      </c>
      <c r="AV232" s="88">
        <f t="shared" si="162"/>
        <v>7</v>
      </c>
      <c r="AW232" t="b">
        <f>OR((F232&gt;0),(NOT(ISBLANK(H232))),SUM(H232:H$373),SUM(G232:G$373))</f>
        <v>0</v>
      </c>
      <c r="AX232" t="b">
        <f t="shared" ca="1" si="137"/>
        <v>1</v>
      </c>
      <c r="AY232" s="519">
        <f t="shared" si="163"/>
        <v>0</v>
      </c>
      <c r="AZ232" s="180">
        <f>SUM(AY$5:AY232)</f>
        <v>-45.499999999999943</v>
      </c>
      <c r="BA232" s="567"/>
      <c r="BB232" s="567">
        <f t="shared" si="138"/>
        <v>0</v>
      </c>
      <c r="BC232" s="567"/>
    </row>
    <row r="233" spans="1:55" ht="15.75">
      <c r="A233" s="260">
        <f t="shared" si="164"/>
        <v>45061</v>
      </c>
      <c r="B233" s="261">
        <f t="shared" si="139"/>
        <v>45061</v>
      </c>
      <c r="C233" s="262">
        <f>IF(A233="","",NumberOfWeek(A233))</f>
        <v>19</v>
      </c>
      <c r="D233" s="263">
        <f t="shared" si="140"/>
        <v>45046</v>
      </c>
      <c r="E233" s="273" t="str">
        <f t="shared" si="141"/>
        <v>Pfingstsonntag</v>
      </c>
      <c r="F233" s="5"/>
      <c r="G233" s="6" t="str">
        <f t="shared" si="126"/>
        <v/>
      </c>
      <c r="H233" s="7"/>
      <c r="I233" s="7">
        <f t="shared" si="142"/>
        <v>0</v>
      </c>
      <c r="J233" s="76">
        <f t="shared" si="143"/>
        <v>0</v>
      </c>
      <c r="K233" s="7"/>
      <c r="L233" s="7">
        <f t="shared" si="144"/>
        <v>0</v>
      </c>
      <c r="M233" s="76">
        <f t="shared" si="127"/>
        <v>0</v>
      </c>
      <c r="N233" s="76"/>
      <c r="O233" s="76">
        <f t="shared" si="128"/>
        <v>0</v>
      </c>
      <c r="P233" s="76"/>
      <c r="Q233" s="76">
        <f t="shared" si="129"/>
        <v>0</v>
      </c>
      <c r="R233" s="76">
        <f t="shared" si="145"/>
        <v>0</v>
      </c>
      <c r="S233" s="76">
        <f t="shared" si="146"/>
        <v>0</v>
      </c>
      <c r="T233" s="76">
        <f t="shared" si="147"/>
        <v>0</v>
      </c>
      <c r="U233" s="76">
        <f t="shared" si="148"/>
        <v>0</v>
      </c>
      <c r="V233" s="109">
        <f t="shared" si="149"/>
        <v>0</v>
      </c>
      <c r="W233" s="62"/>
      <c r="X233" s="78">
        <f t="shared" si="130"/>
        <v>3.125E-2</v>
      </c>
      <c r="Y233" s="73">
        <f t="shared" si="150"/>
        <v>0</v>
      </c>
      <c r="Z233" s="74" t="str">
        <f t="shared" si="151"/>
        <v/>
      </c>
      <c r="AA233" s="75">
        <f t="shared" si="152"/>
        <v>0</v>
      </c>
      <c r="AB233" s="63" t="str">
        <f t="shared" si="153"/>
        <v/>
      </c>
      <c r="AC233" s="148">
        <f t="shared" si="131"/>
        <v>0</v>
      </c>
      <c r="AD233" s="107" t="str">
        <f t="shared" si="132"/>
        <v/>
      </c>
      <c r="AE233" s="180">
        <f t="shared" si="154"/>
        <v>0</v>
      </c>
      <c r="AF233" s="73"/>
      <c r="AG233" s="525"/>
      <c r="AH233" s="73"/>
      <c r="AI233" s="73" t="str">
        <f t="shared" si="165"/>
        <v/>
      </c>
      <c r="AJ233" s="64">
        <f t="shared" si="133"/>
        <v>0</v>
      </c>
      <c r="AK233" s="64">
        <f t="shared" si="134"/>
        <v>0</v>
      </c>
      <c r="AL233" s="64" t="str">
        <f t="shared" si="135"/>
        <v/>
      </c>
      <c r="AM233">
        <f t="shared" si="136"/>
        <v>8</v>
      </c>
      <c r="AN233" s="85">
        <f>SUM($AD$6:AD233)</f>
        <v>0</v>
      </c>
      <c r="AO233" s="85">
        <f t="shared" ca="1" si="155"/>
        <v>0</v>
      </c>
      <c r="AP233" s="89">
        <f t="shared" si="156"/>
        <v>0</v>
      </c>
      <c r="AQ233" s="89">
        <f t="shared" si="157"/>
        <v>0</v>
      </c>
      <c r="AR233" s="89">
        <f t="shared" si="158"/>
        <v>0</v>
      </c>
      <c r="AS233" s="88">
        <f t="shared" si="159"/>
        <v>30</v>
      </c>
      <c r="AT233" s="88">
        <f t="shared" ca="1" si="160"/>
        <v>30</v>
      </c>
      <c r="AU233" s="98">
        <f t="shared" si="161"/>
        <v>0</v>
      </c>
      <c r="AV233" s="88">
        <f t="shared" si="162"/>
        <v>8</v>
      </c>
      <c r="AW233" t="b">
        <f>OR((F233&gt;0),(NOT(ISBLANK(H233))),SUM(H233:H$373),SUM(G233:G$373))</f>
        <v>0</v>
      </c>
      <c r="AX233" t="b">
        <f t="shared" ca="1" si="137"/>
        <v>1</v>
      </c>
      <c r="AY233" s="519">
        <f t="shared" si="163"/>
        <v>0</v>
      </c>
      <c r="AZ233" s="180">
        <f>SUM(AY$5:AY233)</f>
        <v>-45.499999999999943</v>
      </c>
      <c r="BA233" s="567"/>
      <c r="BB233" s="567">
        <f t="shared" si="138"/>
        <v>0</v>
      </c>
      <c r="BC233" s="567"/>
    </row>
    <row r="234" spans="1:55" ht="15.75">
      <c r="A234" s="260">
        <f t="shared" si="164"/>
        <v>45062</v>
      </c>
      <c r="B234" s="261">
        <f t="shared" si="139"/>
        <v>45062</v>
      </c>
      <c r="C234" s="262">
        <f>IF(A234="","",NumberOfWeek(A234))</f>
        <v>20</v>
      </c>
      <c r="D234" s="263">
        <f t="shared" si="140"/>
        <v>45046</v>
      </c>
      <c r="E234" s="273" t="str">
        <f t="shared" si="141"/>
        <v>Pfingstmontag</v>
      </c>
      <c r="F234" s="5"/>
      <c r="G234" s="6" t="str">
        <f t="shared" si="126"/>
        <v/>
      </c>
      <c r="H234" s="7"/>
      <c r="I234" s="7">
        <f t="shared" si="142"/>
        <v>0</v>
      </c>
      <c r="J234" s="76">
        <f t="shared" si="143"/>
        <v>0</v>
      </c>
      <c r="K234" s="7"/>
      <c r="L234" s="7">
        <f t="shared" si="144"/>
        <v>0</v>
      </c>
      <c r="M234" s="76">
        <f t="shared" si="127"/>
        <v>0</v>
      </c>
      <c r="N234" s="76"/>
      <c r="O234" s="76">
        <f t="shared" si="128"/>
        <v>0</v>
      </c>
      <c r="P234" s="76"/>
      <c r="Q234" s="76">
        <f t="shared" si="129"/>
        <v>0</v>
      </c>
      <c r="R234" s="76">
        <f t="shared" si="145"/>
        <v>0</v>
      </c>
      <c r="S234" s="76">
        <f t="shared" si="146"/>
        <v>0</v>
      </c>
      <c r="T234" s="76">
        <f t="shared" si="147"/>
        <v>0</v>
      </c>
      <c r="U234" s="76">
        <f t="shared" si="148"/>
        <v>0</v>
      </c>
      <c r="V234" s="109">
        <f t="shared" si="149"/>
        <v>0</v>
      </c>
      <c r="W234" s="62"/>
      <c r="X234" s="78">
        <f t="shared" si="130"/>
        <v>3.125E-2</v>
      </c>
      <c r="Y234" s="73">
        <f t="shared" si="150"/>
        <v>0</v>
      </c>
      <c r="Z234" s="74" t="str">
        <f t="shared" si="151"/>
        <v/>
      </c>
      <c r="AA234" s="75">
        <f t="shared" si="152"/>
        <v>0</v>
      </c>
      <c r="AB234" s="63" t="str">
        <f t="shared" si="153"/>
        <v/>
      </c>
      <c r="AC234" s="148">
        <f t="shared" si="131"/>
        <v>0</v>
      </c>
      <c r="AD234" s="107" t="str">
        <f t="shared" si="132"/>
        <v/>
      </c>
      <c r="AE234" s="180">
        <f t="shared" si="154"/>
        <v>0</v>
      </c>
      <c r="AF234" s="73"/>
      <c r="AG234" s="525"/>
      <c r="AH234" s="73"/>
      <c r="AI234" s="73" t="str">
        <f t="shared" si="165"/>
        <v/>
      </c>
      <c r="AJ234" s="64">
        <f t="shared" si="133"/>
        <v>0</v>
      </c>
      <c r="AK234" s="64">
        <f t="shared" si="134"/>
        <v>0</v>
      </c>
      <c r="AL234" s="64" t="str">
        <f t="shared" si="135"/>
        <v/>
      </c>
      <c r="AM234">
        <f t="shared" si="136"/>
        <v>8</v>
      </c>
      <c r="AN234" s="85">
        <f>SUM($AD$6:AD234)</f>
        <v>0</v>
      </c>
      <c r="AO234" s="85">
        <f t="shared" ca="1" si="155"/>
        <v>0</v>
      </c>
      <c r="AP234" s="89">
        <f t="shared" si="156"/>
        <v>0</v>
      </c>
      <c r="AQ234" s="89">
        <f t="shared" si="157"/>
        <v>0</v>
      </c>
      <c r="AR234" s="89">
        <f t="shared" si="158"/>
        <v>0</v>
      </c>
      <c r="AS234" s="88">
        <f t="shared" si="159"/>
        <v>30</v>
      </c>
      <c r="AT234" s="88">
        <f t="shared" ca="1" si="160"/>
        <v>30</v>
      </c>
      <c r="AU234" s="98">
        <f t="shared" si="161"/>
        <v>0</v>
      </c>
      <c r="AV234" s="88">
        <f t="shared" si="162"/>
        <v>8</v>
      </c>
      <c r="AW234" t="b">
        <f>OR((F234&gt;0),(NOT(ISBLANK(H234))),SUM(H234:H$373),SUM(G234:G$373))</f>
        <v>0</v>
      </c>
      <c r="AX234" t="b">
        <f t="shared" ca="1" si="137"/>
        <v>1</v>
      </c>
      <c r="AY234" s="519">
        <f t="shared" si="163"/>
        <v>0</v>
      </c>
      <c r="AZ234" s="180">
        <f>SUM(AY$5:AY234)</f>
        <v>-45.499999999999943</v>
      </c>
      <c r="BA234" s="567"/>
      <c r="BB234" s="567">
        <f t="shared" si="138"/>
        <v>0</v>
      </c>
      <c r="BC234" s="567"/>
    </row>
    <row r="235" spans="1:55" ht="15.75">
      <c r="A235" s="260">
        <f t="shared" si="164"/>
        <v>45063</v>
      </c>
      <c r="B235" s="261">
        <f t="shared" si="139"/>
        <v>45063</v>
      </c>
      <c r="C235" s="262">
        <f>IF(A235="","",NumberOfWeek(A235))</f>
        <v>20</v>
      </c>
      <c r="D235" s="263">
        <f t="shared" si="140"/>
        <v>45046</v>
      </c>
      <c r="E235" s="273" t="str">
        <f t="shared" si="141"/>
        <v/>
      </c>
      <c r="F235" s="5"/>
      <c r="G235" s="6" t="str">
        <f t="shared" si="126"/>
        <v/>
      </c>
      <c r="H235" s="7"/>
      <c r="I235" s="7">
        <f t="shared" si="142"/>
        <v>0</v>
      </c>
      <c r="J235" s="76">
        <f t="shared" si="143"/>
        <v>0</v>
      </c>
      <c r="K235" s="7"/>
      <c r="L235" s="7">
        <f t="shared" si="144"/>
        <v>0</v>
      </c>
      <c r="M235" s="76">
        <f t="shared" si="127"/>
        <v>0</v>
      </c>
      <c r="N235" s="76"/>
      <c r="O235" s="76">
        <f t="shared" si="128"/>
        <v>0</v>
      </c>
      <c r="P235" s="76"/>
      <c r="Q235" s="76">
        <f t="shared" si="129"/>
        <v>0</v>
      </c>
      <c r="R235" s="76">
        <f t="shared" si="145"/>
        <v>0</v>
      </c>
      <c r="S235" s="76">
        <f t="shared" si="146"/>
        <v>0</v>
      </c>
      <c r="T235" s="76">
        <f t="shared" si="147"/>
        <v>0</v>
      </c>
      <c r="U235" s="76">
        <f t="shared" si="148"/>
        <v>0</v>
      </c>
      <c r="V235" s="109">
        <f t="shared" si="149"/>
        <v>0</v>
      </c>
      <c r="W235" s="62"/>
      <c r="X235" s="78">
        <f t="shared" si="130"/>
        <v>3.125E-2</v>
      </c>
      <c r="Y235" s="73">
        <f t="shared" si="150"/>
        <v>0</v>
      </c>
      <c r="Z235" s="74">
        <f t="shared" si="151"/>
        <v>0.29166666666666669</v>
      </c>
      <c r="AA235" s="75">
        <f t="shared" si="152"/>
        <v>0</v>
      </c>
      <c r="AB235" s="63" t="str">
        <f t="shared" si="153"/>
        <v/>
      </c>
      <c r="AC235" s="148">
        <f t="shared" si="131"/>
        <v>0</v>
      </c>
      <c r="AD235" s="107" t="str">
        <f t="shared" si="132"/>
        <v/>
      </c>
      <c r="AE235" s="180">
        <f t="shared" si="154"/>
        <v>0</v>
      </c>
      <c r="AF235" s="73"/>
      <c r="AG235" s="525"/>
      <c r="AH235" s="73"/>
      <c r="AI235" s="73" t="str">
        <f t="shared" si="165"/>
        <v/>
      </c>
      <c r="AJ235" s="64">
        <f t="shared" si="133"/>
        <v>0</v>
      </c>
      <c r="AK235" s="64">
        <f t="shared" si="134"/>
        <v>0</v>
      </c>
      <c r="AL235" s="64" t="str">
        <f t="shared" si="135"/>
        <v/>
      </c>
      <c r="AM235">
        <f t="shared" si="136"/>
        <v>2</v>
      </c>
      <c r="AN235" s="85">
        <f>SUM($AD$6:AD235)</f>
        <v>0</v>
      </c>
      <c r="AO235" s="85">
        <f t="shared" ca="1" si="155"/>
        <v>0</v>
      </c>
      <c r="AP235" s="89">
        <f t="shared" si="156"/>
        <v>0</v>
      </c>
      <c r="AQ235" s="89">
        <f t="shared" si="157"/>
        <v>0</v>
      </c>
      <c r="AR235" s="89">
        <f t="shared" si="158"/>
        <v>0</v>
      </c>
      <c r="AS235" s="88">
        <f t="shared" si="159"/>
        <v>30</v>
      </c>
      <c r="AT235" s="88">
        <f t="shared" ca="1" si="160"/>
        <v>30</v>
      </c>
      <c r="AU235" s="98">
        <f t="shared" si="161"/>
        <v>0</v>
      </c>
      <c r="AV235" s="88">
        <f t="shared" si="162"/>
        <v>0</v>
      </c>
      <c r="AW235" t="b">
        <f>OR((F235&gt;0),(NOT(ISBLANK(H235))),SUM(H235:H$373),SUM(G235:G$373))</f>
        <v>0</v>
      </c>
      <c r="AX235" t="b">
        <f t="shared" ca="1" si="137"/>
        <v>0</v>
      </c>
      <c r="AY235" s="519">
        <f t="shared" si="163"/>
        <v>-0.29166666666666669</v>
      </c>
      <c r="AZ235" s="180">
        <f>SUM(AY$5:AY235)</f>
        <v>-45.791666666666607</v>
      </c>
      <c r="BA235" s="567"/>
      <c r="BB235" s="567">
        <f t="shared" si="138"/>
        <v>0</v>
      </c>
      <c r="BC235" s="567"/>
    </row>
    <row r="236" spans="1:55" ht="15.75">
      <c r="A236" s="260">
        <f t="shared" si="164"/>
        <v>45064</v>
      </c>
      <c r="B236" s="261">
        <f t="shared" si="139"/>
        <v>45064</v>
      </c>
      <c r="C236" s="262">
        <f>IF(A236="","",NumberOfWeek(A236))</f>
        <v>20</v>
      </c>
      <c r="D236" s="263">
        <f t="shared" si="140"/>
        <v>45046</v>
      </c>
      <c r="E236" s="273" t="str">
        <f t="shared" si="141"/>
        <v/>
      </c>
      <c r="F236" s="5"/>
      <c r="G236" s="6" t="str">
        <f t="shared" si="126"/>
        <v/>
      </c>
      <c r="H236" s="7"/>
      <c r="I236" s="7">
        <f t="shared" si="142"/>
        <v>0</v>
      </c>
      <c r="J236" s="76">
        <f t="shared" si="143"/>
        <v>0</v>
      </c>
      <c r="K236" s="7"/>
      <c r="L236" s="7">
        <f t="shared" si="144"/>
        <v>0</v>
      </c>
      <c r="M236" s="76">
        <f t="shared" si="127"/>
        <v>0</v>
      </c>
      <c r="N236" s="76"/>
      <c r="O236" s="76">
        <f t="shared" si="128"/>
        <v>0</v>
      </c>
      <c r="P236" s="76"/>
      <c r="Q236" s="76">
        <f t="shared" si="129"/>
        <v>0</v>
      </c>
      <c r="R236" s="76">
        <f t="shared" si="145"/>
        <v>0</v>
      </c>
      <c r="S236" s="76">
        <f t="shared" si="146"/>
        <v>0</v>
      </c>
      <c r="T236" s="76">
        <f t="shared" si="147"/>
        <v>0</v>
      </c>
      <c r="U236" s="76">
        <f t="shared" si="148"/>
        <v>0</v>
      </c>
      <c r="V236" s="109">
        <f t="shared" si="149"/>
        <v>0</v>
      </c>
      <c r="W236" s="62"/>
      <c r="X236" s="78">
        <f t="shared" si="130"/>
        <v>3.125E-2</v>
      </c>
      <c r="Y236" s="73">
        <f t="shared" si="150"/>
        <v>0</v>
      </c>
      <c r="Z236" s="74">
        <f t="shared" si="151"/>
        <v>0.29166666666666669</v>
      </c>
      <c r="AA236" s="75">
        <f t="shared" si="152"/>
        <v>0</v>
      </c>
      <c r="AB236" s="63" t="str">
        <f t="shared" si="153"/>
        <v/>
      </c>
      <c r="AC236" s="148">
        <f t="shared" si="131"/>
        <v>0</v>
      </c>
      <c r="AD236" s="107" t="str">
        <f t="shared" si="132"/>
        <v/>
      </c>
      <c r="AE236" s="180">
        <f t="shared" si="154"/>
        <v>0</v>
      </c>
      <c r="AF236" s="73"/>
      <c r="AG236" s="525"/>
      <c r="AH236" s="73"/>
      <c r="AI236" s="73" t="str">
        <f t="shared" si="165"/>
        <v/>
      </c>
      <c r="AJ236" s="64">
        <f t="shared" si="133"/>
        <v>0</v>
      </c>
      <c r="AK236" s="64">
        <f t="shared" si="134"/>
        <v>0</v>
      </c>
      <c r="AL236" s="64" t="str">
        <f t="shared" si="135"/>
        <v/>
      </c>
      <c r="AM236">
        <f t="shared" si="136"/>
        <v>3</v>
      </c>
      <c r="AN236" s="85">
        <f>SUM($AD$6:AD236)</f>
        <v>0</v>
      </c>
      <c r="AO236" s="85">
        <f t="shared" ca="1" si="155"/>
        <v>0</v>
      </c>
      <c r="AP236" s="89">
        <f t="shared" si="156"/>
        <v>0</v>
      </c>
      <c r="AQ236" s="89">
        <f t="shared" si="157"/>
        <v>0</v>
      </c>
      <c r="AR236" s="89">
        <f t="shared" si="158"/>
        <v>0</v>
      </c>
      <c r="AS236" s="88">
        <f t="shared" si="159"/>
        <v>30</v>
      </c>
      <c r="AT236" s="88">
        <f t="shared" ca="1" si="160"/>
        <v>30</v>
      </c>
      <c r="AU236" s="98">
        <f t="shared" si="161"/>
        <v>0</v>
      </c>
      <c r="AV236" s="88">
        <f t="shared" si="162"/>
        <v>0</v>
      </c>
      <c r="AW236" t="b">
        <f>OR((F236&gt;0),(NOT(ISBLANK(H236))),SUM(H236:H$373),SUM(G236:G$373))</f>
        <v>0</v>
      </c>
      <c r="AX236" t="b">
        <f t="shared" ca="1" si="137"/>
        <v>0</v>
      </c>
      <c r="AY236" s="519">
        <f t="shared" si="163"/>
        <v>-0.29166666666666669</v>
      </c>
      <c r="AZ236" s="180">
        <f>SUM(AY$5:AY236)</f>
        <v>-46.083333333333272</v>
      </c>
      <c r="BA236" s="567"/>
      <c r="BB236" s="567">
        <f t="shared" si="138"/>
        <v>0</v>
      </c>
      <c r="BC236" s="567"/>
    </row>
    <row r="237" spans="1:55" ht="15.75">
      <c r="A237" s="260">
        <f t="shared" si="164"/>
        <v>45065</v>
      </c>
      <c r="B237" s="261">
        <f t="shared" si="139"/>
        <v>45065</v>
      </c>
      <c r="C237" s="262">
        <f>IF(A237="","",NumberOfWeek(A237))</f>
        <v>20</v>
      </c>
      <c r="D237" s="263">
        <f t="shared" si="140"/>
        <v>45046</v>
      </c>
      <c r="E237" s="273" t="str">
        <f t="shared" si="141"/>
        <v/>
      </c>
      <c r="F237" s="5"/>
      <c r="G237" s="6" t="str">
        <f t="shared" si="126"/>
        <v/>
      </c>
      <c r="H237" s="7"/>
      <c r="I237" s="7">
        <f t="shared" si="142"/>
        <v>0</v>
      </c>
      <c r="J237" s="76">
        <f t="shared" si="143"/>
        <v>0</v>
      </c>
      <c r="K237" s="7"/>
      <c r="L237" s="7">
        <f t="shared" si="144"/>
        <v>0</v>
      </c>
      <c r="M237" s="76">
        <f t="shared" si="127"/>
        <v>0</v>
      </c>
      <c r="N237" s="76"/>
      <c r="O237" s="76">
        <f t="shared" si="128"/>
        <v>0</v>
      </c>
      <c r="P237" s="76"/>
      <c r="Q237" s="76">
        <f t="shared" si="129"/>
        <v>0</v>
      </c>
      <c r="R237" s="76">
        <f t="shared" si="145"/>
        <v>0</v>
      </c>
      <c r="S237" s="76">
        <f t="shared" si="146"/>
        <v>0</v>
      </c>
      <c r="T237" s="76">
        <f t="shared" si="147"/>
        <v>0</v>
      </c>
      <c r="U237" s="76">
        <f t="shared" si="148"/>
        <v>0</v>
      </c>
      <c r="V237" s="109">
        <f t="shared" si="149"/>
        <v>0</v>
      </c>
      <c r="W237" s="62"/>
      <c r="X237" s="78">
        <f t="shared" si="130"/>
        <v>3.125E-2</v>
      </c>
      <c r="Y237" s="73">
        <f t="shared" si="150"/>
        <v>0</v>
      </c>
      <c r="Z237" s="74">
        <f t="shared" si="151"/>
        <v>0.29166666666666669</v>
      </c>
      <c r="AA237" s="75">
        <f t="shared" si="152"/>
        <v>0</v>
      </c>
      <c r="AB237" s="63" t="str">
        <f t="shared" si="153"/>
        <v/>
      </c>
      <c r="AC237" s="148">
        <f t="shared" si="131"/>
        <v>0</v>
      </c>
      <c r="AD237" s="107" t="str">
        <f t="shared" si="132"/>
        <v/>
      </c>
      <c r="AE237" s="180">
        <f t="shared" si="154"/>
        <v>0</v>
      </c>
      <c r="AF237" s="73"/>
      <c r="AG237" s="525"/>
      <c r="AH237" s="73"/>
      <c r="AI237" s="73" t="str">
        <f t="shared" si="165"/>
        <v/>
      </c>
      <c r="AJ237" s="64">
        <f t="shared" si="133"/>
        <v>0</v>
      </c>
      <c r="AK237" s="64">
        <f t="shared" si="134"/>
        <v>0</v>
      </c>
      <c r="AL237" s="64" t="str">
        <f t="shared" si="135"/>
        <v/>
      </c>
      <c r="AM237">
        <f t="shared" si="136"/>
        <v>4</v>
      </c>
      <c r="AN237" s="85">
        <f>SUM($AD$6:AD237)</f>
        <v>0</v>
      </c>
      <c r="AO237" s="85">
        <f t="shared" ca="1" si="155"/>
        <v>0</v>
      </c>
      <c r="AP237" s="89">
        <f t="shared" si="156"/>
        <v>0</v>
      </c>
      <c r="AQ237" s="89">
        <f t="shared" si="157"/>
        <v>0</v>
      </c>
      <c r="AR237" s="89">
        <f t="shared" si="158"/>
        <v>0</v>
      </c>
      <c r="AS237" s="88">
        <f t="shared" si="159"/>
        <v>30</v>
      </c>
      <c r="AT237" s="88">
        <f t="shared" ca="1" si="160"/>
        <v>30</v>
      </c>
      <c r="AU237" s="98">
        <f t="shared" si="161"/>
        <v>0</v>
      </c>
      <c r="AV237" s="88">
        <f t="shared" si="162"/>
        <v>0</v>
      </c>
      <c r="AW237" t="b">
        <f>OR((F237&gt;0),(NOT(ISBLANK(H237))),SUM(H237:H$373),SUM(G237:G$373))</f>
        <v>0</v>
      </c>
      <c r="AX237" t="b">
        <f t="shared" ca="1" si="137"/>
        <v>0</v>
      </c>
      <c r="AY237" s="519">
        <f t="shared" si="163"/>
        <v>-0.29166666666666669</v>
      </c>
      <c r="AZ237" s="180">
        <f>SUM(AY$5:AY237)</f>
        <v>-46.374999999999936</v>
      </c>
      <c r="BA237" s="567"/>
      <c r="BB237" s="567">
        <f t="shared" si="138"/>
        <v>0</v>
      </c>
      <c r="BC237" s="567"/>
    </row>
    <row r="238" spans="1:55" ht="15.75">
      <c r="A238" s="260">
        <f t="shared" si="164"/>
        <v>45066</v>
      </c>
      <c r="B238" s="261">
        <f t="shared" si="139"/>
        <v>45066</v>
      </c>
      <c r="C238" s="262">
        <f>IF(A238="","",NumberOfWeek(A238))</f>
        <v>20</v>
      </c>
      <c r="D238" s="263">
        <f t="shared" si="140"/>
        <v>45046</v>
      </c>
      <c r="E238" s="273" t="str">
        <f t="shared" si="141"/>
        <v/>
      </c>
      <c r="F238" s="5"/>
      <c r="G238" s="6" t="str">
        <f t="shared" si="126"/>
        <v/>
      </c>
      <c r="H238" s="7"/>
      <c r="I238" s="7">
        <f t="shared" si="142"/>
        <v>0</v>
      </c>
      <c r="J238" s="76">
        <f t="shared" si="143"/>
        <v>0</v>
      </c>
      <c r="K238" s="7"/>
      <c r="L238" s="7">
        <f t="shared" si="144"/>
        <v>0</v>
      </c>
      <c r="M238" s="76">
        <f t="shared" si="127"/>
        <v>0</v>
      </c>
      <c r="N238" s="76"/>
      <c r="O238" s="76">
        <f t="shared" si="128"/>
        <v>0</v>
      </c>
      <c r="P238" s="76"/>
      <c r="Q238" s="76">
        <f t="shared" si="129"/>
        <v>0</v>
      </c>
      <c r="R238" s="76">
        <f t="shared" si="145"/>
        <v>0</v>
      </c>
      <c r="S238" s="76">
        <f t="shared" si="146"/>
        <v>0</v>
      </c>
      <c r="T238" s="76">
        <f t="shared" si="147"/>
        <v>0</v>
      </c>
      <c r="U238" s="76">
        <f t="shared" si="148"/>
        <v>0</v>
      </c>
      <c r="V238" s="109">
        <f t="shared" si="149"/>
        <v>0</v>
      </c>
      <c r="W238" s="62"/>
      <c r="X238" s="78">
        <f t="shared" si="130"/>
        <v>3.125E-2</v>
      </c>
      <c r="Y238" s="73">
        <f t="shared" si="150"/>
        <v>0</v>
      </c>
      <c r="Z238" s="74">
        <f t="shared" si="151"/>
        <v>0.29166666666666669</v>
      </c>
      <c r="AA238" s="75">
        <f t="shared" si="152"/>
        <v>0</v>
      </c>
      <c r="AB238" s="63" t="str">
        <f t="shared" si="153"/>
        <v/>
      </c>
      <c r="AC238" s="148">
        <f t="shared" si="131"/>
        <v>0</v>
      </c>
      <c r="AD238" s="107" t="str">
        <f t="shared" si="132"/>
        <v/>
      </c>
      <c r="AE238" s="180">
        <f t="shared" si="154"/>
        <v>0</v>
      </c>
      <c r="AF238" s="73"/>
      <c r="AG238" s="525"/>
      <c r="AH238" s="73"/>
      <c r="AI238" s="73" t="str">
        <f t="shared" si="165"/>
        <v/>
      </c>
      <c r="AJ238" s="64">
        <f t="shared" si="133"/>
        <v>0</v>
      </c>
      <c r="AK238" s="64">
        <f t="shared" si="134"/>
        <v>0</v>
      </c>
      <c r="AL238" s="64" t="str">
        <f t="shared" si="135"/>
        <v/>
      </c>
      <c r="AM238">
        <f t="shared" si="136"/>
        <v>5</v>
      </c>
      <c r="AN238" s="85">
        <f>SUM($AD$6:AD238)</f>
        <v>0</v>
      </c>
      <c r="AO238" s="85">
        <f t="shared" ca="1" si="155"/>
        <v>0</v>
      </c>
      <c r="AP238" s="89">
        <f t="shared" si="156"/>
        <v>0</v>
      </c>
      <c r="AQ238" s="89">
        <f t="shared" si="157"/>
        <v>0</v>
      </c>
      <c r="AR238" s="89">
        <f t="shared" si="158"/>
        <v>0</v>
      </c>
      <c r="AS238" s="88">
        <f t="shared" si="159"/>
        <v>30</v>
      </c>
      <c r="AT238" s="88">
        <f t="shared" ca="1" si="160"/>
        <v>30</v>
      </c>
      <c r="AU238" s="98">
        <f t="shared" si="161"/>
        <v>0</v>
      </c>
      <c r="AV238" s="88">
        <f t="shared" si="162"/>
        <v>0</v>
      </c>
      <c r="AW238" t="b">
        <f>OR((F238&gt;0),(NOT(ISBLANK(H238))),SUM(H238:H$373),SUM(G238:G$373))</f>
        <v>0</v>
      </c>
      <c r="AX238" t="b">
        <f t="shared" ca="1" si="137"/>
        <v>0</v>
      </c>
      <c r="AY238" s="519">
        <f t="shared" si="163"/>
        <v>-0.29166666666666669</v>
      </c>
      <c r="AZ238" s="180">
        <f>SUM(AY$5:AY238)</f>
        <v>-46.6666666666666</v>
      </c>
      <c r="BA238" s="567"/>
      <c r="BB238" s="567">
        <f t="shared" si="138"/>
        <v>0</v>
      </c>
      <c r="BC238" s="567"/>
    </row>
    <row r="239" spans="1:55" ht="15.75">
      <c r="A239" s="260">
        <f t="shared" si="164"/>
        <v>45067</v>
      </c>
      <c r="B239" s="261">
        <f t="shared" si="139"/>
        <v>45067</v>
      </c>
      <c r="C239" s="262">
        <f>IF(A239="","",NumberOfWeek(A239))</f>
        <v>20</v>
      </c>
      <c r="D239" s="263">
        <f t="shared" si="140"/>
        <v>45046</v>
      </c>
      <c r="E239" s="273" t="str">
        <f t="shared" si="141"/>
        <v/>
      </c>
      <c r="F239" s="5"/>
      <c r="G239" s="6" t="str">
        <f t="shared" si="126"/>
        <v/>
      </c>
      <c r="H239" s="7"/>
      <c r="I239" s="7">
        <f t="shared" si="142"/>
        <v>0</v>
      </c>
      <c r="J239" s="76">
        <f t="shared" si="143"/>
        <v>0</v>
      </c>
      <c r="K239" s="7"/>
      <c r="L239" s="7">
        <f t="shared" si="144"/>
        <v>0</v>
      </c>
      <c r="M239" s="76">
        <f t="shared" si="127"/>
        <v>0</v>
      </c>
      <c r="N239" s="76"/>
      <c r="O239" s="76">
        <f t="shared" si="128"/>
        <v>0</v>
      </c>
      <c r="P239" s="76"/>
      <c r="Q239" s="76">
        <f t="shared" si="129"/>
        <v>0</v>
      </c>
      <c r="R239" s="76">
        <f t="shared" si="145"/>
        <v>0</v>
      </c>
      <c r="S239" s="76">
        <f t="shared" si="146"/>
        <v>0</v>
      </c>
      <c r="T239" s="76">
        <f t="shared" si="147"/>
        <v>0</v>
      </c>
      <c r="U239" s="76">
        <f t="shared" si="148"/>
        <v>0</v>
      </c>
      <c r="V239" s="109">
        <f t="shared" si="149"/>
        <v>0</v>
      </c>
      <c r="W239" s="62"/>
      <c r="X239" s="78">
        <f t="shared" si="130"/>
        <v>3.125E-2</v>
      </c>
      <c r="Y239" s="73">
        <f t="shared" si="150"/>
        <v>0</v>
      </c>
      <c r="Z239" s="74">
        <f t="shared" si="151"/>
        <v>0</v>
      </c>
      <c r="AA239" s="75">
        <f t="shared" si="152"/>
        <v>0</v>
      </c>
      <c r="AB239" s="63" t="str">
        <f t="shared" si="153"/>
        <v/>
      </c>
      <c r="AC239" s="148">
        <f t="shared" si="131"/>
        <v>0</v>
      </c>
      <c r="AD239" s="107" t="str">
        <f t="shared" si="132"/>
        <v/>
      </c>
      <c r="AE239" s="180">
        <f t="shared" si="154"/>
        <v>0</v>
      </c>
      <c r="AF239" s="73"/>
      <c r="AG239" s="525"/>
      <c r="AH239" s="73"/>
      <c r="AI239" s="73" t="str">
        <f t="shared" si="165"/>
        <v/>
      </c>
      <c r="AJ239" s="64">
        <f t="shared" si="133"/>
        <v>0</v>
      </c>
      <c r="AK239" s="64">
        <f t="shared" si="134"/>
        <v>0</v>
      </c>
      <c r="AL239" s="64" t="str">
        <f t="shared" si="135"/>
        <v/>
      </c>
      <c r="AM239">
        <f t="shared" si="136"/>
        <v>6</v>
      </c>
      <c r="AN239" s="85">
        <f>SUM($AD$6:AD239)</f>
        <v>0</v>
      </c>
      <c r="AO239" s="85">
        <f t="shared" ca="1" si="155"/>
        <v>0</v>
      </c>
      <c r="AP239" s="89">
        <f t="shared" si="156"/>
        <v>0</v>
      </c>
      <c r="AQ239" s="89">
        <f t="shared" si="157"/>
        <v>0</v>
      </c>
      <c r="AR239" s="89">
        <f t="shared" si="158"/>
        <v>0</v>
      </c>
      <c r="AS239" s="88">
        <f t="shared" si="159"/>
        <v>30</v>
      </c>
      <c r="AT239" s="88">
        <f t="shared" ca="1" si="160"/>
        <v>30</v>
      </c>
      <c r="AU239" s="98">
        <f t="shared" si="161"/>
        <v>0</v>
      </c>
      <c r="AV239" s="88">
        <f t="shared" si="162"/>
        <v>7</v>
      </c>
      <c r="AW239" t="b">
        <f>OR((F239&gt;0),(NOT(ISBLANK(H239))),SUM(H239:H$373),SUM(G239:G$373))</f>
        <v>0</v>
      </c>
      <c r="AX239" t="b">
        <f t="shared" ca="1" si="137"/>
        <v>1</v>
      </c>
      <c r="AY239" s="519">
        <f t="shared" si="163"/>
        <v>0</v>
      </c>
      <c r="AZ239" s="180">
        <f>SUM(AY$5:AY239)</f>
        <v>-46.6666666666666</v>
      </c>
      <c r="BA239" s="567"/>
      <c r="BB239" s="567">
        <f t="shared" si="138"/>
        <v>0</v>
      </c>
      <c r="BC239" s="567"/>
    </row>
    <row r="240" spans="1:55" ht="15.75">
      <c r="A240" s="260">
        <f t="shared" si="164"/>
        <v>45068</v>
      </c>
      <c r="B240" s="261">
        <f t="shared" si="139"/>
        <v>45068</v>
      </c>
      <c r="C240" s="262">
        <f>IF(A240="","",NumberOfWeek(A240))</f>
        <v>20</v>
      </c>
      <c r="D240" s="263">
        <f t="shared" si="140"/>
        <v>45046</v>
      </c>
      <c r="E240" s="273" t="str">
        <f t="shared" si="141"/>
        <v/>
      </c>
      <c r="F240" s="5"/>
      <c r="G240" s="6" t="str">
        <f t="shared" si="126"/>
        <v/>
      </c>
      <c r="H240" s="7"/>
      <c r="I240" s="7">
        <f t="shared" si="142"/>
        <v>0</v>
      </c>
      <c r="J240" s="76">
        <f t="shared" si="143"/>
        <v>0</v>
      </c>
      <c r="K240" s="7"/>
      <c r="L240" s="7">
        <f t="shared" si="144"/>
        <v>0</v>
      </c>
      <c r="M240" s="76">
        <f t="shared" si="127"/>
        <v>0</v>
      </c>
      <c r="N240" s="76"/>
      <c r="O240" s="76">
        <f t="shared" si="128"/>
        <v>0</v>
      </c>
      <c r="P240" s="76"/>
      <c r="Q240" s="76">
        <f t="shared" si="129"/>
        <v>0</v>
      </c>
      <c r="R240" s="76">
        <f t="shared" si="145"/>
        <v>0</v>
      </c>
      <c r="S240" s="76">
        <f t="shared" si="146"/>
        <v>0</v>
      </c>
      <c r="T240" s="76">
        <f t="shared" si="147"/>
        <v>0</v>
      </c>
      <c r="U240" s="76">
        <f t="shared" si="148"/>
        <v>0</v>
      </c>
      <c r="V240" s="109">
        <f t="shared" si="149"/>
        <v>0</v>
      </c>
      <c r="W240" s="62"/>
      <c r="X240" s="78">
        <f t="shared" si="130"/>
        <v>3.125E-2</v>
      </c>
      <c r="Y240" s="73">
        <f t="shared" si="150"/>
        <v>0</v>
      </c>
      <c r="Z240" s="74">
        <f t="shared" si="151"/>
        <v>0</v>
      </c>
      <c r="AA240" s="75">
        <f t="shared" si="152"/>
        <v>0</v>
      </c>
      <c r="AB240" s="63" t="str">
        <f t="shared" si="153"/>
        <v/>
      </c>
      <c r="AC240" s="148">
        <f t="shared" si="131"/>
        <v>0</v>
      </c>
      <c r="AD240" s="107" t="str">
        <f t="shared" si="132"/>
        <v/>
      </c>
      <c r="AE240" s="180">
        <f t="shared" si="154"/>
        <v>0</v>
      </c>
      <c r="AF240" s="73"/>
      <c r="AG240" s="525"/>
      <c r="AH240" s="73"/>
      <c r="AI240" s="73" t="str">
        <f t="shared" si="165"/>
        <v/>
      </c>
      <c r="AJ240" s="64">
        <f t="shared" si="133"/>
        <v>0</v>
      </c>
      <c r="AK240" s="64">
        <f t="shared" si="134"/>
        <v>0</v>
      </c>
      <c r="AL240" s="64" t="str">
        <f t="shared" si="135"/>
        <v/>
      </c>
      <c r="AM240">
        <f t="shared" si="136"/>
        <v>7</v>
      </c>
      <c r="AN240" s="85">
        <f>SUM($AD$6:AD240)</f>
        <v>0</v>
      </c>
      <c r="AO240" s="85">
        <f t="shared" ca="1" si="155"/>
        <v>0</v>
      </c>
      <c r="AP240" s="89">
        <f t="shared" si="156"/>
        <v>0</v>
      </c>
      <c r="AQ240" s="89">
        <f t="shared" si="157"/>
        <v>0</v>
      </c>
      <c r="AR240" s="89">
        <f t="shared" si="158"/>
        <v>0</v>
      </c>
      <c r="AS240" s="88">
        <f t="shared" si="159"/>
        <v>30</v>
      </c>
      <c r="AT240" s="88">
        <f t="shared" ca="1" si="160"/>
        <v>30</v>
      </c>
      <c r="AU240" s="98">
        <f t="shared" si="161"/>
        <v>0</v>
      </c>
      <c r="AV240" s="88">
        <f t="shared" si="162"/>
        <v>7</v>
      </c>
      <c r="AW240" t="b">
        <f>OR((F240&gt;0),(NOT(ISBLANK(H240))),SUM(H240:H$373),SUM(G240:G$373))</f>
        <v>0</v>
      </c>
      <c r="AX240" t="b">
        <f t="shared" ca="1" si="137"/>
        <v>1</v>
      </c>
      <c r="AY240" s="519">
        <f t="shared" si="163"/>
        <v>0</v>
      </c>
      <c r="AZ240" s="180">
        <f>SUM(AY$5:AY240)</f>
        <v>-46.6666666666666</v>
      </c>
      <c r="BA240" s="567"/>
      <c r="BB240" s="567">
        <f t="shared" si="138"/>
        <v>0</v>
      </c>
      <c r="BC240" s="567"/>
    </row>
    <row r="241" spans="1:55" ht="15.75">
      <c r="A241" s="260">
        <f t="shared" si="164"/>
        <v>45069</v>
      </c>
      <c r="B241" s="261">
        <f t="shared" si="139"/>
        <v>45069</v>
      </c>
      <c r="C241" s="262">
        <f>IF(A241="","",NumberOfWeek(A241))</f>
        <v>21</v>
      </c>
      <c r="D241" s="263">
        <f t="shared" si="140"/>
        <v>45046</v>
      </c>
      <c r="E241" s="273" t="str">
        <f t="shared" si="141"/>
        <v/>
      </c>
      <c r="F241" s="5"/>
      <c r="G241" s="6" t="str">
        <f t="shared" si="126"/>
        <v/>
      </c>
      <c r="H241" s="7"/>
      <c r="I241" s="7">
        <f t="shared" si="142"/>
        <v>0</v>
      </c>
      <c r="J241" s="76">
        <f t="shared" si="143"/>
        <v>0</v>
      </c>
      <c r="K241" s="7"/>
      <c r="L241" s="7">
        <f t="shared" si="144"/>
        <v>0</v>
      </c>
      <c r="M241" s="76">
        <f t="shared" si="127"/>
        <v>0</v>
      </c>
      <c r="N241" s="76"/>
      <c r="O241" s="76">
        <f t="shared" si="128"/>
        <v>0</v>
      </c>
      <c r="P241" s="76"/>
      <c r="Q241" s="76">
        <f t="shared" si="129"/>
        <v>0</v>
      </c>
      <c r="R241" s="76">
        <f t="shared" si="145"/>
        <v>0</v>
      </c>
      <c r="S241" s="76">
        <f t="shared" si="146"/>
        <v>0</v>
      </c>
      <c r="T241" s="76">
        <f t="shared" si="147"/>
        <v>0</v>
      </c>
      <c r="U241" s="76">
        <f t="shared" si="148"/>
        <v>0</v>
      </c>
      <c r="V241" s="109">
        <f t="shared" si="149"/>
        <v>0</v>
      </c>
      <c r="W241" s="62"/>
      <c r="X241" s="78">
        <f t="shared" si="130"/>
        <v>3.125E-2</v>
      </c>
      <c r="Y241" s="73">
        <f t="shared" si="150"/>
        <v>0</v>
      </c>
      <c r="Z241" s="74">
        <f t="shared" si="151"/>
        <v>0.29166666666666669</v>
      </c>
      <c r="AA241" s="75">
        <f t="shared" si="152"/>
        <v>0</v>
      </c>
      <c r="AB241" s="63" t="str">
        <f t="shared" si="153"/>
        <v/>
      </c>
      <c r="AC241" s="148">
        <f t="shared" si="131"/>
        <v>0</v>
      </c>
      <c r="AD241" s="107" t="str">
        <f t="shared" si="132"/>
        <v/>
      </c>
      <c r="AE241" s="180">
        <f t="shared" si="154"/>
        <v>0</v>
      </c>
      <c r="AF241" s="73"/>
      <c r="AG241" s="525"/>
      <c r="AH241" s="73"/>
      <c r="AI241" s="73" t="str">
        <f t="shared" si="165"/>
        <v/>
      </c>
      <c r="AJ241" s="64">
        <f t="shared" si="133"/>
        <v>0</v>
      </c>
      <c r="AK241" s="64">
        <f t="shared" si="134"/>
        <v>0</v>
      </c>
      <c r="AL241" s="64" t="str">
        <f t="shared" si="135"/>
        <v/>
      </c>
      <c r="AM241">
        <f t="shared" si="136"/>
        <v>1</v>
      </c>
      <c r="AN241" s="85">
        <f>SUM($AD$6:AD241)</f>
        <v>0</v>
      </c>
      <c r="AO241" s="85">
        <f t="shared" ca="1" si="155"/>
        <v>0</v>
      </c>
      <c r="AP241" s="89">
        <f t="shared" si="156"/>
        <v>0</v>
      </c>
      <c r="AQ241" s="89">
        <f t="shared" si="157"/>
        <v>0</v>
      </c>
      <c r="AR241" s="89">
        <f t="shared" si="158"/>
        <v>0</v>
      </c>
      <c r="AS241" s="88">
        <f t="shared" si="159"/>
        <v>30</v>
      </c>
      <c r="AT241" s="88">
        <f t="shared" ca="1" si="160"/>
        <v>30</v>
      </c>
      <c r="AU241" s="98">
        <f t="shared" si="161"/>
        <v>0</v>
      </c>
      <c r="AV241" s="88">
        <f t="shared" si="162"/>
        <v>0</v>
      </c>
      <c r="AW241" t="b">
        <f>OR((F241&gt;0),(NOT(ISBLANK(H241))),SUM(H241:H$373),SUM(G241:G$373))</f>
        <v>0</v>
      </c>
      <c r="AX241" t="b">
        <f t="shared" ca="1" si="137"/>
        <v>0</v>
      </c>
      <c r="AY241" s="519">
        <f t="shared" si="163"/>
        <v>-0.29166666666666669</v>
      </c>
      <c r="AZ241" s="180">
        <f>SUM(AY$5:AY241)</f>
        <v>-46.958333333333265</v>
      </c>
      <c r="BA241" s="567"/>
      <c r="BB241" s="567">
        <f t="shared" si="138"/>
        <v>0</v>
      </c>
      <c r="BC241" s="567"/>
    </row>
    <row r="242" spans="1:55" ht="15.75">
      <c r="A242" s="260">
        <f t="shared" si="164"/>
        <v>45070</v>
      </c>
      <c r="B242" s="261">
        <f t="shared" si="139"/>
        <v>45070</v>
      </c>
      <c r="C242" s="262">
        <f>IF(A242="","",NumberOfWeek(A242))</f>
        <v>21</v>
      </c>
      <c r="D242" s="263">
        <f t="shared" si="140"/>
        <v>45046</v>
      </c>
      <c r="E242" s="273" t="str">
        <f t="shared" si="141"/>
        <v/>
      </c>
      <c r="F242" s="5"/>
      <c r="G242" s="6" t="str">
        <f t="shared" si="126"/>
        <v/>
      </c>
      <c r="H242" s="7"/>
      <c r="I242" s="7">
        <f t="shared" si="142"/>
        <v>0</v>
      </c>
      <c r="J242" s="76">
        <f t="shared" si="143"/>
        <v>0</v>
      </c>
      <c r="K242" s="7"/>
      <c r="L242" s="7">
        <f t="shared" si="144"/>
        <v>0</v>
      </c>
      <c r="M242" s="76">
        <f t="shared" si="127"/>
        <v>0</v>
      </c>
      <c r="N242" s="76"/>
      <c r="O242" s="76">
        <f t="shared" si="128"/>
        <v>0</v>
      </c>
      <c r="P242" s="76"/>
      <c r="Q242" s="76">
        <f t="shared" si="129"/>
        <v>0</v>
      </c>
      <c r="R242" s="76">
        <f t="shared" si="145"/>
        <v>0</v>
      </c>
      <c r="S242" s="76">
        <f t="shared" si="146"/>
        <v>0</v>
      </c>
      <c r="T242" s="76">
        <f t="shared" si="147"/>
        <v>0</v>
      </c>
      <c r="U242" s="76">
        <f t="shared" si="148"/>
        <v>0</v>
      </c>
      <c r="V242" s="109">
        <f t="shared" si="149"/>
        <v>0</v>
      </c>
      <c r="W242" s="62"/>
      <c r="X242" s="78">
        <f t="shared" si="130"/>
        <v>3.125E-2</v>
      </c>
      <c r="Y242" s="73">
        <f t="shared" si="150"/>
        <v>0</v>
      </c>
      <c r="Z242" s="74">
        <f t="shared" si="151"/>
        <v>0.29166666666666669</v>
      </c>
      <c r="AA242" s="75">
        <f t="shared" si="152"/>
        <v>0</v>
      </c>
      <c r="AB242" s="63" t="str">
        <f t="shared" si="153"/>
        <v/>
      </c>
      <c r="AC242" s="148">
        <f t="shared" si="131"/>
        <v>0</v>
      </c>
      <c r="AD242" s="107" t="str">
        <f t="shared" si="132"/>
        <v/>
      </c>
      <c r="AE242" s="180">
        <f t="shared" si="154"/>
        <v>0</v>
      </c>
      <c r="AF242" s="73"/>
      <c r="AG242" s="525"/>
      <c r="AH242" s="73"/>
      <c r="AI242" s="73" t="str">
        <f t="shared" si="165"/>
        <v/>
      </c>
      <c r="AJ242" s="64">
        <f t="shared" si="133"/>
        <v>0</v>
      </c>
      <c r="AK242" s="64">
        <f t="shared" si="134"/>
        <v>0</v>
      </c>
      <c r="AL242" s="64" t="str">
        <f t="shared" si="135"/>
        <v/>
      </c>
      <c r="AM242">
        <f t="shared" si="136"/>
        <v>2</v>
      </c>
      <c r="AN242" s="85">
        <f>SUM($AD$6:AD242)</f>
        <v>0</v>
      </c>
      <c r="AO242" s="85">
        <f t="shared" ca="1" si="155"/>
        <v>0</v>
      </c>
      <c r="AP242" s="89">
        <f t="shared" si="156"/>
        <v>0</v>
      </c>
      <c r="AQ242" s="89">
        <f t="shared" si="157"/>
        <v>0</v>
      </c>
      <c r="AR242" s="89">
        <f t="shared" si="158"/>
        <v>0</v>
      </c>
      <c r="AS242" s="88">
        <f t="shared" si="159"/>
        <v>30</v>
      </c>
      <c r="AT242" s="88">
        <f t="shared" ca="1" si="160"/>
        <v>30</v>
      </c>
      <c r="AU242" s="98">
        <f t="shared" si="161"/>
        <v>0</v>
      </c>
      <c r="AV242" s="88">
        <f t="shared" si="162"/>
        <v>0</v>
      </c>
      <c r="AW242" t="b">
        <f>OR((F242&gt;0),(NOT(ISBLANK(H242))),SUM(H242:H$373),SUM(G242:G$373))</f>
        <v>0</v>
      </c>
      <c r="AX242" t="b">
        <f t="shared" ca="1" si="137"/>
        <v>0</v>
      </c>
      <c r="AY242" s="519">
        <f t="shared" si="163"/>
        <v>-0.29166666666666669</v>
      </c>
      <c r="AZ242" s="180">
        <f>SUM(AY$5:AY242)</f>
        <v>-47.249999999999929</v>
      </c>
      <c r="BA242" s="567"/>
      <c r="BB242" s="567">
        <f t="shared" si="138"/>
        <v>0</v>
      </c>
      <c r="BC242" s="567"/>
    </row>
    <row r="243" spans="1:55" ht="15.75">
      <c r="A243" s="260">
        <f t="shared" si="164"/>
        <v>45071</v>
      </c>
      <c r="B243" s="261">
        <f t="shared" si="139"/>
        <v>45071</v>
      </c>
      <c r="C243" s="262">
        <f>IF(A243="","",NumberOfWeek(A243))</f>
        <v>21</v>
      </c>
      <c r="D243" s="263">
        <f t="shared" si="140"/>
        <v>45046</v>
      </c>
      <c r="E243" s="273" t="str">
        <f t="shared" si="141"/>
        <v/>
      </c>
      <c r="F243" s="5"/>
      <c r="G243" s="6" t="str">
        <f t="shared" si="126"/>
        <v/>
      </c>
      <c r="H243" s="7"/>
      <c r="I243" s="7">
        <f t="shared" si="142"/>
        <v>0</v>
      </c>
      <c r="J243" s="76">
        <f t="shared" si="143"/>
        <v>0</v>
      </c>
      <c r="K243" s="7"/>
      <c r="L243" s="7">
        <f t="shared" si="144"/>
        <v>0</v>
      </c>
      <c r="M243" s="76">
        <f t="shared" si="127"/>
        <v>0</v>
      </c>
      <c r="N243" s="76"/>
      <c r="O243" s="76">
        <f t="shared" si="128"/>
        <v>0</v>
      </c>
      <c r="P243" s="76"/>
      <c r="Q243" s="76">
        <f t="shared" si="129"/>
        <v>0</v>
      </c>
      <c r="R243" s="76">
        <f t="shared" si="145"/>
        <v>0</v>
      </c>
      <c r="S243" s="76">
        <f t="shared" si="146"/>
        <v>0</v>
      </c>
      <c r="T243" s="76">
        <f t="shared" si="147"/>
        <v>0</v>
      </c>
      <c r="U243" s="76">
        <f t="shared" si="148"/>
        <v>0</v>
      </c>
      <c r="V243" s="109">
        <f t="shared" si="149"/>
        <v>0</v>
      </c>
      <c r="W243" s="62"/>
      <c r="X243" s="78">
        <f t="shared" si="130"/>
        <v>3.125E-2</v>
      </c>
      <c r="Y243" s="73">
        <f t="shared" si="150"/>
        <v>0</v>
      </c>
      <c r="Z243" s="74">
        <f t="shared" si="151"/>
        <v>0.29166666666666669</v>
      </c>
      <c r="AA243" s="75">
        <f t="shared" si="152"/>
        <v>0</v>
      </c>
      <c r="AB243" s="63" t="str">
        <f t="shared" si="153"/>
        <v/>
      </c>
      <c r="AC243" s="148">
        <f t="shared" si="131"/>
        <v>0</v>
      </c>
      <c r="AD243" s="107" t="str">
        <f t="shared" si="132"/>
        <v/>
      </c>
      <c r="AE243" s="180">
        <f t="shared" si="154"/>
        <v>0</v>
      </c>
      <c r="AF243" s="73"/>
      <c r="AG243" s="525"/>
      <c r="AH243" s="73"/>
      <c r="AI243" s="73" t="str">
        <f t="shared" si="165"/>
        <v/>
      </c>
      <c r="AJ243" s="64">
        <f t="shared" si="133"/>
        <v>0</v>
      </c>
      <c r="AK243" s="64">
        <f t="shared" si="134"/>
        <v>0</v>
      </c>
      <c r="AL243" s="64" t="str">
        <f t="shared" si="135"/>
        <v/>
      </c>
      <c r="AM243">
        <f t="shared" si="136"/>
        <v>3</v>
      </c>
      <c r="AN243" s="85">
        <f>SUM($AD$6:AD243)</f>
        <v>0</v>
      </c>
      <c r="AO243" s="85">
        <f t="shared" ca="1" si="155"/>
        <v>0</v>
      </c>
      <c r="AP243" s="89">
        <f t="shared" si="156"/>
        <v>0</v>
      </c>
      <c r="AQ243" s="89">
        <f t="shared" si="157"/>
        <v>0</v>
      </c>
      <c r="AR243" s="89">
        <f t="shared" si="158"/>
        <v>0</v>
      </c>
      <c r="AS243" s="88">
        <f t="shared" si="159"/>
        <v>30</v>
      </c>
      <c r="AT243" s="88">
        <f t="shared" ca="1" si="160"/>
        <v>30</v>
      </c>
      <c r="AU243" s="98">
        <f t="shared" si="161"/>
        <v>0</v>
      </c>
      <c r="AV243" s="88">
        <f t="shared" si="162"/>
        <v>0</v>
      </c>
      <c r="AW243" t="b">
        <f>OR((F243&gt;0),(NOT(ISBLANK(H243))),SUM(H243:H$373),SUM(G243:G$373))</f>
        <v>0</v>
      </c>
      <c r="AX243" t="b">
        <f t="shared" ca="1" si="137"/>
        <v>0</v>
      </c>
      <c r="AY243" s="519">
        <f t="shared" si="163"/>
        <v>-0.29166666666666669</v>
      </c>
      <c r="AZ243" s="180">
        <f>SUM(AY$5:AY243)</f>
        <v>-47.541666666666593</v>
      </c>
      <c r="BA243" s="567"/>
      <c r="BB243" s="567">
        <f t="shared" si="138"/>
        <v>0</v>
      </c>
      <c r="BC243" s="567"/>
    </row>
    <row r="244" spans="1:55" ht="15.75">
      <c r="A244" s="260">
        <f t="shared" si="164"/>
        <v>45072</v>
      </c>
      <c r="B244" s="261">
        <f t="shared" si="139"/>
        <v>45072</v>
      </c>
      <c r="C244" s="262">
        <f>IF(A244="","",NumberOfWeek(A244))</f>
        <v>21</v>
      </c>
      <c r="D244" s="263">
        <f t="shared" si="140"/>
        <v>45046</v>
      </c>
      <c r="E244" s="273" t="str">
        <f t="shared" si="141"/>
        <v>Fronleichnam</v>
      </c>
      <c r="F244" s="5"/>
      <c r="G244" s="6" t="str">
        <f t="shared" si="126"/>
        <v/>
      </c>
      <c r="H244" s="7"/>
      <c r="I244" s="7">
        <f t="shared" si="142"/>
        <v>0</v>
      </c>
      <c r="J244" s="76">
        <f t="shared" si="143"/>
        <v>0</v>
      </c>
      <c r="K244" s="7"/>
      <c r="L244" s="7">
        <f t="shared" si="144"/>
        <v>0</v>
      </c>
      <c r="M244" s="76">
        <f t="shared" si="127"/>
        <v>0</v>
      </c>
      <c r="N244" s="76"/>
      <c r="O244" s="76">
        <f t="shared" si="128"/>
        <v>0</v>
      </c>
      <c r="P244" s="76"/>
      <c r="Q244" s="76">
        <f t="shared" si="129"/>
        <v>0</v>
      </c>
      <c r="R244" s="76">
        <f t="shared" si="145"/>
        <v>0</v>
      </c>
      <c r="S244" s="76">
        <f t="shared" si="146"/>
        <v>0</v>
      </c>
      <c r="T244" s="76">
        <f t="shared" si="147"/>
        <v>0</v>
      </c>
      <c r="U244" s="76">
        <f t="shared" si="148"/>
        <v>0</v>
      </c>
      <c r="V244" s="109">
        <f t="shared" si="149"/>
        <v>0</v>
      </c>
      <c r="W244" s="62"/>
      <c r="X244" s="78">
        <f t="shared" si="130"/>
        <v>3.125E-2</v>
      </c>
      <c r="Y244" s="73">
        <f t="shared" si="150"/>
        <v>0</v>
      </c>
      <c r="Z244" s="74" t="str">
        <f t="shared" si="151"/>
        <v/>
      </c>
      <c r="AA244" s="75">
        <f t="shared" si="152"/>
        <v>0</v>
      </c>
      <c r="AB244" s="63" t="str">
        <f t="shared" si="153"/>
        <v/>
      </c>
      <c r="AC244" s="148">
        <f t="shared" si="131"/>
        <v>0</v>
      </c>
      <c r="AD244" s="107" t="str">
        <f t="shared" si="132"/>
        <v/>
      </c>
      <c r="AE244" s="180">
        <f t="shared" si="154"/>
        <v>0</v>
      </c>
      <c r="AF244" s="73"/>
      <c r="AG244" s="525"/>
      <c r="AH244" s="73"/>
      <c r="AI244" s="73" t="str">
        <f t="shared" si="165"/>
        <v/>
      </c>
      <c r="AJ244" s="64">
        <f t="shared" si="133"/>
        <v>0</v>
      </c>
      <c r="AK244" s="64">
        <f t="shared" si="134"/>
        <v>0</v>
      </c>
      <c r="AL244" s="64" t="str">
        <f t="shared" si="135"/>
        <v/>
      </c>
      <c r="AM244">
        <f t="shared" si="136"/>
        <v>8</v>
      </c>
      <c r="AN244" s="85">
        <f>SUM($AD$6:AD244)</f>
        <v>0</v>
      </c>
      <c r="AO244" s="85">
        <f t="shared" ca="1" si="155"/>
        <v>0</v>
      </c>
      <c r="AP244" s="89">
        <f t="shared" si="156"/>
        <v>0</v>
      </c>
      <c r="AQ244" s="89">
        <f t="shared" si="157"/>
        <v>0</v>
      </c>
      <c r="AR244" s="89">
        <f t="shared" si="158"/>
        <v>0</v>
      </c>
      <c r="AS244" s="88">
        <f t="shared" si="159"/>
        <v>30</v>
      </c>
      <c r="AT244" s="88">
        <f t="shared" ca="1" si="160"/>
        <v>30</v>
      </c>
      <c r="AU244" s="98">
        <f t="shared" si="161"/>
        <v>0</v>
      </c>
      <c r="AV244" s="88">
        <f t="shared" si="162"/>
        <v>8</v>
      </c>
      <c r="AW244" t="b">
        <f>OR((F244&gt;0),(NOT(ISBLANK(H244))),SUM(H244:H$373),SUM(G244:G$373))</f>
        <v>0</v>
      </c>
      <c r="AX244" t="b">
        <f t="shared" ca="1" si="137"/>
        <v>1</v>
      </c>
      <c r="AY244" s="519">
        <f t="shared" si="163"/>
        <v>0</v>
      </c>
      <c r="AZ244" s="180">
        <f>SUM(AY$5:AY244)</f>
        <v>-47.541666666666593</v>
      </c>
      <c r="BA244" s="567"/>
      <c r="BB244" s="567">
        <f t="shared" si="138"/>
        <v>0</v>
      </c>
      <c r="BC244" s="567"/>
    </row>
    <row r="245" spans="1:55" ht="15.75">
      <c r="A245" s="260">
        <f t="shared" si="164"/>
        <v>45073</v>
      </c>
      <c r="B245" s="261">
        <f t="shared" si="139"/>
        <v>45073</v>
      </c>
      <c r="C245" s="262">
        <f>IF(A245="","",NumberOfWeek(A245))</f>
        <v>21</v>
      </c>
      <c r="D245" s="263">
        <f t="shared" si="140"/>
        <v>45046</v>
      </c>
      <c r="E245" s="273" t="str">
        <f t="shared" si="141"/>
        <v/>
      </c>
      <c r="F245" s="5"/>
      <c r="G245" s="6" t="str">
        <f t="shared" si="126"/>
        <v/>
      </c>
      <c r="H245" s="7"/>
      <c r="I245" s="7">
        <f t="shared" si="142"/>
        <v>0</v>
      </c>
      <c r="J245" s="76">
        <f t="shared" si="143"/>
        <v>0</v>
      </c>
      <c r="K245" s="7"/>
      <c r="L245" s="7">
        <f t="shared" si="144"/>
        <v>0</v>
      </c>
      <c r="M245" s="76">
        <f t="shared" si="127"/>
        <v>0</v>
      </c>
      <c r="N245" s="76"/>
      <c r="O245" s="76">
        <f t="shared" si="128"/>
        <v>0</v>
      </c>
      <c r="P245" s="76"/>
      <c r="Q245" s="76">
        <f t="shared" si="129"/>
        <v>0</v>
      </c>
      <c r="R245" s="76">
        <f t="shared" si="145"/>
        <v>0</v>
      </c>
      <c r="S245" s="76">
        <f t="shared" si="146"/>
        <v>0</v>
      </c>
      <c r="T245" s="76">
        <f t="shared" si="147"/>
        <v>0</v>
      </c>
      <c r="U245" s="76">
        <f t="shared" si="148"/>
        <v>0</v>
      </c>
      <c r="V245" s="109">
        <f t="shared" si="149"/>
        <v>0</v>
      </c>
      <c r="W245" s="62"/>
      <c r="X245" s="78">
        <f t="shared" si="130"/>
        <v>3.125E-2</v>
      </c>
      <c r="Y245" s="73">
        <f t="shared" si="150"/>
        <v>0</v>
      </c>
      <c r="Z245" s="74">
        <f t="shared" si="151"/>
        <v>0.29166666666666669</v>
      </c>
      <c r="AA245" s="75">
        <f t="shared" si="152"/>
        <v>0</v>
      </c>
      <c r="AB245" s="63" t="str">
        <f t="shared" si="153"/>
        <v/>
      </c>
      <c r="AC245" s="148">
        <f t="shared" si="131"/>
        <v>0</v>
      </c>
      <c r="AD245" s="107" t="str">
        <f t="shared" si="132"/>
        <v/>
      </c>
      <c r="AE245" s="180">
        <f t="shared" si="154"/>
        <v>0</v>
      </c>
      <c r="AF245" s="73"/>
      <c r="AG245" s="525"/>
      <c r="AH245" s="73"/>
      <c r="AI245" s="73" t="str">
        <f t="shared" si="165"/>
        <v/>
      </c>
      <c r="AJ245" s="64">
        <f t="shared" si="133"/>
        <v>0</v>
      </c>
      <c r="AK245" s="64">
        <f t="shared" si="134"/>
        <v>0</v>
      </c>
      <c r="AL245" s="64" t="str">
        <f t="shared" si="135"/>
        <v/>
      </c>
      <c r="AM245">
        <f t="shared" si="136"/>
        <v>5</v>
      </c>
      <c r="AN245" s="85">
        <f>SUM($AD$6:AD245)</f>
        <v>0</v>
      </c>
      <c r="AO245" s="85">
        <f t="shared" ca="1" si="155"/>
        <v>0</v>
      </c>
      <c r="AP245" s="89">
        <f t="shared" si="156"/>
        <v>0</v>
      </c>
      <c r="AQ245" s="89">
        <f t="shared" si="157"/>
        <v>0</v>
      </c>
      <c r="AR245" s="89">
        <f t="shared" si="158"/>
        <v>0</v>
      </c>
      <c r="AS245" s="88">
        <f t="shared" si="159"/>
        <v>30</v>
      </c>
      <c r="AT245" s="88">
        <f t="shared" ca="1" si="160"/>
        <v>30</v>
      </c>
      <c r="AU245" s="98">
        <f t="shared" si="161"/>
        <v>0</v>
      </c>
      <c r="AV245" s="88">
        <f t="shared" si="162"/>
        <v>0</v>
      </c>
      <c r="AW245" t="b">
        <f>OR((F245&gt;0),(NOT(ISBLANK(H245))),SUM(H245:H$373),SUM(G245:G$373))</f>
        <v>0</v>
      </c>
      <c r="AX245" t="b">
        <f t="shared" ca="1" si="137"/>
        <v>0</v>
      </c>
      <c r="AY245" s="519">
        <f t="shared" si="163"/>
        <v>-0.29166666666666669</v>
      </c>
      <c r="AZ245" s="180">
        <f>SUM(AY$5:AY245)</f>
        <v>-47.833333333333258</v>
      </c>
      <c r="BA245" s="567"/>
      <c r="BB245" s="567">
        <f t="shared" si="138"/>
        <v>0</v>
      </c>
      <c r="BC245" s="567"/>
    </row>
    <row r="246" spans="1:55" ht="15.75">
      <c r="A246" s="260">
        <f t="shared" si="164"/>
        <v>45074</v>
      </c>
      <c r="B246" s="261">
        <f t="shared" si="139"/>
        <v>45074</v>
      </c>
      <c r="C246" s="262">
        <f>IF(A246="","",NumberOfWeek(A246))</f>
        <v>21</v>
      </c>
      <c r="D246" s="263">
        <f t="shared" si="140"/>
        <v>45046</v>
      </c>
      <c r="E246" s="273" t="str">
        <f t="shared" si="141"/>
        <v/>
      </c>
      <c r="F246" s="5"/>
      <c r="G246" s="6" t="str">
        <f t="shared" si="126"/>
        <v/>
      </c>
      <c r="H246" s="7"/>
      <c r="I246" s="7">
        <f t="shared" si="142"/>
        <v>0</v>
      </c>
      <c r="J246" s="76">
        <f t="shared" si="143"/>
        <v>0</v>
      </c>
      <c r="K246" s="7"/>
      <c r="L246" s="7">
        <f t="shared" si="144"/>
        <v>0</v>
      </c>
      <c r="M246" s="76">
        <f t="shared" si="127"/>
        <v>0</v>
      </c>
      <c r="N246" s="76"/>
      <c r="O246" s="76">
        <f t="shared" si="128"/>
        <v>0</v>
      </c>
      <c r="P246" s="76"/>
      <c r="Q246" s="76">
        <f t="shared" si="129"/>
        <v>0</v>
      </c>
      <c r="R246" s="76">
        <f t="shared" si="145"/>
        <v>0</v>
      </c>
      <c r="S246" s="76">
        <f t="shared" si="146"/>
        <v>0</v>
      </c>
      <c r="T246" s="76">
        <f t="shared" si="147"/>
        <v>0</v>
      </c>
      <c r="U246" s="76">
        <f t="shared" si="148"/>
        <v>0</v>
      </c>
      <c r="V246" s="109">
        <f t="shared" si="149"/>
        <v>0</v>
      </c>
      <c r="W246" s="62"/>
      <c r="X246" s="78">
        <f t="shared" si="130"/>
        <v>3.125E-2</v>
      </c>
      <c r="Y246" s="73">
        <f t="shared" si="150"/>
        <v>0</v>
      </c>
      <c r="Z246" s="74">
        <f t="shared" si="151"/>
        <v>0</v>
      </c>
      <c r="AA246" s="75">
        <f t="shared" si="152"/>
        <v>0</v>
      </c>
      <c r="AB246" s="63" t="str">
        <f t="shared" si="153"/>
        <v/>
      </c>
      <c r="AC246" s="148">
        <f t="shared" si="131"/>
        <v>0</v>
      </c>
      <c r="AD246" s="107" t="str">
        <f t="shared" si="132"/>
        <v/>
      </c>
      <c r="AE246" s="180">
        <f t="shared" si="154"/>
        <v>0</v>
      </c>
      <c r="AF246" s="73"/>
      <c r="AG246" s="525"/>
      <c r="AH246" s="73"/>
      <c r="AI246" s="73" t="str">
        <f t="shared" si="165"/>
        <v/>
      </c>
      <c r="AJ246" s="64">
        <f t="shared" si="133"/>
        <v>0</v>
      </c>
      <c r="AK246" s="64">
        <f t="shared" si="134"/>
        <v>0</v>
      </c>
      <c r="AL246" s="64" t="str">
        <f t="shared" si="135"/>
        <v/>
      </c>
      <c r="AM246">
        <f t="shared" si="136"/>
        <v>6</v>
      </c>
      <c r="AN246" s="85">
        <f>SUM($AD$6:AD246)</f>
        <v>0</v>
      </c>
      <c r="AO246" s="85">
        <f t="shared" ca="1" si="155"/>
        <v>0</v>
      </c>
      <c r="AP246" s="89">
        <f t="shared" si="156"/>
        <v>0</v>
      </c>
      <c r="AQ246" s="89">
        <f t="shared" si="157"/>
        <v>0</v>
      </c>
      <c r="AR246" s="89">
        <f t="shared" si="158"/>
        <v>0</v>
      </c>
      <c r="AS246" s="88">
        <f t="shared" si="159"/>
        <v>30</v>
      </c>
      <c r="AT246" s="88">
        <f t="shared" ca="1" si="160"/>
        <v>30</v>
      </c>
      <c r="AU246" s="98">
        <f t="shared" si="161"/>
        <v>0</v>
      </c>
      <c r="AV246" s="88">
        <f t="shared" si="162"/>
        <v>7</v>
      </c>
      <c r="AW246" t="b">
        <f>OR((F246&gt;0),(NOT(ISBLANK(H246))),SUM(H246:H$373),SUM(G246:G$373))</f>
        <v>0</v>
      </c>
      <c r="AX246" t="b">
        <f t="shared" ca="1" si="137"/>
        <v>1</v>
      </c>
      <c r="AY246" s="519">
        <f t="shared" si="163"/>
        <v>0</v>
      </c>
      <c r="AZ246" s="180">
        <f>SUM(AY$5:AY246)</f>
        <v>-47.833333333333258</v>
      </c>
      <c r="BA246" s="567"/>
      <c r="BB246" s="567">
        <f t="shared" si="138"/>
        <v>0</v>
      </c>
      <c r="BC246" s="567"/>
    </row>
    <row r="247" spans="1:55" ht="15.75">
      <c r="A247" s="260">
        <f t="shared" si="164"/>
        <v>45075</v>
      </c>
      <c r="B247" s="261">
        <f t="shared" si="139"/>
        <v>45075</v>
      </c>
      <c r="C247" s="262">
        <f>IF(A247="","",NumberOfWeek(A247))</f>
        <v>21</v>
      </c>
      <c r="D247" s="263">
        <f t="shared" si="140"/>
        <v>45046</v>
      </c>
      <c r="E247" s="273" t="str">
        <f t="shared" si="141"/>
        <v/>
      </c>
      <c r="F247" s="5"/>
      <c r="G247" s="6" t="str">
        <f t="shared" si="126"/>
        <v/>
      </c>
      <c r="H247" s="7"/>
      <c r="I247" s="7">
        <f t="shared" si="142"/>
        <v>0</v>
      </c>
      <c r="J247" s="76">
        <f t="shared" si="143"/>
        <v>0</v>
      </c>
      <c r="K247" s="7"/>
      <c r="L247" s="7">
        <f t="shared" si="144"/>
        <v>0</v>
      </c>
      <c r="M247" s="76">
        <f t="shared" si="127"/>
        <v>0</v>
      </c>
      <c r="N247" s="76"/>
      <c r="O247" s="76">
        <f t="shared" si="128"/>
        <v>0</v>
      </c>
      <c r="P247" s="76"/>
      <c r="Q247" s="76">
        <f t="shared" si="129"/>
        <v>0</v>
      </c>
      <c r="R247" s="76">
        <f t="shared" si="145"/>
        <v>0</v>
      </c>
      <c r="S247" s="76">
        <f t="shared" si="146"/>
        <v>0</v>
      </c>
      <c r="T247" s="76">
        <f t="shared" si="147"/>
        <v>0</v>
      </c>
      <c r="U247" s="76">
        <f t="shared" si="148"/>
        <v>0</v>
      </c>
      <c r="V247" s="109">
        <f t="shared" si="149"/>
        <v>0</v>
      </c>
      <c r="W247" s="62"/>
      <c r="X247" s="78">
        <f t="shared" si="130"/>
        <v>3.125E-2</v>
      </c>
      <c r="Y247" s="73">
        <f t="shared" si="150"/>
        <v>0</v>
      </c>
      <c r="Z247" s="74">
        <f t="shared" si="151"/>
        <v>0</v>
      </c>
      <c r="AA247" s="75">
        <f t="shared" si="152"/>
        <v>0</v>
      </c>
      <c r="AB247" s="63" t="str">
        <f t="shared" si="153"/>
        <v/>
      </c>
      <c r="AC247" s="148">
        <f t="shared" si="131"/>
        <v>0</v>
      </c>
      <c r="AD247" s="107" t="str">
        <f t="shared" si="132"/>
        <v/>
      </c>
      <c r="AE247" s="180">
        <f t="shared" si="154"/>
        <v>0</v>
      </c>
      <c r="AF247" s="73"/>
      <c r="AG247" s="525"/>
      <c r="AH247" s="73"/>
      <c r="AI247" s="73" t="str">
        <f t="shared" si="165"/>
        <v/>
      </c>
      <c r="AJ247" s="64">
        <f t="shared" si="133"/>
        <v>0</v>
      </c>
      <c r="AK247" s="64">
        <f t="shared" si="134"/>
        <v>0</v>
      </c>
      <c r="AL247" s="64" t="str">
        <f t="shared" si="135"/>
        <v/>
      </c>
      <c r="AM247">
        <f t="shared" si="136"/>
        <v>7</v>
      </c>
      <c r="AN247" s="85">
        <f>SUM($AD$6:AD247)</f>
        <v>0</v>
      </c>
      <c r="AO247" s="85">
        <f t="shared" ca="1" si="155"/>
        <v>0</v>
      </c>
      <c r="AP247" s="89">
        <f t="shared" si="156"/>
        <v>0</v>
      </c>
      <c r="AQ247" s="89">
        <f t="shared" si="157"/>
        <v>0</v>
      </c>
      <c r="AR247" s="89">
        <f t="shared" si="158"/>
        <v>0</v>
      </c>
      <c r="AS247" s="88">
        <f t="shared" si="159"/>
        <v>30</v>
      </c>
      <c r="AT247" s="88">
        <f t="shared" ca="1" si="160"/>
        <v>30</v>
      </c>
      <c r="AU247" s="98">
        <f t="shared" si="161"/>
        <v>0</v>
      </c>
      <c r="AV247" s="88">
        <f t="shared" si="162"/>
        <v>7</v>
      </c>
      <c r="AW247" t="b">
        <f>OR((F247&gt;0),(NOT(ISBLANK(H247))),SUM(H247:H$373),SUM(G247:G$373))</f>
        <v>0</v>
      </c>
      <c r="AX247" t="b">
        <f t="shared" ca="1" si="137"/>
        <v>1</v>
      </c>
      <c r="AY247" s="519">
        <f t="shared" si="163"/>
        <v>0</v>
      </c>
      <c r="AZ247" s="180">
        <f>SUM(AY$5:AY247)</f>
        <v>-47.833333333333258</v>
      </c>
      <c r="BA247" s="567"/>
      <c r="BB247" s="567">
        <f t="shared" si="138"/>
        <v>0</v>
      </c>
      <c r="BC247" s="567"/>
    </row>
    <row r="248" spans="1:55" ht="15.75">
      <c r="A248" s="260">
        <f t="shared" si="164"/>
        <v>45076</v>
      </c>
      <c r="B248" s="261">
        <f t="shared" si="139"/>
        <v>45076</v>
      </c>
      <c r="C248" s="262">
        <f>IF(A248="","",NumberOfWeek(A248))</f>
        <v>22</v>
      </c>
      <c r="D248" s="263">
        <f t="shared" si="140"/>
        <v>45046</v>
      </c>
      <c r="E248" s="273" t="str">
        <f t="shared" si="141"/>
        <v/>
      </c>
      <c r="F248" s="5"/>
      <c r="G248" s="6" t="str">
        <f t="shared" si="126"/>
        <v/>
      </c>
      <c r="H248" s="7"/>
      <c r="I248" s="7">
        <f t="shared" si="142"/>
        <v>0</v>
      </c>
      <c r="J248" s="76">
        <f t="shared" si="143"/>
        <v>0</v>
      </c>
      <c r="K248" s="7"/>
      <c r="L248" s="7">
        <f t="shared" si="144"/>
        <v>0</v>
      </c>
      <c r="M248" s="76">
        <f t="shared" si="127"/>
        <v>0</v>
      </c>
      <c r="N248" s="76"/>
      <c r="O248" s="76">
        <f t="shared" si="128"/>
        <v>0</v>
      </c>
      <c r="P248" s="76"/>
      <c r="Q248" s="76">
        <f t="shared" si="129"/>
        <v>0</v>
      </c>
      <c r="R248" s="76">
        <f t="shared" si="145"/>
        <v>0</v>
      </c>
      <c r="S248" s="76">
        <f t="shared" si="146"/>
        <v>0</v>
      </c>
      <c r="T248" s="76">
        <f t="shared" si="147"/>
        <v>0</v>
      </c>
      <c r="U248" s="76">
        <f t="shared" si="148"/>
        <v>0</v>
      </c>
      <c r="V248" s="109">
        <f t="shared" si="149"/>
        <v>0</v>
      </c>
      <c r="W248" s="62"/>
      <c r="X248" s="78">
        <f t="shared" si="130"/>
        <v>3.125E-2</v>
      </c>
      <c r="Y248" s="73">
        <f t="shared" si="150"/>
        <v>0</v>
      </c>
      <c r="Z248" s="74">
        <f t="shared" si="151"/>
        <v>0.29166666666666669</v>
      </c>
      <c r="AA248" s="75">
        <f t="shared" si="152"/>
        <v>0</v>
      </c>
      <c r="AB248" s="63" t="str">
        <f t="shared" si="153"/>
        <v/>
      </c>
      <c r="AC248" s="148">
        <f t="shared" si="131"/>
        <v>0</v>
      </c>
      <c r="AD248" s="107" t="str">
        <f t="shared" si="132"/>
        <v/>
      </c>
      <c r="AE248" s="180">
        <f t="shared" si="154"/>
        <v>0</v>
      </c>
      <c r="AF248" s="73"/>
      <c r="AG248" s="525"/>
      <c r="AH248" s="73"/>
      <c r="AI248" s="73" t="str">
        <f t="shared" si="165"/>
        <v/>
      </c>
      <c r="AJ248" s="64">
        <f t="shared" si="133"/>
        <v>0</v>
      </c>
      <c r="AK248" s="64">
        <f t="shared" si="134"/>
        <v>0</v>
      </c>
      <c r="AL248" s="64" t="str">
        <f t="shared" si="135"/>
        <v/>
      </c>
      <c r="AM248">
        <f t="shared" si="136"/>
        <v>1</v>
      </c>
      <c r="AN248" s="85">
        <f>SUM($AD$6:AD248)</f>
        <v>0</v>
      </c>
      <c r="AO248" s="85">
        <f t="shared" ca="1" si="155"/>
        <v>0</v>
      </c>
      <c r="AP248" s="89">
        <f t="shared" si="156"/>
        <v>0</v>
      </c>
      <c r="AQ248" s="89">
        <f t="shared" si="157"/>
        <v>0</v>
      </c>
      <c r="AR248" s="89">
        <f t="shared" si="158"/>
        <v>0</v>
      </c>
      <c r="AS248" s="88">
        <f t="shared" si="159"/>
        <v>30</v>
      </c>
      <c r="AT248" s="88">
        <f t="shared" ca="1" si="160"/>
        <v>30</v>
      </c>
      <c r="AU248" s="98">
        <f t="shared" si="161"/>
        <v>0</v>
      </c>
      <c r="AV248" s="88">
        <f t="shared" si="162"/>
        <v>0</v>
      </c>
      <c r="AW248" t="b">
        <f>OR((F248&gt;0),(NOT(ISBLANK(H248))),SUM(H248:H$373),SUM(G248:G$373))</f>
        <v>0</v>
      </c>
      <c r="AX248" t="b">
        <f t="shared" ca="1" si="137"/>
        <v>0</v>
      </c>
      <c r="AY248" s="519">
        <f t="shared" si="163"/>
        <v>-0.29166666666666669</v>
      </c>
      <c r="AZ248" s="180">
        <f>SUM(AY$5:AY248)</f>
        <v>-48.124999999999922</v>
      </c>
      <c r="BA248" s="567"/>
      <c r="BB248" s="567">
        <f t="shared" si="138"/>
        <v>0</v>
      </c>
      <c r="BC248" s="567"/>
    </row>
    <row r="249" spans="1:55" ht="15.75">
      <c r="A249" s="260">
        <f t="shared" si="164"/>
        <v>45077</v>
      </c>
      <c r="B249" s="261">
        <f t="shared" si="139"/>
        <v>45077</v>
      </c>
      <c r="C249" s="262">
        <f>IF(A249="","",NumberOfWeek(A249))</f>
        <v>22</v>
      </c>
      <c r="D249" s="263">
        <f t="shared" si="140"/>
        <v>45077</v>
      </c>
      <c r="E249" s="273" t="str">
        <f t="shared" si="141"/>
        <v/>
      </c>
      <c r="F249" s="5"/>
      <c r="G249" s="6" t="str">
        <f t="shared" si="126"/>
        <v/>
      </c>
      <c r="H249" s="7"/>
      <c r="I249" s="7">
        <f t="shared" si="142"/>
        <v>0</v>
      </c>
      <c r="J249" s="76">
        <f t="shared" si="143"/>
        <v>0</v>
      </c>
      <c r="K249" s="7"/>
      <c r="L249" s="7">
        <f t="shared" si="144"/>
        <v>0</v>
      </c>
      <c r="M249" s="76">
        <f t="shared" si="127"/>
        <v>0</v>
      </c>
      <c r="N249" s="76"/>
      <c r="O249" s="76">
        <f t="shared" si="128"/>
        <v>0</v>
      </c>
      <c r="P249" s="76"/>
      <c r="Q249" s="76">
        <f t="shared" si="129"/>
        <v>0</v>
      </c>
      <c r="R249" s="76">
        <f t="shared" si="145"/>
        <v>0</v>
      </c>
      <c r="S249" s="76">
        <f t="shared" si="146"/>
        <v>0</v>
      </c>
      <c r="T249" s="76">
        <f t="shared" si="147"/>
        <v>0</v>
      </c>
      <c r="U249" s="76">
        <f t="shared" si="148"/>
        <v>0</v>
      </c>
      <c r="V249" s="109">
        <f t="shared" si="149"/>
        <v>0</v>
      </c>
      <c r="W249" s="62"/>
      <c r="X249" s="78">
        <f t="shared" si="130"/>
        <v>3.125E-2</v>
      </c>
      <c r="Y249" s="73">
        <f t="shared" si="150"/>
        <v>0</v>
      </c>
      <c r="Z249" s="74">
        <f t="shared" si="151"/>
        <v>0.29166666666666669</v>
      </c>
      <c r="AA249" s="75">
        <f t="shared" si="152"/>
        <v>0</v>
      </c>
      <c r="AB249" s="63" t="str">
        <f t="shared" si="153"/>
        <v/>
      </c>
      <c r="AC249" s="148">
        <f t="shared" si="131"/>
        <v>0</v>
      </c>
      <c r="AD249" s="107" t="str">
        <f t="shared" si="132"/>
        <v/>
      </c>
      <c r="AE249" s="180">
        <f t="shared" si="154"/>
        <v>0</v>
      </c>
      <c r="AF249" s="73"/>
      <c r="AG249" s="525"/>
      <c r="AH249" s="73"/>
      <c r="AI249" s="73" t="str">
        <f t="shared" si="165"/>
        <v/>
      </c>
      <c r="AJ249" s="64">
        <f t="shared" si="133"/>
        <v>0</v>
      </c>
      <c r="AK249" s="64">
        <f t="shared" si="134"/>
        <v>0</v>
      </c>
      <c r="AL249" s="64" t="str">
        <f t="shared" si="135"/>
        <v/>
      </c>
      <c r="AM249">
        <f t="shared" si="136"/>
        <v>2</v>
      </c>
      <c r="AN249" s="85">
        <f>SUM($AD$6:AD249)</f>
        <v>0</v>
      </c>
      <c r="AO249" s="85">
        <f t="shared" ca="1" si="155"/>
        <v>0</v>
      </c>
      <c r="AP249" s="89">
        <f t="shared" si="156"/>
        <v>0</v>
      </c>
      <c r="AQ249" s="89">
        <f t="shared" si="157"/>
        <v>0</v>
      </c>
      <c r="AR249" s="89">
        <f t="shared" si="158"/>
        <v>0</v>
      </c>
      <c r="AS249" s="88">
        <f t="shared" si="159"/>
        <v>30</v>
      </c>
      <c r="AT249" s="88">
        <f t="shared" ca="1" si="160"/>
        <v>30</v>
      </c>
      <c r="AU249" s="98">
        <f t="shared" si="161"/>
        <v>0</v>
      </c>
      <c r="AV249" s="88">
        <f t="shared" si="162"/>
        <v>0</v>
      </c>
      <c r="AW249" t="b">
        <f>OR((F249&gt;0),(NOT(ISBLANK(H249))),SUM(H249:H$373),SUM(G249:G$373))</f>
        <v>0</v>
      </c>
      <c r="AX249" t="b">
        <f t="shared" ca="1" si="137"/>
        <v>0</v>
      </c>
      <c r="AY249" s="519">
        <f t="shared" si="163"/>
        <v>-0.29166666666666669</v>
      </c>
      <c r="AZ249" s="180">
        <f>SUM(AY$5:AY249)</f>
        <v>-48.416666666666586</v>
      </c>
      <c r="BA249" s="567"/>
      <c r="BB249" s="567">
        <f t="shared" si="138"/>
        <v>0</v>
      </c>
      <c r="BC249" s="567"/>
    </row>
    <row r="250" spans="1:55" ht="15.75">
      <c r="A250" s="260">
        <f t="shared" si="164"/>
        <v>45078</v>
      </c>
      <c r="B250" s="261">
        <f t="shared" si="139"/>
        <v>45078</v>
      </c>
      <c r="C250" s="262">
        <f>IF(A250="","",NumberOfWeek(A250))</f>
        <v>22</v>
      </c>
      <c r="D250" s="263">
        <f t="shared" si="140"/>
        <v>45077</v>
      </c>
      <c r="E250" s="273" t="str">
        <f t="shared" si="141"/>
        <v/>
      </c>
      <c r="F250" s="5"/>
      <c r="G250" s="6" t="str">
        <f t="shared" si="126"/>
        <v/>
      </c>
      <c r="H250" s="7"/>
      <c r="I250" s="7">
        <f t="shared" si="142"/>
        <v>0</v>
      </c>
      <c r="J250" s="76">
        <f t="shared" si="143"/>
        <v>0</v>
      </c>
      <c r="K250" s="7"/>
      <c r="L250" s="7">
        <f t="shared" si="144"/>
        <v>0</v>
      </c>
      <c r="M250" s="76">
        <f t="shared" si="127"/>
        <v>0</v>
      </c>
      <c r="N250" s="76"/>
      <c r="O250" s="76">
        <f t="shared" si="128"/>
        <v>0</v>
      </c>
      <c r="P250" s="76"/>
      <c r="Q250" s="76">
        <f t="shared" si="129"/>
        <v>0</v>
      </c>
      <c r="R250" s="76">
        <f t="shared" si="145"/>
        <v>0</v>
      </c>
      <c r="S250" s="76">
        <f t="shared" si="146"/>
        <v>0</v>
      </c>
      <c r="T250" s="76">
        <f t="shared" si="147"/>
        <v>0</v>
      </c>
      <c r="U250" s="76">
        <f t="shared" si="148"/>
        <v>0</v>
      </c>
      <c r="V250" s="109">
        <f t="shared" si="149"/>
        <v>0</v>
      </c>
      <c r="W250" s="62"/>
      <c r="X250" s="78">
        <f t="shared" si="130"/>
        <v>3.125E-2</v>
      </c>
      <c r="Y250" s="73">
        <f t="shared" si="150"/>
        <v>0</v>
      </c>
      <c r="Z250" s="74">
        <f t="shared" si="151"/>
        <v>0.29166666666666669</v>
      </c>
      <c r="AA250" s="75">
        <f t="shared" si="152"/>
        <v>0</v>
      </c>
      <c r="AB250" s="63" t="str">
        <f t="shared" si="153"/>
        <v/>
      </c>
      <c r="AC250" s="148">
        <f t="shared" si="131"/>
        <v>0</v>
      </c>
      <c r="AD250" s="107" t="str">
        <f t="shared" si="132"/>
        <v/>
      </c>
      <c r="AE250" s="180">
        <f t="shared" si="154"/>
        <v>0</v>
      </c>
      <c r="AF250" s="73"/>
      <c r="AG250" s="525"/>
      <c r="AH250" s="73"/>
      <c r="AI250" s="73" t="str">
        <f t="shared" si="165"/>
        <v/>
      </c>
      <c r="AJ250" s="64">
        <f t="shared" si="133"/>
        <v>0</v>
      </c>
      <c r="AK250" s="64">
        <f t="shared" si="134"/>
        <v>0</v>
      </c>
      <c r="AL250" s="64" t="str">
        <f t="shared" si="135"/>
        <v/>
      </c>
      <c r="AM250">
        <f t="shared" si="136"/>
        <v>3</v>
      </c>
      <c r="AN250" s="85">
        <f>SUM($AD$6:AD250)</f>
        <v>0</v>
      </c>
      <c r="AO250" s="85">
        <f t="shared" ca="1" si="155"/>
        <v>0</v>
      </c>
      <c r="AP250" s="89">
        <f t="shared" si="156"/>
        <v>0</v>
      </c>
      <c r="AQ250" s="89">
        <f t="shared" si="157"/>
        <v>0</v>
      </c>
      <c r="AR250" s="89">
        <f t="shared" si="158"/>
        <v>0</v>
      </c>
      <c r="AS250" s="88">
        <f t="shared" si="159"/>
        <v>30</v>
      </c>
      <c r="AT250" s="88">
        <f t="shared" ca="1" si="160"/>
        <v>30</v>
      </c>
      <c r="AU250" s="98">
        <f t="shared" si="161"/>
        <v>0</v>
      </c>
      <c r="AV250" s="88">
        <f t="shared" si="162"/>
        <v>0</v>
      </c>
      <c r="AW250" t="b">
        <f>OR((F250&gt;0),(NOT(ISBLANK(H250))),SUM(H250:H$373),SUM(G250:G$373))</f>
        <v>0</v>
      </c>
      <c r="AX250" t="b">
        <f t="shared" ca="1" si="137"/>
        <v>0</v>
      </c>
      <c r="AY250" s="519">
        <f t="shared" si="163"/>
        <v>-0.29166666666666669</v>
      </c>
      <c r="AZ250" s="180">
        <f>SUM(AY$5:AY250)</f>
        <v>-48.70833333333325</v>
      </c>
      <c r="BA250" s="567"/>
      <c r="BB250" s="567">
        <f t="shared" si="138"/>
        <v>0</v>
      </c>
      <c r="BC250" s="567"/>
    </row>
    <row r="251" spans="1:55" ht="15.75">
      <c r="A251" s="260">
        <f t="shared" si="164"/>
        <v>45079</v>
      </c>
      <c r="B251" s="261">
        <f t="shared" si="139"/>
        <v>45079</v>
      </c>
      <c r="C251" s="262">
        <f>IF(A251="","",NumberOfWeek(A251))</f>
        <v>22</v>
      </c>
      <c r="D251" s="263">
        <f t="shared" si="140"/>
        <v>45077</v>
      </c>
      <c r="E251" s="273" t="str">
        <f t="shared" si="141"/>
        <v/>
      </c>
      <c r="F251" s="5"/>
      <c r="G251" s="6" t="str">
        <f t="shared" si="126"/>
        <v/>
      </c>
      <c r="H251" s="7"/>
      <c r="I251" s="7">
        <f t="shared" si="142"/>
        <v>0</v>
      </c>
      <c r="J251" s="76">
        <f t="shared" si="143"/>
        <v>0</v>
      </c>
      <c r="K251" s="7"/>
      <c r="L251" s="7">
        <f t="shared" si="144"/>
        <v>0</v>
      </c>
      <c r="M251" s="76">
        <f t="shared" si="127"/>
        <v>0</v>
      </c>
      <c r="N251" s="76"/>
      <c r="O251" s="76">
        <f t="shared" si="128"/>
        <v>0</v>
      </c>
      <c r="P251" s="76"/>
      <c r="Q251" s="76">
        <f t="shared" si="129"/>
        <v>0</v>
      </c>
      <c r="R251" s="76">
        <f t="shared" si="145"/>
        <v>0</v>
      </c>
      <c r="S251" s="76">
        <f t="shared" si="146"/>
        <v>0</v>
      </c>
      <c r="T251" s="76">
        <f t="shared" si="147"/>
        <v>0</v>
      </c>
      <c r="U251" s="76">
        <f t="shared" si="148"/>
        <v>0</v>
      </c>
      <c r="V251" s="109">
        <f t="shared" si="149"/>
        <v>0</v>
      </c>
      <c r="W251" s="62"/>
      <c r="X251" s="78">
        <f t="shared" si="130"/>
        <v>3.125E-2</v>
      </c>
      <c r="Y251" s="73">
        <f t="shared" si="150"/>
        <v>0</v>
      </c>
      <c r="Z251" s="74">
        <f t="shared" si="151"/>
        <v>0.29166666666666669</v>
      </c>
      <c r="AA251" s="75">
        <f t="shared" si="152"/>
        <v>0</v>
      </c>
      <c r="AB251" s="63" t="str">
        <f t="shared" si="153"/>
        <v/>
      </c>
      <c r="AC251" s="148">
        <f t="shared" si="131"/>
        <v>0</v>
      </c>
      <c r="AD251" s="107" t="str">
        <f t="shared" si="132"/>
        <v/>
      </c>
      <c r="AE251" s="180">
        <f t="shared" si="154"/>
        <v>0</v>
      </c>
      <c r="AF251" s="73"/>
      <c r="AG251" s="525"/>
      <c r="AH251" s="73"/>
      <c r="AI251" s="73" t="str">
        <f t="shared" si="165"/>
        <v/>
      </c>
      <c r="AJ251" s="64">
        <f t="shared" si="133"/>
        <v>0</v>
      </c>
      <c r="AK251" s="64">
        <f t="shared" si="134"/>
        <v>0</v>
      </c>
      <c r="AL251" s="64" t="str">
        <f t="shared" si="135"/>
        <v/>
      </c>
      <c r="AM251">
        <f t="shared" si="136"/>
        <v>4</v>
      </c>
      <c r="AN251" s="85">
        <f>SUM($AD$6:AD251)</f>
        <v>0</v>
      </c>
      <c r="AO251" s="85">
        <f t="shared" ca="1" si="155"/>
        <v>0</v>
      </c>
      <c r="AP251" s="89">
        <f t="shared" si="156"/>
        <v>0</v>
      </c>
      <c r="AQ251" s="89">
        <f t="shared" si="157"/>
        <v>0</v>
      </c>
      <c r="AR251" s="89">
        <f t="shared" si="158"/>
        <v>0</v>
      </c>
      <c r="AS251" s="88">
        <f t="shared" si="159"/>
        <v>30</v>
      </c>
      <c r="AT251" s="88">
        <f t="shared" ca="1" si="160"/>
        <v>30</v>
      </c>
      <c r="AU251" s="98">
        <f t="shared" si="161"/>
        <v>0</v>
      </c>
      <c r="AV251" s="88">
        <f t="shared" si="162"/>
        <v>0</v>
      </c>
      <c r="AW251" t="b">
        <f>OR((F251&gt;0),(NOT(ISBLANK(H251))),SUM(H251:H$373),SUM(G251:G$373))</f>
        <v>0</v>
      </c>
      <c r="AX251" t="b">
        <f t="shared" ca="1" si="137"/>
        <v>0</v>
      </c>
      <c r="AY251" s="519">
        <f t="shared" si="163"/>
        <v>-0.29166666666666669</v>
      </c>
      <c r="AZ251" s="180">
        <f>SUM(AY$5:AY251)</f>
        <v>-48.999999999999915</v>
      </c>
      <c r="BA251" s="567"/>
      <c r="BB251" s="567">
        <f t="shared" si="138"/>
        <v>0</v>
      </c>
      <c r="BC251" s="567"/>
    </row>
    <row r="252" spans="1:55" ht="15.75">
      <c r="A252" s="260">
        <f t="shared" si="164"/>
        <v>45080</v>
      </c>
      <c r="B252" s="261">
        <f t="shared" si="139"/>
        <v>45080</v>
      </c>
      <c r="C252" s="262">
        <f>IF(A252="","",NumberOfWeek(A252))</f>
        <v>22</v>
      </c>
      <c r="D252" s="263">
        <f t="shared" si="140"/>
        <v>45077</v>
      </c>
      <c r="E252" s="273" t="str">
        <f t="shared" si="141"/>
        <v/>
      </c>
      <c r="F252" s="5"/>
      <c r="G252" s="6" t="str">
        <f t="shared" si="126"/>
        <v/>
      </c>
      <c r="H252" s="7"/>
      <c r="I252" s="7">
        <f t="shared" si="142"/>
        <v>0</v>
      </c>
      <c r="J252" s="76">
        <f t="shared" si="143"/>
        <v>0</v>
      </c>
      <c r="K252" s="7"/>
      <c r="L252" s="7">
        <f t="shared" si="144"/>
        <v>0</v>
      </c>
      <c r="M252" s="76">
        <f t="shared" si="127"/>
        <v>0</v>
      </c>
      <c r="N252" s="76"/>
      <c r="O252" s="76">
        <f t="shared" si="128"/>
        <v>0</v>
      </c>
      <c r="P252" s="76"/>
      <c r="Q252" s="76">
        <f t="shared" si="129"/>
        <v>0</v>
      </c>
      <c r="R252" s="76">
        <f t="shared" si="145"/>
        <v>0</v>
      </c>
      <c r="S252" s="76">
        <f t="shared" si="146"/>
        <v>0</v>
      </c>
      <c r="T252" s="76">
        <f t="shared" si="147"/>
        <v>0</v>
      </c>
      <c r="U252" s="76">
        <f t="shared" si="148"/>
        <v>0</v>
      </c>
      <c r="V252" s="109">
        <f t="shared" si="149"/>
        <v>0</v>
      </c>
      <c r="W252" s="62"/>
      <c r="X252" s="78">
        <f t="shared" si="130"/>
        <v>3.125E-2</v>
      </c>
      <c r="Y252" s="73">
        <f t="shared" si="150"/>
        <v>0</v>
      </c>
      <c r="Z252" s="74">
        <f t="shared" si="151"/>
        <v>0.29166666666666669</v>
      </c>
      <c r="AA252" s="75">
        <f t="shared" si="152"/>
        <v>0</v>
      </c>
      <c r="AB252" s="63" t="str">
        <f t="shared" si="153"/>
        <v/>
      </c>
      <c r="AC252" s="148">
        <f t="shared" si="131"/>
        <v>0</v>
      </c>
      <c r="AD252" s="107" t="str">
        <f t="shared" si="132"/>
        <v/>
      </c>
      <c r="AE252" s="180">
        <f t="shared" si="154"/>
        <v>0</v>
      </c>
      <c r="AF252" s="73"/>
      <c r="AG252" s="525"/>
      <c r="AH252" s="73"/>
      <c r="AI252" s="73" t="str">
        <f t="shared" si="165"/>
        <v/>
      </c>
      <c r="AJ252" s="64">
        <f t="shared" si="133"/>
        <v>0</v>
      </c>
      <c r="AK252" s="64">
        <f t="shared" si="134"/>
        <v>0</v>
      </c>
      <c r="AL252" s="64" t="str">
        <f t="shared" si="135"/>
        <v/>
      </c>
      <c r="AM252">
        <f t="shared" si="136"/>
        <v>5</v>
      </c>
      <c r="AN252" s="85">
        <f>SUM($AD$6:AD252)</f>
        <v>0</v>
      </c>
      <c r="AO252" s="85">
        <f t="shared" ca="1" si="155"/>
        <v>0</v>
      </c>
      <c r="AP252" s="89">
        <f t="shared" si="156"/>
        <v>0</v>
      </c>
      <c r="AQ252" s="89">
        <f t="shared" si="157"/>
        <v>0</v>
      </c>
      <c r="AR252" s="89">
        <f t="shared" si="158"/>
        <v>0</v>
      </c>
      <c r="AS252" s="88">
        <f t="shared" si="159"/>
        <v>30</v>
      </c>
      <c r="AT252" s="88">
        <f t="shared" ca="1" si="160"/>
        <v>30</v>
      </c>
      <c r="AU252" s="98">
        <f t="shared" si="161"/>
        <v>0</v>
      </c>
      <c r="AV252" s="88">
        <f t="shared" si="162"/>
        <v>0</v>
      </c>
      <c r="AW252" t="b">
        <f>OR((F252&gt;0),(NOT(ISBLANK(H252))),SUM(H252:H$373),SUM(G252:G$373))</f>
        <v>0</v>
      </c>
      <c r="AX252" t="b">
        <f t="shared" ca="1" si="137"/>
        <v>0</v>
      </c>
      <c r="AY252" s="519">
        <f t="shared" si="163"/>
        <v>-0.29166666666666669</v>
      </c>
      <c r="AZ252" s="180">
        <f>SUM(AY$5:AY252)</f>
        <v>-49.291666666666579</v>
      </c>
      <c r="BA252" s="567"/>
      <c r="BB252" s="567">
        <f t="shared" si="138"/>
        <v>0</v>
      </c>
      <c r="BC252" s="567"/>
    </row>
    <row r="253" spans="1:55" ht="15.75">
      <c r="A253" s="260">
        <f t="shared" si="164"/>
        <v>45081</v>
      </c>
      <c r="B253" s="261">
        <f t="shared" si="139"/>
        <v>45081</v>
      </c>
      <c r="C253" s="262">
        <f>IF(A253="","",NumberOfWeek(A253))</f>
        <v>22</v>
      </c>
      <c r="D253" s="263">
        <f t="shared" si="140"/>
        <v>45077</v>
      </c>
      <c r="E253" s="273" t="str">
        <f t="shared" si="141"/>
        <v/>
      </c>
      <c r="F253" s="5"/>
      <c r="G253" s="6" t="str">
        <f t="shared" si="126"/>
        <v/>
      </c>
      <c r="H253" s="7"/>
      <c r="I253" s="7">
        <f t="shared" si="142"/>
        <v>0</v>
      </c>
      <c r="J253" s="76">
        <f t="shared" si="143"/>
        <v>0</v>
      </c>
      <c r="K253" s="7"/>
      <c r="L253" s="7">
        <f t="shared" si="144"/>
        <v>0</v>
      </c>
      <c r="M253" s="76">
        <f t="shared" si="127"/>
        <v>0</v>
      </c>
      <c r="N253" s="76"/>
      <c r="O253" s="76">
        <f t="shared" si="128"/>
        <v>0</v>
      </c>
      <c r="P253" s="76"/>
      <c r="Q253" s="76">
        <f t="shared" si="129"/>
        <v>0</v>
      </c>
      <c r="R253" s="76">
        <f t="shared" si="145"/>
        <v>0</v>
      </c>
      <c r="S253" s="76">
        <f t="shared" si="146"/>
        <v>0</v>
      </c>
      <c r="T253" s="76">
        <f t="shared" si="147"/>
        <v>0</v>
      </c>
      <c r="U253" s="76">
        <f t="shared" si="148"/>
        <v>0</v>
      </c>
      <c r="V253" s="109">
        <f t="shared" si="149"/>
        <v>0</v>
      </c>
      <c r="W253" s="62"/>
      <c r="X253" s="78">
        <f t="shared" si="130"/>
        <v>3.125E-2</v>
      </c>
      <c r="Y253" s="73">
        <f t="shared" si="150"/>
        <v>0</v>
      </c>
      <c r="Z253" s="74">
        <f t="shared" si="151"/>
        <v>0</v>
      </c>
      <c r="AA253" s="75">
        <f t="shared" si="152"/>
        <v>0</v>
      </c>
      <c r="AB253" s="63" t="str">
        <f t="shared" si="153"/>
        <v/>
      </c>
      <c r="AC253" s="148">
        <f t="shared" si="131"/>
        <v>0</v>
      </c>
      <c r="AD253" s="107" t="str">
        <f t="shared" si="132"/>
        <v/>
      </c>
      <c r="AE253" s="180">
        <f t="shared" si="154"/>
        <v>0</v>
      </c>
      <c r="AF253" s="73"/>
      <c r="AG253" s="525"/>
      <c r="AH253" s="73"/>
      <c r="AI253" s="73" t="str">
        <f t="shared" si="165"/>
        <v/>
      </c>
      <c r="AJ253" s="64">
        <f t="shared" si="133"/>
        <v>0</v>
      </c>
      <c r="AK253" s="64">
        <f t="shared" si="134"/>
        <v>0</v>
      </c>
      <c r="AL253" s="64" t="str">
        <f t="shared" si="135"/>
        <v/>
      </c>
      <c r="AM253">
        <f t="shared" si="136"/>
        <v>6</v>
      </c>
      <c r="AN253" s="85">
        <f>SUM($AD$6:AD253)</f>
        <v>0</v>
      </c>
      <c r="AO253" s="85">
        <f t="shared" ca="1" si="155"/>
        <v>0</v>
      </c>
      <c r="AP253" s="89">
        <f t="shared" si="156"/>
        <v>0</v>
      </c>
      <c r="AQ253" s="89">
        <f t="shared" si="157"/>
        <v>0</v>
      </c>
      <c r="AR253" s="89">
        <f t="shared" si="158"/>
        <v>0</v>
      </c>
      <c r="AS253" s="88">
        <f t="shared" si="159"/>
        <v>30</v>
      </c>
      <c r="AT253" s="88">
        <f t="shared" ca="1" si="160"/>
        <v>30</v>
      </c>
      <c r="AU253" s="98">
        <f t="shared" si="161"/>
        <v>0</v>
      </c>
      <c r="AV253" s="88">
        <f t="shared" si="162"/>
        <v>7</v>
      </c>
      <c r="AW253" t="b">
        <f>OR((F253&gt;0),(NOT(ISBLANK(H253))),SUM(H253:H$373),SUM(G253:G$373))</f>
        <v>0</v>
      </c>
      <c r="AX253" t="b">
        <f t="shared" ca="1" si="137"/>
        <v>1</v>
      </c>
      <c r="AY253" s="519">
        <f t="shared" si="163"/>
        <v>0</v>
      </c>
      <c r="AZ253" s="180">
        <f>SUM(AY$5:AY253)</f>
        <v>-49.291666666666579</v>
      </c>
      <c r="BA253" s="567"/>
      <c r="BB253" s="567">
        <f t="shared" si="138"/>
        <v>0</v>
      </c>
      <c r="BC253" s="567"/>
    </row>
    <row r="254" spans="1:55" ht="15.75">
      <c r="A254" s="260">
        <f t="shared" si="164"/>
        <v>45082</v>
      </c>
      <c r="B254" s="261">
        <f t="shared" si="139"/>
        <v>45082</v>
      </c>
      <c r="C254" s="262">
        <f>IF(A254="","",NumberOfWeek(A254))</f>
        <v>22</v>
      </c>
      <c r="D254" s="263">
        <f t="shared" si="140"/>
        <v>45077</v>
      </c>
      <c r="E254" s="273" t="str">
        <f t="shared" si="141"/>
        <v/>
      </c>
      <c r="F254" s="5"/>
      <c r="G254" s="6" t="str">
        <f t="shared" si="126"/>
        <v/>
      </c>
      <c r="H254" s="7"/>
      <c r="I254" s="7">
        <f t="shared" si="142"/>
        <v>0</v>
      </c>
      <c r="J254" s="76">
        <f t="shared" si="143"/>
        <v>0</v>
      </c>
      <c r="K254" s="7"/>
      <c r="L254" s="7">
        <f t="shared" si="144"/>
        <v>0</v>
      </c>
      <c r="M254" s="76">
        <f t="shared" si="127"/>
        <v>0</v>
      </c>
      <c r="N254" s="76"/>
      <c r="O254" s="76">
        <f t="shared" si="128"/>
        <v>0</v>
      </c>
      <c r="P254" s="76"/>
      <c r="Q254" s="76">
        <f t="shared" si="129"/>
        <v>0</v>
      </c>
      <c r="R254" s="76">
        <f t="shared" si="145"/>
        <v>0</v>
      </c>
      <c r="S254" s="76">
        <f t="shared" si="146"/>
        <v>0</v>
      </c>
      <c r="T254" s="76">
        <f t="shared" si="147"/>
        <v>0</v>
      </c>
      <c r="U254" s="76">
        <f t="shared" si="148"/>
        <v>0</v>
      </c>
      <c r="V254" s="109">
        <f t="shared" si="149"/>
        <v>0</v>
      </c>
      <c r="W254" s="62"/>
      <c r="X254" s="78">
        <f t="shared" si="130"/>
        <v>3.125E-2</v>
      </c>
      <c r="Y254" s="73">
        <f t="shared" si="150"/>
        <v>0</v>
      </c>
      <c r="Z254" s="74">
        <f t="shared" si="151"/>
        <v>0</v>
      </c>
      <c r="AA254" s="75">
        <f t="shared" si="152"/>
        <v>0</v>
      </c>
      <c r="AB254" s="63" t="str">
        <f t="shared" si="153"/>
        <v/>
      </c>
      <c r="AC254" s="148">
        <f t="shared" si="131"/>
        <v>0</v>
      </c>
      <c r="AD254" s="107" t="str">
        <f t="shared" si="132"/>
        <v/>
      </c>
      <c r="AE254" s="180">
        <f t="shared" si="154"/>
        <v>0</v>
      </c>
      <c r="AF254" s="73"/>
      <c r="AG254" s="525"/>
      <c r="AH254" s="73"/>
      <c r="AI254" s="73" t="str">
        <f t="shared" si="165"/>
        <v/>
      </c>
      <c r="AJ254" s="64">
        <f t="shared" si="133"/>
        <v>0</v>
      </c>
      <c r="AK254" s="64">
        <f t="shared" si="134"/>
        <v>0</v>
      </c>
      <c r="AL254" s="64" t="str">
        <f t="shared" si="135"/>
        <v/>
      </c>
      <c r="AM254">
        <f t="shared" si="136"/>
        <v>7</v>
      </c>
      <c r="AN254" s="85">
        <f>SUM($AD$6:AD254)</f>
        <v>0</v>
      </c>
      <c r="AO254" s="85">
        <f t="shared" ca="1" si="155"/>
        <v>0</v>
      </c>
      <c r="AP254" s="89">
        <f t="shared" si="156"/>
        <v>0</v>
      </c>
      <c r="AQ254" s="89">
        <f t="shared" si="157"/>
        <v>0</v>
      </c>
      <c r="AR254" s="89">
        <f t="shared" si="158"/>
        <v>0</v>
      </c>
      <c r="AS254" s="88">
        <f t="shared" si="159"/>
        <v>30</v>
      </c>
      <c r="AT254" s="88">
        <f t="shared" ca="1" si="160"/>
        <v>30</v>
      </c>
      <c r="AU254" s="98">
        <f t="shared" si="161"/>
        <v>0</v>
      </c>
      <c r="AV254" s="88">
        <f t="shared" si="162"/>
        <v>7</v>
      </c>
      <c r="AW254" t="b">
        <f>OR((F254&gt;0),(NOT(ISBLANK(H254))),SUM(H254:H$373),SUM(G254:G$373))</f>
        <v>0</v>
      </c>
      <c r="AX254" t="b">
        <f t="shared" ca="1" si="137"/>
        <v>1</v>
      </c>
      <c r="AY254" s="519">
        <f t="shared" si="163"/>
        <v>0</v>
      </c>
      <c r="AZ254" s="180">
        <f>SUM(AY$5:AY254)</f>
        <v>-49.291666666666579</v>
      </c>
      <c r="BA254" s="567"/>
      <c r="BB254" s="567">
        <f t="shared" si="138"/>
        <v>0</v>
      </c>
      <c r="BC254" s="567"/>
    </row>
    <row r="255" spans="1:55" ht="15.75">
      <c r="A255" s="260">
        <f t="shared" si="164"/>
        <v>45083</v>
      </c>
      <c r="B255" s="261">
        <f t="shared" si="139"/>
        <v>45083</v>
      </c>
      <c r="C255" s="262">
        <f>IF(A255="","",NumberOfWeek(A255))</f>
        <v>23</v>
      </c>
      <c r="D255" s="263">
        <f t="shared" si="140"/>
        <v>45077</v>
      </c>
      <c r="E255" s="273" t="str">
        <f t="shared" si="141"/>
        <v/>
      </c>
      <c r="F255" s="5"/>
      <c r="G255" s="6" t="str">
        <f t="shared" si="126"/>
        <v/>
      </c>
      <c r="H255" s="7"/>
      <c r="I255" s="7">
        <f t="shared" si="142"/>
        <v>0</v>
      </c>
      <c r="J255" s="76">
        <f t="shared" si="143"/>
        <v>0</v>
      </c>
      <c r="K255" s="7"/>
      <c r="L255" s="7">
        <f t="shared" si="144"/>
        <v>0</v>
      </c>
      <c r="M255" s="76">
        <f t="shared" si="127"/>
        <v>0</v>
      </c>
      <c r="N255" s="76"/>
      <c r="O255" s="76">
        <f t="shared" si="128"/>
        <v>0</v>
      </c>
      <c r="P255" s="76"/>
      <c r="Q255" s="76">
        <f t="shared" si="129"/>
        <v>0</v>
      </c>
      <c r="R255" s="76">
        <f t="shared" si="145"/>
        <v>0</v>
      </c>
      <c r="S255" s="76">
        <f t="shared" si="146"/>
        <v>0</v>
      </c>
      <c r="T255" s="76">
        <f t="shared" si="147"/>
        <v>0</v>
      </c>
      <c r="U255" s="76">
        <f t="shared" si="148"/>
        <v>0</v>
      </c>
      <c r="V255" s="109">
        <f t="shared" si="149"/>
        <v>0</v>
      </c>
      <c r="W255" s="62"/>
      <c r="X255" s="78">
        <f t="shared" si="130"/>
        <v>3.125E-2</v>
      </c>
      <c r="Y255" s="73">
        <f t="shared" si="150"/>
        <v>0</v>
      </c>
      <c r="Z255" s="74">
        <f t="shared" si="151"/>
        <v>0.29166666666666669</v>
      </c>
      <c r="AA255" s="75">
        <f t="shared" si="152"/>
        <v>0</v>
      </c>
      <c r="AB255" s="63" t="str">
        <f t="shared" si="153"/>
        <v/>
      </c>
      <c r="AC255" s="148">
        <f t="shared" si="131"/>
        <v>0</v>
      </c>
      <c r="AD255" s="107" t="str">
        <f t="shared" si="132"/>
        <v/>
      </c>
      <c r="AE255" s="180">
        <f t="shared" si="154"/>
        <v>0</v>
      </c>
      <c r="AF255" s="73"/>
      <c r="AG255" s="525"/>
      <c r="AH255" s="73"/>
      <c r="AI255" s="73" t="str">
        <f t="shared" si="165"/>
        <v/>
      </c>
      <c r="AJ255" s="64">
        <f t="shared" si="133"/>
        <v>0</v>
      </c>
      <c r="AK255" s="64">
        <f t="shared" si="134"/>
        <v>0</v>
      </c>
      <c r="AL255" s="64" t="str">
        <f t="shared" si="135"/>
        <v/>
      </c>
      <c r="AM255">
        <f t="shared" si="136"/>
        <v>1</v>
      </c>
      <c r="AN255" s="85">
        <f>SUM($AD$6:AD255)</f>
        <v>0</v>
      </c>
      <c r="AO255" s="85">
        <f t="shared" ca="1" si="155"/>
        <v>0</v>
      </c>
      <c r="AP255" s="89">
        <f t="shared" si="156"/>
        <v>0</v>
      </c>
      <c r="AQ255" s="89">
        <f t="shared" si="157"/>
        <v>0</v>
      </c>
      <c r="AR255" s="89">
        <f t="shared" si="158"/>
        <v>0</v>
      </c>
      <c r="AS255" s="88">
        <f t="shared" si="159"/>
        <v>30</v>
      </c>
      <c r="AT255" s="88">
        <f t="shared" ca="1" si="160"/>
        <v>30</v>
      </c>
      <c r="AU255" s="98">
        <f t="shared" si="161"/>
        <v>0</v>
      </c>
      <c r="AV255" s="88">
        <f t="shared" si="162"/>
        <v>0</v>
      </c>
      <c r="AW255" t="b">
        <f>OR((F255&gt;0),(NOT(ISBLANK(H255))),SUM(H255:H$373),SUM(G255:G$373))</f>
        <v>0</v>
      </c>
      <c r="AX255" t="b">
        <f t="shared" ca="1" si="137"/>
        <v>0</v>
      </c>
      <c r="AY255" s="519">
        <f t="shared" si="163"/>
        <v>-0.29166666666666669</v>
      </c>
      <c r="AZ255" s="180">
        <f>SUM(AY$5:AY255)</f>
        <v>-49.583333333333243</v>
      </c>
      <c r="BA255" s="567"/>
      <c r="BB255" s="567">
        <f t="shared" si="138"/>
        <v>0</v>
      </c>
      <c r="BC255" s="567"/>
    </row>
    <row r="256" spans="1:55" ht="15.75">
      <c r="A256" s="260">
        <f t="shared" si="164"/>
        <v>45084</v>
      </c>
      <c r="B256" s="261">
        <f t="shared" si="139"/>
        <v>45084</v>
      </c>
      <c r="C256" s="262">
        <f>IF(A256="","",NumberOfWeek(A256))</f>
        <v>23</v>
      </c>
      <c r="D256" s="263">
        <f t="shared" si="140"/>
        <v>45077</v>
      </c>
      <c r="E256" s="273" t="str">
        <f t="shared" si="141"/>
        <v/>
      </c>
      <c r="F256" s="5"/>
      <c r="G256" s="6" t="str">
        <f t="shared" si="126"/>
        <v/>
      </c>
      <c r="H256" s="7"/>
      <c r="I256" s="7">
        <f t="shared" si="142"/>
        <v>0</v>
      </c>
      <c r="J256" s="76">
        <f t="shared" si="143"/>
        <v>0</v>
      </c>
      <c r="K256" s="7"/>
      <c r="L256" s="7">
        <f t="shared" si="144"/>
        <v>0</v>
      </c>
      <c r="M256" s="76">
        <f t="shared" si="127"/>
        <v>0</v>
      </c>
      <c r="N256" s="76"/>
      <c r="O256" s="76">
        <f t="shared" si="128"/>
        <v>0</v>
      </c>
      <c r="P256" s="76"/>
      <c r="Q256" s="76">
        <f t="shared" si="129"/>
        <v>0</v>
      </c>
      <c r="R256" s="76">
        <f t="shared" si="145"/>
        <v>0</v>
      </c>
      <c r="S256" s="76">
        <f t="shared" si="146"/>
        <v>0</v>
      </c>
      <c r="T256" s="76">
        <f t="shared" si="147"/>
        <v>0</v>
      </c>
      <c r="U256" s="76">
        <f t="shared" si="148"/>
        <v>0</v>
      </c>
      <c r="V256" s="109">
        <f t="shared" si="149"/>
        <v>0</v>
      </c>
      <c r="W256" s="62"/>
      <c r="X256" s="78">
        <f t="shared" si="130"/>
        <v>3.125E-2</v>
      </c>
      <c r="Y256" s="73">
        <f t="shared" si="150"/>
        <v>0</v>
      </c>
      <c r="Z256" s="74">
        <f t="shared" si="151"/>
        <v>0.29166666666666669</v>
      </c>
      <c r="AA256" s="75">
        <f t="shared" si="152"/>
        <v>0</v>
      </c>
      <c r="AB256" s="63" t="str">
        <f t="shared" si="153"/>
        <v/>
      </c>
      <c r="AC256" s="148">
        <f t="shared" si="131"/>
        <v>0</v>
      </c>
      <c r="AD256" s="107" t="str">
        <f t="shared" si="132"/>
        <v/>
      </c>
      <c r="AE256" s="180">
        <f t="shared" si="154"/>
        <v>0</v>
      </c>
      <c r="AF256" s="73"/>
      <c r="AG256" s="525"/>
      <c r="AH256" s="73"/>
      <c r="AI256" s="73" t="str">
        <f t="shared" si="165"/>
        <v/>
      </c>
      <c r="AJ256" s="64">
        <f t="shared" si="133"/>
        <v>0</v>
      </c>
      <c r="AK256" s="64">
        <f t="shared" si="134"/>
        <v>0</v>
      </c>
      <c r="AL256" s="64" t="str">
        <f t="shared" si="135"/>
        <v/>
      </c>
      <c r="AM256">
        <f t="shared" si="136"/>
        <v>2</v>
      </c>
      <c r="AN256" s="85">
        <f>SUM($AD$6:AD256)</f>
        <v>0</v>
      </c>
      <c r="AO256" s="85">
        <f t="shared" ca="1" si="155"/>
        <v>0</v>
      </c>
      <c r="AP256" s="89">
        <f t="shared" si="156"/>
        <v>0</v>
      </c>
      <c r="AQ256" s="89">
        <f t="shared" si="157"/>
        <v>0</v>
      </c>
      <c r="AR256" s="89">
        <f t="shared" si="158"/>
        <v>0</v>
      </c>
      <c r="AS256" s="88">
        <f t="shared" si="159"/>
        <v>30</v>
      </c>
      <c r="AT256" s="88">
        <f t="shared" ca="1" si="160"/>
        <v>30</v>
      </c>
      <c r="AU256" s="98">
        <f t="shared" si="161"/>
        <v>0</v>
      </c>
      <c r="AV256" s="88">
        <f t="shared" si="162"/>
        <v>0</v>
      </c>
      <c r="AW256" t="b">
        <f>OR((F256&gt;0),(NOT(ISBLANK(H256))),SUM(H256:H$373),SUM(G256:G$373))</f>
        <v>0</v>
      </c>
      <c r="AX256" t="b">
        <f t="shared" ca="1" si="137"/>
        <v>0</v>
      </c>
      <c r="AY256" s="519">
        <f t="shared" si="163"/>
        <v>-0.29166666666666669</v>
      </c>
      <c r="AZ256" s="180">
        <f>SUM(AY$5:AY256)</f>
        <v>-49.874999999999908</v>
      </c>
      <c r="BA256" s="567"/>
      <c r="BB256" s="567">
        <f t="shared" si="138"/>
        <v>0</v>
      </c>
      <c r="BC256" s="567"/>
    </row>
    <row r="257" spans="1:55" ht="15.75">
      <c r="A257" s="260">
        <f t="shared" si="164"/>
        <v>45085</v>
      </c>
      <c r="B257" s="261">
        <f t="shared" si="139"/>
        <v>45085</v>
      </c>
      <c r="C257" s="262">
        <f>IF(A257="","",NumberOfWeek(A257))</f>
        <v>23</v>
      </c>
      <c r="D257" s="263">
        <f t="shared" si="140"/>
        <v>45077</v>
      </c>
      <c r="E257" s="273" t="str">
        <f t="shared" si="141"/>
        <v/>
      </c>
      <c r="F257" s="5"/>
      <c r="G257" s="6" t="str">
        <f t="shared" si="126"/>
        <v/>
      </c>
      <c r="H257" s="7"/>
      <c r="I257" s="7">
        <f t="shared" si="142"/>
        <v>0</v>
      </c>
      <c r="J257" s="76">
        <f t="shared" si="143"/>
        <v>0</v>
      </c>
      <c r="K257" s="7"/>
      <c r="L257" s="7">
        <f t="shared" si="144"/>
        <v>0</v>
      </c>
      <c r="M257" s="76">
        <f t="shared" si="127"/>
        <v>0</v>
      </c>
      <c r="N257" s="76"/>
      <c r="O257" s="76">
        <f t="shared" si="128"/>
        <v>0</v>
      </c>
      <c r="P257" s="76"/>
      <c r="Q257" s="76">
        <f t="shared" si="129"/>
        <v>0</v>
      </c>
      <c r="R257" s="76">
        <f t="shared" si="145"/>
        <v>0</v>
      </c>
      <c r="S257" s="76">
        <f t="shared" si="146"/>
        <v>0</v>
      </c>
      <c r="T257" s="76">
        <f t="shared" si="147"/>
        <v>0</v>
      </c>
      <c r="U257" s="76">
        <f t="shared" si="148"/>
        <v>0</v>
      </c>
      <c r="V257" s="109">
        <f t="shared" si="149"/>
        <v>0</v>
      </c>
      <c r="W257" s="62"/>
      <c r="X257" s="78">
        <f t="shared" si="130"/>
        <v>3.125E-2</v>
      </c>
      <c r="Y257" s="73">
        <f t="shared" si="150"/>
        <v>0</v>
      </c>
      <c r="Z257" s="74">
        <f t="shared" si="151"/>
        <v>0.29166666666666669</v>
      </c>
      <c r="AA257" s="75">
        <f t="shared" si="152"/>
        <v>0</v>
      </c>
      <c r="AB257" s="63" t="str">
        <f t="shared" si="153"/>
        <v/>
      </c>
      <c r="AC257" s="148">
        <f t="shared" si="131"/>
        <v>0</v>
      </c>
      <c r="AD257" s="107" t="str">
        <f t="shared" si="132"/>
        <v/>
      </c>
      <c r="AE257" s="180">
        <f t="shared" si="154"/>
        <v>0</v>
      </c>
      <c r="AF257" s="73"/>
      <c r="AG257" s="525"/>
      <c r="AH257" s="73"/>
      <c r="AI257" s="73" t="str">
        <f t="shared" si="165"/>
        <v/>
      </c>
      <c r="AJ257" s="64">
        <f t="shared" si="133"/>
        <v>0</v>
      </c>
      <c r="AK257" s="64">
        <f t="shared" si="134"/>
        <v>0</v>
      </c>
      <c r="AL257" s="64" t="str">
        <f t="shared" si="135"/>
        <v/>
      </c>
      <c r="AM257">
        <f t="shared" si="136"/>
        <v>3</v>
      </c>
      <c r="AN257" s="85">
        <f>SUM($AD$6:AD257)</f>
        <v>0</v>
      </c>
      <c r="AO257" s="85">
        <f t="shared" ca="1" si="155"/>
        <v>0</v>
      </c>
      <c r="AP257" s="89">
        <f t="shared" si="156"/>
        <v>0</v>
      </c>
      <c r="AQ257" s="89">
        <f t="shared" si="157"/>
        <v>0</v>
      </c>
      <c r="AR257" s="89">
        <f t="shared" si="158"/>
        <v>0</v>
      </c>
      <c r="AS257" s="88">
        <f t="shared" si="159"/>
        <v>30</v>
      </c>
      <c r="AT257" s="88">
        <f t="shared" ca="1" si="160"/>
        <v>30</v>
      </c>
      <c r="AU257" s="98">
        <f t="shared" si="161"/>
        <v>0</v>
      </c>
      <c r="AV257" s="88">
        <f t="shared" si="162"/>
        <v>0</v>
      </c>
      <c r="AW257" t="b">
        <f>OR((F257&gt;0),(NOT(ISBLANK(H257))),SUM(H257:H$373),SUM(G257:G$373))</f>
        <v>0</v>
      </c>
      <c r="AX257" t="b">
        <f t="shared" ca="1" si="137"/>
        <v>0</v>
      </c>
      <c r="AY257" s="519">
        <f t="shared" si="163"/>
        <v>-0.29166666666666669</v>
      </c>
      <c r="AZ257" s="180">
        <f>SUM(AY$5:AY257)</f>
        <v>-50.166666666666572</v>
      </c>
      <c r="BA257" s="567"/>
      <c r="BB257" s="567">
        <f t="shared" si="138"/>
        <v>0</v>
      </c>
      <c r="BC257" s="567"/>
    </row>
    <row r="258" spans="1:55" ht="15.75">
      <c r="A258" s="260">
        <f t="shared" si="164"/>
        <v>45086</v>
      </c>
      <c r="B258" s="261">
        <f t="shared" si="139"/>
        <v>45086</v>
      </c>
      <c r="C258" s="262">
        <f>IF(A258="","",NumberOfWeek(A258))</f>
        <v>23</v>
      </c>
      <c r="D258" s="263">
        <f t="shared" si="140"/>
        <v>45077</v>
      </c>
      <c r="E258" s="273" t="str">
        <f t="shared" si="141"/>
        <v/>
      </c>
      <c r="F258" s="5"/>
      <c r="G258" s="6" t="str">
        <f t="shared" si="126"/>
        <v/>
      </c>
      <c r="H258" s="7"/>
      <c r="I258" s="7">
        <f t="shared" si="142"/>
        <v>0</v>
      </c>
      <c r="J258" s="76">
        <f t="shared" si="143"/>
        <v>0</v>
      </c>
      <c r="K258" s="7"/>
      <c r="L258" s="7">
        <f t="shared" si="144"/>
        <v>0</v>
      </c>
      <c r="M258" s="76">
        <f t="shared" si="127"/>
        <v>0</v>
      </c>
      <c r="N258" s="76"/>
      <c r="O258" s="76">
        <f t="shared" si="128"/>
        <v>0</v>
      </c>
      <c r="P258" s="76"/>
      <c r="Q258" s="76">
        <f t="shared" si="129"/>
        <v>0</v>
      </c>
      <c r="R258" s="76">
        <f t="shared" si="145"/>
        <v>0</v>
      </c>
      <c r="S258" s="76">
        <f t="shared" si="146"/>
        <v>0</v>
      </c>
      <c r="T258" s="76">
        <f t="shared" si="147"/>
        <v>0</v>
      </c>
      <c r="U258" s="76">
        <f t="shared" si="148"/>
        <v>0</v>
      </c>
      <c r="V258" s="109">
        <f t="shared" si="149"/>
        <v>0</v>
      </c>
      <c r="W258" s="62"/>
      <c r="X258" s="78">
        <f t="shared" si="130"/>
        <v>3.125E-2</v>
      </c>
      <c r="Y258" s="73">
        <f t="shared" si="150"/>
        <v>0</v>
      </c>
      <c r="Z258" s="74">
        <f t="shared" si="151"/>
        <v>0.29166666666666669</v>
      </c>
      <c r="AA258" s="75">
        <f t="shared" si="152"/>
        <v>0</v>
      </c>
      <c r="AB258" s="63" t="str">
        <f t="shared" si="153"/>
        <v/>
      </c>
      <c r="AC258" s="148">
        <f t="shared" si="131"/>
        <v>0</v>
      </c>
      <c r="AD258" s="107" t="str">
        <f t="shared" si="132"/>
        <v/>
      </c>
      <c r="AE258" s="180">
        <f t="shared" si="154"/>
        <v>0</v>
      </c>
      <c r="AF258" s="73"/>
      <c r="AG258" s="525"/>
      <c r="AH258" s="73"/>
      <c r="AI258" s="73" t="str">
        <f t="shared" si="165"/>
        <v/>
      </c>
      <c r="AJ258" s="64">
        <f t="shared" si="133"/>
        <v>0</v>
      </c>
      <c r="AK258" s="64">
        <f t="shared" si="134"/>
        <v>0</v>
      </c>
      <c r="AL258" s="64" t="str">
        <f t="shared" si="135"/>
        <v/>
      </c>
      <c r="AM258">
        <f t="shared" si="136"/>
        <v>4</v>
      </c>
      <c r="AN258" s="85">
        <f>SUM($AD$6:AD258)</f>
        <v>0</v>
      </c>
      <c r="AO258" s="85">
        <f t="shared" ca="1" si="155"/>
        <v>0</v>
      </c>
      <c r="AP258" s="89">
        <f t="shared" si="156"/>
        <v>0</v>
      </c>
      <c r="AQ258" s="89">
        <f t="shared" si="157"/>
        <v>0</v>
      </c>
      <c r="AR258" s="89">
        <f t="shared" si="158"/>
        <v>0</v>
      </c>
      <c r="AS258" s="88">
        <f t="shared" si="159"/>
        <v>30</v>
      </c>
      <c r="AT258" s="88">
        <f t="shared" ca="1" si="160"/>
        <v>30</v>
      </c>
      <c r="AU258" s="98">
        <f t="shared" si="161"/>
        <v>0</v>
      </c>
      <c r="AV258" s="88">
        <f t="shared" si="162"/>
        <v>0</v>
      </c>
      <c r="AW258" t="b">
        <f>OR((F258&gt;0),(NOT(ISBLANK(H258))),SUM(H258:H$373),SUM(G258:G$373))</f>
        <v>0</v>
      </c>
      <c r="AX258" t="b">
        <f t="shared" ca="1" si="137"/>
        <v>0</v>
      </c>
      <c r="AY258" s="519">
        <f t="shared" si="163"/>
        <v>-0.29166666666666669</v>
      </c>
      <c r="AZ258" s="180">
        <f>SUM(AY$5:AY258)</f>
        <v>-50.458333333333236</v>
      </c>
      <c r="BA258" s="567"/>
      <c r="BB258" s="567">
        <f t="shared" si="138"/>
        <v>0</v>
      </c>
      <c r="BC258" s="567"/>
    </row>
    <row r="259" spans="1:55" ht="15.75">
      <c r="A259" s="260">
        <f t="shared" si="164"/>
        <v>45087</v>
      </c>
      <c r="B259" s="261">
        <f t="shared" si="139"/>
        <v>45087</v>
      </c>
      <c r="C259" s="262">
        <f>IF(A259="","",NumberOfWeek(A259))</f>
        <v>23</v>
      </c>
      <c r="D259" s="263">
        <f t="shared" si="140"/>
        <v>45077</v>
      </c>
      <c r="E259" s="273" t="str">
        <f t="shared" si="141"/>
        <v/>
      </c>
      <c r="F259" s="5"/>
      <c r="G259" s="6" t="str">
        <f t="shared" si="126"/>
        <v/>
      </c>
      <c r="H259" s="7"/>
      <c r="I259" s="7">
        <f t="shared" si="142"/>
        <v>0</v>
      </c>
      <c r="J259" s="76">
        <f t="shared" si="143"/>
        <v>0</v>
      </c>
      <c r="K259" s="7"/>
      <c r="L259" s="7">
        <f t="shared" si="144"/>
        <v>0</v>
      </c>
      <c r="M259" s="76">
        <f t="shared" si="127"/>
        <v>0</v>
      </c>
      <c r="N259" s="76"/>
      <c r="O259" s="76">
        <f t="shared" si="128"/>
        <v>0</v>
      </c>
      <c r="P259" s="76"/>
      <c r="Q259" s="76">
        <f t="shared" si="129"/>
        <v>0</v>
      </c>
      <c r="R259" s="76">
        <f t="shared" si="145"/>
        <v>0</v>
      </c>
      <c r="S259" s="76">
        <f t="shared" si="146"/>
        <v>0</v>
      </c>
      <c r="T259" s="76">
        <f t="shared" si="147"/>
        <v>0</v>
      </c>
      <c r="U259" s="76">
        <f t="shared" si="148"/>
        <v>0</v>
      </c>
      <c r="V259" s="109">
        <f t="shared" si="149"/>
        <v>0</v>
      </c>
      <c r="W259" s="62"/>
      <c r="X259" s="78">
        <f t="shared" si="130"/>
        <v>3.125E-2</v>
      </c>
      <c r="Y259" s="73">
        <f t="shared" si="150"/>
        <v>0</v>
      </c>
      <c r="Z259" s="74">
        <f t="shared" si="151"/>
        <v>0.29166666666666669</v>
      </c>
      <c r="AA259" s="75">
        <f t="shared" si="152"/>
        <v>0</v>
      </c>
      <c r="AB259" s="63" t="str">
        <f t="shared" si="153"/>
        <v/>
      </c>
      <c r="AC259" s="148">
        <f t="shared" si="131"/>
        <v>0</v>
      </c>
      <c r="AD259" s="107" t="str">
        <f t="shared" si="132"/>
        <v/>
      </c>
      <c r="AE259" s="180">
        <f t="shared" si="154"/>
        <v>0</v>
      </c>
      <c r="AF259" s="73"/>
      <c r="AG259" s="525"/>
      <c r="AH259" s="73"/>
      <c r="AI259" s="73" t="str">
        <f t="shared" si="165"/>
        <v/>
      </c>
      <c r="AJ259" s="64">
        <f t="shared" si="133"/>
        <v>0</v>
      </c>
      <c r="AK259" s="64">
        <f t="shared" si="134"/>
        <v>0</v>
      </c>
      <c r="AL259" s="64" t="str">
        <f t="shared" si="135"/>
        <v/>
      </c>
      <c r="AM259">
        <f t="shared" si="136"/>
        <v>5</v>
      </c>
      <c r="AN259" s="85">
        <f>SUM($AD$6:AD259)</f>
        <v>0</v>
      </c>
      <c r="AO259" s="85">
        <f t="shared" ca="1" si="155"/>
        <v>0</v>
      </c>
      <c r="AP259" s="89">
        <f t="shared" si="156"/>
        <v>0</v>
      </c>
      <c r="AQ259" s="89">
        <f t="shared" si="157"/>
        <v>0</v>
      </c>
      <c r="AR259" s="89">
        <f t="shared" si="158"/>
        <v>0</v>
      </c>
      <c r="AS259" s="88">
        <f t="shared" si="159"/>
        <v>30</v>
      </c>
      <c r="AT259" s="88">
        <f t="shared" ca="1" si="160"/>
        <v>30</v>
      </c>
      <c r="AU259" s="98">
        <f t="shared" si="161"/>
        <v>0</v>
      </c>
      <c r="AV259" s="88">
        <f t="shared" si="162"/>
        <v>0</v>
      </c>
      <c r="AW259" t="b">
        <f>OR((F259&gt;0),(NOT(ISBLANK(H259))),SUM(H259:H$373),SUM(G259:G$373))</f>
        <v>0</v>
      </c>
      <c r="AX259" t="b">
        <f t="shared" ca="1" si="137"/>
        <v>0</v>
      </c>
      <c r="AY259" s="519">
        <f t="shared" si="163"/>
        <v>-0.29166666666666669</v>
      </c>
      <c r="AZ259" s="180">
        <f>SUM(AY$5:AY259)</f>
        <v>-50.749999999999901</v>
      </c>
      <c r="BA259" s="567"/>
      <c r="BB259" s="567">
        <f t="shared" si="138"/>
        <v>0</v>
      </c>
      <c r="BC259" s="567"/>
    </row>
    <row r="260" spans="1:55" ht="15.75">
      <c r="A260" s="260">
        <f t="shared" si="164"/>
        <v>45088</v>
      </c>
      <c r="B260" s="261">
        <f t="shared" si="139"/>
        <v>45088</v>
      </c>
      <c r="C260" s="262">
        <f>IF(A260="","",NumberOfWeek(A260))</f>
        <v>23</v>
      </c>
      <c r="D260" s="263">
        <f t="shared" si="140"/>
        <v>45077</v>
      </c>
      <c r="E260" s="273" t="str">
        <f t="shared" si="141"/>
        <v/>
      </c>
      <c r="F260" s="5"/>
      <c r="G260" s="6" t="str">
        <f t="shared" si="126"/>
        <v/>
      </c>
      <c r="H260" s="7"/>
      <c r="I260" s="7">
        <f t="shared" si="142"/>
        <v>0</v>
      </c>
      <c r="J260" s="76">
        <f t="shared" si="143"/>
        <v>0</v>
      </c>
      <c r="K260" s="7"/>
      <c r="L260" s="7">
        <f t="shared" si="144"/>
        <v>0</v>
      </c>
      <c r="M260" s="76">
        <f t="shared" si="127"/>
        <v>0</v>
      </c>
      <c r="N260" s="76"/>
      <c r="O260" s="76">
        <f t="shared" si="128"/>
        <v>0</v>
      </c>
      <c r="P260" s="76"/>
      <c r="Q260" s="76">
        <f t="shared" si="129"/>
        <v>0</v>
      </c>
      <c r="R260" s="76">
        <f t="shared" si="145"/>
        <v>0</v>
      </c>
      <c r="S260" s="76">
        <f t="shared" si="146"/>
        <v>0</v>
      </c>
      <c r="T260" s="76">
        <f t="shared" si="147"/>
        <v>0</v>
      </c>
      <c r="U260" s="76">
        <f t="shared" si="148"/>
        <v>0</v>
      </c>
      <c r="V260" s="109">
        <f t="shared" si="149"/>
        <v>0</v>
      </c>
      <c r="W260" s="62"/>
      <c r="X260" s="78">
        <f t="shared" si="130"/>
        <v>3.125E-2</v>
      </c>
      <c r="Y260" s="73">
        <f t="shared" si="150"/>
        <v>0</v>
      </c>
      <c r="Z260" s="74">
        <f t="shared" si="151"/>
        <v>0</v>
      </c>
      <c r="AA260" s="75">
        <f t="shared" si="152"/>
        <v>0</v>
      </c>
      <c r="AB260" s="63" t="str">
        <f t="shared" si="153"/>
        <v/>
      </c>
      <c r="AC260" s="148">
        <f t="shared" si="131"/>
        <v>0</v>
      </c>
      <c r="AD260" s="107" t="str">
        <f t="shared" si="132"/>
        <v/>
      </c>
      <c r="AE260" s="180">
        <f t="shared" si="154"/>
        <v>0</v>
      </c>
      <c r="AF260" s="73"/>
      <c r="AG260" s="525"/>
      <c r="AH260" s="73"/>
      <c r="AI260" s="73" t="str">
        <f t="shared" si="165"/>
        <v/>
      </c>
      <c r="AJ260" s="64">
        <f t="shared" si="133"/>
        <v>0</v>
      </c>
      <c r="AK260" s="64">
        <f t="shared" si="134"/>
        <v>0</v>
      </c>
      <c r="AL260" s="64" t="str">
        <f t="shared" si="135"/>
        <v/>
      </c>
      <c r="AM260">
        <f t="shared" si="136"/>
        <v>6</v>
      </c>
      <c r="AN260" s="85">
        <f>SUM($AD$6:AD260)</f>
        <v>0</v>
      </c>
      <c r="AO260" s="85">
        <f t="shared" ca="1" si="155"/>
        <v>0</v>
      </c>
      <c r="AP260" s="89">
        <f t="shared" si="156"/>
        <v>0</v>
      </c>
      <c r="AQ260" s="89">
        <f t="shared" si="157"/>
        <v>0</v>
      </c>
      <c r="AR260" s="89">
        <f t="shared" si="158"/>
        <v>0</v>
      </c>
      <c r="AS260" s="88">
        <f t="shared" si="159"/>
        <v>30</v>
      </c>
      <c r="AT260" s="88">
        <f t="shared" ca="1" si="160"/>
        <v>30</v>
      </c>
      <c r="AU260" s="98">
        <f t="shared" si="161"/>
        <v>0</v>
      </c>
      <c r="AV260" s="88">
        <f t="shared" si="162"/>
        <v>7</v>
      </c>
      <c r="AW260" t="b">
        <f>OR((F260&gt;0),(NOT(ISBLANK(H260))),SUM(H260:H$373),SUM(G260:G$373))</f>
        <v>0</v>
      </c>
      <c r="AX260" t="b">
        <f t="shared" ca="1" si="137"/>
        <v>1</v>
      </c>
      <c r="AY260" s="519">
        <f t="shared" si="163"/>
        <v>0</v>
      </c>
      <c r="AZ260" s="180">
        <f>SUM(AY$5:AY260)</f>
        <v>-50.749999999999901</v>
      </c>
      <c r="BA260" s="567"/>
      <c r="BB260" s="567">
        <f t="shared" si="138"/>
        <v>0</v>
      </c>
      <c r="BC260" s="567"/>
    </row>
    <row r="261" spans="1:55" ht="15.75">
      <c r="A261" s="260">
        <f t="shared" si="164"/>
        <v>45089</v>
      </c>
      <c r="B261" s="261">
        <f t="shared" si="139"/>
        <v>45089</v>
      </c>
      <c r="C261" s="262">
        <f>IF(A261="","",NumberOfWeek(A261))</f>
        <v>23</v>
      </c>
      <c r="D261" s="263">
        <f t="shared" si="140"/>
        <v>45077</v>
      </c>
      <c r="E261" s="273" t="str">
        <f t="shared" si="141"/>
        <v/>
      </c>
      <c r="F261" s="5"/>
      <c r="G261" s="6" t="str">
        <f t="shared" ref="G261:G324" si="166">IF(ISBLANK(F261),IF(ISBLANK(H261),"",0),CODE(UPPER(F261)))</f>
        <v/>
      </c>
      <c r="H261" s="7"/>
      <c r="I261" s="7">
        <f t="shared" si="142"/>
        <v>0</v>
      </c>
      <c r="J261" s="76">
        <f t="shared" si="143"/>
        <v>0</v>
      </c>
      <c r="K261" s="7"/>
      <c r="L261" s="7">
        <f t="shared" si="144"/>
        <v>0</v>
      </c>
      <c r="M261" s="76">
        <f t="shared" ref="M261:M324" si="167">IF(L261&lt;K261,L261+1,L261)</f>
        <v>0</v>
      </c>
      <c r="N261" s="76"/>
      <c r="O261" s="76">
        <f t="shared" ref="O261:O324" si="168">IF(N261&gt;0,N261+IF((J261-H261+M261-K261)&lt;Y261,Y261-(J261-H261+M261-K261),TIME(0,10,0))+IF((K261-J261+N261-M261)&gt;xNoWorkTime,0,xNoWorkTime-(K261-J261+N261-M261)),0)</f>
        <v>0</v>
      </c>
      <c r="P261" s="76"/>
      <c r="Q261" s="76">
        <f t="shared" ref="Q261:Q324" si="169">IF(O261&lt;N261,O261+1,O261)</f>
        <v>0</v>
      </c>
      <c r="R261" s="76">
        <f t="shared" si="145"/>
        <v>0</v>
      </c>
      <c r="S261" s="76">
        <f t="shared" si="146"/>
        <v>0</v>
      </c>
      <c r="T261" s="76">
        <f t="shared" si="147"/>
        <v>0</v>
      </c>
      <c r="U261" s="76">
        <f t="shared" si="148"/>
        <v>0</v>
      </c>
      <c r="V261" s="109">
        <f t="shared" si="149"/>
        <v>0</v>
      </c>
      <c r="W261" s="62"/>
      <c r="X261" s="78">
        <f t="shared" ref="X261:X324" si="170">xNoWorkTime</f>
        <v>3.125E-2</v>
      </c>
      <c r="Y261" s="73">
        <f t="shared" si="150"/>
        <v>0</v>
      </c>
      <c r="Z261" s="74">
        <f t="shared" si="151"/>
        <v>0</v>
      </c>
      <c r="AA261" s="75">
        <f t="shared" si="152"/>
        <v>0</v>
      </c>
      <c r="AB261" s="63" t="str">
        <f t="shared" si="153"/>
        <v/>
      </c>
      <c r="AC261" s="148">
        <f t="shared" ref="AC261:AC324" si="171">xOverTime</f>
        <v>0</v>
      </c>
      <c r="AD261" s="107" t="str">
        <f t="shared" ref="AD261:AD324" si="172">IF((R261-U261)&gt;XWorkTimeMax,(R261-U261-XWorkTimeMax),"")</f>
        <v/>
      </c>
      <c r="AE261" s="180">
        <f t="shared" si="154"/>
        <v>0</v>
      </c>
      <c r="AF261" s="73"/>
      <c r="AG261" s="525"/>
      <c r="AH261" s="73"/>
      <c r="AI261" s="73" t="str">
        <f t="shared" si="165"/>
        <v/>
      </c>
      <c r="AJ261" s="64">
        <f t="shared" ref="AJ261:AJ324" si="173">IF(ISNUMBER(V261 ), IF( V261 &gt;= Y261, Y261, V261 ),"")</f>
        <v>0</v>
      </c>
      <c r="AK261" s="64">
        <f t="shared" ref="AK261:AK324" si="174">IF( ISNUMBER( V261 ), IF( V261 &gt;= Y261, V261 - Y261, "" ), "" )</f>
        <v>0</v>
      </c>
      <c r="AL261" s="64" t="str">
        <f t="shared" ref="AL261:AL324" si="175">IF( AND(ISNUMBER( V261 ),ISNUMBER( Y261 )), IF( V261 &gt;= Y261, "", Y261 - V261 ), "" )</f>
        <v/>
      </c>
      <c r="AM261">
        <f t="shared" ref="AM261:AM324" si="176">IF(A261="",0,IF(ISERROR(VLOOKUP(A261,db_Feiertag,2,FALSE)),WEEKDAY(A261,2),Feiertag))</f>
        <v>7</v>
      </c>
      <c r="AN261" s="85">
        <f>SUM($AD$6:AD261)</f>
        <v>0</v>
      </c>
      <c r="AO261" s="85">
        <f t="shared" ca="1" si="155"/>
        <v>0</v>
      </c>
      <c r="AP261" s="89">
        <f t="shared" si="156"/>
        <v>0</v>
      </c>
      <c r="AQ261" s="89">
        <f t="shared" si="157"/>
        <v>0</v>
      </c>
      <c r="AR261" s="89">
        <f t="shared" si="158"/>
        <v>0</v>
      </c>
      <c r="AS261" s="88">
        <f t="shared" si="159"/>
        <v>30</v>
      </c>
      <c r="AT261" s="88">
        <f t="shared" ca="1" si="160"/>
        <v>30</v>
      </c>
      <c r="AU261" s="98">
        <f t="shared" si="161"/>
        <v>0</v>
      </c>
      <c r="AV261" s="88">
        <f t="shared" si="162"/>
        <v>7</v>
      </c>
      <c r="AW261" t="b">
        <f>OR((F261&gt;0),(NOT(ISBLANK(H261))),SUM(H261:H$373),SUM(G261:G$373))</f>
        <v>0</v>
      </c>
      <c r="AX261" t="b">
        <f t="shared" ref="AX261:AX324" ca="1" si="177">INDIRECT(ADDRESS(ROW(),COLUMN(xDay)))&gt;5</f>
        <v>1</v>
      </c>
      <c r="AY261" s="519">
        <f t="shared" si="163"/>
        <v>0</v>
      </c>
      <c r="AZ261" s="180">
        <f>SUM(AY$5:AY261)</f>
        <v>-50.749999999999901</v>
      </c>
      <c r="BA261" s="567"/>
      <c r="BB261" s="567">
        <f t="shared" ref="BB261:BB324" si="178">IF(ISNA(MATCH(BA261,B_Arbeitsort,0)),0,MATCH(BA261,B_Arbeitsort,0))</f>
        <v>0</v>
      </c>
      <c r="BC261" s="567"/>
    </row>
    <row r="262" spans="1:55" ht="15.75">
      <c r="A262" s="260">
        <f t="shared" si="164"/>
        <v>45090</v>
      </c>
      <c r="B262" s="261">
        <f t="shared" ref="B262:B325" si="179">IF(A262="","",A262)</f>
        <v>45090</v>
      </c>
      <c r="C262" s="262">
        <f>IF(A262="","",NumberOfWeek(A262))</f>
        <v>24</v>
      </c>
      <c r="D262" s="263">
        <f t="shared" ref="D262:D325" si="180">IF(A262="","",DATE(YEAR(A262),MONTH(A262),1))</f>
        <v>45077</v>
      </c>
      <c r="E262" s="273" t="str">
        <f t="shared" ref="E262:E325" si="181">IF((R262-U262)&gt;XWorkTimeMax,$Z$4,IF(AV262=Feiertag,VLOOKUP(B262,db_Feiertag,2,FALSE),""))</f>
        <v/>
      </c>
      <c r="F262" s="5"/>
      <c r="G262" s="6" t="str">
        <f t="shared" si="166"/>
        <v/>
      </c>
      <c r="H262" s="7"/>
      <c r="I262" s="7">
        <f t="shared" ref="I262:I325" si="182">IF(H262&gt;0,H262+Y262+X262+AC262,0)</f>
        <v>0</v>
      </c>
      <c r="J262" s="76">
        <f t="shared" ref="J262:J325" si="183">IF(K262&gt;I262,IF(I262&lt;H262,I262+1,I262)-B_WalkTime,IF(I262&lt;H262,I262+1,I262))</f>
        <v>0</v>
      </c>
      <c r="K262" s="7"/>
      <c r="L262" s="7">
        <f t="shared" ref="L262:L325" si="184">IF(K262&gt;0,K262+IF((J262-H262)&lt;Y262,Y262-(J262-H262),TIME(0,10,0))+IF((K262-J262)&gt;xNoWorkTime,0,xNoWorkTime-(K262-J262)),0)</f>
        <v>0</v>
      </c>
      <c r="M262" s="76">
        <f t="shared" si="167"/>
        <v>0</v>
      </c>
      <c r="N262" s="76"/>
      <c r="O262" s="76">
        <f t="shared" si="168"/>
        <v>0</v>
      </c>
      <c r="P262" s="76"/>
      <c r="Q262" s="76">
        <f t="shared" si="169"/>
        <v>0</v>
      </c>
      <c r="R262" s="76">
        <f t="shared" ref="R262:R325" si="185">J262-H262+M262-K262+Q262-N262</f>
        <v>0</v>
      </c>
      <c r="S262" s="76">
        <f t="shared" ref="S262:S325" si="186">IF(K262&gt;0,K262-I262,0)+IF(N262&gt;0,N262-L262)</f>
        <v>0</v>
      </c>
      <c r="T262" s="76">
        <f t="shared" ref="T262:T325" si="187">IF(H262&gt;0,(IF(R262&gt;B_Pause1Nach,B_Pause1Dauer+IF(BA262="Büro",B_WalkTime,0),IF(BA262="Büro",B_WalkTime,0))+IF(R262&gt;B_Pause2Nach,B_Pause2Dauer,0)),0)</f>
        <v>0</v>
      </c>
      <c r="U262" s="76">
        <f t="shared" ref="U262:U325" si="188">IF(T262&gt;S262,T262-S262,0)</f>
        <v>0</v>
      </c>
      <c r="V262" s="109">
        <f t="shared" ref="V262:V325" si="189">IF(F262="S",Z262,(IF((R262-U262)&gt;XWorkTimeMax,XWorkTimeMax,IF((R262-U262)&gt;0,R262-U262,0))))</f>
        <v>0</v>
      </c>
      <c r="W262" s="62"/>
      <c r="X262" s="78">
        <f t="shared" si="170"/>
        <v>3.125E-2</v>
      </c>
      <c r="Y262" s="73">
        <f t="shared" ref="Y262:Y325" si="190">IF(AND((AM262&lt;Feiertag),(G262&lt;&gt;85)),IF(OR(F262="B",F262="G",F262="S",H262&gt;0),H262-H262+Z262,0),0)</f>
        <v>0</v>
      </c>
      <c r="Z262" s="74">
        <f t="shared" ref="Z262:Z325" si="191">IF(AND(AM262&gt;0,AM262&lt;Feiertag),INDEX(Arbeitszeit,AM262),"")</f>
        <v>0.29166666666666669</v>
      </c>
      <c r="AA262" s="75">
        <f t="shared" ref="AA262:AA325" si="192">V262-Y262</f>
        <v>0</v>
      </c>
      <c r="AB262" s="63" t="str">
        <f t="shared" ref="AB262:AB325" si="193">IF((V262-Y262)&lt;0,"*","")</f>
        <v/>
      </c>
      <c r="AC262" s="148">
        <f t="shared" si="171"/>
        <v>0</v>
      </c>
      <c r="AD262" s="107" t="str">
        <f t="shared" si="172"/>
        <v/>
      </c>
      <c r="AE262" s="180">
        <f t="shared" ref="AE262:AE325" si="194">IF(AW262,(AE261+SUM(AA262)+(IF(AG262="+",AF262,-AF262))),)</f>
        <v>0</v>
      </c>
      <c r="AF262" s="73"/>
      <c r="AG262" s="525"/>
      <c r="AH262" s="73"/>
      <c r="AI262" s="73" t="str">
        <f t="shared" si="165"/>
        <v/>
      </c>
      <c r="AJ262" s="64">
        <f t="shared" si="173"/>
        <v>0</v>
      </c>
      <c r="AK262" s="64">
        <f t="shared" si="174"/>
        <v>0</v>
      </c>
      <c r="AL262" s="64" t="str">
        <f t="shared" si="175"/>
        <v/>
      </c>
      <c r="AM262">
        <f t="shared" si="176"/>
        <v>1</v>
      </c>
      <c r="AN262" s="85">
        <f>SUM($AD$6:AD262)</f>
        <v>0</v>
      </c>
      <c r="AO262" s="85">
        <f t="shared" ref="AO262:AO325" ca="1" si="195">IF(D262=D261,AO261,OFFSET(AO262,-1,COLUMN(db_jSaldoGes)-COLUMN()))</f>
        <v>0</v>
      </c>
      <c r="AP262" s="89">
        <f t="shared" ref="AP262:AP325" si="196">IF(OR($G262=-1,$G262=82),-1,IF(OR($G262=0,$G262=83),1,0))</f>
        <v>0</v>
      </c>
      <c r="AQ262" s="89">
        <f t="shared" ref="AQ262:AQ325" si="197">IF($F262=Krank,1,IF($F262="J",-1,0))</f>
        <v>0</v>
      </c>
      <c r="AR262" s="89">
        <f t="shared" ref="AR262:AR325" si="198">IF($F262=Urlaub,1,IF($F262="T",-1,0))</f>
        <v>0</v>
      </c>
      <c r="AS262" s="88">
        <f t="shared" ref="AS262:AS325" si="199">IF(A262="","",AS261-IF(F262=Urlaub,1,0)+IF(AND(MONTH(A262)=1,DAY(A262)=1),B_UrlaubNeu,0))</f>
        <v>30</v>
      </c>
      <c r="AT262" s="88">
        <f t="shared" ref="AT262:AT325" ca="1" si="200">IF(A262="","",IF(D262=D261,AT261,OFFSET(AT262,-1,COLUMN(db_jUrlRest)-COLUMN()))+IF(AND(MONTH(A262)=1,DAY(A262)=1),B_UrlaubNeu,0))</f>
        <v>30</v>
      </c>
      <c r="AU262" s="98">
        <f t="shared" ref="AU262:AU325" si="201">(IF(ISNUMBER(V262),V262,0)+IF(ISNUMBER(AD262),AD262,0))*24</f>
        <v>0</v>
      </c>
      <c r="AV262" s="88">
        <f t="shared" ref="AV262:AV325" si="202">IF(ISNUMBER(AD262),K_ArbeitOverMax,IF(AND(ISNUMBER(AA262),AA262&gt;0),K_ArbeitOverTime,IF(AND(ISNUMBER(V262),V262&gt;0),K_ArbeitNormal,IF(F262=Krank,K_Krank,IF(F262=Urlaub,K_Urlaub,IF(AM262=Feiertag,K_Feiertag,IF(OR(AM262=6,AM262=7),K_Wochenende,0)))))))+IF(F262=Gleittag,K_Gleittag,0)</f>
        <v>0</v>
      </c>
      <c r="AW262" t="b">
        <f>OR((F262&gt;0),(NOT(ISBLANK(H262))),SUM(H262:H$373),SUM(G262:G$373))</f>
        <v>0</v>
      </c>
      <c r="AX262" t="b">
        <f t="shared" ca="1" si="177"/>
        <v>0</v>
      </c>
      <c r="AY262" s="519">
        <f t="shared" ref="AY262:AY325" si="203">IF(OR(R262&lt;&gt;0,F262&lt;&gt;0),AA262,IF(Z262="",0,-Z262))+(IF(AG262="+",AF262,-AF262))</f>
        <v>-0.29166666666666669</v>
      </c>
      <c r="AZ262" s="180">
        <f>SUM(AY$5:AY262)</f>
        <v>-51.041666666666565</v>
      </c>
      <c r="BA262" s="567"/>
      <c r="BB262" s="567">
        <f t="shared" si="178"/>
        <v>0</v>
      </c>
      <c r="BC262" s="567"/>
    </row>
    <row r="263" spans="1:55" ht="15.75">
      <c r="A263" s="260">
        <f t="shared" ref="A263:A326" si="204">IF(A262="","",IF((A262+1)&gt;=DATE(YEAR(xJahr)+1,MONTH(xJahr),DAY(xJahr)),"",A262+1))</f>
        <v>45091</v>
      </c>
      <c r="B263" s="261">
        <f t="shared" si="179"/>
        <v>45091</v>
      </c>
      <c r="C263" s="262">
        <f>IF(A263="","",NumberOfWeek(A263))</f>
        <v>24</v>
      </c>
      <c r="D263" s="263">
        <f t="shared" si="180"/>
        <v>45077</v>
      </c>
      <c r="E263" s="273" t="str">
        <f t="shared" si="181"/>
        <v/>
      </c>
      <c r="F263" s="5"/>
      <c r="G263" s="6" t="str">
        <f t="shared" si="166"/>
        <v/>
      </c>
      <c r="H263" s="7"/>
      <c r="I263" s="7">
        <f t="shared" si="182"/>
        <v>0</v>
      </c>
      <c r="J263" s="76">
        <f t="shared" si="183"/>
        <v>0</v>
      </c>
      <c r="K263" s="7"/>
      <c r="L263" s="7">
        <f t="shared" si="184"/>
        <v>0</v>
      </c>
      <c r="M263" s="76">
        <f t="shared" si="167"/>
        <v>0</v>
      </c>
      <c r="N263" s="76"/>
      <c r="O263" s="76">
        <f t="shared" si="168"/>
        <v>0</v>
      </c>
      <c r="P263" s="76"/>
      <c r="Q263" s="76">
        <f t="shared" si="169"/>
        <v>0</v>
      </c>
      <c r="R263" s="76">
        <f t="shared" si="185"/>
        <v>0</v>
      </c>
      <c r="S263" s="76">
        <f t="shared" si="186"/>
        <v>0</v>
      </c>
      <c r="T263" s="76">
        <f t="shared" si="187"/>
        <v>0</v>
      </c>
      <c r="U263" s="76">
        <f t="shared" si="188"/>
        <v>0</v>
      </c>
      <c r="V263" s="109">
        <f t="shared" si="189"/>
        <v>0</v>
      </c>
      <c r="W263" s="62"/>
      <c r="X263" s="78">
        <f t="shared" si="170"/>
        <v>3.125E-2</v>
      </c>
      <c r="Y263" s="73">
        <f t="shared" si="190"/>
        <v>0</v>
      </c>
      <c r="Z263" s="74">
        <f t="shared" si="191"/>
        <v>0.29166666666666669</v>
      </c>
      <c r="AA263" s="75">
        <f t="shared" si="192"/>
        <v>0</v>
      </c>
      <c r="AB263" s="63" t="str">
        <f t="shared" si="193"/>
        <v/>
      </c>
      <c r="AC263" s="148">
        <f t="shared" si="171"/>
        <v>0</v>
      </c>
      <c r="AD263" s="107" t="str">
        <f t="shared" si="172"/>
        <v/>
      </c>
      <c r="AE263" s="180">
        <f t="shared" si="194"/>
        <v>0</v>
      </c>
      <c r="AF263" s="73"/>
      <c r="AG263" s="525"/>
      <c r="AH263" s="73"/>
      <c r="AI263" s="73" t="str">
        <f t="shared" si="165"/>
        <v/>
      </c>
      <c r="AJ263" s="64">
        <f t="shared" si="173"/>
        <v>0</v>
      </c>
      <c r="AK263" s="64">
        <f t="shared" si="174"/>
        <v>0</v>
      </c>
      <c r="AL263" s="64" t="str">
        <f t="shared" si="175"/>
        <v/>
      </c>
      <c r="AM263">
        <f t="shared" si="176"/>
        <v>2</v>
      </c>
      <c r="AN263" s="85">
        <f>SUM($AD$6:AD263)</f>
        <v>0</v>
      </c>
      <c r="AO263" s="85">
        <f t="shared" ca="1" si="195"/>
        <v>0</v>
      </c>
      <c r="AP263" s="89">
        <f t="shared" si="196"/>
        <v>0</v>
      </c>
      <c r="AQ263" s="89">
        <f t="shared" si="197"/>
        <v>0</v>
      </c>
      <c r="AR263" s="89">
        <f t="shared" si="198"/>
        <v>0</v>
      </c>
      <c r="AS263" s="88">
        <f t="shared" si="199"/>
        <v>30</v>
      </c>
      <c r="AT263" s="88">
        <f t="shared" ca="1" si="200"/>
        <v>30</v>
      </c>
      <c r="AU263" s="98">
        <f t="shared" si="201"/>
        <v>0</v>
      </c>
      <c r="AV263" s="88">
        <f t="shared" si="202"/>
        <v>0</v>
      </c>
      <c r="AW263" t="b">
        <f>OR((F263&gt;0),(NOT(ISBLANK(H263))),SUM(H263:H$373),SUM(G263:G$373))</f>
        <v>0</v>
      </c>
      <c r="AX263" t="b">
        <f t="shared" ca="1" si="177"/>
        <v>0</v>
      </c>
      <c r="AY263" s="519">
        <f t="shared" si="203"/>
        <v>-0.29166666666666669</v>
      </c>
      <c r="AZ263" s="180">
        <f>SUM(AY$5:AY263)</f>
        <v>-51.333333333333229</v>
      </c>
      <c r="BA263" s="567"/>
      <c r="BB263" s="567">
        <f t="shared" si="178"/>
        <v>0</v>
      </c>
      <c r="BC263" s="567"/>
    </row>
    <row r="264" spans="1:55" ht="15.75">
      <c r="A264" s="260">
        <f t="shared" si="204"/>
        <v>45092</v>
      </c>
      <c r="B264" s="261">
        <f t="shared" si="179"/>
        <v>45092</v>
      </c>
      <c r="C264" s="262">
        <f>IF(A264="","",NumberOfWeek(A264))</f>
        <v>24</v>
      </c>
      <c r="D264" s="263">
        <f t="shared" si="180"/>
        <v>45077</v>
      </c>
      <c r="E264" s="273" t="str">
        <f t="shared" si="181"/>
        <v/>
      </c>
      <c r="F264" s="5"/>
      <c r="G264" s="6" t="str">
        <f t="shared" si="166"/>
        <v/>
      </c>
      <c r="H264" s="7"/>
      <c r="I264" s="7">
        <f t="shared" si="182"/>
        <v>0</v>
      </c>
      <c r="J264" s="76">
        <f t="shared" si="183"/>
        <v>0</v>
      </c>
      <c r="K264" s="7"/>
      <c r="L264" s="7">
        <f t="shared" si="184"/>
        <v>0</v>
      </c>
      <c r="M264" s="76">
        <f t="shared" si="167"/>
        <v>0</v>
      </c>
      <c r="N264" s="76"/>
      <c r="O264" s="76">
        <f t="shared" si="168"/>
        <v>0</v>
      </c>
      <c r="P264" s="76"/>
      <c r="Q264" s="76">
        <f t="shared" si="169"/>
        <v>0</v>
      </c>
      <c r="R264" s="76">
        <f t="shared" si="185"/>
        <v>0</v>
      </c>
      <c r="S264" s="76">
        <f t="shared" si="186"/>
        <v>0</v>
      </c>
      <c r="T264" s="76">
        <f t="shared" si="187"/>
        <v>0</v>
      </c>
      <c r="U264" s="76">
        <f t="shared" si="188"/>
        <v>0</v>
      </c>
      <c r="V264" s="109">
        <f t="shared" si="189"/>
        <v>0</v>
      </c>
      <c r="W264" s="62"/>
      <c r="X264" s="78">
        <f t="shared" si="170"/>
        <v>3.125E-2</v>
      </c>
      <c r="Y264" s="73">
        <f t="shared" si="190"/>
        <v>0</v>
      </c>
      <c r="Z264" s="74">
        <f t="shared" si="191"/>
        <v>0.29166666666666669</v>
      </c>
      <c r="AA264" s="75">
        <f t="shared" si="192"/>
        <v>0</v>
      </c>
      <c r="AB264" s="63" t="str">
        <f t="shared" si="193"/>
        <v/>
      </c>
      <c r="AC264" s="148">
        <f t="shared" si="171"/>
        <v>0</v>
      </c>
      <c r="AD264" s="107" t="str">
        <f t="shared" si="172"/>
        <v/>
      </c>
      <c r="AE264" s="180">
        <f t="shared" si="194"/>
        <v>0</v>
      </c>
      <c r="AF264" s="73"/>
      <c r="AG264" s="525"/>
      <c r="AH264" s="73"/>
      <c r="AI264" s="73" t="str">
        <f t="shared" si="165"/>
        <v/>
      </c>
      <c r="AJ264" s="64">
        <f t="shared" si="173"/>
        <v>0</v>
      </c>
      <c r="AK264" s="64">
        <f t="shared" si="174"/>
        <v>0</v>
      </c>
      <c r="AL264" s="64" t="str">
        <f t="shared" si="175"/>
        <v/>
      </c>
      <c r="AM264">
        <f t="shared" si="176"/>
        <v>3</v>
      </c>
      <c r="AN264" s="85">
        <f>SUM($AD$6:AD264)</f>
        <v>0</v>
      </c>
      <c r="AO264" s="85">
        <f t="shared" ca="1" si="195"/>
        <v>0</v>
      </c>
      <c r="AP264" s="89">
        <f t="shared" si="196"/>
        <v>0</v>
      </c>
      <c r="AQ264" s="89">
        <f t="shared" si="197"/>
        <v>0</v>
      </c>
      <c r="AR264" s="89">
        <f t="shared" si="198"/>
        <v>0</v>
      </c>
      <c r="AS264" s="88">
        <f t="shared" si="199"/>
        <v>30</v>
      </c>
      <c r="AT264" s="88">
        <f t="shared" ca="1" si="200"/>
        <v>30</v>
      </c>
      <c r="AU264" s="98">
        <f t="shared" si="201"/>
        <v>0</v>
      </c>
      <c r="AV264" s="88">
        <f t="shared" si="202"/>
        <v>0</v>
      </c>
      <c r="AW264" t="b">
        <f>OR((F264&gt;0),(NOT(ISBLANK(H264))),SUM(H264:H$373),SUM(G264:G$373))</f>
        <v>0</v>
      </c>
      <c r="AX264" t="b">
        <f t="shared" ca="1" si="177"/>
        <v>0</v>
      </c>
      <c r="AY264" s="519">
        <f t="shared" si="203"/>
        <v>-0.29166666666666669</v>
      </c>
      <c r="AZ264" s="180">
        <f>SUM(AY$5:AY264)</f>
        <v>-51.624999999999893</v>
      </c>
      <c r="BA264" s="567"/>
      <c r="BB264" s="567">
        <f t="shared" si="178"/>
        <v>0</v>
      </c>
      <c r="BC264" s="567"/>
    </row>
    <row r="265" spans="1:55" ht="15.75">
      <c r="A265" s="260">
        <f t="shared" si="204"/>
        <v>45093</v>
      </c>
      <c r="B265" s="261">
        <f t="shared" si="179"/>
        <v>45093</v>
      </c>
      <c r="C265" s="262">
        <f>IF(A265="","",NumberOfWeek(A265))</f>
        <v>24</v>
      </c>
      <c r="D265" s="263">
        <f t="shared" si="180"/>
        <v>45077</v>
      </c>
      <c r="E265" s="273" t="str">
        <f t="shared" si="181"/>
        <v/>
      </c>
      <c r="F265" s="5"/>
      <c r="G265" s="6" t="str">
        <f t="shared" si="166"/>
        <v/>
      </c>
      <c r="H265" s="7"/>
      <c r="I265" s="7">
        <f t="shared" si="182"/>
        <v>0</v>
      </c>
      <c r="J265" s="76">
        <f t="shared" si="183"/>
        <v>0</v>
      </c>
      <c r="K265" s="7"/>
      <c r="L265" s="7">
        <f t="shared" si="184"/>
        <v>0</v>
      </c>
      <c r="M265" s="76">
        <f t="shared" si="167"/>
        <v>0</v>
      </c>
      <c r="N265" s="76"/>
      <c r="O265" s="76">
        <f t="shared" si="168"/>
        <v>0</v>
      </c>
      <c r="P265" s="76"/>
      <c r="Q265" s="76">
        <f t="shared" si="169"/>
        <v>0</v>
      </c>
      <c r="R265" s="76">
        <f t="shared" si="185"/>
        <v>0</v>
      </c>
      <c r="S265" s="76">
        <f t="shared" si="186"/>
        <v>0</v>
      </c>
      <c r="T265" s="76">
        <f t="shared" si="187"/>
        <v>0</v>
      </c>
      <c r="U265" s="76">
        <f t="shared" si="188"/>
        <v>0</v>
      </c>
      <c r="V265" s="109">
        <f t="shared" si="189"/>
        <v>0</v>
      </c>
      <c r="W265" s="62"/>
      <c r="X265" s="78">
        <f t="shared" si="170"/>
        <v>3.125E-2</v>
      </c>
      <c r="Y265" s="73">
        <f t="shared" si="190"/>
        <v>0</v>
      </c>
      <c r="Z265" s="74">
        <f t="shared" si="191"/>
        <v>0.29166666666666669</v>
      </c>
      <c r="AA265" s="75">
        <f t="shared" si="192"/>
        <v>0</v>
      </c>
      <c r="AB265" s="63" t="str">
        <f t="shared" si="193"/>
        <v/>
      </c>
      <c r="AC265" s="148">
        <f t="shared" si="171"/>
        <v>0</v>
      </c>
      <c r="AD265" s="107" t="str">
        <f t="shared" si="172"/>
        <v/>
      </c>
      <c r="AE265" s="180">
        <f t="shared" si="194"/>
        <v>0</v>
      </c>
      <c r="AF265" s="73"/>
      <c r="AG265" s="525"/>
      <c r="AH265" s="73"/>
      <c r="AI265" s="73" t="str">
        <f t="shared" si="165"/>
        <v/>
      </c>
      <c r="AJ265" s="64">
        <f t="shared" si="173"/>
        <v>0</v>
      </c>
      <c r="AK265" s="64">
        <f t="shared" si="174"/>
        <v>0</v>
      </c>
      <c r="AL265" s="64" t="str">
        <f t="shared" si="175"/>
        <v/>
      </c>
      <c r="AM265">
        <f t="shared" si="176"/>
        <v>4</v>
      </c>
      <c r="AN265" s="85">
        <f>SUM($AD$6:AD265)</f>
        <v>0</v>
      </c>
      <c r="AO265" s="85">
        <f t="shared" ca="1" si="195"/>
        <v>0</v>
      </c>
      <c r="AP265" s="89">
        <f t="shared" si="196"/>
        <v>0</v>
      </c>
      <c r="AQ265" s="89">
        <f t="shared" si="197"/>
        <v>0</v>
      </c>
      <c r="AR265" s="89">
        <f t="shared" si="198"/>
        <v>0</v>
      </c>
      <c r="AS265" s="88">
        <f t="shared" si="199"/>
        <v>30</v>
      </c>
      <c r="AT265" s="88">
        <f t="shared" ca="1" si="200"/>
        <v>30</v>
      </c>
      <c r="AU265" s="98">
        <f t="shared" si="201"/>
        <v>0</v>
      </c>
      <c r="AV265" s="88">
        <f t="shared" si="202"/>
        <v>0</v>
      </c>
      <c r="AW265" t="b">
        <f>OR((F265&gt;0),(NOT(ISBLANK(H265))),SUM(H265:H$373),SUM(G265:G$373))</f>
        <v>0</v>
      </c>
      <c r="AX265" t="b">
        <f t="shared" ca="1" si="177"/>
        <v>0</v>
      </c>
      <c r="AY265" s="519">
        <f t="shared" si="203"/>
        <v>-0.29166666666666669</v>
      </c>
      <c r="AZ265" s="180">
        <f>SUM(AY$5:AY265)</f>
        <v>-51.916666666666558</v>
      </c>
      <c r="BA265" s="567"/>
      <c r="BB265" s="567">
        <f t="shared" si="178"/>
        <v>0</v>
      </c>
      <c r="BC265" s="567"/>
    </row>
    <row r="266" spans="1:55" ht="15.75">
      <c r="A266" s="260">
        <f t="shared" si="204"/>
        <v>45094</v>
      </c>
      <c r="B266" s="261">
        <f t="shared" si="179"/>
        <v>45094</v>
      </c>
      <c r="C266" s="262">
        <f>IF(A266="","",NumberOfWeek(A266))</f>
        <v>24</v>
      </c>
      <c r="D266" s="263">
        <f t="shared" si="180"/>
        <v>45077</v>
      </c>
      <c r="E266" s="273" t="str">
        <f t="shared" si="181"/>
        <v/>
      </c>
      <c r="F266" s="5"/>
      <c r="G266" s="6" t="str">
        <f t="shared" si="166"/>
        <v/>
      </c>
      <c r="H266" s="7"/>
      <c r="I266" s="7">
        <f t="shared" si="182"/>
        <v>0</v>
      </c>
      <c r="J266" s="76">
        <f t="shared" si="183"/>
        <v>0</v>
      </c>
      <c r="K266" s="7"/>
      <c r="L266" s="7">
        <f t="shared" si="184"/>
        <v>0</v>
      </c>
      <c r="M266" s="76">
        <f t="shared" si="167"/>
        <v>0</v>
      </c>
      <c r="N266" s="76"/>
      <c r="O266" s="76">
        <f t="shared" si="168"/>
        <v>0</v>
      </c>
      <c r="P266" s="76"/>
      <c r="Q266" s="76">
        <f t="shared" si="169"/>
        <v>0</v>
      </c>
      <c r="R266" s="76">
        <f t="shared" si="185"/>
        <v>0</v>
      </c>
      <c r="S266" s="76">
        <f t="shared" si="186"/>
        <v>0</v>
      </c>
      <c r="T266" s="76">
        <f t="shared" si="187"/>
        <v>0</v>
      </c>
      <c r="U266" s="76">
        <f t="shared" si="188"/>
        <v>0</v>
      </c>
      <c r="V266" s="109">
        <f t="shared" si="189"/>
        <v>0</v>
      </c>
      <c r="W266" s="62"/>
      <c r="X266" s="78">
        <f t="shared" si="170"/>
        <v>3.125E-2</v>
      </c>
      <c r="Y266" s="73">
        <f t="shared" si="190"/>
        <v>0</v>
      </c>
      <c r="Z266" s="74">
        <f t="shared" si="191"/>
        <v>0.29166666666666669</v>
      </c>
      <c r="AA266" s="75">
        <f t="shared" si="192"/>
        <v>0</v>
      </c>
      <c r="AB266" s="63" t="str">
        <f t="shared" si="193"/>
        <v/>
      </c>
      <c r="AC266" s="148">
        <f t="shared" si="171"/>
        <v>0</v>
      </c>
      <c r="AD266" s="107" t="str">
        <f t="shared" si="172"/>
        <v/>
      </c>
      <c r="AE266" s="180">
        <f t="shared" si="194"/>
        <v>0</v>
      </c>
      <c r="AF266" s="73"/>
      <c r="AG266" s="525"/>
      <c r="AH266" s="73"/>
      <c r="AI266" s="73" t="str">
        <f t="shared" si="165"/>
        <v/>
      </c>
      <c r="AJ266" s="64">
        <f t="shared" si="173"/>
        <v>0</v>
      </c>
      <c r="AK266" s="64">
        <f t="shared" si="174"/>
        <v>0</v>
      </c>
      <c r="AL266" s="64" t="str">
        <f t="shared" si="175"/>
        <v/>
      </c>
      <c r="AM266">
        <f t="shared" si="176"/>
        <v>5</v>
      </c>
      <c r="AN266" s="85">
        <f>SUM($AD$6:AD266)</f>
        <v>0</v>
      </c>
      <c r="AO266" s="85">
        <f t="shared" ca="1" si="195"/>
        <v>0</v>
      </c>
      <c r="AP266" s="89">
        <f t="shared" si="196"/>
        <v>0</v>
      </c>
      <c r="AQ266" s="89">
        <f t="shared" si="197"/>
        <v>0</v>
      </c>
      <c r="AR266" s="89">
        <f t="shared" si="198"/>
        <v>0</v>
      </c>
      <c r="AS266" s="88">
        <f t="shared" si="199"/>
        <v>30</v>
      </c>
      <c r="AT266" s="88">
        <f t="shared" ca="1" si="200"/>
        <v>30</v>
      </c>
      <c r="AU266" s="98">
        <f t="shared" si="201"/>
        <v>0</v>
      </c>
      <c r="AV266" s="88">
        <f t="shared" si="202"/>
        <v>0</v>
      </c>
      <c r="AW266" t="b">
        <f>OR((F266&gt;0),(NOT(ISBLANK(H266))),SUM(H266:H$373),SUM(G266:G$373))</f>
        <v>0</v>
      </c>
      <c r="AX266" t="b">
        <f t="shared" ca="1" si="177"/>
        <v>0</v>
      </c>
      <c r="AY266" s="519">
        <f t="shared" si="203"/>
        <v>-0.29166666666666669</v>
      </c>
      <c r="AZ266" s="180">
        <f>SUM(AY$5:AY266)</f>
        <v>-52.208333333333222</v>
      </c>
      <c r="BA266" s="567"/>
      <c r="BB266" s="567">
        <f t="shared" si="178"/>
        <v>0</v>
      </c>
      <c r="BC266" s="567"/>
    </row>
    <row r="267" spans="1:55" ht="15.75">
      <c r="A267" s="260">
        <f t="shared" si="204"/>
        <v>45095</v>
      </c>
      <c r="B267" s="261">
        <f t="shared" si="179"/>
        <v>45095</v>
      </c>
      <c r="C267" s="262">
        <f>IF(A267="","",NumberOfWeek(A267))</f>
        <v>24</v>
      </c>
      <c r="D267" s="263">
        <f t="shared" si="180"/>
        <v>45077</v>
      </c>
      <c r="E267" s="273" t="str">
        <f t="shared" si="181"/>
        <v/>
      </c>
      <c r="F267" s="5"/>
      <c r="G267" s="6" t="str">
        <f t="shared" si="166"/>
        <v/>
      </c>
      <c r="H267" s="7"/>
      <c r="I267" s="7">
        <f t="shared" si="182"/>
        <v>0</v>
      </c>
      <c r="J267" s="76">
        <f t="shared" si="183"/>
        <v>0</v>
      </c>
      <c r="K267" s="7"/>
      <c r="L267" s="7">
        <f t="shared" si="184"/>
        <v>0</v>
      </c>
      <c r="M267" s="76">
        <f t="shared" si="167"/>
        <v>0</v>
      </c>
      <c r="N267" s="76"/>
      <c r="O267" s="76">
        <f t="shared" si="168"/>
        <v>0</v>
      </c>
      <c r="P267" s="76"/>
      <c r="Q267" s="76">
        <f t="shared" si="169"/>
        <v>0</v>
      </c>
      <c r="R267" s="76">
        <f t="shared" si="185"/>
        <v>0</v>
      </c>
      <c r="S267" s="76">
        <f t="shared" si="186"/>
        <v>0</v>
      </c>
      <c r="T267" s="76">
        <f t="shared" si="187"/>
        <v>0</v>
      </c>
      <c r="U267" s="76">
        <f t="shared" si="188"/>
        <v>0</v>
      </c>
      <c r="V267" s="109">
        <f t="shared" si="189"/>
        <v>0</v>
      </c>
      <c r="W267" s="62"/>
      <c r="X267" s="78">
        <f t="shared" si="170"/>
        <v>3.125E-2</v>
      </c>
      <c r="Y267" s="73">
        <f t="shared" si="190"/>
        <v>0</v>
      </c>
      <c r="Z267" s="74">
        <f t="shared" si="191"/>
        <v>0</v>
      </c>
      <c r="AA267" s="75">
        <f t="shared" si="192"/>
        <v>0</v>
      </c>
      <c r="AB267" s="63" t="str">
        <f t="shared" si="193"/>
        <v/>
      </c>
      <c r="AC267" s="148">
        <f t="shared" si="171"/>
        <v>0</v>
      </c>
      <c r="AD267" s="107" t="str">
        <f t="shared" si="172"/>
        <v/>
      </c>
      <c r="AE267" s="180">
        <f t="shared" si="194"/>
        <v>0</v>
      </c>
      <c r="AF267" s="73"/>
      <c r="AG267" s="525"/>
      <c r="AH267" s="73"/>
      <c r="AI267" s="73" t="str">
        <f t="shared" si="165"/>
        <v/>
      </c>
      <c r="AJ267" s="64">
        <f t="shared" si="173"/>
        <v>0</v>
      </c>
      <c r="AK267" s="64">
        <f t="shared" si="174"/>
        <v>0</v>
      </c>
      <c r="AL267" s="64" t="str">
        <f t="shared" si="175"/>
        <v/>
      </c>
      <c r="AM267">
        <f t="shared" si="176"/>
        <v>6</v>
      </c>
      <c r="AN267" s="85">
        <f>SUM($AD$6:AD267)</f>
        <v>0</v>
      </c>
      <c r="AO267" s="85">
        <f t="shared" ca="1" si="195"/>
        <v>0</v>
      </c>
      <c r="AP267" s="89">
        <f t="shared" si="196"/>
        <v>0</v>
      </c>
      <c r="AQ267" s="89">
        <f t="shared" si="197"/>
        <v>0</v>
      </c>
      <c r="AR267" s="89">
        <f t="shared" si="198"/>
        <v>0</v>
      </c>
      <c r="AS267" s="88">
        <f t="shared" si="199"/>
        <v>30</v>
      </c>
      <c r="AT267" s="88">
        <f t="shared" ca="1" si="200"/>
        <v>30</v>
      </c>
      <c r="AU267" s="98">
        <f t="shared" si="201"/>
        <v>0</v>
      </c>
      <c r="AV267" s="88">
        <f t="shared" si="202"/>
        <v>7</v>
      </c>
      <c r="AW267" t="b">
        <f>OR((F267&gt;0),(NOT(ISBLANK(H267))),SUM(H267:H$373),SUM(G267:G$373))</f>
        <v>0</v>
      </c>
      <c r="AX267" t="b">
        <f t="shared" ca="1" si="177"/>
        <v>1</v>
      </c>
      <c r="AY267" s="519">
        <f t="shared" si="203"/>
        <v>0</v>
      </c>
      <c r="AZ267" s="180">
        <f>SUM(AY$5:AY267)</f>
        <v>-52.208333333333222</v>
      </c>
      <c r="BA267" s="567"/>
      <c r="BB267" s="567">
        <f t="shared" si="178"/>
        <v>0</v>
      </c>
      <c r="BC267" s="567"/>
    </row>
    <row r="268" spans="1:55" ht="15.75">
      <c r="A268" s="260">
        <f t="shared" si="204"/>
        <v>45096</v>
      </c>
      <c r="B268" s="261">
        <f t="shared" si="179"/>
        <v>45096</v>
      </c>
      <c r="C268" s="262">
        <f>IF(A268="","",NumberOfWeek(A268))</f>
        <v>24</v>
      </c>
      <c r="D268" s="263">
        <f t="shared" si="180"/>
        <v>45077</v>
      </c>
      <c r="E268" s="273" t="str">
        <f t="shared" si="181"/>
        <v/>
      </c>
      <c r="F268" s="5"/>
      <c r="G268" s="6" t="str">
        <f t="shared" si="166"/>
        <v/>
      </c>
      <c r="H268" s="7"/>
      <c r="I268" s="7">
        <f t="shared" si="182"/>
        <v>0</v>
      </c>
      <c r="J268" s="76">
        <f t="shared" si="183"/>
        <v>0</v>
      </c>
      <c r="K268" s="7"/>
      <c r="L268" s="7">
        <f t="shared" si="184"/>
        <v>0</v>
      </c>
      <c r="M268" s="76">
        <f t="shared" si="167"/>
        <v>0</v>
      </c>
      <c r="N268" s="76"/>
      <c r="O268" s="76">
        <f t="shared" si="168"/>
        <v>0</v>
      </c>
      <c r="P268" s="76"/>
      <c r="Q268" s="76">
        <f t="shared" si="169"/>
        <v>0</v>
      </c>
      <c r="R268" s="76">
        <f t="shared" si="185"/>
        <v>0</v>
      </c>
      <c r="S268" s="76">
        <f t="shared" si="186"/>
        <v>0</v>
      </c>
      <c r="T268" s="76">
        <f t="shared" si="187"/>
        <v>0</v>
      </c>
      <c r="U268" s="76">
        <f t="shared" si="188"/>
        <v>0</v>
      </c>
      <c r="V268" s="109">
        <f t="shared" si="189"/>
        <v>0</v>
      </c>
      <c r="W268" s="62"/>
      <c r="X268" s="78">
        <f t="shared" si="170"/>
        <v>3.125E-2</v>
      </c>
      <c r="Y268" s="73">
        <f t="shared" si="190"/>
        <v>0</v>
      </c>
      <c r="Z268" s="74">
        <f t="shared" si="191"/>
        <v>0</v>
      </c>
      <c r="AA268" s="75">
        <f t="shared" si="192"/>
        <v>0</v>
      </c>
      <c r="AB268" s="63" t="str">
        <f t="shared" si="193"/>
        <v/>
      </c>
      <c r="AC268" s="148">
        <f t="shared" si="171"/>
        <v>0</v>
      </c>
      <c r="AD268" s="107" t="str">
        <f t="shared" si="172"/>
        <v/>
      </c>
      <c r="AE268" s="180">
        <f t="shared" si="194"/>
        <v>0</v>
      </c>
      <c r="AF268" s="73"/>
      <c r="AG268" s="525"/>
      <c r="AH268" s="73"/>
      <c r="AI268" s="73" t="str">
        <f t="shared" si="165"/>
        <v/>
      </c>
      <c r="AJ268" s="64">
        <f t="shared" si="173"/>
        <v>0</v>
      </c>
      <c r="AK268" s="64">
        <f t="shared" si="174"/>
        <v>0</v>
      </c>
      <c r="AL268" s="64" t="str">
        <f t="shared" si="175"/>
        <v/>
      </c>
      <c r="AM268">
        <f t="shared" si="176"/>
        <v>7</v>
      </c>
      <c r="AN268" s="85">
        <f>SUM($AD$6:AD268)</f>
        <v>0</v>
      </c>
      <c r="AO268" s="85">
        <f t="shared" ca="1" si="195"/>
        <v>0</v>
      </c>
      <c r="AP268" s="89">
        <f t="shared" si="196"/>
        <v>0</v>
      </c>
      <c r="AQ268" s="89">
        <f t="shared" si="197"/>
        <v>0</v>
      </c>
      <c r="AR268" s="89">
        <f t="shared" si="198"/>
        <v>0</v>
      </c>
      <c r="AS268" s="88">
        <f t="shared" si="199"/>
        <v>30</v>
      </c>
      <c r="AT268" s="88">
        <f t="shared" ca="1" si="200"/>
        <v>30</v>
      </c>
      <c r="AU268" s="98">
        <f t="shared" si="201"/>
        <v>0</v>
      </c>
      <c r="AV268" s="88">
        <f t="shared" si="202"/>
        <v>7</v>
      </c>
      <c r="AW268" t="b">
        <f>OR((F268&gt;0),(NOT(ISBLANK(H268))),SUM(H268:H$373),SUM(G268:G$373))</f>
        <v>0</v>
      </c>
      <c r="AX268" t="b">
        <f t="shared" ca="1" si="177"/>
        <v>1</v>
      </c>
      <c r="AY268" s="519">
        <f t="shared" si="203"/>
        <v>0</v>
      </c>
      <c r="AZ268" s="180">
        <f>SUM(AY$5:AY268)</f>
        <v>-52.208333333333222</v>
      </c>
      <c r="BA268" s="567"/>
      <c r="BB268" s="567">
        <f t="shared" si="178"/>
        <v>0</v>
      </c>
      <c r="BC268" s="567"/>
    </row>
    <row r="269" spans="1:55" ht="15.75">
      <c r="A269" s="260">
        <f t="shared" si="204"/>
        <v>45097</v>
      </c>
      <c r="B269" s="261">
        <f t="shared" si="179"/>
        <v>45097</v>
      </c>
      <c r="C269" s="262">
        <f>IF(A269="","",NumberOfWeek(A269))</f>
        <v>25</v>
      </c>
      <c r="D269" s="263">
        <f t="shared" si="180"/>
        <v>45077</v>
      </c>
      <c r="E269" s="273" t="str">
        <f t="shared" si="181"/>
        <v/>
      </c>
      <c r="F269" s="5"/>
      <c r="G269" s="6" t="str">
        <f t="shared" si="166"/>
        <v/>
      </c>
      <c r="H269" s="7"/>
      <c r="I269" s="7">
        <f t="shared" si="182"/>
        <v>0</v>
      </c>
      <c r="J269" s="76">
        <f t="shared" si="183"/>
        <v>0</v>
      </c>
      <c r="K269" s="7"/>
      <c r="L269" s="7">
        <f t="shared" si="184"/>
        <v>0</v>
      </c>
      <c r="M269" s="76">
        <f t="shared" si="167"/>
        <v>0</v>
      </c>
      <c r="N269" s="76"/>
      <c r="O269" s="76">
        <f t="shared" si="168"/>
        <v>0</v>
      </c>
      <c r="P269" s="76"/>
      <c r="Q269" s="76">
        <f t="shared" si="169"/>
        <v>0</v>
      </c>
      <c r="R269" s="76">
        <f t="shared" si="185"/>
        <v>0</v>
      </c>
      <c r="S269" s="76">
        <f t="shared" si="186"/>
        <v>0</v>
      </c>
      <c r="T269" s="76">
        <f t="shared" si="187"/>
        <v>0</v>
      </c>
      <c r="U269" s="76">
        <f t="shared" si="188"/>
        <v>0</v>
      </c>
      <c r="V269" s="109">
        <f t="shared" si="189"/>
        <v>0</v>
      </c>
      <c r="W269" s="62"/>
      <c r="X269" s="78">
        <f t="shared" si="170"/>
        <v>3.125E-2</v>
      </c>
      <c r="Y269" s="73">
        <f t="shared" si="190"/>
        <v>0</v>
      </c>
      <c r="Z269" s="74">
        <f t="shared" si="191"/>
        <v>0.29166666666666669</v>
      </c>
      <c r="AA269" s="75">
        <f t="shared" si="192"/>
        <v>0</v>
      </c>
      <c r="AB269" s="63" t="str">
        <f t="shared" si="193"/>
        <v/>
      </c>
      <c r="AC269" s="148">
        <f t="shared" si="171"/>
        <v>0</v>
      </c>
      <c r="AD269" s="107" t="str">
        <f t="shared" si="172"/>
        <v/>
      </c>
      <c r="AE269" s="180">
        <f t="shared" si="194"/>
        <v>0</v>
      </c>
      <c r="AF269" s="73"/>
      <c r="AG269" s="525"/>
      <c r="AH269" s="73"/>
      <c r="AI269" s="73" t="str">
        <f t="shared" si="165"/>
        <v/>
      </c>
      <c r="AJ269" s="64">
        <f t="shared" si="173"/>
        <v>0</v>
      </c>
      <c r="AK269" s="64">
        <f t="shared" si="174"/>
        <v>0</v>
      </c>
      <c r="AL269" s="64" t="str">
        <f t="shared" si="175"/>
        <v/>
      </c>
      <c r="AM269">
        <f t="shared" si="176"/>
        <v>1</v>
      </c>
      <c r="AN269" s="85">
        <f>SUM($AD$6:AD269)</f>
        <v>0</v>
      </c>
      <c r="AO269" s="85">
        <f t="shared" ca="1" si="195"/>
        <v>0</v>
      </c>
      <c r="AP269" s="89">
        <f t="shared" si="196"/>
        <v>0</v>
      </c>
      <c r="AQ269" s="89">
        <f t="shared" si="197"/>
        <v>0</v>
      </c>
      <c r="AR269" s="89">
        <f t="shared" si="198"/>
        <v>0</v>
      </c>
      <c r="AS269" s="88">
        <f t="shared" si="199"/>
        <v>30</v>
      </c>
      <c r="AT269" s="88">
        <f t="shared" ca="1" si="200"/>
        <v>30</v>
      </c>
      <c r="AU269" s="98">
        <f t="shared" si="201"/>
        <v>0</v>
      </c>
      <c r="AV269" s="88">
        <f t="shared" si="202"/>
        <v>0</v>
      </c>
      <c r="AW269" t="b">
        <f>OR((F269&gt;0),(NOT(ISBLANK(H269))),SUM(H269:H$373),SUM(G269:G$373))</f>
        <v>0</v>
      </c>
      <c r="AX269" t="b">
        <f t="shared" ca="1" si="177"/>
        <v>0</v>
      </c>
      <c r="AY269" s="519">
        <f t="shared" si="203"/>
        <v>-0.29166666666666669</v>
      </c>
      <c r="AZ269" s="180">
        <f>SUM(AY$5:AY269)</f>
        <v>-52.499999999999886</v>
      </c>
      <c r="BA269" s="567"/>
      <c r="BB269" s="567">
        <f t="shared" si="178"/>
        <v>0</v>
      </c>
      <c r="BC269" s="567"/>
    </row>
    <row r="270" spans="1:55" ht="15.75">
      <c r="A270" s="260">
        <f t="shared" si="204"/>
        <v>45098</v>
      </c>
      <c r="B270" s="261">
        <f t="shared" si="179"/>
        <v>45098</v>
      </c>
      <c r="C270" s="262">
        <f>IF(A270="","",NumberOfWeek(A270))</f>
        <v>25</v>
      </c>
      <c r="D270" s="263">
        <f t="shared" si="180"/>
        <v>45077</v>
      </c>
      <c r="E270" s="273" t="str">
        <f t="shared" si="181"/>
        <v/>
      </c>
      <c r="F270" s="5"/>
      <c r="G270" s="6" t="str">
        <f t="shared" si="166"/>
        <v/>
      </c>
      <c r="H270" s="7"/>
      <c r="I270" s="7">
        <f t="shared" si="182"/>
        <v>0</v>
      </c>
      <c r="J270" s="76">
        <f t="shared" si="183"/>
        <v>0</v>
      </c>
      <c r="K270" s="7"/>
      <c r="L270" s="7">
        <f t="shared" si="184"/>
        <v>0</v>
      </c>
      <c r="M270" s="76">
        <f t="shared" si="167"/>
        <v>0</v>
      </c>
      <c r="N270" s="76"/>
      <c r="O270" s="76">
        <f t="shared" si="168"/>
        <v>0</v>
      </c>
      <c r="P270" s="76"/>
      <c r="Q270" s="76">
        <f t="shared" si="169"/>
        <v>0</v>
      </c>
      <c r="R270" s="76">
        <f t="shared" si="185"/>
        <v>0</v>
      </c>
      <c r="S270" s="76">
        <f t="shared" si="186"/>
        <v>0</v>
      </c>
      <c r="T270" s="76">
        <f t="shared" si="187"/>
        <v>0</v>
      </c>
      <c r="U270" s="76">
        <f t="shared" si="188"/>
        <v>0</v>
      </c>
      <c r="V270" s="109">
        <f t="shared" si="189"/>
        <v>0</v>
      </c>
      <c r="W270" s="62"/>
      <c r="X270" s="78">
        <f t="shared" si="170"/>
        <v>3.125E-2</v>
      </c>
      <c r="Y270" s="73">
        <f t="shared" si="190"/>
        <v>0</v>
      </c>
      <c r="Z270" s="74">
        <f t="shared" si="191"/>
        <v>0.29166666666666669</v>
      </c>
      <c r="AA270" s="75">
        <f t="shared" si="192"/>
        <v>0</v>
      </c>
      <c r="AB270" s="63" t="str">
        <f t="shared" si="193"/>
        <v/>
      </c>
      <c r="AC270" s="148">
        <f t="shared" si="171"/>
        <v>0</v>
      </c>
      <c r="AD270" s="107" t="str">
        <f t="shared" si="172"/>
        <v/>
      </c>
      <c r="AE270" s="180">
        <f t="shared" si="194"/>
        <v>0</v>
      </c>
      <c r="AF270" s="73"/>
      <c r="AG270" s="525"/>
      <c r="AH270" s="73"/>
      <c r="AI270" s="73" t="str">
        <f t="shared" ref="AI270:AI333" si="205">IF(AND(AF270&lt;&gt;"",AF270&lt;=V270),V270-AF270,"")</f>
        <v/>
      </c>
      <c r="AJ270" s="64">
        <f t="shared" si="173"/>
        <v>0</v>
      </c>
      <c r="AK270" s="64">
        <f t="shared" si="174"/>
        <v>0</v>
      </c>
      <c r="AL270" s="64" t="str">
        <f t="shared" si="175"/>
        <v/>
      </c>
      <c r="AM270">
        <f t="shared" si="176"/>
        <v>2</v>
      </c>
      <c r="AN270" s="85">
        <f>SUM($AD$6:AD270)</f>
        <v>0</v>
      </c>
      <c r="AO270" s="85">
        <f t="shared" ca="1" si="195"/>
        <v>0</v>
      </c>
      <c r="AP270" s="89">
        <f t="shared" si="196"/>
        <v>0</v>
      </c>
      <c r="AQ270" s="89">
        <f t="shared" si="197"/>
        <v>0</v>
      </c>
      <c r="AR270" s="89">
        <f t="shared" si="198"/>
        <v>0</v>
      </c>
      <c r="AS270" s="88">
        <f t="shared" si="199"/>
        <v>30</v>
      </c>
      <c r="AT270" s="88">
        <f t="shared" ca="1" si="200"/>
        <v>30</v>
      </c>
      <c r="AU270" s="98">
        <f t="shared" si="201"/>
        <v>0</v>
      </c>
      <c r="AV270" s="88">
        <f t="shared" si="202"/>
        <v>0</v>
      </c>
      <c r="AW270" t="b">
        <f>OR((F270&gt;0),(NOT(ISBLANK(H270))),SUM(H270:H$373),SUM(G270:G$373))</f>
        <v>0</v>
      </c>
      <c r="AX270" t="b">
        <f t="shared" ca="1" si="177"/>
        <v>0</v>
      </c>
      <c r="AY270" s="519">
        <f t="shared" si="203"/>
        <v>-0.29166666666666669</v>
      </c>
      <c r="AZ270" s="180">
        <f>SUM(AY$5:AY270)</f>
        <v>-52.791666666666551</v>
      </c>
      <c r="BA270" s="567"/>
      <c r="BB270" s="567">
        <f t="shared" si="178"/>
        <v>0</v>
      </c>
      <c r="BC270" s="567"/>
    </row>
    <row r="271" spans="1:55" ht="15.75">
      <c r="A271" s="260">
        <f t="shared" si="204"/>
        <v>45099</v>
      </c>
      <c r="B271" s="261">
        <f t="shared" si="179"/>
        <v>45099</v>
      </c>
      <c r="C271" s="262">
        <f>IF(A271="","",NumberOfWeek(A271))</f>
        <v>25</v>
      </c>
      <c r="D271" s="263">
        <f t="shared" si="180"/>
        <v>45077</v>
      </c>
      <c r="E271" s="273" t="str">
        <f t="shared" si="181"/>
        <v/>
      </c>
      <c r="F271" s="5"/>
      <c r="G271" s="6" t="str">
        <f t="shared" si="166"/>
        <v/>
      </c>
      <c r="H271" s="7"/>
      <c r="I271" s="7">
        <f t="shared" si="182"/>
        <v>0</v>
      </c>
      <c r="J271" s="76">
        <f t="shared" si="183"/>
        <v>0</v>
      </c>
      <c r="K271" s="7"/>
      <c r="L271" s="7">
        <f t="shared" si="184"/>
        <v>0</v>
      </c>
      <c r="M271" s="76">
        <f t="shared" si="167"/>
        <v>0</v>
      </c>
      <c r="N271" s="76"/>
      <c r="O271" s="76">
        <f t="shared" si="168"/>
        <v>0</v>
      </c>
      <c r="P271" s="76"/>
      <c r="Q271" s="76">
        <f t="shared" si="169"/>
        <v>0</v>
      </c>
      <c r="R271" s="76">
        <f t="shared" si="185"/>
        <v>0</v>
      </c>
      <c r="S271" s="76">
        <f t="shared" si="186"/>
        <v>0</v>
      </c>
      <c r="T271" s="76">
        <f t="shared" si="187"/>
        <v>0</v>
      </c>
      <c r="U271" s="76">
        <f t="shared" si="188"/>
        <v>0</v>
      </c>
      <c r="V271" s="109">
        <f t="shared" si="189"/>
        <v>0</v>
      </c>
      <c r="W271" s="62"/>
      <c r="X271" s="78">
        <f t="shared" si="170"/>
        <v>3.125E-2</v>
      </c>
      <c r="Y271" s="73">
        <f t="shared" si="190"/>
        <v>0</v>
      </c>
      <c r="Z271" s="74">
        <f t="shared" si="191"/>
        <v>0.29166666666666669</v>
      </c>
      <c r="AA271" s="75">
        <f t="shared" si="192"/>
        <v>0</v>
      </c>
      <c r="AB271" s="63" t="str">
        <f t="shared" si="193"/>
        <v/>
      </c>
      <c r="AC271" s="148">
        <f t="shared" si="171"/>
        <v>0</v>
      </c>
      <c r="AD271" s="107" t="str">
        <f t="shared" si="172"/>
        <v/>
      </c>
      <c r="AE271" s="180">
        <f t="shared" si="194"/>
        <v>0</v>
      </c>
      <c r="AF271" s="73"/>
      <c r="AG271" s="525"/>
      <c r="AH271" s="73"/>
      <c r="AI271" s="73" t="str">
        <f t="shared" si="205"/>
        <v/>
      </c>
      <c r="AJ271" s="64">
        <f t="shared" si="173"/>
        <v>0</v>
      </c>
      <c r="AK271" s="64">
        <f t="shared" si="174"/>
        <v>0</v>
      </c>
      <c r="AL271" s="64" t="str">
        <f t="shared" si="175"/>
        <v/>
      </c>
      <c r="AM271">
        <f t="shared" si="176"/>
        <v>3</v>
      </c>
      <c r="AN271" s="85">
        <f>SUM($AD$6:AD271)</f>
        <v>0</v>
      </c>
      <c r="AO271" s="85">
        <f t="shared" ca="1" si="195"/>
        <v>0</v>
      </c>
      <c r="AP271" s="89">
        <f t="shared" si="196"/>
        <v>0</v>
      </c>
      <c r="AQ271" s="89">
        <f t="shared" si="197"/>
        <v>0</v>
      </c>
      <c r="AR271" s="89">
        <f t="shared" si="198"/>
        <v>0</v>
      </c>
      <c r="AS271" s="88">
        <f t="shared" si="199"/>
        <v>30</v>
      </c>
      <c r="AT271" s="88">
        <f t="shared" ca="1" si="200"/>
        <v>30</v>
      </c>
      <c r="AU271" s="98">
        <f t="shared" si="201"/>
        <v>0</v>
      </c>
      <c r="AV271" s="88">
        <f t="shared" si="202"/>
        <v>0</v>
      </c>
      <c r="AW271" t="b">
        <f>OR((F271&gt;0),(NOT(ISBLANK(H271))),SUM(H271:H$373),SUM(G271:G$373))</f>
        <v>0</v>
      </c>
      <c r="AX271" t="b">
        <f t="shared" ca="1" si="177"/>
        <v>0</v>
      </c>
      <c r="AY271" s="519">
        <f t="shared" si="203"/>
        <v>-0.29166666666666669</v>
      </c>
      <c r="AZ271" s="180">
        <f>SUM(AY$5:AY271)</f>
        <v>-53.083333333333215</v>
      </c>
      <c r="BA271" s="567"/>
      <c r="BB271" s="567">
        <f t="shared" si="178"/>
        <v>0</v>
      </c>
      <c r="BC271" s="567"/>
    </row>
    <row r="272" spans="1:55" ht="15.75">
      <c r="A272" s="260">
        <f t="shared" si="204"/>
        <v>45100</v>
      </c>
      <c r="B272" s="261">
        <f t="shared" si="179"/>
        <v>45100</v>
      </c>
      <c r="C272" s="262">
        <f>IF(A272="","",NumberOfWeek(A272))</f>
        <v>25</v>
      </c>
      <c r="D272" s="263">
        <f t="shared" si="180"/>
        <v>45077</v>
      </c>
      <c r="E272" s="273" t="str">
        <f t="shared" si="181"/>
        <v/>
      </c>
      <c r="F272" s="5"/>
      <c r="G272" s="6" t="str">
        <f t="shared" si="166"/>
        <v/>
      </c>
      <c r="H272" s="7"/>
      <c r="I272" s="7">
        <f t="shared" si="182"/>
        <v>0</v>
      </c>
      <c r="J272" s="76">
        <f t="shared" si="183"/>
        <v>0</v>
      </c>
      <c r="K272" s="7"/>
      <c r="L272" s="7">
        <f t="shared" si="184"/>
        <v>0</v>
      </c>
      <c r="M272" s="76">
        <f t="shared" si="167"/>
        <v>0</v>
      </c>
      <c r="N272" s="76"/>
      <c r="O272" s="76">
        <f t="shared" si="168"/>
        <v>0</v>
      </c>
      <c r="P272" s="76"/>
      <c r="Q272" s="76">
        <f t="shared" si="169"/>
        <v>0</v>
      </c>
      <c r="R272" s="76">
        <f t="shared" si="185"/>
        <v>0</v>
      </c>
      <c r="S272" s="76">
        <f t="shared" si="186"/>
        <v>0</v>
      </c>
      <c r="T272" s="76">
        <f t="shared" si="187"/>
        <v>0</v>
      </c>
      <c r="U272" s="76">
        <f t="shared" si="188"/>
        <v>0</v>
      </c>
      <c r="V272" s="109">
        <f t="shared" si="189"/>
        <v>0</v>
      </c>
      <c r="W272" s="62"/>
      <c r="X272" s="78">
        <f t="shared" si="170"/>
        <v>3.125E-2</v>
      </c>
      <c r="Y272" s="73">
        <f t="shared" si="190"/>
        <v>0</v>
      </c>
      <c r="Z272" s="74">
        <f t="shared" si="191"/>
        <v>0.29166666666666669</v>
      </c>
      <c r="AA272" s="75">
        <f t="shared" si="192"/>
        <v>0</v>
      </c>
      <c r="AB272" s="63" t="str">
        <f t="shared" si="193"/>
        <v/>
      </c>
      <c r="AC272" s="148">
        <f t="shared" si="171"/>
        <v>0</v>
      </c>
      <c r="AD272" s="107" t="str">
        <f t="shared" si="172"/>
        <v/>
      </c>
      <c r="AE272" s="180">
        <f t="shared" si="194"/>
        <v>0</v>
      </c>
      <c r="AF272" s="73"/>
      <c r="AG272" s="525"/>
      <c r="AH272" s="73"/>
      <c r="AI272" s="73" t="str">
        <f t="shared" si="205"/>
        <v/>
      </c>
      <c r="AJ272" s="64">
        <f t="shared" si="173"/>
        <v>0</v>
      </c>
      <c r="AK272" s="64">
        <f t="shared" si="174"/>
        <v>0</v>
      </c>
      <c r="AL272" s="64" t="str">
        <f t="shared" si="175"/>
        <v/>
      </c>
      <c r="AM272">
        <f t="shared" si="176"/>
        <v>4</v>
      </c>
      <c r="AN272" s="85">
        <f>SUM($AD$6:AD272)</f>
        <v>0</v>
      </c>
      <c r="AO272" s="85">
        <f t="shared" ca="1" si="195"/>
        <v>0</v>
      </c>
      <c r="AP272" s="89">
        <f t="shared" si="196"/>
        <v>0</v>
      </c>
      <c r="AQ272" s="89">
        <f t="shared" si="197"/>
        <v>0</v>
      </c>
      <c r="AR272" s="89">
        <f t="shared" si="198"/>
        <v>0</v>
      </c>
      <c r="AS272" s="88">
        <f t="shared" si="199"/>
        <v>30</v>
      </c>
      <c r="AT272" s="88">
        <f t="shared" ca="1" si="200"/>
        <v>30</v>
      </c>
      <c r="AU272" s="98">
        <f t="shared" si="201"/>
        <v>0</v>
      </c>
      <c r="AV272" s="88">
        <f t="shared" si="202"/>
        <v>0</v>
      </c>
      <c r="AW272" t="b">
        <f>OR((F272&gt;0),(NOT(ISBLANK(H272))),SUM(H272:H$373),SUM(G272:G$373))</f>
        <v>0</v>
      </c>
      <c r="AX272" t="b">
        <f t="shared" ca="1" si="177"/>
        <v>0</v>
      </c>
      <c r="AY272" s="519">
        <f t="shared" si="203"/>
        <v>-0.29166666666666669</v>
      </c>
      <c r="AZ272" s="180">
        <f>SUM(AY$5:AY272)</f>
        <v>-53.374999999999879</v>
      </c>
      <c r="BA272" s="567"/>
      <c r="BB272" s="567">
        <f t="shared" si="178"/>
        <v>0</v>
      </c>
      <c r="BC272" s="567"/>
    </row>
    <row r="273" spans="1:55" ht="15.75">
      <c r="A273" s="260">
        <f t="shared" si="204"/>
        <v>45101</v>
      </c>
      <c r="B273" s="261">
        <f t="shared" si="179"/>
        <v>45101</v>
      </c>
      <c r="C273" s="262">
        <f>IF(A273="","",NumberOfWeek(A273))</f>
        <v>25</v>
      </c>
      <c r="D273" s="263">
        <f t="shared" si="180"/>
        <v>45077</v>
      </c>
      <c r="E273" s="273" t="str">
        <f t="shared" si="181"/>
        <v/>
      </c>
      <c r="F273" s="5"/>
      <c r="G273" s="6" t="str">
        <f t="shared" si="166"/>
        <v/>
      </c>
      <c r="H273" s="7"/>
      <c r="I273" s="7">
        <f t="shared" si="182"/>
        <v>0</v>
      </c>
      <c r="J273" s="76">
        <f t="shared" si="183"/>
        <v>0</v>
      </c>
      <c r="K273" s="7"/>
      <c r="L273" s="7">
        <f t="shared" si="184"/>
        <v>0</v>
      </c>
      <c r="M273" s="76">
        <f t="shared" si="167"/>
        <v>0</v>
      </c>
      <c r="N273" s="76"/>
      <c r="O273" s="76">
        <f t="shared" si="168"/>
        <v>0</v>
      </c>
      <c r="P273" s="76"/>
      <c r="Q273" s="76">
        <f t="shared" si="169"/>
        <v>0</v>
      </c>
      <c r="R273" s="76">
        <f t="shared" si="185"/>
        <v>0</v>
      </c>
      <c r="S273" s="76">
        <f t="shared" si="186"/>
        <v>0</v>
      </c>
      <c r="T273" s="76">
        <f t="shared" si="187"/>
        <v>0</v>
      </c>
      <c r="U273" s="76">
        <f t="shared" si="188"/>
        <v>0</v>
      </c>
      <c r="V273" s="109">
        <f t="shared" si="189"/>
        <v>0</v>
      </c>
      <c r="W273" s="62"/>
      <c r="X273" s="78">
        <f t="shared" si="170"/>
        <v>3.125E-2</v>
      </c>
      <c r="Y273" s="73">
        <f t="shared" si="190"/>
        <v>0</v>
      </c>
      <c r="Z273" s="74">
        <f t="shared" si="191"/>
        <v>0.29166666666666669</v>
      </c>
      <c r="AA273" s="75">
        <f t="shared" si="192"/>
        <v>0</v>
      </c>
      <c r="AB273" s="63" t="str">
        <f t="shared" si="193"/>
        <v/>
      </c>
      <c r="AC273" s="148">
        <f t="shared" si="171"/>
        <v>0</v>
      </c>
      <c r="AD273" s="107" t="str">
        <f t="shared" si="172"/>
        <v/>
      </c>
      <c r="AE273" s="180">
        <f t="shared" si="194"/>
        <v>0</v>
      </c>
      <c r="AF273" s="73"/>
      <c r="AG273" s="525"/>
      <c r="AH273" s="73"/>
      <c r="AI273" s="73" t="str">
        <f t="shared" si="205"/>
        <v/>
      </c>
      <c r="AJ273" s="64">
        <f t="shared" si="173"/>
        <v>0</v>
      </c>
      <c r="AK273" s="64">
        <f t="shared" si="174"/>
        <v>0</v>
      </c>
      <c r="AL273" s="64" t="str">
        <f t="shared" si="175"/>
        <v/>
      </c>
      <c r="AM273">
        <f t="shared" si="176"/>
        <v>5</v>
      </c>
      <c r="AN273" s="85">
        <f>SUM($AD$6:AD273)</f>
        <v>0</v>
      </c>
      <c r="AO273" s="85">
        <f t="shared" ca="1" si="195"/>
        <v>0</v>
      </c>
      <c r="AP273" s="89">
        <f t="shared" si="196"/>
        <v>0</v>
      </c>
      <c r="AQ273" s="89">
        <f t="shared" si="197"/>
        <v>0</v>
      </c>
      <c r="AR273" s="89">
        <f t="shared" si="198"/>
        <v>0</v>
      </c>
      <c r="AS273" s="88">
        <f t="shared" si="199"/>
        <v>30</v>
      </c>
      <c r="AT273" s="88">
        <f t="shared" ca="1" si="200"/>
        <v>30</v>
      </c>
      <c r="AU273" s="98">
        <f t="shared" si="201"/>
        <v>0</v>
      </c>
      <c r="AV273" s="88">
        <f t="shared" si="202"/>
        <v>0</v>
      </c>
      <c r="AW273" t="b">
        <f>OR((F273&gt;0),(NOT(ISBLANK(H273))),SUM(H273:H$373),SUM(G273:G$373))</f>
        <v>0</v>
      </c>
      <c r="AX273" t="b">
        <f t="shared" ca="1" si="177"/>
        <v>0</v>
      </c>
      <c r="AY273" s="519">
        <f t="shared" si="203"/>
        <v>-0.29166666666666669</v>
      </c>
      <c r="AZ273" s="180">
        <f>SUM(AY$5:AY273)</f>
        <v>-53.666666666666544</v>
      </c>
      <c r="BA273" s="567"/>
      <c r="BB273" s="567">
        <f t="shared" si="178"/>
        <v>0</v>
      </c>
      <c r="BC273" s="567"/>
    </row>
    <row r="274" spans="1:55" ht="15.75">
      <c r="A274" s="260">
        <f t="shared" si="204"/>
        <v>45102</v>
      </c>
      <c r="B274" s="261">
        <f t="shared" si="179"/>
        <v>45102</v>
      </c>
      <c r="C274" s="262">
        <f>IF(A274="","",NumberOfWeek(A274))</f>
        <v>25</v>
      </c>
      <c r="D274" s="263">
        <f t="shared" si="180"/>
        <v>45077</v>
      </c>
      <c r="E274" s="273" t="str">
        <f t="shared" si="181"/>
        <v/>
      </c>
      <c r="F274" s="5"/>
      <c r="G274" s="6" t="str">
        <f t="shared" si="166"/>
        <v/>
      </c>
      <c r="H274" s="7"/>
      <c r="I274" s="7">
        <f t="shared" si="182"/>
        <v>0</v>
      </c>
      <c r="J274" s="76">
        <f t="shared" si="183"/>
        <v>0</v>
      </c>
      <c r="K274" s="7"/>
      <c r="L274" s="7">
        <f t="shared" si="184"/>
        <v>0</v>
      </c>
      <c r="M274" s="76">
        <f t="shared" si="167"/>
        <v>0</v>
      </c>
      <c r="N274" s="76"/>
      <c r="O274" s="76">
        <f t="shared" si="168"/>
        <v>0</v>
      </c>
      <c r="P274" s="76"/>
      <c r="Q274" s="76">
        <f t="shared" si="169"/>
        <v>0</v>
      </c>
      <c r="R274" s="76">
        <f t="shared" si="185"/>
        <v>0</v>
      </c>
      <c r="S274" s="76">
        <f t="shared" si="186"/>
        <v>0</v>
      </c>
      <c r="T274" s="76">
        <f t="shared" si="187"/>
        <v>0</v>
      </c>
      <c r="U274" s="76">
        <f t="shared" si="188"/>
        <v>0</v>
      </c>
      <c r="V274" s="109">
        <f t="shared" si="189"/>
        <v>0</v>
      </c>
      <c r="W274" s="62"/>
      <c r="X274" s="78">
        <f t="shared" si="170"/>
        <v>3.125E-2</v>
      </c>
      <c r="Y274" s="73">
        <f t="shared" si="190"/>
        <v>0</v>
      </c>
      <c r="Z274" s="74">
        <f t="shared" si="191"/>
        <v>0</v>
      </c>
      <c r="AA274" s="75">
        <f t="shared" si="192"/>
        <v>0</v>
      </c>
      <c r="AB274" s="63" t="str">
        <f t="shared" si="193"/>
        <v/>
      </c>
      <c r="AC274" s="148">
        <f t="shared" si="171"/>
        <v>0</v>
      </c>
      <c r="AD274" s="107" t="str">
        <f t="shared" si="172"/>
        <v/>
      </c>
      <c r="AE274" s="180">
        <f t="shared" si="194"/>
        <v>0</v>
      </c>
      <c r="AF274" s="73"/>
      <c r="AG274" s="525"/>
      <c r="AH274" s="73"/>
      <c r="AI274" s="73" t="str">
        <f t="shared" si="205"/>
        <v/>
      </c>
      <c r="AJ274" s="64">
        <f t="shared" si="173"/>
        <v>0</v>
      </c>
      <c r="AK274" s="64">
        <f t="shared" si="174"/>
        <v>0</v>
      </c>
      <c r="AL274" s="64" t="str">
        <f t="shared" si="175"/>
        <v/>
      </c>
      <c r="AM274">
        <f t="shared" si="176"/>
        <v>6</v>
      </c>
      <c r="AN274" s="85">
        <f>SUM($AD$6:AD274)</f>
        <v>0</v>
      </c>
      <c r="AO274" s="85">
        <f t="shared" ca="1" si="195"/>
        <v>0</v>
      </c>
      <c r="AP274" s="89">
        <f t="shared" si="196"/>
        <v>0</v>
      </c>
      <c r="AQ274" s="89">
        <f t="shared" si="197"/>
        <v>0</v>
      </c>
      <c r="AR274" s="89">
        <f t="shared" si="198"/>
        <v>0</v>
      </c>
      <c r="AS274" s="88">
        <f t="shared" si="199"/>
        <v>30</v>
      </c>
      <c r="AT274" s="88">
        <f t="shared" ca="1" si="200"/>
        <v>30</v>
      </c>
      <c r="AU274" s="98">
        <f t="shared" si="201"/>
        <v>0</v>
      </c>
      <c r="AV274" s="88">
        <f t="shared" si="202"/>
        <v>7</v>
      </c>
      <c r="AW274" t="b">
        <f>OR((F274&gt;0),(NOT(ISBLANK(H274))),SUM(H274:H$373),SUM(G274:G$373))</f>
        <v>0</v>
      </c>
      <c r="AX274" t="b">
        <f t="shared" ca="1" si="177"/>
        <v>1</v>
      </c>
      <c r="AY274" s="519">
        <f t="shared" si="203"/>
        <v>0</v>
      </c>
      <c r="AZ274" s="180">
        <f>SUM(AY$5:AY274)</f>
        <v>-53.666666666666544</v>
      </c>
      <c r="BA274" s="567"/>
      <c r="BB274" s="567">
        <f t="shared" si="178"/>
        <v>0</v>
      </c>
      <c r="BC274" s="567"/>
    </row>
    <row r="275" spans="1:55" ht="15.75">
      <c r="A275" s="260">
        <f t="shared" si="204"/>
        <v>45103</v>
      </c>
      <c r="B275" s="261">
        <f t="shared" si="179"/>
        <v>45103</v>
      </c>
      <c r="C275" s="262">
        <f>IF(A275="","",NumberOfWeek(A275))</f>
        <v>25</v>
      </c>
      <c r="D275" s="263">
        <f t="shared" si="180"/>
        <v>45077</v>
      </c>
      <c r="E275" s="273" t="str">
        <f t="shared" si="181"/>
        <v/>
      </c>
      <c r="F275" s="5"/>
      <c r="G275" s="6" t="str">
        <f t="shared" si="166"/>
        <v/>
      </c>
      <c r="H275" s="7"/>
      <c r="I275" s="7">
        <f t="shared" si="182"/>
        <v>0</v>
      </c>
      <c r="J275" s="76">
        <f t="shared" si="183"/>
        <v>0</v>
      </c>
      <c r="K275" s="7"/>
      <c r="L275" s="7">
        <f t="shared" si="184"/>
        <v>0</v>
      </c>
      <c r="M275" s="76">
        <f t="shared" si="167"/>
        <v>0</v>
      </c>
      <c r="N275" s="76"/>
      <c r="O275" s="76">
        <f t="shared" si="168"/>
        <v>0</v>
      </c>
      <c r="P275" s="76"/>
      <c r="Q275" s="76">
        <f t="shared" si="169"/>
        <v>0</v>
      </c>
      <c r="R275" s="76">
        <f t="shared" si="185"/>
        <v>0</v>
      </c>
      <c r="S275" s="76">
        <f t="shared" si="186"/>
        <v>0</v>
      </c>
      <c r="T275" s="76">
        <f t="shared" si="187"/>
        <v>0</v>
      </c>
      <c r="U275" s="76">
        <f t="shared" si="188"/>
        <v>0</v>
      </c>
      <c r="V275" s="109">
        <f t="shared" si="189"/>
        <v>0</v>
      </c>
      <c r="W275" s="62"/>
      <c r="X275" s="78">
        <f t="shared" si="170"/>
        <v>3.125E-2</v>
      </c>
      <c r="Y275" s="73">
        <f t="shared" si="190"/>
        <v>0</v>
      </c>
      <c r="Z275" s="74">
        <f t="shared" si="191"/>
        <v>0</v>
      </c>
      <c r="AA275" s="75">
        <f t="shared" si="192"/>
        <v>0</v>
      </c>
      <c r="AB275" s="63" t="str">
        <f t="shared" si="193"/>
        <v/>
      </c>
      <c r="AC275" s="148">
        <f t="shared" si="171"/>
        <v>0</v>
      </c>
      <c r="AD275" s="107" t="str">
        <f t="shared" si="172"/>
        <v/>
      </c>
      <c r="AE275" s="180">
        <f t="shared" si="194"/>
        <v>0</v>
      </c>
      <c r="AF275" s="73"/>
      <c r="AG275" s="525"/>
      <c r="AH275" s="73"/>
      <c r="AI275" s="73" t="str">
        <f t="shared" si="205"/>
        <v/>
      </c>
      <c r="AJ275" s="64">
        <f t="shared" si="173"/>
        <v>0</v>
      </c>
      <c r="AK275" s="64">
        <f t="shared" si="174"/>
        <v>0</v>
      </c>
      <c r="AL275" s="64" t="str">
        <f t="shared" si="175"/>
        <v/>
      </c>
      <c r="AM275">
        <f t="shared" si="176"/>
        <v>7</v>
      </c>
      <c r="AN275" s="85">
        <f>SUM($AD$6:AD275)</f>
        <v>0</v>
      </c>
      <c r="AO275" s="85">
        <f t="shared" ca="1" si="195"/>
        <v>0</v>
      </c>
      <c r="AP275" s="89">
        <f t="shared" si="196"/>
        <v>0</v>
      </c>
      <c r="AQ275" s="89">
        <f t="shared" si="197"/>
        <v>0</v>
      </c>
      <c r="AR275" s="89">
        <f t="shared" si="198"/>
        <v>0</v>
      </c>
      <c r="AS275" s="88">
        <f t="shared" si="199"/>
        <v>30</v>
      </c>
      <c r="AT275" s="88">
        <f t="shared" ca="1" si="200"/>
        <v>30</v>
      </c>
      <c r="AU275" s="98">
        <f t="shared" si="201"/>
        <v>0</v>
      </c>
      <c r="AV275" s="88">
        <f t="shared" si="202"/>
        <v>7</v>
      </c>
      <c r="AW275" t="b">
        <f>OR((F275&gt;0),(NOT(ISBLANK(H275))),SUM(H275:H$373),SUM(G275:G$373))</f>
        <v>0</v>
      </c>
      <c r="AX275" t="b">
        <f t="shared" ca="1" si="177"/>
        <v>1</v>
      </c>
      <c r="AY275" s="519">
        <f t="shared" si="203"/>
        <v>0</v>
      </c>
      <c r="AZ275" s="180">
        <f>SUM(AY$5:AY275)</f>
        <v>-53.666666666666544</v>
      </c>
      <c r="BA275" s="567"/>
      <c r="BB275" s="567">
        <f t="shared" si="178"/>
        <v>0</v>
      </c>
      <c r="BC275" s="567"/>
    </row>
    <row r="276" spans="1:55" ht="15.75">
      <c r="A276" s="260">
        <f t="shared" si="204"/>
        <v>45104</v>
      </c>
      <c r="B276" s="261">
        <f t="shared" si="179"/>
        <v>45104</v>
      </c>
      <c r="C276" s="262">
        <f>IF(A276="","",NumberOfWeek(A276))</f>
        <v>26</v>
      </c>
      <c r="D276" s="263">
        <f t="shared" si="180"/>
        <v>45077</v>
      </c>
      <c r="E276" s="273" t="str">
        <f t="shared" si="181"/>
        <v/>
      </c>
      <c r="F276" s="5"/>
      <c r="G276" s="6" t="str">
        <f t="shared" si="166"/>
        <v/>
      </c>
      <c r="H276" s="7"/>
      <c r="I276" s="7">
        <f t="shared" si="182"/>
        <v>0</v>
      </c>
      <c r="J276" s="76">
        <f t="shared" si="183"/>
        <v>0</v>
      </c>
      <c r="K276" s="7"/>
      <c r="L276" s="7">
        <f t="shared" si="184"/>
        <v>0</v>
      </c>
      <c r="M276" s="76">
        <f t="shared" si="167"/>
        <v>0</v>
      </c>
      <c r="N276" s="76"/>
      <c r="O276" s="76">
        <f t="shared" si="168"/>
        <v>0</v>
      </c>
      <c r="P276" s="76"/>
      <c r="Q276" s="76">
        <f t="shared" si="169"/>
        <v>0</v>
      </c>
      <c r="R276" s="76">
        <f t="shared" si="185"/>
        <v>0</v>
      </c>
      <c r="S276" s="76">
        <f t="shared" si="186"/>
        <v>0</v>
      </c>
      <c r="T276" s="76">
        <f t="shared" si="187"/>
        <v>0</v>
      </c>
      <c r="U276" s="76">
        <f t="shared" si="188"/>
        <v>0</v>
      </c>
      <c r="V276" s="109">
        <f t="shared" si="189"/>
        <v>0</v>
      </c>
      <c r="W276" s="62"/>
      <c r="X276" s="78">
        <f t="shared" si="170"/>
        <v>3.125E-2</v>
      </c>
      <c r="Y276" s="73">
        <f t="shared" si="190"/>
        <v>0</v>
      </c>
      <c r="Z276" s="74">
        <f t="shared" si="191"/>
        <v>0.29166666666666669</v>
      </c>
      <c r="AA276" s="75">
        <f t="shared" si="192"/>
        <v>0</v>
      </c>
      <c r="AB276" s="63" t="str">
        <f t="shared" si="193"/>
        <v/>
      </c>
      <c r="AC276" s="148">
        <f t="shared" si="171"/>
        <v>0</v>
      </c>
      <c r="AD276" s="107" t="str">
        <f t="shared" si="172"/>
        <v/>
      </c>
      <c r="AE276" s="180">
        <f t="shared" si="194"/>
        <v>0</v>
      </c>
      <c r="AF276" s="73"/>
      <c r="AG276" s="525"/>
      <c r="AH276" s="73"/>
      <c r="AI276" s="73" t="str">
        <f t="shared" si="205"/>
        <v/>
      </c>
      <c r="AJ276" s="64">
        <f t="shared" si="173"/>
        <v>0</v>
      </c>
      <c r="AK276" s="64">
        <f t="shared" si="174"/>
        <v>0</v>
      </c>
      <c r="AL276" s="64" t="str">
        <f t="shared" si="175"/>
        <v/>
      </c>
      <c r="AM276">
        <f t="shared" si="176"/>
        <v>1</v>
      </c>
      <c r="AN276" s="85">
        <f>SUM($AD$6:AD276)</f>
        <v>0</v>
      </c>
      <c r="AO276" s="85">
        <f t="shared" ca="1" si="195"/>
        <v>0</v>
      </c>
      <c r="AP276" s="89">
        <f t="shared" si="196"/>
        <v>0</v>
      </c>
      <c r="AQ276" s="89">
        <f t="shared" si="197"/>
        <v>0</v>
      </c>
      <c r="AR276" s="89">
        <f t="shared" si="198"/>
        <v>0</v>
      </c>
      <c r="AS276" s="88">
        <f t="shared" si="199"/>
        <v>30</v>
      </c>
      <c r="AT276" s="88">
        <f t="shared" ca="1" si="200"/>
        <v>30</v>
      </c>
      <c r="AU276" s="98">
        <f t="shared" si="201"/>
        <v>0</v>
      </c>
      <c r="AV276" s="88">
        <f t="shared" si="202"/>
        <v>0</v>
      </c>
      <c r="AW276" t="b">
        <f>OR((F276&gt;0),(NOT(ISBLANK(H276))),SUM(H276:H$373),SUM(G276:G$373))</f>
        <v>0</v>
      </c>
      <c r="AX276" t="b">
        <f t="shared" ca="1" si="177"/>
        <v>0</v>
      </c>
      <c r="AY276" s="519">
        <f t="shared" si="203"/>
        <v>-0.29166666666666669</v>
      </c>
      <c r="AZ276" s="180">
        <f>SUM(AY$5:AY276)</f>
        <v>-53.958333333333208</v>
      </c>
      <c r="BA276" s="567"/>
      <c r="BB276" s="567">
        <f t="shared" si="178"/>
        <v>0</v>
      </c>
      <c r="BC276" s="567"/>
    </row>
    <row r="277" spans="1:55" ht="15.75">
      <c r="A277" s="260">
        <f t="shared" si="204"/>
        <v>45105</v>
      </c>
      <c r="B277" s="261">
        <f t="shared" si="179"/>
        <v>45105</v>
      </c>
      <c r="C277" s="262">
        <f>IF(A277="","",NumberOfWeek(A277))</f>
        <v>26</v>
      </c>
      <c r="D277" s="263">
        <f t="shared" si="180"/>
        <v>45077</v>
      </c>
      <c r="E277" s="273" t="str">
        <f t="shared" si="181"/>
        <v/>
      </c>
      <c r="F277" s="5"/>
      <c r="G277" s="6" t="str">
        <f t="shared" si="166"/>
        <v/>
      </c>
      <c r="H277" s="7"/>
      <c r="I277" s="7">
        <f t="shared" si="182"/>
        <v>0</v>
      </c>
      <c r="J277" s="76">
        <f t="shared" si="183"/>
        <v>0</v>
      </c>
      <c r="K277" s="7"/>
      <c r="L277" s="7">
        <f t="shared" si="184"/>
        <v>0</v>
      </c>
      <c r="M277" s="76">
        <f t="shared" si="167"/>
        <v>0</v>
      </c>
      <c r="N277" s="76"/>
      <c r="O277" s="76">
        <f t="shared" si="168"/>
        <v>0</v>
      </c>
      <c r="P277" s="76"/>
      <c r="Q277" s="76">
        <f t="shared" si="169"/>
        <v>0</v>
      </c>
      <c r="R277" s="76">
        <f t="shared" si="185"/>
        <v>0</v>
      </c>
      <c r="S277" s="76">
        <f t="shared" si="186"/>
        <v>0</v>
      </c>
      <c r="T277" s="76">
        <f t="shared" si="187"/>
        <v>0</v>
      </c>
      <c r="U277" s="76">
        <f t="shared" si="188"/>
        <v>0</v>
      </c>
      <c r="V277" s="109">
        <f t="shared" si="189"/>
        <v>0</v>
      </c>
      <c r="W277" s="62"/>
      <c r="X277" s="78">
        <f t="shared" si="170"/>
        <v>3.125E-2</v>
      </c>
      <c r="Y277" s="73">
        <f t="shared" si="190"/>
        <v>0</v>
      </c>
      <c r="Z277" s="74">
        <f t="shared" si="191"/>
        <v>0.29166666666666669</v>
      </c>
      <c r="AA277" s="75">
        <f t="shared" si="192"/>
        <v>0</v>
      </c>
      <c r="AB277" s="63" t="str">
        <f t="shared" si="193"/>
        <v/>
      </c>
      <c r="AC277" s="148">
        <f t="shared" si="171"/>
        <v>0</v>
      </c>
      <c r="AD277" s="107" t="str">
        <f t="shared" si="172"/>
        <v/>
      </c>
      <c r="AE277" s="180">
        <f t="shared" si="194"/>
        <v>0</v>
      </c>
      <c r="AF277" s="73"/>
      <c r="AG277" s="525"/>
      <c r="AH277" s="73"/>
      <c r="AI277" s="73" t="str">
        <f t="shared" si="205"/>
        <v/>
      </c>
      <c r="AJ277" s="64">
        <f t="shared" si="173"/>
        <v>0</v>
      </c>
      <c r="AK277" s="64">
        <f t="shared" si="174"/>
        <v>0</v>
      </c>
      <c r="AL277" s="64" t="str">
        <f t="shared" si="175"/>
        <v/>
      </c>
      <c r="AM277">
        <f t="shared" si="176"/>
        <v>2</v>
      </c>
      <c r="AN277" s="85">
        <f>SUM($AD$6:AD277)</f>
        <v>0</v>
      </c>
      <c r="AO277" s="85">
        <f t="shared" ca="1" si="195"/>
        <v>0</v>
      </c>
      <c r="AP277" s="89">
        <f t="shared" si="196"/>
        <v>0</v>
      </c>
      <c r="AQ277" s="89">
        <f t="shared" si="197"/>
        <v>0</v>
      </c>
      <c r="AR277" s="89">
        <f t="shared" si="198"/>
        <v>0</v>
      </c>
      <c r="AS277" s="88">
        <f t="shared" si="199"/>
        <v>30</v>
      </c>
      <c r="AT277" s="88">
        <f t="shared" ca="1" si="200"/>
        <v>30</v>
      </c>
      <c r="AU277" s="98">
        <f t="shared" si="201"/>
        <v>0</v>
      </c>
      <c r="AV277" s="88">
        <f t="shared" si="202"/>
        <v>0</v>
      </c>
      <c r="AW277" t="b">
        <f>OR((F277&gt;0),(NOT(ISBLANK(H277))),SUM(H277:H$373),SUM(G277:G$373))</f>
        <v>0</v>
      </c>
      <c r="AX277" t="b">
        <f t="shared" ca="1" si="177"/>
        <v>0</v>
      </c>
      <c r="AY277" s="519">
        <f t="shared" si="203"/>
        <v>-0.29166666666666669</v>
      </c>
      <c r="AZ277" s="180">
        <f>SUM(AY$5:AY277)</f>
        <v>-54.249999999999872</v>
      </c>
      <c r="BA277" s="567"/>
      <c r="BB277" s="567">
        <f t="shared" si="178"/>
        <v>0</v>
      </c>
      <c r="BC277" s="567"/>
    </row>
    <row r="278" spans="1:55" ht="15.75">
      <c r="A278" s="260">
        <f t="shared" si="204"/>
        <v>45106</v>
      </c>
      <c r="B278" s="261">
        <f t="shared" si="179"/>
        <v>45106</v>
      </c>
      <c r="C278" s="262">
        <f>IF(A278="","",NumberOfWeek(A278))</f>
        <v>26</v>
      </c>
      <c r="D278" s="263">
        <f t="shared" si="180"/>
        <v>45077</v>
      </c>
      <c r="E278" s="273" t="str">
        <f t="shared" si="181"/>
        <v/>
      </c>
      <c r="F278" s="5"/>
      <c r="G278" s="6" t="str">
        <f t="shared" si="166"/>
        <v/>
      </c>
      <c r="H278" s="7"/>
      <c r="I278" s="7">
        <f t="shared" si="182"/>
        <v>0</v>
      </c>
      <c r="J278" s="76">
        <f t="shared" si="183"/>
        <v>0</v>
      </c>
      <c r="K278" s="7"/>
      <c r="L278" s="7">
        <f t="shared" si="184"/>
        <v>0</v>
      </c>
      <c r="M278" s="76">
        <f t="shared" si="167"/>
        <v>0</v>
      </c>
      <c r="N278" s="76"/>
      <c r="O278" s="76">
        <f t="shared" si="168"/>
        <v>0</v>
      </c>
      <c r="P278" s="76"/>
      <c r="Q278" s="76">
        <f t="shared" si="169"/>
        <v>0</v>
      </c>
      <c r="R278" s="76">
        <f t="shared" si="185"/>
        <v>0</v>
      </c>
      <c r="S278" s="76">
        <f t="shared" si="186"/>
        <v>0</v>
      </c>
      <c r="T278" s="76">
        <f t="shared" si="187"/>
        <v>0</v>
      </c>
      <c r="U278" s="76">
        <f t="shared" si="188"/>
        <v>0</v>
      </c>
      <c r="V278" s="109">
        <f t="shared" si="189"/>
        <v>0</v>
      </c>
      <c r="W278" s="62"/>
      <c r="X278" s="78">
        <f t="shared" si="170"/>
        <v>3.125E-2</v>
      </c>
      <c r="Y278" s="73">
        <f t="shared" si="190"/>
        <v>0</v>
      </c>
      <c r="Z278" s="74">
        <f t="shared" si="191"/>
        <v>0.29166666666666669</v>
      </c>
      <c r="AA278" s="75">
        <f t="shared" si="192"/>
        <v>0</v>
      </c>
      <c r="AB278" s="63" t="str">
        <f t="shared" si="193"/>
        <v/>
      </c>
      <c r="AC278" s="148">
        <f t="shared" si="171"/>
        <v>0</v>
      </c>
      <c r="AD278" s="107" t="str">
        <f t="shared" si="172"/>
        <v/>
      </c>
      <c r="AE278" s="180">
        <f t="shared" si="194"/>
        <v>0</v>
      </c>
      <c r="AF278" s="73"/>
      <c r="AG278" s="525"/>
      <c r="AH278" s="73"/>
      <c r="AI278" s="73" t="str">
        <f t="shared" si="205"/>
        <v/>
      </c>
      <c r="AJ278" s="64">
        <f t="shared" si="173"/>
        <v>0</v>
      </c>
      <c r="AK278" s="64">
        <f t="shared" si="174"/>
        <v>0</v>
      </c>
      <c r="AL278" s="64" t="str">
        <f t="shared" si="175"/>
        <v/>
      </c>
      <c r="AM278">
        <f t="shared" si="176"/>
        <v>3</v>
      </c>
      <c r="AN278" s="85">
        <f>SUM($AD$6:AD278)</f>
        <v>0</v>
      </c>
      <c r="AO278" s="85">
        <f t="shared" ca="1" si="195"/>
        <v>0</v>
      </c>
      <c r="AP278" s="89">
        <f t="shared" si="196"/>
        <v>0</v>
      </c>
      <c r="AQ278" s="89">
        <f t="shared" si="197"/>
        <v>0</v>
      </c>
      <c r="AR278" s="89">
        <f t="shared" si="198"/>
        <v>0</v>
      </c>
      <c r="AS278" s="88">
        <f t="shared" si="199"/>
        <v>30</v>
      </c>
      <c r="AT278" s="88">
        <f t="shared" ca="1" si="200"/>
        <v>30</v>
      </c>
      <c r="AU278" s="98">
        <f t="shared" si="201"/>
        <v>0</v>
      </c>
      <c r="AV278" s="88">
        <f t="shared" si="202"/>
        <v>0</v>
      </c>
      <c r="AW278" t="b">
        <f>OR((F278&gt;0),(NOT(ISBLANK(H278))),SUM(H278:H$373),SUM(G278:G$373))</f>
        <v>0</v>
      </c>
      <c r="AX278" t="b">
        <f t="shared" ca="1" si="177"/>
        <v>0</v>
      </c>
      <c r="AY278" s="519">
        <f t="shared" si="203"/>
        <v>-0.29166666666666669</v>
      </c>
      <c r="AZ278" s="180">
        <f>SUM(AY$5:AY278)</f>
        <v>-54.541666666666536</v>
      </c>
      <c r="BA278" s="567"/>
      <c r="BB278" s="567">
        <f t="shared" si="178"/>
        <v>0</v>
      </c>
      <c r="BC278" s="567"/>
    </row>
    <row r="279" spans="1:55" ht="15.75">
      <c r="A279" s="260">
        <f t="shared" si="204"/>
        <v>45107</v>
      </c>
      <c r="B279" s="261">
        <f t="shared" si="179"/>
        <v>45107</v>
      </c>
      <c r="C279" s="262">
        <f>IF(A279="","",NumberOfWeek(A279))</f>
        <v>26</v>
      </c>
      <c r="D279" s="263">
        <f t="shared" si="180"/>
        <v>45107</v>
      </c>
      <c r="E279" s="273" t="str">
        <f t="shared" si="181"/>
        <v/>
      </c>
      <c r="F279" s="5"/>
      <c r="G279" s="6" t="str">
        <f t="shared" si="166"/>
        <v/>
      </c>
      <c r="H279" s="7"/>
      <c r="I279" s="7">
        <f t="shared" si="182"/>
        <v>0</v>
      </c>
      <c r="J279" s="76">
        <f t="shared" si="183"/>
        <v>0</v>
      </c>
      <c r="K279" s="7"/>
      <c r="L279" s="7">
        <f t="shared" si="184"/>
        <v>0</v>
      </c>
      <c r="M279" s="76">
        <f t="shared" si="167"/>
        <v>0</v>
      </c>
      <c r="N279" s="76"/>
      <c r="O279" s="76">
        <f t="shared" si="168"/>
        <v>0</v>
      </c>
      <c r="P279" s="76"/>
      <c r="Q279" s="76">
        <f t="shared" si="169"/>
        <v>0</v>
      </c>
      <c r="R279" s="76">
        <f t="shared" si="185"/>
        <v>0</v>
      </c>
      <c r="S279" s="76">
        <f t="shared" si="186"/>
        <v>0</v>
      </c>
      <c r="T279" s="76">
        <f t="shared" si="187"/>
        <v>0</v>
      </c>
      <c r="U279" s="76">
        <f t="shared" si="188"/>
        <v>0</v>
      </c>
      <c r="V279" s="109">
        <f t="shared" si="189"/>
        <v>0</v>
      </c>
      <c r="W279" s="62"/>
      <c r="X279" s="78">
        <f t="shared" si="170"/>
        <v>3.125E-2</v>
      </c>
      <c r="Y279" s="73">
        <f t="shared" si="190"/>
        <v>0</v>
      </c>
      <c r="Z279" s="74">
        <f t="shared" si="191"/>
        <v>0.29166666666666669</v>
      </c>
      <c r="AA279" s="75">
        <f t="shared" si="192"/>
        <v>0</v>
      </c>
      <c r="AB279" s="63" t="str">
        <f t="shared" si="193"/>
        <v/>
      </c>
      <c r="AC279" s="148">
        <f t="shared" si="171"/>
        <v>0</v>
      </c>
      <c r="AD279" s="107" t="str">
        <f t="shared" si="172"/>
        <v/>
      </c>
      <c r="AE279" s="180">
        <f t="shared" si="194"/>
        <v>0</v>
      </c>
      <c r="AF279" s="73"/>
      <c r="AG279" s="525"/>
      <c r="AH279" s="73"/>
      <c r="AI279" s="73" t="str">
        <f t="shared" si="205"/>
        <v/>
      </c>
      <c r="AJ279" s="64">
        <f t="shared" si="173"/>
        <v>0</v>
      </c>
      <c r="AK279" s="64">
        <f t="shared" si="174"/>
        <v>0</v>
      </c>
      <c r="AL279" s="64" t="str">
        <f t="shared" si="175"/>
        <v/>
      </c>
      <c r="AM279">
        <f t="shared" si="176"/>
        <v>4</v>
      </c>
      <c r="AN279" s="85">
        <f>SUM($AD$6:AD279)</f>
        <v>0</v>
      </c>
      <c r="AO279" s="85">
        <f t="shared" ca="1" si="195"/>
        <v>0</v>
      </c>
      <c r="AP279" s="89">
        <f t="shared" si="196"/>
        <v>0</v>
      </c>
      <c r="AQ279" s="89">
        <f t="shared" si="197"/>
        <v>0</v>
      </c>
      <c r="AR279" s="89">
        <f t="shared" si="198"/>
        <v>0</v>
      </c>
      <c r="AS279" s="88">
        <f t="shared" si="199"/>
        <v>30</v>
      </c>
      <c r="AT279" s="88">
        <f t="shared" ca="1" si="200"/>
        <v>30</v>
      </c>
      <c r="AU279" s="98">
        <f t="shared" si="201"/>
        <v>0</v>
      </c>
      <c r="AV279" s="88">
        <f t="shared" si="202"/>
        <v>0</v>
      </c>
      <c r="AW279" t="b">
        <f>OR((F279&gt;0),(NOT(ISBLANK(H279))),SUM(H279:H$373),SUM(G279:G$373))</f>
        <v>0</v>
      </c>
      <c r="AX279" t="b">
        <f t="shared" ca="1" si="177"/>
        <v>0</v>
      </c>
      <c r="AY279" s="519">
        <f t="shared" si="203"/>
        <v>-0.29166666666666669</v>
      </c>
      <c r="AZ279" s="180">
        <f>SUM(AY$5:AY279)</f>
        <v>-54.833333333333201</v>
      </c>
      <c r="BA279" s="567"/>
      <c r="BB279" s="567">
        <f t="shared" si="178"/>
        <v>0</v>
      </c>
      <c r="BC279" s="567"/>
    </row>
    <row r="280" spans="1:55" ht="15.75">
      <c r="A280" s="260">
        <f t="shared" si="204"/>
        <v>45108</v>
      </c>
      <c r="B280" s="261">
        <f t="shared" si="179"/>
        <v>45108</v>
      </c>
      <c r="C280" s="262">
        <f>IF(A280="","",NumberOfWeek(A280))</f>
        <v>26</v>
      </c>
      <c r="D280" s="263">
        <f t="shared" si="180"/>
        <v>45107</v>
      </c>
      <c r="E280" s="273" t="str">
        <f t="shared" si="181"/>
        <v/>
      </c>
      <c r="F280" s="5"/>
      <c r="G280" s="6" t="str">
        <f t="shared" si="166"/>
        <v/>
      </c>
      <c r="H280" s="7"/>
      <c r="I280" s="7">
        <f t="shared" si="182"/>
        <v>0</v>
      </c>
      <c r="J280" s="76">
        <f t="shared" si="183"/>
        <v>0</v>
      </c>
      <c r="K280" s="7"/>
      <c r="L280" s="7">
        <f t="shared" si="184"/>
        <v>0</v>
      </c>
      <c r="M280" s="76">
        <f t="shared" si="167"/>
        <v>0</v>
      </c>
      <c r="N280" s="76"/>
      <c r="O280" s="76">
        <f t="shared" si="168"/>
        <v>0</v>
      </c>
      <c r="P280" s="76"/>
      <c r="Q280" s="76">
        <f t="shared" si="169"/>
        <v>0</v>
      </c>
      <c r="R280" s="76">
        <f t="shared" si="185"/>
        <v>0</v>
      </c>
      <c r="S280" s="76">
        <f t="shared" si="186"/>
        <v>0</v>
      </c>
      <c r="T280" s="76">
        <f t="shared" si="187"/>
        <v>0</v>
      </c>
      <c r="U280" s="76">
        <f t="shared" si="188"/>
        <v>0</v>
      </c>
      <c r="V280" s="109">
        <f t="shared" si="189"/>
        <v>0</v>
      </c>
      <c r="W280" s="62"/>
      <c r="X280" s="78">
        <f t="shared" si="170"/>
        <v>3.125E-2</v>
      </c>
      <c r="Y280" s="73">
        <f t="shared" si="190"/>
        <v>0</v>
      </c>
      <c r="Z280" s="74">
        <f t="shared" si="191"/>
        <v>0.29166666666666669</v>
      </c>
      <c r="AA280" s="75">
        <f t="shared" si="192"/>
        <v>0</v>
      </c>
      <c r="AB280" s="63" t="str">
        <f t="shared" si="193"/>
        <v/>
      </c>
      <c r="AC280" s="148">
        <f t="shared" si="171"/>
        <v>0</v>
      </c>
      <c r="AD280" s="107" t="str">
        <f t="shared" si="172"/>
        <v/>
      </c>
      <c r="AE280" s="180">
        <f t="shared" si="194"/>
        <v>0</v>
      </c>
      <c r="AF280" s="73"/>
      <c r="AG280" s="525"/>
      <c r="AH280" s="73"/>
      <c r="AI280" s="73" t="str">
        <f t="shared" si="205"/>
        <v/>
      </c>
      <c r="AJ280" s="64">
        <f t="shared" si="173"/>
        <v>0</v>
      </c>
      <c r="AK280" s="64">
        <f t="shared" si="174"/>
        <v>0</v>
      </c>
      <c r="AL280" s="64" t="str">
        <f t="shared" si="175"/>
        <v/>
      </c>
      <c r="AM280">
        <f t="shared" si="176"/>
        <v>5</v>
      </c>
      <c r="AN280" s="85">
        <f>SUM($AD$6:AD280)</f>
        <v>0</v>
      </c>
      <c r="AO280" s="85">
        <f t="shared" ca="1" si="195"/>
        <v>0</v>
      </c>
      <c r="AP280" s="89">
        <f t="shared" si="196"/>
        <v>0</v>
      </c>
      <c r="AQ280" s="89">
        <f t="shared" si="197"/>
        <v>0</v>
      </c>
      <c r="AR280" s="89">
        <f t="shared" si="198"/>
        <v>0</v>
      </c>
      <c r="AS280" s="88">
        <f t="shared" si="199"/>
        <v>30</v>
      </c>
      <c r="AT280" s="88">
        <f t="shared" ca="1" si="200"/>
        <v>30</v>
      </c>
      <c r="AU280" s="98">
        <f t="shared" si="201"/>
        <v>0</v>
      </c>
      <c r="AV280" s="88">
        <f t="shared" si="202"/>
        <v>0</v>
      </c>
      <c r="AW280" t="b">
        <f>OR((F280&gt;0),(NOT(ISBLANK(H280))),SUM(H280:H$373),SUM(G280:G$373))</f>
        <v>0</v>
      </c>
      <c r="AX280" t="b">
        <f t="shared" ca="1" si="177"/>
        <v>0</v>
      </c>
      <c r="AY280" s="519">
        <f t="shared" si="203"/>
        <v>-0.29166666666666669</v>
      </c>
      <c r="AZ280" s="180">
        <f>SUM(AY$5:AY280)</f>
        <v>-55.124999999999865</v>
      </c>
      <c r="BA280" s="567"/>
      <c r="BB280" s="567">
        <f t="shared" si="178"/>
        <v>0</v>
      </c>
      <c r="BC280" s="567"/>
    </row>
    <row r="281" spans="1:55" ht="15.75">
      <c r="A281" s="260">
        <f t="shared" si="204"/>
        <v>45109</v>
      </c>
      <c r="B281" s="261">
        <f t="shared" si="179"/>
        <v>45109</v>
      </c>
      <c r="C281" s="262">
        <f>IF(A281="","",NumberOfWeek(A281))</f>
        <v>26</v>
      </c>
      <c r="D281" s="263">
        <f t="shared" si="180"/>
        <v>45107</v>
      </c>
      <c r="E281" s="273" t="str">
        <f t="shared" si="181"/>
        <v/>
      </c>
      <c r="F281" s="5"/>
      <c r="G281" s="6" t="str">
        <f t="shared" si="166"/>
        <v/>
      </c>
      <c r="H281" s="7"/>
      <c r="I281" s="7">
        <f t="shared" si="182"/>
        <v>0</v>
      </c>
      <c r="J281" s="76">
        <f t="shared" si="183"/>
        <v>0</v>
      </c>
      <c r="K281" s="7"/>
      <c r="L281" s="7">
        <f t="shared" si="184"/>
        <v>0</v>
      </c>
      <c r="M281" s="76">
        <f t="shared" si="167"/>
        <v>0</v>
      </c>
      <c r="N281" s="76"/>
      <c r="O281" s="76">
        <f t="shared" si="168"/>
        <v>0</v>
      </c>
      <c r="P281" s="76"/>
      <c r="Q281" s="76">
        <f t="shared" si="169"/>
        <v>0</v>
      </c>
      <c r="R281" s="76">
        <f t="shared" si="185"/>
        <v>0</v>
      </c>
      <c r="S281" s="76">
        <f t="shared" si="186"/>
        <v>0</v>
      </c>
      <c r="T281" s="76">
        <f t="shared" si="187"/>
        <v>0</v>
      </c>
      <c r="U281" s="76">
        <f t="shared" si="188"/>
        <v>0</v>
      </c>
      <c r="V281" s="109">
        <f t="shared" si="189"/>
        <v>0</v>
      </c>
      <c r="W281" s="62"/>
      <c r="X281" s="78">
        <f t="shared" si="170"/>
        <v>3.125E-2</v>
      </c>
      <c r="Y281" s="73">
        <f t="shared" si="190"/>
        <v>0</v>
      </c>
      <c r="Z281" s="74">
        <f t="shared" si="191"/>
        <v>0</v>
      </c>
      <c r="AA281" s="75">
        <f t="shared" si="192"/>
        <v>0</v>
      </c>
      <c r="AB281" s="63" t="str">
        <f t="shared" si="193"/>
        <v/>
      </c>
      <c r="AC281" s="148">
        <f t="shared" si="171"/>
        <v>0</v>
      </c>
      <c r="AD281" s="107" t="str">
        <f t="shared" si="172"/>
        <v/>
      </c>
      <c r="AE281" s="180">
        <f t="shared" si="194"/>
        <v>0</v>
      </c>
      <c r="AF281" s="73"/>
      <c r="AG281" s="525"/>
      <c r="AH281" s="73"/>
      <c r="AI281" s="73" t="str">
        <f t="shared" si="205"/>
        <v/>
      </c>
      <c r="AJ281" s="64">
        <f t="shared" si="173"/>
        <v>0</v>
      </c>
      <c r="AK281" s="64">
        <f t="shared" si="174"/>
        <v>0</v>
      </c>
      <c r="AL281" s="64" t="str">
        <f t="shared" si="175"/>
        <v/>
      </c>
      <c r="AM281">
        <f t="shared" si="176"/>
        <v>6</v>
      </c>
      <c r="AN281" s="85">
        <f>SUM($AD$6:AD281)</f>
        <v>0</v>
      </c>
      <c r="AO281" s="85">
        <f t="shared" ca="1" si="195"/>
        <v>0</v>
      </c>
      <c r="AP281" s="89">
        <f t="shared" si="196"/>
        <v>0</v>
      </c>
      <c r="AQ281" s="89">
        <f t="shared" si="197"/>
        <v>0</v>
      </c>
      <c r="AR281" s="89">
        <f t="shared" si="198"/>
        <v>0</v>
      </c>
      <c r="AS281" s="88">
        <f t="shared" si="199"/>
        <v>30</v>
      </c>
      <c r="AT281" s="88">
        <f t="shared" ca="1" si="200"/>
        <v>30</v>
      </c>
      <c r="AU281" s="98">
        <f t="shared" si="201"/>
        <v>0</v>
      </c>
      <c r="AV281" s="88">
        <f t="shared" si="202"/>
        <v>7</v>
      </c>
      <c r="AW281" t="b">
        <f>OR((F281&gt;0),(NOT(ISBLANK(H281))),SUM(H281:H$373),SUM(G281:G$373))</f>
        <v>0</v>
      </c>
      <c r="AX281" t="b">
        <f t="shared" ca="1" si="177"/>
        <v>1</v>
      </c>
      <c r="AY281" s="519">
        <f t="shared" si="203"/>
        <v>0</v>
      </c>
      <c r="AZ281" s="180">
        <f>SUM(AY$5:AY281)</f>
        <v>-55.124999999999865</v>
      </c>
      <c r="BA281" s="567"/>
      <c r="BB281" s="567">
        <f t="shared" si="178"/>
        <v>0</v>
      </c>
      <c r="BC281" s="567"/>
    </row>
    <row r="282" spans="1:55" ht="15.75">
      <c r="A282" s="260">
        <f t="shared" si="204"/>
        <v>45110</v>
      </c>
      <c r="B282" s="261">
        <f t="shared" si="179"/>
        <v>45110</v>
      </c>
      <c r="C282" s="262">
        <f>IF(A282="","",NumberOfWeek(A282))</f>
        <v>26</v>
      </c>
      <c r="D282" s="263">
        <f t="shared" si="180"/>
        <v>45107</v>
      </c>
      <c r="E282" s="273" t="str">
        <f t="shared" si="181"/>
        <v/>
      </c>
      <c r="F282" s="5"/>
      <c r="G282" s="6" t="str">
        <f t="shared" si="166"/>
        <v/>
      </c>
      <c r="H282" s="7"/>
      <c r="I282" s="7">
        <f t="shared" si="182"/>
        <v>0</v>
      </c>
      <c r="J282" s="76">
        <f t="shared" si="183"/>
        <v>0</v>
      </c>
      <c r="K282" s="7"/>
      <c r="L282" s="7">
        <f t="shared" si="184"/>
        <v>0</v>
      </c>
      <c r="M282" s="76">
        <f t="shared" si="167"/>
        <v>0</v>
      </c>
      <c r="N282" s="76"/>
      <c r="O282" s="76">
        <f t="shared" si="168"/>
        <v>0</v>
      </c>
      <c r="P282" s="76"/>
      <c r="Q282" s="76">
        <f t="shared" si="169"/>
        <v>0</v>
      </c>
      <c r="R282" s="76">
        <f t="shared" si="185"/>
        <v>0</v>
      </c>
      <c r="S282" s="76">
        <f t="shared" si="186"/>
        <v>0</v>
      </c>
      <c r="T282" s="76">
        <f t="shared" si="187"/>
        <v>0</v>
      </c>
      <c r="U282" s="76">
        <f t="shared" si="188"/>
        <v>0</v>
      </c>
      <c r="V282" s="109">
        <f t="shared" si="189"/>
        <v>0</v>
      </c>
      <c r="W282" s="62"/>
      <c r="X282" s="78">
        <f t="shared" si="170"/>
        <v>3.125E-2</v>
      </c>
      <c r="Y282" s="73">
        <f t="shared" si="190"/>
        <v>0</v>
      </c>
      <c r="Z282" s="74">
        <f t="shared" si="191"/>
        <v>0</v>
      </c>
      <c r="AA282" s="75">
        <f t="shared" si="192"/>
        <v>0</v>
      </c>
      <c r="AB282" s="63" t="str">
        <f t="shared" si="193"/>
        <v/>
      </c>
      <c r="AC282" s="148">
        <f t="shared" si="171"/>
        <v>0</v>
      </c>
      <c r="AD282" s="107" t="str">
        <f t="shared" si="172"/>
        <v/>
      </c>
      <c r="AE282" s="180">
        <f t="shared" si="194"/>
        <v>0</v>
      </c>
      <c r="AF282" s="73"/>
      <c r="AG282" s="525"/>
      <c r="AH282" s="73"/>
      <c r="AI282" s="73" t="str">
        <f t="shared" si="205"/>
        <v/>
      </c>
      <c r="AJ282" s="64">
        <f t="shared" si="173"/>
        <v>0</v>
      </c>
      <c r="AK282" s="64">
        <f t="shared" si="174"/>
        <v>0</v>
      </c>
      <c r="AL282" s="64" t="str">
        <f t="shared" si="175"/>
        <v/>
      </c>
      <c r="AM282">
        <f t="shared" si="176"/>
        <v>7</v>
      </c>
      <c r="AN282" s="85">
        <f>SUM($AD$6:AD282)</f>
        <v>0</v>
      </c>
      <c r="AO282" s="85">
        <f t="shared" ca="1" si="195"/>
        <v>0</v>
      </c>
      <c r="AP282" s="89">
        <f t="shared" si="196"/>
        <v>0</v>
      </c>
      <c r="AQ282" s="89">
        <f t="shared" si="197"/>
        <v>0</v>
      </c>
      <c r="AR282" s="89">
        <f t="shared" si="198"/>
        <v>0</v>
      </c>
      <c r="AS282" s="88">
        <f t="shared" si="199"/>
        <v>30</v>
      </c>
      <c r="AT282" s="88">
        <f t="shared" ca="1" si="200"/>
        <v>30</v>
      </c>
      <c r="AU282" s="98">
        <f t="shared" si="201"/>
        <v>0</v>
      </c>
      <c r="AV282" s="88">
        <f t="shared" si="202"/>
        <v>7</v>
      </c>
      <c r="AW282" t="b">
        <f>OR((F282&gt;0),(NOT(ISBLANK(H282))),SUM(H282:H$373),SUM(G282:G$373))</f>
        <v>0</v>
      </c>
      <c r="AX282" t="b">
        <f t="shared" ca="1" si="177"/>
        <v>1</v>
      </c>
      <c r="AY282" s="519">
        <f t="shared" si="203"/>
        <v>0</v>
      </c>
      <c r="AZ282" s="180">
        <f>SUM(AY$5:AY282)</f>
        <v>-55.124999999999865</v>
      </c>
      <c r="BA282" s="567"/>
      <c r="BB282" s="567">
        <f t="shared" si="178"/>
        <v>0</v>
      </c>
      <c r="BC282" s="567"/>
    </row>
    <row r="283" spans="1:55" ht="15.75">
      <c r="A283" s="260">
        <f t="shared" si="204"/>
        <v>45111</v>
      </c>
      <c r="B283" s="261">
        <f t="shared" si="179"/>
        <v>45111</v>
      </c>
      <c r="C283" s="262">
        <f>IF(A283="","",NumberOfWeek(A283))</f>
        <v>27</v>
      </c>
      <c r="D283" s="263">
        <f t="shared" si="180"/>
        <v>45107</v>
      </c>
      <c r="E283" s="273" t="str">
        <f t="shared" si="181"/>
        <v/>
      </c>
      <c r="F283" s="5"/>
      <c r="G283" s="6" t="str">
        <f t="shared" si="166"/>
        <v/>
      </c>
      <c r="H283" s="7"/>
      <c r="I283" s="7">
        <f t="shared" si="182"/>
        <v>0</v>
      </c>
      <c r="J283" s="76">
        <f t="shared" si="183"/>
        <v>0</v>
      </c>
      <c r="K283" s="7"/>
      <c r="L283" s="7">
        <f t="shared" si="184"/>
        <v>0</v>
      </c>
      <c r="M283" s="76">
        <f t="shared" si="167"/>
        <v>0</v>
      </c>
      <c r="N283" s="76"/>
      <c r="O283" s="76">
        <f t="shared" si="168"/>
        <v>0</v>
      </c>
      <c r="P283" s="76"/>
      <c r="Q283" s="76">
        <f t="shared" si="169"/>
        <v>0</v>
      </c>
      <c r="R283" s="76">
        <f t="shared" si="185"/>
        <v>0</v>
      </c>
      <c r="S283" s="76">
        <f t="shared" si="186"/>
        <v>0</v>
      </c>
      <c r="T283" s="76">
        <f t="shared" si="187"/>
        <v>0</v>
      </c>
      <c r="U283" s="76">
        <f t="shared" si="188"/>
        <v>0</v>
      </c>
      <c r="V283" s="109">
        <f t="shared" si="189"/>
        <v>0</v>
      </c>
      <c r="W283" s="62"/>
      <c r="X283" s="78">
        <f t="shared" si="170"/>
        <v>3.125E-2</v>
      </c>
      <c r="Y283" s="73">
        <f t="shared" si="190"/>
        <v>0</v>
      </c>
      <c r="Z283" s="74">
        <f t="shared" si="191"/>
        <v>0.29166666666666669</v>
      </c>
      <c r="AA283" s="75">
        <f t="shared" si="192"/>
        <v>0</v>
      </c>
      <c r="AB283" s="63" t="str">
        <f t="shared" si="193"/>
        <v/>
      </c>
      <c r="AC283" s="148">
        <f t="shared" si="171"/>
        <v>0</v>
      </c>
      <c r="AD283" s="107" t="str">
        <f t="shared" si="172"/>
        <v/>
      </c>
      <c r="AE283" s="180">
        <f t="shared" si="194"/>
        <v>0</v>
      </c>
      <c r="AF283" s="73"/>
      <c r="AG283" s="525"/>
      <c r="AH283" s="73"/>
      <c r="AI283" s="73" t="str">
        <f t="shared" si="205"/>
        <v/>
      </c>
      <c r="AJ283" s="64">
        <f t="shared" si="173"/>
        <v>0</v>
      </c>
      <c r="AK283" s="64">
        <f t="shared" si="174"/>
        <v>0</v>
      </c>
      <c r="AL283" s="64" t="str">
        <f t="shared" si="175"/>
        <v/>
      </c>
      <c r="AM283">
        <f t="shared" si="176"/>
        <v>1</v>
      </c>
      <c r="AN283" s="85">
        <f>SUM($AD$6:AD283)</f>
        <v>0</v>
      </c>
      <c r="AO283" s="85">
        <f t="shared" ca="1" si="195"/>
        <v>0</v>
      </c>
      <c r="AP283" s="89">
        <f t="shared" si="196"/>
        <v>0</v>
      </c>
      <c r="AQ283" s="89">
        <f t="shared" si="197"/>
        <v>0</v>
      </c>
      <c r="AR283" s="89">
        <f t="shared" si="198"/>
        <v>0</v>
      </c>
      <c r="AS283" s="88">
        <f t="shared" si="199"/>
        <v>30</v>
      </c>
      <c r="AT283" s="88">
        <f t="shared" ca="1" si="200"/>
        <v>30</v>
      </c>
      <c r="AU283" s="98">
        <f t="shared" si="201"/>
        <v>0</v>
      </c>
      <c r="AV283" s="88">
        <f t="shared" si="202"/>
        <v>0</v>
      </c>
      <c r="AW283" t="b">
        <f>OR((F283&gt;0),(NOT(ISBLANK(H283))),SUM(H283:H$373),SUM(G283:G$373))</f>
        <v>0</v>
      </c>
      <c r="AX283" t="b">
        <f t="shared" ca="1" si="177"/>
        <v>0</v>
      </c>
      <c r="AY283" s="519">
        <f t="shared" si="203"/>
        <v>-0.29166666666666669</v>
      </c>
      <c r="AZ283" s="180">
        <f>SUM(AY$5:AY283)</f>
        <v>-55.416666666666529</v>
      </c>
      <c r="BA283" s="567"/>
      <c r="BB283" s="567">
        <f t="shared" si="178"/>
        <v>0</v>
      </c>
      <c r="BC283" s="567"/>
    </row>
    <row r="284" spans="1:55" ht="15.75">
      <c r="A284" s="260">
        <f t="shared" si="204"/>
        <v>45112</v>
      </c>
      <c r="B284" s="261">
        <f t="shared" si="179"/>
        <v>45112</v>
      </c>
      <c r="C284" s="262">
        <f>IF(A284="","",NumberOfWeek(A284))</f>
        <v>27</v>
      </c>
      <c r="D284" s="263">
        <f t="shared" si="180"/>
        <v>45107</v>
      </c>
      <c r="E284" s="273" t="str">
        <f t="shared" si="181"/>
        <v/>
      </c>
      <c r="F284" s="5"/>
      <c r="G284" s="6" t="str">
        <f t="shared" si="166"/>
        <v/>
      </c>
      <c r="H284" s="7"/>
      <c r="I284" s="7">
        <f t="shared" si="182"/>
        <v>0</v>
      </c>
      <c r="J284" s="76">
        <f t="shared" si="183"/>
        <v>0</v>
      </c>
      <c r="K284" s="7"/>
      <c r="L284" s="7">
        <f t="shared" si="184"/>
        <v>0</v>
      </c>
      <c r="M284" s="76">
        <f t="shared" si="167"/>
        <v>0</v>
      </c>
      <c r="N284" s="76"/>
      <c r="O284" s="76">
        <f t="shared" si="168"/>
        <v>0</v>
      </c>
      <c r="P284" s="76"/>
      <c r="Q284" s="76">
        <f t="shared" si="169"/>
        <v>0</v>
      </c>
      <c r="R284" s="76">
        <f t="shared" si="185"/>
        <v>0</v>
      </c>
      <c r="S284" s="76">
        <f t="shared" si="186"/>
        <v>0</v>
      </c>
      <c r="T284" s="76">
        <f t="shared" si="187"/>
        <v>0</v>
      </c>
      <c r="U284" s="76">
        <f t="shared" si="188"/>
        <v>0</v>
      </c>
      <c r="V284" s="109">
        <f t="shared" si="189"/>
        <v>0</v>
      </c>
      <c r="W284" s="62"/>
      <c r="X284" s="78">
        <f t="shared" si="170"/>
        <v>3.125E-2</v>
      </c>
      <c r="Y284" s="73">
        <f t="shared" si="190"/>
        <v>0</v>
      </c>
      <c r="Z284" s="74">
        <f t="shared" si="191"/>
        <v>0.29166666666666669</v>
      </c>
      <c r="AA284" s="75">
        <f t="shared" si="192"/>
        <v>0</v>
      </c>
      <c r="AB284" s="63" t="str">
        <f t="shared" si="193"/>
        <v/>
      </c>
      <c r="AC284" s="148">
        <f t="shared" si="171"/>
        <v>0</v>
      </c>
      <c r="AD284" s="107" t="str">
        <f t="shared" si="172"/>
        <v/>
      </c>
      <c r="AE284" s="180">
        <f t="shared" si="194"/>
        <v>0</v>
      </c>
      <c r="AF284" s="73"/>
      <c r="AG284" s="525"/>
      <c r="AH284" s="73"/>
      <c r="AI284" s="73" t="str">
        <f t="shared" si="205"/>
        <v/>
      </c>
      <c r="AJ284" s="64">
        <f t="shared" si="173"/>
        <v>0</v>
      </c>
      <c r="AK284" s="64">
        <f t="shared" si="174"/>
        <v>0</v>
      </c>
      <c r="AL284" s="64" t="str">
        <f t="shared" si="175"/>
        <v/>
      </c>
      <c r="AM284">
        <f t="shared" si="176"/>
        <v>2</v>
      </c>
      <c r="AN284" s="85">
        <f>SUM($AD$6:AD284)</f>
        <v>0</v>
      </c>
      <c r="AO284" s="85">
        <f t="shared" ca="1" si="195"/>
        <v>0</v>
      </c>
      <c r="AP284" s="89">
        <f t="shared" si="196"/>
        <v>0</v>
      </c>
      <c r="AQ284" s="89">
        <f t="shared" si="197"/>
        <v>0</v>
      </c>
      <c r="AR284" s="89">
        <f t="shared" si="198"/>
        <v>0</v>
      </c>
      <c r="AS284" s="88">
        <f t="shared" si="199"/>
        <v>30</v>
      </c>
      <c r="AT284" s="88">
        <f t="shared" ca="1" si="200"/>
        <v>30</v>
      </c>
      <c r="AU284" s="98">
        <f t="shared" si="201"/>
        <v>0</v>
      </c>
      <c r="AV284" s="88">
        <f t="shared" si="202"/>
        <v>0</v>
      </c>
      <c r="AW284" t="b">
        <f>OR((F284&gt;0),(NOT(ISBLANK(H284))),SUM(H284:H$373),SUM(G284:G$373))</f>
        <v>0</v>
      </c>
      <c r="AX284" t="b">
        <f t="shared" ca="1" si="177"/>
        <v>0</v>
      </c>
      <c r="AY284" s="519">
        <f t="shared" si="203"/>
        <v>-0.29166666666666669</v>
      </c>
      <c r="AZ284" s="180">
        <f>SUM(AY$5:AY284)</f>
        <v>-55.708333333333194</v>
      </c>
      <c r="BA284" s="567"/>
      <c r="BB284" s="567">
        <f t="shared" si="178"/>
        <v>0</v>
      </c>
      <c r="BC284" s="567"/>
    </row>
    <row r="285" spans="1:55" ht="15.75">
      <c r="A285" s="260">
        <f t="shared" si="204"/>
        <v>45113</v>
      </c>
      <c r="B285" s="261">
        <f t="shared" si="179"/>
        <v>45113</v>
      </c>
      <c r="C285" s="262">
        <f>IF(A285="","",NumberOfWeek(A285))</f>
        <v>27</v>
      </c>
      <c r="D285" s="263">
        <f t="shared" si="180"/>
        <v>45107</v>
      </c>
      <c r="E285" s="273" t="str">
        <f t="shared" si="181"/>
        <v/>
      </c>
      <c r="F285" s="5"/>
      <c r="G285" s="6" t="str">
        <f t="shared" si="166"/>
        <v/>
      </c>
      <c r="H285" s="7"/>
      <c r="I285" s="7">
        <f t="shared" si="182"/>
        <v>0</v>
      </c>
      <c r="J285" s="76">
        <f t="shared" si="183"/>
        <v>0</v>
      </c>
      <c r="K285" s="7"/>
      <c r="L285" s="7">
        <f t="shared" si="184"/>
        <v>0</v>
      </c>
      <c r="M285" s="76">
        <f t="shared" si="167"/>
        <v>0</v>
      </c>
      <c r="N285" s="76"/>
      <c r="O285" s="76">
        <f t="shared" si="168"/>
        <v>0</v>
      </c>
      <c r="P285" s="76"/>
      <c r="Q285" s="76">
        <f t="shared" si="169"/>
        <v>0</v>
      </c>
      <c r="R285" s="76">
        <f t="shared" si="185"/>
        <v>0</v>
      </c>
      <c r="S285" s="76">
        <f t="shared" si="186"/>
        <v>0</v>
      </c>
      <c r="T285" s="76">
        <f t="shared" si="187"/>
        <v>0</v>
      </c>
      <c r="U285" s="76">
        <f t="shared" si="188"/>
        <v>0</v>
      </c>
      <c r="V285" s="109">
        <f t="shared" si="189"/>
        <v>0</v>
      </c>
      <c r="W285" s="62"/>
      <c r="X285" s="78">
        <f t="shared" si="170"/>
        <v>3.125E-2</v>
      </c>
      <c r="Y285" s="73">
        <f t="shared" si="190"/>
        <v>0</v>
      </c>
      <c r="Z285" s="74">
        <f t="shared" si="191"/>
        <v>0.29166666666666669</v>
      </c>
      <c r="AA285" s="75">
        <f t="shared" si="192"/>
        <v>0</v>
      </c>
      <c r="AB285" s="63" t="str">
        <f t="shared" si="193"/>
        <v/>
      </c>
      <c r="AC285" s="148">
        <f t="shared" si="171"/>
        <v>0</v>
      </c>
      <c r="AD285" s="107" t="str">
        <f t="shared" si="172"/>
        <v/>
      </c>
      <c r="AE285" s="180">
        <f t="shared" si="194"/>
        <v>0</v>
      </c>
      <c r="AF285" s="73"/>
      <c r="AG285" s="525"/>
      <c r="AH285" s="73"/>
      <c r="AI285" s="73" t="str">
        <f t="shared" si="205"/>
        <v/>
      </c>
      <c r="AJ285" s="64">
        <f t="shared" si="173"/>
        <v>0</v>
      </c>
      <c r="AK285" s="64">
        <f t="shared" si="174"/>
        <v>0</v>
      </c>
      <c r="AL285" s="64" t="str">
        <f t="shared" si="175"/>
        <v/>
      </c>
      <c r="AM285">
        <f t="shared" si="176"/>
        <v>3</v>
      </c>
      <c r="AN285" s="85">
        <f>SUM($AD$6:AD285)</f>
        <v>0</v>
      </c>
      <c r="AO285" s="85">
        <f t="shared" ca="1" si="195"/>
        <v>0</v>
      </c>
      <c r="AP285" s="89">
        <f t="shared" si="196"/>
        <v>0</v>
      </c>
      <c r="AQ285" s="89">
        <f t="shared" si="197"/>
        <v>0</v>
      </c>
      <c r="AR285" s="89">
        <f t="shared" si="198"/>
        <v>0</v>
      </c>
      <c r="AS285" s="88">
        <f t="shared" si="199"/>
        <v>30</v>
      </c>
      <c r="AT285" s="88">
        <f t="shared" ca="1" si="200"/>
        <v>30</v>
      </c>
      <c r="AU285" s="98">
        <f t="shared" si="201"/>
        <v>0</v>
      </c>
      <c r="AV285" s="88">
        <f t="shared" si="202"/>
        <v>0</v>
      </c>
      <c r="AW285" t="b">
        <f>OR((F285&gt;0),(NOT(ISBLANK(H285))),SUM(H285:H$373),SUM(G285:G$373))</f>
        <v>0</v>
      </c>
      <c r="AX285" t="b">
        <f t="shared" ca="1" si="177"/>
        <v>0</v>
      </c>
      <c r="AY285" s="519">
        <f t="shared" si="203"/>
        <v>-0.29166666666666669</v>
      </c>
      <c r="AZ285" s="180">
        <f>SUM(AY$5:AY285)</f>
        <v>-55.999999999999858</v>
      </c>
      <c r="BA285" s="567"/>
      <c r="BB285" s="567">
        <f t="shared" si="178"/>
        <v>0</v>
      </c>
      <c r="BC285" s="567"/>
    </row>
    <row r="286" spans="1:55" ht="15.75">
      <c r="A286" s="260">
        <f t="shared" si="204"/>
        <v>45114</v>
      </c>
      <c r="B286" s="261">
        <f t="shared" si="179"/>
        <v>45114</v>
      </c>
      <c r="C286" s="262">
        <f>IF(A286="","",NumberOfWeek(A286))</f>
        <v>27</v>
      </c>
      <c r="D286" s="263">
        <f t="shared" si="180"/>
        <v>45107</v>
      </c>
      <c r="E286" s="273" t="str">
        <f t="shared" si="181"/>
        <v/>
      </c>
      <c r="F286" s="5"/>
      <c r="G286" s="6" t="str">
        <f t="shared" si="166"/>
        <v/>
      </c>
      <c r="H286" s="7"/>
      <c r="I286" s="7">
        <f t="shared" si="182"/>
        <v>0</v>
      </c>
      <c r="J286" s="76">
        <f t="shared" si="183"/>
        <v>0</v>
      </c>
      <c r="K286" s="7"/>
      <c r="L286" s="7">
        <f t="shared" si="184"/>
        <v>0</v>
      </c>
      <c r="M286" s="76">
        <f t="shared" si="167"/>
        <v>0</v>
      </c>
      <c r="N286" s="76"/>
      <c r="O286" s="76">
        <f t="shared" si="168"/>
        <v>0</v>
      </c>
      <c r="P286" s="76"/>
      <c r="Q286" s="76">
        <f t="shared" si="169"/>
        <v>0</v>
      </c>
      <c r="R286" s="76">
        <f t="shared" si="185"/>
        <v>0</v>
      </c>
      <c r="S286" s="76">
        <f t="shared" si="186"/>
        <v>0</v>
      </c>
      <c r="T286" s="76">
        <f t="shared" si="187"/>
        <v>0</v>
      </c>
      <c r="U286" s="76">
        <f t="shared" si="188"/>
        <v>0</v>
      </c>
      <c r="V286" s="109">
        <f t="shared" si="189"/>
        <v>0</v>
      </c>
      <c r="W286" s="62"/>
      <c r="X286" s="78">
        <f t="shared" si="170"/>
        <v>3.125E-2</v>
      </c>
      <c r="Y286" s="73">
        <f t="shared" si="190"/>
        <v>0</v>
      </c>
      <c r="Z286" s="74">
        <f t="shared" si="191"/>
        <v>0.29166666666666669</v>
      </c>
      <c r="AA286" s="75">
        <f t="shared" si="192"/>
        <v>0</v>
      </c>
      <c r="AB286" s="63" t="str">
        <f t="shared" si="193"/>
        <v/>
      </c>
      <c r="AC286" s="148">
        <f t="shared" si="171"/>
        <v>0</v>
      </c>
      <c r="AD286" s="107" t="str">
        <f t="shared" si="172"/>
        <v/>
      </c>
      <c r="AE286" s="180">
        <f t="shared" si="194"/>
        <v>0</v>
      </c>
      <c r="AF286" s="73"/>
      <c r="AG286" s="525"/>
      <c r="AH286" s="73"/>
      <c r="AI286" s="73" t="str">
        <f t="shared" si="205"/>
        <v/>
      </c>
      <c r="AJ286" s="64">
        <f t="shared" si="173"/>
        <v>0</v>
      </c>
      <c r="AK286" s="64">
        <f t="shared" si="174"/>
        <v>0</v>
      </c>
      <c r="AL286" s="64" t="str">
        <f t="shared" si="175"/>
        <v/>
      </c>
      <c r="AM286">
        <f t="shared" si="176"/>
        <v>4</v>
      </c>
      <c r="AN286" s="85">
        <f>SUM($AD$6:AD286)</f>
        <v>0</v>
      </c>
      <c r="AO286" s="85">
        <f t="shared" ca="1" si="195"/>
        <v>0</v>
      </c>
      <c r="AP286" s="89">
        <f t="shared" si="196"/>
        <v>0</v>
      </c>
      <c r="AQ286" s="89">
        <f t="shared" si="197"/>
        <v>0</v>
      </c>
      <c r="AR286" s="89">
        <f t="shared" si="198"/>
        <v>0</v>
      </c>
      <c r="AS286" s="88">
        <f t="shared" si="199"/>
        <v>30</v>
      </c>
      <c r="AT286" s="88">
        <f t="shared" ca="1" si="200"/>
        <v>30</v>
      </c>
      <c r="AU286" s="98">
        <f t="shared" si="201"/>
        <v>0</v>
      </c>
      <c r="AV286" s="88">
        <f t="shared" si="202"/>
        <v>0</v>
      </c>
      <c r="AW286" t="b">
        <f>OR((F286&gt;0),(NOT(ISBLANK(H286))),SUM(H286:H$373),SUM(G286:G$373))</f>
        <v>0</v>
      </c>
      <c r="AX286" t="b">
        <f t="shared" ca="1" si="177"/>
        <v>0</v>
      </c>
      <c r="AY286" s="519">
        <f t="shared" si="203"/>
        <v>-0.29166666666666669</v>
      </c>
      <c r="AZ286" s="180">
        <f>SUM(AY$5:AY286)</f>
        <v>-56.291666666666522</v>
      </c>
      <c r="BA286" s="567"/>
      <c r="BB286" s="567">
        <f t="shared" si="178"/>
        <v>0</v>
      </c>
      <c r="BC286" s="567"/>
    </row>
    <row r="287" spans="1:55" ht="15.75">
      <c r="A287" s="260">
        <f t="shared" si="204"/>
        <v>45115</v>
      </c>
      <c r="B287" s="261">
        <f t="shared" si="179"/>
        <v>45115</v>
      </c>
      <c r="C287" s="262">
        <f>IF(A287="","",NumberOfWeek(A287))</f>
        <v>27</v>
      </c>
      <c r="D287" s="263">
        <f t="shared" si="180"/>
        <v>45107</v>
      </c>
      <c r="E287" s="273" t="str">
        <f t="shared" si="181"/>
        <v/>
      </c>
      <c r="F287" s="5"/>
      <c r="G287" s="6" t="str">
        <f t="shared" si="166"/>
        <v/>
      </c>
      <c r="H287" s="7"/>
      <c r="I287" s="7">
        <f t="shared" si="182"/>
        <v>0</v>
      </c>
      <c r="J287" s="76">
        <f t="shared" si="183"/>
        <v>0</v>
      </c>
      <c r="K287" s="7"/>
      <c r="L287" s="7">
        <f t="shared" si="184"/>
        <v>0</v>
      </c>
      <c r="M287" s="76">
        <f t="shared" si="167"/>
        <v>0</v>
      </c>
      <c r="N287" s="76"/>
      <c r="O287" s="76">
        <f t="shared" si="168"/>
        <v>0</v>
      </c>
      <c r="P287" s="76"/>
      <c r="Q287" s="76">
        <f t="shared" si="169"/>
        <v>0</v>
      </c>
      <c r="R287" s="76">
        <f t="shared" si="185"/>
        <v>0</v>
      </c>
      <c r="S287" s="76">
        <f t="shared" si="186"/>
        <v>0</v>
      </c>
      <c r="T287" s="76">
        <f t="shared" si="187"/>
        <v>0</v>
      </c>
      <c r="U287" s="76">
        <f t="shared" si="188"/>
        <v>0</v>
      </c>
      <c r="V287" s="109">
        <f t="shared" si="189"/>
        <v>0</v>
      </c>
      <c r="W287" s="62"/>
      <c r="X287" s="78">
        <f t="shared" si="170"/>
        <v>3.125E-2</v>
      </c>
      <c r="Y287" s="73">
        <f t="shared" si="190"/>
        <v>0</v>
      </c>
      <c r="Z287" s="74">
        <f t="shared" si="191"/>
        <v>0.29166666666666669</v>
      </c>
      <c r="AA287" s="75">
        <f t="shared" si="192"/>
        <v>0</v>
      </c>
      <c r="AB287" s="63" t="str">
        <f t="shared" si="193"/>
        <v/>
      </c>
      <c r="AC287" s="148">
        <f t="shared" si="171"/>
        <v>0</v>
      </c>
      <c r="AD287" s="107" t="str">
        <f t="shared" si="172"/>
        <v/>
      </c>
      <c r="AE287" s="180">
        <f t="shared" si="194"/>
        <v>0</v>
      </c>
      <c r="AF287" s="73"/>
      <c r="AG287" s="525"/>
      <c r="AH287" s="73"/>
      <c r="AI287" s="73" t="str">
        <f t="shared" si="205"/>
        <v/>
      </c>
      <c r="AJ287" s="64">
        <f t="shared" si="173"/>
        <v>0</v>
      </c>
      <c r="AK287" s="64">
        <f t="shared" si="174"/>
        <v>0</v>
      </c>
      <c r="AL287" s="64" t="str">
        <f t="shared" si="175"/>
        <v/>
      </c>
      <c r="AM287">
        <f t="shared" si="176"/>
        <v>5</v>
      </c>
      <c r="AN287" s="85">
        <f>SUM($AD$6:AD287)</f>
        <v>0</v>
      </c>
      <c r="AO287" s="85">
        <f t="shared" ca="1" si="195"/>
        <v>0</v>
      </c>
      <c r="AP287" s="89">
        <f t="shared" si="196"/>
        <v>0</v>
      </c>
      <c r="AQ287" s="89">
        <f t="shared" si="197"/>
        <v>0</v>
      </c>
      <c r="AR287" s="89">
        <f t="shared" si="198"/>
        <v>0</v>
      </c>
      <c r="AS287" s="88">
        <f t="shared" si="199"/>
        <v>30</v>
      </c>
      <c r="AT287" s="88">
        <f t="shared" ca="1" si="200"/>
        <v>30</v>
      </c>
      <c r="AU287" s="98">
        <f t="shared" si="201"/>
        <v>0</v>
      </c>
      <c r="AV287" s="88">
        <f t="shared" si="202"/>
        <v>0</v>
      </c>
      <c r="AW287" t="b">
        <f>OR((F287&gt;0),(NOT(ISBLANK(H287))),SUM(H287:H$373),SUM(G287:G$373))</f>
        <v>0</v>
      </c>
      <c r="AX287" t="b">
        <f t="shared" ca="1" si="177"/>
        <v>0</v>
      </c>
      <c r="AY287" s="519">
        <f t="shared" si="203"/>
        <v>-0.29166666666666669</v>
      </c>
      <c r="AZ287" s="180">
        <f>SUM(AY$5:AY287)</f>
        <v>-56.583333333333186</v>
      </c>
      <c r="BA287" s="567"/>
      <c r="BB287" s="567">
        <f t="shared" si="178"/>
        <v>0</v>
      </c>
      <c r="BC287" s="567"/>
    </row>
    <row r="288" spans="1:55" ht="15.75">
      <c r="A288" s="260">
        <f t="shared" si="204"/>
        <v>45116</v>
      </c>
      <c r="B288" s="261">
        <f t="shared" si="179"/>
        <v>45116</v>
      </c>
      <c r="C288" s="262">
        <f>IF(A288="","",NumberOfWeek(A288))</f>
        <v>27</v>
      </c>
      <c r="D288" s="263">
        <f t="shared" si="180"/>
        <v>45107</v>
      </c>
      <c r="E288" s="273" t="str">
        <f t="shared" si="181"/>
        <v/>
      </c>
      <c r="F288" s="5"/>
      <c r="G288" s="6" t="str">
        <f t="shared" si="166"/>
        <v/>
      </c>
      <c r="H288" s="7"/>
      <c r="I288" s="7">
        <f t="shared" si="182"/>
        <v>0</v>
      </c>
      <c r="J288" s="76">
        <f t="shared" si="183"/>
        <v>0</v>
      </c>
      <c r="K288" s="7"/>
      <c r="L288" s="7">
        <f t="shared" si="184"/>
        <v>0</v>
      </c>
      <c r="M288" s="76">
        <f t="shared" si="167"/>
        <v>0</v>
      </c>
      <c r="N288" s="76"/>
      <c r="O288" s="76">
        <f t="shared" si="168"/>
        <v>0</v>
      </c>
      <c r="P288" s="76"/>
      <c r="Q288" s="76">
        <f t="shared" si="169"/>
        <v>0</v>
      </c>
      <c r="R288" s="76">
        <f t="shared" si="185"/>
        <v>0</v>
      </c>
      <c r="S288" s="76">
        <f t="shared" si="186"/>
        <v>0</v>
      </c>
      <c r="T288" s="76">
        <f t="shared" si="187"/>
        <v>0</v>
      </c>
      <c r="U288" s="76">
        <f t="shared" si="188"/>
        <v>0</v>
      </c>
      <c r="V288" s="109">
        <f t="shared" si="189"/>
        <v>0</v>
      </c>
      <c r="W288" s="62"/>
      <c r="X288" s="78">
        <f t="shared" si="170"/>
        <v>3.125E-2</v>
      </c>
      <c r="Y288" s="73">
        <f t="shared" si="190"/>
        <v>0</v>
      </c>
      <c r="Z288" s="74">
        <f t="shared" si="191"/>
        <v>0</v>
      </c>
      <c r="AA288" s="75">
        <f t="shared" si="192"/>
        <v>0</v>
      </c>
      <c r="AB288" s="63" t="str">
        <f t="shared" si="193"/>
        <v/>
      </c>
      <c r="AC288" s="148">
        <f t="shared" si="171"/>
        <v>0</v>
      </c>
      <c r="AD288" s="107" t="str">
        <f t="shared" si="172"/>
        <v/>
      </c>
      <c r="AE288" s="180">
        <f t="shared" si="194"/>
        <v>0</v>
      </c>
      <c r="AF288" s="73"/>
      <c r="AG288" s="525"/>
      <c r="AH288" s="73"/>
      <c r="AI288" s="73" t="str">
        <f t="shared" si="205"/>
        <v/>
      </c>
      <c r="AJ288" s="64">
        <f t="shared" si="173"/>
        <v>0</v>
      </c>
      <c r="AK288" s="64">
        <f t="shared" si="174"/>
        <v>0</v>
      </c>
      <c r="AL288" s="64" t="str">
        <f t="shared" si="175"/>
        <v/>
      </c>
      <c r="AM288">
        <f t="shared" si="176"/>
        <v>6</v>
      </c>
      <c r="AN288" s="85">
        <f>SUM($AD$6:AD288)</f>
        <v>0</v>
      </c>
      <c r="AO288" s="85">
        <f t="shared" ca="1" si="195"/>
        <v>0</v>
      </c>
      <c r="AP288" s="89">
        <f t="shared" si="196"/>
        <v>0</v>
      </c>
      <c r="AQ288" s="89">
        <f t="shared" si="197"/>
        <v>0</v>
      </c>
      <c r="AR288" s="89">
        <f t="shared" si="198"/>
        <v>0</v>
      </c>
      <c r="AS288" s="88">
        <f t="shared" si="199"/>
        <v>30</v>
      </c>
      <c r="AT288" s="88">
        <f t="shared" ca="1" si="200"/>
        <v>30</v>
      </c>
      <c r="AU288" s="98">
        <f t="shared" si="201"/>
        <v>0</v>
      </c>
      <c r="AV288" s="88">
        <f t="shared" si="202"/>
        <v>7</v>
      </c>
      <c r="AW288" t="b">
        <f>OR((F288&gt;0),(NOT(ISBLANK(H288))),SUM(H288:H$373),SUM(G288:G$373))</f>
        <v>0</v>
      </c>
      <c r="AX288" t="b">
        <f t="shared" ca="1" si="177"/>
        <v>1</v>
      </c>
      <c r="AY288" s="519">
        <f t="shared" si="203"/>
        <v>0</v>
      </c>
      <c r="AZ288" s="180">
        <f>SUM(AY$5:AY288)</f>
        <v>-56.583333333333186</v>
      </c>
      <c r="BA288" s="567"/>
      <c r="BB288" s="567">
        <f t="shared" si="178"/>
        <v>0</v>
      </c>
      <c r="BC288" s="567"/>
    </row>
    <row r="289" spans="1:55" ht="15.75">
      <c r="A289" s="260">
        <f t="shared" si="204"/>
        <v>45117</v>
      </c>
      <c r="B289" s="261">
        <f t="shared" si="179"/>
        <v>45117</v>
      </c>
      <c r="C289" s="262">
        <f>IF(A289="","",NumberOfWeek(A289))</f>
        <v>27</v>
      </c>
      <c r="D289" s="263">
        <f t="shared" si="180"/>
        <v>45107</v>
      </c>
      <c r="E289" s="273" t="str">
        <f t="shared" si="181"/>
        <v/>
      </c>
      <c r="F289" s="5"/>
      <c r="G289" s="6" t="str">
        <f t="shared" si="166"/>
        <v/>
      </c>
      <c r="H289" s="7"/>
      <c r="I289" s="7">
        <f t="shared" si="182"/>
        <v>0</v>
      </c>
      <c r="J289" s="76">
        <f t="shared" si="183"/>
        <v>0</v>
      </c>
      <c r="K289" s="7"/>
      <c r="L289" s="7">
        <f t="shared" si="184"/>
        <v>0</v>
      </c>
      <c r="M289" s="76">
        <f t="shared" si="167"/>
        <v>0</v>
      </c>
      <c r="N289" s="76"/>
      <c r="O289" s="76">
        <f t="shared" si="168"/>
        <v>0</v>
      </c>
      <c r="P289" s="76"/>
      <c r="Q289" s="76">
        <f t="shared" si="169"/>
        <v>0</v>
      </c>
      <c r="R289" s="76">
        <f t="shared" si="185"/>
        <v>0</v>
      </c>
      <c r="S289" s="76">
        <f t="shared" si="186"/>
        <v>0</v>
      </c>
      <c r="T289" s="76">
        <f t="shared" si="187"/>
        <v>0</v>
      </c>
      <c r="U289" s="76">
        <f t="shared" si="188"/>
        <v>0</v>
      </c>
      <c r="V289" s="109">
        <f t="shared" si="189"/>
        <v>0</v>
      </c>
      <c r="W289" s="62"/>
      <c r="X289" s="78">
        <f t="shared" si="170"/>
        <v>3.125E-2</v>
      </c>
      <c r="Y289" s="73">
        <f t="shared" si="190"/>
        <v>0</v>
      </c>
      <c r="Z289" s="74">
        <f t="shared" si="191"/>
        <v>0</v>
      </c>
      <c r="AA289" s="75">
        <f t="shared" si="192"/>
        <v>0</v>
      </c>
      <c r="AB289" s="63" t="str">
        <f t="shared" si="193"/>
        <v/>
      </c>
      <c r="AC289" s="148">
        <f t="shared" si="171"/>
        <v>0</v>
      </c>
      <c r="AD289" s="107" t="str">
        <f t="shared" si="172"/>
        <v/>
      </c>
      <c r="AE289" s="180">
        <f t="shared" si="194"/>
        <v>0</v>
      </c>
      <c r="AF289" s="73"/>
      <c r="AG289" s="525"/>
      <c r="AH289" s="73"/>
      <c r="AI289" s="73" t="str">
        <f t="shared" si="205"/>
        <v/>
      </c>
      <c r="AJ289" s="64">
        <f t="shared" si="173"/>
        <v>0</v>
      </c>
      <c r="AK289" s="64">
        <f t="shared" si="174"/>
        <v>0</v>
      </c>
      <c r="AL289" s="64" t="str">
        <f t="shared" si="175"/>
        <v/>
      </c>
      <c r="AM289">
        <f t="shared" si="176"/>
        <v>7</v>
      </c>
      <c r="AN289" s="85">
        <f>SUM($AD$6:AD289)</f>
        <v>0</v>
      </c>
      <c r="AO289" s="85">
        <f t="shared" ca="1" si="195"/>
        <v>0</v>
      </c>
      <c r="AP289" s="89">
        <f t="shared" si="196"/>
        <v>0</v>
      </c>
      <c r="AQ289" s="89">
        <f t="shared" si="197"/>
        <v>0</v>
      </c>
      <c r="AR289" s="89">
        <f t="shared" si="198"/>
        <v>0</v>
      </c>
      <c r="AS289" s="88">
        <f t="shared" si="199"/>
        <v>30</v>
      </c>
      <c r="AT289" s="88">
        <f t="shared" ca="1" si="200"/>
        <v>30</v>
      </c>
      <c r="AU289" s="98">
        <f t="shared" si="201"/>
        <v>0</v>
      </c>
      <c r="AV289" s="88">
        <f t="shared" si="202"/>
        <v>7</v>
      </c>
      <c r="AW289" t="b">
        <f>OR((F289&gt;0),(NOT(ISBLANK(H289))),SUM(H289:H$373),SUM(G289:G$373))</f>
        <v>0</v>
      </c>
      <c r="AX289" t="b">
        <f t="shared" ca="1" si="177"/>
        <v>1</v>
      </c>
      <c r="AY289" s="519">
        <f t="shared" si="203"/>
        <v>0</v>
      </c>
      <c r="AZ289" s="180">
        <f>SUM(AY$5:AY289)</f>
        <v>-56.583333333333186</v>
      </c>
      <c r="BA289" s="567"/>
      <c r="BB289" s="567">
        <f t="shared" si="178"/>
        <v>0</v>
      </c>
      <c r="BC289" s="567"/>
    </row>
    <row r="290" spans="1:55" ht="15.75">
      <c r="A290" s="260">
        <f t="shared" si="204"/>
        <v>45118</v>
      </c>
      <c r="B290" s="261">
        <f t="shared" si="179"/>
        <v>45118</v>
      </c>
      <c r="C290" s="262">
        <f>IF(A290="","",NumberOfWeek(A290))</f>
        <v>28</v>
      </c>
      <c r="D290" s="263">
        <f t="shared" si="180"/>
        <v>45107</v>
      </c>
      <c r="E290" s="273" t="str">
        <f t="shared" si="181"/>
        <v/>
      </c>
      <c r="F290" s="5"/>
      <c r="G290" s="6" t="str">
        <f t="shared" si="166"/>
        <v/>
      </c>
      <c r="H290" s="7"/>
      <c r="I290" s="7">
        <f t="shared" si="182"/>
        <v>0</v>
      </c>
      <c r="J290" s="76">
        <f t="shared" si="183"/>
        <v>0</v>
      </c>
      <c r="K290" s="7"/>
      <c r="L290" s="7">
        <f t="shared" si="184"/>
        <v>0</v>
      </c>
      <c r="M290" s="76">
        <f t="shared" si="167"/>
        <v>0</v>
      </c>
      <c r="N290" s="76"/>
      <c r="O290" s="76">
        <f t="shared" si="168"/>
        <v>0</v>
      </c>
      <c r="P290" s="76"/>
      <c r="Q290" s="76">
        <f t="shared" si="169"/>
        <v>0</v>
      </c>
      <c r="R290" s="76">
        <f t="shared" si="185"/>
        <v>0</v>
      </c>
      <c r="S290" s="76">
        <f t="shared" si="186"/>
        <v>0</v>
      </c>
      <c r="T290" s="76">
        <f t="shared" si="187"/>
        <v>0</v>
      </c>
      <c r="U290" s="76">
        <f t="shared" si="188"/>
        <v>0</v>
      </c>
      <c r="V290" s="109">
        <f t="shared" si="189"/>
        <v>0</v>
      </c>
      <c r="W290" s="62"/>
      <c r="X290" s="78">
        <f t="shared" si="170"/>
        <v>3.125E-2</v>
      </c>
      <c r="Y290" s="73">
        <f t="shared" si="190"/>
        <v>0</v>
      </c>
      <c r="Z290" s="74">
        <f t="shared" si="191"/>
        <v>0.29166666666666669</v>
      </c>
      <c r="AA290" s="75">
        <f t="shared" si="192"/>
        <v>0</v>
      </c>
      <c r="AB290" s="63" t="str">
        <f t="shared" si="193"/>
        <v/>
      </c>
      <c r="AC290" s="148">
        <f t="shared" si="171"/>
        <v>0</v>
      </c>
      <c r="AD290" s="107" t="str">
        <f t="shared" si="172"/>
        <v/>
      </c>
      <c r="AE290" s="180">
        <f t="shared" si="194"/>
        <v>0</v>
      </c>
      <c r="AF290" s="73"/>
      <c r="AG290" s="525"/>
      <c r="AH290" s="73"/>
      <c r="AI290" s="73" t="str">
        <f t="shared" si="205"/>
        <v/>
      </c>
      <c r="AJ290" s="64">
        <f t="shared" si="173"/>
        <v>0</v>
      </c>
      <c r="AK290" s="64">
        <f t="shared" si="174"/>
        <v>0</v>
      </c>
      <c r="AL290" s="64" t="str">
        <f t="shared" si="175"/>
        <v/>
      </c>
      <c r="AM290">
        <f t="shared" si="176"/>
        <v>1</v>
      </c>
      <c r="AN290" s="85">
        <f>SUM($AD$6:AD290)</f>
        <v>0</v>
      </c>
      <c r="AO290" s="85">
        <f t="shared" ca="1" si="195"/>
        <v>0</v>
      </c>
      <c r="AP290" s="89">
        <f t="shared" si="196"/>
        <v>0</v>
      </c>
      <c r="AQ290" s="89">
        <f t="shared" si="197"/>
        <v>0</v>
      </c>
      <c r="AR290" s="89">
        <f t="shared" si="198"/>
        <v>0</v>
      </c>
      <c r="AS290" s="88">
        <f t="shared" si="199"/>
        <v>30</v>
      </c>
      <c r="AT290" s="88">
        <f t="shared" ca="1" si="200"/>
        <v>30</v>
      </c>
      <c r="AU290" s="98">
        <f t="shared" si="201"/>
        <v>0</v>
      </c>
      <c r="AV290" s="88">
        <f t="shared" si="202"/>
        <v>0</v>
      </c>
      <c r="AW290" t="b">
        <f>OR((F290&gt;0),(NOT(ISBLANK(H290))),SUM(H290:H$373),SUM(G290:G$373))</f>
        <v>0</v>
      </c>
      <c r="AX290" t="b">
        <f t="shared" ca="1" si="177"/>
        <v>0</v>
      </c>
      <c r="AY290" s="519">
        <f t="shared" si="203"/>
        <v>-0.29166666666666669</v>
      </c>
      <c r="AZ290" s="180">
        <f>SUM(AY$5:AY290)</f>
        <v>-56.874999999999851</v>
      </c>
      <c r="BA290" s="567"/>
      <c r="BB290" s="567">
        <f t="shared" si="178"/>
        <v>0</v>
      </c>
      <c r="BC290" s="567"/>
    </row>
    <row r="291" spans="1:55" ht="15.75">
      <c r="A291" s="260">
        <f t="shared" si="204"/>
        <v>45119</v>
      </c>
      <c r="B291" s="261">
        <f t="shared" si="179"/>
        <v>45119</v>
      </c>
      <c r="C291" s="262">
        <f>IF(A291="","",NumberOfWeek(A291))</f>
        <v>28</v>
      </c>
      <c r="D291" s="263">
        <f t="shared" si="180"/>
        <v>45107</v>
      </c>
      <c r="E291" s="273" t="str">
        <f t="shared" si="181"/>
        <v/>
      </c>
      <c r="F291" s="5"/>
      <c r="G291" s="6" t="str">
        <f t="shared" si="166"/>
        <v/>
      </c>
      <c r="H291" s="7"/>
      <c r="I291" s="7">
        <f t="shared" si="182"/>
        <v>0</v>
      </c>
      <c r="J291" s="76">
        <f t="shared" si="183"/>
        <v>0</v>
      </c>
      <c r="K291" s="7"/>
      <c r="L291" s="7">
        <f t="shared" si="184"/>
        <v>0</v>
      </c>
      <c r="M291" s="76">
        <f t="shared" si="167"/>
        <v>0</v>
      </c>
      <c r="N291" s="76"/>
      <c r="O291" s="76">
        <f t="shared" si="168"/>
        <v>0</v>
      </c>
      <c r="P291" s="76"/>
      <c r="Q291" s="76">
        <f t="shared" si="169"/>
        <v>0</v>
      </c>
      <c r="R291" s="76">
        <f t="shared" si="185"/>
        <v>0</v>
      </c>
      <c r="S291" s="76">
        <f t="shared" si="186"/>
        <v>0</v>
      </c>
      <c r="T291" s="76">
        <f t="shared" si="187"/>
        <v>0</v>
      </c>
      <c r="U291" s="76">
        <f t="shared" si="188"/>
        <v>0</v>
      </c>
      <c r="V291" s="109">
        <f t="shared" si="189"/>
        <v>0</v>
      </c>
      <c r="W291" s="62"/>
      <c r="X291" s="78">
        <f t="shared" si="170"/>
        <v>3.125E-2</v>
      </c>
      <c r="Y291" s="73">
        <f t="shared" si="190"/>
        <v>0</v>
      </c>
      <c r="Z291" s="74">
        <f t="shared" si="191"/>
        <v>0.29166666666666669</v>
      </c>
      <c r="AA291" s="75">
        <f t="shared" si="192"/>
        <v>0</v>
      </c>
      <c r="AB291" s="63" t="str">
        <f t="shared" si="193"/>
        <v/>
      </c>
      <c r="AC291" s="148">
        <f t="shared" si="171"/>
        <v>0</v>
      </c>
      <c r="AD291" s="107" t="str">
        <f t="shared" si="172"/>
        <v/>
      </c>
      <c r="AE291" s="180">
        <f t="shared" si="194"/>
        <v>0</v>
      </c>
      <c r="AF291" s="73"/>
      <c r="AG291" s="525"/>
      <c r="AH291" s="73"/>
      <c r="AI291" s="73" t="str">
        <f t="shared" si="205"/>
        <v/>
      </c>
      <c r="AJ291" s="64">
        <f t="shared" si="173"/>
        <v>0</v>
      </c>
      <c r="AK291" s="64">
        <f t="shared" si="174"/>
        <v>0</v>
      </c>
      <c r="AL291" s="64" t="str">
        <f t="shared" si="175"/>
        <v/>
      </c>
      <c r="AM291">
        <f t="shared" si="176"/>
        <v>2</v>
      </c>
      <c r="AN291" s="85">
        <f>SUM($AD$6:AD291)</f>
        <v>0</v>
      </c>
      <c r="AO291" s="85">
        <f t="shared" ca="1" si="195"/>
        <v>0</v>
      </c>
      <c r="AP291" s="89">
        <f t="shared" si="196"/>
        <v>0</v>
      </c>
      <c r="AQ291" s="89">
        <f t="shared" si="197"/>
        <v>0</v>
      </c>
      <c r="AR291" s="89">
        <f t="shared" si="198"/>
        <v>0</v>
      </c>
      <c r="AS291" s="88">
        <f t="shared" si="199"/>
        <v>30</v>
      </c>
      <c r="AT291" s="88">
        <f t="shared" ca="1" si="200"/>
        <v>30</v>
      </c>
      <c r="AU291" s="98">
        <f t="shared" si="201"/>
        <v>0</v>
      </c>
      <c r="AV291" s="88">
        <f t="shared" si="202"/>
        <v>0</v>
      </c>
      <c r="AW291" t="b">
        <f>OR((F291&gt;0),(NOT(ISBLANK(H291))),SUM(H291:H$373),SUM(G291:G$373))</f>
        <v>0</v>
      </c>
      <c r="AX291" t="b">
        <f t="shared" ca="1" si="177"/>
        <v>0</v>
      </c>
      <c r="AY291" s="519">
        <f t="shared" si="203"/>
        <v>-0.29166666666666669</v>
      </c>
      <c r="AZ291" s="180">
        <f>SUM(AY$5:AY291)</f>
        <v>-57.166666666666515</v>
      </c>
      <c r="BA291" s="567"/>
      <c r="BB291" s="567">
        <f t="shared" si="178"/>
        <v>0</v>
      </c>
      <c r="BC291" s="567"/>
    </row>
    <row r="292" spans="1:55" ht="15.75">
      <c r="A292" s="260">
        <f t="shared" si="204"/>
        <v>45120</v>
      </c>
      <c r="B292" s="261">
        <f t="shared" si="179"/>
        <v>45120</v>
      </c>
      <c r="C292" s="262">
        <f>IF(A292="","",NumberOfWeek(A292))</f>
        <v>28</v>
      </c>
      <c r="D292" s="263">
        <f t="shared" si="180"/>
        <v>45107</v>
      </c>
      <c r="E292" s="273" t="str">
        <f t="shared" si="181"/>
        <v/>
      </c>
      <c r="F292" s="5"/>
      <c r="G292" s="6" t="str">
        <f t="shared" si="166"/>
        <v/>
      </c>
      <c r="H292" s="7"/>
      <c r="I292" s="7">
        <f t="shared" si="182"/>
        <v>0</v>
      </c>
      <c r="J292" s="76">
        <f t="shared" si="183"/>
        <v>0</v>
      </c>
      <c r="K292" s="7"/>
      <c r="L292" s="7">
        <f t="shared" si="184"/>
        <v>0</v>
      </c>
      <c r="M292" s="76">
        <f t="shared" si="167"/>
        <v>0</v>
      </c>
      <c r="N292" s="76"/>
      <c r="O292" s="76">
        <f t="shared" si="168"/>
        <v>0</v>
      </c>
      <c r="P292" s="76"/>
      <c r="Q292" s="76">
        <f t="shared" si="169"/>
        <v>0</v>
      </c>
      <c r="R292" s="76">
        <f t="shared" si="185"/>
        <v>0</v>
      </c>
      <c r="S292" s="76">
        <f t="shared" si="186"/>
        <v>0</v>
      </c>
      <c r="T292" s="76">
        <f t="shared" si="187"/>
        <v>0</v>
      </c>
      <c r="U292" s="76">
        <f t="shared" si="188"/>
        <v>0</v>
      </c>
      <c r="V292" s="109">
        <f t="shared" si="189"/>
        <v>0</v>
      </c>
      <c r="W292" s="62"/>
      <c r="X292" s="78">
        <f t="shared" si="170"/>
        <v>3.125E-2</v>
      </c>
      <c r="Y292" s="73">
        <f t="shared" si="190"/>
        <v>0</v>
      </c>
      <c r="Z292" s="74">
        <f t="shared" si="191"/>
        <v>0.29166666666666669</v>
      </c>
      <c r="AA292" s="75">
        <f t="shared" si="192"/>
        <v>0</v>
      </c>
      <c r="AB292" s="63" t="str">
        <f t="shared" si="193"/>
        <v/>
      </c>
      <c r="AC292" s="148">
        <f t="shared" si="171"/>
        <v>0</v>
      </c>
      <c r="AD292" s="107" t="str">
        <f t="shared" si="172"/>
        <v/>
      </c>
      <c r="AE292" s="180">
        <f t="shared" si="194"/>
        <v>0</v>
      </c>
      <c r="AF292" s="73"/>
      <c r="AG292" s="525"/>
      <c r="AH292" s="73"/>
      <c r="AI292" s="73" t="str">
        <f t="shared" si="205"/>
        <v/>
      </c>
      <c r="AJ292" s="64">
        <f t="shared" si="173"/>
        <v>0</v>
      </c>
      <c r="AK292" s="64">
        <f t="shared" si="174"/>
        <v>0</v>
      </c>
      <c r="AL292" s="64" t="str">
        <f t="shared" si="175"/>
        <v/>
      </c>
      <c r="AM292">
        <f t="shared" si="176"/>
        <v>3</v>
      </c>
      <c r="AN292" s="85">
        <f>SUM($AD$6:AD292)</f>
        <v>0</v>
      </c>
      <c r="AO292" s="85">
        <f t="shared" ca="1" si="195"/>
        <v>0</v>
      </c>
      <c r="AP292" s="89">
        <f t="shared" si="196"/>
        <v>0</v>
      </c>
      <c r="AQ292" s="89">
        <f t="shared" si="197"/>
        <v>0</v>
      </c>
      <c r="AR292" s="89">
        <f t="shared" si="198"/>
        <v>0</v>
      </c>
      <c r="AS292" s="88">
        <f t="shared" si="199"/>
        <v>30</v>
      </c>
      <c r="AT292" s="88">
        <f t="shared" ca="1" si="200"/>
        <v>30</v>
      </c>
      <c r="AU292" s="98">
        <f t="shared" si="201"/>
        <v>0</v>
      </c>
      <c r="AV292" s="88">
        <f t="shared" si="202"/>
        <v>0</v>
      </c>
      <c r="AW292" t="b">
        <f>OR((F292&gt;0),(NOT(ISBLANK(H292))),SUM(H292:H$373),SUM(G292:G$373))</f>
        <v>0</v>
      </c>
      <c r="AX292" t="b">
        <f t="shared" ca="1" si="177"/>
        <v>0</v>
      </c>
      <c r="AY292" s="519">
        <f t="shared" si="203"/>
        <v>-0.29166666666666669</v>
      </c>
      <c r="AZ292" s="180">
        <f>SUM(AY$5:AY292)</f>
        <v>-57.458333333333179</v>
      </c>
      <c r="BA292" s="567"/>
      <c r="BB292" s="567">
        <f t="shared" si="178"/>
        <v>0</v>
      </c>
      <c r="BC292" s="567"/>
    </row>
    <row r="293" spans="1:55" ht="15.75">
      <c r="A293" s="260">
        <f t="shared" si="204"/>
        <v>45121</v>
      </c>
      <c r="B293" s="261">
        <f t="shared" si="179"/>
        <v>45121</v>
      </c>
      <c r="C293" s="262">
        <f>IF(A293="","",NumberOfWeek(A293))</f>
        <v>28</v>
      </c>
      <c r="D293" s="263">
        <f t="shared" si="180"/>
        <v>45107</v>
      </c>
      <c r="E293" s="273" t="str">
        <f t="shared" si="181"/>
        <v/>
      </c>
      <c r="F293" s="5"/>
      <c r="G293" s="6" t="str">
        <f t="shared" si="166"/>
        <v/>
      </c>
      <c r="H293" s="7"/>
      <c r="I293" s="7">
        <f t="shared" si="182"/>
        <v>0</v>
      </c>
      <c r="J293" s="76">
        <f t="shared" si="183"/>
        <v>0</v>
      </c>
      <c r="K293" s="7"/>
      <c r="L293" s="7">
        <f t="shared" si="184"/>
        <v>0</v>
      </c>
      <c r="M293" s="76">
        <f t="shared" si="167"/>
        <v>0</v>
      </c>
      <c r="N293" s="76"/>
      <c r="O293" s="76">
        <f t="shared" si="168"/>
        <v>0</v>
      </c>
      <c r="P293" s="76"/>
      <c r="Q293" s="76">
        <f t="shared" si="169"/>
        <v>0</v>
      </c>
      <c r="R293" s="76">
        <f t="shared" si="185"/>
        <v>0</v>
      </c>
      <c r="S293" s="76">
        <f t="shared" si="186"/>
        <v>0</v>
      </c>
      <c r="T293" s="76">
        <f t="shared" si="187"/>
        <v>0</v>
      </c>
      <c r="U293" s="76">
        <f t="shared" si="188"/>
        <v>0</v>
      </c>
      <c r="V293" s="109">
        <f t="shared" si="189"/>
        <v>0</v>
      </c>
      <c r="W293" s="62"/>
      <c r="X293" s="78">
        <f t="shared" si="170"/>
        <v>3.125E-2</v>
      </c>
      <c r="Y293" s="73">
        <f t="shared" si="190"/>
        <v>0</v>
      </c>
      <c r="Z293" s="74">
        <f t="shared" si="191"/>
        <v>0.29166666666666669</v>
      </c>
      <c r="AA293" s="75">
        <f t="shared" si="192"/>
        <v>0</v>
      </c>
      <c r="AB293" s="63" t="str">
        <f t="shared" si="193"/>
        <v/>
      </c>
      <c r="AC293" s="148">
        <f t="shared" si="171"/>
        <v>0</v>
      </c>
      <c r="AD293" s="107" t="str">
        <f t="shared" si="172"/>
        <v/>
      </c>
      <c r="AE293" s="180">
        <f t="shared" si="194"/>
        <v>0</v>
      </c>
      <c r="AF293" s="73"/>
      <c r="AG293" s="525"/>
      <c r="AH293" s="73"/>
      <c r="AI293" s="73" t="str">
        <f t="shared" si="205"/>
        <v/>
      </c>
      <c r="AJ293" s="64">
        <f t="shared" si="173"/>
        <v>0</v>
      </c>
      <c r="AK293" s="64">
        <f t="shared" si="174"/>
        <v>0</v>
      </c>
      <c r="AL293" s="64" t="str">
        <f t="shared" si="175"/>
        <v/>
      </c>
      <c r="AM293">
        <f t="shared" si="176"/>
        <v>4</v>
      </c>
      <c r="AN293" s="85">
        <f>SUM($AD$6:AD293)</f>
        <v>0</v>
      </c>
      <c r="AO293" s="85">
        <f t="shared" ca="1" si="195"/>
        <v>0</v>
      </c>
      <c r="AP293" s="89">
        <f t="shared" si="196"/>
        <v>0</v>
      </c>
      <c r="AQ293" s="89">
        <f t="shared" si="197"/>
        <v>0</v>
      </c>
      <c r="AR293" s="89">
        <f t="shared" si="198"/>
        <v>0</v>
      </c>
      <c r="AS293" s="88">
        <f t="shared" si="199"/>
        <v>30</v>
      </c>
      <c r="AT293" s="88">
        <f t="shared" ca="1" si="200"/>
        <v>30</v>
      </c>
      <c r="AU293" s="98">
        <f t="shared" si="201"/>
        <v>0</v>
      </c>
      <c r="AV293" s="88">
        <f t="shared" si="202"/>
        <v>0</v>
      </c>
      <c r="AW293" t="b">
        <f>OR((F293&gt;0),(NOT(ISBLANK(H293))),SUM(H293:H$373),SUM(G293:G$373))</f>
        <v>0</v>
      </c>
      <c r="AX293" t="b">
        <f t="shared" ca="1" si="177"/>
        <v>0</v>
      </c>
      <c r="AY293" s="519">
        <f t="shared" si="203"/>
        <v>-0.29166666666666669</v>
      </c>
      <c r="AZ293" s="180">
        <f>SUM(AY$5:AY293)</f>
        <v>-57.749999999999844</v>
      </c>
      <c r="BA293" s="567"/>
      <c r="BB293" s="567">
        <f t="shared" si="178"/>
        <v>0</v>
      </c>
      <c r="BC293" s="567"/>
    </row>
    <row r="294" spans="1:55" ht="15.75">
      <c r="A294" s="260">
        <f t="shared" si="204"/>
        <v>45122</v>
      </c>
      <c r="B294" s="261">
        <f t="shared" si="179"/>
        <v>45122</v>
      </c>
      <c r="C294" s="262">
        <f>IF(A294="","",NumberOfWeek(A294))</f>
        <v>28</v>
      </c>
      <c r="D294" s="263">
        <f t="shared" si="180"/>
        <v>45107</v>
      </c>
      <c r="E294" s="273" t="str">
        <f t="shared" si="181"/>
        <v/>
      </c>
      <c r="F294" s="5"/>
      <c r="G294" s="6" t="str">
        <f t="shared" si="166"/>
        <v/>
      </c>
      <c r="H294" s="7"/>
      <c r="I294" s="7">
        <f t="shared" si="182"/>
        <v>0</v>
      </c>
      <c r="J294" s="76">
        <f t="shared" si="183"/>
        <v>0</v>
      </c>
      <c r="K294" s="7"/>
      <c r="L294" s="7">
        <f t="shared" si="184"/>
        <v>0</v>
      </c>
      <c r="M294" s="76">
        <f t="shared" si="167"/>
        <v>0</v>
      </c>
      <c r="N294" s="76"/>
      <c r="O294" s="76">
        <f t="shared" si="168"/>
        <v>0</v>
      </c>
      <c r="P294" s="76"/>
      <c r="Q294" s="76">
        <f t="shared" si="169"/>
        <v>0</v>
      </c>
      <c r="R294" s="76">
        <f t="shared" si="185"/>
        <v>0</v>
      </c>
      <c r="S294" s="76">
        <f t="shared" si="186"/>
        <v>0</v>
      </c>
      <c r="T294" s="76">
        <f t="shared" si="187"/>
        <v>0</v>
      </c>
      <c r="U294" s="76">
        <f t="shared" si="188"/>
        <v>0</v>
      </c>
      <c r="V294" s="109">
        <f t="shared" si="189"/>
        <v>0</v>
      </c>
      <c r="W294" s="62"/>
      <c r="X294" s="78">
        <f t="shared" si="170"/>
        <v>3.125E-2</v>
      </c>
      <c r="Y294" s="73">
        <f t="shared" si="190"/>
        <v>0</v>
      </c>
      <c r="Z294" s="74">
        <f t="shared" si="191"/>
        <v>0.29166666666666669</v>
      </c>
      <c r="AA294" s="75">
        <f t="shared" si="192"/>
        <v>0</v>
      </c>
      <c r="AB294" s="63" t="str">
        <f t="shared" si="193"/>
        <v/>
      </c>
      <c r="AC294" s="148">
        <f t="shared" si="171"/>
        <v>0</v>
      </c>
      <c r="AD294" s="107" t="str">
        <f t="shared" si="172"/>
        <v/>
      </c>
      <c r="AE294" s="180">
        <f t="shared" si="194"/>
        <v>0</v>
      </c>
      <c r="AF294" s="73"/>
      <c r="AG294" s="525"/>
      <c r="AH294" s="73"/>
      <c r="AI294" s="73" t="str">
        <f t="shared" si="205"/>
        <v/>
      </c>
      <c r="AJ294" s="64">
        <f t="shared" si="173"/>
        <v>0</v>
      </c>
      <c r="AK294" s="64">
        <f t="shared" si="174"/>
        <v>0</v>
      </c>
      <c r="AL294" s="64" t="str">
        <f t="shared" si="175"/>
        <v/>
      </c>
      <c r="AM294">
        <f t="shared" si="176"/>
        <v>5</v>
      </c>
      <c r="AN294" s="85">
        <f>SUM($AD$6:AD294)</f>
        <v>0</v>
      </c>
      <c r="AO294" s="85">
        <f t="shared" ca="1" si="195"/>
        <v>0</v>
      </c>
      <c r="AP294" s="89">
        <f t="shared" si="196"/>
        <v>0</v>
      </c>
      <c r="AQ294" s="89">
        <f t="shared" si="197"/>
        <v>0</v>
      </c>
      <c r="AR294" s="89">
        <f t="shared" si="198"/>
        <v>0</v>
      </c>
      <c r="AS294" s="88">
        <f t="shared" si="199"/>
        <v>30</v>
      </c>
      <c r="AT294" s="88">
        <f t="shared" ca="1" si="200"/>
        <v>30</v>
      </c>
      <c r="AU294" s="98">
        <f t="shared" si="201"/>
        <v>0</v>
      </c>
      <c r="AV294" s="88">
        <f t="shared" si="202"/>
        <v>0</v>
      </c>
      <c r="AW294" t="b">
        <f>OR((F294&gt;0),(NOT(ISBLANK(H294))),SUM(H294:H$373),SUM(G294:G$373))</f>
        <v>0</v>
      </c>
      <c r="AX294" t="b">
        <f t="shared" ca="1" si="177"/>
        <v>0</v>
      </c>
      <c r="AY294" s="519">
        <f t="shared" si="203"/>
        <v>-0.29166666666666669</v>
      </c>
      <c r="AZ294" s="180">
        <f>SUM(AY$5:AY294)</f>
        <v>-58.041666666666508</v>
      </c>
      <c r="BA294" s="567"/>
      <c r="BB294" s="567">
        <f t="shared" si="178"/>
        <v>0</v>
      </c>
      <c r="BC294" s="567"/>
    </row>
    <row r="295" spans="1:55" ht="15.75">
      <c r="A295" s="260">
        <f t="shared" si="204"/>
        <v>45123</v>
      </c>
      <c r="B295" s="261">
        <f t="shared" si="179"/>
        <v>45123</v>
      </c>
      <c r="C295" s="262">
        <f>IF(A295="","",NumberOfWeek(A295))</f>
        <v>28</v>
      </c>
      <c r="D295" s="263">
        <f t="shared" si="180"/>
        <v>45107</v>
      </c>
      <c r="E295" s="273" t="str">
        <f t="shared" si="181"/>
        <v/>
      </c>
      <c r="F295" s="5"/>
      <c r="G295" s="6" t="str">
        <f t="shared" si="166"/>
        <v/>
      </c>
      <c r="H295" s="7"/>
      <c r="I295" s="7">
        <f t="shared" si="182"/>
        <v>0</v>
      </c>
      <c r="J295" s="76">
        <f t="shared" si="183"/>
        <v>0</v>
      </c>
      <c r="K295" s="7"/>
      <c r="L295" s="7">
        <f t="shared" si="184"/>
        <v>0</v>
      </c>
      <c r="M295" s="76">
        <f t="shared" si="167"/>
        <v>0</v>
      </c>
      <c r="N295" s="76"/>
      <c r="O295" s="76">
        <f t="shared" si="168"/>
        <v>0</v>
      </c>
      <c r="P295" s="76"/>
      <c r="Q295" s="76">
        <f t="shared" si="169"/>
        <v>0</v>
      </c>
      <c r="R295" s="76">
        <f t="shared" si="185"/>
        <v>0</v>
      </c>
      <c r="S295" s="76">
        <f t="shared" si="186"/>
        <v>0</v>
      </c>
      <c r="T295" s="76">
        <f t="shared" si="187"/>
        <v>0</v>
      </c>
      <c r="U295" s="76">
        <f t="shared" si="188"/>
        <v>0</v>
      </c>
      <c r="V295" s="109">
        <f t="shared" si="189"/>
        <v>0</v>
      </c>
      <c r="W295" s="62"/>
      <c r="X295" s="78">
        <f t="shared" si="170"/>
        <v>3.125E-2</v>
      </c>
      <c r="Y295" s="73">
        <f t="shared" si="190"/>
        <v>0</v>
      </c>
      <c r="Z295" s="74">
        <f t="shared" si="191"/>
        <v>0</v>
      </c>
      <c r="AA295" s="75">
        <f t="shared" si="192"/>
        <v>0</v>
      </c>
      <c r="AB295" s="63" t="str">
        <f t="shared" si="193"/>
        <v/>
      </c>
      <c r="AC295" s="148">
        <f t="shared" si="171"/>
        <v>0</v>
      </c>
      <c r="AD295" s="107" t="str">
        <f t="shared" si="172"/>
        <v/>
      </c>
      <c r="AE295" s="180">
        <f t="shared" si="194"/>
        <v>0</v>
      </c>
      <c r="AF295" s="73"/>
      <c r="AG295" s="525"/>
      <c r="AH295" s="73"/>
      <c r="AI295" s="73" t="str">
        <f t="shared" si="205"/>
        <v/>
      </c>
      <c r="AJ295" s="64">
        <f t="shared" si="173"/>
        <v>0</v>
      </c>
      <c r="AK295" s="64">
        <f t="shared" si="174"/>
        <v>0</v>
      </c>
      <c r="AL295" s="64" t="str">
        <f t="shared" si="175"/>
        <v/>
      </c>
      <c r="AM295">
        <f t="shared" si="176"/>
        <v>6</v>
      </c>
      <c r="AN295" s="85">
        <f>SUM($AD$6:AD295)</f>
        <v>0</v>
      </c>
      <c r="AO295" s="85">
        <f t="shared" ca="1" si="195"/>
        <v>0</v>
      </c>
      <c r="AP295" s="89">
        <f t="shared" si="196"/>
        <v>0</v>
      </c>
      <c r="AQ295" s="89">
        <f t="shared" si="197"/>
        <v>0</v>
      </c>
      <c r="AR295" s="89">
        <f t="shared" si="198"/>
        <v>0</v>
      </c>
      <c r="AS295" s="88">
        <f t="shared" si="199"/>
        <v>30</v>
      </c>
      <c r="AT295" s="88">
        <f t="shared" ca="1" si="200"/>
        <v>30</v>
      </c>
      <c r="AU295" s="98">
        <f t="shared" si="201"/>
        <v>0</v>
      </c>
      <c r="AV295" s="88">
        <f t="shared" si="202"/>
        <v>7</v>
      </c>
      <c r="AW295" t="b">
        <f>OR((F295&gt;0),(NOT(ISBLANK(H295))),SUM(H295:H$373),SUM(G295:G$373))</f>
        <v>0</v>
      </c>
      <c r="AX295" t="b">
        <f t="shared" ca="1" si="177"/>
        <v>1</v>
      </c>
      <c r="AY295" s="519">
        <f t="shared" si="203"/>
        <v>0</v>
      </c>
      <c r="AZ295" s="180">
        <f>SUM(AY$5:AY295)</f>
        <v>-58.041666666666508</v>
      </c>
      <c r="BA295" s="567"/>
      <c r="BB295" s="567">
        <f t="shared" si="178"/>
        <v>0</v>
      </c>
      <c r="BC295" s="567"/>
    </row>
    <row r="296" spans="1:55" ht="15.75">
      <c r="A296" s="260">
        <f t="shared" si="204"/>
        <v>45124</v>
      </c>
      <c r="B296" s="261">
        <f t="shared" si="179"/>
        <v>45124</v>
      </c>
      <c r="C296" s="262">
        <f>IF(A296="","",NumberOfWeek(A296))</f>
        <v>28</v>
      </c>
      <c r="D296" s="263">
        <f t="shared" si="180"/>
        <v>45107</v>
      </c>
      <c r="E296" s="273" t="str">
        <f t="shared" si="181"/>
        <v/>
      </c>
      <c r="F296" s="5"/>
      <c r="G296" s="6" t="str">
        <f t="shared" si="166"/>
        <v/>
      </c>
      <c r="H296" s="7"/>
      <c r="I296" s="7">
        <f t="shared" si="182"/>
        <v>0</v>
      </c>
      <c r="J296" s="76">
        <f t="shared" si="183"/>
        <v>0</v>
      </c>
      <c r="K296" s="7"/>
      <c r="L296" s="7">
        <f t="shared" si="184"/>
        <v>0</v>
      </c>
      <c r="M296" s="76">
        <f t="shared" si="167"/>
        <v>0</v>
      </c>
      <c r="N296" s="76"/>
      <c r="O296" s="76">
        <f t="shared" si="168"/>
        <v>0</v>
      </c>
      <c r="P296" s="76"/>
      <c r="Q296" s="76">
        <f t="shared" si="169"/>
        <v>0</v>
      </c>
      <c r="R296" s="76">
        <f t="shared" si="185"/>
        <v>0</v>
      </c>
      <c r="S296" s="76">
        <f t="shared" si="186"/>
        <v>0</v>
      </c>
      <c r="T296" s="76">
        <f t="shared" si="187"/>
        <v>0</v>
      </c>
      <c r="U296" s="76">
        <f t="shared" si="188"/>
        <v>0</v>
      </c>
      <c r="V296" s="109">
        <f t="shared" si="189"/>
        <v>0</v>
      </c>
      <c r="W296" s="62"/>
      <c r="X296" s="78">
        <f t="shared" si="170"/>
        <v>3.125E-2</v>
      </c>
      <c r="Y296" s="73">
        <f t="shared" si="190"/>
        <v>0</v>
      </c>
      <c r="Z296" s="74">
        <f t="shared" si="191"/>
        <v>0</v>
      </c>
      <c r="AA296" s="75">
        <f t="shared" si="192"/>
        <v>0</v>
      </c>
      <c r="AB296" s="63" t="str">
        <f t="shared" si="193"/>
        <v/>
      </c>
      <c r="AC296" s="148">
        <f t="shared" si="171"/>
        <v>0</v>
      </c>
      <c r="AD296" s="107" t="str">
        <f t="shared" si="172"/>
        <v/>
      </c>
      <c r="AE296" s="180">
        <f t="shared" si="194"/>
        <v>0</v>
      </c>
      <c r="AF296" s="73"/>
      <c r="AG296" s="525"/>
      <c r="AH296" s="73"/>
      <c r="AI296" s="73" t="str">
        <f t="shared" si="205"/>
        <v/>
      </c>
      <c r="AJ296" s="64">
        <f t="shared" si="173"/>
        <v>0</v>
      </c>
      <c r="AK296" s="64">
        <f t="shared" si="174"/>
        <v>0</v>
      </c>
      <c r="AL296" s="64" t="str">
        <f t="shared" si="175"/>
        <v/>
      </c>
      <c r="AM296">
        <f t="shared" si="176"/>
        <v>7</v>
      </c>
      <c r="AN296" s="85">
        <f>SUM($AD$6:AD296)</f>
        <v>0</v>
      </c>
      <c r="AO296" s="85">
        <f t="shared" ca="1" si="195"/>
        <v>0</v>
      </c>
      <c r="AP296" s="89">
        <f t="shared" si="196"/>
        <v>0</v>
      </c>
      <c r="AQ296" s="89">
        <f t="shared" si="197"/>
        <v>0</v>
      </c>
      <c r="AR296" s="89">
        <f t="shared" si="198"/>
        <v>0</v>
      </c>
      <c r="AS296" s="88">
        <f t="shared" si="199"/>
        <v>30</v>
      </c>
      <c r="AT296" s="88">
        <f t="shared" ca="1" si="200"/>
        <v>30</v>
      </c>
      <c r="AU296" s="98">
        <f t="shared" si="201"/>
        <v>0</v>
      </c>
      <c r="AV296" s="88">
        <f t="shared" si="202"/>
        <v>7</v>
      </c>
      <c r="AW296" t="b">
        <f>OR((F296&gt;0),(NOT(ISBLANK(H296))),SUM(H296:H$373),SUM(G296:G$373))</f>
        <v>0</v>
      </c>
      <c r="AX296" t="b">
        <f t="shared" ca="1" si="177"/>
        <v>1</v>
      </c>
      <c r="AY296" s="519">
        <f t="shared" si="203"/>
        <v>0</v>
      </c>
      <c r="AZ296" s="180">
        <f>SUM(AY$5:AY296)</f>
        <v>-58.041666666666508</v>
      </c>
      <c r="BA296" s="567"/>
      <c r="BB296" s="567">
        <f t="shared" si="178"/>
        <v>0</v>
      </c>
      <c r="BC296" s="567"/>
    </row>
    <row r="297" spans="1:55" ht="15.75">
      <c r="A297" s="260">
        <f t="shared" si="204"/>
        <v>45125</v>
      </c>
      <c r="B297" s="261">
        <f t="shared" si="179"/>
        <v>45125</v>
      </c>
      <c r="C297" s="262">
        <f>IF(A297="","",NumberOfWeek(A297))</f>
        <v>29</v>
      </c>
      <c r="D297" s="263">
        <f t="shared" si="180"/>
        <v>45107</v>
      </c>
      <c r="E297" s="273" t="str">
        <f t="shared" si="181"/>
        <v/>
      </c>
      <c r="F297" s="5"/>
      <c r="G297" s="6" t="str">
        <f t="shared" si="166"/>
        <v/>
      </c>
      <c r="H297" s="7"/>
      <c r="I297" s="7">
        <f t="shared" si="182"/>
        <v>0</v>
      </c>
      <c r="J297" s="76">
        <f t="shared" si="183"/>
        <v>0</v>
      </c>
      <c r="K297" s="7"/>
      <c r="L297" s="7">
        <f t="shared" si="184"/>
        <v>0</v>
      </c>
      <c r="M297" s="76">
        <f t="shared" si="167"/>
        <v>0</v>
      </c>
      <c r="N297" s="76"/>
      <c r="O297" s="76">
        <f t="shared" si="168"/>
        <v>0</v>
      </c>
      <c r="P297" s="76"/>
      <c r="Q297" s="76">
        <f t="shared" si="169"/>
        <v>0</v>
      </c>
      <c r="R297" s="76">
        <f t="shared" si="185"/>
        <v>0</v>
      </c>
      <c r="S297" s="76">
        <f t="shared" si="186"/>
        <v>0</v>
      </c>
      <c r="T297" s="76">
        <f t="shared" si="187"/>
        <v>0</v>
      </c>
      <c r="U297" s="76">
        <f t="shared" si="188"/>
        <v>0</v>
      </c>
      <c r="V297" s="109">
        <f t="shared" si="189"/>
        <v>0</v>
      </c>
      <c r="W297" s="62"/>
      <c r="X297" s="78">
        <f t="shared" si="170"/>
        <v>3.125E-2</v>
      </c>
      <c r="Y297" s="73">
        <f t="shared" si="190"/>
        <v>0</v>
      </c>
      <c r="Z297" s="74">
        <f t="shared" si="191"/>
        <v>0.29166666666666669</v>
      </c>
      <c r="AA297" s="75">
        <f t="shared" si="192"/>
        <v>0</v>
      </c>
      <c r="AB297" s="63" t="str">
        <f t="shared" si="193"/>
        <v/>
      </c>
      <c r="AC297" s="148">
        <f t="shared" si="171"/>
        <v>0</v>
      </c>
      <c r="AD297" s="107" t="str">
        <f t="shared" si="172"/>
        <v/>
      </c>
      <c r="AE297" s="180">
        <f t="shared" si="194"/>
        <v>0</v>
      </c>
      <c r="AF297" s="73"/>
      <c r="AG297" s="525"/>
      <c r="AH297" s="73"/>
      <c r="AI297" s="73" t="str">
        <f t="shared" si="205"/>
        <v/>
      </c>
      <c r="AJ297" s="64">
        <f t="shared" si="173"/>
        <v>0</v>
      </c>
      <c r="AK297" s="64">
        <f t="shared" si="174"/>
        <v>0</v>
      </c>
      <c r="AL297" s="64" t="str">
        <f t="shared" si="175"/>
        <v/>
      </c>
      <c r="AM297">
        <f t="shared" si="176"/>
        <v>1</v>
      </c>
      <c r="AN297" s="85">
        <f>SUM($AD$6:AD297)</f>
        <v>0</v>
      </c>
      <c r="AO297" s="85">
        <f t="shared" ca="1" si="195"/>
        <v>0</v>
      </c>
      <c r="AP297" s="89">
        <f t="shared" si="196"/>
        <v>0</v>
      </c>
      <c r="AQ297" s="89">
        <f t="shared" si="197"/>
        <v>0</v>
      </c>
      <c r="AR297" s="89">
        <f t="shared" si="198"/>
        <v>0</v>
      </c>
      <c r="AS297" s="88">
        <f t="shared" si="199"/>
        <v>30</v>
      </c>
      <c r="AT297" s="88">
        <f t="shared" ca="1" si="200"/>
        <v>30</v>
      </c>
      <c r="AU297" s="98">
        <f t="shared" si="201"/>
        <v>0</v>
      </c>
      <c r="AV297" s="88">
        <f t="shared" si="202"/>
        <v>0</v>
      </c>
      <c r="AW297" t="b">
        <f>OR((F297&gt;0),(NOT(ISBLANK(H297))),SUM(H297:H$373),SUM(G297:G$373))</f>
        <v>0</v>
      </c>
      <c r="AX297" t="b">
        <f t="shared" ca="1" si="177"/>
        <v>0</v>
      </c>
      <c r="AY297" s="519">
        <f t="shared" si="203"/>
        <v>-0.29166666666666669</v>
      </c>
      <c r="AZ297" s="180">
        <f>SUM(AY$5:AY297)</f>
        <v>-58.333333333333172</v>
      </c>
      <c r="BA297" s="567"/>
      <c r="BB297" s="567">
        <f t="shared" si="178"/>
        <v>0</v>
      </c>
      <c r="BC297" s="567"/>
    </row>
    <row r="298" spans="1:55" ht="15.75">
      <c r="A298" s="260">
        <f t="shared" si="204"/>
        <v>45126</v>
      </c>
      <c r="B298" s="261">
        <f t="shared" si="179"/>
        <v>45126</v>
      </c>
      <c r="C298" s="262">
        <f>IF(A298="","",NumberOfWeek(A298))</f>
        <v>29</v>
      </c>
      <c r="D298" s="263">
        <f t="shared" si="180"/>
        <v>45107</v>
      </c>
      <c r="E298" s="273" t="str">
        <f t="shared" si="181"/>
        <v/>
      </c>
      <c r="F298" s="5"/>
      <c r="G298" s="6" t="str">
        <f t="shared" si="166"/>
        <v/>
      </c>
      <c r="H298" s="7"/>
      <c r="I298" s="7">
        <f t="shared" si="182"/>
        <v>0</v>
      </c>
      <c r="J298" s="76">
        <f t="shared" si="183"/>
        <v>0</v>
      </c>
      <c r="K298" s="7"/>
      <c r="L298" s="7">
        <f t="shared" si="184"/>
        <v>0</v>
      </c>
      <c r="M298" s="76">
        <f t="shared" si="167"/>
        <v>0</v>
      </c>
      <c r="N298" s="76"/>
      <c r="O298" s="76">
        <f t="shared" si="168"/>
        <v>0</v>
      </c>
      <c r="P298" s="76"/>
      <c r="Q298" s="76">
        <f t="shared" si="169"/>
        <v>0</v>
      </c>
      <c r="R298" s="76">
        <f t="shared" si="185"/>
        <v>0</v>
      </c>
      <c r="S298" s="76">
        <f t="shared" si="186"/>
        <v>0</v>
      </c>
      <c r="T298" s="76">
        <f t="shared" si="187"/>
        <v>0</v>
      </c>
      <c r="U298" s="76">
        <f t="shared" si="188"/>
        <v>0</v>
      </c>
      <c r="V298" s="109">
        <f t="shared" si="189"/>
        <v>0</v>
      </c>
      <c r="W298" s="62"/>
      <c r="X298" s="78">
        <f t="shared" si="170"/>
        <v>3.125E-2</v>
      </c>
      <c r="Y298" s="73">
        <f t="shared" si="190"/>
        <v>0</v>
      </c>
      <c r="Z298" s="74">
        <f t="shared" si="191"/>
        <v>0.29166666666666669</v>
      </c>
      <c r="AA298" s="75">
        <f t="shared" si="192"/>
        <v>0</v>
      </c>
      <c r="AB298" s="63" t="str">
        <f t="shared" si="193"/>
        <v/>
      </c>
      <c r="AC298" s="148">
        <f t="shared" si="171"/>
        <v>0</v>
      </c>
      <c r="AD298" s="107" t="str">
        <f t="shared" si="172"/>
        <v/>
      </c>
      <c r="AE298" s="180">
        <f t="shared" si="194"/>
        <v>0</v>
      </c>
      <c r="AF298" s="73"/>
      <c r="AG298" s="525"/>
      <c r="AH298" s="73"/>
      <c r="AI298" s="73" t="str">
        <f t="shared" si="205"/>
        <v/>
      </c>
      <c r="AJ298" s="64">
        <f t="shared" si="173"/>
        <v>0</v>
      </c>
      <c r="AK298" s="64">
        <f t="shared" si="174"/>
        <v>0</v>
      </c>
      <c r="AL298" s="64" t="str">
        <f t="shared" si="175"/>
        <v/>
      </c>
      <c r="AM298">
        <f t="shared" si="176"/>
        <v>2</v>
      </c>
      <c r="AN298" s="85">
        <f>SUM($AD$6:AD298)</f>
        <v>0</v>
      </c>
      <c r="AO298" s="85">
        <f t="shared" ca="1" si="195"/>
        <v>0</v>
      </c>
      <c r="AP298" s="89">
        <f t="shared" si="196"/>
        <v>0</v>
      </c>
      <c r="AQ298" s="89">
        <f t="shared" si="197"/>
        <v>0</v>
      </c>
      <c r="AR298" s="89">
        <f t="shared" si="198"/>
        <v>0</v>
      </c>
      <c r="AS298" s="88">
        <f t="shared" si="199"/>
        <v>30</v>
      </c>
      <c r="AT298" s="88">
        <f t="shared" ca="1" si="200"/>
        <v>30</v>
      </c>
      <c r="AU298" s="98">
        <f t="shared" si="201"/>
        <v>0</v>
      </c>
      <c r="AV298" s="88">
        <f t="shared" si="202"/>
        <v>0</v>
      </c>
      <c r="AW298" t="b">
        <f>OR((F298&gt;0),(NOT(ISBLANK(H298))),SUM(H298:H$373),SUM(G298:G$373))</f>
        <v>0</v>
      </c>
      <c r="AX298" t="b">
        <f t="shared" ca="1" si="177"/>
        <v>0</v>
      </c>
      <c r="AY298" s="519">
        <f t="shared" si="203"/>
        <v>-0.29166666666666669</v>
      </c>
      <c r="AZ298" s="180">
        <f>SUM(AY$5:AY298)</f>
        <v>-58.624999999999837</v>
      </c>
      <c r="BA298" s="567"/>
      <c r="BB298" s="567">
        <f t="shared" si="178"/>
        <v>0</v>
      </c>
      <c r="BC298" s="567"/>
    </row>
    <row r="299" spans="1:55" ht="15.75">
      <c r="A299" s="260">
        <f t="shared" si="204"/>
        <v>45127</v>
      </c>
      <c r="B299" s="261">
        <f t="shared" si="179"/>
        <v>45127</v>
      </c>
      <c r="C299" s="262">
        <f>IF(A299="","",NumberOfWeek(A299))</f>
        <v>29</v>
      </c>
      <c r="D299" s="263">
        <f t="shared" si="180"/>
        <v>45107</v>
      </c>
      <c r="E299" s="273" t="str">
        <f t="shared" si="181"/>
        <v/>
      </c>
      <c r="F299" s="5"/>
      <c r="G299" s="6" t="str">
        <f t="shared" si="166"/>
        <v/>
      </c>
      <c r="H299" s="7"/>
      <c r="I299" s="7">
        <f t="shared" si="182"/>
        <v>0</v>
      </c>
      <c r="J299" s="76">
        <f t="shared" si="183"/>
        <v>0</v>
      </c>
      <c r="K299" s="7"/>
      <c r="L299" s="7">
        <f t="shared" si="184"/>
        <v>0</v>
      </c>
      <c r="M299" s="76">
        <f t="shared" si="167"/>
        <v>0</v>
      </c>
      <c r="N299" s="76"/>
      <c r="O299" s="76">
        <f t="shared" si="168"/>
        <v>0</v>
      </c>
      <c r="P299" s="76"/>
      <c r="Q299" s="76">
        <f t="shared" si="169"/>
        <v>0</v>
      </c>
      <c r="R299" s="76">
        <f t="shared" si="185"/>
        <v>0</v>
      </c>
      <c r="S299" s="76">
        <f t="shared" si="186"/>
        <v>0</v>
      </c>
      <c r="T299" s="76">
        <f t="shared" si="187"/>
        <v>0</v>
      </c>
      <c r="U299" s="76">
        <f t="shared" si="188"/>
        <v>0</v>
      </c>
      <c r="V299" s="109">
        <f t="shared" si="189"/>
        <v>0</v>
      </c>
      <c r="W299" s="62"/>
      <c r="X299" s="78">
        <f t="shared" si="170"/>
        <v>3.125E-2</v>
      </c>
      <c r="Y299" s="73">
        <f t="shared" si="190"/>
        <v>0</v>
      </c>
      <c r="Z299" s="74">
        <f t="shared" si="191"/>
        <v>0.29166666666666669</v>
      </c>
      <c r="AA299" s="75">
        <f t="shared" si="192"/>
        <v>0</v>
      </c>
      <c r="AB299" s="63" t="str">
        <f t="shared" si="193"/>
        <v/>
      </c>
      <c r="AC299" s="148">
        <f t="shared" si="171"/>
        <v>0</v>
      </c>
      <c r="AD299" s="107" t="str">
        <f t="shared" si="172"/>
        <v/>
      </c>
      <c r="AE299" s="180">
        <f t="shared" si="194"/>
        <v>0</v>
      </c>
      <c r="AF299" s="73"/>
      <c r="AG299" s="525"/>
      <c r="AH299" s="73"/>
      <c r="AI299" s="73" t="str">
        <f t="shared" si="205"/>
        <v/>
      </c>
      <c r="AJ299" s="64">
        <f t="shared" si="173"/>
        <v>0</v>
      </c>
      <c r="AK299" s="64">
        <f t="shared" si="174"/>
        <v>0</v>
      </c>
      <c r="AL299" s="64" t="str">
        <f t="shared" si="175"/>
        <v/>
      </c>
      <c r="AM299">
        <f t="shared" si="176"/>
        <v>3</v>
      </c>
      <c r="AN299" s="85">
        <f>SUM($AD$6:AD299)</f>
        <v>0</v>
      </c>
      <c r="AO299" s="85">
        <f t="shared" ca="1" si="195"/>
        <v>0</v>
      </c>
      <c r="AP299" s="89">
        <f t="shared" si="196"/>
        <v>0</v>
      </c>
      <c r="AQ299" s="89">
        <f t="shared" si="197"/>
        <v>0</v>
      </c>
      <c r="AR299" s="89">
        <f t="shared" si="198"/>
        <v>0</v>
      </c>
      <c r="AS299" s="88">
        <f t="shared" si="199"/>
        <v>30</v>
      </c>
      <c r="AT299" s="88">
        <f t="shared" ca="1" si="200"/>
        <v>30</v>
      </c>
      <c r="AU299" s="98">
        <f t="shared" si="201"/>
        <v>0</v>
      </c>
      <c r="AV299" s="88">
        <f t="shared" si="202"/>
        <v>0</v>
      </c>
      <c r="AW299" t="b">
        <f>OR((F299&gt;0),(NOT(ISBLANK(H299))),SUM(H299:H$373),SUM(G299:G$373))</f>
        <v>0</v>
      </c>
      <c r="AX299" t="b">
        <f t="shared" ca="1" si="177"/>
        <v>0</v>
      </c>
      <c r="AY299" s="519">
        <f t="shared" si="203"/>
        <v>-0.29166666666666669</v>
      </c>
      <c r="AZ299" s="180">
        <f>SUM(AY$5:AY299)</f>
        <v>-58.916666666666501</v>
      </c>
      <c r="BA299" s="567"/>
      <c r="BB299" s="567">
        <f t="shared" si="178"/>
        <v>0</v>
      </c>
      <c r="BC299" s="567"/>
    </row>
    <row r="300" spans="1:55" ht="15.75">
      <c r="A300" s="260">
        <f t="shared" si="204"/>
        <v>45128</v>
      </c>
      <c r="B300" s="261">
        <f t="shared" si="179"/>
        <v>45128</v>
      </c>
      <c r="C300" s="262">
        <f>IF(A300="","",NumberOfWeek(A300))</f>
        <v>29</v>
      </c>
      <c r="D300" s="263">
        <f t="shared" si="180"/>
        <v>45107</v>
      </c>
      <c r="E300" s="273" t="str">
        <f t="shared" si="181"/>
        <v/>
      </c>
      <c r="F300" s="5"/>
      <c r="G300" s="6" t="str">
        <f t="shared" si="166"/>
        <v/>
      </c>
      <c r="H300" s="7"/>
      <c r="I300" s="7">
        <f t="shared" si="182"/>
        <v>0</v>
      </c>
      <c r="J300" s="76">
        <f t="shared" si="183"/>
        <v>0</v>
      </c>
      <c r="K300" s="7"/>
      <c r="L300" s="7">
        <f t="shared" si="184"/>
        <v>0</v>
      </c>
      <c r="M300" s="76">
        <f t="shared" si="167"/>
        <v>0</v>
      </c>
      <c r="N300" s="76"/>
      <c r="O300" s="76">
        <f t="shared" si="168"/>
        <v>0</v>
      </c>
      <c r="P300" s="76"/>
      <c r="Q300" s="76">
        <f t="shared" si="169"/>
        <v>0</v>
      </c>
      <c r="R300" s="76">
        <f t="shared" si="185"/>
        <v>0</v>
      </c>
      <c r="S300" s="76">
        <f t="shared" si="186"/>
        <v>0</v>
      </c>
      <c r="T300" s="76">
        <f t="shared" si="187"/>
        <v>0</v>
      </c>
      <c r="U300" s="76">
        <f t="shared" si="188"/>
        <v>0</v>
      </c>
      <c r="V300" s="109">
        <f t="shared" si="189"/>
        <v>0</v>
      </c>
      <c r="W300" s="62"/>
      <c r="X300" s="78">
        <f t="shared" si="170"/>
        <v>3.125E-2</v>
      </c>
      <c r="Y300" s="73">
        <f t="shared" si="190"/>
        <v>0</v>
      </c>
      <c r="Z300" s="74">
        <f t="shared" si="191"/>
        <v>0.29166666666666669</v>
      </c>
      <c r="AA300" s="75">
        <f t="shared" si="192"/>
        <v>0</v>
      </c>
      <c r="AB300" s="63" t="str">
        <f t="shared" si="193"/>
        <v/>
      </c>
      <c r="AC300" s="148">
        <f t="shared" si="171"/>
        <v>0</v>
      </c>
      <c r="AD300" s="107" t="str">
        <f t="shared" si="172"/>
        <v/>
      </c>
      <c r="AE300" s="180">
        <f t="shared" si="194"/>
        <v>0</v>
      </c>
      <c r="AF300" s="73"/>
      <c r="AG300" s="525"/>
      <c r="AH300" s="73"/>
      <c r="AI300" s="73" t="str">
        <f t="shared" si="205"/>
        <v/>
      </c>
      <c r="AJ300" s="64">
        <f t="shared" si="173"/>
        <v>0</v>
      </c>
      <c r="AK300" s="64">
        <f t="shared" si="174"/>
        <v>0</v>
      </c>
      <c r="AL300" s="64" t="str">
        <f t="shared" si="175"/>
        <v/>
      </c>
      <c r="AM300">
        <f t="shared" si="176"/>
        <v>4</v>
      </c>
      <c r="AN300" s="85">
        <f>SUM($AD$6:AD300)</f>
        <v>0</v>
      </c>
      <c r="AO300" s="85">
        <f t="shared" ca="1" si="195"/>
        <v>0</v>
      </c>
      <c r="AP300" s="89">
        <f t="shared" si="196"/>
        <v>0</v>
      </c>
      <c r="AQ300" s="89">
        <f t="shared" si="197"/>
        <v>0</v>
      </c>
      <c r="AR300" s="89">
        <f t="shared" si="198"/>
        <v>0</v>
      </c>
      <c r="AS300" s="88">
        <f t="shared" si="199"/>
        <v>30</v>
      </c>
      <c r="AT300" s="88">
        <f t="shared" ca="1" si="200"/>
        <v>30</v>
      </c>
      <c r="AU300" s="98">
        <f t="shared" si="201"/>
        <v>0</v>
      </c>
      <c r="AV300" s="88">
        <f t="shared" si="202"/>
        <v>0</v>
      </c>
      <c r="AW300" t="b">
        <f>OR((F300&gt;0),(NOT(ISBLANK(H300))),SUM(H300:H$373),SUM(G300:G$373))</f>
        <v>0</v>
      </c>
      <c r="AX300" t="b">
        <f t="shared" ca="1" si="177"/>
        <v>0</v>
      </c>
      <c r="AY300" s="519">
        <f t="shared" si="203"/>
        <v>-0.29166666666666669</v>
      </c>
      <c r="AZ300" s="180">
        <f>SUM(AY$5:AY300)</f>
        <v>-59.208333333333165</v>
      </c>
      <c r="BA300" s="567"/>
      <c r="BB300" s="567">
        <f t="shared" si="178"/>
        <v>0</v>
      </c>
      <c r="BC300" s="567"/>
    </row>
    <row r="301" spans="1:55" ht="15.75">
      <c r="A301" s="260">
        <f t="shared" si="204"/>
        <v>45129</v>
      </c>
      <c r="B301" s="261">
        <f t="shared" si="179"/>
        <v>45129</v>
      </c>
      <c r="C301" s="262">
        <f>IF(A301="","",NumberOfWeek(A301))</f>
        <v>29</v>
      </c>
      <c r="D301" s="263">
        <f t="shared" si="180"/>
        <v>45107</v>
      </c>
      <c r="E301" s="273" t="str">
        <f t="shared" si="181"/>
        <v/>
      </c>
      <c r="F301" s="5"/>
      <c r="G301" s="6" t="str">
        <f t="shared" si="166"/>
        <v/>
      </c>
      <c r="H301" s="7"/>
      <c r="I301" s="7">
        <f t="shared" si="182"/>
        <v>0</v>
      </c>
      <c r="J301" s="76">
        <f t="shared" si="183"/>
        <v>0</v>
      </c>
      <c r="K301" s="7"/>
      <c r="L301" s="7">
        <f t="shared" si="184"/>
        <v>0</v>
      </c>
      <c r="M301" s="76">
        <f t="shared" si="167"/>
        <v>0</v>
      </c>
      <c r="N301" s="76"/>
      <c r="O301" s="76">
        <f t="shared" si="168"/>
        <v>0</v>
      </c>
      <c r="P301" s="76"/>
      <c r="Q301" s="76">
        <f t="shared" si="169"/>
        <v>0</v>
      </c>
      <c r="R301" s="76">
        <f t="shared" si="185"/>
        <v>0</v>
      </c>
      <c r="S301" s="76">
        <f t="shared" si="186"/>
        <v>0</v>
      </c>
      <c r="T301" s="76">
        <f t="shared" si="187"/>
        <v>0</v>
      </c>
      <c r="U301" s="76">
        <f t="shared" si="188"/>
        <v>0</v>
      </c>
      <c r="V301" s="109">
        <f t="shared" si="189"/>
        <v>0</v>
      </c>
      <c r="W301" s="62"/>
      <c r="X301" s="78">
        <f t="shared" si="170"/>
        <v>3.125E-2</v>
      </c>
      <c r="Y301" s="73">
        <f t="shared" si="190"/>
        <v>0</v>
      </c>
      <c r="Z301" s="74">
        <f t="shared" si="191"/>
        <v>0.29166666666666669</v>
      </c>
      <c r="AA301" s="75">
        <f t="shared" si="192"/>
        <v>0</v>
      </c>
      <c r="AB301" s="63" t="str">
        <f t="shared" si="193"/>
        <v/>
      </c>
      <c r="AC301" s="148">
        <f t="shared" si="171"/>
        <v>0</v>
      </c>
      <c r="AD301" s="107" t="str">
        <f t="shared" si="172"/>
        <v/>
      </c>
      <c r="AE301" s="180">
        <f t="shared" si="194"/>
        <v>0</v>
      </c>
      <c r="AF301" s="73"/>
      <c r="AG301" s="525"/>
      <c r="AH301" s="73"/>
      <c r="AI301" s="73" t="str">
        <f t="shared" si="205"/>
        <v/>
      </c>
      <c r="AJ301" s="64">
        <f t="shared" si="173"/>
        <v>0</v>
      </c>
      <c r="AK301" s="64">
        <f t="shared" si="174"/>
        <v>0</v>
      </c>
      <c r="AL301" s="64" t="str">
        <f t="shared" si="175"/>
        <v/>
      </c>
      <c r="AM301">
        <f t="shared" si="176"/>
        <v>5</v>
      </c>
      <c r="AN301" s="85">
        <f>SUM($AD$6:AD301)</f>
        <v>0</v>
      </c>
      <c r="AO301" s="85">
        <f t="shared" ca="1" si="195"/>
        <v>0</v>
      </c>
      <c r="AP301" s="89">
        <f t="shared" si="196"/>
        <v>0</v>
      </c>
      <c r="AQ301" s="89">
        <f t="shared" si="197"/>
        <v>0</v>
      </c>
      <c r="AR301" s="89">
        <f t="shared" si="198"/>
        <v>0</v>
      </c>
      <c r="AS301" s="88">
        <f t="shared" si="199"/>
        <v>30</v>
      </c>
      <c r="AT301" s="88">
        <f t="shared" ca="1" si="200"/>
        <v>30</v>
      </c>
      <c r="AU301" s="98">
        <f t="shared" si="201"/>
        <v>0</v>
      </c>
      <c r="AV301" s="88">
        <f t="shared" si="202"/>
        <v>0</v>
      </c>
      <c r="AW301" t="b">
        <f>OR((F301&gt;0),(NOT(ISBLANK(H301))),SUM(H301:H$373),SUM(G301:G$373))</f>
        <v>0</v>
      </c>
      <c r="AX301" t="b">
        <f t="shared" ca="1" si="177"/>
        <v>0</v>
      </c>
      <c r="AY301" s="519">
        <f t="shared" si="203"/>
        <v>-0.29166666666666669</v>
      </c>
      <c r="AZ301" s="180">
        <f>SUM(AY$5:AY301)</f>
        <v>-59.499999999999829</v>
      </c>
      <c r="BA301" s="567"/>
      <c r="BB301" s="567">
        <f t="shared" si="178"/>
        <v>0</v>
      </c>
      <c r="BC301" s="567"/>
    </row>
    <row r="302" spans="1:55" ht="15.75">
      <c r="A302" s="260">
        <f t="shared" si="204"/>
        <v>45130</v>
      </c>
      <c r="B302" s="261">
        <f t="shared" si="179"/>
        <v>45130</v>
      </c>
      <c r="C302" s="262">
        <f>IF(A302="","",NumberOfWeek(A302))</f>
        <v>29</v>
      </c>
      <c r="D302" s="263">
        <f t="shared" si="180"/>
        <v>45107</v>
      </c>
      <c r="E302" s="273" t="str">
        <f t="shared" si="181"/>
        <v/>
      </c>
      <c r="F302" s="5"/>
      <c r="G302" s="6" t="str">
        <f t="shared" si="166"/>
        <v/>
      </c>
      <c r="H302" s="7"/>
      <c r="I302" s="7">
        <f t="shared" si="182"/>
        <v>0</v>
      </c>
      <c r="J302" s="76">
        <f t="shared" si="183"/>
        <v>0</v>
      </c>
      <c r="K302" s="7"/>
      <c r="L302" s="7">
        <f t="shared" si="184"/>
        <v>0</v>
      </c>
      <c r="M302" s="76">
        <f t="shared" si="167"/>
        <v>0</v>
      </c>
      <c r="N302" s="76"/>
      <c r="O302" s="76">
        <f t="shared" si="168"/>
        <v>0</v>
      </c>
      <c r="P302" s="76"/>
      <c r="Q302" s="76">
        <f t="shared" si="169"/>
        <v>0</v>
      </c>
      <c r="R302" s="76">
        <f t="shared" si="185"/>
        <v>0</v>
      </c>
      <c r="S302" s="76">
        <f t="shared" si="186"/>
        <v>0</v>
      </c>
      <c r="T302" s="76">
        <f t="shared" si="187"/>
        <v>0</v>
      </c>
      <c r="U302" s="76">
        <f t="shared" si="188"/>
        <v>0</v>
      </c>
      <c r="V302" s="109">
        <f t="shared" si="189"/>
        <v>0</v>
      </c>
      <c r="W302" s="62"/>
      <c r="X302" s="78">
        <f t="shared" si="170"/>
        <v>3.125E-2</v>
      </c>
      <c r="Y302" s="73">
        <f t="shared" si="190"/>
        <v>0</v>
      </c>
      <c r="Z302" s="74">
        <f t="shared" si="191"/>
        <v>0</v>
      </c>
      <c r="AA302" s="75">
        <f t="shared" si="192"/>
        <v>0</v>
      </c>
      <c r="AB302" s="63" t="str">
        <f t="shared" si="193"/>
        <v/>
      </c>
      <c r="AC302" s="148">
        <f t="shared" si="171"/>
        <v>0</v>
      </c>
      <c r="AD302" s="107" t="str">
        <f t="shared" si="172"/>
        <v/>
      </c>
      <c r="AE302" s="180">
        <f t="shared" si="194"/>
        <v>0</v>
      </c>
      <c r="AF302" s="73"/>
      <c r="AG302" s="525"/>
      <c r="AH302" s="73"/>
      <c r="AI302" s="73" t="str">
        <f t="shared" si="205"/>
        <v/>
      </c>
      <c r="AJ302" s="64">
        <f t="shared" si="173"/>
        <v>0</v>
      </c>
      <c r="AK302" s="64">
        <f t="shared" si="174"/>
        <v>0</v>
      </c>
      <c r="AL302" s="64" t="str">
        <f t="shared" si="175"/>
        <v/>
      </c>
      <c r="AM302">
        <f t="shared" si="176"/>
        <v>6</v>
      </c>
      <c r="AN302" s="85">
        <f>SUM($AD$6:AD302)</f>
        <v>0</v>
      </c>
      <c r="AO302" s="85">
        <f t="shared" ca="1" si="195"/>
        <v>0</v>
      </c>
      <c r="AP302" s="89">
        <f t="shared" si="196"/>
        <v>0</v>
      </c>
      <c r="AQ302" s="89">
        <f t="shared" si="197"/>
        <v>0</v>
      </c>
      <c r="AR302" s="89">
        <f t="shared" si="198"/>
        <v>0</v>
      </c>
      <c r="AS302" s="88">
        <f t="shared" si="199"/>
        <v>30</v>
      </c>
      <c r="AT302" s="88">
        <f t="shared" ca="1" si="200"/>
        <v>30</v>
      </c>
      <c r="AU302" s="98">
        <f t="shared" si="201"/>
        <v>0</v>
      </c>
      <c r="AV302" s="88">
        <f t="shared" si="202"/>
        <v>7</v>
      </c>
      <c r="AW302" t="b">
        <f>OR((F302&gt;0),(NOT(ISBLANK(H302))),SUM(H302:H$373),SUM(G302:G$373))</f>
        <v>0</v>
      </c>
      <c r="AX302" t="b">
        <f t="shared" ca="1" si="177"/>
        <v>1</v>
      </c>
      <c r="AY302" s="519">
        <f t="shared" si="203"/>
        <v>0</v>
      </c>
      <c r="AZ302" s="180">
        <f>SUM(AY$5:AY302)</f>
        <v>-59.499999999999829</v>
      </c>
      <c r="BA302" s="567"/>
      <c r="BB302" s="567">
        <f t="shared" si="178"/>
        <v>0</v>
      </c>
      <c r="BC302" s="567"/>
    </row>
    <row r="303" spans="1:55" ht="15.75">
      <c r="A303" s="260">
        <f t="shared" si="204"/>
        <v>45131</v>
      </c>
      <c r="B303" s="261">
        <f t="shared" si="179"/>
        <v>45131</v>
      </c>
      <c r="C303" s="262">
        <f>IF(A303="","",NumberOfWeek(A303))</f>
        <v>29</v>
      </c>
      <c r="D303" s="263">
        <f t="shared" si="180"/>
        <v>45107</v>
      </c>
      <c r="E303" s="273" t="str">
        <f t="shared" si="181"/>
        <v/>
      </c>
      <c r="F303" s="5"/>
      <c r="G303" s="6" t="str">
        <f t="shared" si="166"/>
        <v/>
      </c>
      <c r="H303" s="7"/>
      <c r="I303" s="7">
        <f t="shared" si="182"/>
        <v>0</v>
      </c>
      <c r="J303" s="76">
        <f t="shared" si="183"/>
        <v>0</v>
      </c>
      <c r="K303" s="7"/>
      <c r="L303" s="7">
        <f t="shared" si="184"/>
        <v>0</v>
      </c>
      <c r="M303" s="76">
        <f t="shared" si="167"/>
        <v>0</v>
      </c>
      <c r="N303" s="76"/>
      <c r="O303" s="76">
        <f t="shared" si="168"/>
        <v>0</v>
      </c>
      <c r="P303" s="76"/>
      <c r="Q303" s="76">
        <f t="shared" si="169"/>
        <v>0</v>
      </c>
      <c r="R303" s="76">
        <f t="shared" si="185"/>
        <v>0</v>
      </c>
      <c r="S303" s="76">
        <f t="shared" si="186"/>
        <v>0</v>
      </c>
      <c r="T303" s="76">
        <f t="shared" si="187"/>
        <v>0</v>
      </c>
      <c r="U303" s="76">
        <f t="shared" si="188"/>
        <v>0</v>
      </c>
      <c r="V303" s="109">
        <f t="shared" si="189"/>
        <v>0</v>
      </c>
      <c r="W303" s="62"/>
      <c r="X303" s="78">
        <f t="shared" si="170"/>
        <v>3.125E-2</v>
      </c>
      <c r="Y303" s="73">
        <f t="shared" si="190"/>
        <v>0</v>
      </c>
      <c r="Z303" s="74">
        <f t="shared" si="191"/>
        <v>0</v>
      </c>
      <c r="AA303" s="75">
        <f t="shared" si="192"/>
        <v>0</v>
      </c>
      <c r="AB303" s="63" t="str">
        <f t="shared" si="193"/>
        <v/>
      </c>
      <c r="AC303" s="148">
        <f t="shared" si="171"/>
        <v>0</v>
      </c>
      <c r="AD303" s="107" t="str">
        <f t="shared" si="172"/>
        <v/>
      </c>
      <c r="AE303" s="180">
        <f t="shared" si="194"/>
        <v>0</v>
      </c>
      <c r="AF303" s="73"/>
      <c r="AG303" s="525"/>
      <c r="AH303" s="73"/>
      <c r="AI303" s="73" t="str">
        <f t="shared" si="205"/>
        <v/>
      </c>
      <c r="AJ303" s="64">
        <f t="shared" si="173"/>
        <v>0</v>
      </c>
      <c r="AK303" s="64">
        <f t="shared" si="174"/>
        <v>0</v>
      </c>
      <c r="AL303" s="64" t="str">
        <f t="shared" si="175"/>
        <v/>
      </c>
      <c r="AM303">
        <f t="shared" si="176"/>
        <v>7</v>
      </c>
      <c r="AN303" s="85">
        <f>SUM($AD$6:AD303)</f>
        <v>0</v>
      </c>
      <c r="AO303" s="85">
        <f t="shared" ca="1" si="195"/>
        <v>0</v>
      </c>
      <c r="AP303" s="89">
        <f t="shared" si="196"/>
        <v>0</v>
      </c>
      <c r="AQ303" s="89">
        <f t="shared" si="197"/>
        <v>0</v>
      </c>
      <c r="AR303" s="89">
        <f t="shared" si="198"/>
        <v>0</v>
      </c>
      <c r="AS303" s="88">
        <f t="shared" si="199"/>
        <v>30</v>
      </c>
      <c r="AT303" s="88">
        <f t="shared" ca="1" si="200"/>
        <v>30</v>
      </c>
      <c r="AU303" s="98">
        <f t="shared" si="201"/>
        <v>0</v>
      </c>
      <c r="AV303" s="88">
        <f t="shared" si="202"/>
        <v>7</v>
      </c>
      <c r="AW303" t="b">
        <f>OR((F303&gt;0),(NOT(ISBLANK(H303))),SUM(H303:H$373),SUM(G303:G$373))</f>
        <v>0</v>
      </c>
      <c r="AX303" t="b">
        <f t="shared" ca="1" si="177"/>
        <v>1</v>
      </c>
      <c r="AY303" s="519">
        <f t="shared" si="203"/>
        <v>0</v>
      </c>
      <c r="AZ303" s="180">
        <f>SUM(AY$5:AY303)</f>
        <v>-59.499999999999829</v>
      </c>
      <c r="BA303" s="567"/>
      <c r="BB303" s="567">
        <f t="shared" si="178"/>
        <v>0</v>
      </c>
      <c r="BC303" s="567"/>
    </row>
    <row r="304" spans="1:55" ht="15.75">
      <c r="A304" s="260">
        <f t="shared" si="204"/>
        <v>45132</v>
      </c>
      <c r="B304" s="261">
        <f t="shared" si="179"/>
        <v>45132</v>
      </c>
      <c r="C304" s="262">
        <f>IF(A304="","",NumberOfWeek(A304))</f>
        <v>30</v>
      </c>
      <c r="D304" s="263">
        <f t="shared" si="180"/>
        <v>45107</v>
      </c>
      <c r="E304" s="273" t="str">
        <f t="shared" si="181"/>
        <v/>
      </c>
      <c r="F304" s="5"/>
      <c r="G304" s="6" t="str">
        <f t="shared" si="166"/>
        <v/>
      </c>
      <c r="H304" s="7"/>
      <c r="I304" s="7">
        <f t="shared" si="182"/>
        <v>0</v>
      </c>
      <c r="J304" s="76">
        <f t="shared" si="183"/>
        <v>0</v>
      </c>
      <c r="K304" s="7"/>
      <c r="L304" s="7">
        <f t="shared" si="184"/>
        <v>0</v>
      </c>
      <c r="M304" s="76">
        <f t="shared" si="167"/>
        <v>0</v>
      </c>
      <c r="N304" s="76"/>
      <c r="O304" s="76">
        <f t="shared" si="168"/>
        <v>0</v>
      </c>
      <c r="P304" s="76"/>
      <c r="Q304" s="76">
        <f t="shared" si="169"/>
        <v>0</v>
      </c>
      <c r="R304" s="76">
        <f t="shared" si="185"/>
        <v>0</v>
      </c>
      <c r="S304" s="76">
        <f t="shared" si="186"/>
        <v>0</v>
      </c>
      <c r="T304" s="76">
        <f t="shared" si="187"/>
        <v>0</v>
      </c>
      <c r="U304" s="76">
        <f t="shared" si="188"/>
        <v>0</v>
      </c>
      <c r="V304" s="109">
        <f t="shared" si="189"/>
        <v>0</v>
      </c>
      <c r="W304" s="62"/>
      <c r="X304" s="78">
        <f t="shared" si="170"/>
        <v>3.125E-2</v>
      </c>
      <c r="Y304" s="73">
        <f t="shared" si="190"/>
        <v>0</v>
      </c>
      <c r="Z304" s="74">
        <f t="shared" si="191"/>
        <v>0.29166666666666669</v>
      </c>
      <c r="AA304" s="75">
        <f t="shared" si="192"/>
        <v>0</v>
      </c>
      <c r="AB304" s="63" t="str">
        <f t="shared" si="193"/>
        <v/>
      </c>
      <c r="AC304" s="148">
        <f t="shared" si="171"/>
        <v>0</v>
      </c>
      <c r="AD304" s="107" t="str">
        <f t="shared" si="172"/>
        <v/>
      </c>
      <c r="AE304" s="180">
        <f t="shared" si="194"/>
        <v>0</v>
      </c>
      <c r="AF304" s="73"/>
      <c r="AG304" s="525"/>
      <c r="AH304" s="73"/>
      <c r="AI304" s="73" t="str">
        <f t="shared" si="205"/>
        <v/>
      </c>
      <c r="AJ304" s="64">
        <f t="shared" si="173"/>
        <v>0</v>
      </c>
      <c r="AK304" s="64">
        <f t="shared" si="174"/>
        <v>0</v>
      </c>
      <c r="AL304" s="64" t="str">
        <f t="shared" si="175"/>
        <v/>
      </c>
      <c r="AM304">
        <f t="shared" si="176"/>
        <v>1</v>
      </c>
      <c r="AN304" s="85">
        <f>SUM($AD$6:AD304)</f>
        <v>0</v>
      </c>
      <c r="AO304" s="85">
        <f t="shared" ca="1" si="195"/>
        <v>0</v>
      </c>
      <c r="AP304" s="89">
        <f t="shared" si="196"/>
        <v>0</v>
      </c>
      <c r="AQ304" s="89">
        <f t="shared" si="197"/>
        <v>0</v>
      </c>
      <c r="AR304" s="89">
        <f t="shared" si="198"/>
        <v>0</v>
      </c>
      <c r="AS304" s="88">
        <f t="shared" si="199"/>
        <v>30</v>
      </c>
      <c r="AT304" s="88">
        <f t="shared" ca="1" si="200"/>
        <v>30</v>
      </c>
      <c r="AU304" s="98">
        <f t="shared" si="201"/>
        <v>0</v>
      </c>
      <c r="AV304" s="88">
        <f t="shared" si="202"/>
        <v>0</v>
      </c>
      <c r="AW304" t="b">
        <f>OR((F304&gt;0),(NOT(ISBLANK(H304))),SUM(H304:H$373),SUM(G304:G$373))</f>
        <v>0</v>
      </c>
      <c r="AX304" t="b">
        <f t="shared" ca="1" si="177"/>
        <v>0</v>
      </c>
      <c r="AY304" s="519">
        <f t="shared" si="203"/>
        <v>-0.29166666666666669</v>
      </c>
      <c r="AZ304" s="180">
        <f>SUM(AY$5:AY304)</f>
        <v>-59.791666666666494</v>
      </c>
      <c r="BA304" s="567"/>
      <c r="BB304" s="567">
        <f t="shared" si="178"/>
        <v>0</v>
      </c>
      <c r="BC304" s="567"/>
    </row>
    <row r="305" spans="1:55" ht="15.75">
      <c r="A305" s="260">
        <f t="shared" si="204"/>
        <v>45133</v>
      </c>
      <c r="B305" s="261">
        <f t="shared" si="179"/>
        <v>45133</v>
      </c>
      <c r="C305" s="262">
        <f>IF(A305="","",NumberOfWeek(A305))</f>
        <v>30</v>
      </c>
      <c r="D305" s="263">
        <f t="shared" si="180"/>
        <v>45107</v>
      </c>
      <c r="E305" s="273" t="str">
        <f t="shared" si="181"/>
        <v/>
      </c>
      <c r="F305" s="5"/>
      <c r="G305" s="6" t="str">
        <f t="shared" si="166"/>
        <v/>
      </c>
      <c r="H305" s="7"/>
      <c r="I305" s="7">
        <f t="shared" si="182"/>
        <v>0</v>
      </c>
      <c r="J305" s="76">
        <f t="shared" si="183"/>
        <v>0</v>
      </c>
      <c r="K305" s="7"/>
      <c r="L305" s="7">
        <f t="shared" si="184"/>
        <v>0</v>
      </c>
      <c r="M305" s="76">
        <f t="shared" si="167"/>
        <v>0</v>
      </c>
      <c r="N305" s="76"/>
      <c r="O305" s="76">
        <f t="shared" si="168"/>
        <v>0</v>
      </c>
      <c r="P305" s="76"/>
      <c r="Q305" s="76">
        <f t="shared" si="169"/>
        <v>0</v>
      </c>
      <c r="R305" s="76">
        <f t="shared" si="185"/>
        <v>0</v>
      </c>
      <c r="S305" s="76">
        <f t="shared" si="186"/>
        <v>0</v>
      </c>
      <c r="T305" s="76">
        <f t="shared" si="187"/>
        <v>0</v>
      </c>
      <c r="U305" s="76">
        <f t="shared" si="188"/>
        <v>0</v>
      </c>
      <c r="V305" s="109">
        <f t="shared" si="189"/>
        <v>0</v>
      </c>
      <c r="W305" s="62"/>
      <c r="X305" s="78">
        <f t="shared" si="170"/>
        <v>3.125E-2</v>
      </c>
      <c r="Y305" s="73">
        <f t="shared" si="190"/>
        <v>0</v>
      </c>
      <c r="Z305" s="74">
        <f t="shared" si="191"/>
        <v>0.29166666666666669</v>
      </c>
      <c r="AA305" s="75">
        <f t="shared" si="192"/>
        <v>0</v>
      </c>
      <c r="AB305" s="63" t="str">
        <f t="shared" si="193"/>
        <v/>
      </c>
      <c r="AC305" s="148">
        <f t="shared" si="171"/>
        <v>0</v>
      </c>
      <c r="AD305" s="107" t="str">
        <f t="shared" si="172"/>
        <v/>
      </c>
      <c r="AE305" s="180">
        <f t="shared" si="194"/>
        <v>0</v>
      </c>
      <c r="AF305" s="73"/>
      <c r="AG305" s="525"/>
      <c r="AH305" s="73"/>
      <c r="AI305" s="73" t="str">
        <f t="shared" si="205"/>
        <v/>
      </c>
      <c r="AJ305" s="64">
        <f t="shared" si="173"/>
        <v>0</v>
      </c>
      <c r="AK305" s="64">
        <f t="shared" si="174"/>
        <v>0</v>
      </c>
      <c r="AL305" s="64" t="str">
        <f t="shared" si="175"/>
        <v/>
      </c>
      <c r="AM305">
        <f t="shared" si="176"/>
        <v>2</v>
      </c>
      <c r="AN305" s="85">
        <f>SUM($AD$6:AD305)</f>
        <v>0</v>
      </c>
      <c r="AO305" s="85">
        <f t="shared" ca="1" si="195"/>
        <v>0</v>
      </c>
      <c r="AP305" s="89">
        <f t="shared" si="196"/>
        <v>0</v>
      </c>
      <c r="AQ305" s="89">
        <f t="shared" si="197"/>
        <v>0</v>
      </c>
      <c r="AR305" s="89">
        <f t="shared" si="198"/>
        <v>0</v>
      </c>
      <c r="AS305" s="88">
        <f t="shared" si="199"/>
        <v>30</v>
      </c>
      <c r="AT305" s="88">
        <f t="shared" ca="1" si="200"/>
        <v>30</v>
      </c>
      <c r="AU305" s="98">
        <f t="shared" si="201"/>
        <v>0</v>
      </c>
      <c r="AV305" s="88">
        <f t="shared" si="202"/>
        <v>0</v>
      </c>
      <c r="AW305" t="b">
        <f>OR((F305&gt;0),(NOT(ISBLANK(H305))),SUM(H305:H$373),SUM(G305:G$373))</f>
        <v>0</v>
      </c>
      <c r="AX305" t="b">
        <f t="shared" ca="1" si="177"/>
        <v>0</v>
      </c>
      <c r="AY305" s="519">
        <f t="shared" si="203"/>
        <v>-0.29166666666666669</v>
      </c>
      <c r="AZ305" s="180">
        <f>SUM(AY$5:AY305)</f>
        <v>-60.083333333333158</v>
      </c>
      <c r="BA305" s="567"/>
      <c r="BB305" s="567">
        <f t="shared" si="178"/>
        <v>0</v>
      </c>
      <c r="BC305" s="567"/>
    </row>
    <row r="306" spans="1:55" ht="15.75">
      <c r="A306" s="260">
        <f t="shared" si="204"/>
        <v>45134</v>
      </c>
      <c r="B306" s="261">
        <f t="shared" si="179"/>
        <v>45134</v>
      </c>
      <c r="C306" s="262">
        <f>IF(A306="","",NumberOfWeek(A306))</f>
        <v>30</v>
      </c>
      <c r="D306" s="263">
        <f t="shared" si="180"/>
        <v>45107</v>
      </c>
      <c r="E306" s="273" t="str">
        <f t="shared" si="181"/>
        <v/>
      </c>
      <c r="F306" s="5"/>
      <c r="G306" s="6" t="str">
        <f t="shared" si="166"/>
        <v/>
      </c>
      <c r="H306" s="7"/>
      <c r="I306" s="7">
        <f t="shared" si="182"/>
        <v>0</v>
      </c>
      <c r="J306" s="76">
        <f t="shared" si="183"/>
        <v>0</v>
      </c>
      <c r="K306" s="7"/>
      <c r="L306" s="7">
        <f t="shared" si="184"/>
        <v>0</v>
      </c>
      <c r="M306" s="76">
        <f t="shared" si="167"/>
        <v>0</v>
      </c>
      <c r="N306" s="76"/>
      <c r="O306" s="76">
        <f t="shared" si="168"/>
        <v>0</v>
      </c>
      <c r="P306" s="76"/>
      <c r="Q306" s="76">
        <f t="shared" si="169"/>
        <v>0</v>
      </c>
      <c r="R306" s="76">
        <f t="shared" si="185"/>
        <v>0</v>
      </c>
      <c r="S306" s="76">
        <f t="shared" si="186"/>
        <v>0</v>
      </c>
      <c r="T306" s="76">
        <f t="shared" si="187"/>
        <v>0</v>
      </c>
      <c r="U306" s="76">
        <f t="shared" si="188"/>
        <v>0</v>
      </c>
      <c r="V306" s="109">
        <f t="shared" si="189"/>
        <v>0</v>
      </c>
      <c r="W306" s="62"/>
      <c r="X306" s="78">
        <f t="shared" si="170"/>
        <v>3.125E-2</v>
      </c>
      <c r="Y306" s="73">
        <f t="shared" si="190"/>
        <v>0</v>
      </c>
      <c r="Z306" s="74">
        <f t="shared" si="191"/>
        <v>0.29166666666666669</v>
      </c>
      <c r="AA306" s="75">
        <f t="shared" si="192"/>
        <v>0</v>
      </c>
      <c r="AB306" s="63" t="str">
        <f t="shared" si="193"/>
        <v/>
      </c>
      <c r="AC306" s="148">
        <f t="shared" si="171"/>
        <v>0</v>
      </c>
      <c r="AD306" s="107" t="str">
        <f t="shared" si="172"/>
        <v/>
      </c>
      <c r="AE306" s="180">
        <f t="shared" si="194"/>
        <v>0</v>
      </c>
      <c r="AF306" s="73"/>
      <c r="AG306" s="525"/>
      <c r="AH306" s="73"/>
      <c r="AI306" s="73" t="str">
        <f t="shared" si="205"/>
        <v/>
      </c>
      <c r="AJ306" s="64">
        <f t="shared" si="173"/>
        <v>0</v>
      </c>
      <c r="AK306" s="64">
        <f t="shared" si="174"/>
        <v>0</v>
      </c>
      <c r="AL306" s="64" t="str">
        <f t="shared" si="175"/>
        <v/>
      </c>
      <c r="AM306">
        <f t="shared" si="176"/>
        <v>3</v>
      </c>
      <c r="AN306" s="85">
        <f>SUM($AD$6:AD306)</f>
        <v>0</v>
      </c>
      <c r="AO306" s="85">
        <f t="shared" ca="1" si="195"/>
        <v>0</v>
      </c>
      <c r="AP306" s="89">
        <f t="shared" si="196"/>
        <v>0</v>
      </c>
      <c r="AQ306" s="89">
        <f t="shared" si="197"/>
        <v>0</v>
      </c>
      <c r="AR306" s="89">
        <f t="shared" si="198"/>
        <v>0</v>
      </c>
      <c r="AS306" s="88">
        <f t="shared" si="199"/>
        <v>30</v>
      </c>
      <c r="AT306" s="88">
        <f t="shared" ca="1" si="200"/>
        <v>30</v>
      </c>
      <c r="AU306" s="98">
        <f t="shared" si="201"/>
        <v>0</v>
      </c>
      <c r="AV306" s="88">
        <f t="shared" si="202"/>
        <v>0</v>
      </c>
      <c r="AW306" t="b">
        <f>OR((F306&gt;0),(NOT(ISBLANK(H306))),SUM(H306:H$373),SUM(G306:G$373))</f>
        <v>0</v>
      </c>
      <c r="AX306" t="b">
        <f t="shared" ca="1" si="177"/>
        <v>0</v>
      </c>
      <c r="AY306" s="519">
        <f t="shared" si="203"/>
        <v>-0.29166666666666669</v>
      </c>
      <c r="AZ306" s="180">
        <f>SUM(AY$5:AY306)</f>
        <v>-60.374999999999822</v>
      </c>
      <c r="BA306" s="567"/>
      <c r="BB306" s="567">
        <f t="shared" si="178"/>
        <v>0</v>
      </c>
      <c r="BC306" s="567"/>
    </row>
    <row r="307" spans="1:55" ht="15.75">
      <c r="A307" s="260">
        <f t="shared" si="204"/>
        <v>45135</v>
      </c>
      <c r="B307" s="261">
        <f t="shared" si="179"/>
        <v>45135</v>
      </c>
      <c r="C307" s="262">
        <f>IF(A307="","",NumberOfWeek(A307))</f>
        <v>30</v>
      </c>
      <c r="D307" s="263">
        <f t="shared" si="180"/>
        <v>45107</v>
      </c>
      <c r="E307" s="273" t="str">
        <f t="shared" si="181"/>
        <v/>
      </c>
      <c r="F307" s="5"/>
      <c r="G307" s="6" t="str">
        <f t="shared" si="166"/>
        <v/>
      </c>
      <c r="H307" s="7"/>
      <c r="I307" s="7">
        <f t="shared" si="182"/>
        <v>0</v>
      </c>
      <c r="J307" s="76">
        <f t="shared" si="183"/>
        <v>0</v>
      </c>
      <c r="K307" s="7"/>
      <c r="L307" s="7">
        <f t="shared" si="184"/>
        <v>0</v>
      </c>
      <c r="M307" s="76">
        <f t="shared" si="167"/>
        <v>0</v>
      </c>
      <c r="N307" s="76"/>
      <c r="O307" s="76">
        <f t="shared" si="168"/>
        <v>0</v>
      </c>
      <c r="P307" s="76"/>
      <c r="Q307" s="76">
        <f t="shared" si="169"/>
        <v>0</v>
      </c>
      <c r="R307" s="76">
        <f t="shared" si="185"/>
        <v>0</v>
      </c>
      <c r="S307" s="76">
        <f t="shared" si="186"/>
        <v>0</v>
      </c>
      <c r="T307" s="76">
        <f t="shared" si="187"/>
        <v>0</v>
      </c>
      <c r="U307" s="76">
        <f t="shared" si="188"/>
        <v>0</v>
      </c>
      <c r="V307" s="109">
        <f t="shared" si="189"/>
        <v>0</v>
      </c>
      <c r="W307" s="62"/>
      <c r="X307" s="78">
        <f t="shared" si="170"/>
        <v>3.125E-2</v>
      </c>
      <c r="Y307" s="73">
        <f t="shared" si="190"/>
        <v>0</v>
      </c>
      <c r="Z307" s="74">
        <f t="shared" si="191"/>
        <v>0.29166666666666669</v>
      </c>
      <c r="AA307" s="75">
        <f t="shared" si="192"/>
        <v>0</v>
      </c>
      <c r="AB307" s="63" t="str">
        <f t="shared" si="193"/>
        <v/>
      </c>
      <c r="AC307" s="148">
        <f t="shared" si="171"/>
        <v>0</v>
      </c>
      <c r="AD307" s="107" t="str">
        <f t="shared" si="172"/>
        <v/>
      </c>
      <c r="AE307" s="180">
        <f t="shared" si="194"/>
        <v>0</v>
      </c>
      <c r="AF307" s="73"/>
      <c r="AG307" s="525"/>
      <c r="AH307" s="73"/>
      <c r="AI307" s="73" t="str">
        <f t="shared" si="205"/>
        <v/>
      </c>
      <c r="AJ307" s="64">
        <f t="shared" si="173"/>
        <v>0</v>
      </c>
      <c r="AK307" s="64">
        <f t="shared" si="174"/>
        <v>0</v>
      </c>
      <c r="AL307" s="64" t="str">
        <f t="shared" si="175"/>
        <v/>
      </c>
      <c r="AM307">
        <f t="shared" si="176"/>
        <v>4</v>
      </c>
      <c r="AN307" s="85">
        <f>SUM($AD$6:AD307)</f>
        <v>0</v>
      </c>
      <c r="AO307" s="85">
        <f t="shared" ca="1" si="195"/>
        <v>0</v>
      </c>
      <c r="AP307" s="89">
        <f t="shared" si="196"/>
        <v>0</v>
      </c>
      <c r="AQ307" s="89">
        <f t="shared" si="197"/>
        <v>0</v>
      </c>
      <c r="AR307" s="89">
        <f t="shared" si="198"/>
        <v>0</v>
      </c>
      <c r="AS307" s="88">
        <f t="shared" si="199"/>
        <v>30</v>
      </c>
      <c r="AT307" s="88">
        <f t="shared" ca="1" si="200"/>
        <v>30</v>
      </c>
      <c r="AU307" s="98">
        <f t="shared" si="201"/>
        <v>0</v>
      </c>
      <c r="AV307" s="88">
        <f t="shared" si="202"/>
        <v>0</v>
      </c>
      <c r="AW307" t="b">
        <f>OR((F307&gt;0),(NOT(ISBLANK(H307))),SUM(H307:H$373),SUM(G307:G$373))</f>
        <v>0</v>
      </c>
      <c r="AX307" t="b">
        <f t="shared" ca="1" si="177"/>
        <v>0</v>
      </c>
      <c r="AY307" s="519">
        <f t="shared" si="203"/>
        <v>-0.29166666666666669</v>
      </c>
      <c r="AZ307" s="180">
        <f>SUM(AY$5:AY307)</f>
        <v>-60.666666666666487</v>
      </c>
      <c r="BA307" s="567"/>
      <c r="BB307" s="567">
        <f t="shared" si="178"/>
        <v>0</v>
      </c>
      <c r="BC307" s="567"/>
    </row>
    <row r="308" spans="1:55" ht="15.75">
      <c r="A308" s="260">
        <f t="shared" si="204"/>
        <v>45136</v>
      </c>
      <c r="B308" s="261">
        <f t="shared" si="179"/>
        <v>45136</v>
      </c>
      <c r="C308" s="262">
        <f>IF(A308="","",NumberOfWeek(A308))</f>
        <v>30</v>
      </c>
      <c r="D308" s="263">
        <f t="shared" si="180"/>
        <v>45107</v>
      </c>
      <c r="E308" s="273" t="str">
        <f t="shared" si="181"/>
        <v/>
      </c>
      <c r="F308" s="5"/>
      <c r="G308" s="6" t="str">
        <f t="shared" si="166"/>
        <v/>
      </c>
      <c r="H308" s="7"/>
      <c r="I308" s="7">
        <f t="shared" si="182"/>
        <v>0</v>
      </c>
      <c r="J308" s="76">
        <f t="shared" si="183"/>
        <v>0</v>
      </c>
      <c r="K308" s="7"/>
      <c r="L308" s="7">
        <f t="shared" si="184"/>
        <v>0</v>
      </c>
      <c r="M308" s="76">
        <f t="shared" si="167"/>
        <v>0</v>
      </c>
      <c r="N308" s="76"/>
      <c r="O308" s="76">
        <f t="shared" si="168"/>
        <v>0</v>
      </c>
      <c r="P308" s="76"/>
      <c r="Q308" s="76">
        <f t="shared" si="169"/>
        <v>0</v>
      </c>
      <c r="R308" s="76">
        <f t="shared" si="185"/>
        <v>0</v>
      </c>
      <c r="S308" s="76">
        <f t="shared" si="186"/>
        <v>0</v>
      </c>
      <c r="T308" s="76">
        <f t="shared" si="187"/>
        <v>0</v>
      </c>
      <c r="U308" s="76">
        <f t="shared" si="188"/>
        <v>0</v>
      </c>
      <c r="V308" s="109">
        <f t="shared" si="189"/>
        <v>0</v>
      </c>
      <c r="W308" s="62"/>
      <c r="X308" s="78">
        <f t="shared" si="170"/>
        <v>3.125E-2</v>
      </c>
      <c r="Y308" s="73">
        <f t="shared" si="190"/>
        <v>0</v>
      </c>
      <c r="Z308" s="74">
        <f t="shared" si="191"/>
        <v>0.29166666666666669</v>
      </c>
      <c r="AA308" s="75">
        <f t="shared" si="192"/>
        <v>0</v>
      </c>
      <c r="AB308" s="63" t="str">
        <f t="shared" si="193"/>
        <v/>
      </c>
      <c r="AC308" s="148">
        <f t="shared" si="171"/>
        <v>0</v>
      </c>
      <c r="AD308" s="107" t="str">
        <f t="shared" si="172"/>
        <v/>
      </c>
      <c r="AE308" s="180">
        <f t="shared" si="194"/>
        <v>0</v>
      </c>
      <c r="AF308" s="73"/>
      <c r="AG308" s="525"/>
      <c r="AH308" s="73"/>
      <c r="AI308" s="73" t="str">
        <f t="shared" si="205"/>
        <v/>
      </c>
      <c r="AJ308" s="64">
        <f t="shared" si="173"/>
        <v>0</v>
      </c>
      <c r="AK308" s="64">
        <f t="shared" si="174"/>
        <v>0</v>
      </c>
      <c r="AL308" s="64" t="str">
        <f t="shared" si="175"/>
        <v/>
      </c>
      <c r="AM308">
        <f t="shared" si="176"/>
        <v>5</v>
      </c>
      <c r="AN308" s="85">
        <f>SUM($AD$6:AD308)</f>
        <v>0</v>
      </c>
      <c r="AO308" s="85">
        <f t="shared" ca="1" si="195"/>
        <v>0</v>
      </c>
      <c r="AP308" s="89">
        <f t="shared" si="196"/>
        <v>0</v>
      </c>
      <c r="AQ308" s="89">
        <f t="shared" si="197"/>
        <v>0</v>
      </c>
      <c r="AR308" s="89">
        <f t="shared" si="198"/>
        <v>0</v>
      </c>
      <c r="AS308" s="88">
        <f t="shared" si="199"/>
        <v>30</v>
      </c>
      <c r="AT308" s="88">
        <f t="shared" ca="1" si="200"/>
        <v>30</v>
      </c>
      <c r="AU308" s="98">
        <f t="shared" si="201"/>
        <v>0</v>
      </c>
      <c r="AV308" s="88">
        <f t="shared" si="202"/>
        <v>0</v>
      </c>
      <c r="AW308" t="b">
        <f>OR((F308&gt;0),(NOT(ISBLANK(H308))),SUM(H308:H$373),SUM(G308:G$373))</f>
        <v>0</v>
      </c>
      <c r="AX308" t="b">
        <f t="shared" ca="1" si="177"/>
        <v>0</v>
      </c>
      <c r="AY308" s="519">
        <f t="shared" si="203"/>
        <v>-0.29166666666666669</v>
      </c>
      <c r="AZ308" s="180">
        <f>SUM(AY$5:AY308)</f>
        <v>-60.958333333333151</v>
      </c>
      <c r="BA308" s="567"/>
      <c r="BB308" s="567">
        <f t="shared" si="178"/>
        <v>0</v>
      </c>
      <c r="BC308" s="567"/>
    </row>
    <row r="309" spans="1:55" ht="15.75">
      <c r="A309" s="260">
        <f t="shared" si="204"/>
        <v>45137</v>
      </c>
      <c r="B309" s="261">
        <f t="shared" si="179"/>
        <v>45137</v>
      </c>
      <c r="C309" s="262">
        <f>IF(A309="","",NumberOfWeek(A309))</f>
        <v>30</v>
      </c>
      <c r="D309" s="263">
        <f t="shared" si="180"/>
        <v>45107</v>
      </c>
      <c r="E309" s="273" t="str">
        <f t="shared" si="181"/>
        <v/>
      </c>
      <c r="F309" s="5"/>
      <c r="G309" s="6" t="str">
        <f t="shared" si="166"/>
        <v/>
      </c>
      <c r="H309" s="7"/>
      <c r="I309" s="7">
        <f t="shared" si="182"/>
        <v>0</v>
      </c>
      <c r="J309" s="76">
        <f t="shared" si="183"/>
        <v>0</v>
      </c>
      <c r="K309" s="7"/>
      <c r="L309" s="7">
        <f t="shared" si="184"/>
        <v>0</v>
      </c>
      <c r="M309" s="76">
        <f t="shared" si="167"/>
        <v>0</v>
      </c>
      <c r="N309" s="76"/>
      <c r="O309" s="76">
        <f t="shared" si="168"/>
        <v>0</v>
      </c>
      <c r="P309" s="76"/>
      <c r="Q309" s="76">
        <f t="shared" si="169"/>
        <v>0</v>
      </c>
      <c r="R309" s="76">
        <f t="shared" si="185"/>
        <v>0</v>
      </c>
      <c r="S309" s="76">
        <f t="shared" si="186"/>
        <v>0</v>
      </c>
      <c r="T309" s="76">
        <f t="shared" si="187"/>
        <v>0</v>
      </c>
      <c r="U309" s="76">
        <f t="shared" si="188"/>
        <v>0</v>
      </c>
      <c r="V309" s="109">
        <f t="shared" si="189"/>
        <v>0</v>
      </c>
      <c r="W309" s="62"/>
      <c r="X309" s="78">
        <f t="shared" si="170"/>
        <v>3.125E-2</v>
      </c>
      <c r="Y309" s="73">
        <f t="shared" si="190"/>
        <v>0</v>
      </c>
      <c r="Z309" s="74">
        <f t="shared" si="191"/>
        <v>0</v>
      </c>
      <c r="AA309" s="75">
        <f t="shared" si="192"/>
        <v>0</v>
      </c>
      <c r="AB309" s="63" t="str">
        <f t="shared" si="193"/>
        <v/>
      </c>
      <c r="AC309" s="148">
        <f t="shared" si="171"/>
        <v>0</v>
      </c>
      <c r="AD309" s="107" t="str">
        <f t="shared" si="172"/>
        <v/>
      </c>
      <c r="AE309" s="180">
        <f t="shared" si="194"/>
        <v>0</v>
      </c>
      <c r="AF309" s="73"/>
      <c r="AG309" s="525"/>
      <c r="AH309" s="73"/>
      <c r="AI309" s="73" t="str">
        <f t="shared" si="205"/>
        <v/>
      </c>
      <c r="AJ309" s="64">
        <f t="shared" si="173"/>
        <v>0</v>
      </c>
      <c r="AK309" s="64">
        <f t="shared" si="174"/>
        <v>0</v>
      </c>
      <c r="AL309" s="64" t="str">
        <f t="shared" si="175"/>
        <v/>
      </c>
      <c r="AM309">
        <f t="shared" si="176"/>
        <v>6</v>
      </c>
      <c r="AN309" s="85">
        <f>SUM($AD$6:AD309)</f>
        <v>0</v>
      </c>
      <c r="AO309" s="85">
        <f t="shared" ca="1" si="195"/>
        <v>0</v>
      </c>
      <c r="AP309" s="89">
        <f t="shared" si="196"/>
        <v>0</v>
      </c>
      <c r="AQ309" s="89">
        <f t="shared" si="197"/>
        <v>0</v>
      </c>
      <c r="AR309" s="89">
        <f t="shared" si="198"/>
        <v>0</v>
      </c>
      <c r="AS309" s="88">
        <f t="shared" si="199"/>
        <v>30</v>
      </c>
      <c r="AT309" s="88">
        <f t="shared" ca="1" si="200"/>
        <v>30</v>
      </c>
      <c r="AU309" s="98">
        <f t="shared" si="201"/>
        <v>0</v>
      </c>
      <c r="AV309" s="88">
        <f t="shared" si="202"/>
        <v>7</v>
      </c>
      <c r="AW309" t="b">
        <f>OR((F309&gt;0),(NOT(ISBLANK(H309))),SUM(H309:H$373),SUM(G309:G$373))</f>
        <v>0</v>
      </c>
      <c r="AX309" t="b">
        <f t="shared" ca="1" si="177"/>
        <v>1</v>
      </c>
      <c r="AY309" s="519">
        <f t="shared" si="203"/>
        <v>0</v>
      </c>
      <c r="AZ309" s="180">
        <f>SUM(AY$5:AY309)</f>
        <v>-60.958333333333151</v>
      </c>
      <c r="BA309" s="567"/>
      <c r="BB309" s="567">
        <f t="shared" si="178"/>
        <v>0</v>
      </c>
      <c r="BC309" s="567"/>
    </row>
    <row r="310" spans="1:55" ht="15.75">
      <c r="A310" s="260">
        <f t="shared" si="204"/>
        <v>45138</v>
      </c>
      <c r="B310" s="261">
        <f t="shared" si="179"/>
        <v>45138</v>
      </c>
      <c r="C310" s="262">
        <f>IF(A310="","",NumberOfWeek(A310))</f>
        <v>30</v>
      </c>
      <c r="D310" s="263">
        <f t="shared" si="180"/>
        <v>45138</v>
      </c>
      <c r="E310" s="273" t="str">
        <f t="shared" si="181"/>
        <v/>
      </c>
      <c r="F310" s="5"/>
      <c r="G310" s="6" t="str">
        <f t="shared" si="166"/>
        <v/>
      </c>
      <c r="H310" s="7"/>
      <c r="I310" s="7">
        <f t="shared" si="182"/>
        <v>0</v>
      </c>
      <c r="J310" s="76">
        <f t="shared" si="183"/>
        <v>0</v>
      </c>
      <c r="K310" s="7"/>
      <c r="L310" s="7">
        <f t="shared" si="184"/>
        <v>0</v>
      </c>
      <c r="M310" s="76">
        <f t="shared" si="167"/>
        <v>0</v>
      </c>
      <c r="N310" s="76"/>
      <c r="O310" s="76">
        <f t="shared" si="168"/>
        <v>0</v>
      </c>
      <c r="P310" s="76"/>
      <c r="Q310" s="76">
        <f t="shared" si="169"/>
        <v>0</v>
      </c>
      <c r="R310" s="76">
        <f t="shared" si="185"/>
        <v>0</v>
      </c>
      <c r="S310" s="76">
        <f t="shared" si="186"/>
        <v>0</v>
      </c>
      <c r="T310" s="76">
        <f t="shared" si="187"/>
        <v>0</v>
      </c>
      <c r="U310" s="76">
        <f t="shared" si="188"/>
        <v>0</v>
      </c>
      <c r="V310" s="109">
        <f t="shared" si="189"/>
        <v>0</v>
      </c>
      <c r="W310" s="62"/>
      <c r="X310" s="78">
        <f t="shared" si="170"/>
        <v>3.125E-2</v>
      </c>
      <c r="Y310" s="73">
        <f t="shared" si="190"/>
        <v>0</v>
      </c>
      <c r="Z310" s="74">
        <f t="shared" si="191"/>
        <v>0</v>
      </c>
      <c r="AA310" s="75">
        <f t="shared" si="192"/>
        <v>0</v>
      </c>
      <c r="AB310" s="63" t="str">
        <f t="shared" si="193"/>
        <v/>
      </c>
      <c r="AC310" s="148">
        <f t="shared" si="171"/>
        <v>0</v>
      </c>
      <c r="AD310" s="107" t="str">
        <f t="shared" si="172"/>
        <v/>
      </c>
      <c r="AE310" s="180">
        <f t="shared" si="194"/>
        <v>0</v>
      </c>
      <c r="AF310" s="73"/>
      <c r="AG310" s="525"/>
      <c r="AH310" s="73"/>
      <c r="AI310" s="73" t="str">
        <f t="shared" si="205"/>
        <v/>
      </c>
      <c r="AJ310" s="64">
        <f t="shared" si="173"/>
        <v>0</v>
      </c>
      <c r="AK310" s="64">
        <f t="shared" si="174"/>
        <v>0</v>
      </c>
      <c r="AL310" s="64" t="str">
        <f t="shared" si="175"/>
        <v/>
      </c>
      <c r="AM310">
        <f t="shared" si="176"/>
        <v>7</v>
      </c>
      <c r="AN310" s="85">
        <f>SUM($AD$6:AD310)</f>
        <v>0</v>
      </c>
      <c r="AO310" s="85">
        <f t="shared" ca="1" si="195"/>
        <v>0</v>
      </c>
      <c r="AP310" s="89">
        <f t="shared" si="196"/>
        <v>0</v>
      </c>
      <c r="AQ310" s="89">
        <f t="shared" si="197"/>
        <v>0</v>
      </c>
      <c r="AR310" s="89">
        <f t="shared" si="198"/>
        <v>0</v>
      </c>
      <c r="AS310" s="88">
        <f t="shared" si="199"/>
        <v>30</v>
      </c>
      <c r="AT310" s="88">
        <f t="shared" ca="1" si="200"/>
        <v>30</v>
      </c>
      <c r="AU310" s="98">
        <f t="shared" si="201"/>
        <v>0</v>
      </c>
      <c r="AV310" s="88">
        <f t="shared" si="202"/>
        <v>7</v>
      </c>
      <c r="AW310" t="b">
        <f>OR((F310&gt;0),(NOT(ISBLANK(H310))),SUM(H310:H$373),SUM(G310:G$373))</f>
        <v>0</v>
      </c>
      <c r="AX310" t="b">
        <f t="shared" ca="1" si="177"/>
        <v>1</v>
      </c>
      <c r="AY310" s="519">
        <f t="shared" si="203"/>
        <v>0</v>
      </c>
      <c r="AZ310" s="180">
        <f>SUM(AY$5:AY310)</f>
        <v>-60.958333333333151</v>
      </c>
      <c r="BA310" s="567"/>
      <c r="BB310" s="567">
        <f t="shared" si="178"/>
        <v>0</v>
      </c>
      <c r="BC310" s="567"/>
    </row>
    <row r="311" spans="1:55" ht="15.75">
      <c r="A311" s="260">
        <f t="shared" si="204"/>
        <v>45139</v>
      </c>
      <c r="B311" s="261">
        <f t="shared" si="179"/>
        <v>45139</v>
      </c>
      <c r="C311" s="262">
        <f>IF(A311="","",NumberOfWeek(A311))</f>
        <v>31</v>
      </c>
      <c r="D311" s="263">
        <f t="shared" si="180"/>
        <v>45138</v>
      </c>
      <c r="E311" s="273" t="str">
        <f t="shared" si="181"/>
        <v/>
      </c>
      <c r="F311" s="5"/>
      <c r="G311" s="6" t="str">
        <f t="shared" si="166"/>
        <v/>
      </c>
      <c r="H311" s="7"/>
      <c r="I311" s="7">
        <f t="shared" si="182"/>
        <v>0</v>
      </c>
      <c r="J311" s="76">
        <f t="shared" si="183"/>
        <v>0</v>
      </c>
      <c r="K311" s="7"/>
      <c r="L311" s="7">
        <f t="shared" si="184"/>
        <v>0</v>
      </c>
      <c r="M311" s="76">
        <f t="shared" si="167"/>
        <v>0</v>
      </c>
      <c r="N311" s="76"/>
      <c r="O311" s="76">
        <f t="shared" si="168"/>
        <v>0</v>
      </c>
      <c r="P311" s="76"/>
      <c r="Q311" s="76">
        <f t="shared" si="169"/>
        <v>0</v>
      </c>
      <c r="R311" s="76">
        <f t="shared" si="185"/>
        <v>0</v>
      </c>
      <c r="S311" s="76">
        <f t="shared" si="186"/>
        <v>0</v>
      </c>
      <c r="T311" s="76">
        <f t="shared" si="187"/>
        <v>0</v>
      </c>
      <c r="U311" s="76">
        <f t="shared" si="188"/>
        <v>0</v>
      </c>
      <c r="V311" s="109">
        <f t="shared" si="189"/>
        <v>0</v>
      </c>
      <c r="W311" s="62"/>
      <c r="X311" s="78">
        <f t="shared" si="170"/>
        <v>3.125E-2</v>
      </c>
      <c r="Y311" s="73">
        <f t="shared" si="190"/>
        <v>0</v>
      </c>
      <c r="Z311" s="74">
        <f t="shared" si="191"/>
        <v>0.29166666666666669</v>
      </c>
      <c r="AA311" s="75">
        <f t="shared" si="192"/>
        <v>0</v>
      </c>
      <c r="AB311" s="63" t="str">
        <f t="shared" si="193"/>
        <v/>
      </c>
      <c r="AC311" s="148">
        <f t="shared" si="171"/>
        <v>0</v>
      </c>
      <c r="AD311" s="107" t="str">
        <f t="shared" si="172"/>
        <v/>
      </c>
      <c r="AE311" s="180">
        <f t="shared" si="194"/>
        <v>0</v>
      </c>
      <c r="AF311" s="73"/>
      <c r="AG311" s="525"/>
      <c r="AH311" s="73"/>
      <c r="AI311" s="73" t="str">
        <f t="shared" si="205"/>
        <v/>
      </c>
      <c r="AJ311" s="64">
        <f t="shared" si="173"/>
        <v>0</v>
      </c>
      <c r="AK311" s="64">
        <f t="shared" si="174"/>
        <v>0</v>
      </c>
      <c r="AL311" s="64" t="str">
        <f t="shared" si="175"/>
        <v/>
      </c>
      <c r="AM311">
        <f t="shared" si="176"/>
        <v>1</v>
      </c>
      <c r="AN311" s="85">
        <f>SUM($AD$6:AD311)</f>
        <v>0</v>
      </c>
      <c r="AO311" s="85">
        <f t="shared" ca="1" si="195"/>
        <v>0</v>
      </c>
      <c r="AP311" s="89">
        <f t="shared" si="196"/>
        <v>0</v>
      </c>
      <c r="AQ311" s="89">
        <f t="shared" si="197"/>
        <v>0</v>
      </c>
      <c r="AR311" s="89">
        <f t="shared" si="198"/>
        <v>0</v>
      </c>
      <c r="AS311" s="88">
        <f t="shared" si="199"/>
        <v>30</v>
      </c>
      <c r="AT311" s="88">
        <f t="shared" ca="1" si="200"/>
        <v>30</v>
      </c>
      <c r="AU311" s="98">
        <f t="shared" si="201"/>
        <v>0</v>
      </c>
      <c r="AV311" s="88">
        <f t="shared" si="202"/>
        <v>0</v>
      </c>
      <c r="AW311" t="b">
        <f>OR((F311&gt;0),(NOT(ISBLANK(H311))),SUM(H311:H$373),SUM(G311:G$373))</f>
        <v>0</v>
      </c>
      <c r="AX311" t="b">
        <f t="shared" ca="1" si="177"/>
        <v>0</v>
      </c>
      <c r="AY311" s="519">
        <f t="shared" si="203"/>
        <v>-0.29166666666666669</v>
      </c>
      <c r="AZ311" s="180">
        <f>SUM(AY$5:AY311)</f>
        <v>-61.249999999999815</v>
      </c>
      <c r="BA311" s="567"/>
      <c r="BB311" s="567">
        <f t="shared" si="178"/>
        <v>0</v>
      </c>
      <c r="BC311" s="567"/>
    </row>
    <row r="312" spans="1:55" ht="15.75">
      <c r="A312" s="260">
        <f t="shared" si="204"/>
        <v>45140</v>
      </c>
      <c r="B312" s="261">
        <f t="shared" si="179"/>
        <v>45140</v>
      </c>
      <c r="C312" s="262">
        <f>IF(A312="","",NumberOfWeek(A312))</f>
        <v>31</v>
      </c>
      <c r="D312" s="263">
        <f t="shared" si="180"/>
        <v>45138</v>
      </c>
      <c r="E312" s="273" t="str">
        <f t="shared" si="181"/>
        <v/>
      </c>
      <c r="F312" s="5"/>
      <c r="G312" s="6" t="str">
        <f t="shared" si="166"/>
        <v/>
      </c>
      <c r="H312" s="7"/>
      <c r="I312" s="7">
        <f t="shared" si="182"/>
        <v>0</v>
      </c>
      <c r="J312" s="76">
        <f t="shared" si="183"/>
        <v>0</v>
      </c>
      <c r="K312" s="7"/>
      <c r="L312" s="7">
        <f t="shared" si="184"/>
        <v>0</v>
      </c>
      <c r="M312" s="76">
        <f t="shared" si="167"/>
        <v>0</v>
      </c>
      <c r="N312" s="76"/>
      <c r="O312" s="76">
        <f t="shared" si="168"/>
        <v>0</v>
      </c>
      <c r="P312" s="76"/>
      <c r="Q312" s="76">
        <f t="shared" si="169"/>
        <v>0</v>
      </c>
      <c r="R312" s="76">
        <f t="shared" si="185"/>
        <v>0</v>
      </c>
      <c r="S312" s="76">
        <f t="shared" si="186"/>
        <v>0</v>
      </c>
      <c r="T312" s="76">
        <f t="shared" si="187"/>
        <v>0</v>
      </c>
      <c r="U312" s="76">
        <f t="shared" si="188"/>
        <v>0</v>
      </c>
      <c r="V312" s="109">
        <f t="shared" si="189"/>
        <v>0</v>
      </c>
      <c r="W312" s="62"/>
      <c r="X312" s="78">
        <f t="shared" si="170"/>
        <v>3.125E-2</v>
      </c>
      <c r="Y312" s="73">
        <f t="shared" si="190"/>
        <v>0</v>
      </c>
      <c r="Z312" s="74">
        <f t="shared" si="191"/>
        <v>0.29166666666666669</v>
      </c>
      <c r="AA312" s="75">
        <f t="shared" si="192"/>
        <v>0</v>
      </c>
      <c r="AB312" s="63" t="str">
        <f t="shared" si="193"/>
        <v/>
      </c>
      <c r="AC312" s="148">
        <f t="shared" si="171"/>
        <v>0</v>
      </c>
      <c r="AD312" s="107" t="str">
        <f t="shared" si="172"/>
        <v/>
      </c>
      <c r="AE312" s="180">
        <f t="shared" si="194"/>
        <v>0</v>
      </c>
      <c r="AF312" s="73"/>
      <c r="AG312" s="525"/>
      <c r="AH312" s="73"/>
      <c r="AI312" s="73" t="str">
        <f t="shared" si="205"/>
        <v/>
      </c>
      <c r="AJ312" s="64">
        <f t="shared" si="173"/>
        <v>0</v>
      </c>
      <c r="AK312" s="64">
        <f t="shared" si="174"/>
        <v>0</v>
      </c>
      <c r="AL312" s="64" t="str">
        <f t="shared" si="175"/>
        <v/>
      </c>
      <c r="AM312">
        <f t="shared" si="176"/>
        <v>2</v>
      </c>
      <c r="AN312" s="85">
        <f>SUM($AD$6:AD312)</f>
        <v>0</v>
      </c>
      <c r="AO312" s="85">
        <f t="shared" ca="1" si="195"/>
        <v>0</v>
      </c>
      <c r="AP312" s="89">
        <f t="shared" si="196"/>
        <v>0</v>
      </c>
      <c r="AQ312" s="89">
        <f t="shared" si="197"/>
        <v>0</v>
      </c>
      <c r="AR312" s="89">
        <f t="shared" si="198"/>
        <v>0</v>
      </c>
      <c r="AS312" s="88">
        <f t="shared" si="199"/>
        <v>30</v>
      </c>
      <c r="AT312" s="88">
        <f t="shared" ca="1" si="200"/>
        <v>30</v>
      </c>
      <c r="AU312" s="98">
        <f t="shared" si="201"/>
        <v>0</v>
      </c>
      <c r="AV312" s="88">
        <f t="shared" si="202"/>
        <v>0</v>
      </c>
      <c r="AW312" t="b">
        <f>OR((F312&gt;0),(NOT(ISBLANK(H312))),SUM(H312:H$373),SUM(G312:G$373))</f>
        <v>0</v>
      </c>
      <c r="AX312" t="b">
        <f t="shared" ca="1" si="177"/>
        <v>0</v>
      </c>
      <c r="AY312" s="519">
        <f t="shared" si="203"/>
        <v>-0.29166666666666669</v>
      </c>
      <c r="AZ312" s="180">
        <f>SUM(AY$5:AY312)</f>
        <v>-61.54166666666648</v>
      </c>
      <c r="BA312" s="567"/>
      <c r="BB312" s="567">
        <f t="shared" si="178"/>
        <v>0</v>
      </c>
      <c r="BC312" s="567"/>
    </row>
    <row r="313" spans="1:55" ht="15.75">
      <c r="A313" s="260">
        <f t="shared" si="204"/>
        <v>45141</v>
      </c>
      <c r="B313" s="261">
        <f t="shared" si="179"/>
        <v>45141</v>
      </c>
      <c r="C313" s="262">
        <f>IF(A313="","",NumberOfWeek(A313))</f>
        <v>31</v>
      </c>
      <c r="D313" s="263">
        <f t="shared" si="180"/>
        <v>45138</v>
      </c>
      <c r="E313" s="273" t="str">
        <f t="shared" si="181"/>
        <v/>
      </c>
      <c r="F313" s="5"/>
      <c r="G313" s="6" t="str">
        <f t="shared" si="166"/>
        <v/>
      </c>
      <c r="H313" s="7"/>
      <c r="I313" s="7">
        <f t="shared" si="182"/>
        <v>0</v>
      </c>
      <c r="J313" s="76">
        <f t="shared" si="183"/>
        <v>0</v>
      </c>
      <c r="K313" s="7"/>
      <c r="L313" s="7">
        <f t="shared" si="184"/>
        <v>0</v>
      </c>
      <c r="M313" s="76">
        <f t="shared" si="167"/>
        <v>0</v>
      </c>
      <c r="N313" s="76"/>
      <c r="O313" s="76">
        <f t="shared" si="168"/>
        <v>0</v>
      </c>
      <c r="P313" s="76"/>
      <c r="Q313" s="76">
        <f t="shared" si="169"/>
        <v>0</v>
      </c>
      <c r="R313" s="76">
        <f t="shared" si="185"/>
        <v>0</v>
      </c>
      <c r="S313" s="76">
        <f t="shared" si="186"/>
        <v>0</v>
      </c>
      <c r="T313" s="76">
        <f t="shared" si="187"/>
        <v>0</v>
      </c>
      <c r="U313" s="76">
        <f t="shared" si="188"/>
        <v>0</v>
      </c>
      <c r="V313" s="109">
        <f t="shared" si="189"/>
        <v>0</v>
      </c>
      <c r="W313" s="62"/>
      <c r="X313" s="78">
        <f t="shared" si="170"/>
        <v>3.125E-2</v>
      </c>
      <c r="Y313" s="73">
        <f t="shared" si="190"/>
        <v>0</v>
      </c>
      <c r="Z313" s="74">
        <f t="shared" si="191"/>
        <v>0.29166666666666669</v>
      </c>
      <c r="AA313" s="75">
        <f t="shared" si="192"/>
        <v>0</v>
      </c>
      <c r="AB313" s="63" t="str">
        <f t="shared" si="193"/>
        <v/>
      </c>
      <c r="AC313" s="148">
        <f t="shared" si="171"/>
        <v>0</v>
      </c>
      <c r="AD313" s="107" t="str">
        <f t="shared" si="172"/>
        <v/>
      </c>
      <c r="AE313" s="180">
        <f t="shared" si="194"/>
        <v>0</v>
      </c>
      <c r="AF313" s="73"/>
      <c r="AG313" s="525"/>
      <c r="AH313" s="73"/>
      <c r="AI313" s="73" t="str">
        <f t="shared" si="205"/>
        <v/>
      </c>
      <c r="AJ313" s="64">
        <f t="shared" si="173"/>
        <v>0</v>
      </c>
      <c r="AK313" s="64">
        <f t="shared" si="174"/>
        <v>0</v>
      </c>
      <c r="AL313" s="64" t="str">
        <f t="shared" si="175"/>
        <v/>
      </c>
      <c r="AM313">
        <f t="shared" si="176"/>
        <v>3</v>
      </c>
      <c r="AN313" s="85">
        <f>SUM($AD$6:AD313)</f>
        <v>0</v>
      </c>
      <c r="AO313" s="85">
        <f t="shared" ca="1" si="195"/>
        <v>0</v>
      </c>
      <c r="AP313" s="89">
        <f t="shared" si="196"/>
        <v>0</v>
      </c>
      <c r="AQ313" s="89">
        <f t="shared" si="197"/>
        <v>0</v>
      </c>
      <c r="AR313" s="89">
        <f t="shared" si="198"/>
        <v>0</v>
      </c>
      <c r="AS313" s="88">
        <f t="shared" si="199"/>
        <v>30</v>
      </c>
      <c r="AT313" s="88">
        <f t="shared" ca="1" si="200"/>
        <v>30</v>
      </c>
      <c r="AU313" s="98">
        <f t="shared" si="201"/>
        <v>0</v>
      </c>
      <c r="AV313" s="88">
        <f t="shared" si="202"/>
        <v>0</v>
      </c>
      <c r="AW313" t="b">
        <f>OR((F313&gt;0),(NOT(ISBLANK(H313))),SUM(H313:H$373),SUM(G313:G$373))</f>
        <v>0</v>
      </c>
      <c r="AX313" t="b">
        <f t="shared" ca="1" si="177"/>
        <v>0</v>
      </c>
      <c r="AY313" s="519">
        <f t="shared" si="203"/>
        <v>-0.29166666666666669</v>
      </c>
      <c r="AZ313" s="180">
        <f>SUM(AY$5:AY313)</f>
        <v>-61.833333333333144</v>
      </c>
      <c r="BA313" s="567"/>
      <c r="BB313" s="567">
        <f t="shared" si="178"/>
        <v>0</v>
      </c>
      <c r="BC313" s="567"/>
    </row>
    <row r="314" spans="1:55" ht="15.75">
      <c r="A314" s="260">
        <f t="shared" si="204"/>
        <v>45142</v>
      </c>
      <c r="B314" s="261">
        <f t="shared" si="179"/>
        <v>45142</v>
      </c>
      <c r="C314" s="262">
        <f>IF(A314="","",NumberOfWeek(A314))</f>
        <v>31</v>
      </c>
      <c r="D314" s="263">
        <f t="shared" si="180"/>
        <v>45138</v>
      </c>
      <c r="E314" s="273" t="str">
        <f t="shared" si="181"/>
        <v/>
      </c>
      <c r="F314" s="5"/>
      <c r="G314" s="6" t="str">
        <f t="shared" si="166"/>
        <v/>
      </c>
      <c r="H314" s="7"/>
      <c r="I314" s="7">
        <f t="shared" si="182"/>
        <v>0</v>
      </c>
      <c r="J314" s="76">
        <f t="shared" si="183"/>
        <v>0</v>
      </c>
      <c r="K314" s="7"/>
      <c r="L314" s="7">
        <f t="shared" si="184"/>
        <v>0</v>
      </c>
      <c r="M314" s="76">
        <f t="shared" si="167"/>
        <v>0</v>
      </c>
      <c r="N314" s="76"/>
      <c r="O314" s="76">
        <f t="shared" si="168"/>
        <v>0</v>
      </c>
      <c r="P314" s="76"/>
      <c r="Q314" s="76">
        <f t="shared" si="169"/>
        <v>0</v>
      </c>
      <c r="R314" s="76">
        <f t="shared" si="185"/>
        <v>0</v>
      </c>
      <c r="S314" s="76">
        <f t="shared" si="186"/>
        <v>0</v>
      </c>
      <c r="T314" s="76">
        <f t="shared" si="187"/>
        <v>0</v>
      </c>
      <c r="U314" s="76">
        <f t="shared" si="188"/>
        <v>0</v>
      </c>
      <c r="V314" s="109">
        <f t="shared" si="189"/>
        <v>0</v>
      </c>
      <c r="W314" s="62"/>
      <c r="X314" s="78">
        <f t="shared" si="170"/>
        <v>3.125E-2</v>
      </c>
      <c r="Y314" s="73">
        <f t="shared" si="190"/>
        <v>0</v>
      </c>
      <c r="Z314" s="74">
        <f t="shared" si="191"/>
        <v>0.29166666666666669</v>
      </c>
      <c r="AA314" s="75">
        <f t="shared" si="192"/>
        <v>0</v>
      </c>
      <c r="AB314" s="63" t="str">
        <f t="shared" si="193"/>
        <v/>
      </c>
      <c r="AC314" s="148">
        <f t="shared" si="171"/>
        <v>0</v>
      </c>
      <c r="AD314" s="107" t="str">
        <f t="shared" si="172"/>
        <v/>
      </c>
      <c r="AE314" s="180">
        <f t="shared" si="194"/>
        <v>0</v>
      </c>
      <c r="AF314" s="73"/>
      <c r="AG314" s="525"/>
      <c r="AH314" s="73"/>
      <c r="AI314" s="73" t="str">
        <f t="shared" si="205"/>
        <v/>
      </c>
      <c r="AJ314" s="64">
        <f t="shared" si="173"/>
        <v>0</v>
      </c>
      <c r="AK314" s="64">
        <f t="shared" si="174"/>
        <v>0</v>
      </c>
      <c r="AL314" s="64" t="str">
        <f t="shared" si="175"/>
        <v/>
      </c>
      <c r="AM314">
        <f t="shared" si="176"/>
        <v>4</v>
      </c>
      <c r="AN314" s="85">
        <f>SUM($AD$6:AD314)</f>
        <v>0</v>
      </c>
      <c r="AO314" s="85">
        <f t="shared" ca="1" si="195"/>
        <v>0</v>
      </c>
      <c r="AP314" s="89">
        <f t="shared" si="196"/>
        <v>0</v>
      </c>
      <c r="AQ314" s="89">
        <f t="shared" si="197"/>
        <v>0</v>
      </c>
      <c r="AR314" s="89">
        <f t="shared" si="198"/>
        <v>0</v>
      </c>
      <c r="AS314" s="88">
        <f t="shared" si="199"/>
        <v>30</v>
      </c>
      <c r="AT314" s="88">
        <f t="shared" ca="1" si="200"/>
        <v>30</v>
      </c>
      <c r="AU314" s="98">
        <f t="shared" si="201"/>
        <v>0</v>
      </c>
      <c r="AV314" s="88">
        <f t="shared" si="202"/>
        <v>0</v>
      </c>
      <c r="AW314" t="b">
        <f>OR((F314&gt;0),(NOT(ISBLANK(H314))),SUM(H314:H$373),SUM(G314:G$373))</f>
        <v>0</v>
      </c>
      <c r="AX314" t="b">
        <f t="shared" ca="1" si="177"/>
        <v>0</v>
      </c>
      <c r="AY314" s="519">
        <f t="shared" si="203"/>
        <v>-0.29166666666666669</v>
      </c>
      <c r="AZ314" s="180">
        <f>SUM(AY$5:AY314)</f>
        <v>-62.124999999999808</v>
      </c>
      <c r="BA314" s="567"/>
      <c r="BB314" s="567">
        <f t="shared" si="178"/>
        <v>0</v>
      </c>
      <c r="BC314" s="567"/>
    </row>
    <row r="315" spans="1:55" ht="15.75">
      <c r="A315" s="260">
        <f t="shared" si="204"/>
        <v>45143</v>
      </c>
      <c r="B315" s="261">
        <f t="shared" si="179"/>
        <v>45143</v>
      </c>
      <c r="C315" s="262">
        <f>IF(A315="","",NumberOfWeek(A315))</f>
        <v>31</v>
      </c>
      <c r="D315" s="263">
        <f t="shared" si="180"/>
        <v>45138</v>
      </c>
      <c r="E315" s="273" t="str">
        <f t="shared" si="181"/>
        <v/>
      </c>
      <c r="F315" s="5"/>
      <c r="G315" s="6" t="str">
        <f t="shared" si="166"/>
        <v/>
      </c>
      <c r="H315" s="7"/>
      <c r="I315" s="7">
        <f t="shared" si="182"/>
        <v>0</v>
      </c>
      <c r="J315" s="76">
        <f t="shared" si="183"/>
        <v>0</v>
      </c>
      <c r="K315" s="7"/>
      <c r="L315" s="7">
        <f t="shared" si="184"/>
        <v>0</v>
      </c>
      <c r="M315" s="76">
        <f t="shared" si="167"/>
        <v>0</v>
      </c>
      <c r="N315" s="76"/>
      <c r="O315" s="76">
        <f t="shared" si="168"/>
        <v>0</v>
      </c>
      <c r="P315" s="76"/>
      <c r="Q315" s="76">
        <f t="shared" si="169"/>
        <v>0</v>
      </c>
      <c r="R315" s="76">
        <f t="shared" si="185"/>
        <v>0</v>
      </c>
      <c r="S315" s="76">
        <f t="shared" si="186"/>
        <v>0</v>
      </c>
      <c r="T315" s="76">
        <f t="shared" si="187"/>
        <v>0</v>
      </c>
      <c r="U315" s="76">
        <f t="shared" si="188"/>
        <v>0</v>
      </c>
      <c r="V315" s="109">
        <f t="shared" si="189"/>
        <v>0</v>
      </c>
      <c r="W315" s="62"/>
      <c r="X315" s="78">
        <f t="shared" si="170"/>
        <v>3.125E-2</v>
      </c>
      <c r="Y315" s="73">
        <f t="shared" si="190"/>
        <v>0</v>
      </c>
      <c r="Z315" s="74">
        <f t="shared" si="191"/>
        <v>0.29166666666666669</v>
      </c>
      <c r="AA315" s="75">
        <f t="shared" si="192"/>
        <v>0</v>
      </c>
      <c r="AB315" s="63" t="str">
        <f t="shared" si="193"/>
        <v/>
      </c>
      <c r="AC315" s="148">
        <f t="shared" si="171"/>
        <v>0</v>
      </c>
      <c r="AD315" s="107" t="str">
        <f t="shared" si="172"/>
        <v/>
      </c>
      <c r="AE315" s="180">
        <f t="shared" si="194"/>
        <v>0</v>
      </c>
      <c r="AF315" s="73"/>
      <c r="AG315" s="525"/>
      <c r="AH315" s="73"/>
      <c r="AI315" s="73" t="str">
        <f t="shared" si="205"/>
        <v/>
      </c>
      <c r="AJ315" s="64">
        <f t="shared" si="173"/>
        <v>0</v>
      </c>
      <c r="AK315" s="64">
        <f t="shared" si="174"/>
        <v>0</v>
      </c>
      <c r="AL315" s="64" t="str">
        <f t="shared" si="175"/>
        <v/>
      </c>
      <c r="AM315">
        <f t="shared" si="176"/>
        <v>5</v>
      </c>
      <c r="AN315" s="85">
        <f>SUM($AD$6:AD315)</f>
        <v>0</v>
      </c>
      <c r="AO315" s="85">
        <f t="shared" ca="1" si="195"/>
        <v>0</v>
      </c>
      <c r="AP315" s="89">
        <f t="shared" si="196"/>
        <v>0</v>
      </c>
      <c r="AQ315" s="89">
        <f t="shared" si="197"/>
        <v>0</v>
      </c>
      <c r="AR315" s="89">
        <f t="shared" si="198"/>
        <v>0</v>
      </c>
      <c r="AS315" s="88">
        <f t="shared" si="199"/>
        <v>30</v>
      </c>
      <c r="AT315" s="88">
        <f t="shared" ca="1" si="200"/>
        <v>30</v>
      </c>
      <c r="AU315" s="98">
        <f t="shared" si="201"/>
        <v>0</v>
      </c>
      <c r="AV315" s="88">
        <f t="shared" si="202"/>
        <v>0</v>
      </c>
      <c r="AW315" t="b">
        <f>OR((F315&gt;0),(NOT(ISBLANK(H315))),SUM(H315:H$373),SUM(G315:G$373))</f>
        <v>0</v>
      </c>
      <c r="AX315" t="b">
        <f t="shared" ca="1" si="177"/>
        <v>0</v>
      </c>
      <c r="AY315" s="519">
        <f t="shared" si="203"/>
        <v>-0.29166666666666669</v>
      </c>
      <c r="AZ315" s="180">
        <f>SUM(AY$5:AY315)</f>
        <v>-62.416666666666472</v>
      </c>
      <c r="BA315" s="567"/>
      <c r="BB315" s="567">
        <f t="shared" si="178"/>
        <v>0</v>
      </c>
      <c r="BC315" s="567"/>
    </row>
    <row r="316" spans="1:55" ht="15.75">
      <c r="A316" s="260">
        <f t="shared" si="204"/>
        <v>45144</v>
      </c>
      <c r="B316" s="261">
        <f t="shared" si="179"/>
        <v>45144</v>
      </c>
      <c r="C316" s="262">
        <f>IF(A316="","",NumberOfWeek(A316))</f>
        <v>31</v>
      </c>
      <c r="D316" s="263">
        <f t="shared" si="180"/>
        <v>45138</v>
      </c>
      <c r="E316" s="273" t="str">
        <f t="shared" si="181"/>
        <v/>
      </c>
      <c r="F316" s="5"/>
      <c r="G316" s="6" t="str">
        <f t="shared" si="166"/>
        <v/>
      </c>
      <c r="H316" s="7"/>
      <c r="I316" s="7">
        <f t="shared" si="182"/>
        <v>0</v>
      </c>
      <c r="J316" s="76">
        <f t="shared" si="183"/>
        <v>0</v>
      </c>
      <c r="K316" s="7"/>
      <c r="L316" s="7">
        <f t="shared" si="184"/>
        <v>0</v>
      </c>
      <c r="M316" s="76">
        <f t="shared" si="167"/>
        <v>0</v>
      </c>
      <c r="N316" s="76"/>
      <c r="O316" s="76">
        <f t="shared" si="168"/>
        <v>0</v>
      </c>
      <c r="P316" s="76"/>
      <c r="Q316" s="76">
        <f t="shared" si="169"/>
        <v>0</v>
      </c>
      <c r="R316" s="76">
        <f t="shared" si="185"/>
        <v>0</v>
      </c>
      <c r="S316" s="76">
        <f t="shared" si="186"/>
        <v>0</v>
      </c>
      <c r="T316" s="76">
        <f t="shared" si="187"/>
        <v>0</v>
      </c>
      <c r="U316" s="76">
        <f t="shared" si="188"/>
        <v>0</v>
      </c>
      <c r="V316" s="109">
        <f t="shared" si="189"/>
        <v>0</v>
      </c>
      <c r="W316" s="62"/>
      <c r="X316" s="78">
        <f t="shared" si="170"/>
        <v>3.125E-2</v>
      </c>
      <c r="Y316" s="73">
        <f t="shared" si="190"/>
        <v>0</v>
      </c>
      <c r="Z316" s="74">
        <f t="shared" si="191"/>
        <v>0</v>
      </c>
      <c r="AA316" s="75">
        <f t="shared" si="192"/>
        <v>0</v>
      </c>
      <c r="AB316" s="63" t="str">
        <f t="shared" si="193"/>
        <v/>
      </c>
      <c r="AC316" s="148">
        <f t="shared" si="171"/>
        <v>0</v>
      </c>
      <c r="AD316" s="107" t="str">
        <f t="shared" si="172"/>
        <v/>
      </c>
      <c r="AE316" s="180">
        <f t="shared" si="194"/>
        <v>0</v>
      </c>
      <c r="AF316" s="73"/>
      <c r="AG316" s="525"/>
      <c r="AH316" s="73"/>
      <c r="AI316" s="73" t="str">
        <f t="shared" si="205"/>
        <v/>
      </c>
      <c r="AJ316" s="64">
        <f t="shared" si="173"/>
        <v>0</v>
      </c>
      <c r="AK316" s="64">
        <f t="shared" si="174"/>
        <v>0</v>
      </c>
      <c r="AL316" s="64" t="str">
        <f t="shared" si="175"/>
        <v/>
      </c>
      <c r="AM316">
        <f t="shared" si="176"/>
        <v>6</v>
      </c>
      <c r="AN316" s="85">
        <f>SUM($AD$6:AD316)</f>
        <v>0</v>
      </c>
      <c r="AO316" s="85">
        <f t="shared" ca="1" si="195"/>
        <v>0</v>
      </c>
      <c r="AP316" s="89">
        <f t="shared" si="196"/>
        <v>0</v>
      </c>
      <c r="AQ316" s="89">
        <f t="shared" si="197"/>
        <v>0</v>
      </c>
      <c r="AR316" s="89">
        <f t="shared" si="198"/>
        <v>0</v>
      </c>
      <c r="AS316" s="88">
        <f t="shared" si="199"/>
        <v>30</v>
      </c>
      <c r="AT316" s="88">
        <f t="shared" ca="1" si="200"/>
        <v>30</v>
      </c>
      <c r="AU316" s="98">
        <f t="shared" si="201"/>
        <v>0</v>
      </c>
      <c r="AV316" s="88">
        <f t="shared" si="202"/>
        <v>7</v>
      </c>
      <c r="AW316" t="b">
        <f>OR((F316&gt;0),(NOT(ISBLANK(H316))),SUM(H316:H$373),SUM(G316:G$373))</f>
        <v>0</v>
      </c>
      <c r="AX316" t="b">
        <f t="shared" ca="1" si="177"/>
        <v>1</v>
      </c>
      <c r="AY316" s="519">
        <f t="shared" si="203"/>
        <v>0</v>
      </c>
      <c r="AZ316" s="180">
        <f>SUM(AY$5:AY316)</f>
        <v>-62.416666666666472</v>
      </c>
      <c r="BA316" s="567"/>
      <c r="BB316" s="567">
        <f t="shared" si="178"/>
        <v>0</v>
      </c>
      <c r="BC316" s="567"/>
    </row>
    <row r="317" spans="1:55" ht="15.75">
      <c r="A317" s="260">
        <f t="shared" si="204"/>
        <v>45145</v>
      </c>
      <c r="B317" s="261">
        <f t="shared" si="179"/>
        <v>45145</v>
      </c>
      <c r="C317" s="262">
        <f>IF(A317="","",NumberOfWeek(A317))</f>
        <v>31</v>
      </c>
      <c r="D317" s="263">
        <f t="shared" si="180"/>
        <v>45138</v>
      </c>
      <c r="E317" s="273" t="str">
        <f t="shared" si="181"/>
        <v/>
      </c>
      <c r="F317" s="5"/>
      <c r="G317" s="6" t="str">
        <f t="shared" si="166"/>
        <v/>
      </c>
      <c r="H317" s="7"/>
      <c r="I317" s="7">
        <f t="shared" si="182"/>
        <v>0</v>
      </c>
      <c r="J317" s="76">
        <f t="shared" si="183"/>
        <v>0</v>
      </c>
      <c r="K317" s="7"/>
      <c r="L317" s="7">
        <f t="shared" si="184"/>
        <v>0</v>
      </c>
      <c r="M317" s="76">
        <f t="shared" si="167"/>
        <v>0</v>
      </c>
      <c r="N317" s="76"/>
      <c r="O317" s="76">
        <f t="shared" si="168"/>
        <v>0</v>
      </c>
      <c r="P317" s="76"/>
      <c r="Q317" s="76">
        <f t="shared" si="169"/>
        <v>0</v>
      </c>
      <c r="R317" s="76">
        <f t="shared" si="185"/>
        <v>0</v>
      </c>
      <c r="S317" s="76">
        <f t="shared" si="186"/>
        <v>0</v>
      </c>
      <c r="T317" s="76">
        <f t="shared" si="187"/>
        <v>0</v>
      </c>
      <c r="U317" s="76">
        <f t="shared" si="188"/>
        <v>0</v>
      </c>
      <c r="V317" s="109">
        <f t="shared" si="189"/>
        <v>0</v>
      </c>
      <c r="W317" s="62"/>
      <c r="X317" s="78">
        <f t="shared" si="170"/>
        <v>3.125E-2</v>
      </c>
      <c r="Y317" s="73">
        <f t="shared" si="190"/>
        <v>0</v>
      </c>
      <c r="Z317" s="74">
        <f t="shared" si="191"/>
        <v>0</v>
      </c>
      <c r="AA317" s="75">
        <f t="shared" si="192"/>
        <v>0</v>
      </c>
      <c r="AB317" s="63" t="str">
        <f t="shared" si="193"/>
        <v/>
      </c>
      <c r="AC317" s="148">
        <f t="shared" si="171"/>
        <v>0</v>
      </c>
      <c r="AD317" s="107" t="str">
        <f t="shared" si="172"/>
        <v/>
      </c>
      <c r="AE317" s="180">
        <f t="shared" si="194"/>
        <v>0</v>
      </c>
      <c r="AF317" s="73"/>
      <c r="AG317" s="525"/>
      <c r="AH317" s="73"/>
      <c r="AI317" s="73" t="str">
        <f t="shared" si="205"/>
        <v/>
      </c>
      <c r="AJ317" s="64">
        <f t="shared" si="173"/>
        <v>0</v>
      </c>
      <c r="AK317" s="64">
        <f t="shared" si="174"/>
        <v>0</v>
      </c>
      <c r="AL317" s="64" t="str">
        <f t="shared" si="175"/>
        <v/>
      </c>
      <c r="AM317">
        <f t="shared" si="176"/>
        <v>7</v>
      </c>
      <c r="AN317" s="85">
        <f>SUM($AD$6:AD317)</f>
        <v>0</v>
      </c>
      <c r="AO317" s="85">
        <f t="shared" ca="1" si="195"/>
        <v>0</v>
      </c>
      <c r="AP317" s="89">
        <f t="shared" si="196"/>
        <v>0</v>
      </c>
      <c r="AQ317" s="89">
        <f t="shared" si="197"/>
        <v>0</v>
      </c>
      <c r="AR317" s="89">
        <f t="shared" si="198"/>
        <v>0</v>
      </c>
      <c r="AS317" s="88">
        <f t="shared" si="199"/>
        <v>30</v>
      </c>
      <c r="AT317" s="88">
        <f t="shared" ca="1" si="200"/>
        <v>30</v>
      </c>
      <c r="AU317" s="98">
        <f t="shared" si="201"/>
        <v>0</v>
      </c>
      <c r="AV317" s="88">
        <f t="shared" si="202"/>
        <v>7</v>
      </c>
      <c r="AW317" t="b">
        <f>OR((F317&gt;0),(NOT(ISBLANK(H317))),SUM(H317:H$373),SUM(G317:G$373))</f>
        <v>0</v>
      </c>
      <c r="AX317" t="b">
        <f t="shared" ca="1" si="177"/>
        <v>1</v>
      </c>
      <c r="AY317" s="519">
        <f t="shared" si="203"/>
        <v>0</v>
      </c>
      <c r="AZ317" s="180">
        <f>SUM(AY$5:AY317)</f>
        <v>-62.416666666666472</v>
      </c>
      <c r="BA317" s="567"/>
      <c r="BB317" s="567">
        <f t="shared" si="178"/>
        <v>0</v>
      </c>
      <c r="BC317" s="567"/>
    </row>
    <row r="318" spans="1:55" ht="15.75">
      <c r="A318" s="260">
        <f t="shared" si="204"/>
        <v>45146</v>
      </c>
      <c r="B318" s="261">
        <f t="shared" si="179"/>
        <v>45146</v>
      </c>
      <c r="C318" s="262">
        <f>IF(A318="","",NumberOfWeek(A318))</f>
        <v>32</v>
      </c>
      <c r="D318" s="263">
        <f t="shared" si="180"/>
        <v>45138</v>
      </c>
      <c r="E318" s="273" t="str">
        <f t="shared" si="181"/>
        <v/>
      </c>
      <c r="F318" s="5"/>
      <c r="G318" s="6" t="str">
        <f t="shared" si="166"/>
        <v/>
      </c>
      <c r="H318" s="7"/>
      <c r="I318" s="7">
        <f t="shared" si="182"/>
        <v>0</v>
      </c>
      <c r="J318" s="76">
        <f t="shared" si="183"/>
        <v>0</v>
      </c>
      <c r="K318" s="7"/>
      <c r="L318" s="7">
        <f t="shared" si="184"/>
        <v>0</v>
      </c>
      <c r="M318" s="76">
        <f t="shared" si="167"/>
        <v>0</v>
      </c>
      <c r="N318" s="76"/>
      <c r="O318" s="76">
        <f t="shared" si="168"/>
        <v>0</v>
      </c>
      <c r="P318" s="76"/>
      <c r="Q318" s="76">
        <f t="shared" si="169"/>
        <v>0</v>
      </c>
      <c r="R318" s="76">
        <f t="shared" si="185"/>
        <v>0</v>
      </c>
      <c r="S318" s="76">
        <f t="shared" si="186"/>
        <v>0</v>
      </c>
      <c r="T318" s="76">
        <f t="shared" si="187"/>
        <v>0</v>
      </c>
      <c r="U318" s="76">
        <f t="shared" si="188"/>
        <v>0</v>
      </c>
      <c r="V318" s="109">
        <f t="shared" si="189"/>
        <v>0</v>
      </c>
      <c r="W318" s="62"/>
      <c r="X318" s="78">
        <f t="shared" si="170"/>
        <v>3.125E-2</v>
      </c>
      <c r="Y318" s="73">
        <f t="shared" si="190"/>
        <v>0</v>
      </c>
      <c r="Z318" s="74">
        <f t="shared" si="191"/>
        <v>0.29166666666666669</v>
      </c>
      <c r="AA318" s="75">
        <f t="shared" si="192"/>
        <v>0</v>
      </c>
      <c r="AB318" s="63" t="str">
        <f t="shared" si="193"/>
        <v/>
      </c>
      <c r="AC318" s="148">
        <f t="shared" si="171"/>
        <v>0</v>
      </c>
      <c r="AD318" s="107" t="str">
        <f t="shared" si="172"/>
        <v/>
      </c>
      <c r="AE318" s="180">
        <f t="shared" si="194"/>
        <v>0</v>
      </c>
      <c r="AF318" s="73"/>
      <c r="AG318" s="525"/>
      <c r="AH318" s="73"/>
      <c r="AI318" s="73" t="str">
        <f t="shared" si="205"/>
        <v/>
      </c>
      <c r="AJ318" s="64">
        <f t="shared" si="173"/>
        <v>0</v>
      </c>
      <c r="AK318" s="64">
        <f t="shared" si="174"/>
        <v>0</v>
      </c>
      <c r="AL318" s="64" t="str">
        <f t="shared" si="175"/>
        <v/>
      </c>
      <c r="AM318">
        <f t="shared" si="176"/>
        <v>1</v>
      </c>
      <c r="AN318" s="85">
        <f>SUM($AD$6:AD318)</f>
        <v>0</v>
      </c>
      <c r="AO318" s="85">
        <f t="shared" ca="1" si="195"/>
        <v>0</v>
      </c>
      <c r="AP318" s="89">
        <f t="shared" si="196"/>
        <v>0</v>
      </c>
      <c r="AQ318" s="89">
        <f t="shared" si="197"/>
        <v>0</v>
      </c>
      <c r="AR318" s="89">
        <f t="shared" si="198"/>
        <v>0</v>
      </c>
      <c r="AS318" s="88">
        <f t="shared" si="199"/>
        <v>30</v>
      </c>
      <c r="AT318" s="88">
        <f t="shared" ca="1" si="200"/>
        <v>30</v>
      </c>
      <c r="AU318" s="98">
        <f t="shared" si="201"/>
        <v>0</v>
      </c>
      <c r="AV318" s="88">
        <f t="shared" si="202"/>
        <v>0</v>
      </c>
      <c r="AW318" t="b">
        <f>OR((F318&gt;0),(NOT(ISBLANK(H318))),SUM(H318:H$373),SUM(G318:G$373))</f>
        <v>0</v>
      </c>
      <c r="AX318" t="b">
        <f t="shared" ca="1" si="177"/>
        <v>0</v>
      </c>
      <c r="AY318" s="519">
        <f t="shared" si="203"/>
        <v>-0.29166666666666669</v>
      </c>
      <c r="AZ318" s="180">
        <f>SUM(AY$5:AY318)</f>
        <v>-62.708333333333137</v>
      </c>
      <c r="BA318" s="567"/>
      <c r="BB318" s="567">
        <f t="shared" si="178"/>
        <v>0</v>
      </c>
      <c r="BC318" s="567"/>
    </row>
    <row r="319" spans="1:55" ht="15.75">
      <c r="A319" s="260">
        <f t="shared" si="204"/>
        <v>45147</v>
      </c>
      <c r="B319" s="261">
        <f t="shared" si="179"/>
        <v>45147</v>
      </c>
      <c r="C319" s="262">
        <f>IF(A319="","",NumberOfWeek(A319))</f>
        <v>32</v>
      </c>
      <c r="D319" s="263">
        <f t="shared" si="180"/>
        <v>45138</v>
      </c>
      <c r="E319" s="273" t="str">
        <f t="shared" si="181"/>
        <v/>
      </c>
      <c r="F319" s="5"/>
      <c r="G319" s="6" t="str">
        <f t="shared" si="166"/>
        <v/>
      </c>
      <c r="H319" s="7"/>
      <c r="I319" s="7">
        <f t="shared" si="182"/>
        <v>0</v>
      </c>
      <c r="J319" s="76">
        <f t="shared" si="183"/>
        <v>0</v>
      </c>
      <c r="K319" s="7"/>
      <c r="L319" s="7">
        <f t="shared" si="184"/>
        <v>0</v>
      </c>
      <c r="M319" s="76">
        <f t="shared" si="167"/>
        <v>0</v>
      </c>
      <c r="N319" s="76"/>
      <c r="O319" s="76">
        <f t="shared" si="168"/>
        <v>0</v>
      </c>
      <c r="P319" s="76"/>
      <c r="Q319" s="76">
        <f t="shared" si="169"/>
        <v>0</v>
      </c>
      <c r="R319" s="76">
        <f t="shared" si="185"/>
        <v>0</v>
      </c>
      <c r="S319" s="76">
        <f t="shared" si="186"/>
        <v>0</v>
      </c>
      <c r="T319" s="76">
        <f t="shared" si="187"/>
        <v>0</v>
      </c>
      <c r="U319" s="76">
        <f t="shared" si="188"/>
        <v>0</v>
      </c>
      <c r="V319" s="109">
        <f t="shared" si="189"/>
        <v>0</v>
      </c>
      <c r="W319" s="62"/>
      <c r="X319" s="78">
        <f t="shared" si="170"/>
        <v>3.125E-2</v>
      </c>
      <c r="Y319" s="73">
        <f t="shared" si="190"/>
        <v>0</v>
      </c>
      <c r="Z319" s="74">
        <f t="shared" si="191"/>
        <v>0.29166666666666669</v>
      </c>
      <c r="AA319" s="75">
        <f t="shared" si="192"/>
        <v>0</v>
      </c>
      <c r="AB319" s="63" t="str">
        <f t="shared" si="193"/>
        <v/>
      </c>
      <c r="AC319" s="148">
        <f t="shared" si="171"/>
        <v>0</v>
      </c>
      <c r="AD319" s="107" t="str">
        <f t="shared" si="172"/>
        <v/>
      </c>
      <c r="AE319" s="180">
        <f t="shared" si="194"/>
        <v>0</v>
      </c>
      <c r="AF319" s="73"/>
      <c r="AG319" s="525"/>
      <c r="AH319" s="73"/>
      <c r="AI319" s="73" t="str">
        <f t="shared" si="205"/>
        <v/>
      </c>
      <c r="AJ319" s="64">
        <f t="shared" si="173"/>
        <v>0</v>
      </c>
      <c r="AK319" s="64">
        <f t="shared" si="174"/>
        <v>0</v>
      </c>
      <c r="AL319" s="64" t="str">
        <f t="shared" si="175"/>
        <v/>
      </c>
      <c r="AM319">
        <f t="shared" si="176"/>
        <v>2</v>
      </c>
      <c r="AN319" s="85">
        <f>SUM($AD$6:AD319)</f>
        <v>0</v>
      </c>
      <c r="AO319" s="85">
        <f t="shared" ca="1" si="195"/>
        <v>0</v>
      </c>
      <c r="AP319" s="89">
        <f t="shared" si="196"/>
        <v>0</v>
      </c>
      <c r="AQ319" s="89">
        <f t="shared" si="197"/>
        <v>0</v>
      </c>
      <c r="AR319" s="89">
        <f t="shared" si="198"/>
        <v>0</v>
      </c>
      <c r="AS319" s="88">
        <f t="shared" si="199"/>
        <v>30</v>
      </c>
      <c r="AT319" s="88">
        <f t="shared" ca="1" si="200"/>
        <v>30</v>
      </c>
      <c r="AU319" s="98">
        <f t="shared" si="201"/>
        <v>0</v>
      </c>
      <c r="AV319" s="88">
        <f t="shared" si="202"/>
        <v>0</v>
      </c>
      <c r="AW319" t="b">
        <f>OR((F319&gt;0),(NOT(ISBLANK(H319))),SUM(H319:H$373),SUM(G319:G$373))</f>
        <v>0</v>
      </c>
      <c r="AX319" t="b">
        <f t="shared" ca="1" si="177"/>
        <v>0</v>
      </c>
      <c r="AY319" s="519">
        <f t="shared" si="203"/>
        <v>-0.29166666666666669</v>
      </c>
      <c r="AZ319" s="180">
        <f>SUM(AY$5:AY319)</f>
        <v>-62.999999999999801</v>
      </c>
      <c r="BA319" s="567"/>
      <c r="BB319" s="567">
        <f t="shared" si="178"/>
        <v>0</v>
      </c>
      <c r="BC319" s="567"/>
    </row>
    <row r="320" spans="1:55" ht="15.75">
      <c r="A320" s="260">
        <f t="shared" si="204"/>
        <v>45148</v>
      </c>
      <c r="B320" s="261">
        <f t="shared" si="179"/>
        <v>45148</v>
      </c>
      <c r="C320" s="262">
        <f>IF(A320="","",NumberOfWeek(A320))</f>
        <v>32</v>
      </c>
      <c r="D320" s="263">
        <f t="shared" si="180"/>
        <v>45138</v>
      </c>
      <c r="E320" s="273" t="str">
        <f t="shared" si="181"/>
        <v/>
      </c>
      <c r="F320" s="5"/>
      <c r="G320" s="6" t="str">
        <f t="shared" si="166"/>
        <v/>
      </c>
      <c r="H320" s="7"/>
      <c r="I320" s="7">
        <f t="shared" si="182"/>
        <v>0</v>
      </c>
      <c r="J320" s="76">
        <f t="shared" si="183"/>
        <v>0</v>
      </c>
      <c r="K320" s="7"/>
      <c r="L320" s="7">
        <f t="shared" si="184"/>
        <v>0</v>
      </c>
      <c r="M320" s="76">
        <f t="shared" si="167"/>
        <v>0</v>
      </c>
      <c r="N320" s="76"/>
      <c r="O320" s="76">
        <f t="shared" si="168"/>
        <v>0</v>
      </c>
      <c r="P320" s="76"/>
      <c r="Q320" s="76">
        <f t="shared" si="169"/>
        <v>0</v>
      </c>
      <c r="R320" s="76">
        <f t="shared" si="185"/>
        <v>0</v>
      </c>
      <c r="S320" s="76">
        <f t="shared" si="186"/>
        <v>0</v>
      </c>
      <c r="T320" s="76">
        <f t="shared" si="187"/>
        <v>0</v>
      </c>
      <c r="U320" s="76">
        <f t="shared" si="188"/>
        <v>0</v>
      </c>
      <c r="V320" s="109">
        <f t="shared" si="189"/>
        <v>0</v>
      </c>
      <c r="W320" s="62"/>
      <c r="X320" s="78">
        <f t="shared" si="170"/>
        <v>3.125E-2</v>
      </c>
      <c r="Y320" s="73">
        <f t="shared" si="190"/>
        <v>0</v>
      </c>
      <c r="Z320" s="74">
        <f t="shared" si="191"/>
        <v>0.29166666666666669</v>
      </c>
      <c r="AA320" s="75">
        <f t="shared" si="192"/>
        <v>0</v>
      </c>
      <c r="AB320" s="63" t="str">
        <f t="shared" si="193"/>
        <v/>
      </c>
      <c r="AC320" s="148">
        <f t="shared" si="171"/>
        <v>0</v>
      </c>
      <c r="AD320" s="107" t="str">
        <f t="shared" si="172"/>
        <v/>
      </c>
      <c r="AE320" s="180">
        <f t="shared" si="194"/>
        <v>0</v>
      </c>
      <c r="AF320" s="73"/>
      <c r="AG320" s="525"/>
      <c r="AH320" s="73"/>
      <c r="AI320" s="73" t="str">
        <f t="shared" si="205"/>
        <v/>
      </c>
      <c r="AJ320" s="64">
        <f t="shared" si="173"/>
        <v>0</v>
      </c>
      <c r="AK320" s="64">
        <f t="shared" si="174"/>
        <v>0</v>
      </c>
      <c r="AL320" s="64" t="str">
        <f t="shared" si="175"/>
        <v/>
      </c>
      <c r="AM320">
        <f t="shared" si="176"/>
        <v>3</v>
      </c>
      <c r="AN320" s="85">
        <f>SUM($AD$6:AD320)</f>
        <v>0</v>
      </c>
      <c r="AO320" s="85">
        <f t="shared" ca="1" si="195"/>
        <v>0</v>
      </c>
      <c r="AP320" s="89">
        <f t="shared" si="196"/>
        <v>0</v>
      </c>
      <c r="AQ320" s="89">
        <f t="shared" si="197"/>
        <v>0</v>
      </c>
      <c r="AR320" s="89">
        <f t="shared" si="198"/>
        <v>0</v>
      </c>
      <c r="AS320" s="88">
        <f t="shared" si="199"/>
        <v>30</v>
      </c>
      <c r="AT320" s="88">
        <f t="shared" ca="1" si="200"/>
        <v>30</v>
      </c>
      <c r="AU320" s="98">
        <f t="shared" si="201"/>
        <v>0</v>
      </c>
      <c r="AV320" s="88">
        <f t="shared" si="202"/>
        <v>0</v>
      </c>
      <c r="AW320" t="b">
        <f>OR((F320&gt;0),(NOT(ISBLANK(H320))),SUM(H320:H$373),SUM(G320:G$373))</f>
        <v>0</v>
      </c>
      <c r="AX320" t="b">
        <f t="shared" ca="1" si="177"/>
        <v>0</v>
      </c>
      <c r="AY320" s="519">
        <f t="shared" si="203"/>
        <v>-0.29166666666666669</v>
      </c>
      <c r="AZ320" s="180">
        <f>SUM(AY$5:AY320)</f>
        <v>-63.291666666666465</v>
      </c>
      <c r="BA320" s="567"/>
      <c r="BB320" s="567">
        <f t="shared" si="178"/>
        <v>0</v>
      </c>
      <c r="BC320" s="567"/>
    </row>
    <row r="321" spans="1:55" ht="15.75">
      <c r="A321" s="260">
        <f t="shared" si="204"/>
        <v>45149</v>
      </c>
      <c r="B321" s="261">
        <f t="shared" si="179"/>
        <v>45149</v>
      </c>
      <c r="C321" s="262">
        <f>IF(A321="","",NumberOfWeek(A321))</f>
        <v>32</v>
      </c>
      <c r="D321" s="263">
        <f t="shared" si="180"/>
        <v>45138</v>
      </c>
      <c r="E321" s="273" t="str">
        <f t="shared" si="181"/>
        <v/>
      </c>
      <c r="F321" s="5"/>
      <c r="G321" s="6" t="str">
        <f t="shared" si="166"/>
        <v/>
      </c>
      <c r="H321" s="7"/>
      <c r="I321" s="7">
        <f t="shared" si="182"/>
        <v>0</v>
      </c>
      <c r="J321" s="76">
        <f t="shared" si="183"/>
        <v>0</v>
      </c>
      <c r="K321" s="7"/>
      <c r="L321" s="7">
        <f t="shared" si="184"/>
        <v>0</v>
      </c>
      <c r="M321" s="76">
        <f t="shared" si="167"/>
        <v>0</v>
      </c>
      <c r="N321" s="76"/>
      <c r="O321" s="76">
        <f t="shared" si="168"/>
        <v>0</v>
      </c>
      <c r="P321" s="76"/>
      <c r="Q321" s="76">
        <f t="shared" si="169"/>
        <v>0</v>
      </c>
      <c r="R321" s="76">
        <f t="shared" si="185"/>
        <v>0</v>
      </c>
      <c r="S321" s="76">
        <f t="shared" si="186"/>
        <v>0</v>
      </c>
      <c r="T321" s="76">
        <f t="shared" si="187"/>
        <v>0</v>
      </c>
      <c r="U321" s="76">
        <f t="shared" si="188"/>
        <v>0</v>
      </c>
      <c r="V321" s="109">
        <f t="shared" si="189"/>
        <v>0</v>
      </c>
      <c r="W321" s="62"/>
      <c r="X321" s="78">
        <f t="shared" si="170"/>
        <v>3.125E-2</v>
      </c>
      <c r="Y321" s="73">
        <f t="shared" si="190"/>
        <v>0</v>
      </c>
      <c r="Z321" s="74">
        <f t="shared" si="191"/>
        <v>0.29166666666666669</v>
      </c>
      <c r="AA321" s="75">
        <f t="shared" si="192"/>
        <v>0</v>
      </c>
      <c r="AB321" s="63" t="str">
        <f t="shared" si="193"/>
        <v/>
      </c>
      <c r="AC321" s="148">
        <f t="shared" si="171"/>
        <v>0</v>
      </c>
      <c r="AD321" s="107" t="str">
        <f t="shared" si="172"/>
        <v/>
      </c>
      <c r="AE321" s="180">
        <f t="shared" si="194"/>
        <v>0</v>
      </c>
      <c r="AF321" s="73"/>
      <c r="AG321" s="525"/>
      <c r="AH321" s="73"/>
      <c r="AI321" s="73" t="str">
        <f t="shared" si="205"/>
        <v/>
      </c>
      <c r="AJ321" s="64">
        <f t="shared" si="173"/>
        <v>0</v>
      </c>
      <c r="AK321" s="64">
        <f t="shared" si="174"/>
        <v>0</v>
      </c>
      <c r="AL321" s="64" t="str">
        <f t="shared" si="175"/>
        <v/>
      </c>
      <c r="AM321">
        <f t="shared" si="176"/>
        <v>4</v>
      </c>
      <c r="AN321" s="85">
        <f>SUM($AD$6:AD321)</f>
        <v>0</v>
      </c>
      <c r="AO321" s="85">
        <f t="shared" ca="1" si="195"/>
        <v>0</v>
      </c>
      <c r="AP321" s="89">
        <f t="shared" si="196"/>
        <v>0</v>
      </c>
      <c r="AQ321" s="89">
        <f t="shared" si="197"/>
        <v>0</v>
      </c>
      <c r="AR321" s="89">
        <f t="shared" si="198"/>
        <v>0</v>
      </c>
      <c r="AS321" s="88">
        <f t="shared" si="199"/>
        <v>30</v>
      </c>
      <c r="AT321" s="88">
        <f t="shared" ca="1" si="200"/>
        <v>30</v>
      </c>
      <c r="AU321" s="98">
        <f t="shared" si="201"/>
        <v>0</v>
      </c>
      <c r="AV321" s="88">
        <f t="shared" si="202"/>
        <v>0</v>
      </c>
      <c r="AW321" t="b">
        <f>OR((F321&gt;0),(NOT(ISBLANK(H321))),SUM(H321:H$373),SUM(G321:G$373))</f>
        <v>0</v>
      </c>
      <c r="AX321" t="b">
        <f t="shared" ca="1" si="177"/>
        <v>0</v>
      </c>
      <c r="AY321" s="519">
        <f t="shared" si="203"/>
        <v>-0.29166666666666669</v>
      </c>
      <c r="AZ321" s="180">
        <f>SUM(AY$5:AY321)</f>
        <v>-63.58333333333313</v>
      </c>
      <c r="BA321" s="567"/>
      <c r="BB321" s="567">
        <f t="shared" si="178"/>
        <v>0</v>
      </c>
      <c r="BC321" s="567"/>
    </row>
    <row r="322" spans="1:55" ht="15.75">
      <c r="A322" s="260">
        <f t="shared" si="204"/>
        <v>45150</v>
      </c>
      <c r="B322" s="261">
        <f t="shared" si="179"/>
        <v>45150</v>
      </c>
      <c r="C322" s="262">
        <f>IF(A322="","",NumberOfWeek(A322))</f>
        <v>32</v>
      </c>
      <c r="D322" s="263">
        <f t="shared" si="180"/>
        <v>45138</v>
      </c>
      <c r="E322" s="273" t="str">
        <f t="shared" si="181"/>
        <v/>
      </c>
      <c r="F322" s="5"/>
      <c r="G322" s="6" t="str">
        <f t="shared" si="166"/>
        <v/>
      </c>
      <c r="H322" s="7"/>
      <c r="I322" s="7">
        <f t="shared" si="182"/>
        <v>0</v>
      </c>
      <c r="J322" s="76">
        <f t="shared" si="183"/>
        <v>0</v>
      </c>
      <c r="K322" s="7"/>
      <c r="L322" s="7">
        <f t="shared" si="184"/>
        <v>0</v>
      </c>
      <c r="M322" s="76">
        <f t="shared" si="167"/>
        <v>0</v>
      </c>
      <c r="N322" s="76"/>
      <c r="O322" s="76">
        <f t="shared" si="168"/>
        <v>0</v>
      </c>
      <c r="P322" s="76"/>
      <c r="Q322" s="76">
        <f t="shared" si="169"/>
        <v>0</v>
      </c>
      <c r="R322" s="76">
        <f t="shared" si="185"/>
        <v>0</v>
      </c>
      <c r="S322" s="76">
        <f t="shared" si="186"/>
        <v>0</v>
      </c>
      <c r="T322" s="76">
        <f t="shared" si="187"/>
        <v>0</v>
      </c>
      <c r="U322" s="76">
        <f t="shared" si="188"/>
        <v>0</v>
      </c>
      <c r="V322" s="109">
        <f t="shared" si="189"/>
        <v>0</v>
      </c>
      <c r="W322" s="62"/>
      <c r="X322" s="78">
        <f t="shared" si="170"/>
        <v>3.125E-2</v>
      </c>
      <c r="Y322" s="73">
        <f t="shared" si="190"/>
        <v>0</v>
      </c>
      <c r="Z322" s="74">
        <f t="shared" si="191"/>
        <v>0.29166666666666669</v>
      </c>
      <c r="AA322" s="75">
        <f t="shared" si="192"/>
        <v>0</v>
      </c>
      <c r="AB322" s="63" t="str">
        <f t="shared" si="193"/>
        <v/>
      </c>
      <c r="AC322" s="148">
        <f t="shared" si="171"/>
        <v>0</v>
      </c>
      <c r="AD322" s="107" t="str">
        <f t="shared" si="172"/>
        <v/>
      </c>
      <c r="AE322" s="180">
        <f t="shared" si="194"/>
        <v>0</v>
      </c>
      <c r="AF322" s="73"/>
      <c r="AG322" s="525"/>
      <c r="AH322" s="73"/>
      <c r="AI322" s="73" t="str">
        <f t="shared" si="205"/>
        <v/>
      </c>
      <c r="AJ322" s="64">
        <f t="shared" si="173"/>
        <v>0</v>
      </c>
      <c r="AK322" s="64">
        <f t="shared" si="174"/>
        <v>0</v>
      </c>
      <c r="AL322" s="64" t="str">
        <f t="shared" si="175"/>
        <v/>
      </c>
      <c r="AM322">
        <f t="shared" si="176"/>
        <v>5</v>
      </c>
      <c r="AN322" s="85">
        <f>SUM($AD$6:AD322)</f>
        <v>0</v>
      </c>
      <c r="AO322" s="85">
        <f t="shared" ca="1" si="195"/>
        <v>0</v>
      </c>
      <c r="AP322" s="89">
        <f t="shared" si="196"/>
        <v>0</v>
      </c>
      <c r="AQ322" s="89">
        <f t="shared" si="197"/>
        <v>0</v>
      </c>
      <c r="AR322" s="89">
        <f t="shared" si="198"/>
        <v>0</v>
      </c>
      <c r="AS322" s="88">
        <f t="shared" si="199"/>
        <v>30</v>
      </c>
      <c r="AT322" s="88">
        <f t="shared" ca="1" si="200"/>
        <v>30</v>
      </c>
      <c r="AU322" s="98">
        <f t="shared" si="201"/>
        <v>0</v>
      </c>
      <c r="AV322" s="88">
        <f t="shared" si="202"/>
        <v>0</v>
      </c>
      <c r="AW322" t="b">
        <f>OR((F322&gt;0),(NOT(ISBLANK(H322))),SUM(H322:H$373),SUM(G322:G$373))</f>
        <v>0</v>
      </c>
      <c r="AX322" t="b">
        <f t="shared" ca="1" si="177"/>
        <v>0</v>
      </c>
      <c r="AY322" s="519">
        <f t="shared" si="203"/>
        <v>-0.29166666666666669</v>
      </c>
      <c r="AZ322" s="180">
        <f>SUM(AY$5:AY322)</f>
        <v>-63.874999999999794</v>
      </c>
      <c r="BA322" s="567"/>
      <c r="BB322" s="567">
        <f t="shared" si="178"/>
        <v>0</v>
      </c>
      <c r="BC322" s="567"/>
    </row>
    <row r="323" spans="1:55" ht="15.75">
      <c r="A323" s="260">
        <f t="shared" si="204"/>
        <v>45151</v>
      </c>
      <c r="B323" s="261">
        <f t="shared" si="179"/>
        <v>45151</v>
      </c>
      <c r="C323" s="262">
        <f>IF(A323="","",NumberOfWeek(A323))</f>
        <v>32</v>
      </c>
      <c r="D323" s="263">
        <f t="shared" si="180"/>
        <v>45138</v>
      </c>
      <c r="E323" s="273" t="str">
        <f t="shared" si="181"/>
        <v/>
      </c>
      <c r="F323" s="5"/>
      <c r="G323" s="6" t="str">
        <f t="shared" si="166"/>
        <v/>
      </c>
      <c r="H323" s="7"/>
      <c r="I323" s="7">
        <f t="shared" si="182"/>
        <v>0</v>
      </c>
      <c r="J323" s="76">
        <f t="shared" si="183"/>
        <v>0</v>
      </c>
      <c r="K323" s="7"/>
      <c r="L323" s="7">
        <f t="shared" si="184"/>
        <v>0</v>
      </c>
      <c r="M323" s="76">
        <f t="shared" si="167"/>
        <v>0</v>
      </c>
      <c r="N323" s="76"/>
      <c r="O323" s="76">
        <f t="shared" si="168"/>
        <v>0</v>
      </c>
      <c r="P323" s="76"/>
      <c r="Q323" s="76">
        <f t="shared" si="169"/>
        <v>0</v>
      </c>
      <c r="R323" s="76">
        <f t="shared" si="185"/>
        <v>0</v>
      </c>
      <c r="S323" s="76">
        <f t="shared" si="186"/>
        <v>0</v>
      </c>
      <c r="T323" s="76">
        <f t="shared" si="187"/>
        <v>0</v>
      </c>
      <c r="U323" s="76">
        <f t="shared" si="188"/>
        <v>0</v>
      </c>
      <c r="V323" s="109">
        <f t="shared" si="189"/>
        <v>0</v>
      </c>
      <c r="W323" s="62"/>
      <c r="X323" s="78">
        <f t="shared" si="170"/>
        <v>3.125E-2</v>
      </c>
      <c r="Y323" s="73">
        <f t="shared" si="190"/>
        <v>0</v>
      </c>
      <c r="Z323" s="74">
        <f t="shared" si="191"/>
        <v>0</v>
      </c>
      <c r="AA323" s="75">
        <f t="shared" si="192"/>
        <v>0</v>
      </c>
      <c r="AB323" s="63" t="str">
        <f t="shared" si="193"/>
        <v/>
      </c>
      <c r="AC323" s="148">
        <f t="shared" si="171"/>
        <v>0</v>
      </c>
      <c r="AD323" s="107" t="str">
        <f t="shared" si="172"/>
        <v/>
      </c>
      <c r="AE323" s="180">
        <f t="shared" si="194"/>
        <v>0</v>
      </c>
      <c r="AF323" s="73"/>
      <c r="AG323" s="525"/>
      <c r="AH323" s="73"/>
      <c r="AI323" s="73" t="str">
        <f t="shared" si="205"/>
        <v/>
      </c>
      <c r="AJ323" s="64">
        <f t="shared" si="173"/>
        <v>0</v>
      </c>
      <c r="AK323" s="64">
        <f t="shared" si="174"/>
        <v>0</v>
      </c>
      <c r="AL323" s="64" t="str">
        <f t="shared" si="175"/>
        <v/>
      </c>
      <c r="AM323">
        <f t="shared" si="176"/>
        <v>6</v>
      </c>
      <c r="AN323" s="85">
        <f>SUM($AD$6:AD323)</f>
        <v>0</v>
      </c>
      <c r="AO323" s="85">
        <f t="shared" ca="1" si="195"/>
        <v>0</v>
      </c>
      <c r="AP323" s="89">
        <f t="shared" si="196"/>
        <v>0</v>
      </c>
      <c r="AQ323" s="89">
        <f t="shared" si="197"/>
        <v>0</v>
      </c>
      <c r="AR323" s="89">
        <f t="shared" si="198"/>
        <v>0</v>
      </c>
      <c r="AS323" s="88">
        <f t="shared" si="199"/>
        <v>30</v>
      </c>
      <c r="AT323" s="88">
        <f t="shared" ca="1" si="200"/>
        <v>30</v>
      </c>
      <c r="AU323" s="98">
        <f t="shared" si="201"/>
        <v>0</v>
      </c>
      <c r="AV323" s="88">
        <f t="shared" si="202"/>
        <v>7</v>
      </c>
      <c r="AW323" t="b">
        <f>OR((F323&gt;0),(NOT(ISBLANK(H323))),SUM(H323:H$373),SUM(G323:G$373))</f>
        <v>0</v>
      </c>
      <c r="AX323" t="b">
        <f t="shared" ca="1" si="177"/>
        <v>1</v>
      </c>
      <c r="AY323" s="519">
        <f t="shared" si="203"/>
        <v>0</v>
      </c>
      <c r="AZ323" s="180">
        <f>SUM(AY$5:AY323)</f>
        <v>-63.874999999999794</v>
      </c>
      <c r="BA323" s="567"/>
      <c r="BB323" s="567">
        <f t="shared" si="178"/>
        <v>0</v>
      </c>
      <c r="BC323" s="567"/>
    </row>
    <row r="324" spans="1:55" ht="15.75">
      <c r="A324" s="260">
        <f t="shared" si="204"/>
        <v>45152</v>
      </c>
      <c r="B324" s="261">
        <f t="shared" si="179"/>
        <v>45152</v>
      </c>
      <c r="C324" s="262">
        <f>IF(A324="","",NumberOfWeek(A324))</f>
        <v>32</v>
      </c>
      <c r="D324" s="263">
        <f t="shared" si="180"/>
        <v>45138</v>
      </c>
      <c r="E324" s="273" t="str">
        <f t="shared" si="181"/>
        <v/>
      </c>
      <c r="F324" s="5"/>
      <c r="G324" s="6" t="str">
        <f t="shared" si="166"/>
        <v/>
      </c>
      <c r="H324" s="7"/>
      <c r="I324" s="7">
        <f t="shared" si="182"/>
        <v>0</v>
      </c>
      <c r="J324" s="76">
        <f t="shared" si="183"/>
        <v>0</v>
      </c>
      <c r="K324" s="7"/>
      <c r="L324" s="7">
        <f t="shared" si="184"/>
        <v>0</v>
      </c>
      <c r="M324" s="76">
        <f t="shared" si="167"/>
        <v>0</v>
      </c>
      <c r="N324" s="76"/>
      <c r="O324" s="76">
        <f t="shared" si="168"/>
        <v>0</v>
      </c>
      <c r="P324" s="76"/>
      <c r="Q324" s="76">
        <f t="shared" si="169"/>
        <v>0</v>
      </c>
      <c r="R324" s="76">
        <f t="shared" si="185"/>
        <v>0</v>
      </c>
      <c r="S324" s="76">
        <f t="shared" si="186"/>
        <v>0</v>
      </c>
      <c r="T324" s="76">
        <f t="shared" si="187"/>
        <v>0</v>
      </c>
      <c r="U324" s="76">
        <f t="shared" si="188"/>
        <v>0</v>
      </c>
      <c r="V324" s="109">
        <f t="shared" si="189"/>
        <v>0</v>
      </c>
      <c r="W324" s="62"/>
      <c r="X324" s="78">
        <f t="shared" si="170"/>
        <v>3.125E-2</v>
      </c>
      <c r="Y324" s="73">
        <f t="shared" si="190"/>
        <v>0</v>
      </c>
      <c r="Z324" s="74">
        <f t="shared" si="191"/>
        <v>0</v>
      </c>
      <c r="AA324" s="75">
        <f t="shared" si="192"/>
        <v>0</v>
      </c>
      <c r="AB324" s="63" t="str">
        <f t="shared" si="193"/>
        <v/>
      </c>
      <c r="AC324" s="148">
        <f t="shared" si="171"/>
        <v>0</v>
      </c>
      <c r="AD324" s="107" t="str">
        <f t="shared" si="172"/>
        <v/>
      </c>
      <c r="AE324" s="180">
        <f t="shared" si="194"/>
        <v>0</v>
      </c>
      <c r="AF324" s="73"/>
      <c r="AG324" s="525"/>
      <c r="AH324" s="73"/>
      <c r="AI324" s="73" t="str">
        <f t="shared" si="205"/>
        <v/>
      </c>
      <c r="AJ324" s="64">
        <f t="shared" si="173"/>
        <v>0</v>
      </c>
      <c r="AK324" s="64">
        <f t="shared" si="174"/>
        <v>0</v>
      </c>
      <c r="AL324" s="64" t="str">
        <f t="shared" si="175"/>
        <v/>
      </c>
      <c r="AM324">
        <f t="shared" si="176"/>
        <v>7</v>
      </c>
      <c r="AN324" s="85">
        <f>SUM($AD$6:AD324)</f>
        <v>0</v>
      </c>
      <c r="AO324" s="85">
        <f t="shared" ca="1" si="195"/>
        <v>0</v>
      </c>
      <c r="AP324" s="89">
        <f t="shared" si="196"/>
        <v>0</v>
      </c>
      <c r="AQ324" s="89">
        <f t="shared" si="197"/>
        <v>0</v>
      </c>
      <c r="AR324" s="89">
        <f t="shared" si="198"/>
        <v>0</v>
      </c>
      <c r="AS324" s="88">
        <f t="shared" si="199"/>
        <v>30</v>
      </c>
      <c r="AT324" s="88">
        <f t="shared" ca="1" si="200"/>
        <v>30</v>
      </c>
      <c r="AU324" s="98">
        <f t="shared" si="201"/>
        <v>0</v>
      </c>
      <c r="AV324" s="88">
        <f t="shared" si="202"/>
        <v>7</v>
      </c>
      <c r="AW324" t="b">
        <f>OR((F324&gt;0),(NOT(ISBLANK(H324))),SUM(H324:H$373),SUM(G324:G$373))</f>
        <v>0</v>
      </c>
      <c r="AX324" t="b">
        <f t="shared" ca="1" si="177"/>
        <v>1</v>
      </c>
      <c r="AY324" s="519">
        <f t="shared" si="203"/>
        <v>0</v>
      </c>
      <c r="AZ324" s="180">
        <f>SUM(AY$5:AY324)</f>
        <v>-63.874999999999794</v>
      </c>
      <c r="BA324" s="567"/>
      <c r="BB324" s="567">
        <f t="shared" si="178"/>
        <v>0</v>
      </c>
      <c r="BC324" s="567"/>
    </row>
    <row r="325" spans="1:55" ht="15.75">
      <c r="A325" s="260">
        <f t="shared" si="204"/>
        <v>45153</v>
      </c>
      <c r="B325" s="261">
        <f t="shared" si="179"/>
        <v>45153</v>
      </c>
      <c r="C325" s="262">
        <f>IF(A325="","",NumberOfWeek(A325))</f>
        <v>33</v>
      </c>
      <c r="D325" s="263">
        <f t="shared" si="180"/>
        <v>45138</v>
      </c>
      <c r="E325" s="273" t="str">
        <f t="shared" si="181"/>
        <v/>
      </c>
      <c r="F325" s="5"/>
      <c r="G325" s="6" t="str">
        <f t="shared" ref="G325:G373" si="206">IF(ISBLANK(F325),IF(ISBLANK(H325),"",0),CODE(UPPER(F325)))</f>
        <v/>
      </c>
      <c r="H325" s="7"/>
      <c r="I325" s="7">
        <f t="shared" si="182"/>
        <v>0</v>
      </c>
      <c r="J325" s="76">
        <f t="shared" si="183"/>
        <v>0</v>
      </c>
      <c r="K325" s="7"/>
      <c r="L325" s="7">
        <f t="shared" si="184"/>
        <v>0</v>
      </c>
      <c r="M325" s="76">
        <f t="shared" ref="M325:M373" si="207">IF(L325&lt;K325,L325+1,L325)</f>
        <v>0</v>
      </c>
      <c r="N325" s="76"/>
      <c r="O325" s="76">
        <f t="shared" ref="O325:O373" si="208">IF(N325&gt;0,N325+IF((J325-H325+M325-K325)&lt;Y325,Y325-(J325-H325+M325-K325),TIME(0,10,0))+IF((K325-J325+N325-M325)&gt;xNoWorkTime,0,xNoWorkTime-(K325-J325+N325-M325)),0)</f>
        <v>0</v>
      </c>
      <c r="P325" s="76"/>
      <c r="Q325" s="76">
        <f t="shared" ref="Q325:Q373" si="209">IF(O325&lt;N325,O325+1,O325)</f>
        <v>0</v>
      </c>
      <c r="R325" s="76">
        <f t="shared" si="185"/>
        <v>0</v>
      </c>
      <c r="S325" s="76">
        <f t="shared" si="186"/>
        <v>0</v>
      </c>
      <c r="T325" s="76">
        <f t="shared" si="187"/>
        <v>0</v>
      </c>
      <c r="U325" s="76">
        <f t="shared" si="188"/>
        <v>0</v>
      </c>
      <c r="V325" s="109">
        <f t="shared" si="189"/>
        <v>0</v>
      </c>
      <c r="W325" s="62"/>
      <c r="X325" s="78">
        <f t="shared" ref="X325:X373" si="210">xNoWorkTime</f>
        <v>3.125E-2</v>
      </c>
      <c r="Y325" s="73">
        <f t="shared" si="190"/>
        <v>0</v>
      </c>
      <c r="Z325" s="74">
        <f t="shared" si="191"/>
        <v>0.29166666666666669</v>
      </c>
      <c r="AA325" s="75">
        <f t="shared" si="192"/>
        <v>0</v>
      </c>
      <c r="AB325" s="63" t="str">
        <f t="shared" si="193"/>
        <v/>
      </c>
      <c r="AC325" s="148">
        <f t="shared" ref="AC325:AC373" si="211">xOverTime</f>
        <v>0</v>
      </c>
      <c r="AD325" s="107" t="str">
        <f t="shared" ref="AD325:AD373" si="212">IF((R325-U325)&gt;XWorkTimeMax,(R325-U325-XWorkTimeMax),"")</f>
        <v/>
      </c>
      <c r="AE325" s="180">
        <f t="shared" si="194"/>
        <v>0</v>
      </c>
      <c r="AF325" s="73"/>
      <c r="AG325" s="525"/>
      <c r="AH325" s="73"/>
      <c r="AI325" s="73" t="str">
        <f t="shared" si="205"/>
        <v/>
      </c>
      <c r="AJ325" s="64">
        <f t="shared" ref="AJ325:AJ373" si="213">IF(ISNUMBER(V325 ), IF( V325 &gt;= Y325, Y325, V325 ),"")</f>
        <v>0</v>
      </c>
      <c r="AK325" s="64">
        <f t="shared" ref="AK325:AK373" si="214">IF( ISNUMBER( V325 ), IF( V325 &gt;= Y325, V325 - Y325, "" ), "" )</f>
        <v>0</v>
      </c>
      <c r="AL325" s="64" t="str">
        <f t="shared" ref="AL325:AL373" si="215">IF( AND(ISNUMBER( V325 ),ISNUMBER( Y325 )), IF( V325 &gt;= Y325, "", Y325 - V325 ), "" )</f>
        <v/>
      </c>
      <c r="AM325">
        <f t="shared" ref="AM325:AM373" si="216">IF(A325="",0,IF(ISERROR(VLOOKUP(A325,db_Feiertag,2,FALSE)),WEEKDAY(A325,2),Feiertag))</f>
        <v>1</v>
      </c>
      <c r="AN325" s="85">
        <f>SUM($AD$6:AD325)</f>
        <v>0</v>
      </c>
      <c r="AO325" s="85">
        <f t="shared" ca="1" si="195"/>
        <v>0</v>
      </c>
      <c r="AP325" s="89">
        <f t="shared" si="196"/>
        <v>0</v>
      </c>
      <c r="AQ325" s="89">
        <f t="shared" si="197"/>
        <v>0</v>
      </c>
      <c r="AR325" s="89">
        <f t="shared" si="198"/>
        <v>0</v>
      </c>
      <c r="AS325" s="88">
        <f t="shared" si="199"/>
        <v>30</v>
      </c>
      <c r="AT325" s="88">
        <f t="shared" ca="1" si="200"/>
        <v>30</v>
      </c>
      <c r="AU325" s="98">
        <f t="shared" si="201"/>
        <v>0</v>
      </c>
      <c r="AV325" s="88">
        <f t="shared" si="202"/>
        <v>0</v>
      </c>
      <c r="AW325" t="b">
        <f>OR((F325&gt;0),(NOT(ISBLANK(H325))),SUM(H325:H$373),SUM(G325:G$373))</f>
        <v>0</v>
      </c>
      <c r="AX325" t="b">
        <f t="shared" ref="AX325:AX373" ca="1" si="217">INDIRECT(ADDRESS(ROW(),COLUMN(xDay)))&gt;5</f>
        <v>0</v>
      </c>
      <c r="AY325" s="519">
        <f t="shared" si="203"/>
        <v>-0.29166666666666669</v>
      </c>
      <c r="AZ325" s="180">
        <f>SUM(AY$5:AY325)</f>
        <v>-64.166666666666458</v>
      </c>
      <c r="BA325" s="567"/>
      <c r="BB325" s="567">
        <f t="shared" ref="BB325:BB373" si="218">IF(ISNA(MATCH(BA325,B_Arbeitsort,0)),0,MATCH(BA325,B_Arbeitsort,0))</f>
        <v>0</v>
      </c>
      <c r="BC325" s="567"/>
    </row>
    <row r="326" spans="1:55" ht="15.75">
      <c r="A326" s="260">
        <f t="shared" si="204"/>
        <v>45154</v>
      </c>
      <c r="B326" s="261">
        <f t="shared" ref="B326:B373" si="219">IF(A326="","",A326)</f>
        <v>45154</v>
      </c>
      <c r="C326" s="262">
        <f>IF(A326="","",NumberOfWeek(A326))</f>
        <v>33</v>
      </c>
      <c r="D326" s="263">
        <f t="shared" ref="D326:D373" si="220">IF(A326="","",DATE(YEAR(A326),MONTH(A326),1))</f>
        <v>45138</v>
      </c>
      <c r="E326" s="273" t="str">
        <f t="shared" ref="E326:E373" si="221">IF((R326-U326)&gt;XWorkTimeMax,$Z$4,IF(AV326=Feiertag,VLOOKUP(B326,db_Feiertag,2,FALSE),""))</f>
        <v/>
      </c>
      <c r="F326" s="5"/>
      <c r="G326" s="6" t="str">
        <f t="shared" si="206"/>
        <v/>
      </c>
      <c r="H326" s="7"/>
      <c r="I326" s="7">
        <f t="shared" ref="I326:I373" si="222">IF(H326&gt;0,H326+Y326+X326+AC326,0)</f>
        <v>0</v>
      </c>
      <c r="J326" s="76">
        <f t="shared" ref="J326:J373" si="223">IF(K326&gt;I326,IF(I326&lt;H326,I326+1,I326)-B_WalkTime,IF(I326&lt;H326,I326+1,I326))</f>
        <v>0</v>
      </c>
      <c r="K326" s="7"/>
      <c r="L326" s="7">
        <f t="shared" ref="L326:L373" si="224">IF(K326&gt;0,K326+IF((J326-H326)&lt;Y326,Y326-(J326-H326),TIME(0,10,0))+IF((K326-J326)&gt;xNoWorkTime,0,xNoWorkTime-(K326-J326)),0)</f>
        <v>0</v>
      </c>
      <c r="M326" s="76">
        <f t="shared" si="207"/>
        <v>0</v>
      </c>
      <c r="N326" s="76"/>
      <c r="O326" s="76">
        <f t="shared" si="208"/>
        <v>0</v>
      </c>
      <c r="P326" s="76"/>
      <c r="Q326" s="76">
        <f t="shared" si="209"/>
        <v>0</v>
      </c>
      <c r="R326" s="76">
        <f t="shared" ref="R326:R373" si="225">J326-H326+M326-K326+Q326-N326</f>
        <v>0</v>
      </c>
      <c r="S326" s="76">
        <f t="shared" ref="S326:S373" si="226">IF(K326&gt;0,K326-I326,0)+IF(N326&gt;0,N326-L326)</f>
        <v>0</v>
      </c>
      <c r="T326" s="76">
        <f t="shared" ref="T326:T373" si="227">IF(H326&gt;0,(IF(R326&gt;B_Pause1Nach,B_Pause1Dauer+IF(BA326="Büro",B_WalkTime,0),IF(BA326="Büro",B_WalkTime,0))+IF(R326&gt;B_Pause2Nach,B_Pause2Dauer,0)),0)</f>
        <v>0</v>
      </c>
      <c r="U326" s="76">
        <f t="shared" ref="U326:U373" si="228">IF(T326&gt;S326,T326-S326,0)</f>
        <v>0</v>
      </c>
      <c r="V326" s="109">
        <f t="shared" ref="V326:V373" si="229">IF(F326="S",Z326,(IF((R326-U326)&gt;XWorkTimeMax,XWorkTimeMax,IF((R326-U326)&gt;0,R326-U326,0))))</f>
        <v>0</v>
      </c>
      <c r="W326" s="62"/>
      <c r="X326" s="78">
        <f t="shared" si="210"/>
        <v>3.125E-2</v>
      </c>
      <c r="Y326" s="73">
        <f t="shared" ref="Y326:Y373" si="230">IF(AND((AM326&lt;Feiertag),(G326&lt;&gt;85)),IF(OR(F326="B",F326="G",F326="S",H326&gt;0),H326-H326+Z326,0),0)</f>
        <v>0</v>
      </c>
      <c r="Z326" s="74">
        <f t="shared" ref="Z326:Z373" si="231">IF(AND(AM326&gt;0,AM326&lt;Feiertag),INDEX(Arbeitszeit,AM326),"")</f>
        <v>0.29166666666666669</v>
      </c>
      <c r="AA326" s="75">
        <f t="shared" ref="AA326:AA373" si="232">V326-Y326</f>
        <v>0</v>
      </c>
      <c r="AB326" s="63" t="str">
        <f t="shared" ref="AB326:AB373" si="233">IF((V326-Y326)&lt;0,"*","")</f>
        <v/>
      </c>
      <c r="AC326" s="148">
        <f t="shared" si="211"/>
        <v>0</v>
      </c>
      <c r="AD326" s="107" t="str">
        <f t="shared" si="212"/>
        <v/>
      </c>
      <c r="AE326" s="180">
        <f t="shared" ref="AE326:AE373" si="234">IF(AW326,(AE325+SUM(AA326)+(IF(AG326="+",AF326,-AF326))),)</f>
        <v>0</v>
      </c>
      <c r="AF326" s="73"/>
      <c r="AG326" s="525"/>
      <c r="AH326" s="73"/>
      <c r="AI326" s="73" t="str">
        <f t="shared" si="205"/>
        <v/>
      </c>
      <c r="AJ326" s="64">
        <f t="shared" si="213"/>
        <v>0</v>
      </c>
      <c r="AK326" s="64">
        <f t="shared" si="214"/>
        <v>0</v>
      </c>
      <c r="AL326" s="64" t="str">
        <f t="shared" si="215"/>
        <v/>
      </c>
      <c r="AM326">
        <f t="shared" si="216"/>
        <v>2</v>
      </c>
      <c r="AN326" s="85">
        <f>SUM($AD$6:AD326)</f>
        <v>0</v>
      </c>
      <c r="AO326" s="85">
        <f t="shared" ref="AO326:AO373" ca="1" si="235">IF(D326=D325,AO325,OFFSET(AO326,-1,COLUMN(db_jSaldoGes)-COLUMN()))</f>
        <v>0</v>
      </c>
      <c r="AP326" s="89">
        <f t="shared" ref="AP326:AP373" si="236">IF(OR($G326=-1,$G326=82),-1,IF(OR($G326=0,$G326=83),1,0))</f>
        <v>0</v>
      </c>
      <c r="AQ326" s="89">
        <f t="shared" ref="AQ326:AQ373" si="237">IF($F326=Krank,1,IF($F326="J",-1,0))</f>
        <v>0</v>
      </c>
      <c r="AR326" s="89">
        <f t="shared" ref="AR326:AR373" si="238">IF($F326=Urlaub,1,IF($F326="T",-1,0))</f>
        <v>0</v>
      </c>
      <c r="AS326" s="88">
        <f t="shared" ref="AS326:AS373" si="239">IF(A326="","",AS325-IF(F326=Urlaub,1,0)+IF(AND(MONTH(A326)=1,DAY(A326)=1),B_UrlaubNeu,0))</f>
        <v>30</v>
      </c>
      <c r="AT326" s="88">
        <f t="shared" ref="AT326:AT373" ca="1" si="240">IF(A326="","",IF(D326=D325,AT325,OFFSET(AT326,-1,COLUMN(db_jUrlRest)-COLUMN()))+IF(AND(MONTH(A326)=1,DAY(A326)=1),B_UrlaubNeu,0))</f>
        <v>30</v>
      </c>
      <c r="AU326" s="98">
        <f t="shared" ref="AU326:AU373" si="241">(IF(ISNUMBER(V326),V326,0)+IF(ISNUMBER(AD326),AD326,0))*24</f>
        <v>0</v>
      </c>
      <c r="AV326" s="88">
        <f t="shared" ref="AV326:AV373" si="242">IF(ISNUMBER(AD326),K_ArbeitOverMax,IF(AND(ISNUMBER(AA326),AA326&gt;0),K_ArbeitOverTime,IF(AND(ISNUMBER(V326),V326&gt;0),K_ArbeitNormal,IF(F326=Krank,K_Krank,IF(F326=Urlaub,K_Urlaub,IF(AM326=Feiertag,K_Feiertag,IF(OR(AM326=6,AM326=7),K_Wochenende,0)))))))+IF(F326=Gleittag,K_Gleittag,0)</f>
        <v>0</v>
      </c>
      <c r="AW326" t="b">
        <f>OR((F326&gt;0),(NOT(ISBLANK(H326))),SUM(H326:H$373),SUM(G326:G$373))</f>
        <v>0</v>
      </c>
      <c r="AX326" t="b">
        <f t="shared" ca="1" si="217"/>
        <v>0</v>
      </c>
      <c r="AY326" s="519">
        <f t="shared" ref="AY326:AY373" si="243">IF(OR(R326&lt;&gt;0,F326&lt;&gt;0),AA326,IF(Z326="",0,-Z326))+(IF(AG326="+",AF326,-AF326))</f>
        <v>-0.29166666666666669</v>
      </c>
      <c r="AZ326" s="180">
        <f>SUM(AY$5:AY326)</f>
        <v>-64.45833333333313</v>
      </c>
      <c r="BA326" s="567"/>
      <c r="BB326" s="567">
        <f t="shared" si="218"/>
        <v>0</v>
      </c>
      <c r="BC326" s="567"/>
    </row>
    <row r="327" spans="1:55" ht="15.75">
      <c r="A327" s="260">
        <f t="shared" ref="A327:A373" si="244">IF(A326="","",IF((A326+1)&gt;=DATE(YEAR(xJahr)+1,MONTH(xJahr),DAY(xJahr)),"",A326+1))</f>
        <v>45155</v>
      </c>
      <c r="B327" s="261">
        <f t="shared" si="219"/>
        <v>45155</v>
      </c>
      <c r="C327" s="262">
        <f>IF(A327="","",NumberOfWeek(A327))</f>
        <v>33</v>
      </c>
      <c r="D327" s="263">
        <f t="shared" si="220"/>
        <v>45138</v>
      </c>
      <c r="E327" s="273" t="str">
        <f t="shared" si="221"/>
        <v/>
      </c>
      <c r="F327" s="5"/>
      <c r="G327" s="6" t="str">
        <f t="shared" si="206"/>
        <v/>
      </c>
      <c r="H327" s="7"/>
      <c r="I327" s="7">
        <f t="shared" si="222"/>
        <v>0</v>
      </c>
      <c r="J327" s="76">
        <f t="shared" si="223"/>
        <v>0</v>
      </c>
      <c r="K327" s="7"/>
      <c r="L327" s="7">
        <f t="shared" si="224"/>
        <v>0</v>
      </c>
      <c r="M327" s="76">
        <f t="shared" si="207"/>
        <v>0</v>
      </c>
      <c r="N327" s="76"/>
      <c r="O327" s="76">
        <f t="shared" si="208"/>
        <v>0</v>
      </c>
      <c r="P327" s="76"/>
      <c r="Q327" s="76">
        <f t="shared" si="209"/>
        <v>0</v>
      </c>
      <c r="R327" s="76">
        <f t="shared" si="225"/>
        <v>0</v>
      </c>
      <c r="S327" s="76">
        <f t="shared" si="226"/>
        <v>0</v>
      </c>
      <c r="T327" s="76">
        <f t="shared" si="227"/>
        <v>0</v>
      </c>
      <c r="U327" s="76">
        <f t="shared" si="228"/>
        <v>0</v>
      </c>
      <c r="V327" s="109">
        <f t="shared" si="229"/>
        <v>0</v>
      </c>
      <c r="W327" s="62"/>
      <c r="X327" s="78">
        <f t="shared" si="210"/>
        <v>3.125E-2</v>
      </c>
      <c r="Y327" s="73">
        <f t="shared" si="230"/>
        <v>0</v>
      </c>
      <c r="Z327" s="74">
        <f t="shared" si="231"/>
        <v>0.29166666666666669</v>
      </c>
      <c r="AA327" s="75">
        <f t="shared" si="232"/>
        <v>0</v>
      </c>
      <c r="AB327" s="63" t="str">
        <f t="shared" si="233"/>
        <v/>
      </c>
      <c r="AC327" s="148">
        <f t="shared" si="211"/>
        <v>0</v>
      </c>
      <c r="AD327" s="107" t="str">
        <f t="shared" si="212"/>
        <v/>
      </c>
      <c r="AE327" s="180">
        <f t="shared" si="234"/>
        <v>0</v>
      </c>
      <c r="AF327" s="73"/>
      <c r="AG327" s="525"/>
      <c r="AH327" s="73"/>
      <c r="AI327" s="73" t="str">
        <f t="shared" si="205"/>
        <v/>
      </c>
      <c r="AJ327" s="64">
        <f t="shared" si="213"/>
        <v>0</v>
      </c>
      <c r="AK327" s="64">
        <f t="shared" si="214"/>
        <v>0</v>
      </c>
      <c r="AL327" s="64" t="str">
        <f t="shared" si="215"/>
        <v/>
      </c>
      <c r="AM327">
        <f t="shared" si="216"/>
        <v>3</v>
      </c>
      <c r="AN327" s="85">
        <f>SUM($AD$6:AD327)</f>
        <v>0</v>
      </c>
      <c r="AO327" s="85">
        <f t="shared" ca="1" si="235"/>
        <v>0</v>
      </c>
      <c r="AP327" s="89">
        <f t="shared" si="236"/>
        <v>0</v>
      </c>
      <c r="AQ327" s="89">
        <f t="shared" si="237"/>
        <v>0</v>
      </c>
      <c r="AR327" s="89">
        <f t="shared" si="238"/>
        <v>0</v>
      </c>
      <c r="AS327" s="88">
        <f t="shared" si="239"/>
        <v>30</v>
      </c>
      <c r="AT327" s="88">
        <f t="shared" ca="1" si="240"/>
        <v>30</v>
      </c>
      <c r="AU327" s="98">
        <f t="shared" si="241"/>
        <v>0</v>
      </c>
      <c r="AV327" s="88">
        <f t="shared" si="242"/>
        <v>0</v>
      </c>
      <c r="AW327" t="b">
        <f>OR((F327&gt;0),(NOT(ISBLANK(H327))),SUM(H327:H$373),SUM(G327:G$373))</f>
        <v>0</v>
      </c>
      <c r="AX327" t="b">
        <f t="shared" ca="1" si="217"/>
        <v>0</v>
      </c>
      <c r="AY327" s="519">
        <f t="shared" si="243"/>
        <v>-0.29166666666666669</v>
      </c>
      <c r="AZ327" s="180">
        <f>SUM(AY$5:AY327)</f>
        <v>-64.749999999999801</v>
      </c>
      <c r="BA327" s="567"/>
      <c r="BB327" s="567">
        <f t="shared" si="218"/>
        <v>0</v>
      </c>
      <c r="BC327" s="567"/>
    </row>
    <row r="328" spans="1:55" ht="15.75">
      <c r="A328" s="260">
        <f t="shared" si="244"/>
        <v>45156</v>
      </c>
      <c r="B328" s="261">
        <f t="shared" si="219"/>
        <v>45156</v>
      </c>
      <c r="C328" s="262">
        <f>IF(A328="","",NumberOfWeek(A328))</f>
        <v>33</v>
      </c>
      <c r="D328" s="263">
        <f t="shared" si="220"/>
        <v>45138</v>
      </c>
      <c r="E328" s="273" t="str">
        <f t="shared" si="221"/>
        <v/>
      </c>
      <c r="F328" s="5"/>
      <c r="G328" s="6" t="str">
        <f t="shared" si="206"/>
        <v/>
      </c>
      <c r="H328" s="7"/>
      <c r="I328" s="7">
        <f t="shared" si="222"/>
        <v>0</v>
      </c>
      <c r="J328" s="76">
        <f t="shared" si="223"/>
        <v>0</v>
      </c>
      <c r="K328" s="7"/>
      <c r="L328" s="7">
        <f t="shared" si="224"/>
        <v>0</v>
      </c>
      <c r="M328" s="76">
        <f t="shared" si="207"/>
        <v>0</v>
      </c>
      <c r="N328" s="76"/>
      <c r="O328" s="76">
        <f t="shared" si="208"/>
        <v>0</v>
      </c>
      <c r="P328" s="76"/>
      <c r="Q328" s="76">
        <f t="shared" si="209"/>
        <v>0</v>
      </c>
      <c r="R328" s="76">
        <f t="shared" si="225"/>
        <v>0</v>
      </c>
      <c r="S328" s="76">
        <f t="shared" si="226"/>
        <v>0</v>
      </c>
      <c r="T328" s="76">
        <f t="shared" si="227"/>
        <v>0</v>
      </c>
      <c r="U328" s="76">
        <f t="shared" si="228"/>
        <v>0</v>
      </c>
      <c r="V328" s="109">
        <f t="shared" si="229"/>
        <v>0</v>
      </c>
      <c r="W328" s="62"/>
      <c r="X328" s="78">
        <f t="shared" si="210"/>
        <v>3.125E-2</v>
      </c>
      <c r="Y328" s="73">
        <f t="shared" si="230"/>
        <v>0</v>
      </c>
      <c r="Z328" s="74">
        <f t="shared" si="231"/>
        <v>0.29166666666666669</v>
      </c>
      <c r="AA328" s="75">
        <f t="shared" si="232"/>
        <v>0</v>
      </c>
      <c r="AB328" s="63" t="str">
        <f t="shared" si="233"/>
        <v/>
      </c>
      <c r="AC328" s="148">
        <f t="shared" si="211"/>
        <v>0</v>
      </c>
      <c r="AD328" s="107" t="str">
        <f t="shared" si="212"/>
        <v/>
      </c>
      <c r="AE328" s="180">
        <f t="shared" si="234"/>
        <v>0</v>
      </c>
      <c r="AF328" s="73"/>
      <c r="AG328" s="525"/>
      <c r="AH328" s="73"/>
      <c r="AI328" s="73" t="str">
        <f t="shared" si="205"/>
        <v/>
      </c>
      <c r="AJ328" s="64">
        <f t="shared" si="213"/>
        <v>0</v>
      </c>
      <c r="AK328" s="64">
        <f t="shared" si="214"/>
        <v>0</v>
      </c>
      <c r="AL328" s="64" t="str">
        <f t="shared" si="215"/>
        <v/>
      </c>
      <c r="AM328">
        <f t="shared" si="216"/>
        <v>4</v>
      </c>
      <c r="AN328" s="85">
        <f>SUM($AD$6:AD328)</f>
        <v>0</v>
      </c>
      <c r="AO328" s="85">
        <f t="shared" ca="1" si="235"/>
        <v>0</v>
      </c>
      <c r="AP328" s="89">
        <f t="shared" si="236"/>
        <v>0</v>
      </c>
      <c r="AQ328" s="89">
        <f t="shared" si="237"/>
        <v>0</v>
      </c>
      <c r="AR328" s="89">
        <f t="shared" si="238"/>
        <v>0</v>
      </c>
      <c r="AS328" s="88">
        <f t="shared" si="239"/>
        <v>30</v>
      </c>
      <c r="AT328" s="88">
        <f t="shared" ca="1" si="240"/>
        <v>30</v>
      </c>
      <c r="AU328" s="98">
        <f t="shared" si="241"/>
        <v>0</v>
      </c>
      <c r="AV328" s="88">
        <f t="shared" si="242"/>
        <v>0</v>
      </c>
      <c r="AW328" t="b">
        <f>OR((F328&gt;0),(NOT(ISBLANK(H328))),SUM(H328:H$373),SUM(G328:G$373))</f>
        <v>0</v>
      </c>
      <c r="AX328" t="b">
        <f t="shared" ca="1" si="217"/>
        <v>0</v>
      </c>
      <c r="AY328" s="519">
        <f t="shared" si="243"/>
        <v>-0.29166666666666669</v>
      </c>
      <c r="AZ328" s="180">
        <f>SUM(AY$5:AY328)</f>
        <v>-65.041666666666472</v>
      </c>
      <c r="BA328" s="567"/>
      <c r="BB328" s="567">
        <f t="shared" si="218"/>
        <v>0</v>
      </c>
      <c r="BC328" s="567"/>
    </row>
    <row r="329" spans="1:55" ht="15.75">
      <c r="A329" s="260">
        <f t="shared" si="244"/>
        <v>45157</v>
      </c>
      <c r="B329" s="261">
        <f t="shared" si="219"/>
        <v>45157</v>
      </c>
      <c r="C329" s="262">
        <f>IF(A329="","",NumberOfWeek(A329))</f>
        <v>33</v>
      </c>
      <c r="D329" s="263">
        <f t="shared" si="220"/>
        <v>45138</v>
      </c>
      <c r="E329" s="273" t="str">
        <f t="shared" si="221"/>
        <v/>
      </c>
      <c r="F329" s="5"/>
      <c r="G329" s="6" t="str">
        <f t="shared" si="206"/>
        <v/>
      </c>
      <c r="H329" s="7"/>
      <c r="I329" s="7">
        <f t="shared" si="222"/>
        <v>0</v>
      </c>
      <c r="J329" s="76">
        <f t="shared" si="223"/>
        <v>0</v>
      </c>
      <c r="K329" s="7"/>
      <c r="L329" s="7">
        <f t="shared" si="224"/>
        <v>0</v>
      </c>
      <c r="M329" s="76">
        <f t="shared" si="207"/>
        <v>0</v>
      </c>
      <c r="N329" s="76"/>
      <c r="O329" s="76">
        <f t="shared" si="208"/>
        <v>0</v>
      </c>
      <c r="P329" s="76"/>
      <c r="Q329" s="76">
        <f t="shared" si="209"/>
        <v>0</v>
      </c>
      <c r="R329" s="76">
        <f t="shared" si="225"/>
        <v>0</v>
      </c>
      <c r="S329" s="76">
        <f t="shared" si="226"/>
        <v>0</v>
      </c>
      <c r="T329" s="76">
        <f t="shared" si="227"/>
        <v>0</v>
      </c>
      <c r="U329" s="76">
        <f t="shared" si="228"/>
        <v>0</v>
      </c>
      <c r="V329" s="109">
        <f t="shared" si="229"/>
        <v>0</v>
      </c>
      <c r="W329" s="62"/>
      <c r="X329" s="78">
        <f t="shared" si="210"/>
        <v>3.125E-2</v>
      </c>
      <c r="Y329" s="73">
        <f t="shared" si="230"/>
        <v>0</v>
      </c>
      <c r="Z329" s="74">
        <f t="shared" si="231"/>
        <v>0.29166666666666669</v>
      </c>
      <c r="AA329" s="75">
        <f t="shared" si="232"/>
        <v>0</v>
      </c>
      <c r="AB329" s="63" t="str">
        <f t="shared" si="233"/>
        <v/>
      </c>
      <c r="AC329" s="148">
        <f t="shared" si="211"/>
        <v>0</v>
      </c>
      <c r="AD329" s="107" t="str">
        <f t="shared" si="212"/>
        <v/>
      </c>
      <c r="AE329" s="180">
        <f t="shared" si="234"/>
        <v>0</v>
      </c>
      <c r="AF329" s="73"/>
      <c r="AG329" s="525"/>
      <c r="AH329" s="73"/>
      <c r="AI329" s="73" t="str">
        <f t="shared" si="205"/>
        <v/>
      </c>
      <c r="AJ329" s="64">
        <f t="shared" si="213"/>
        <v>0</v>
      </c>
      <c r="AK329" s="64">
        <f t="shared" si="214"/>
        <v>0</v>
      </c>
      <c r="AL329" s="64" t="str">
        <f t="shared" si="215"/>
        <v/>
      </c>
      <c r="AM329">
        <f t="shared" si="216"/>
        <v>5</v>
      </c>
      <c r="AN329" s="85">
        <f>SUM($AD$6:AD329)</f>
        <v>0</v>
      </c>
      <c r="AO329" s="85">
        <f t="shared" ca="1" si="235"/>
        <v>0</v>
      </c>
      <c r="AP329" s="89">
        <f t="shared" si="236"/>
        <v>0</v>
      </c>
      <c r="AQ329" s="89">
        <f t="shared" si="237"/>
        <v>0</v>
      </c>
      <c r="AR329" s="89">
        <f t="shared" si="238"/>
        <v>0</v>
      </c>
      <c r="AS329" s="88">
        <f t="shared" si="239"/>
        <v>30</v>
      </c>
      <c r="AT329" s="88">
        <f t="shared" ca="1" si="240"/>
        <v>30</v>
      </c>
      <c r="AU329" s="98">
        <f t="shared" si="241"/>
        <v>0</v>
      </c>
      <c r="AV329" s="88">
        <f t="shared" si="242"/>
        <v>0</v>
      </c>
      <c r="AW329" t="b">
        <f>OR((F329&gt;0),(NOT(ISBLANK(H329))),SUM(H329:H$373),SUM(G329:G$373))</f>
        <v>0</v>
      </c>
      <c r="AX329" t="b">
        <f t="shared" ca="1" si="217"/>
        <v>0</v>
      </c>
      <c r="AY329" s="519">
        <f t="shared" si="243"/>
        <v>-0.29166666666666669</v>
      </c>
      <c r="AZ329" s="180">
        <f>SUM(AY$5:AY329)</f>
        <v>-65.333333333333144</v>
      </c>
      <c r="BA329" s="567"/>
      <c r="BB329" s="567">
        <f t="shared" si="218"/>
        <v>0</v>
      </c>
      <c r="BC329" s="567"/>
    </row>
    <row r="330" spans="1:55" ht="15.75">
      <c r="A330" s="260">
        <f t="shared" si="244"/>
        <v>45158</v>
      </c>
      <c r="B330" s="261">
        <f t="shared" si="219"/>
        <v>45158</v>
      </c>
      <c r="C330" s="262">
        <f>IF(A330="","",NumberOfWeek(A330))</f>
        <v>33</v>
      </c>
      <c r="D330" s="263">
        <f t="shared" si="220"/>
        <v>45138</v>
      </c>
      <c r="E330" s="273" t="str">
        <f t="shared" si="221"/>
        <v/>
      </c>
      <c r="F330" s="5"/>
      <c r="G330" s="6" t="str">
        <f t="shared" si="206"/>
        <v/>
      </c>
      <c r="H330" s="7"/>
      <c r="I330" s="7">
        <f t="shared" si="222"/>
        <v>0</v>
      </c>
      <c r="J330" s="76">
        <f t="shared" si="223"/>
        <v>0</v>
      </c>
      <c r="K330" s="7"/>
      <c r="L330" s="7">
        <f t="shared" si="224"/>
        <v>0</v>
      </c>
      <c r="M330" s="76">
        <f t="shared" si="207"/>
        <v>0</v>
      </c>
      <c r="N330" s="76"/>
      <c r="O330" s="76">
        <f t="shared" si="208"/>
        <v>0</v>
      </c>
      <c r="P330" s="76"/>
      <c r="Q330" s="76">
        <f t="shared" si="209"/>
        <v>0</v>
      </c>
      <c r="R330" s="76">
        <f t="shared" si="225"/>
        <v>0</v>
      </c>
      <c r="S330" s="76">
        <f t="shared" si="226"/>
        <v>0</v>
      </c>
      <c r="T330" s="76">
        <f t="shared" si="227"/>
        <v>0</v>
      </c>
      <c r="U330" s="76">
        <f t="shared" si="228"/>
        <v>0</v>
      </c>
      <c r="V330" s="109">
        <f t="shared" si="229"/>
        <v>0</v>
      </c>
      <c r="W330" s="62"/>
      <c r="X330" s="78">
        <f t="shared" si="210"/>
        <v>3.125E-2</v>
      </c>
      <c r="Y330" s="73">
        <f t="shared" si="230"/>
        <v>0</v>
      </c>
      <c r="Z330" s="74">
        <f t="shared" si="231"/>
        <v>0</v>
      </c>
      <c r="AA330" s="75">
        <f t="shared" si="232"/>
        <v>0</v>
      </c>
      <c r="AB330" s="63" t="str">
        <f t="shared" si="233"/>
        <v/>
      </c>
      <c r="AC330" s="148">
        <f t="shared" si="211"/>
        <v>0</v>
      </c>
      <c r="AD330" s="107" t="str">
        <f t="shared" si="212"/>
        <v/>
      </c>
      <c r="AE330" s="180">
        <f t="shared" si="234"/>
        <v>0</v>
      </c>
      <c r="AF330" s="73"/>
      <c r="AG330" s="525"/>
      <c r="AH330" s="73"/>
      <c r="AI330" s="73" t="str">
        <f t="shared" si="205"/>
        <v/>
      </c>
      <c r="AJ330" s="64">
        <f t="shared" si="213"/>
        <v>0</v>
      </c>
      <c r="AK330" s="64">
        <f t="shared" si="214"/>
        <v>0</v>
      </c>
      <c r="AL330" s="64" t="str">
        <f t="shared" si="215"/>
        <v/>
      </c>
      <c r="AM330">
        <f t="shared" si="216"/>
        <v>6</v>
      </c>
      <c r="AN330" s="85">
        <f>SUM($AD$6:AD330)</f>
        <v>0</v>
      </c>
      <c r="AO330" s="85">
        <f t="shared" ca="1" si="235"/>
        <v>0</v>
      </c>
      <c r="AP330" s="89">
        <f t="shared" si="236"/>
        <v>0</v>
      </c>
      <c r="AQ330" s="89">
        <f t="shared" si="237"/>
        <v>0</v>
      </c>
      <c r="AR330" s="89">
        <f t="shared" si="238"/>
        <v>0</v>
      </c>
      <c r="AS330" s="88">
        <f t="shared" si="239"/>
        <v>30</v>
      </c>
      <c r="AT330" s="88">
        <f t="shared" ca="1" si="240"/>
        <v>30</v>
      </c>
      <c r="AU330" s="98">
        <f t="shared" si="241"/>
        <v>0</v>
      </c>
      <c r="AV330" s="88">
        <f t="shared" si="242"/>
        <v>7</v>
      </c>
      <c r="AW330" t="b">
        <f>OR((F330&gt;0),(NOT(ISBLANK(H330))),SUM(H330:H$373),SUM(G330:G$373))</f>
        <v>0</v>
      </c>
      <c r="AX330" t="b">
        <f t="shared" ca="1" si="217"/>
        <v>1</v>
      </c>
      <c r="AY330" s="519">
        <f t="shared" si="243"/>
        <v>0</v>
      </c>
      <c r="AZ330" s="180">
        <f>SUM(AY$5:AY330)</f>
        <v>-65.333333333333144</v>
      </c>
      <c r="BA330" s="567"/>
      <c r="BB330" s="567">
        <f t="shared" si="218"/>
        <v>0</v>
      </c>
      <c r="BC330" s="567"/>
    </row>
    <row r="331" spans="1:55" ht="15.75">
      <c r="A331" s="260">
        <f t="shared" si="244"/>
        <v>45159</v>
      </c>
      <c r="B331" s="261">
        <f t="shared" si="219"/>
        <v>45159</v>
      </c>
      <c r="C331" s="262">
        <f>IF(A331="","",NumberOfWeek(A331))</f>
        <v>33</v>
      </c>
      <c r="D331" s="263">
        <f t="shared" si="220"/>
        <v>45138</v>
      </c>
      <c r="E331" s="273" t="str">
        <f t="shared" si="221"/>
        <v/>
      </c>
      <c r="F331" s="5"/>
      <c r="G331" s="6" t="str">
        <f t="shared" si="206"/>
        <v/>
      </c>
      <c r="H331" s="7"/>
      <c r="I331" s="7">
        <f t="shared" si="222"/>
        <v>0</v>
      </c>
      <c r="J331" s="76">
        <f t="shared" si="223"/>
        <v>0</v>
      </c>
      <c r="K331" s="7"/>
      <c r="L331" s="7">
        <f t="shared" si="224"/>
        <v>0</v>
      </c>
      <c r="M331" s="76">
        <f t="shared" si="207"/>
        <v>0</v>
      </c>
      <c r="N331" s="76"/>
      <c r="O331" s="76">
        <f t="shared" si="208"/>
        <v>0</v>
      </c>
      <c r="P331" s="76"/>
      <c r="Q331" s="76">
        <f t="shared" si="209"/>
        <v>0</v>
      </c>
      <c r="R331" s="76">
        <f t="shared" si="225"/>
        <v>0</v>
      </c>
      <c r="S331" s="76">
        <f t="shared" si="226"/>
        <v>0</v>
      </c>
      <c r="T331" s="76">
        <f t="shared" si="227"/>
        <v>0</v>
      </c>
      <c r="U331" s="76">
        <f t="shared" si="228"/>
        <v>0</v>
      </c>
      <c r="V331" s="109">
        <f t="shared" si="229"/>
        <v>0</v>
      </c>
      <c r="W331" s="62"/>
      <c r="X331" s="78">
        <f t="shared" si="210"/>
        <v>3.125E-2</v>
      </c>
      <c r="Y331" s="73">
        <f t="shared" si="230"/>
        <v>0</v>
      </c>
      <c r="Z331" s="74">
        <f t="shared" si="231"/>
        <v>0</v>
      </c>
      <c r="AA331" s="75">
        <f t="shared" si="232"/>
        <v>0</v>
      </c>
      <c r="AB331" s="63" t="str">
        <f t="shared" si="233"/>
        <v/>
      </c>
      <c r="AC331" s="148">
        <f t="shared" si="211"/>
        <v>0</v>
      </c>
      <c r="AD331" s="107" t="str">
        <f t="shared" si="212"/>
        <v/>
      </c>
      <c r="AE331" s="180">
        <f t="shared" si="234"/>
        <v>0</v>
      </c>
      <c r="AF331" s="73"/>
      <c r="AG331" s="525"/>
      <c r="AH331" s="73"/>
      <c r="AI331" s="73" t="str">
        <f t="shared" si="205"/>
        <v/>
      </c>
      <c r="AJ331" s="64">
        <f t="shared" si="213"/>
        <v>0</v>
      </c>
      <c r="AK331" s="64">
        <f t="shared" si="214"/>
        <v>0</v>
      </c>
      <c r="AL331" s="64" t="str">
        <f t="shared" si="215"/>
        <v/>
      </c>
      <c r="AM331">
        <f t="shared" si="216"/>
        <v>7</v>
      </c>
      <c r="AN331" s="85">
        <f>SUM($AD$6:AD331)</f>
        <v>0</v>
      </c>
      <c r="AO331" s="85">
        <f t="shared" ca="1" si="235"/>
        <v>0</v>
      </c>
      <c r="AP331" s="89">
        <f t="shared" si="236"/>
        <v>0</v>
      </c>
      <c r="AQ331" s="89">
        <f t="shared" si="237"/>
        <v>0</v>
      </c>
      <c r="AR331" s="89">
        <f t="shared" si="238"/>
        <v>0</v>
      </c>
      <c r="AS331" s="88">
        <f t="shared" si="239"/>
        <v>30</v>
      </c>
      <c r="AT331" s="88">
        <f t="shared" ca="1" si="240"/>
        <v>30</v>
      </c>
      <c r="AU331" s="98">
        <f t="shared" si="241"/>
        <v>0</v>
      </c>
      <c r="AV331" s="88">
        <f t="shared" si="242"/>
        <v>7</v>
      </c>
      <c r="AW331" t="b">
        <f>OR((F331&gt;0),(NOT(ISBLANK(H331))),SUM(H331:H$373),SUM(G331:G$373))</f>
        <v>0</v>
      </c>
      <c r="AX331" t="b">
        <f t="shared" ca="1" si="217"/>
        <v>1</v>
      </c>
      <c r="AY331" s="519">
        <f t="shared" si="243"/>
        <v>0</v>
      </c>
      <c r="AZ331" s="180">
        <f>SUM(AY$5:AY331)</f>
        <v>-65.333333333333144</v>
      </c>
      <c r="BA331" s="567"/>
      <c r="BB331" s="567">
        <f t="shared" si="218"/>
        <v>0</v>
      </c>
      <c r="BC331" s="567"/>
    </row>
    <row r="332" spans="1:55" ht="15.75">
      <c r="A332" s="260">
        <f t="shared" si="244"/>
        <v>45160</v>
      </c>
      <c r="B332" s="261">
        <f t="shared" si="219"/>
        <v>45160</v>
      </c>
      <c r="C332" s="262">
        <f>IF(A332="","",NumberOfWeek(A332))</f>
        <v>34</v>
      </c>
      <c r="D332" s="263">
        <f t="shared" si="220"/>
        <v>45138</v>
      </c>
      <c r="E332" s="273" t="str">
        <f t="shared" si="221"/>
        <v/>
      </c>
      <c r="F332" s="5"/>
      <c r="G332" s="6" t="str">
        <f t="shared" si="206"/>
        <v/>
      </c>
      <c r="H332" s="7"/>
      <c r="I332" s="7">
        <f t="shared" si="222"/>
        <v>0</v>
      </c>
      <c r="J332" s="76">
        <f t="shared" si="223"/>
        <v>0</v>
      </c>
      <c r="K332" s="7"/>
      <c r="L332" s="7">
        <f t="shared" si="224"/>
        <v>0</v>
      </c>
      <c r="M332" s="76">
        <f t="shared" si="207"/>
        <v>0</v>
      </c>
      <c r="N332" s="76"/>
      <c r="O332" s="76">
        <f t="shared" si="208"/>
        <v>0</v>
      </c>
      <c r="P332" s="76"/>
      <c r="Q332" s="76">
        <f t="shared" si="209"/>
        <v>0</v>
      </c>
      <c r="R332" s="76">
        <f t="shared" si="225"/>
        <v>0</v>
      </c>
      <c r="S332" s="76">
        <f t="shared" si="226"/>
        <v>0</v>
      </c>
      <c r="T332" s="76">
        <f t="shared" si="227"/>
        <v>0</v>
      </c>
      <c r="U332" s="76">
        <f t="shared" si="228"/>
        <v>0</v>
      </c>
      <c r="V332" s="109">
        <f t="shared" si="229"/>
        <v>0</v>
      </c>
      <c r="W332" s="62"/>
      <c r="X332" s="78">
        <f t="shared" si="210"/>
        <v>3.125E-2</v>
      </c>
      <c r="Y332" s="73">
        <f t="shared" si="230"/>
        <v>0</v>
      </c>
      <c r="Z332" s="74">
        <f t="shared" si="231"/>
        <v>0.29166666666666669</v>
      </c>
      <c r="AA332" s="75">
        <f t="shared" si="232"/>
        <v>0</v>
      </c>
      <c r="AB332" s="63" t="str">
        <f t="shared" si="233"/>
        <v/>
      </c>
      <c r="AC332" s="148">
        <f t="shared" si="211"/>
        <v>0</v>
      </c>
      <c r="AD332" s="107" t="str">
        <f t="shared" si="212"/>
        <v/>
      </c>
      <c r="AE332" s="180">
        <f t="shared" si="234"/>
        <v>0</v>
      </c>
      <c r="AF332" s="73"/>
      <c r="AG332" s="525"/>
      <c r="AH332" s="73"/>
      <c r="AI332" s="73" t="str">
        <f t="shared" si="205"/>
        <v/>
      </c>
      <c r="AJ332" s="64">
        <f t="shared" si="213"/>
        <v>0</v>
      </c>
      <c r="AK332" s="64">
        <f t="shared" si="214"/>
        <v>0</v>
      </c>
      <c r="AL332" s="64" t="str">
        <f t="shared" si="215"/>
        <v/>
      </c>
      <c r="AM332">
        <f t="shared" si="216"/>
        <v>1</v>
      </c>
      <c r="AN332" s="85">
        <f>SUM($AD$6:AD332)</f>
        <v>0</v>
      </c>
      <c r="AO332" s="85">
        <f t="shared" ca="1" si="235"/>
        <v>0</v>
      </c>
      <c r="AP332" s="89">
        <f t="shared" si="236"/>
        <v>0</v>
      </c>
      <c r="AQ332" s="89">
        <f t="shared" si="237"/>
        <v>0</v>
      </c>
      <c r="AR332" s="89">
        <f t="shared" si="238"/>
        <v>0</v>
      </c>
      <c r="AS332" s="88">
        <f t="shared" si="239"/>
        <v>30</v>
      </c>
      <c r="AT332" s="88">
        <f t="shared" ca="1" si="240"/>
        <v>30</v>
      </c>
      <c r="AU332" s="98">
        <f t="shared" si="241"/>
        <v>0</v>
      </c>
      <c r="AV332" s="88">
        <f t="shared" si="242"/>
        <v>0</v>
      </c>
      <c r="AW332" t="b">
        <f>OR((F332&gt;0),(NOT(ISBLANK(H332))),SUM(H332:H$373),SUM(G332:G$373))</f>
        <v>0</v>
      </c>
      <c r="AX332" t="b">
        <f t="shared" ca="1" si="217"/>
        <v>0</v>
      </c>
      <c r="AY332" s="519">
        <f t="shared" si="243"/>
        <v>-0.29166666666666669</v>
      </c>
      <c r="AZ332" s="180">
        <f>SUM(AY$5:AY332)</f>
        <v>-65.624999999999815</v>
      </c>
      <c r="BA332" s="567"/>
      <c r="BB332" s="567">
        <f t="shared" si="218"/>
        <v>0</v>
      </c>
      <c r="BC332" s="567"/>
    </row>
    <row r="333" spans="1:55" ht="15.75">
      <c r="A333" s="260">
        <f t="shared" si="244"/>
        <v>45161</v>
      </c>
      <c r="B333" s="261">
        <f t="shared" si="219"/>
        <v>45161</v>
      </c>
      <c r="C333" s="262">
        <f>IF(A333="","",NumberOfWeek(A333))</f>
        <v>34</v>
      </c>
      <c r="D333" s="263">
        <f t="shared" si="220"/>
        <v>45138</v>
      </c>
      <c r="E333" s="273" t="str">
        <f t="shared" si="221"/>
        <v/>
      </c>
      <c r="F333" s="5"/>
      <c r="G333" s="6" t="str">
        <f t="shared" si="206"/>
        <v/>
      </c>
      <c r="H333" s="7"/>
      <c r="I333" s="7">
        <f t="shared" si="222"/>
        <v>0</v>
      </c>
      <c r="J333" s="76">
        <f t="shared" si="223"/>
        <v>0</v>
      </c>
      <c r="K333" s="7"/>
      <c r="L333" s="7">
        <f t="shared" si="224"/>
        <v>0</v>
      </c>
      <c r="M333" s="76">
        <f t="shared" si="207"/>
        <v>0</v>
      </c>
      <c r="N333" s="76"/>
      <c r="O333" s="76">
        <f t="shared" si="208"/>
        <v>0</v>
      </c>
      <c r="P333" s="76"/>
      <c r="Q333" s="76">
        <f t="shared" si="209"/>
        <v>0</v>
      </c>
      <c r="R333" s="76">
        <f t="shared" si="225"/>
        <v>0</v>
      </c>
      <c r="S333" s="76">
        <f t="shared" si="226"/>
        <v>0</v>
      </c>
      <c r="T333" s="76">
        <f t="shared" si="227"/>
        <v>0</v>
      </c>
      <c r="U333" s="76">
        <f t="shared" si="228"/>
        <v>0</v>
      </c>
      <c r="V333" s="109">
        <f t="shared" si="229"/>
        <v>0</v>
      </c>
      <c r="W333" s="62"/>
      <c r="X333" s="78">
        <f t="shared" si="210"/>
        <v>3.125E-2</v>
      </c>
      <c r="Y333" s="73">
        <f t="shared" si="230"/>
        <v>0</v>
      </c>
      <c r="Z333" s="74">
        <f t="shared" si="231"/>
        <v>0.29166666666666669</v>
      </c>
      <c r="AA333" s="75">
        <f t="shared" si="232"/>
        <v>0</v>
      </c>
      <c r="AB333" s="63" t="str">
        <f t="shared" si="233"/>
        <v/>
      </c>
      <c r="AC333" s="148">
        <f t="shared" si="211"/>
        <v>0</v>
      </c>
      <c r="AD333" s="107" t="str">
        <f t="shared" si="212"/>
        <v/>
      </c>
      <c r="AE333" s="180">
        <f t="shared" si="234"/>
        <v>0</v>
      </c>
      <c r="AF333" s="73"/>
      <c r="AG333" s="525"/>
      <c r="AH333" s="73"/>
      <c r="AI333" s="73" t="str">
        <f t="shared" si="205"/>
        <v/>
      </c>
      <c r="AJ333" s="64">
        <f t="shared" si="213"/>
        <v>0</v>
      </c>
      <c r="AK333" s="64">
        <f t="shared" si="214"/>
        <v>0</v>
      </c>
      <c r="AL333" s="64" t="str">
        <f t="shared" si="215"/>
        <v/>
      </c>
      <c r="AM333">
        <f t="shared" si="216"/>
        <v>2</v>
      </c>
      <c r="AN333" s="85">
        <f>SUM($AD$6:AD333)</f>
        <v>0</v>
      </c>
      <c r="AO333" s="85">
        <f t="shared" ca="1" si="235"/>
        <v>0</v>
      </c>
      <c r="AP333" s="89">
        <f t="shared" si="236"/>
        <v>0</v>
      </c>
      <c r="AQ333" s="89">
        <f t="shared" si="237"/>
        <v>0</v>
      </c>
      <c r="AR333" s="89">
        <f t="shared" si="238"/>
        <v>0</v>
      </c>
      <c r="AS333" s="88">
        <f t="shared" si="239"/>
        <v>30</v>
      </c>
      <c r="AT333" s="88">
        <f t="shared" ca="1" si="240"/>
        <v>30</v>
      </c>
      <c r="AU333" s="98">
        <f t="shared" si="241"/>
        <v>0</v>
      </c>
      <c r="AV333" s="88">
        <f t="shared" si="242"/>
        <v>0</v>
      </c>
      <c r="AW333" t="b">
        <f>OR((F333&gt;0),(NOT(ISBLANK(H333))),SUM(H333:H$373),SUM(G333:G$373))</f>
        <v>0</v>
      </c>
      <c r="AX333" t="b">
        <f t="shared" ca="1" si="217"/>
        <v>0</v>
      </c>
      <c r="AY333" s="519">
        <f t="shared" si="243"/>
        <v>-0.29166666666666669</v>
      </c>
      <c r="AZ333" s="180">
        <f>SUM(AY$5:AY333)</f>
        <v>-65.916666666666487</v>
      </c>
      <c r="BA333" s="567"/>
      <c r="BB333" s="567">
        <f t="shared" si="218"/>
        <v>0</v>
      </c>
      <c r="BC333" s="567"/>
    </row>
    <row r="334" spans="1:55" ht="15.75">
      <c r="A334" s="260">
        <f t="shared" si="244"/>
        <v>45162</v>
      </c>
      <c r="B334" s="261">
        <f t="shared" si="219"/>
        <v>45162</v>
      </c>
      <c r="C334" s="262">
        <f>IF(A334="","",NumberOfWeek(A334))</f>
        <v>34</v>
      </c>
      <c r="D334" s="263">
        <f t="shared" si="220"/>
        <v>45138</v>
      </c>
      <c r="E334" s="273" t="str">
        <f t="shared" si="221"/>
        <v/>
      </c>
      <c r="F334" s="5"/>
      <c r="G334" s="6" t="str">
        <f t="shared" si="206"/>
        <v/>
      </c>
      <c r="H334" s="7"/>
      <c r="I334" s="7">
        <f t="shared" si="222"/>
        <v>0</v>
      </c>
      <c r="J334" s="76">
        <f t="shared" si="223"/>
        <v>0</v>
      </c>
      <c r="K334" s="7"/>
      <c r="L334" s="7">
        <f t="shared" si="224"/>
        <v>0</v>
      </c>
      <c r="M334" s="76">
        <f t="shared" si="207"/>
        <v>0</v>
      </c>
      <c r="N334" s="76"/>
      <c r="O334" s="76">
        <f t="shared" si="208"/>
        <v>0</v>
      </c>
      <c r="P334" s="76"/>
      <c r="Q334" s="76">
        <f t="shared" si="209"/>
        <v>0</v>
      </c>
      <c r="R334" s="76">
        <f t="shared" si="225"/>
        <v>0</v>
      </c>
      <c r="S334" s="76">
        <f t="shared" si="226"/>
        <v>0</v>
      </c>
      <c r="T334" s="76">
        <f t="shared" si="227"/>
        <v>0</v>
      </c>
      <c r="U334" s="76">
        <f t="shared" si="228"/>
        <v>0</v>
      </c>
      <c r="V334" s="109">
        <f t="shared" si="229"/>
        <v>0</v>
      </c>
      <c r="W334" s="62"/>
      <c r="X334" s="78">
        <f t="shared" si="210"/>
        <v>3.125E-2</v>
      </c>
      <c r="Y334" s="73">
        <f t="shared" si="230"/>
        <v>0</v>
      </c>
      <c r="Z334" s="74">
        <f t="shared" si="231"/>
        <v>0.29166666666666669</v>
      </c>
      <c r="AA334" s="75">
        <f t="shared" si="232"/>
        <v>0</v>
      </c>
      <c r="AB334" s="63" t="str">
        <f t="shared" si="233"/>
        <v/>
      </c>
      <c r="AC334" s="148">
        <f t="shared" si="211"/>
        <v>0</v>
      </c>
      <c r="AD334" s="107" t="str">
        <f t="shared" si="212"/>
        <v/>
      </c>
      <c r="AE334" s="180">
        <f t="shared" si="234"/>
        <v>0</v>
      </c>
      <c r="AF334" s="73"/>
      <c r="AG334" s="525"/>
      <c r="AH334" s="73"/>
      <c r="AI334" s="73" t="str">
        <f t="shared" ref="AI334:AI373" si="245">IF(AND(AF334&lt;&gt;"",AF334&lt;=V334),V334-AF334,"")</f>
        <v/>
      </c>
      <c r="AJ334" s="64">
        <f t="shared" si="213"/>
        <v>0</v>
      </c>
      <c r="AK334" s="64">
        <f t="shared" si="214"/>
        <v>0</v>
      </c>
      <c r="AL334" s="64" t="str">
        <f t="shared" si="215"/>
        <v/>
      </c>
      <c r="AM334">
        <f t="shared" si="216"/>
        <v>3</v>
      </c>
      <c r="AN334" s="85">
        <f>SUM($AD$6:AD334)</f>
        <v>0</v>
      </c>
      <c r="AO334" s="85">
        <f t="shared" ca="1" si="235"/>
        <v>0</v>
      </c>
      <c r="AP334" s="89">
        <f t="shared" si="236"/>
        <v>0</v>
      </c>
      <c r="AQ334" s="89">
        <f t="shared" si="237"/>
        <v>0</v>
      </c>
      <c r="AR334" s="89">
        <f t="shared" si="238"/>
        <v>0</v>
      </c>
      <c r="AS334" s="88">
        <f t="shared" si="239"/>
        <v>30</v>
      </c>
      <c r="AT334" s="88">
        <f t="shared" ca="1" si="240"/>
        <v>30</v>
      </c>
      <c r="AU334" s="98">
        <f t="shared" si="241"/>
        <v>0</v>
      </c>
      <c r="AV334" s="88">
        <f t="shared" si="242"/>
        <v>0</v>
      </c>
      <c r="AW334" t="b">
        <f>OR((F334&gt;0),(NOT(ISBLANK(H334))),SUM(H334:H$373),SUM(G334:G$373))</f>
        <v>0</v>
      </c>
      <c r="AX334" t="b">
        <f t="shared" ca="1" si="217"/>
        <v>0</v>
      </c>
      <c r="AY334" s="519">
        <f t="shared" si="243"/>
        <v>-0.29166666666666669</v>
      </c>
      <c r="AZ334" s="180">
        <f>SUM(AY$5:AY334)</f>
        <v>-66.208333333333158</v>
      </c>
      <c r="BA334" s="567"/>
      <c r="BB334" s="567">
        <f t="shared" si="218"/>
        <v>0</v>
      </c>
      <c r="BC334" s="567"/>
    </row>
    <row r="335" spans="1:55" ht="15.75">
      <c r="A335" s="260">
        <f t="shared" si="244"/>
        <v>45163</v>
      </c>
      <c r="B335" s="261">
        <f t="shared" si="219"/>
        <v>45163</v>
      </c>
      <c r="C335" s="262">
        <f>IF(A335="","",NumberOfWeek(A335))</f>
        <v>34</v>
      </c>
      <c r="D335" s="263">
        <f t="shared" si="220"/>
        <v>45138</v>
      </c>
      <c r="E335" s="273" t="str">
        <f t="shared" si="221"/>
        <v/>
      </c>
      <c r="F335" s="5"/>
      <c r="G335" s="6" t="str">
        <f t="shared" si="206"/>
        <v/>
      </c>
      <c r="H335" s="7"/>
      <c r="I335" s="7">
        <f t="shared" si="222"/>
        <v>0</v>
      </c>
      <c r="J335" s="76">
        <f t="shared" si="223"/>
        <v>0</v>
      </c>
      <c r="K335" s="7"/>
      <c r="L335" s="7">
        <f t="shared" si="224"/>
        <v>0</v>
      </c>
      <c r="M335" s="76">
        <f t="shared" si="207"/>
        <v>0</v>
      </c>
      <c r="N335" s="76"/>
      <c r="O335" s="76">
        <f t="shared" si="208"/>
        <v>0</v>
      </c>
      <c r="P335" s="76"/>
      <c r="Q335" s="76">
        <f t="shared" si="209"/>
        <v>0</v>
      </c>
      <c r="R335" s="76">
        <f t="shared" si="225"/>
        <v>0</v>
      </c>
      <c r="S335" s="76">
        <f t="shared" si="226"/>
        <v>0</v>
      </c>
      <c r="T335" s="76">
        <f t="shared" si="227"/>
        <v>0</v>
      </c>
      <c r="U335" s="76">
        <f t="shared" si="228"/>
        <v>0</v>
      </c>
      <c r="V335" s="109">
        <f t="shared" si="229"/>
        <v>0</v>
      </c>
      <c r="W335" s="62"/>
      <c r="X335" s="78">
        <f t="shared" si="210"/>
        <v>3.125E-2</v>
      </c>
      <c r="Y335" s="73">
        <f t="shared" si="230"/>
        <v>0</v>
      </c>
      <c r="Z335" s="74">
        <f t="shared" si="231"/>
        <v>0.29166666666666669</v>
      </c>
      <c r="AA335" s="75">
        <f t="shared" si="232"/>
        <v>0</v>
      </c>
      <c r="AB335" s="63" t="str">
        <f t="shared" si="233"/>
        <v/>
      </c>
      <c r="AC335" s="148">
        <f t="shared" si="211"/>
        <v>0</v>
      </c>
      <c r="AD335" s="107" t="str">
        <f t="shared" si="212"/>
        <v/>
      </c>
      <c r="AE335" s="180">
        <f t="shared" si="234"/>
        <v>0</v>
      </c>
      <c r="AF335" s="73"/>
      <c r="AG335" s="525"/>
      <c r="AH335" s="73"/>
      <c r="AI335" s="73" t="str">
        <f t="shared" si="245"/>
        <v/>
      </c>
      <c r="AJ335" s="64">
        <f t="shared" si="213"/>
        <v>0</v>
      </c>
      <c r="AK335" s="64">
        <f t="shared" si="214"/>
        <v>0</v>
      </c>
      <c r="AL335" s="64" t="str">
        <f t="shared" si="215"/>
        <v/>
      </c>
      <c r="AM335">
        <f t="shared" si="216"/>
        <v>4</v>
      </c>
      <c r="AN335" s="85">
        <f>SUM($AD$6:AD335)</f>
        <v>0</v>
      </c>
      <c r="AO335" s="85">
        <f t="shared" ca="1" si="235"/>
        <v>0</v>
      </c>
      <c r="AP335" s="89">
        <f t="shared" si="236"/>
        <v>0</v>
      </c>
      <c r="AQ335" s="89">
        <f t="shared" si="237"/>
        <v>0</v>
      </c>
      <c r="AR335" s="89">
        <f t="shared" si="238"/>
        <v>0</v>
      </c>
      <c r="AS335" s="88">
        <f t="shared" si="239"/>
        <v>30</v>
      </c>
      <c r="AT335" s="88">
        <f t="shared" ca="1" si="240"/>
        <v>30</v>
      </c>
      <c r="AU335" s="98">
        <f t="shared" si="241"/>
        <v>0</v>
      </c>
      <c r="AV335" s="88">
        <f t="shared" si="242"/>
        <v>0</v>
      </c>
      <c r="AW335" t="b">
        <f>OR((F335&gt;0),(NOT(ISBLANK(H335))),SUM(H335:H$373),SUM(G335:G$373))</f>
        <v>0</v>
      </c>
      <c r="AX335" t="b">
        <f t="shared" ca="1" si="217"/>
        <v>0</v>
      </c>
      <c r="AY335" s="519">
        <f t="shared" si="243"/>
        <v>-0.29166666666666669</v>
      </c>
      <c r="AZ335" s="180">
        <f>SUM(AY$5:AY335)</f>
        <v>-66.499999999999829</v>
      </c>
      <c r="BA335" s="567"/>
      <c r="BB335" s="567">
        <f t="shared" si="218"/>
        <v>0</v>
      </c>
      <c r="BC335" s="567"/>
    </row>
    <row r="336" spans="1:55" ht="15.75">
      <c r="A336" s="260">
        <f t="shared" si="244"/>
        <v>45164</v>
      </c>
      <c r="B336" s="261">
        <f t="shared" si="219"/>
        <v>45164</v>
      </c>
      <c r="C336" s="262">
        <f>IF(A336="","",NumberOfWeek(A336))</f>
        <v>34</v>
      </c>
      <c r="D336" s="263">
        <f t="shared" si="220"/>
        <v>45138</v>
      </c>
      <c r="E336" s="273" t="str">
        <f t="shared" si="221"/>
        <v/>
      </c>
      <c r="F336" s="5"/>
      <c r="G336" s="6" t="str">
        <f t="shared" si="206"/>
        <v/>
      </c>
      <c r="H336" s="7"/>
      <c r="I336" s="7">
        <f t="shared" si="222"/>
        <v>0</v>
      </c>
      <c r="J336" s="76">
        <f t="shared" si="223"/>
        <v>0</v>
      </c>
      <c r="K336" s="7"/>
      <c r="L336" s="7">
        <f t="shared" si="224"/>
        <v>0</v>
      </c>
      <c r="M336" s="76">
        <f t="shared" si="207"/>
        <v>0</v>
      </c>
      <c r="N336" s="76"/>
      <c r="O336" s="76">
        <f t="shared" si="208"/>
        <v>0</v>
      </c>
      <c r="P336" s="76"/>
      <c r="Q336" s="76">
        <f t="shared" si="209"/>
        <v>0</v>
      </c>
      <c r="R336" s="76">
        <f t="shared" si="225"/>
        <v>0</v>
      </c>
      <c r="S336" s="76">
        <f t="shared" si="226"/>
        <v>0</v>
      </c>
      <c r="T336" s="76">
        <f t="shared" si="227"/>
        <v>0</v>
      </c>
      <c r="U336" s="76">
        <f t="shared" si="228"/>
        <v>0</v>
      </c>
      <c r="V336" s="109">
        <f t="shared" si="229"/>
        <v>0</v>
      </c>
      <c r="W336" s="62"/>
      <c r="X336" s="78">
        <f t="shared" si="210"/>
        <v>3.125E-2</v>
      </c>
      <c r="Y336" s="73">
        <f t="shared" si="230"/>
        <v>0</v>
      </c>
      <c r="Z336" s="74">
        <f t="shared" si="231"/>
        <v>0.29166666666666669</v>
      </c>
      <c r="AA336" s="75">
        <f t="shared" si="232"/>
        <v>0</v>
      </c>
      <c r="AB336" s="63" t="str">
        <f t="shared" si="233"/>
        <v/>
      </c>
      <c r="AC336" s="148">
        <f t="shared" si="211"/>
        <v>0</v>
      </c>
      <c r="AD336" s="107" t="str">
        <f t="shared" si="212"/>
        <v/>
      </c>
      <c r="AE336" s="180">
        <f t="shared" si="234"/>
        <v>0</v>
      </c>
      <c r="AF336" s="73"/>
      <c r="AG336" s="525"/>
      <c r="AH336" s="73"/>
      <c r="AI336" s="73" t="str">
        <f t="shared" si="245"/>
        <v/>
      </c>
      <c r="AJ336" s="64">
        <f t="shared" si="213"/>
        <v>0</v>
      </c>
      <c r="AK336" s="64">
        <f t="shared" si="214"/>
        <v>0</v>
      </c>
      <c r="AL336" s="64" t="str">
        <f t="shared" si="215"/>
        <v/>
      </c>
      <c r="AM336">
        <f t="shared" si="216"/>
        <v>5</v>
      </c>
      <c r="AN336" s="85">
        <f>SUM($AD$6:AD336)</f>
        <v>0</v>
      </c>
      <c r="AO336" s="85">
        <f t="shared" ca="1" si="235"/>
        <v>0</v>
      </c>
      <c r="AP336" s="89">
        <f t="shared" si="236"/>
        <v>0</v>
      </c>
      <c r="AQ336" s="89">
        <f t="shared" si="237"/>
        <v>0</v>
      </c>
      <c r="AR336" s="89">
        <f t="shared" si="238"/>
        <v>0</v>
      </c>
      <c r="AS336" s="88">
        <f t="shared" si="239"/>
        <v>30</v>
      </c>
      <c r="AT336" s="88">
        <f t="shared" ca="1" si="240"/>
        <v>30</v>
      </c>
      <c r="AU336" s="98">
        <f t="shared" si="241"/>
        <v>0</v>
      </c>
      <c r="AV336" s="88">
        <f t="shared" si="242"/>
        <v>0</v>
      </c>
      <c r="AW336" t="b">
        <f>OR((F336&gt;0),(NOT(ISBLANK(H336))),SUM(H336:H$373),SUM(G336:G$373))</f>
        <v>0</v>
      </c>
      <c r="AX336" t="b">
        <f t="shared" ca="1" si="217"/>
        <v>0</v>
      </c>
      <c r="AY336" s="519">
        <f t="shared" si="243"/>
        <v>-0.29166666666666669</v>
      </c>
      <c r="AZ336" s="180">
        <f>SUM(AY$5:AY336)</f>
        <v>-66.791666666666501</v>
      </c>
      <c r="BA336" s="567"/>
      <c r="BB336" s="567">
        <f t="shared" si="218"/>
        <v>0</v>
      </c>
      <c r="BC336" s="567"/>
    </row>
    <row r="337" spans="1:55" ht="15.75">
      <c r="A337" s="260">
        <f t="shared" si="244"/>
        <v>45165</v>
      </c>
      <c r="B337" s="261">
        <f t="shared" si="219"/>
        <v>45165</v>
      </c>
      <c r="C337" s="262">
        <f>IF(A337="","",NumberOfWeek(A337))</f>
        <v>34</v>
      </c>
      <c r="D337" s="263">
        <f t="shared" si="220"/>
        <v>45138</v>
      </c>
      <c r="E337" s="273" t="str">
        <f t="shared" si="221"/>
        <v/>
      </c>
      <c r="F337" s="5"/>
      <c r="G337" s="6" t="str">
        <f t="shared" si="206"/>
        <v/>
      </c>
      <c r="H337" s="7"/>
      <c r="I337" s="7">
        <f t="shared" si="222"/>
        <v>0</v>
      </c>
      <c r="J337" s="76">
        <f t="shared" si="223"/>
        <v>0</v>
      </c>
      <c r="K337" s="7"/>
      <c r="L337" s="7">
        <f t="shared" si="224"/>
        <v>0</v>
      </c>
      <c r="M337" s="76">
        <f t="shared" si="207"/>
        <v>0</v>
      </c>
      <c r="N337" s="76"/>
      <c r="O337" s="76">
        <f t="shared" si="208"/>
        <v>0</v>
      </c>
      <c r="P337" s="76"/>
      <c r="Q337" s="76">
        <f t="shared" si="209"/>
        <v>0</v>
      </c>
      <c r="R337" s="76">
        <f t="shared" si="225"/>
        <v>0</v>
      </c>
      <c r="S337" s="76">
        <f t="shared" si="226"/>
        <v>0</v>
      </c>
      <c r="T337" s="76">
        <f t="shared" si="227"/>
        <v>0</v>
      </c>
      <c r="U337" s="76">
        <f t="shared" si="228"/>
        <v>0</v>
      </c>
      <c r="V337" s="109">
        <f t="shared" si="229"/>
        <v>0</v>
      </c>
      <c r="W337" s="62"/>
      <c r="X337" s="78">
        <f t="shared" si="210"/>
        <v>3.125E-2</v>
      </c>
      <c r="Y337" s="73">
        <f t="shared" si="230"/>
        <v>0</v>
      </c>
      <c r="Z337" s="74">
        <f t="shared" si="231"/>
        <v>0</v>
      </c>
      <c r="AA337" s="75">
        <f t="shared" si="232"/>
        <v>0</v>
      </c>
      <c r="AB337" s="63" t="str">
        <f t="shared" si="233"/>
        <v/>
      </c>
      <c r="AC337" s="148">
        <f t="shared" si="211"/>
        <v>0</v>
      </c>
      <c r="AD337" s="107" t="str">
        <f t="shared" si="212"/>
        <v/>
      </c>
      <c r="AE337" s="180">
        <f t="shared" si="234"/>
        <v>0</v>
      </c>
      <c r="AF337" s="73"/>
      <c r="AG337" s="525"/>
      <c r="AH337" s="73"/>
      <c r="AI337" s="73" t="str">
        <f t="shared" si="245"/>
        <v/>
      </c>
      <c r="AJ337" s="64">
        <f t="shared" si="213"/>
        <v>0</v>
      </c>
      <c r="AK337" s="64">
        <f t="shared" si="214"/>
        <v>0</v>
      </c>
      <c r="AL337" s="64" t="str">
        <f t="shared" si="215"/>
        <v/>
      </c>
      <c r="AM337">
        <f t="shared" si="216"/>
        <v>6</v>
      </c>
      <c r="AN337" s="85">
        <f>SUM($AD$6:AD337)</f>
        <v>0</v>
      </c>
      <c r="AO337" s="85">
        <f t="shared" ca="1" si="235"/>
        <v>0</v>
      </c>
      <c r="AP337" s="89">
        <f t="shared" si="236"/>
        <v>0</v>
      </c>
      <c r="AQ337" s="89">
        <f t="shared" si="237"/>
        <v>0</v>
      </c>
      <c r="AR337" s="89">
        <f t="shared" si="238"/>
        <v>0</v>
      </c>
      <c r="AS337" s="88">
        <f t="shared" si="239"/>
        <v>30</v>
      </c>
      <c r="AT337" s="88">
        <f t="shared" ca="1" si="240"/>
        <v>30</v>
      </c>
      <c r="AU337" s="98">
        <f t="shared" si="241"/>
        <v>0</v>
      </c>
      <c r="AV337" s="88">
        <f t="shared" si="242"/>
        <v>7</v>
      </c>
      <c r="AW337" t="b">
        <f>OR((F337&gt;0),(NOT(ISBLANK(H337))),SUM(H337:H$373),SUM(G337:G$373))</f>
        <v>0</v>
      </c>
      <c r="AX337" t="b">
        <f t="shared" ca="1" si="217"/>
        <v>1</v>
      </c>
      <c r="AY337" s="519">
        <f t="shared" si="243"/>
        <v>0</v>
      </c>
      <c r="AZ337" s="180">
        <f>SUM(AY$5:AY337)</f>
        <v>-66.791666666666501</v>
      </c>
      <c r="BA337" s="567"/>
      <c r="BB337" s="567">
        <f t="shared" si="218"/>
        <v>0</v>
      </c>
      <c r="BC337" s="567"/>
    </row>
    <row r="338" spans="1:55" ht="15.75">
      <c r="A338" s="260">
        <f t="shared" si="244"/>
        <v>45166</v>
      </c>
      <c r="B338" s="261">
        <f t="shared" si="219"/>
        <v>45166</v>
      </c>
      <c r="C338" s="262">
        <f>IF(A338="","",NumberOfWeek(A338))</f>
        <v>34</v>
      </c>
      <c r="D338" s="263">
        <f t="shared" si="220"/>
        <v>45138</v>
      </c>
      <c r="E338" s="273" t="str">
        <f t="shared" si="221"/>
        <v/>
      </c>
      <c r="F338" s="5"/>
      <c r="G338" s="6" t="str">
        <f t="shared" si="206"/>
        <v/>
      </c>
      <c r="H338" s="7"/>
      <c r="I338" s="7">
        <f t="shared" si="222"/>
        <v>0</v>
      </c>
      <c r="J338" s="76">
        <f t="shared" si="223"/>
        <v>0</v>
      </c>
      <c r="K338" s="7"/>
      <c r="L338" s="7">
        <f t="shared" si="224"/>
        <v>0</v>
      </c>
      <c r="M338" s="76">
        <f t="shared" si="207"/>
        <v>0</v>
      </c>
      <c r="N338" s="76"/>
      <c r="O338" s="76">
        <f t="shared" si="208"/>
        <v>0</v>
      </c>
      <c r="P338" s="76"/>
      <c r="Q338" s="76">
        <f t="shared" si="209"/>
        <v>0</v>
      </c>
      <c r="R338" s="76">
        <f t="shared" si="225"/>
        <v>0</v>
      </c>
      <c r="S338" s="76">
        <f t="shared" si="226"/>
        <v>0</v>
      </c>
      <c r="T338" s="76">
        <f t="shared" si="227"/>
        <v>0</v>
      </c>
      <c r="U338" s="76">
        <f t="shared" si="228"/>
        <v>0</v>
      </c>
      <c r="V338" s="109">
        <f t="shared" si="229"/>
        <v>0</v>
      </c>
      <c r="W338" s="62"/>
      <c r="X338" s="78">
        <f t="shared" si="210"/>
        <v>3.125E-2</v>
      </c>
      <c r="Y338" s="73">
        <f t="shared" si="230"/>
        <v>0</v>
      </c>
      <c r="Z338" s="74">
        <f t="shared" si="231"/>
        <v>0</v>
      </c>
      <c r="AA338" s="75">
        <f t="shared" si="232"/>
        <v>0</v>
      </c>
      <c r="AB338" s="63" t="str">
        <f t="shared" si="233"/>
        <v/>
      </c>
      <c r="AC338" s="148">
        <f t="shared" si="211"/>
        <v>0</v>
      </c>
      <c r="AD338" s="107" t="str">
        <f t="shared" si="212"/>
        <v/>
      </c>
      <c r="AE338" s="180">
        <f t="shared" si="234"/>
        <v>0</v>
      </c>
      <c r="AF338" s="73"/>
      <c r="AG338" s="525"/>
      <c r="AH338" s="73"/>
      <c r="AI338" s="73" t="str">
        <f t="shared" si="245"/>
        <v/>
      </c>
      <c r="AJ338" s="64">
        <f t="shared" si="213"/>
        <v>0</v>
      </c>
      <c r="AK338" s="64">
        <f t="shared" si="214"/>
        <v>0</v>
      </c>
      <c r="AL338" s="64" t="str">
        <f t="shared" si="215"/>
        <v/>
      </c>
      <c r="AM338">
        <f t="shared" si="216"/>
        <v>7</v>
      </c>
      <c r="AN338" s="85">
        <f>SUM($AD$6:AD338)</f>
        <v>0</v>
      </c>
      <c r="AO338" s="85">
        <f t="shared" ca="1" si="235"/>
        <v>0</v>
      </c>
      <c r="AP338" s="89">
        <f t="shared" si="236"/>
        <v>0</v>
      </c>
      <c r="AQ338" s="89">
        <f t="shared" si="237"/>
        <v>0</v>
      </c>
      <c r="AR338" s="89">
        <f t="shared" si="238"/>
        <v>0</v>
      </c>
      <c r="AS338" s="88">
        <f t="shared" si="239"/>
        <v>30</v>
      </c>
      <c r="AT338" s="88">
        <f t="shared" ca="1" si="240"/>
        <v>30</v>
      </c>
      <c r="AU338" s="98">
        <f t="shared" si="241"/>
        <v>0</v>
      </c>
      <c r="AV338" s="88">
        <f t="shared" si="242"/>
        <v>7</v>
      </c>
      <c r="AW338" t="b">
        <f>OR((F338&gt;0),(NOT(ISBLANK(H338))),SUM(H338:H$373),SUM(G338:G$373))</f>
        <v>0</v>
      </c>
      <c r="AX338" t="b">
        <f t="shared" ca="1" si="217"/>
        <v>1</v>
      </c>
      <c r="AY338" s="519">
        <f t="shared" si="243"/>
        <v>0</v>
      </c>
      <c r="AZ338" s="180">
        <f>SUM(AY$5:AY338)</f>
        <v>-66.791666666666501</v>
      </c>
      <c r="BA338" s="567"/>
      <c r="BB338" s="567">
        <f t="shared" si="218"/>
        <v>0</v>
      </c>
      <c r="BC338" s="567"/>
    </row>
    <row r="339" spans="1:55" ht="15.75">
      <c r="A339" s="260">
        <f t="shared" si="244"/>
        <v>45167</v>
      </c>
      <c r="B339" s="261">
        <f t="shared" si="219"/>
        <v>45167</v>
      </c>
      <c r="C339" s="262">
        <f>IF(A339="","",NumberOfWeek(A339))</f>
        <v>35</v>
      </c>
      <c r="D339" s="263">
        <f t="shared" si="220"/>
        <v>45138</v>
      </c>
      <c r="E339" s="273" t="str">
        <f t="shared" si="221"/>
        <v/>
      </c>
      <c r="F339" s="5"/>
      <c r="G339" s="6" t="str">
        <f t="shared" si="206"/>
        <v/>
      </c>
      <c r="H339" s="7"/>
      <c r="I339" s="7">
        <f t="shared" si="222"/>
        <v>0</v>
      </c>
      <c r="J339" s="76">
        <f t="shared" si="223"/>
        <v>0</v>
      </c>
      <c r="K339" s="7"/>
      <c r="L339" s="7">
        <f t="shared" si="224"/>
        <v>0</v>
      </c>
      <c r="M339" s="76">
        <f t="shared" si="207"/>
        <v>0</v>
      </c>
      <c r="N339" s="76"/>
      <c r="O339" s="76">
        <f t="shared" si="208"/>
        <v>0</v>
      </c>
      <c r="P339" s="76"/>
      <c r="Q339" s="76">
        <f t="shared" si="209"/>
        <v>0</v>
      </c>
      <c r="R339" s="76">
        <f t="shared" si="225"/>
        <v>0</v>
      </c>
      <c r="S339" s="76">
        <f t="shared" si="226"/>
        <v>0</v>
      </c>
      <c r="T339" s="76">
        <f t="shared" si="227"/>
        <v>0</v>
      </c>
      <c r="U339" s="76">
        <f t="shared" si="228"/>
        <v>0</v>
      </c>
      <c r="V339" s="109">
        <f t="shared" si="229"/>
        <v>0</v>
      </c>
      <c r="W339" s="62"/>
      <c r="X339" s="78">
        <f t="shared" si="210"/>
        <v>3.125E-2</v>
      </c>
      <c r="Y339" s="73">
        <f t="shared" si="230"/>
        <v>0</v>
      </c>
      <c r="Z339" s="74">
        <f t="shared" si="231"/>
        <v>0.29166666666666669</v>
      </c>
      <c r="AA339" s="75">
        <f t="shared" si="232"/>
        <v>0</v>
      </c>
      <c r="AB339" s="63" t="str">
        <f t="shared" si="233"/>
        <v/>
      </c>
      <c r="AC339" s="148">
        <f t="shared" si="211"/>
        <v>0</v>
      </c>
      <c r="AD339" s="107" t="str">
        <f t="shared" si="212"/>
        <v/>
      </c>
      <c r="AE339" s="180">
        <f t="shared" si="234"/>
        <v>0</v>
      </c>
      <c r="AF339" s="73"/>
      <c r="AG339" s="525"/>
      <c r="AH339" s="73"/>
      <c r="AI339" s="73" t="str">
        <f t="shared" si="245"/>
        <v/>
      </c>
      <c r="AJ339" s="64">
        <f t="shared" si="213"/>
        <v>0</v>
      </c>
      <c r="AK339" s="64">
        <f t="shared" si="214"/>
        <v>0</v>
      </c>
      <c r="AL339" s="64" t="str">
        <f t="shared" si="215"/>
        <v/>
      </c>
      <c r="AM339">
        <f t="shared" si="216"/>
        <v>1</v>
      </c>
      <c r="AN339" s="85">
        <f>SUM($AD$6:AD339)</f>
        <v>0</v>
      </c>
      <c r="AO339" s="85">
        <f t="shared" ca="1" si="235"/>
        <v>0</v>
      </c>
      <c r="AP339" s="89">
        <f t="shared" si="236"/>
        <v>0</v>
      </c>
      <c r="AQ339" s="89">
        <f t="shared" si="237"/>
        <v>0</v>
      </c>
      <c r="AR339" s="89">
        <f t="shared" si="238"/>
        <v>0</v>
      </c>
      <c r="AS339" s="88">
        <f t="shared" si="239"/>
        <v>30</v>
      </c>
      <c r="AT339" s="88">
        <f t="shared" ca="1" si="240"/>
        <v>30</v>
      </c>
      <c r="AU339" s="98">
        <f t="shared" si="241"/>
        <v>0</v>
      </c>
      <c r="AV339" s="88">
        <f t="shared" si="242"/>
        <v>0</v>
      </c>
      <c r="AW339" t="b">
        <f>OR((F339&gt;0),(NOT(ISBLANK(H339))),SUM(H339:H$373),SUM(G339:G$373))</f>
        <v>0</v>
      </c>
      <c r="AX339" t="b">
        <f t="shared" ca="1" si="217"/>
        <v>0</v>
      </c>
      <c r="AY339" s="519">
        <f t="shared" si="243"/>
        <v>-0.29166666666666669</v>
      </c>
      <c r="AZ339" s="180">
        <f>SUM(AY$5:AY339)</f>
        <v>-67.083333333333172</v>
      </c>
      <c r="BA339" s="567"/>
      <c r="BB339" s="567">
        <f t="shared" si="218"/>
        <v>0</v>
      </c>
      <c r="BC339" s="567"/>
    </row>
    <row r="340" spans="1:55" ht="15.75">
      <c r="A340" s="260">
        <f t="shared" si="244"/>
        <v>45168</v>
      </c>
      <c r="B340" s="261">
        <f t="shared" si="219"/>
        <v>45168</v>
      </c>
      <c r="C340" s="262">
        <f>IF(A340="","",NumberOfWeek(A340))</f>
        <v>35</v>
      </c>
      <c r="D340" s="263">
        <f t="shared" si="220"/>
        <v>45138</v>
      </c>
      <c r="E340" s="273" t="str">
        <f t="shared" si="221"/>
        <v/>
      </c>
      <c r="F340" s="5"/>
      <c r="G340" s="6" t="str">
        <f t="shared" si="206"/>
        <v/>
      </c>
      <c r="H340" s="7"/>
      <c r="I340" s="7">
        <f t="shared" si="222"/>
        <v>0</v>
      </c>
      <c r="J340" s="76">
        <f t="shared" si="223"/>
        <v>0</v>
      </c>
      <c r="K340" s="7"/>
      <c r="L340" s="7">
        <f t="shared" si="224"/>
        <v>0</v>
      </c>
      <c r="M340" s="76">
        <f t="shared" si="207"/>
        <v>0</v>
      </c>
      <c r="N340" s="76"/>
      <c r="O340" s="76">
        <f t="shared" si="208"/>
        <v>0</v>
      </c>
      <c r="P340" s="76"/>
      <c r="Q340" s="76">
        <f t="shared" si="209"/>
        <v>0</v>
      </c>
      <c r="R340" s="76">
        <f t="shared" si="225"/>
        <v>0</v>
      </c>
      <c r="S340" s="76">
        <f t="shared" si="226"/>
        <v>0</v>
      </c>
      <c r="T340" s="76">
        <f t="shared" si="227"/>
        <v>0</v>
      </c>
      <c r="U340" s="76">
        <f t="shared" si="228"/>
        <v>0</v>
      </c>
      <c r="V340" s="109">
        <f t="shared" si="229"/>
        <v>0</v>
      </c>
      <c r="W340" s="62"/>
      <c r="X340" s="78">
        <f t="shared" si="210"/>
        <v>3.125E-2</v>
      </c>
      <c r="Y340" s="73">
        <f t="shared" si="230"/>
        <v>0</v>
      </c>
      <c r="Z340" s="74">
        <f t="shared" si="231"/>
        <v>0.29166666666666669</v>
      </c>
      <c r="AA340" s="75">
        <f t="shared" si="232"/>
        <v>0</v>
      </c>
      <c r="AB340" s="63" t="str">
        <f t="shared" si="233"/>
        <v/>
      </c>
      <c r="AC340" s="148">
        <f t="shared" si="211"/>
        <v>0</v>
      </c>
      <c r="AD340" s="107" t="str">
        <f t="shared" si="212"/>
        <v/>
      </c>
      <c r="AE340" s="180">
        <f t="shared" si="234"/>
        <v>0</v>
      </c>
      <c r="AF340" s="73"/>
      <c r="AG340" s="525"/>
      <c r="AH340" s="73"/>
      <c r="AI340" s="73" t="str">
        <f t="shared" si="245"/>
        <v/>
      </c>
      <c r="AJ340" s="64">
        <f t="shared" si="213"/>
        <v>0</v>
      </c>
      <c r="AK340" s="64">
        <f t="shared" si="214"/>
        <v>0</v>
      </c>
      <c r="AL340" s="64" t="str">
        <f t="shared" si="215"/>
        <v/>
      </c>
      <c r="AM340">
        <f t="shared" si="216"/>
        <v>2</v>
      </c>
      <c r="AN340" s="85">
        <f>SUM($AD$6:AD340)</f>
        <v>0</v>
      </c>
      <c r="AO340" s="85">
        <f t="shared" ca="1" si="235"/>
        <v>0</v>
      </c>
      <c r="AP340" s="89">
        <f t="shared" si="236"/>
        <v>0</v>
      </c>
      <c r="AQ340" s="89">
        <f t="shared" si="237"/>
        <v>0</v>
      </c>
      <c r="AR340" s="89">
        <f t="shared" si="238"/>
        <v>0</v>
      </c>
      <c r="AS340" s="88">
        <f t="shared" si="239"/>
        <v>30</v>
      </c>
      <c r="AT340" s="88">
        <f t="shared" ca="1" si="240"/>
        <v>30</v>
      </c>
      <c r="AU340" s="98">
        <f t="shared" si="241"/>
        <v>0</v>
      </c>
      <c r="AV340" s="88">
        <f t="shared" si="242"/>
        <v>0</v>
      </c>
      <c r="AW340" t="b">
        <f>OR((F340&gt;0),(NOT(ISBLANK(H340))),SUM(H340:H$373),SUM(G340:G$373))</f>
        <v>0</v>
      </c>
      <c r="AX340" t="b">
        <f t="shared" ca="1" si="217"/>
        <v>0</v>
      </c>
      <c r="AY340" s="519">
        <f t="shared" si="243"/>
        <v>-0.29166666666666669</v>
      </c>
      <c r="AZ340" s="180">
        <f>SUM(AY$5:AY340)</f>
        <v>-67.374999999999844</v>
      </c>
      <c r="BA340" s="567"/>
      <c r="BB340" s="567">
        <f t="shared" si="218"/>
        <v>0</v>
      </c>
      <c r="BC340" s="567"/>
    </row>
    <row r="341" spans="1:55" ht="15.75">
      <c r="A341" s="260">
        <f t="shared" si="244"/>
        <v>45169</v>
      </c>
      <c r="B341" s="261">
        <f t="shared" si="219"/>
        <v>45169</v>
      </c>
      <c r="C341" s="262">
        <f>IF(A341="","",NumberOfWeek(A341))</f>
        <v>35</v>
      </c>
      <c r="D341" s="263">
        <f t="shared" si="220"/>
        <v>45169</v>
      </c>
      <c r="E341" s="273" t="str">
        <f t="shared" si="221"/>
        <v/>
      </c>
      <c r="F341" s="5"/>
      <c r="G341" s="6" t="str">
        <f t="shared" si="206"/>
        <v/>
      </c>
      <c r="H341" s="7"/>
      <c r="I341" s="7">
        <f t="shared" si="222"/>
        <v>0</v>
      </c>
      <c r="J341" s="76">
        <f t="shared" si="223"/>
        <v>0</v>
      </c>
      <c r="K341" s="7"/>
      <c r="L341" s="7">
        <f t="shared" si="224"/>
        <v>0</v>
      </c>
      <c r="M341" s="76">
        <f t="shared" si="207"/>
        <v>0</v>
      </c>
      <c r="N341" s="76"/>
      <c r="O341" s="76">
        <f t="shared" si="208"/>
        <v>0</v>
      </c>
      <c r="P341" s="76"/>
      <c r="Q341" s="76">
        <f t="shared" si="209"/>
        <v>0</v>
      </c>
      <c r="R341" s="76">
        <f t="shared" si="225"/>
        <v>0</v>
      </c>
      <c r="S341" s="76">
        <f t="shared" si="226"/>
        <v>0</v>
      </c>
      <c r="T341" s="76">
        <f t="shared" si="227"/>
        <v>0</v>
      </c>
      <c r="U341" s="76">
        <f t="shared" si="228"/>
        <v>0</v>
      </c>
      <c r="V341" s="109">
        <f t="shared" si="229"/>
        <v>0</v>
      </c>
      <c r="W341" s="62"/>
      <c r="X341" s="78">
        <f t="shared" si="210"/>
        <v>3.125E-2</v>
      </c>
      <c r="Y341" s="73">
        <f t="shared" si="230"/>
        <v>0</v>
      </c>
      <c r="Z341" s="74">
        <f t="shared" si="231"/>
        <v>0.29166666666666669</v>
      </c>
      <c r="AA341" s="75">
        <f t="shared" si="232"/>
        <v>0</v>
      </c>
      <c r="AB341" s="63" t="str">
        <f t="shared" si="233"/>
        <v/>
      </c>
      <c r="AC341" s="148">
        <f t="shared" si="211"/>
        <v>0</v>
      </c>
      <c r="AD341" s="107" t="str">
        <f t="shared" si="212"/>
        <v/>
      </c>
      <c r="AE341" s="180">
        <f t="shared" si="234"/>
        <v>0</v>
      </c>
      <c r="AF341" s="73"/>
      <c r="AG341" s="525"/>
      <c r="AH341" s="73"/>
      <c r="AI341" s="73" t="str">
        <f t="shared" si="245"/>
        <v/>
      </c>
      <c r="AJ341" s="64">
        <f t="shared" si="213"/>
        <v>0</v>
      </c>
      <c r="AK341" s="64">
        <f t="shared" si="214"/>
        <v>0</v>
      </c>
      <c r="AL341" s="64" t="str">
        <f t="shared" si="215"/>
        <v/>
      </c>
      <c r="AM341">
        <f t="shared" si="216"/>
        <v>3</v>
      </c>
      <c r="AN341" s="85">
        <f>SUM($AD$6:AD341)</f>
        <v>0</v>
      </c>
      <c r="AO341" s="85">
        <f t="shared" ca="1" si="235"/>
        <v>0</v>
      </c>
      <c r="AP341" s="89">
        <f t="shared" si="236"/>
        <v>0</v>
      </c>
      <c r="AQ341" s="89">
        <f t="shared" si="237"/>
        <v>0</v>
      </c>
      <c r="AR341" s="89">
        <f t="shared" si="238"/>
        <v>0</v>
      </c>
      <c r="AS341" s="88">
        <f t="shared" si="239"/>
        <v>30</v>
      </c>
      <c r="AT341" s="88">
        <f t="shared" ca="1" si="240"/>
        <v>30</v>
      </c>
      <c r="AU341" s="98">
        <f t="shared" si="241"/>
        <v>0</v>
      </c>
      <c r="AV341" s="88">
        <f t="shared" si="242"/>
        <v>0</v>
      </c>
      <c r="AW341" t="b">
        <f>OR((F341&gt;0),(NOT(ISBLANK(H341))),SUM(H341:H$373),SUM(G341:G$373))</f>
        <v>0</v>
      </c>
      <c r="AX341" t="b">
        <f t="shared" ca="1" si="217"/>
        <v>0</v>
      </c>
      <c r="AY341" s="519">
        <f t="shared" si="243"/>
        <v>-0.29166666666666669</v>
      </c>
      <c r="AZ341" s="180">
        <f>SUM(AY$5:AY341)</f>
        <v>-67.666666666666515</v>
      </c>
      <c r="BA341" s="567"/>
      <c r="BB341" s="567">
        <f t="shared" si="218"/>
        <v>0</v>
      </c>
      <c r="BC341" s="567"/>
    </row>
    <row r="342" spans="1:55" ht="15.75">
      <c r="A342" s="260">
        <f t="shared" si="244"/>
        <v>45170</v>
      </c>
      <c r="B342" s="261">
        <f t="shared" si="219"/>
        <v>45170</v>
      </c>
      <c r="C342" s="262">
        <f>IF(A342="","",NumberOfWeek(A342))</f>
        <v>35</v>
      </c>
      <c r="D342" s="263">
        <f t="shared" si="220"/>
        <v>45169</v>
      </c>
      <c r="E342" s="273" t="str">
        <f t="shared" si="221"/>
        <v/>
      </c>
      <c r="F342" s="5"/>
      <c r="G342" s="6" t="str">
        <f t="shared" si="206"/>
        <v/>
      </c>
      <c r="H342" s="7"/>
      <c r="I342" s="7">
        <f t="shared" si="222"/>
        <v>0</v>
      </c>
      <c r="J342" s="76">
        <f t="shared" si="223"/>
        <v>0</v>
      </c>
      <c r="K342" s="7"/>
      <c r="L342" s="7">
        <f t="shared" si="224"/>
        <v>0</v>
      </c>
      <c r="M342" s="76">
        <f t="shared" si="207"/>
        <v>0</v>
      </c>
      <c r="N342" s="76"/>
      <c r="O342" s="76">
        <f t="shared" si="208"/>
        <v>0</v>
      </c>
      <c r="P342" s="76"/>
      <c r="Q342" s="76">
        <f t="shared" si="209"/>
        <v>0</v>
      </c>
      <c r="R342" s="76">
        <f t="shared" si="225"/>
        <v>0</v>
      </c>
      <c r="S342" s="76">
        <f t="shared" si="226"/>
        <v>0</v>
      </c>
      <c r="T342" s="76">
        <f t="shared" si="227"/>
        <v>0</v>
      </c>
      <c r="U342" s="76">
        <f t="shared" si="228"/>
        <v>0</v>
      </c>
      <c r="V342" s="109">
        <f t="shared" si="229"/>
        <v>0</v>
      </c>
      <c r="W342" s="62"/>
      <c r="X342" s="78">
        <f t="shared" si="210"/>
        <v>3.125E-2</v>
      </c>
      <c r="Y342" s="73">
        <f t="shared" si="230"/>
        <v>0</v>
      </c>
      <c r="Z342" s="74">
        <f t="shared" si="231"/>
        <v>0.29166666666666669</v>
      </c>
      <c r="AA342" s="75">
        <f t="shared" si="232"/>
        <v>0</v>
      </c>
      <c r="AB342" s="63" t="str">
        <f t="shared" si="233"/>
        <v/>
      </c>
      <c r="AC342" s="148">
        <f t="shared" si="211"/>
        <v>0</v>
      </c>
      <c r="AD342" s="107" t="str">
        <f t="shared" si="212"/>
        <v/>
      </c>
      <c r="AE342" s="180">
        <f t="shared" si="234"/>
        <v>0</v>
      </c>
      <c r="AF342" s="73"/>
      <c r="AG342" s="525"/>
      <c r="AH342" s="73"/>
      <c r="AI342" s="73" t="str">
        <f t="shared" si="245"/>
        <v/>
      </c>
      <c r="AJ342" s="64">
        <f t="shared" si="213"/>
        <v>0</v>
      </c>
      <c r="AK342" s="64">
        <f t="shared" si="214"/>
        <v>0</v>
      </c>
      <c r="AL342" s="64" t="str">
        <f t="shared" si="215"/>
        <v/>
      </c>
      <c r="AM342">
        <f t="shared" si="216"/>
        <v>4</v>
      </c>
      <c r="AN342" s="85">
        <f>SUM($AD$6:AD342)</f>
        <v>0</v>
      </c>
      <c r="AO342" s="85">
        <f t="shared" ca="1" si="235"/>
        <v>0</v>
      </c>
      <c r="AP342" s="89">
        <f t="shared" si="236"/>
        <v>0</v>
      </c>
      <c r="AQ342" s="89">
        <f t="shared" si="237"/>
        <v>0</v>
      </c>
      <c r="AR342" s="89">
        <f t="shared" si="238"/>
        <v>0</v>
      </c>
      <c r="AS342" s="88">
        <f t="shared" si="239"/>
        <v>30</v>
      </c>
      <c r="AT342" s="88">
        <f t="shared" ca="1" si="240"/>
        <v>30</v>
      </c>
      <c r="AU342" s="98">
        <f t="shared" si="241"/>
        <v>0</v>
      </c>
      <c r="AV342" s="88">
        <f t="shared" si="242"/>
        <v>0</v>
      </c>
      <c r="AW342" t="b">
        <f>OR((F342&gt;0),(NOT(ISBLANK(H342))),SUM(H342:H$373),SUM(G342:G$373))</f>
        <v>0</v>
      </c>
      <c r="AX342" t="b">
        <f t="shared" ca="1" si="217"/>
        <v>0</v>
      </c>
      <c r="AY342" s="519">
        <f t="shared" si="243"/>
        <v>-0.29166666666666669</v>
      </c>
      <c r="AZ342" s="180">
        <f>SUM(AY$5:AY342)</f>
        <v>-67.958333333333186</v>
      </c>
      <c r="BA342" s="567"/>
      <c r="BB342" s="567">
        <f t="shared" si="218"/>
        <v>0</v>
      </c>
      <c r="BC342" s="567"/>
    </row>
    <row r="343" spans="1:55" ht="15.75">
      <c r="A343" s="260">
        <f t="shared" si="244"/>
        <v>45171</v>
      </c>
      <c r="B343" s="261">
        <f t="shared" si="219"/>
        <v>45171</v>
      </c>
      <c r="C343" s="262">
        <f>IF(A343="","",NumberOfWeek(A343))</f>
        <v>35</v>
      </c>
      <c r="D343" s="263">
        <f t="shared" si="220"/>
        <v>45169</v>
      </c>
      <c r="E343" s="273" t="str">
        <f t="shared" si="221"/>
        <v/>
      </c>
      <c r="F343" s="5"/>
      <c r="G343" s="6" t="str">
        <f t="shared" si="206"/>
        <v/>
      </c>
      <c r="H343" s="7"/>
      <c r="I343" s="7">
        <f t="shared" si="222"/>
        <v>0</v>
      </c>
      <c r="J343" s="76">
        <f t="shared" si="223"/>
        <v>0</v>
      </c>
      <c r="K343" s="7"/>
      <c r="L343" s="7">
        <f t="shared" si="224"/>
        <v>0</v>
      </c>
      <c r="M343" s="76">
        <f t="shared" si="207"/>
        <v>0</v>
      </c>
      <c r="N343" s="76"/>
      <c r="O343" s="76">
        <f t="shared" si="208"/>
        <v>0</v>
      </c>
      <c r="P343" s="76"/>
      <c r="Q343" s="76">
        <f t="shared" si="209"/>
        <v>0</v>
      </c>
      <c r="R343" s="76">
        <f t="shared" si="225"/>
        <v>0</v>
      </c>
      <c r="S343" s="76">
        <f t="shared" si="226"/>
        <v>0</v>
      </c>
      <c r="T343" s="76">
        <f t="shared" si="227"/>
        <v>0</v>
      </c>
      <c r="U343" s="76">
        <f t="shared" si="228"/>
        <v>0</v>
      </c>
      <c r="V343" s="109">
        <f t="shared" si="229"/>
        <v>0</v>
      </c>
      <c r="W343" s="62"/>
      <c r="X343" s="78">
        <f t="shared" si="210"/>
        <v>3.125E-2</v>
      </c>
      <c r="Y343" s="73">
        <f t="shared" si="230"/>
        <v>0</v>
      </c>
      <c r="Z343" s="74">
        <f t="shared" si="231"/>
        <v>0.29166666666666669</v>
      </c>
      <c r="AA343" s="75">
        <f t="shared" si="232"/>
        <v>0</v>
      </c>
      <c r="AB343" s="63" t="str">
        <f t="shared" si="233"/>
        <v/>
      </c>
      <c r="AC343" s="148">
        <f t="shared" si="211"/>
        <v>0</v>
      </c>
      <c r="AD343" s="107" t="str">
        <f t="shared" si="212"/>
        <v/>
      </c>
      <c r="AE343" s="180">
        <f t="shared" si="234"/>
        <v>0</v>
      </c>
      <c r="AF343" s="73"/>
      <c r="AG343" s="525"/>
      <c r="AH343" s="73"/>
      <c r="AI343" s="73" t="str">
        <f t="shared" si="245"/>
        <v/>
      </c>
      <c r="AJ343" s="64">
        <f t="shared" si="213"/>
        <v>0</v>
      </c>
      <c r="AK343" s="64">
        <f t="shared" si="214"/>
        <v>0</v>
      </c>
      <c r="AL343" s="64" t="str">
        <f t="shared" si="215"/>
        <v/>
      </c>
      <c r="AM343">
        <f t="shared" si="216"/>
        <v>5</v>
      </c>
      <c r="AN343" s="85">
        <f>SUM($AD$6:AD343)</f>
        <v>0</v>
      </c>
      <c r="AO343" s="85">
        <f t="shared" ca="1" si="235"/>
        <v>0</v>
      </c>
      <c r="AP343" s="89">
        <f t="shared" si="236"/>
        <v>0</v>
      </c>
      <c r="AQ343" s="89">
        <f t="shared" si="237"/>
        <v>0</v>
      </c>
      <c r="AR343" s="89">
        <f t="shared" si="238"/>
        <v>0</v>
      </c>
      <c r="AS343" s="88">
        <f t="shared" si="239"/>
        <v>30</v>
      </c>
      <c r="AT343" s="88">
        <f t="shared" ca="1" si="240"/>
        <v>30</v>
      </c>
      <c r="AU343" s="98">
        <f t="shared" si="241"/>
        <v>0</v>
      </c>
      <c r="AV343" s="88">
        <f t="shared" si="242"/>
        <v>0</v>
      </c>
      <c r="AW343" t="b">
        <f>OR((F343&gt;0),(NOT(ISBLANK(H343))),SUM(H343:H$373),SUM(G343:G$373))</f>
        <v>0</v>
      </c>
      <c r="AX343" t="b">
        <f t="shared" ca="1" si="217"/>
        <v>0</v>
      </c>
      <c r="AY343" s="519">
        <f t="shared" si="243"/>
        <v>-0.29166666666666669</v>
      </c>
      <c r="AZ343" s="180">
        <f>SUM(AY$5:AY343)</f>
        <v>-68.249999999999858</v>
      </c>
      <c r="BA343" s="567"/>
      <c r="BB343" s="567">
        <f t="shared" si="218"/>
        <v>0</v>
      </c>
      <c r="BC343" s="567"/>
    </row>
    <row r="344" spans="1:55" ht="15.75">
      <c r="A344" s="260">
        <f t="shared" si="244"/>
        <v>45172</v>
      </c>
      <c r="B344" s="261">
        <f t="shared" si="219"/>
        <v>45172</v>
      </c>
      <c r="C344" s="262">
        <f>IF(A344="","",NumberOfWeek(A344))</f>
        <v>35</v>
      </c>
      <c r="D344" s="263">
        <f t="shared" si="220"/>
        <v>45169</v>
      </c>
      <c r="E344" s="273" t="str">
        <f t="shared" si="221"/>
        <v/>
      </c>
      <c r="F344" s="5"/>
      <c r="G344" s="6" t="str">
        <f t="shared" si="206"/>
        <v/>
      </c>
      <c r="H344" s="7"/>
      <c r="I344" s="7">
        <f t="shared" si="222"/>
        <v>0</v>
      </c>
      <c r="J344" s="76">
        <f t="shared" si="223"/>
        <v>0</v>
      </c>
      <c r="K344" s="7"/>
      <c r="L344" s="7">
        <f t="shared" si="224"/>
        <v>0</v>
      </c>
      <c r="M344" s="76">
        <f t="shared" si="207"/>
        <v>0</v>
      </c>
      <c r="N344" s="76"/>
      <c r="O344" s="76">
        <f t="shared" si="208"/>
        <v>0</v>
      </c>
      <c r="P344" s="76"/>
      <c r="Q344" s="76">
        <f t="shared" si="209"/>
        <v>0</v>
      </c>
      <c r="R344" s="76">
        <f t="shared" si="225"/>
        <v>0</v>
      </c>
      <c r="S344" s="76">
        <f t="shared" si="226"/>
        <v>0</v>
      </c>
      <c r="T344" s="76">
        <f t="shared" si="227"/>
        <v>0</v>
      </c>
      <c r="U344" s="76">
        <f t="shared" si="228"/>
        <v>0</v>
      </c>
      <c r="V344" s="109">
        <f t="shared" si="229"/>
        <v>0</v>
      </c>
      <c r="W344" s="62"/>
      <c r="X344" s="78">
        <f t="shared" si="210"/>
        <v>3.125E-2</v>
      </c>
      <c r="Y344" s="73">
        <f t="shared" si="230"/>
        <v>0</v>
      </c>
      <c r="Z344" s="74">
        <f t="shared" si="231"/>
        <v>0</v>
      </c>
      <c r="AA344" s="75">
        <f t="shared" si="232"/>
        <v>0</v>
      </c>
      <c r="AB344" s="63" t="str">
        <f t="shared" si="233"/>
        <v/>
      </c>
      <c r="AC344" s="148">
        <f t="shared" si="211"/>
        <v>0</v>
      </c>
      <c r="AD344" s="107" t="str">
        <f t="shared" si="212"/>
        <v/>
      </c>
      <c r="AE344" s="180">
        <f t="shared" si="234"/>
        <v>0</v>
      </c>
      <c r="AF344" s="73"/>
      <c r="AG344" s="525"/>
      <c r="AH344" s="73"/>
      <c r="AI344" s="73" t="str">
        <f t="shared" si="245"/>
        <v/>
      </c>
      <c r="AJ344" s="64">
        <f t="shared" si="213"/>
        <v>0</v>
      </c>
      <c r="AK344" s="64">
        <f t="shared" si="214"/>
        <v>0</v>
      </c>
      <c r="AL344" s="64" t="str">
        <f t="shared" si="215"/>
        <v/>
      </c>
      <c r="AM344">
        <f t="shared" si="216"/>
        <v>6</v>
      </c>
      <c r="AN344" s="85">
        <f>SUM($AD$6:AD344)</f>
        <v>0</v>
      </c>
      <c r="AO344" s="85">
        <f t="shared" ca="1" si="235"/>
        <v>0</v>
      </c>
      <c r="AP344" s="89">
        <f t="shared" si="236"/>
        <v>0</v>
      </c>
      <c r="AQ344" s="89">
        <f t="shared" si="237"/>
        <v>0</v>
      </c>
      <c r="AR344" s="89">
        <f t="shared" si="238"/>
        <v>0</v>
      </c>
      <c r="AS344" s="88">
        <f t="shared" si="239"/>
        <v>30</v>
      </c>
      <c r="AT344" s="88">
        <f t="shared" ca="1" si="240"/>
        <v>30</v>
      </c>
      <c r="AU344" s="98">
        <f t="shared" si="241"/>
        <v>0</v>
      </c>
      <c r="AV344" s="88">
        <f t="shared" si="242"/>
        <v>7</v>
      </c>
      <c r="AW344" t="b">
        <f>OR((F344&gt;0),(NOT(ISBLANK(H344))),SUM(H344:H$373),SUM(G344:G$373))</f>
        <v>0</v>
      </c>
      <c r="AX344" t="b">
        <f t="shared" ca="1" si="217"/>
        <v>1</v>
      </c>
      <c r="AY344" s="519">
        <f t="shared" si="243"/>
        <v>0</v>
      </c>
      <c r="AZ344" s="180">
        <f>SUM(AY$5:AY344)</f>
        <v>-68.249999999999858</v>
      </c>
      <c r="BA344" s="567"/>
      <c r="BB344" s="567">
        <f t="shared" si="218"/>
        <v>0</v>
      </c>
      <c r="BC344" s="567"/>
    </row>
    <row r="345" spans="1:55" ht="15.75">
      <c r="A345" s="260">
        <f t="shared" si="244"/>
        <v>45173</v>
      </c>
      <c r="B345" s="261">
        <f t="shared" si="219"/>
        <v>45173</v>
      </c>
      <c r="C345" s="262">
        <f>IF(A345="","",NumberOfWeek(A345))</f>
        <v>35</v>
      </c>
      <c r="D345" s="263">
        <f t="shared" si="220"/>
        <v>45169</v>
      </c>
      <c r="E345" s="273" t="str">
        <f t="shared" si="221"/>
        <v/>
      </c>
      <c r="F345" s="5"/>
      <c r="G345" s="6" t="str">
        <f t="shared" si="206"/>
        <v/>
      </c>
      <c r="H345" s="7"/>
      <c r="I345" s="7">
        <f t="shared" si="222"/>
        <v>0</v>
      </c>
      <c r="J345" s="76">
        <f t="shared" si="223"/>
        <v>0</v>
      </c>
      <c r="K345" s="7"/>
      <c r="L345" s="7">
        <f t="shared" si="224"/>
        <v>0</v>
      </c>
      <c r="M345" s="76">
        <f t="shared" si="207"/>
        <v>0</v>
      </c>
      <c r="N345" s="76"/>
      <c r="O345" s="76">
        <f t="shared" si="208"/>
        <v>0</v>
      </c>
      <c r="P345" s="76"/>
      <c r="Q345" s="76">
        <f t="shared" si="209"/>
        <v>0</v>
      </c>
      <c r="R345" s="76">
        <f t="shared" si="225"/>
        <v>0</v>
      </c>
      <c r="S345" s="76">
        <f t="shared" si="226"/>
        <v>0</v>
      </c>
      <c r="T345" s="76">
        <f t="shared" si="227"/>
        <v>0</v>
      </c>
      <c r="U345" s="76">
        <f t="shared" si="228"/>
        <v>0</v>
      </c>
      <c r="V345" s="109">
        <f t="shared" si="229"/>
        <v>0</v>
      </c>
      <c r="W345" s="62"/>
      <c r="X345" s="78">
        <f t="shared" si="210"/>
        <v>3.125E-2</v>
      </c>
      <c r="Y345" s="73">
        <f t="shared" si="230"/>
        <v>0</v>
      </c>
      <c r="Z345" s="74">
        <f t="shared" si="231"/>
        <v>0</v>
      </c>
      <c r="AA345" s="75">
        <f t="shared" si="232"/>
        <v>0</v>
      </c>
      <c r="AB345" s="63" t="str">
        <f t="shared" si="233"/>
        <v/>
      </c>
      <c r="AC345" s="148">
        <f t="shared" si="211"/>
        <v>0</v>
      </c>
      <c r="AD345" s="107" t="str">
        <f t="shared" si="212"/>
        <v/>
      </c>
      <c r="AE345" s="180">
        <f t="shared" si="234"/>
        <v>0</v>
      </c>
      <c r="AF345" s="73"/>
      <c r="AG345" s="525"/>
      <c r="AH345" s="73"/>
      <c r="AI345" s="73" t="str">
        <f t="shared" si="245"/>
        <v/>
      </c>
      <c r="AJ345" s="64">
        <f t="shared" si="213"/>
        <v>0</v>
      </c>
      <c r="AK345" s="64">
        <f t="shared" si="214"/>
        <v>0</v>
      </c>
      <c r="AL345" s="64" t="str">
        <f t="shared" si="215"/>
        <v/>
      </c>
      <c r="AM345">
        <f t="shared" si="216"/>
        <v>7</v>
      </c>
      <c r="AN345" s="85">
        <f>SUM($AD$6:AD345)</f>
        <v>0</v>
      </c>
      <c r="AO345" s="85">
        <f t="shared" ca="1" si="235"/>
        <v>0</v>
      </c>
      <c r="AP345" s="89">
        <f t="shared" si="236"/>
        <v>0</v>
      </c>
      <c r="AQ345" s="89">
        <f t="shared" si="237"/>
        <v>0</v>
      </c>
      <c r="AR345" s="89">
        <f t="shared" si="238"/>
        <v>0</v>
      </c>
      <c r="AS345" s="88">
        <f t="shared" si="239"/>
        <v>30</v>
      </c>
      <c r="AT345" s="88">
        <f t="shared" ca="1" si="240"/>
        <v>30</v>
      </c>
      <c r="AU345" s="98">
        <f t="shared" si="241"/>
        <v>0</v>
      </c>
      <c r="AV345" s="88">
        <f t="shared" si="242"/>
        <v>7</v>
      </c>
      <c r="AW345" t="b">
        <f>OR((F345&gt;0),(NOT(ISBLANK(H345))),SUM(H345:H$373),SUM(G345:G$373))</f>
        <v>0</v>
      </c>
      <c r="AX345" t="b">
        <f t="shared" ca="1" si="217"/>
        <v>1</v>
      </c>
      <c r="AY345" s="519">
        <f t="shared" si="243"/>
        <v>0</v>
      </c>
      <c r="AZ345" s="180">
        <f>SUM(AY$5:AY345)</f>
        <v>-68.249999999999858</v>
      </c>
      <c r="BA345" s="567"/>
      <c r="BB345" s="567">
        <f t="shared" si="218"/>
        <v>0</v>
      </c>
      <c r="BC345" s="567"/>
    </row>
    <row r="346" spans="1:55" ht="15.75">
      <c r="A346" s="260">
        <f t="shared" si="244"/>
        <v>45174</v>
      </c>
      <c r="B346" s="261">
        <f t="shared" si="219"/>
        <v>45174</v>
      </c>
      <c r="C346" s="262">
        <f>IF(A346="","",NumberOfWeek(A346))</f>
        <v>36</v>
      </c>
      <c r="D346" s="263">
        <f t="shared" si="220"/>
        <v>45169</v>
      </c>
      <c r="E346" s="273" t="str">
        <f t="shared" si="221"/>
        <v/>
      </c>
      <c r="F346" s="5"/>
      <c r="G346" s="6" t="str">
        <f t="shared" si="206"/>
        <v/>
      </c>
      <c r="H346" s="7"/>
      <c r="I346" s="7">
        <f t="shared" si="222"/>
        <v>0</v>
      </c>
      <c r="J346" s="76">
        <f t="shared" si="223"/>
        <v>0</v>
      </c>
      <c r="K346" s="7"/>
      <c r="L346" s="7">
        <f t="shared" si="224"/>
        <v>0</v>
      </c>
      <c r="M346" s="76">
        <f t="shared" si="207"/>
        <v>0</v>
      </c>
      <c r="N346" s="76"/>
      <c r="O346" s="76">
        <f t="shared" si="208"/>
        <v>0</v>
      </c>
      <c r="P346" s="76"/>
      <c r="Q346" s="76">
        <f t="shared" si="209"/>
        <v>0</v>
      </c>
      <c r="R346" s="76">
        <f t="shared" si="225"/>
        <v>0</v>
      </c>
      <c r="S346" s="76">
        <f t="shared" si="226"/>
        <v>0</v>
      </c>
      <c r="T346" s="76">
        <f t="shared" si="227"/>
        <v>0</v>
      </c>
      <c r="U346" s="76">
        <f t="shared" si="228"/>
        <v>0</v>
      </c>
      <c r="V346" s="109">
        <f t="shared" si="229"/>
        <v>0</v>
      </c>
      <c r="W346" s="62"/>
      <c r="X346" s="78">
        <f t="shared" si="210"/>
        <v>3.125E-2</v>
      </c>
      <c r="Y346" s="73">
        <f t="shared" si="230"/>
        <v>0</v>
      </c>
      <c r="Z346" s="74">
        <f t="shared" si="231"/>
        <v>0.29166666666666669</v>
      </c>
      <c r="AA346" s="75">
        <f t="shared" si="232"/>
        <v>0</v>
      </c>
      <c r="AB346" s="63" t="str">
        <f t="shared" si="233"/>
        <v/>
      </c>
      <c r="AC346" s="148">
        <f t="shared" si="211"/>
        <v>0</v>
      </c>
      <c r="AD346" s="107" t="str">
        <f t="shared" si="212"/>
        <v/>
      </c>
      <c r="AE346" s="180">
        <f t="shared" si="234"/>
        <v>0</v>
      </c>
      <c r="AF346" s="73"/>
      <c r="AG346" s="525"/>
      <c r="AH346" s="73"/>
      <c r="AI346" s="73" t="str">
        <f t="shared" si="245"/>
        <v/>
      </c>
      <c r="AJ346" s="64">
        <f t="shared" si="213"/>
        <v>0</v>
      </c>
      <c r="AK346" s="64">
        <f t="shared" si="214"/>
        <v>0</v>
      </c>
      <c r="AL346" s="64" t="str">
        <f t="shared" si="215"/>
        <v/>
      </c>
      <c r="AM346">
        <f t="shared" si="216"/>
        <v>1</v>
      </c>
      <c r="AN346" s="85">
        <f>SUM($AD$6:AD346)</f>
        <v>0</v>
      </c>
      <c r="AO346" s="85">
        <f t="shared" ca="1" si="235"/>
        <v>0</v>
      </c>
      <c r="AP346" s="89">
        <f t="shared" si="236"/>
        <v>0</v>
      </c>
      <c r="AQ346" s="89">
        <f t="shared" si="237"/>
        <v>0</v>
      </c>
      <c r="AR346" s="89">
        <f t="shared" si="238"/>
        <v>0</v>
      </c>
      <c r="AS346" s="88">
        <f t="shared" si="239"/>
        <v>30</v>
      </c>
      <c r="AT346" s="88">
        <f t="shared" ca="1" si="240"/>
        <v>30</v>
      </c>
      <c r="AU346" s="98">
        <f t="shared" si="241"/>
        <v>0</v>
      </c>
      <c r="AV346" s="88">
        <f t="shared" si="242"/>
        <v>0</v>
      </c>
      <c r="AW346" t="b">
        <f>OR((F346&gt;0),(NOT(ISBLANK(H346))),SUM(H346:H$373),SUM(G346:G$373))</f>
        <v>0</v>
      </c>
      <c r="AX346" t="b">
        <f t="shared" ca="1" si="217"/>
        <v>0</v>
      </c>
      <c r="AY346" s="519">
        <f t="shared" si="243"/>
        <v>-0.29166666666666669</v>
      </c>
      <c r="AZ346" s="180">
        <f>SUM(AY$5:AY346)</f>
        <v>-68.541666666666529</v>
      </c>
      <c r="BA346" s="567"/>
      <c r="BB346" s="567">
        <f t="shared" si="218"/>
        <v>0</v>
      </c>
      <c r="BC346" s="567"/>
    </row>
    <row r="347" spans="1:55" ht="15.75">
      <c r="A347" s="260">
        <f t="shared" si="244"/>
        <v>45175</v>
      </c>
      <c r="B347" s="261">
        <f t="shared" si="219"/>
        <v>45175</v>
      </c>
      <c r="C347" s="262">
        <f>IF(A347="","",NumberOfWeek(A347))</f>
        <v>36</v>
      </c>
      <c r="D347" s="263">
        <f t="shared" si="220"/>
        <v>45169</v>
      </c>
      <c r="E347" s="273" t="str">
        <f t="shared" si="221"/>
        <v/>
      </c>
      <c r="F347" s="5"/>
      <c r="G347" s="6" t="str">
        <f t="shared" si="206"/>
        <v/>
      </c>
      <c r="H347" s="7"/>
      <c r="I347" s="7">
        <f t="shared" si="222"/>
        <v>0</v>
      </c>
      <c r="J347" s="76">
        <f t="shared" si="223"/>
        <v>0</v>
      </c>
      <c r="K347" s="7"/>
      <c r="L347" s="7">
        <f t="shared" si="224"/>
        <v>0</v>
      </c>
      <c r="M347" s="76">
        <f t="shared" si="207"/>
        <v>0</v>
      </c>
      <c r="N347" s="76"/>
      <c r="O347" s="76">
        <f t="shared" si="208"/>
        <v>0</v>
      </c>
      <c r="P347" s="76"/>
      <c r="Q347" s="76">
        <f t="shared" si="209"/>
        <v>0</v>
      </c>
      <c r="R347" s="76">
        <f t="shared" si="225"/>
        <v>0</v>
      </c>
      <c r="S347" s="76">
        <f t="shared" si="226"/>
        <v>0</v>
      </c>
      <c r="T347" s="76">
        <f t="shared" si="227"/>
        <v>0</v>
      </c>
      <c r="U347" s="76">
        <f t="shared" si="228"/>
        <v>0</v>
      </c>
      <c r="V347" s="109">
        <f t="shared" si="229"/>
        <v>0</v>
      </c>
      <c r="W347" s="62"/>
      <c r="X347" s="78">
        <f t="shared" si="210"/>
        <v>3.125E-2</v>
      </c>
      <c r="Y347" s="73">
        <f t="shared" si="230"/>
        <v>0</v>
      </c>
      <c r="Z347" s="74">
        <f t="shared" si="231"/>
        <v>0.29166666666666669</v>
      </c>
      <c r="AA347" s="75">
        <f t="shared" si="232"/>
        <v>0</v>
      </c>
      <c r="AB347" s="63" t="str">
        <f t="shared" si="233"/>
        <v/>
      </c>
      <c r="AC347" s="148">
        <f t="shared" si="211"/>
        <v>0</v>
      </c>
      <c r="AD347" s="107" t="str">
        <f t="shared" si="212"/>
        <v/>
      </c>
      <c r="AE347" s="180">
        <f t="shared" si="234"/>
        <v>0</v>
      </c>
      <c r="AF347" s="73"/>
      <c r="AG347" s="525"/>
      <c r="AH347" s="73"/>
      <c r="AI347" s="73" t="str">
        <f t="shared" si="245"/>
        <v/>
      </c>
      <c r="AJ347" s="64">
        <f t="shared" si="213"/>
        <v>0</v>
      </c>
      <c r="AK347" s="64">
        <f t="shared" si="214"/>
        <v>0</v>
      </c>
      <c r="AL347" s="64" t="str">
        <f t="shared" si="215"/>
        <v/>
      </c>
      <c r="AM347">
        <f t="shared" si="216"/>
        <v>2</v>
      </c>
      <c r="AN347" s="85">
        <f>SUM($AD$6:AD347)</f>
        <v>0</v>
      </c>
      <c r="AO347" s="85">
        <f t="shared" ca="1" si="235"/>
        <v>0</v>
      </c>
      <c r="AP347" s="89">
        <f t="shared" si="236"/>
        <v>0</v>
      </c>
      <c r="AQ347" s="89">
        <f t="shared" si="237"/>
        <v>0</v>
      </c>
      <c r="AR347" s="89">
        <f t="shared" si="238"/>
        <v>0</v>
      </c>
      <c r="AS347" s="88">
        <f t="shared" si="239"/>
        <v>30</v>
      </c>
      <c r="AT347" s="88">
        <f t="shared" ca="1" si="240"/>
        <v>30</v>
      </c>
      <c r="AU347" s="98">
        <f t="shared" si="241"/>
        <v>0</v>
      </c>
      <c r="AV347" s="88">
        <f t="shared" si="242"/>
        <v>0</v>
      </c>
      <c r="AW347" t="b">
        <f>OR((F347&gt;0),(NOT(ISBLANK(H347))),SUM(H347:H$373),SUM(G347:G$373))</f>
        <v>0</v>
      </c>
      <c r="AX347" t="b">
        <f t="shared" ca="1" si="217"/>
        <v>0</v>
      </c>
      <c r="AY347" s="519">
        <f t="shared" si="243"/>
        <v>-0.29166666666666669</v>
      </c>
      <c r="AZ347" s="180">
        <f>SUM(AY$5:AY347)</f>
        <v>-68.833333333333201</v>
      </c>
      <c r="BA347" s="567"/>
      <c r="BB347" s="567">
        <f t="shared" si="218"/>
        <v>0</v>
      </c>
      <c r="BC347" s="567"/>
    </row>
    <row r="348" spans="1:55" ht="15.75">
      <c r="A348" s="260">
        <f t="shared" si="244"/>
        <v>45176</v>
      </c>
      <c r="B348" s="261">
        <f t="shared" si="219"/>
        <v>45176</v>
      </c>
      <c r="C348" s="262">
        <f>IF(A348="","",NumberOfWeek(A348))</f>
        <v>36</v>
      </c>
      <c r="D348" s="263">
        <f t="shared" si="220"/>
        <v>45169</v>
      </c>
      <c r="E348" s="273" t="str">
        <f t="shared" si="221"/>
        <v/>
      </c>
      <c r="F348" s="5"/>
      <c r="G348" s="6" t="str">
        <f t="shared" si="206"/>
        <v/>
      </c>
      <c r="H348" s="7"/>
      <c r="I348" s="7">
        <f t="shared" si="222"/>
        <v>0</v>
      </c>
      <c r="J348" s="76">
        <f t="shared" si="223"/>
        <v>0</v>
      </c>
      <c r="K348" s="7"/>
      <c r="L348" s="7">
        <f t="shared" si="224"/>
        <v>0</v>
      </c>
      <c r="M348" s="76">
        <f t="shared" si="207"/>
        <v>0</v>
      </c>
      <c r="N348" s="76"/>
      <c r="O348" s="76">
        <f t="shared" si="208"/>
        <v>0</v>
      </c>
      <c r="P348" s="76"/>
      <c r="Q348" s="76">
        <f t="shared" si="209"/>
        <v>0</v>
      </c>
      <c r="R348" s="76">
        <f t="shared" si="225"/>
        <v>0</v>
      </c>
      <c r="S348" s="76">
        <f t="shared" si="226"/>
        <v>0</v>
      </c>
      <c r="T348" s="76">
        <f t="shared" si="227"/>
        <v>0</v>
      </c>
      <c r="U348" s="76">
        <f t="shared" si="228"/>
        <v>0</v>
      </c>
      <c r="V348" s="109">
        <f t="shared" si="229"/>
        <v>0</v>
      </c>
      <c r="W348" s="62"/>
      <c r="X348" s="78">
        <f t="shared" si="210"/>
        <v>3.125E-2</v>
      </c>
      <c r="Y348" s="73">
        <f t="shared" si="230"/>
        <v>0</v>
      </c>
      <c r="Z348" s="74">
        <f t="shared" si="231"/>
        <v>0.29166666666666669</v>
      </c>
      <c r="AA348" s="75">
        <f t="shared" si="232"/>
        <v>0</v>
      </c>
      <c r="AB348" s="63" t="str">
        <f t="shared" si="233"/>
        <v/>
      </c>
      <c r="AC348" s="148">
        <f t="shared" si="211"/>
        <v>0</v>
      </c>
      <c r="AD348" s="107" t="str">
        <f t="shared" si="212"/>
        <v/>
      </c>
      <c r="AE348" s="180">
        <f t="shared" si="234"/>
        <v>0</v>
      </c>
      <c r="AF348" s="73"/>
      <c r="AG348" s="525"/>
      <c r="AH348" s="73"/>
      <c r="AI348" s="73" t="str">
        <f t="shared" si="245"/>
        <v/>
      </c>
      <c r="AJ348" s="64">
        <f t="shared" si="213"/>
        <v>0</v>
      </c>
      <c r="AK348" s="64">
        <f t="shared" si="214"/>
        <v>0</v>
      </c>
      <c r="AL348" s="64" t="str">
        <f t="shared" si="215"/>
        <v/>
      </c>
      <c r="AM348">
        <f t="shared" si="216"/>
        <v>3</v>
      </c>
      <c r="AN348" s="85">
        <f>SUM($AD$6:AD348)</f>
        <v>0</v>
      </c>
      <c r="AO348" s="85">
        <f t="shared" ca="1" si="235"/>
        <v>0</v>
      </c>
      <c r="AP348" s="89">
        <f t="shared" si="236"/>
        <v>0</v>
      </c>
      <c r="AQ348" s="89">
        <f t="shared" si="237"/>
        <v>0</v>
      </c>
      <c r="AR348" s="89">
        <f t="shared" si="238"/>
        <v>0</v>
      </c>
      <c r="AS348" s="88">
        <f t="shared" si="239"/>
        <v>30</v>
      </c>
      <c r="AT348" s="88">
        <f t="shared" ca="1" si="240"/>
        <v>30</v>
      </c>
      <c r="AU348" s="98">
        <f t="shared" si="241"/>
        <v>0</v>
      </c>
      <c r="AV348" s="88">
        <f t="shared" si="242"/>
        <v>0</v>
      </c>
      <c r="AW348" t="b">
        <f>OR((F348&gt;0),(NOT(ISBLANK(H348))),SUM(H348:H$373),SUM(G348:G$373))</f>
        <v>0</v>
      </c>
      <c r="AX348" t="b">
        <f t="shared" ca="1" si="217"/>
        <v>0</v>
      </c>
      <c r="AY348" s="519">
        <f t="shared" si="243"/>
        <v>-0.29166666666666669</v>
      </c>
      <c r="AZ348" s="180">
        <f>SUM(AY$5:AY348)</f>
        <v>-69.124999999999872</v>
      </c>
      <c r="BA348" s="567"/>
      <c r="BB348" s="567">
        <f t="shared" si="218"/>
        <v>0</v>
      </c>
      <c r="BC348" s="567"/>
    </row>
    <row r="349" spans="1:55" ht="15.75">
      <c r="A349" s="260">
        <f t="shared" si="244"/>
        <v>45177</v>
      </c>
      <c r="B349" s="261">
        <f t="shared" si="219"/>
        <v>45177</v>
      </c>
      <c r="C349" s="262">
        <f>IF(A349="","",NumberOfWeek(A349))</f>
        <v>36</v>
      </c>
      <c r="D349" s="263">
        <f t="shared" si="220"/>
        <v>45169</v>
      </c>
      <c r="E349" s="273" t="str">
        <f t="shared" si="221"/>
        <v/>
      </c>
      <c r="F349" s="5"/>
      <c r="G349" s="6" t="str">
        <f t="shared" si="206"/>
        <v/>
      </c>
      <c r="H349" s="7"/>
      <c r="I349" s="7">
        <f t="shared" si="222"/>
        <v>0</v>
      </c>
      <c r="J349" s="76">
        <f t="shared" si="223"/>
        <v>0</v>
      </c>
      <c r="K349" s="7"/>
      <c r="L349" s="7">
        <f t="shared" si="224"/>
        <v>0</v>
      </c>
      <c r="M349" s="76">
        <f t="shared" si="207"/>
        <v>0</v>
      </c>
      <c r="N349" s="76"/>
      <c r="O349" s="76">
        <f t="shared" si="208"/>
        <v>0</v>
      </c>
      <c r="P349" s="76"/>
      <c r="Q349" s="76">
        <f t="shared" si="209"/>
        <v>0</v>
      </c>
      <c r="R349" s="76">
        <f t="shared" si="225"/>
        <v>0</v>
      </c>
      <c r="S349" s="76">
        <f t="shared" si="226"/>
        <v>0</v>
      </c>
      <c r="T349" s="76">
        <f t="shared" si="227"/>
        <v>0</v>
      </c>
      <c r="U349" s="76">
        <f t="shared" si="228"/>
        <v>0</v>
      </c>
      <c r="V349" s="109">
        <f t="shared" si="229"/>
        <v>0</v>
      </c>
      <c r="W349" s="62"/>
      <c r="X349" s="78">
        <f t="shared" si="210"/>
        <v>3.125E-2</v>
      </c>
      <c r="Y349" s="73">
        <f t="shared" si="230"/>
        <v>0</v>
      </c>
      <c r="Z349" s="74">
        <f t="shared" si="231"/>
        <v>0.29166666666666669</v>
      </c>
      <c r="AA349" s="75">
        <f t="shared" si="232"/>
        <v>0</v>
      </c>
      <c r="AB349" s="63" t="str">
        <f t="shared" si="233"/>
        <v/>
      </c>
      <c r="AC349" s="148">
        <f t="shared" si="211"/>
        <v>0</v>
      </c>
      <c r="AD349" s="107" t="str">
        <f t="shared" si="212"/>
        <v/>
      </c>
      <c r="AE349" s="180">
        <f t="shared" si="234"/>
        <v>0</v>
      </c>
      <c r="AF349" s="73"/>
      <c r="AG349" s="525"/>
      <c r="AH349" s="73"/>
      <c r="AI349" s="73" t="str">
        <f t="shared" si="245"/>
        <v/>
      </c>
      <c r="AJ349" s="64">
        <f t="shared" si="213"/>
        <v>0</v>
      </c>
      <c r="AK349" s="64">
        <f t="shared" si="214"/>
        <v>0</v>
      </c>
      <c r="AL349" s="64" t="str">
        <f t="shared" si="215"/>
        <v/>
      </c>
      <c r="AM349">
        <f t="shared" si="216"/>
        <v>4</v>
      </c>
      <c r="AN349" s="85">
        <f>SUM($AD$6:AD349)</f>
        <v>0</v>
      </c>
      <c r="AO349" s="85">
        <f t="shared" ca="1" si="235"/>
        <v>0</v>
      </c>
      <c r="AP349" s="89">
        <f t="shared" si="236"/>
        <v>0</v>
      </c>
      <c r="AQ349" s="89">
        <f t="shared" si="237"/>
        <v>0</v>
      </c>
      <c r="AR349" s="89">
        <f t="shared" si="238"/>
        <v>0</v>
      </c>
      <c r="AS349" s="88">
        <f t="shared" si="239"/>
        <v>30</v>
      </c>
      <c r="AT349" s="88">
        <f t="shared" ca="1" si="240"/>
        <v>30</v>
      </c>
      <c r="AU349" s="98">
        <f t="shared" si="241"/>
        <v>0</v>
      </c>
      <c r="AV349" s="88">
        <f t="shared" si="242"/>
        <v>0</v>
      </c>
      <c r="AW349" t="b">
        <f>OR((F349&gt;0),(NOT(ISBLANK(H349))),SUM(H349:H$373),SUM(G349:G$373))</f>
        <v>0</v>
      </c>
      <c r="AX349" t="b">
        <f t="shared" ca="1" si="217"/>
        <v>0</v>
      </c>
      <c r="AY349" s="519">
        <f t="shared" si="243"/>
        <v>-0.29166666666666669</v>
      </c>
      <c r="AZ349" s="180">
        <f>SUM(AY$5:AY349)</f>
        <v>-69.416666666666544</v>
      </c>
      <c r="BA349" s="567"/>
      <c r="BB349" s="567">
        <f t="shared" si="218"/>
        <v>0</v>
      </c>
      <c r="BC349" s="567"/>
    </row>
    <row r="350" spans="1:55" ht="15.75">
      <c r="A350" s="260">
        <f t="shared" si="244"/>
        <v>45178</v>
      </c>
      <c r="B350" s="261">
        <f t="shared" si="219"/>
        <v>45178</v>
      </c>
      <c r="C350" s="262">
        <f>IF(A350="","",NumberOfWeek(A350))</f>
        <v>36</v>
      </c>
      <c r="D350" s="263">
        <f t="shared" si="220"/>
        <v>45169</v>
      </c>
      <c r="E350" s="273" t="str">
        <f t="shared" si="221"/>
        <v/>
      </c>
      <c r="F350" s="5"/>
      <c r="G350" s="6" t="str">
        <f t="shared" si="206"/>
        <v/>
      </c>
      <c r="H350" s="7"/>
      <c r="I350" s="7">
        <f t="shared" ref="I350" si="246">IF(H350&gt;0,H350+Y350+X350+AC350,0)</f>
        <v>0</v>
      </c>
      <c r="J350" s="76">
        <f t="shared" si="223"/>
        <v>0</v>
      </c>
      <c r="K350" s="7"/>
      <c r="L350" s="7">
        <f t="shared" si="224"/>
        <v>0</v>
      </c>
      <c r="M350" s="76">
        <f t="shared" si="207"/>
        <v>0</v>
      </c>
      <c r="N350" s="76"/>
      <c r="O350" s="76">
        <f t="shared" si="208"/>
        <v>0</v>
      </c>
      <c r="P350" s="76"/>
      <c r="Q350" s="76">
        <f t="shared" si="209"/>
        <v>0</v>
      </c>
      <c r="R350" s="76">
        <f t="shared" si="225"/>
        <v>0</v>
      </c>
      <c r="S350" s="76">
        <f t="shared" si="226"/>
        <v>0</v>
      </c>
      <c r="T350" s="76">
        <f t="shared" si="227"/>
        <v>0</v>
      </c>
      <c r="U350" s="76">
        <f t="shared" si="228"/>
        <v>0</v>
      </c>
      <c r="V350" s="109">
        <f t="shared" si="229"/>
        <v>0</v>
      </c>
      <c r="W350" s="62"/>
      <c r="X350" s="78">
        <f t="shared" si="210"/>
        <v>3.125E-2</v>
      </c>
      <c r="Y350" s="73">
        <f t="shared" si="230"/>
        <v>0</v>
      </c>
      <c r="Z350" s="74">
        <f t="shared" si="231"/>
        <v>0.29166666666666669</v>
      </c>
      <c r="AA350" s="75">
        <f t="shared" si="232"/>
        <v>0</v>
      </c>
      <c r="AB350" s="63" t="str">
        <f t="shared" si="233"/>
        <v/>
      </c>
      <c r="AC350" s="148">
        <f t="shared" si="211"/>
        <v>0</v>
      </c>
      <c r="AD350" s="107" t="str">
        <f t="shared" si="212"/>
        <v/>
      </c>
      <c r="AE350" s="180">
        <f t="shared" si="234"/>
        <v>0</v>
      </c>
      <c r="AF350" s="73"/>
      <c r="AG350" s="525"/>
      <c r="AH350" s="73"/>
      <c r="AI350" s="73" t="str">
        <f t="shared" si="245"/>
        <v/>
      </c>
      <c r="AJ350" s="64">
        <f t="shared" si="213"/>
        <v>0</v>
      </c>
      <c r="AK350" s="64">
        <f t="shared" si="214"/>
        <v>0</v>
      </c>
      <c r="AL350" s="64" t="str">
        <f t="shared" si="215"/>
        <v/>
      </c>
      <c r="AM350">
        <f t="shared" si="216"/>
        <v>5</v>
      </c>
      <c r="AN350" s="85">
        <f>SUM($AD$6:AD350)</f>
        <v>0</v>
      </c>
      <c r="AO350" s="85">
        <f t="shared" ca="1" si="235"/>
        <v>0</v>
      </c>
      <c r="AP350" s="89">
        <f t="shared" si="236"/>
        <v>0</v>
      </c>
      <c r="AQ350" s="89">
        <f t="shared" si="237"/>
        <v>0</v>
      </c>
      <c r="AR350" s="89">
        <f t="shared" si="238"/>
        <v>0</v>
      </c>
      <c r="AS350" s="88">
        <f t="shared" si="239"/>
        <v>30</v>
      </c>
      <c r="AT350" s="88">
        <f t="shared" ca="1" si="240"/>
        <v>30</v>
      </c>
      <c r="AU350" s="98">
        <f t="shared" si="241"/>
        <v>0</v>
      </c>
      <c r="AV350" s="88">
        <f t="shared" si="242"/>
        <v>0</v>
      </c>
      <c r="AW350" t="b">
        <f>OR((F350&gt;0),(NOT(ISBLANK(H350))),SUM(H350:H$373),SUM(G350:G$373))</f>
        <v>0</v>
      </c>
      <c r="AX350" t="b">
        <f t="shared" ca="1" si="217"/>
        <v>0</v>
      </c>
      <c r="AY350" s="519">
        <f t="shared" si="243"/>
        <v>-0.29166666666666669</v>
      </c>
      <c r="AZ350" s="180">
        <f>SUM(AY$5:AY350)</f>
        <v>-69.708333333333215</v>
      </c>
      <c r="BA350" s="567"/>
      <c r="BB350" s="567">
        <f t="shared" si="218"/>
        <v>0</v>
      </c>
      <c r="BC350" s="567"/>
    </row>
    <row r="351" spans="1:55" ht="15.75">
      <c r="A351" s="260">
        <f t="shared" si="244"/>
        <v>45179</v>
      </c>
      <c r="B351" s="261">
        <f t="shared" si="219"/>
        <v>45179</v>
      </c>
      <c r="C351" s="262">
        <f>IF(A351="","",NumberOfWeek(A351))</f>
        <v>36</v>
      </c>
      <c r="D351" s="263">
        <f t="shared" si="220"/>
        <v>45169</v>
      </c>
      <c r="E351" s="273" t="str">
        <f t="shared" si="221"/>
        <v/>
      </c>
      <c r="F351" s="5"/>
      <c r="G351" s="6" t="str">
        <f t="shared" si="206"/>
        <v/>
      </c>
      <c r="H351" s="7"/>
      <c r="I351" s="7">
        <f t="shared" si="222"/>
        <v>0</v>
      </c>
      <c r="J351" s="76">
        <f t="shared" si="223"/>
        <v>0</v>
      </c>
      <c r="K351" s="7"/>
      <c r="L351" s="7">
        <f t="shared" si="224"/>
        <v>0</v>
      </c>
      <c r="M351" s="76">
        <f t="shared" si="207"/>
        <v>0</v>
      </c>
      <c r="N351" s="76"/>
      <c r="O351" s="76">
        <f t="shared" si="208"/>
        <v>0</v>
      </c>
      <c r="P351" s="76"/>
      <c r="Q351" s="76">
        <f t="shared" si="209"/>
        <v>0</v>
      </c>
      <c r="R351" s="76">
        <f t="shared" si="225"/>
        <v>0</v>
      </c>
      <c r="S351" s="76">
        <f t="shared" si="226"/>
        <v>0</v>
      </c>
      <c r="T351" s="76">
        <f t="shared" si="227"/>
        <v>0</v>
      </c>
      <c r="U351" s="76">
        <f t="shared" si="228"/>
        <v>0</v>
      </c>
      <c r="V351" s="109">
        <f t="shared" si="229"/>
        <v>0</v>
      </c>
      <c r="W351" s="62"/>
      <c r="X351" s="78">
        <f t="shared" si="210"/>
        <v>3.125E-2</v>
      </c>
      <c r="Y351" s="73">
        <f t="shared" si="230"/>
        <v>0</v>
      </c>
      <c r="Z351" s="74">
        <f t="shared" si="231"/>
        <v>0</v>
      </c>
      <c r="AA351" s="75">
        <f t="shared" si="232"/>
        <v>0</v>
      </c>
      <c r="AB351" s="63" t="str">
        <f t="shared" si="233"/>
        <v/>
      </c>
      <c r="AC351" s="148">
        <f t="shared" si="211"/>
        <v>0</v>
      </c>
      <c r="AD351" s="107" t="str">
        <f t="shared" si="212"/>
        <v/>
      </c>
      <c r="AE351" s="180">
        <f t="shared" si="234"/>
        <v>0</v>
      </c>
      <c r="AF351" s="73"/>
      <c r="AG351" s="525"/>
      <c r="AH351" s="73"/>
      <c r="AI351" s="73" t="str">
        <f t="shared" si="245"/>
        <v/>
      </c>
      <c r="AJ351" s="64">
        <f t="shared" si="213"/>
        <v>0</v>
      </c>
      <c r="AK351" s="64">
        <f t="shared" si="214"/>
        <v>0</v>
      </c>
      <c r="AL351" s="64" t="str">
        <f t="shared" si="215"/>
        <v/>
      </c>
      <c r="AM351">
        <f t="shared" si="216"/>
        <v>6</v>
      </c>
      <c r="AN351" s="85">
        <f>SUM($AD$6:AD351)</f>
        <v>0</v>
      </c>
      <c r="AO351" s="85">
        <f t="shared" ca="1" si="235"/>
        <v>0</v>
      </c>
      <c r="AP351" s="89">
        <f t="shared" si="236"/>
        <v>0</v>
      </c>
      <c r="AQ351" s="89">
        <f t="shared" si="237"/>
        <v>0</v>
      </c>
      <c r="AR351" s="89">
        <f t="shared" si="238"/>
        <v>0</v>
      </c>
      <c r="AS351" s="88">
        <f t="shared" si="239"/>
        <v>30</v>
      </c>
      <c r="AT351" s="88">
        <f t="shared" ca="1" si="240"/>
        <v>30</v>
      </c>
      <c r="AU351" s="98">
        <f t="shared" si="241"/>
        <v>0</v>
      </c>
      <c r="AV351" s="88">
        <f t="shared" si="242"/>
        <v>7</v>
      </c>
      <c r="AW351" t="b">
        <f>OR((F351&gt;0),(NOT(ISBLANK(H351))),SUM(H351:H$373),SUM(G351:G$373))</f>
        <v>0</v>
      </c>
      <c r="AX351" t="b">
        <f t="shared" ca="1" si="217"/>
        <v>1</v>
      </c>
      <c r="AY351" s="519">
        <f t="shared" si="243"/>
        <v>0</v>
      </c>
      <c r="AZ351" s="180">
        <f>SUM(AY$5:AY351)</f>
        <v>-69.708333333333215</v>
      </c>
      <c r="BA351" s="567"/>
      <c r="BB351" s="567">
        <f t="shared" si="218"/>
        <v>0</v>
      </c>
      <c r="BC351" s="567"/>
    </row>
    <row r="352" spans="1:55" ht="15.75">
      <c r="A352" s="260">
        <f t="shared" si="244"/>
        <v>45180</v>
      </c>
      <c r="B352" s="261">
        <f t="shared" si="219"/>
        <v>45180</v>
      </c>
      <c r="C352" s="262">
        <f>IF(A352="","",NumberOfWeek(A352))</f>
        <v>36</v>
      </c>
      <c r="D352" s="263">
        <f t="shared" si="220"/>
        <v>45169</v>
      </c>
      <c r="E352" s="273" t="str">
        <f t="shared" si="221"/>
        <v/>
      </c>
      <c r="F352" s="5"/>
      <c r="G352" s="6" t="str">
        <f t="shared" si="206"/>
        <v/>
      </c>
      <c r="H352" s="7"/>
      <c r="I352" s="7">
        <f t="shared" si="222"/>
        <v>0</v>
      </c>
      <c r="J352" s="76">
        <f t="shared" si="223"/>
        <v>0</v>
      </c>
      <c r="K352" s="7"/>
      <c r="L352" s="7">
        <f t="shared" si="224"/>
        <v>0</v>
      </c>
      <c r="M352" s="76">
        <f t="shared" si="207"/>
        <v>0</v>
      </c>
      <c r="N352" s="76"/>
      <c r="O352" s="76">
        <f t="shared" si="208"/>
        <v>0</v>
      </c>
      <c r="P352" s="76"/>
      <c r="Q352" s="76">
        <f t="shared" si="209"/>
        <v>0</v>
      </c>
      <c r="R352" s="76">
        <f t="shared" si="225"/>
        <v>0</v>
      </c>
      <c r="S352" s="76">
        <f t="shared" si="226"/>
        <v>0</v>
      </c>
      <c r="T352" s="76">
        <f t="shared" si="227"/>
        <v>0</v>
      </c>
      <c r="U352" s="76">
        <f t="shared" si="228"/>
        <v>0</v>
      </c>
      <c r="V352" s="109">
        <f t="shared" si="229"/>
        <v>0</v>
      </c>
      <c r="W352" s="62"/>
      <c r="X352" s="78">
        <f t="shared" si="210"/>
        <v>3.125E-2</v>
      </c>
      <c r="Y352" s="73">
        <f t="shared" si="230"/>
        <v>0</v>
      </c>
      <c r="Z352" s="74">
        <f t="shared" si="231"/>
        <v>0</v>
      </c>
      <c r="AA352" s="75">
        <f t="shared" si="232"/>
        <v>0</v>
      </c>
      <c r="AB352" s="63" t="str">
        <f t="shared" si="233"/>
        <v/>
      </c>
      <c r="AC352" s="148">
        <f t="shared" si="211"/>
        <v>0</v>
      </c>
      <c r="AD352" s="107" t="str">
        <f t="shared" si="212"/>
        <v/>
      </c>
      <c r="AE352" s="180">
        <f t="shared" si="234"/>
        <v>0</v>
      </c>
      <c r="AF352" s="73"/>
      <c r="AG352" s="525"/>
      <c r="AH352" s="73"/>
      <c r="AI352" s="73" t="str">
        <f t="shared" si="245"/>
        <v/>
      </c>
      <c r="AJ352" s="64">
        <f t="shared" si="213"/>
        <v>0</v>
      </c>
      <c r="AK352" s="64">
        <f t="shared" si="214"/>
        <v>0</v>
      </c>
      <c r="AL352" s="64" t="str">
        <f t="shared" si="215"/>
        <v/>
      </c>
      <c r="AM352">
        <f t="shared" si="216"/>
        <v>7</v>
      </c>
      <c r="AN352" s="85">
        <f>SUM($AD$6:AD352)</f>
        <v>0</v>
      </c>
      <c r="AO352" s="85">
        <f t="shared" ca="1" si="235"/>
        <v>0</v>
      </c>
      <c r="AP352" s="89">
        <f t="shared" si="236"/>
        <v>0</v>
      </c>
      <c r="AQ352" s="89">
        <f t="shared" si="237"/>
        <v>0</v>
      </c>
      <c r="AR352" s="89">
        <f t="shared" si="238"/>
        <v>0</v>
      </c>
      <c r="AS352" s="88">
        <f t="shared" si="239"/>
        <v>30</v>
      </c>
      <c r="AT352" s="88">
        <f t="shared" ca="1" si="240"/>
        <v>30</v>
      </c>
      <c r="AU352" s="98">
        <f t="shared" si="241"/>
        <v>0</v>
      </c>
      <c r="AV352" s="88">
        <f t="shared" si="242"/>
        <v>7</v>
      </c>
      <c r="AW352" t="b">
        <f>OR((F352&gt;0),(NOT(ISBLANK(H352))),SUM(H352:H$373),SUM(G352:G$373))</f>
        <v>0</v>
      </c>
      <c r="AX352" t="b">
        <f t="shared" ca="1" si="217"/>
        <v>1</v>
      </c>
      <c r="AY352" s="519">
        <f t="shared" si="243"/>
        <v>0</v>
      </c>
      <c r="AZ352" s="180">
        <f>SUM(AY$5:AY352)</f>
        <v>-69.708333333333215</v>
      </c>
      <c r="BA352" s="567"/>
      <c r="BB352" s="567">
        <f t="shared" si="218"/>
        <v>0</v>
      </c>
      <c r="BC352" s="567"/>
    </row>
    <row r="353" spans="1:55" ht="15.75">
      <c r="A353" s="260">
        <f t="shared" si="244"/>
        <v>45181</v>
      </c>
      <c r="B353" s="261">
        <f t="shared" si="219"/>
        <v>45181</v>
      </c>
      <c r="C353" s="262">
        <f>IF(A353="","",NumberOfWeek(A353))</f>
        <v>37</v>
      </c>
      <c r="D353" s="263">
        <f t="shared" si="220"/>
        <v>45169</v>
      </c>
      <c r="E353" s="273" t="str">
        <f t="shared" si="221"/>
        <v/>
      </c>
      <c r="F353" s="5"/>
      <c r="G353" s="6" t="str">
        <f t="shared" si="206"/>
        <v/>
      </c>
      <c r="H353" s="7"/>
      <c r="I353" s="7">
        <f t="shared" si="222"/>
        <v>0</v>
      </c>
      <c r="J353" s="76">
        <f t="shared" si="223"/>
        <v>0</v>
      </c>
      <c r="K353" s="7"/>
      <c r="L353" s="7">
        <f t="shared" si="224"/>
        <v>0</v>
      </c>
      <c r="M353" s="76">
        <f t="shared" si="207"/>
        <v>0</v>
      </c>
      <c r="N353" s="76"/>
      <c r="O353" s="76">
        <f t="shared" si="208"/>
        <v>0</v>
      </c>
      <c r="P353" s="76"/>
      <c r="Q353" s="76">
        <f t="shared" si="209"/>
        <v>0</v>
      </c>
      <c r="R353" s="76">
        <f t="shared" si="225"/>
        <v>0</v>
      </c>
      <c r="S353" s="76">
        <f t="shared" si="226"/>
        <v>0</v>
      </c>
      <c r="T353" s="76">
        <f t="shared" si="227"/>
        <v>0</v>
      </c>
      <c r="U353" s="76">
        <f t="shared" si="228"/>
        <v>0</v>
      </c>
      <c r="V353" s="109">
        <f t="shared" si="229"/>
        <v>0</v>
      </c>
      <c r="W353" s="62"/>
      <c r="X353" s="78">
        <f t="shared" si="210"/>
        <v>3.125E-2</v>
      </c>
      <c r="Y353" s="73">
        <f t="shared" si="230"/>
        <v>0</v>
      </c>
      <c r="Z353" s="74">
        <f t="shared" si="231"/>
        <v>0.29166666666666669</v>
      </c>
      <c r="AA353" s="75">
        <f t="shared" si="232"/>
        <v>0</v>
      </c>
      <c r="AB353" s="63" t="str">
        <f t="shared" si="233"/>
        <v/>
      </c>
      <c r="AC353" s="148">
        <f t="shared" si="211"/>
        <v>0</v>
      </c>
      <c r="AD353" s="107" t="str">
        <f t="shared" si="212"/>
        <v/>
      </c>
      <c r="AE353" s="180">
        <f t="shared" si="234"/>
        <v>0</v>
      </c>
      <c r="AF353" s="73"/>
      <c r="AG353" s="525"/>
      <c r="AH353" s="73"/>
      <c r="AI353" s="73" t="str">
        <f t="shared" si="245"/>
        <v/>
      </c>
      <c r="AJ353" s="64">
        <f t="shared" si="213"/>
        <v>0</v>
      </c>
      <c r="AK353" s="64">
        <f t="shared" si="214"/>
        <v>0</v>
      </c>
      <c r="AL353" s="64" t="str">
        <f t="shared" si="215"/>
        <v/>
      </c>
      <c r="AM353">
        <f t="shared" si="216"/>
        <v>1</v>
      </c>
      <c r="AN353" s="85">
        <f>SUM($AD$6:AD353)</f>
        <v>0</v>
      </c>
      <c r="AO353" s="85">
        <f t="shared" ca="1" si="235"/>
        <v>0</v>
      </c>
      <c r="AP353" s="89">
        <f t="shared" si="236"/>
        <v>0</v>
      </c>
      <c r="AQ353" s="89">
        <f t="shared" si="237"/>
        <v>0</v>
      </c>
      <c r="AR353" s="89">
        <f t="shared" si="238"/>
        <v>0</v>
      </c>
      <c r="AS353" s="88">
        <f t="shared" si="239"/>
        <v>30</v>
      </c>
      <c r="AT353" s="88">
        <f t="shared" ca="1" si="240"/>
        <v>30</v>
      </c>
      <c r="AU353" s="98">
        <f t="shared" si="241"/>
        <v>0</v>
      </c>
      <c r="AV353" s="88">
        <f t="shared" si="242"/>
        <v>0</v>
      </c>
      <c r="AW353" t="b">
        <f>OR((F353&gt;0),(NOT(ISBLANK(H353))),SUM(H353:H$373),SUM(G353:G$373))</f>
        <v>0</v>
      </c>
      <c r="AX353" t="b">
        <f t="shared" ca="1" si="217"/>
        <v>0</v>
      </c>
      <c r="AY353" s="519">
        <f t="shared" si="243"/>
        <v>-0.29166666666666669</v>
      </c>
      <c r="AZ353" s="180">
        <f>SUM(AY$5:AY353)</f>
        <v>-69.999999999999886</v>
      </c>
      <c r="BA353" s="567"/>
      <c r="BB353" s="567">
        <f t="shared" si="218"/>
        <v>0</v>
      </c>
      <c r="BC353" s="567"/>
    </row>
    <row r="354" spans="1:55" ht="15.75">
      <c r="A354" s="260">
        <f t="shared" si="244"/>
        <v>45182</v>
      </c>
      <c r="B354" s="261">
        <f t="shared" si="219"/>
        <v>45182</v>
      </c>
      <c r="C354" s="262">
        <f>IF(A354="","",NumberOfWeek(A354))</f>
        <v>37</v>
      </c>
      <c r="D354" s="263">
        <f t="shared" si="220"/>
        <v>45169</v>
      </c>
      <c r="E354" s="273" t="str">
        <f t="shared" si="221"/>
        <v/>
      </c>
      <c r="F354" s="5"/>
      <c r="G354" s="6" t="str">
        <f t="shared" si="206"/>
        <v/>
      </c>
      <c r="H354" s="7"/>
      <c r="I354" s="7">
        <f t="shared" si="222"/>
        <v>0</v>
      </c>
      <c r="J354" s="76">
        <f t="shared" si="223"/>
        <v>0</v>
      </c>
      <c r="K354" s="7"/>
      <c r="L354" s="7">
        <f t="shared" si="224"/>
        <v>0</v>
      </c>
      <c r="M354" s="76">
        <f t="shared" si="207"/>
        <v>0</v>
      </c>
      <c r="N354" s="76"/>
      <c r="O354" s="76">
        <f t="shared" si="208"/>
        <v>0</v>
      </c>
      <c r="P354" s="76"/>
      <c r="Q354" s="76">
        <f t="shared" si="209"/>
        <v>0</v>
      </c>
      <c r="R354" s="76">
        <f t="shared" si="225"/>
        <v>0</v>
      </c>
      <c r="S354" s="76">
        <f t="shared" si="226"/>
        <v>0</v>
      </c>
      <c r="T354" s="76">
        <f t="shared" si="227"/>
        <v>0</v>
      </c>
      <c r="U354" s="76">
        <f t="shared" si="228"/>
        <v>0</v>
      </c>
      <c r="V354" s="109">
        <f t="shared" si="229"/>
        <v>0</v>
      </c>
      <c r="W354" s="62"/>
      <c r="X354" s="78">
        <f t="shared" si="210"/>
        <v>3.125E-2</v>
      </c>
      <c r="Y354" s="73">
        <f t="shared" si="230"/>
        <v>0</v>
      </c>
      <c r="Z354" s="74">
        <f t="shared" si="231"/>
        <v>0.29166666666666669</v>
      </c>
      <c r="AA354" s="75">
        <f t="shared" si="232"/>
        <v>0</v>
      </c>
      <c r="AB354" s="63" t="str">
        <f t="shared" si="233"/>
        <v/>
      </c>
      <c r="AC354" s="148">
        <f t="shared" si="211"/>
        <v>0</v>
      </c>
      <c r="AD354" s="107" t="str">
        <f t="shared" si="212"/>
        <v/>
      </c>
      <c r="AE354" s="180">
        <f t="shared" si="234"/>
        <v>0</v>
      </c>
      <c r="AF354" s="73"/>
      <c r="AG354" s="525"/>
      <c r="AH354" s="73"/>
      <c r="AI354" s="73" t="str">
        <f t="shared" si="245"/>
        <v/>
      </c>
      <c r="AJ354" s="64">
        <f t="shared" si="213"/>
        <v>0</v>
      </c>
      <c r="AK354" s="64">
        <f t="shared" si="214"/>
        <v>0</v>
      </c>
      <c r="AL354" s="64" t="str">
        <f t="shared" si="215"/>
        <v/>
      </c>
      <c r="AM354">
        <f t="shared" si="216"/>
        <v>2</v>
      </c>
      <c r="AN354" s="85">
        <f>SUM($AD$6:AD354)</f>
        <v>0</v>
      </c>
      <c r="AO354" s="85">
        <f t="shared" ca="1" si="235"/>
        <v>0</v>
      </c>
      <c r="AP354" s="89">
        <f t="shared" si="236"/>
        <v>0</v>
      </c>
      <c r="AQ354" s="89">
        <f t="shared" si="237"/>
        <v>0</v>
      </c>
      <c r="AR354" s="89">
        <f t="shared" si="238"/>
        <v>0</v>
      </c>
      <c r="AS354" s="88">
        <f t="shared" si="239"/>
        <v>30</v>
      </c>
      <c r="AT354" s="88">
        <f t="shared" ca="1" si="240"/>
        <v>30</v>
      </c>
      <c r="AU354" s="98">
        <f t="shared" si="241"/>
        <v>0</v>
      </c>
      <c r="AV354" s="88">
        <f t="shared" si="242"/>
        <v>0</v>
      </c>
      <c r="AW354" t="b">
        <f>OR((F354&gt;0),(NOT(ISBLANK(H354))),SUM(H354:H$373),SUM(G354:G$373))</f>
        <v>0</v>
      </c>
      <c r="AX354" t="b">
        <f t="shared" ca="1" si="217"/>
        <v>0</v>
      </c>
      <c r="AY354" s="519">
        <f t="shared" si="243"/>
        <v>-0.29166666666666669</v>
      </c>
      <c r="AZ354" s="180">
        <f>SUM(AY$5:AY354)</f>
        <v>-70.291666666666558</v>
      </c>
      <c r="BA354" s="567"/>
      <c r="BB354" s="567">
        <f t="shared" si="218"/>
        <v>0</v>
      </c>
      <c r="BC354" s="567"/>
    </row>
    <row r="355" spans="1:55" ht="15.75">
      <c r="A355" s="260">
        <f t="shared" si="244"/>
        <v>45183</v>
      </c>
      <c r="B355" s="261">
        <f t="shared" si="219"/>
        <v>45183</v>
      </c>
      <c r="C355" s="262">
        <f>IF(A355="","",NumberOfWeek(A355))</f>
        <v>37</v>
      </c>
      <c r="D355" s="263">
        <f t="shared" si="220"/>
        <v>45169</v>
      </c>
      <c r="E355" s="273" t="str">
        <f t="shared" si="221"/>
        <v/>
      </c>
      <c r="F355" s="5"/>
      <c r="G355" s="6" t="str">
        <f t="shared" si="206"/>
        <v/>
      </c>
      <c r="H355" s="7"/>
      <c r="I355" s="7">
        <f t="shared" si="222"/>
        <v>0</v>
      </c>
      <c r="J355" s="76">
        <f t="shared" si="223"/>
        <v>0</v>
      </c>
      <c r="K355" s="7"/>
      <c r="L355" s="7">
        <f t="shared" si="224"/>
        <v>0</v>
      </c>
      <c r="M355" s="76">
        <f t="shared" si="207"/>
        <v>0</v>
      </c>
      <c r="N355" s="76"/>
      <c r="O355" s="76">
        <f t="shared" si="208"/>
        <v>0</v>
      </c>
      <c r="P355" s="76"/>
      <c r="Q355" s="76">
        <f t="shared" si="209"/>
        <v>0</v>
      </c>
      <c r="R355" s="76">
        <f t="shared" si="225"/>
        <v>0</v>
      </c>
      <c r="S355" s="76">
        <f t="shared" si="226"/>
        <v>0</v>
      </c>
      <c r="T355" s="76">
        <f t="shared" si="227"/>
        <v>0</v>
      </c>
      <c r="U355" s="76">
        <f t="shared" si="228"/>
        <v>0</v>
      </c>
      <c r="V355" s="109">
        <f t="shared" si="229"/>
        <v>0</v>
      </c>
      <c r="W355" s="62"/>
      <c r="X355" s="78">
        <f t="shared" si="210"/>
        <v>3.125E-2</v>
      </c>
      <c r="Y355" s="73">
        <f t="shared" si="230"/>
        <v>0</v>
      </c>
      <c r="Z355" s="74">
        <f t="shared" si="231"/>
        <v>0.29166666666666669</v>
      </c>
      <c r="AA355" s="75">
        <f t="shared" si="232"/>
        <v>0</v>
      </c>
      <c r="AB355" s="63" t="str">
        <f t="shared" si="233"/>
        <v/>
      </c>
      <c r="AC355" s="148">
        <f t="shared" si="211"/>
        <v>0</v>
      </c>
      <c r="AD355" s="107" t="str">
        <f t="shared" si="212"/>
        <v/>
      </c>
      <c r="AE355" s="180">
        <f t="shared" si="234"/>
        <v>0</v>
      </c>
      <c r="AF355" s="73"/>
      <c r="AG355" s="525"/>
      <c r="AH355" s="73"/>
      <c r="AI355" s="73" t="str">
        <f t="shared" si="245"/>
        <v/>
      </c>
      <c r="AJ355" s="64">
        <f t="shared" si="213"/>
        <v>0</v>
      </c>
      <c r="AK355" s="64">
        <f t="shared" si="214"/>
        <v>0</v>
      </c>
      <c r="AL355" s="64" t="str">
        <f t="shared" si="215"/>
        <v/>
      </c>
      <c r="AM355">
        <f t="shared" si="216"/>
        <v>3</v>
      </c>
      <c r="AN355" s="85">
        <f>SUM($AD$6:AD355)</f>
        <v>0</v>
      </c>
      <c r="AO355" s="85">
        <f t="shared" ca="1" si="235"/>
        <v>0</v>
      </c>
      <c r="AP355" s="89">
        <f t="shared" si="236"/>
        <v>0</v>
      </c>
      <c r="AQ355" s="89">
        <f t="shared" si="237"/>
        <v>0</v>
      </c>
      <c r="AR355" s="89">
        <f t="shared" si="238"/>
        <v>0</v>
      </c>
      <c r="AS355" s="88">
        <f t="shared" si="239"/>
        <v>30</v>
      </c>
      <c r="AT355" s="88">
        <f t="shared" ca="1" si="240"/>
        <v>30</v>
      </c>
      <c r="AU355" s="98">
        <f t="shared" si="241"/>
        <v>0</v>
      </c>
      <c r="AV355" s="88">
        <f t="shared" si="242"/>
        <v>0</v>
      </c>
      <c r="AW355" t="b">
        <f>OR((F355&gt;0),(NOT(ISBLANK(H355))),SUM(H355:H$373),SUM(G355:G$373))</f>
        <v>0</v>
      </c>
      <c r="AX355" t="b">
        <f t="shared" ca="1" si="217"/>
        <v>0</v>
      </c>
      <c r="AY355" s="519">
        <f t="shared" si="243"/>
        <v>-0.29166666666666669</v>
      </c>
      <c r="AZ355" s="180">
        <f>SUM(AY$5:AY355)</f>
        <v>-70.583333333333229</v>
      </c>
      <c r="BA355" s="567"/>
      <c r="BB355" s="567">
        <f t="shared" si="218"/>
        <v>0</v>
      </c>
      <c r="BC355" s="567"/>
    </row>
    <row r="356" spans="1:55" ht="15.75">
      <c r="A356" s="260">
        <f t="shared" si="244"/>
        <v>45184</v>
      </c>
      <c r="B356" s="261">
        <f t="shared" si="219"/>
        <v>45184</v>
      </c>
      <c r="C356" s="262">
        <f>IF(A356="","",NumberOfWeek(A356))</f>
        <v>37</v>
      </c>
      <c r="D356" s="263">
        <f t="shared" si="220"/>
        <v>45169</v>
      </c>
      <c r="E356" s="273" t="str">
        <f t="shared" si="221"/>
        <v/>
      </c>
      <c r="F356" s="5"/>
      <c r="G356" s="6" t="str">
        <f t="shared" si="206"/>
        <v/>
      </c>
      <c r="H356" s="7"/>
      <c r="I356" s="7">
        <f t="shared" si="222"/>
        <v>0</v>
      </c>
      <c r="J356" s="76">
        <f t="shared" si="223"/>
        <v>0</v>
      </c>
      <c r="K356" s="7"/>
      <c r="L356" s="7">
        <f t="shared" si="224"/>
        <v>0</v>
      </c>
      <c r="M356" s="76">
        <f t="shared" si="207"/>
        <v>0</v>
      </c>
      <c r="N356" s="76"/>
      <c r="O356" s="76">
        <f t="shared" si="208"/>
        <v>0</v>
      </c>
      <c r="P356" s="76"/>
      <c r="Q356" s="76">
        <f t="shared" si="209"/>
        <v>0</v>
      </c>
      <c r="R356" s="76">
        <f t="shared" si="225"/>
        <v>0</v>
      </c>
      <c r="S356" s="76">
        <f t="shared" si="226"/>
        <v>0</v>
      </c>
      <c r="T356" s="76">
        <f t="shared" si="227"/>
        <v>0</v>
      </c>
      <c r="U356" s="76">
        <f t="shared" si="228"/>
        <v>0</v>
      </c>
      <c r="V356" s="109">
        <f t="shared" si="229"/>
        <v>0</v>
      </c>
      <c r="W356" s="62"/>
      <c r="X356" s="78">
        <f t="shared" si="210"/>
        <v>3.125E-2</v>
      </c>
      <c r="Y356" s="73">
        <f t="shared" si="230"/>
        <v>0</v>
      </c>
      <c r="Z356" s="74">
        <f t="shared" si="231"/>
        <v>0.29166666666666669</v>
      </c>
      <c r="AA356" s="75">
        <f t="shared" si="232"/>
        <v>0</v>
      </c>
      <c r="AB356" s="63" t="str">
        <f t="shared" si="233"/>
        <v/>
      </c>
      <c r="AC356" s="148">
        <f t="shared" si="211"/>
        <v>0</v>
      </c>
      <c r="AD356" s="107" t="str">
        <f t="shared" si="212"/>
        <v/>
      </c>
      <c r="AE356" s="180">
        <f t="shared" si="234"/>
        <v>0</v>
      </c>
      <c r="AF356" s="73"/>
      <c r="AG356" s="525"/>
      <c r="AH356" s="73"/>
      <c r="AI356" s="73" t="str">
        <f t="shared" si="245"/>
        <v/>
      </c>
      <c r="AJ356" s="64">
        <f t="shared" si="213"/>
        <v>0</v>
      </c>
      <c r="AK356" s="64">
        <f t="shared" si="214"/>
        <v>0</v>
      </c>
      <c r="AL356" s="64" t="str">
        <f t="shared" si="215"/>
        <v/>
      </c>
      <c r="AM356">
        <f t="shared" si="216"/>
        <v>4</v>
      </c>
      <c r="AN356" s="85">
        <f>SUM($AD$6:AD356)</f>
        <v>0</v>
      </c>
      <c r="AO356" s="85">
        <f t="shared" ca="1" si="235"/>
        <v>0</v>
      </c>
      <c r="AP356" s="89">
        <f t="shared" si="236"/>
        <v>0</v>
      </c>
      <c r="AQ356" s="89">
        <f t="shared" si="237"/>
        <v>0</v>
      </c>
      <c r="AR356" s="89">
        <f t="shared" si="238"/>
        <v>0</v>
      </c>
      <c r="AS356" s="88">
        <f t="shared" si="239"/>
        <v>30</v>
      </c>
      <c r="AT356" s="88">
        <f t="shared" ca="1" si="240"/>
        <v>30</v>
      </c>
      <c r="AU356" s="98">
        <f t="shared" si="241"/>
        <v>0</v>
      </c>
      <c r="AV356" s="88">
        <f t="shared" si="242"/>
        <v>0</v>
      </c>
      <c r="AW356" t="b">
        <f>OR((F356&gt;0),(NOT(ISBLANK(H356))),SUM(H356:H$373),SUM(G356:G$373))</f>
        <v>0</v>
      </c>
      <c r="AX356" t="b">
        <f t="shared" ca="1" si="217"/>
        <v>0</v>
      </c>
      <c r="AY356" s="519">
        <f t="shared" si="243"/>
        <v>-0.29166666666666669</v>
      </c>
      <c r="AZ356" s="180">
        <f>SUM(AY$5:AY356)</f>
        <v>-70.874999999999901</v>
      </c>
      <c r="BA356" s="567"/>
      <c r="BB356" s="567">
        <f t="shared" si="218"/>
        <v>0</v>
      </c>
      <c r="BC356" s="567"/>
    </row>
    <row r="357" spans="1:55" ht="15.75">
      <c r="A357" s="260">
        <f t="shared" si="244"/>
        <v>45185</v>
      </c>
      <c r="B357" s="261">
        <f t="shared" si="219"/>
        <v>45185</v>
      </c>
      <c r="C357" s="262">
        <f>IF(A357="","",NumberOfWeek(A357))</f>
        <v>37</v>
      </c>
      <c r="D357" s="263">
        <f t="shared" si="220"/>
        <v>45169</v>
      </c>
      <c r="E357" s="273" t="str">
        <f t="shared" si="221"/>
        <v/>
      </c>
      <c r="F357" s="5"/>
      <c r="G357" s="6" t="str">
        <f t="shared" si="206"/>
        <v/>
      </c>
      <c r="H357" s="7"/>
      <c r="I357" s="7">
        <f t="shared" si="222"/>
        <v>0</v>
      </c>
      <c r="J357" s="76">
        <f t="shared" si="223"/>
        <v>0</v>
      </c>
      <c r="K357" s="7"/>
      <c r="L357" s="7">
        <f t="shared" si="224"/>
        <v>0</v>
      </c>
      <c r="M357" s="76">
        <f t="shared" si="207"/>
        <v>0</v>
      </c>
      <c r="N357" s="76"/>
      <c r="O357" s="76">
        <f t="shared" si="208"/>
        <v>0</v>
      </c>
      <c r="P357" s="76"/>
      <c r="Q357" s="76">
        <f t="shared" si="209"/>
        <v>0</v>
      </c>
      <c r="R357" s="76">
        <f t="shared" si="225"/>
        <v>0</v>
      </c>
      <c r="S357" s="76">
        <f t="shared" si="226"/>
        <v>0</v>
      </c>
      <c r="T357" s="76">
        <f t="shared" si="227"/>
        <v>0</v>
      </c>
      <c r="U357" s="76">
        <f t="shared" si="228"/>
        <v>0</v>
      </c>
      <c r="V357" s="109">
        <f t="shared" si="229"/>
        <v>0</v>
      </c>
      <c r="W357" s="62"/>
      <c r="X357" s="78">
        <f t="shared" si="210"/>
        <v>3.125E-2</v>
      </c>
      <c r="Y357" s="73">
        <f t="shared" si="230"/>
        <v>0</v>
      </c>
      <c r="Z357" s="74">
        <f t="shared" si="231"/>
        <v>0.29166666666666669</v>
      </c>
      <c r="AA357" s="75">
        <f t="shared" si="232"/>
        <v>0</v>
      </c>
      <c r="AB357" s="63" t="str">
        <f t="shared" si="233"/>
        <v/>
      </c>
      <c r="AC357" s="148">
        <f t="shared" si="211"/>
        <v>0</v>
      </c>
      <c r="AD357" s="107" t="str">
        <f t="shared" si="212"/>
        <v/>
      </c>
      <c r="AE357" s="180">
        <f t="shared" si="234"/>
        <v>0</v>
      </c>
      <c r="AF357" s="73"/>
      <c r="AG357" s="525"/>
      <c r="AH357" s="73"/>
      <c r="AI357" s="73" t="str">
        <f t="shared" si="245"/>
        <v/>
      </c>
      <c r="AJ357" s="64">
        <f t="shared" si="213"/>
        <v>0</v>
      </c>
      <c r="AK357" s="64">
        <f t="shared" si="214"/>
        <v>0</v>
      </c>
      <c r="AL357" s="64" t="str">
        <f t="shared" si="215"/>
        <v/>
      </c>
      <c r="AM357">
        <f t="shared" si="216"/>
        <v>5</v>
      </c>
      <c r="AN357" s="85">
        <f>SUM($AD$6:AD357)</f>
        <v>0</v>
      </c>
      <c r="AO357" s="85">
        <f t="shared" ca="1" si="235"/>
        <v>0</v>
      </c>
      <c r="AP357" s="89">
        <f t="shared" si="236"/>
        <v>0</v>
      </c>
      <c r="AQ357" s="89">
        <f t="shared" si="237"/>
        <v>0</v>
      </c>
      <c r="AR357" s="89">
        <f t="shared" si="238"/>
        <v>0</v>
      </c>
      <c r="AS357" s="88">
        <f t="shared" si="239"/>
        <v>30</v>
      </c>
      <c r="AT357" s="88">
        <f t="shared" ca="1" si="240"/>
        <v>30</v>
      </c>
      <c r="AU357" s="98">
        <f t="shared" si="241"/>
        <v>0</v>
      </c>
      <c r="AV357" s="88">
        <f t="shared" si="242"/>
        <v>0</v>
      </c>
      <c r="AW357" t="b">
        <f>OR((F357&gt;0),(NOT(ISBLANK(H357))),SUM(H357:H$373),SUM(G357:G$373))</f>
        <v>0</v>
      </c>
      <c r="AX357" t="b">
        <f t="shared" ca="1" si="217"/>
        <v>0</v>
      </c>
      <c r="AY357" s="519">
        <f t="shared" si="243"/>
        <v>-0.29166666666666669</v>
      </c>
      <c r="AZ357" s="180">
        <f>SUM(AY$5:AY357)</f>
        <v>-71.166666666666572</v>
      </c>
      <c r="BA357" s="567"/>
      <c r="BB357" s="567">
        <f t="shared" si="218"/>
        <v>0</v>
      </c>
      <c r="BC357" s="567"/>
    </row>
    <row r="358" spans="1:55" ht="15.75">
      <c r="A358" s="260">
        <f t="shared" si="244"/>
        <v>45186</v>
      </c>
      <c r="B358" s="261">
        <f t="shared" si="219"/>
        <v>45186</v>
      </c>
      <c r="C358" s="262">
        <f>IF(A358="","",NumberOfWeek(A358))</f>
        <v>37</v>
      </c>
      <c r="D358" s="263">
        <f t="shared" si="220"/>
        <v>45169</v>
      </c>
      <c r="E358" s="273" t="str">
        <f t="shared" si="221"/>
        <v/>
      </c>
      <c r="F358" s="5"/>
      <c r="G358" s="6" t="str">
        <f t="shared" si="206"/>
        <v/>
      </c>
      <c r="H358" s="7"/>
      <c r="I358" s="7">
        <f t="shared" si="222"/>
        <v>0</v>
      </c>
      <c r="J358" s="76">
        <f t="shared" si="223"/>
        <v>0</v>
      </c>
      <c r="K358" s="7"/>
      <c r="L358" s="7">
        <f t="shared" si="224"/>
        <v>0</v>
      </c>
      <c r="M358" s="76">
        <f t="shared" si="207"/>
        <v>0</v>
      </c>
      <c r="N358" s="76"/>
      <c r="O358" s="76">
        <f t="shared" si="208"/>
        <v>0</v>
      </c>
      <c r="P358" s="76"/>
      <c r="Q358" s="76">
        <f t="shared" si="209"/>
        <v>0</v>
      </c>
      <c r="R358" s="76">
        <f t="shared" si="225"/>
        <v>0</v>
      </c>
      <c r="S358" s="76">
        <f t="shared" si="226"/>
        <v>0</v>
      </c>
      <c r="T358" s="76">
        <f t="shared" si="227"/>
        <v>0</v>
      </c>
      <c r="U358" s="76">
        <f t="shared" si="228"/>
        <v>0</v>
      </c>
      <c r="V358" s="109">
        <f t="shared" si="229"/>
        <v>0</v>
      </c>
      <c r="W358" s="62"/>
      <c r="X358" s="78">
        <f t="shared" si="210"/>
        <v>3.125E-2</v>
      </c>
      <c r="Y358" s="73">
        <f t="shared" si="230"/>
        <v>0</v>
      </c>
      <c r="Z358" s="74">
        <f t="shared" si="231"/>
        <v>0</v>
      </c>
      <c r="AA358" s="75">
        <f t="shared" si="232"/>
        <v>0</v>
      </c>
      <c r="AB358" s="63" t="str">
        <f t="shared" si="233"/>
        <v/>
      </c>
      <c r="AC358" s="148">
        <f t="shared" si="211"/>
        <v>0</v>
      </c>
      <c r="AD358" s="107" t="str">
        <f t="shared" si="212"/>
        <v/>
      </c>
      <c r="AE358" s="180">
        <f t="shared" si="234"/>
        <v>0</v>
      </c>
      <c r="AF358" s="73"/>
      <c r="AG358" s="525"/>
      <c r="AH358" s="73"/>
      <c r="AI358" s="73" t="str">
        <f t="shared" si="245"/>
        <v/>
      </c>
      <c r="AJ358" s="64">
        <f t="shared" si="213"/>
        <v>0</v>
      </c>
      <c r="AK358" s="64">
        <f t="shared" si="214"/>
        <v>0</v>
      </c>
      <c r="AL358" s="64" t="str">
        <f t="shared" si="215"/>
        <v/>
      </c>
      <c r="AM358">
        <f t="shared" si="216"/>
        <v>6</v>
      </c>
      <c r="AN358" s="85">
        <f>SUM($AD$6:AD358)</f>
        <v>0</v>
      </c>
      <c r="AO358" s="85">
        <f t="shared" ca="1" si="235"/>
        <v>0</v>
      </c>
      <c r="AP358" s="89">
        <f t="shared" si="236"/>
        <v>0</v>
      </c>
      <c r="AQ358" s="89">
        <f t="shared" si="237"/>
        <v>0</v>
      </c>
      <c r="AR358" s="89">
        <f t="shared" si="238"/>
        <v>0</v>
      </c>
      <c r="AS358" s="88">
        <f t="shared" si="239"/>
        <v>30</v>
      </c>
      <c r="AT358" s="88">
        <f t="shared" ca="1" si="240"/>
        <v>30</v>
      </c>
      <c r="AU358" s="98">
        <f t="shared" si="241"/>
        <v>0</v>
      </c>
      <c r="AV358" s="88">
        <f t="shared" si="242"/>
        <v>7</v>
      </c>
      <c r="AW358" t="b">
        <f>OR((F358&gt;0),(NOT(ISBLANK(H358))),SUM(H358:H$373),SUM(G358:G$373))</f>
        <v>0</v>
      </c>
      <c r="AX358" t="b">
        <f t="shared" ca="1" si="217"/>
        <v>1</v>
      </c>
      <c r="AY358" s="519">
        <f t="shared" si="243"/>
        <v>0</v>
      </c>
      <c r="AZ358" s="180">
        <f>SUM(AY$5:AY358)</f>
        <v>-71.166666666666572</v>
      </c>
      <c r="BA358" s="567"/>
      <c r="BB358" s="567">
        <f t="shared" si="218"/>
        <v>0</v>
      </c>
      <c r="BC358" s="567"/>
    </row>
    <row r="359" spans="1:55" ht="15.75">
      <c r="A359" s="260">
        <f t="shared" si="244"/>
        <v>45187</v>
      </c>
      <c r="B359" s="261">
        <f t="shared" si="219"/>
        <v>45187</v>
      </c>
      <c r="C359" s="262">
        <f>IF(A359="","",NumberOfWeek(A359))</f>
        <v>37</v>
      </c>
      <c r="D359" s="263">
        <f t="shared" si="220"/>
        <v>45169</v>
      </c>
      <c r="E359" s="273" t="str">
        <f t="shared" si="221"/>
        <v/>
      </c>
      <c r="F359" s="5"/>
      <c r="G359" s="6" t="str">
        <f t="shared" si="206"/>
        <v/>
      </c>
      <c r="H359" s="7"/>
      <c r="I359" s="7">
        <f t="shared" si="222"/>
        <v>0</v>
      </c>
      <c r="J359" s="76">
        <f t="shared" si="223"/>
        <v>0</v>
      </c>
      <c r="K359" s="7"/>
      <c r="L359" s="7">
        <f t="shared" si="224"/>
        <v>0</v>
      </c>
      <c r="M359" s="76">
        <f t="shared" si="207"/>
        <v>0</v>
      </c>
      <c r="N359" s="76"/>
      <c r="O359" s="76">
        <f t="shared" si="208"/>
        <v>0</v>
      </c>
      <c r="P359" s="76"/>
      <c r="Q359" s="76">
        <f t="shared" si="209"/>
        <v>0</v>
      </c>
      <c r="R359" s="76">
        <f t="shared" si="225"/>
        <v>0</v>
      </c>
      <c r="S359" s="76">
        <f t="shared" si="226"/>
        <v>0</v>
      </c>
      <c r="T359" s="76">
        <f t="shared" si="227"/>
        <v>0</v>
      </c>
      <c r="U359" s="76">
        <f t="shared" si="228"/>
        <v>0</v>
      </c>
      <c r="V359" s="109">
        <f t="shared" si="229"/>
        <v>0</v>
      </c>
      <c r="W359" s="62"/>
      <c r="X359" s="78">
        <f t="shared" si="210"/>
        <v>3.125E-2</v>
      </c>
      <c r="Y359" s="73">
        <f t="shared" si="230"/>
        <v>0</v>
      </c>
      <c r="Z359" s="74">
        <f t="shared" si="231"/>
        <v>0</v>
      </c>
      <c r="AA359" s="75">
        <f t="shared" si="232"/>
        <v>0</v>
      </c>
      <c r="AB359" s="63" t="str">
        <f t="shared" si="233"/>
        <v/>
      </c>
      <c r="AC359" s="148">
        <f t="shared" si="211"/>
        <v>0</v>
      </c>
      <c r="AD359" s="107" t="str">
        <f t="shared" si="212"/>
        <v/>
      </c>
      <c r="AE359" s="180">
        <f t="shared" si="234"/>
        <v>0</v>
      </c>
      <c r="AF359" s="73"/>
      <c r="AG359" s="525"/>
      <c r="AH359" s="73"/>
      <c r="AI359" s="73" t="str">
        <f t="shared" si="245"/>
        <v/>
      </c>
      <c r="AJ359" s="64">
        <f t="shared" si="213"/>
        <v>0</v>
      </c>
      <c r="AK359" s="64">
        <f t="shared" si="214"/>
        <v>0</v>
      </c>
      <c r="AL359" s="64" t="str">
        <f t="shared" si="215"/>
        <v/>
      </c>
      <c r="AM359">
        <f t="shared" si="216"/>
        <v>7</v>
      </c>
      <c r="AN359" s="85">
        <f>SUM($AD$6:AD359)</f>
        <v>0</v>
      </c>
      <c r="AO359" s="85">
        <f t="shared" ca="1" si="235"/>
        <v>0</v>
      </c>
      <c r="AP359" s="89">
        <f t="shared" si="236"/>
        <v>0</v>
      </c>
      <c r="AQ359" s="89">
        <f t="shared" si="237"/>
        <v>0</v>
      </c>
      <c r="AR359" s="89">
        <f t="shared" si="238"/>
        <v>0</v>
      </c>
      <c r="AS359" s="88">
        <f t="shared" si="239"/>
        <v>30</v>
      </c>
      <c r="AT359" s="88">
        <f t="shared" ca="1" si="240"/>
        <v>30</v>
      </c>
      <c r="AU359" s="98">
        <f t="shared" si="241"/>
        <v>0</v>
      </c>
      <c r="AV359" s="88">
        <f t="shared" si="242"/>
        <v>7</v>
      </c>
      <c r="AW359" t="b">
        <f>OR((F359&gt;0),(NOT(ISBLANK(H359))),SUM(H359:H$373),SUM(G359:G$373))</f>
        <v>0</v>
      </c>
      <c r="AX359" t="b">
        <f t="shared" ca="1" si="217"/>
        <v>1</v>
      </c>
      <c r="AY359" s="519">
        <f t="shared" si="243"/>
        <v>0</v>
      </c>
      <c r="AZ359" s="180">
        <f>SUM(AY$5:AY359)</f>
        <v>-71.166666666666572</v>
      </c>
      <c r="BA359" s="567"/>
      <c r="BB359" s="567">
        <f t="shared" si="218"/>
        <v>0</v>
      </c>
      <c r="BC359" s="567"/>
    </row>
    <row r="360" spans="1:55" ht="15.75">
      <c r="A360" s="260">
        <f t="shared" si="244"/>
        <v>45188</v>
      </c>
      <c r="B360" s="261">
        <f t="shared" si="219"/>
        <v>45188</v>
      </c>
      <c r="C360" s="262">
        <f>IF(A360="","",NumberOfWeek(A360))</f>
        <v>38</v>
      </c>
      <c r="D360" s="263">
        <f t="shared" si="220"/>
        <v>45169</v>
      </c>
      <c r="E360" s="273" t="str">
        <f t="shared" si="221"/>
        <v/>
      </c>
      <c r="F360" s="5"/>
      <c r="G360" s="6" t="str">
        <f t="shared" si="206"/>
        <v/>
      </c>
      <c r="H360" s="7"/>
      <c r="I360" s="7">
        <f t="shared" si="222"/>
        <v>0</v>
      </c>
      <c r="J360" s="76">
        <f t="shared" si="223"/>
        <v>0</v>
      </c>
      <c r="K360" s="7"/>
      <c r="L360" s="7">
        <f t="shared" si="224"/>
        <v>0</v>
      </c>
      <c r="M360" s="76">
        <f t="shared" si="207"/>
        <v>0</v>
      </c>
      <c r="N360" s="76"/>
      <c r="O360" s="76">
        <f t="shared" si="208"/>
        <v>0</v>
      </c>
      <c r="P360" s="76"/>
      <c r="Q360" s="76">
        <f t="shared" si="209"/>
        <v>0</v>
      </c>
      <c r="R360" s="76">
        <f t="shared" si="225"/>
        <v>0</v>
      </c>
      <c r="S360" s="76">
        <f t="shared" si="226"/>
        <v>0</v>
      </c>
      <c r="T360" s="76">
        <f t="shared" si="227"/>
        <v>0</v>
      </c>
      <c r="U360" s="76">
        <f t="shared" si="228"/>
        <v>0</v>
      </c>
      <c r="V360" s="109">
        <f t="shared" si="229"/>
        <v>0</v>
      </c>
      <c r="W360" s="62"/>
      <c r="X360" s="78">
        <f t="shared" si="210"/>
        <v>3.125E-2</v>
      </c>
      <c r="Y360" s="73">
        <f t="shared" si="230"/>
        <v>0</v>
      </c>
      <c r="Z360" s="74">
        <f t="shared" si="231"/>
        <v>0.29166666666666669</v>
      </c>
      <c r="AA360" s="75">
        <f t="shared" si="232"/>
        <v>0</v>
      </c>
      <c r="AB360" s="63" t="str">
        <f t="shared" si="233"/>
        <v/>
      </c>
      <c r="AC360" s="148">
        <f t="shared" si="211"/>
        <v>0</v>
      </c>
      <c r="AD360" s="107" t="str">
        <f t="shared" si="212"/>
        <v/>
      </c>
      <c r="AE360" s="180">
        <f t="shared" si="234"/>
        <v>0</v>
      </c>
      <c r="AF360" s="73"/>
      <c r="AG360" s="525"/>
      <c r="AH360" s="73"/>
      <c r="AI360" s="73" t="str">
        <f t="shared" si="245"/>
        <v/>
      </c>
      <c r="AJ360" s="64">
        <f t="shared" si="213"/>
        <v>0</v>
      </c>
      <c r="AK360" s="64">
        <f t="shared" si="214"/>
        <v>0</v>
      </c>
      <c r="AL360" s="64" t="str">
        <f t="shared" si="215"/>
        <v/>
      </c>
      <c r="AM360">
        <f t="shared" si="216"/>
        <v>1</v>
      </c>
      <c r="AN360" s="85">
        <f>SUM($AD$6:AD360)</f>
        <v>0</v>
      </c>
      <c r="AO360" s="85">
        <f t="shared" ca="1" si="235"/>
        <v>0</v>
      </c>
      <c r="AP360" s="89">
        <f t="shared" si="236"/>
        <v>0</v>
      </c>
      <c r="AQ360" s="89">
        <f t="shared" si="237"/>
        <v>0</v>
      </c>
      <c r="AR360" s="89">
        <f t="shared" si="238"/>
        <v>0</v>
      </c>
      <c r="AS360" s="88">
        <f t="shared" si="239"/>
        <v>30</v>
      </c>
      <c r="AT360" s="88">
        <f t="shared" ca="1" si="240"/>
        <v>30</v>
      </c>
      <c r="AU360" s="98">
        <f t="shared" si="241"/>
        <v>0</v>
      </c>
      <c r="AV360" s="88">
        <f t="shared" si="242"/>
        <v>0</v>
      </c>
      <c r="AW360" t="b">
        <f>OR((F360&gt;0),(NOT(ISBLANK(H360))),SUM(H360:H$373),SUM(G360:G$373))</f>
        <v>0</v>
      </c>
      <c r="AX360" t="b">
        <f t="shared" ca="1" si="217"/>
        <v>0</v>
      </c>
      <c r="AY360" s="519">
        <f t="shared" si="243"/>
        <v>-0.29166666666666669</v>
      </c>
      <c r="AZ360" s="180">
        <f>SUM(AY$5:AY360)</f>
        <v>-71.458333333333243</v>
      </c>
      <c r="BA360" s="567"/>
      <c r="BB360" s="567">
        <f t="shared" si="218"/>
        <v>0</v>
      </c>
      <c r="BC360" s="567"/>
    </row>
    <row r="361" spans="1:55" ht="15.75">
      <c r="A361" s="260">
        <f t="shared" si="244"/>
        <v>45189</v>
      </c>
      <c r="B361" s="261">
        <f t="shared" si="219"/>
        <v>45189</v>
      </c>
      <c r="C361" s="262">
        <f>IF(A361="","",NumberOfWeek(A361))</f>
        <v>38</v>
      </c>
      <c r="D361" s="263">
        <f t="shared" si="220"/>
        <v>45169</v>
      </c>
      <c r="E361" s="273" t="str">
        <f t="shared" si="221"/>
        <v/>
      </c>
      <c r="F361" s="5"/>
      <c r="G361" s="6" t="str">
        <f t="shared" si="206"/>
        <v/>
      </c>
      <c r="H361" s="7"/>
      <c r="I361" s="7">
        <f t="shared" si="222"/>
        <v>0</v>
      </c>
      <c r="J361" s="76">
        <f t="shared" si="223"/>
        <v>0</v>
      </c>
      <c r="K361" s="7"/>
      <c r="L361" s="7">
        <f t="shared" si="224"/>
        <v>0</v>
      </c>
      <c r="M361" s="76">
        <f t="shared" si="207"/>
        <v>0</v>
      </c>
      <c r="N361" s="76"/>
      <c r="O361" s="76">
        <f t="shared" si="208"/>
        <v>0</v>
      </c>
      <c r="P361" s="76"/>
      <c r="Q361" s="76">
        <f t="shared" si="209"/>
        <v>0</v>
      </c>
      <c r="R361" s="76">
        <f t="shared" si="225"/>
        <v>0</v>
      </c>
      <c r="S361" s="76">
        <f t="shared" si="226"/>
        <v>0</v>
      </c>
      <c r="T361" s="76">
        <f t="shared" si="227"/>
        <v>0</v>
      </c>
      <c r="U361" s="76">
        <f t="shared" si="228"/>
        <v>0</v>
      </c>
      <c r="V361" s="109">
        <f t="shared" si="229"/>
        <v>0</v>
      </c>
      <c r="W361" s="62"/>
      <c r="X361" s="78">
        <f t="shared" si="210"/>
        <v>3.125E-2</v>
      </c>
      <c r="Y361" s="73">
        <f t="shared" si="230"/>
        <v>0</v>
      </c>
      <c r="Z361" s="74">
        <f t="shared" si="231"/>
        <v>0.29166666666666669</v>
      </c>
      <c r="AA361" s="75">
        <f t="shared" si="232"/>
        <v>0</v>
      </c>
      <c r="AB361" s="63" t="str">
        <f t="shared" si="233"/>
        <v/>
      </c>
      <c r="AC361" s="148">
        <f t="shared" si="211"/>
        <v>0</v>
      </c>
      <c r="AD361" s="107" t="str">
        <f t="shared" si="212"/>
        <v/>
      </c>
      <c r="AE361" s="180">
        <f t="shared" si="234"/>
        <v>0</v>
      </c>
      <c r="AF361" s="73"/>
      <c r="AG361" s="525"/>
      <c r="AH361" s="73"/>
      <c r="AI361" s="73" t="str">
        <f t="shared" si="245"/>
        <v/>
      </c>
      <c r="AJ361" s="64">
        <f t="shared" si="213"/>
        <v>0</v>
      </c>
      <c r="AK361" s="64">
        <f t="shared" si="214"/>
        <v>0</v>
      </c>
      <c r="AL361" s="64" t="str">
        <f t="shared" si="215"/>
        <v/>
      </c>
      <c r="AM361">
        <f t="shared" si="216"/>
        <v>2</v>
      </c>
      <c r="AN361" s="85">
        <f>SUM($AD$6:AD361)</f>
        <v>0</v>
      </c>
      <c r="AO361" s="85">
        <f t="shared" ca="1" si="235"/>
        <v>0</v>
      </c>
      <c r="AP361" s="89">
        <f t="shared" si="236"/>
        <v>0</v>
      </c>
      <c r="AQ361" s="89">
        <f t="shared" si="237"/>
        <v>0</v>
      </c>
      <c r="AR361" s="89">
        <f t="shared" si="238"/>
        <v>0</v>
      </c>
      <c r="AS361" s="88">
        <f t="shared" si="239"/>
        <v>30</v>
      </c>
      <c r="AT361" s="88">
        <f t="shared" ca="1" si="240"/>
        <v>30</v>
      </c>
      <c r="AU361" s="98">
        <f t="shared" si="241"/>
        <v>0</v>
      </c>
      <c r="AV361" s="88">
        <f t="shared" si="242"/>
        <v>0</v>
      </c>
      <c r="AW361" t="b">
        <f>OR((F361&gt;0),(NOT(ISBLANK(H361))),SUM(H361:H$373),SUM(G361:G$373))</f>
        <v>0</v>
      </c>
      <c r="AX361" t="b">
        <f t="shared" ca="1" si="217"/>
        <v>0</v>
      </c>
      <c r="AY361" s="519">
        <f t="shared" si="243"/>
        <v>-0.29166666666666669</v>
      </c>
      <c r="AZ361" s="180">
        <f>SUM(AY$5:AY361)</f>
        <v>-71.749999999999915</v>
      </c>
      <c r="BA361" s="567"/>
      <c r="BB361" s="567">
        <f t="shared" si="218"/>
        <v>0</v>
      </c>
      <c r="BC361" s="567"/>
    </row>
    <row r="362" spans="1:55" ht="15.75">
      <c r="A362" s="260">
        <f t="shared" si="244"/>
        <v>45190</v>
      </c>
      <c r="B362" s="261">
        <f t="shared" si="219"/>
        <v>45190</v>
      </c>
      <c r="C362" s="262">
        <f>IF(A362="","",NumberOfWeek(A362))</f>
        <v>38</v>
      </c>
      <c r="D362" s="263">
        <f t="shared" si="220"/>
        <v>45169</v>
      </c>
      <c r="E362" s="273" t="str">
        <f t="shared" si="221"/>
        <v/>
      </c>
      <c r="F362" s="5"/>
      <c r="G362" s="6" t="str">
        <f t="shared" si="206"/>
        <v/>
      </c>
      <c r="H362" s="7"/>
      <c r="I362" s="7">
        <f t="shared" si="222"/>
        <v>0</v>
      </c>
      <c r="J362" s="76">
        <f t="shared" si="223"/>
        <v>0</v>
      </c>
      <c r="K362" s="7"/>
      <c r="L362" s="7">
        <f t="shared" si="224"/>
        <v>0</v>
      </c>
      <c r="M362" s="76">
        <f t="shared" si="207"/>
        <v>0</v>
      </c>
      <c r="N362" s="76"/>
      <c r="O362" s="76">
        <f t="shared" si="208"/>
        <v>0</v>
      </c>
      <c r="P362" s="76"/>
      <c r="Q362" s="76">
        <f t="shared" si="209"/>
        <v>0</v>
      </c>
      <c r="R362" s="76">
        <f t="shared" si="225"/>
        <v>0</v>
      </c>
      <c r="S362" s="76">
        <f t="shared" si="226"/>
        <v>0</v>
      </c>
      <c r="T362" s="76">
        <f t="shared" si="227"/>
        <v>0</v>
      </c>
      <c r="U362" s="76">
        <f t="shared" si="228"/>
        <v>0</v>
      </c>
      <c r="V362" s="109">
        <f t="shared" si="229"/>
        <v>0</v>
      </c>
      <c r="W362" s="62"/>
      <c r="X362" s="78">
        <f t="shared" si="210"/>
        <v>3.125E-2</v>
      </c>
      <c r="Y362" s="73">
        <f t="shared" si="230"/>
        <v>0</v>
      </c>
      <c r="Z362" s="74">
        <f t="shared" si="231"/>
        <v>0.29166666666666669</v>
      </c>
      <c r="AA362" s="75">
        <f t="shared" si="232"/>
        <v>0</v>
      </c>
      <c r="AB362" s="63" t="str">
        <f t="shared" si="233"/>
        <v/>
      </c>
      <c r="AC362" s="148">
        <f t="shared" si="211"/>
        <v>0</v>
      </c>
      <c r="AD362" s="107" t="str">
        <f t="shared" si="212"/>
        <v/>
      </c>
      <c r="AE362" s="180">
        <f t="shared" si="234"/>
        <v>0</v>
      </c>
      <c r="AF362" s="73"/>
      <c r="AG362" s="525"/>
      <c r="AH362" s="73"/>
      <c r="AI362" s="73" t="str">
        <f t="shared" si="245"/>
        <v/>
      </c>
      <c r="AJ362" s="64">
        <f t="shared" si="213"/>
        <v>0</v>
      </c>
      <c r="AK362" s="64">
        <f t="shared" si="214"/>
        <v>0</v>
      </c>
      <c r="AL362" s="64" t="str">
        <f t="shared" si="215"/>
        <v/>
      </c>
      <c r="AM362">
        <f t="shared" si="216"/>
        <v>3</v>
      </c>
      <c r="AN362" s="85">
        <f>SUM($AD$6:AD362)</f>
        <v>0</v>
      </c>
      <c r="AO362" s="85">
        <f t="shared" ca="1" si="235"/>
        <v>0</v>
      </c>
      <c r="AP362" s="89">
        <f t="shared" si="236"/>
        <v>0</v>
      </c>
      <c r="AQ362" s="89">
        <f t="shared" si="237"/>
        <v>0</v>
      </c>
      <c r="AR362" s="89">
        <f t="shared" si="238"/>
        <v>0</v>
      </c>
      <c r="AS362" s="88">
        <f t="shared" si="239"/>
        <v>30</v>
      </c>
      <c r="AT362" s="88">
        <f t="shared" ca="1" si="240"/>
        <v>30</v>
      </c>
      <c r="AU362" s="98">
        <f t="shared" si="241"/>
        <v>0</v>
      </c>
      <c r="AV362" s="88">
        <f t="shared" si="242"/>
        <v>0</v>
      </c>
      <c r="AW362" t="b">
        <f>OR((F362&gt;0),(NOT(ISBLANK(H362))),SUM(H362:H$373),SUM(G362:G$373))</f>
        <v>0</v>
      </c>
      <c r="AX362" t="b">
        <f t="shared" ca="1" si="217"/>
        <v>0</v>
      </c>
      <c r="AY362" s="519">
        <f t="shared" si="243"/>
        <v>-0.29166666666666669</v>
      </c>
      <c r="AZ362" s="180">
        <f>SUM(AY$5:AY362)</f>
        <v>-72.041666666666586</v>
      </c>
      <c r="BA362" s="567"/>
      <c r="BB362" s="567">
        <f t="shared" si="218"/>
        <v>0</v>
      </c>
      <c r="BC362" s="567"/>
    </row>
    <row r="363" spans="1:55" ht="15.75">
      <c r="A363" s="260">
        <f t="shared" si="244"/>
        <v>45191</v>
      </c>
      <c r="B363" s="261">
        <f t="shared" si="219"/>
        <v>45191</v>
      </c>
      <c r="C363" s="262">
        <f>IF(A363="","",NumberOfWeek(A363))</f>
        <v>38</v>
      </c>
      <c r="D363" s="263">
        <f t="shared" si="220"/>
        <v>45169</v>
      </c>
      <c r="E363" s="273" t="str">
        <f t="shared" si="221"/>
        <v/>
      </c>
      <c r="F363" s="5"/>
      <c r="G363" s="6" t="str">
        <f t="shared" si="206"/>
        <v/>
      </c>
      <c r="H363" s="7"/>
      <c r="I363" s="7">
        <f t="shared" si="222"/>
        <v>0</v>
      </c>
      <c r="J363" s="76">
        <f t="shared" si="223"/>
        <v>0</v>
      </c>
      <c r="K363" s="7"/>
      <c r="L363" s="7">
        <f t="shared" si="224"/>
        <v>0</v>
      </c>
      <c r="M363" s="76">
        <f t="shared" si="207"/>
        <v>0</v>
      </c>
      <c r="N363" s="76"/>
      <c r="O363" s="76">
        <f t="shared" si="208"/>
        <v>0</v>
      </c>
      <c r="P363" s="76"/>
      <c r="Q363" s="76">
        <f t="shared" si="209"/>
        <v>0</v>
      </c>
      <c r="R363" s="76">
        <f t="shared" si="225"/>
        <v>0</v>
      </c>
      <c r="S363" s="76">
        <f t="shared" si="226"/>
        <v>0</v>
      </c>
      <c r="T363" s="76">
        <f t="shared" si="227"/>
        <v>0</v>
      </c>
      <c r="U363" s="76">
        <f t="shared" si="228"/>
        <v>0</v>
      </c>
      <c r="V363" s="109">
        <f t="shared" si="229"/>
        <v>0</v>
      </c>
      <c r="W363" s="62"/>
      <c r="X363" s="78">
        <f t="shared" si="210"/>
        <v>3.125E-2</v>
      </c>
      <c r="Y363" s="73">
        <f t="shared" si="230"/>
        <v>0</v>
      </c>
      <c r="Z363" s="74">
        <f t="shared" si="231"/>
        <v>0.29166666666666669</v>
      </c>
      <c r="AA363" s="75">
        <f t="shared" si="232"/>
        <v>0</v>
      </c>
      <c r="AB363" s="63" t="str">
        <f t="shared" si="233"/>
        <v/>
      </c>
      <c r="AC363" s="148">
        <f t="shared" si="211"/>
        <v>0</v>
      </c>
      <c r="AD363" s="107" t="str">
        <f t="shared" si="212"/>
        <v/>
      </c>
      <c r="AE363" s="180">
        <f t="shared" si="234"/>
        <v>0</v>
      </c>
      <c r="AF363" s="73"/>
      <c r="AG363" s="525"/>
      <c r="AH363" s="73"/>
      <c r="AI363" s="73" t="str">
        <f t="shared" si="245"/>
        <v/>
      </c>
      <c r="AJ363" s="64">
        <f t="shared" si="213"/>
        <v>0</v>
      </c>
      <c r="AK363" s="64">
        <f t="shared" si="214"/>
        <v>0</v>
      </c>
      <c r="AL363" s="64" t="str">
        <f t="shared" si="215"/>
        <v/>
      </c>
      <c r="AM363">
        <f t="shared" si="216"/>
        <v>4</v>
      </c>
      <c r="AN363" s="85">
        <f>SUM($AD$6:AD363)</f>
        <v>0</v>
      </c>
      <c r="AO363" s="85">
        <f t="shared" ca="1" si="235"/>
        <v>0</v>
      </c>
      <c r="AP363" s="89">
        <f t="shared" si="236"/>
        <v>0</v>
      </c>
      <c r="AQ363" s="89">
        <f t="shared" si="237"/>
        <v>0</v>
      </c>
      <c r="AR363" s="89">
        <f t="shared" si="238"/>
        <v>0</v>
      </c>
      <c r="AS363" s="88">
        <f t="shared" si="239"/>
        <v>30</v>
      </c>
      <c r="AT363" s="88">
        <f t="shared" ca="1" si="240"/>
        <v>30</v>
      </c>
      <c r="AU363" s="98">
        <f t="shared" si="241"/>
        <v>0</v>
      </c>
      <c r="AV363" s="88">
        <f t="shared" si="242"/>
        <v>0</v>
      </c>
      <c r="AW363" t="b">
        <f>OR((F363&gt;0),(NOT(ISBLANK(H363))),SUM(H363:H$373),SUM(G363:G$373))</f>
        <v>0</v>
      </c>
      <c r="AX363" t="b">
        <f t="shared" ca="1" si="217"/>
        <v>0</v>
      </c>
      <c r="AY363" s="519">
        <f t="shared" si="243"/>
        <v>-0.29166666666666669</v>
      </c>
      <c r="AZ363" s="180">
        <f>SUM(AY$5:AY363)</f>
        <v>-72.333333333333258</v>
      </c>
      <c r="BA363" s="567"/>
      <c r="BB363" s="567">
        <f t="shared" si="218"/>
        <v>0</v>
      </c>
      <c r="BC363" s="567"/>
    </row>
    <row r="364" spans="1:55" ht="15.75">
      <c r="A364" s="260">
        <f t="shared" si="244"/>
        <v>45192</v>
      </c>
      <c r="B364" s="261">
        <f t="shared" si="219"/>
        <v>45192</v>
      </c>
      <c r="C364" s="262">
        <f>IF(A364="","",NumberOfWeek(A364))</f>
        <v>38</v>
      </c>
      <c r="D364" s="263">
        <f t="shared" si="220"/>
        <v>45169</v>
      </c>
      <c r="E364" s="273" t="str">
        <f t="shared" si="221"/>
        <v/>
      </c>
      <c r="F364" s="5"/>
      <c r="G364" s="6" t="str">
        <f t="shared" si="206"/>
        <v/>
      </c>
      <c r="H364" s="7"/>
      <c r="I364" s="7">
        <f t="shared" si="222"/>
        <v>0</v>
      </c>
      <c r="J364" s="76">
        <f t="shared" si="223"/>
        <v>0</v>
      </c>
      <c r="K364" s="7"/>
      <c r="L364" s="7">
        <f t="shared" si="224"/>
        <v>0</v>
      </c>
      <c r="M364" s="76">
        <f t="shared" si="207"/>
        <v>0</v>
      </c>
      <c r="N364" s="76"/>
      <c r="O364" s="76">
        <f t="shared" si="208"/>
        <v>0</v>
      </c>
      <c r="P364" s="76"/>
      <c r="Q364" s="76">
        <f t="shared" si="209"/>
        <v>0</v>
      </c>
      <c r="R364" s="76">
        <f t="shared" si="225"/>
        <v>0</v>
      </c>
      <c r="S364" s="76">
        <f t="shared" si="226"/>
        <v>0</v>
      </c>
      <c r="T364" s="76">
        <f t="shared" si="227"/>
        <v>0</v>
      </c>
      <c r="U364" s="76">
        <f t="shared" si="228"/>
        <v>0</v>
      </c>
      <c r="V364" s="109">
        <f t="shared" si="229"/>
        <v>0</v>
      </c>
      <c r="W364" s="62"/>
      <c r="X364" s="78">
        <f t="shared" si="210"/>
        <v>3.125E-2</v>
      </c>
      <c r="Y364" s="73">
        <f t="shared" si="230"/>
        <v>0</v>
      </c>
      <c r="Z364" s="74">
        <f t="shared" si="231"/>
        <v>0.29166666666666669</v>
      </c>
      <c r="AA364" s="75">
        <f t="shared" si="232"/>
        <v>0</v>
      </c>
      <c r="AB364" s="63" t="str">
        <f t="shared" si="233"/>
        <v/>
      </c>
      <c r="AC364" s="148">
        <f t="shared" si="211"/>
        <v>0</v>
      </c>
      <c r="AD364" s="107" t="str">
        <f t="shared" si="212"/>
        <v/>
      </c>
      <c r="AE364" s="180">
        <f t="shared" si="234"/>
        <v>0</v>
      </c>
      <c r="AF364" s="73"/>
      <c r="AG364" s="525"/>
      <c r="AH364" s="73"/>
      <c r="AI364" s="73" t="str">
        <f t="shared" si="245"/>
        <v/>
      </c>
      <c r="AJ364" s="64">
        <f t="shared" si="213"/>
        <v>0</v>
      </c>
      <c r="AK364" s="64">
        <f t="shared" si="214"/>
        <v>0</v>
      </c>
      <c r="AL364" s="64" t="str">
        <f t="shared" si="215"/>
        <v/>
      </c>
      <c r="AM364">
        <f t="shared" si="216"/>
        <v>5</v>
      </c>
      <c r="AN364" s="85">
        <f>SUM($AD$6:AD364)</f>
        <v>0</v>
      </c>
      <c r="AO364" s="85">
        <f t="shared" ca="1" si="235"/>
        <v>0</v>
      </c>
      <c r="AP364" s="89">
        <f t="shared" si="236"/>
        <v>0</v>
      </c>
      <c r="AQ364" s="89">
        <f t="shared" si="237"/>
        <v>0</v>
      </c>
      <c r="AR364" s="89">
        <f t="shared" si="238"/>
        <v>0</v>
      </c>
      <c r="AS364" s="88">
        <f t="shared" si="239"/>
        <v>30</v>
      </c>
      <c r="AT364" s="88">
        <f t="shared" ca="1" si="240"/>
        <v>30</v>
      </c>
      <c r="AU364" s="98">
        <f t="shared" si="241"/>
        <v>0</v>
      </c>
      <c r="AV364" s="88">
        <f t="shared" si="242"/>
        <v>0</v>
      </c>
      <c r="AW364" t="b">
        <f>OR((F364&gt;0),(NOT(ISBLANK(H364))),SUM(H364:H$373),SUM(G364:G$373))</f>
        <v>0</v>
      </c>
      <c r="AX364" t="b">
        <f t="shared" ca="1" si="217"/>
        <v>0</v>
      </c>
      <c r="AY364" s="519">
        <f t="shared" si="243"/>
        <v>-0.29166666666666669</v>
      </c>
      <c r="AZ364" s="180">
        <f>SUM(AY$5:AY364)</f>
        <v>-72.624999999999929</v>
      </c>
      <c r="BA364" s="567"/>
      <c r="BB364" s="567">
        <f t="shared" si="218"/>
        <v>0</v>
      </c>
      <c r="BC364" s="567"/>
    </row>
    <row r="365" spans="1:55" ht="15.75">
      <c r="A365" s="260">
        <f t="shared" si="244"/>
        <v>45193</v>
      </c>
      <c r="B365" s="261">
        <f t="shared" si="219"/>
        <v>45193</v>
      </c>
      <c r="C365" s="262">
        <f>IF(A365="","",NumberOfWeek(A365))</f>
        <v>38</v>
      </c>
      <c r="D365" s="263">
        <f t="shared" si="220"/>
        <v>45169</v>
      </c>
      <c r="E365" s="273" t="str">
        <f t="shared" si="221"/>
        <v/>
      </c>
      <c r="F365" s="5"/>
      <c r="G365" s="6" t="str">
        <f t="shared" si="206"/>
        <v/>
      </c>
      <c r="H365" s="7"/>
      <c r="I365" s="7">
        <f t="shared" si="222"/>
        <v>0</v>
      </c>
      <c r="J365" s="76">
        <f t="shared" si="223"/>
        <v>0</v>
      </c>
      <c r="K365" s="7"/>
      <c r="L365" s="7">
        <f t="shared" si="224"/>
        <v>0</v>
      </c>
      <c r="M365" s="76">
        <f t="shared" si="207"/>
        <v>0</v>
      </c>
      <c r="N365" s="76"/>
      <c r="O365" s="76">
        <f t="shared" si="208"/>
        <v>0</v>
      </c>
      <c r="P365" s="76"/>
      <c r="Q365" s="76">
        <f t="shared" si="209"/>
        <v>0</v>
      </c>
      <c r="R365" s="76">
        <f t="shared" si="225"/>
        <v>0</v>
      </c>
      <c r="S365" s="76">
        <f t="shared" si="226"/>
        <v>0</v>
      </c>
      <c r="T365" s="76">
        <f t="shared" si="227"/>
        <v>0</v>
      </c>
      <c r="U365" s="76">
        <f t="shared" si="228"/>
        <v>0</v>
      </c>
      <c r="V365" s="109">
        <f t="shared" si="229"/>
        <v>0</v>
      </c>
      <c r="W365" s="62"/>
      <c r="X365" s="78">
        <f t="shared" si="210"/>
        <v>3.125E-2</v>
      </c>
      <c r="Y365" s="73">
        <f t="shared" si="230"/>
        <v>0</v>
      </c>
      <c r="Z365" s="74">
        <f t="shared" si="231"/>
        <v>0</v>
      </c>
      <c r="AA365" s="75">
        <f t="shared" si="232"/>
        <v>0</v>
      </c>
      <c r="AB365" s="63" t="str">
        <f t="shared" si="233"/>
        <v/>
      </c>
      <c r="AC365" s="148">
        <f t="shared" si="211"/>
        <v>0</v>
      </c>
      <c r="AD365" s="107" t="str">
        <f t="shared" si="212"/>
        <v/>
      </c>
      <c r="AE365" s="180">
        <f t="shared" si="234"/>
        <v>0</v>
      </c>
      <c r="AF365" s="73"/>
      <c r="AG365" s="525"/>
      <c r="AH365" s="73"/>
      <c r="AI365" s="73" t="str">
        <f t="shared" si="245"/>
        <v/>
      </c>
      <c r="AJ365" s="64">
        <f t="shared" si="213"/>
        <v>0</v>
      </c>
      <c r="AK365" s="64">
        <f t="shared" si="214"/>
        <v>0</v>
      </c>
      <c r="AL365" s="64" t="str">
        <f t="shared" si="215"/>
        <v/>
      </c>
      <c r="AM365">
        <f t="shared" si="216"/>
        <v>6</v>
      </c>
      <c r="AN365" s="85">
        <f>SUM($AD$6:AD365)</f>
        <v>0</v>
      </c>
      <c r="AO365" s="85">
        <f t="shared" ca="1" si="235"/>
        <v>0</v>
      </c>
      <c r="AP365" s="89">
        <f t="shared" si="236"/>
        <v>0</v>
      </c>
      <c r="AQ365" s="89">
        <f t="shared" si="237"/>
        <v>0</v>
      </c>
      <c r="AR365" s="89">
        <f t="shared" si="238"/>
        <v>0</v>
      </c>
      <c r="AS365" s="88">
        <f t="shared" si="239"/>
        <v>30</v>
      </c>
      <c r="AT365" s="88">
        <f t="shared" ca="1" si="240"/>
        <v>30</v>
      </c>
      <c r="AU365" s="98">
        <f t="shared" si="241"/>
        <v>0</v>
      </c>
      <c r="AV365" s="88">
        <f t="shared" si="242"/>
        <v>7</v>
      </c>
      <c r="AW365" t="b">
        <f>OR((F365&gt;0),(NOT(ISBLANK(H365))),SUM(H365:H$373),SUM(G365:G$373))</f>
        <v>0</v>
      </c>
      <c r="AX365" t="b">
        <f t="shared" ca="1" si="217"/>
        <v>1</v>
      </c>
      <c r="AY365" s="519">
        <f t="shared" si="243"/>
        <v>0</v>
      </c>
      <c r="AZ365" s="180">
        <f>SUM(AY$5:AY365)</f>
        <v>-72.624999999999929</v>
      </c>
      <c r="BA365" s="567"/>
      <c r="BB365" s="567">
        <f t="shared" si="218"/>
        <v>0</v>
      </c>
      <c r="BC365" s="567"/>
    </row>
    <row r="366" spans="1:55" ht="15.75">
      <c r="A366" s="260">
        <f t="shared" si="244"/>
        <v>45194</v>
      </c>
      <c r="B366" s="261">
        <f t="shared" si="219"/>
        <v>45194</v>
      </c>
      <c r="C366" s="262">
        <f>IF(A366="","",NumberOfWeek(A366))</f>
        <v>38</v>
      </c>
      <c r="D366" s="263">
        <f t="shared" si="220"/>
        <v>45169</v>
      </c>
      <c r="E366" s="273" t="str">
        <f t="shared" si="221"/>
        <v/>
      </c>
      <c r="F366" s="5"/>
      <c r="G366" s="6" t="str">
        <f t="shared" si="206"/>
        <v/>
      </c>
      <c r="H366" s="7"/>
      <c r="I366" s="7">
        <f t="shared" si="222"/>
        <v>0</v>
      </c>
      <c r="J366" s="76">
        <f t="shared" si="223"/>
        <v>0</v>
      </c>
      <c r="K366" s="7"/>
      <c r="L366" s="7">
        <f t="shared" si="224"/>
        <v>0</v>
      </c>
      <c r="M366" s="76">
        <f t="shared" si="207"/>
        <v>0</v>
      </c>
      <c r="N366" s="76"/>
      <c r="O366" s="76">
        <f t="shared" si="208"/>
        <v>0</v>
      </c>
      <c r="P366" s="76"/>
      <c r="Q366" s="76">
        <f t="shared" si="209"/>
        <v>0</v>
      </c>
      <c r="R366" s="76">
        <f t="shared" si="225"/>
        <v>0</v>
      </c>
      <c r="S366" s="76">
        <f t="shared" si="226"/>
        <v>0</v>
      </c>
      <c r="T366" s="76">
        <f t="shared" si="227"/>
        <v>0</v>
      </c>
      <c r="U366" s="76">
        <f t="shared" si="228"/>
        <v>0</v>
      </c>
      <c r="V366" s="109">
        <f t="shared" si="229"/>
        <v>0</v>
      </c>
      <c r="W366" s="62"/>
      <c r="X366" s="78">
        <f t="shared" si="210"/>
        <v>3.125E-2</v>
      </c>
      <c r="Y366" s="73">
        <f t="shared" si="230"/>
        <v>0</v>
      </c>
      <c r="Z366" s="74">
        <f t="shared" si="231"/>
        <v>0</v>
      </c>
      <c r="AA366" s="75">
        <f t="shared" si="232"/>
        <v>0</v>
      </c>
      <c r="AB366" s="63" t="str">
        <f t="shared" si="233"/>
        <v/>
      </c>
      <c r="AC366" s="148">
        <f t="shared" si="211"/>
        <v>0</v>
      </c>
      <c r="AD366" s="107" t="str">
        <f t="shared" si="212"/>
        <v/>
      </c>
      <c r="AE366" s="180">
        <f t="shared" si="234"/>
        <v>0</v>
      </c>
      <c r="AF366" s="73"/>
      <c r="AG366" s="525"/>
      <c r="AH366" s="73"/>
      <c r="AI366" s="73" t="str">
        <f t="shared" si="245"/>
        <v/>
      </c>
      <c r="AJ366" s="64">
        <f t="shared" si="213"/>
        <v>0</v>
      </c>
      <c r="AK366" s="64">
        <f t="shared" si="214"/>
        <v>0</v>
      </c>
      <c r="AL366" s="64" t="str">
        <f t="shared" si="215"/>
        <v/>
      </c>
      <c r="AM366">
        <f t="shared" si="216"/>
        <v>7</v>
      </c>
      <c r="AN366" s="85">
        <f>SUM($AD$6:AD366)</f>
        <v>0</v>
      </c>
      <c r="AO366" s="85">
        <f t="shared" ca="1" si="235"/>
        <v>0</v>
      </c>
      <c r="AP366" s="89">
        <f t="shared" si="236"/>
        <v>0</v>
      </c>
      <c r="AQ366" s="89">
        <f t="shared" si="237"/>
        <v>0</v>
      </c>
      <c r="AR366" s="89">
        <f t="shared" si="238"/>
        <v>0</v>
      </c>
      <c r="AS366" s="88">
        <f t="shared" si="239"/>
        <v>30</v>
      </c>
      <c r="AT366" s="88">
        <f t="shared" ca="1" si="240"/>
        <v>30</v>
      </c>
      <c r="AU366" s="98">
        <f t="shared" si="241"/>
        <v>0</v>
      </c>
      <c r="AV366" s="88">
        <f t="shared" si="242"/>
        <v>7</v>
      </c>
      <c r="AW366" t="b">
        <f>OR((F366&gt;0),(NOT(ISBLANK(H366))),SUM(H366:H$373),SUM(G366:G$373))</f>
        <v>0</v>
      </c>
      <c r="AX366" t="b">
        <f t="shared" ca="1" si="217"/>
        <v>1</v>
      </c>
      <c r="AY366" s="519">
        <f t="shared" si="243"/>
        <v>0</v>
      </c>
      <c r="AZ366" s="180">
        <f>SUM(AY$5:AY366)</f>
        <v>-72.624999999999929</v>
      </c>
      <c r="BA366" s="567"/>
      <c r="BB366" s="567">
        <f t="shared" si="218"/>
        <v>0</v>
      </c>
      <c r="BC366" s="567"/>
    </row>
    <row r="367" spans="1:55" ht="15.75">
      <c r="A367" s="260">
        <f t="shared" si="244"/>
        <v>45195</v>
      </c>
      <c r="B367" s="261">
        <f t="shared" si="219"/>
        <v>45195</v>
      </c>
      <c r="C367" s="262">
        <f>IF(A367="","",NumberOfWeek(A367))</f>
        <v>39</v>
      </c>
      <c r="D367" s="263">
        <f t="shared" si="220"/>
        <v>45169</v>
      </c>
      <c r="E367" s="273" t="str">
        <f t="shared" si="221"/>
        <v/>
      </c>
      <c r="F367" s="5"/>
      <c r="G367" s="6" t="str">
        <f t="shared" si="206"/>
        <v/>
      </c>
      <c r="H367" s="7"/>
      <c r="I367" s="7">
        <f t="shared" si="222"/>
        <v>0</v>
      </c>
      <c r="J367" s="76">
        <f t="shared" si="223"/>
        <v>0</v>
      </c>
      <c r="K367" s="7"/>
      <c r="L367" s="7">
        <f t="shared" si="224"/>
        <v>0</v>
      </c>
      <c r="M367" s="76">
        <f t="shared" si="207"/>
        <v>0</v>
      </c>
      <c r="N367" s="76"/>
      <c r="O367" s="76">
        <f t="shared" si="208"/>
        <v>0</v>
      </c>
      <c r="P367" s="76"/>
      <c r="Q367" s="76">
        <f t="shared" si="209"/>
        <v>0</v>
      </c>
      <c r="R367" s="76">
        <f t="shared" si="225"/>
        <v>0</v>
      </c>
      <c r="S367" s="76">
        <f t="shared" si="226"/>
        <v>0</v>
      </c>
      <c r="T367" s="76">
        <f t="shared" si="227"/>
        <v>0</v>
      </c>
      <c r="U367" s="76">
        <f t="shared" si="228"/>
        <v>0</v>
      </c>
      <c r="V367" s="109">
        <f t="shared" si="229"/>
        <v>0</v>
      </c>
      <c r="W367" s="62"/>
      <c r="X367" s="78">
        <f t="shared" si="210"/>
        <v>3.125E-2</v>
      </c>
      <c r="Y367" s="73">
        <f t="shared" si="230"/>
        <v>0</v>
      </c>
      <c r="Z367" s="74">
        <f t="shared" si="231"/>
        <v>0.29166666666666669</v>
      </c>
      <c r="AA367" s="75">
        <f t="shared" si="232"/>
        <v>0</v>
      </c>
      <c r="AB367" s="63" t="str">
        <f t="shared" si="233"/>
        <v/>
      </c>
      <c r="AC367" s="148">
        <f t="shared" si="211"/>
        <v>0</v>
      </c>
      <c r="AD367" s="107" t="str">
        <f t="shared" si="212"/>
        <v/>
      </c>
      <c r="AE367" s="180">
        <f t="shared" si="234"/>
        <v>0</v>
      </c>
      <c r="AF367" s="73"/>
      <c r="AG367" s="525"/>
      <c r="AH367" s="73"/>
      <c r="AI367" s="73" t="str">
        <f t="shared" si="245"/>
        <v/>
      </c>
      <c r="AJ367" s="64">
        <f t="shared" si="213"/>
        <v>0</v>
      </c>
      <c r="AK367" s="64">
        <f t="shared" si="214"/>
        <v>0</v>
      </c>
      <c r="AL367" s="64" t="str">
        <f t="shared" si="215"/>
        <v/>
      </c>
      <c r="AM367">
        <f t="shared" si="216"/>
        <v>1</v>
      </c>
      <c r="AN367" s="85">
        <f>SUM($AD$6:AD367)</f>
        <v>0</v>
      </c>
      <c r="AO367" s="85">
        <f t="shared" ca="1" si="235"/>
        <v>0</v>
      </c>
      <c r="AP367" s="89">
        <f t="shared" si="236"/>
        <v>0</v>
      </c>
      <c r="AQ367" s="89">
        <f t="shared" si="237"/>
        <v>0</v>
      </c>
      <c r="AR367" s="89">
        <f t="shared" si="238"/>
        <v>0</v>
      </c>
      <c r="AS367" s="88">
        <f t="shared" si="239"/>
        <v>30</v>
      </c>
      <c r="AT367" s="88">
        <f t="shared" ca="1" si="240"/>
        <v>30</v>
      </c>
      <c r="AU367" s="98">
        <f t="shared" si="241"/>
        <v>0</v>
      </c>
      <c r="AV367" s="88">
        <f t="shared" si="242"/>
        <v>0</v>
      </c>
      <c r="AW367" t="b">
        <f>OR((F367&gt;0),(NOT(ISBLANK(H367))),SUM(H367:H$373),SUM(G367:G$373))</f>
        <v>0</v>
      </c>
      <c r="AX367" t="b">
        <f t="shared" ca="1" si="217"/>
        <v>0</v>
      </c>
      <c r="AY367" s="519">
        <f t="shared" si="243"/>
        <v>-0.29166666666666669</v>
      </c>
      <c r="AZ367" s="180">
        <f>SUM(AY$5:AY367)</f>
        <v>-72.9166666666666</v>
      </c>
      <c r="BA367" s="567"/>
      <c r="BB367" s="567">
        <f t="shared" si="218"/>
        <v>0</v>
      </c>
      <c r="BC367" s="567"/>
    </row>
    <row r="368" spans="1:55" ht="15.75">
      <c r="A368" s="260">
        <f t="shared" si="244"/>
        <v>45196</v>
      </c>
      <c r="B368" s="261">
        <f t="shared" si="219"/>
        <v>45196</v>
      </c>
      <c r="C368" s="262">
        <f>IF(A368="","",NumberOfWeek(A368))</f>
        <v>39</v>
      </c>
      <c r="D368" s="263">
        <f t="shared" si="220"/>
        <v>45169</v>
      </c>
      <c r="E368" s="273" t="str">
        <f t="shared" si="221"/>
        <v/>
      </c>
      <c r="F368" s="5"/>
      <c r="G368" s="6" t="str">
        <f t="shared" si="206"/>
        <v/>
      </c>
      <c r="H368" s="7"/>
      <c r="I368" s="7">
        <f t="shared" si="222"/>
        <v>0</v>
      </c>
      <c r="J368" s="76">
        <f t="shared" si="223"/>
        <v>0</v>
      </c>
      <c r="K368" s="7"/>
      <c r="L368" s="7">
        <f t="shared" si="224"/>
        <v>0</v>
      </c>
      <c r="M368" s="76">
        <f t="shared" si="207"/>
        <v>0</v>
      </c>
      <c r="N368" s="76"/>
      <c r="O368" s="76">
        <f t="shared" si="208"/>
        <v>0</v>
      </c>
      <c r="P368" s="76"/>
      <c r="Q368" s="76">
        <f t="shared" si="209"/>
        <v>0</v>
      </c>
      <c r="R368" s="76">
        <f t="shared" si="225"/>
        <v>0</v>
      </c>
      <c r="S368" s="76">
        <f t="shared" si="226"/>
        <v>0</v>
      </c>
      <c r="T368" s="76">
        <f t="shared" si="227"/>
        <v>0</v>
      </c>
      <c r="U368" s="76">
        <f t="shared" si="228"/>
        <v>0</v>
      </c>
      <c r="V368" s="109">
        <f t="shared" si="229"/>
        <v>0</v>
      </c>
      <c r="W368" s="62"/>
      <c r="X368" s="78">
        <f t="shared" si="210"/>
        <v>3.125E-2</v>
      </c>
      <c r="Y368" s="73">
        <f t="shared" si="230"/>
        <v>0</v>
      </c>
      <c r="Z368" s="74">
        <f t="shared" si="231"/>
        <v>0.29166666666666669</v>
      </c>
      <c r="AA368" s="75">
        <f t="shared" si="232"/>
        <v>0</v>
      </c>
      <c r="AB368" s="63" t="str">
        <f t="shared" si="233"/>
        <v/>
      </c>
      <c r="AC368" s="148">
        <f t="shared" si="211"/>
        <v>0</v>
      </c>
      <c r="AD368" s="107" t="str">
        <f t="shared" si="212"/>
        <v/>
      </c>
      <c r="AE368" s="180">
        <f t="shared" si="234"/>
        <v>0</v>
      </c>
      <c r="AF368" s="73"/>
      <c r="AG368" s="525"/>
      <c r="AH368" s="73"/>
      <c r="AI368" s="73" t="str">
        <f t="shared" si="245"/>
        <v/>
      </c>
      <c r="AJ368" s="64">
        <f t="shared" si="213"/>
        <v>0</v>
      </c>
      <c r="AK368" s="64">
        <f t="shared" si="214"/>
        <v>0</v>
      </c>
      <c r="AL368" s="64" t="str">
        <f t="shared" si="215"/>
        <v/>
      </c>
      <c r="AM368">
        <f t="shared" si="216"/>
        <v>2</v>
      </c>
      <c r="AN368" s="85">
        <f>SUM($AD$6:AD368)</f>
        <v>0</v>
      </c>
      <c r="AO368" s="85">
        <f t="shared" ca="1" si="235"/>
        <v>0</v>
      </c>
      <c r="AP368" s="89">
        <f t="shared" si="236"/>
        <v>0</v>
      </c>
      <c r="AQ368" s="89">
        <f t="shared" si="237"/>
        <v>0</v>
      </c>
      <c r="AR368" s="89">
        <f t="shared" si="238"/>
        <v>0</v>
      </c>
      <c r="AS368" s="88">
        <f t="shared" si="239"/>
        <v>30</v>
      </c>
      <c r="AT368" s="88">
        <f t="shared" ca="1" si="240"/>
        <v>30</v>
      </c>
      <c r="AU368" s="98">
        <f t="shared" si="241"/>
        <v>0</v>
      </c>
      <c r="AV368" s="88">
        <f t="shared" si="242"/>
        <v>0</v>
      </c>
      <c r="AW368" t="b">
        <f>OR((F368&gt;0),(NOT(ISBLANK(H368))),SUM(H368:H$373),SUM(G368:G$373))</f>
        <v>0</v>
      </c>
      <c r="AX368" t="b">
        <f t="shared" ca="1" si="217"/>
        <v>0</v>
      </c>
      <c r="AY368" s="519">
        <f t="shared" si="243"/>
        <v>-0.29166666666666669</v>
      </c>
      <c r="AZ368" s="180">
        <f>SUM(AY$5:AY368)</f>
        <v>-73.208333333333272</v>
      </c>
      <c r="BA368" s="567"/>
      <c r="BB368" s="567">
        <f t="shared" si="218"/>
        <v>0</v>
      </c>
      <c r="BC368" s="567"/>
    </row>
    <row r="369" spans="1:55" ht="15.75">
      <c r="A369" s="260">
        <f t="shared" si="244"/>
        <v>45197</v>
      </c>
      <c r="B369" s="261">
        <f t="shared" si="219"/>
        <v>45197</v>
      </c>
      <c r="C369" s="262">
        <f>IF(A369="","",NumberOfWeek(A369))</f>
        <v>39</v>
      </c>
      <c r="D369" s="263">
        <f t="shared" si="220"/>
        <v>45169</v>
      </c>
      <c r="E369" s="273" t="str">
        <f t="shared" si="221"/>
        <v/>
      </c>
      <c r="F369" s="5"/>
      <c r="G369" s="6" t="str">
        <f t="shared" si="206"/>
        <v/>
      </c>
      <c r="H369" s="7"/>
      <c r="I369" s="7">
        <f t="shared" si="222"/>
        <v>0</v>
      </c>
      <c r="J369" s="76">
        <f t="shared" si="223"/>
        <v>0</v>
      </c>
      <c r="K369" s="7"/>
      <c r="L369" s="7">
        <f t="shared" si="224"/>
        <v>0</v>
      </c>
      <c r="M369" s="76">
        <f t="shared" si="207"/>
        <v>0</v>
      </c>
      <c r="N369" s="76"/>
      <c r="O369" s="76">
        <f t="shared" si="208"/>
        <v>0</v>
      </c>
      <c r="P369" s="76"/>
      <c r="Q369" s="76">
        <f t="shared" si="209"/>
        <v>0</v>
      </c>
      <c r="R369" s="76">
        <f t="shared" si="225"/>
        <v>0</v>
      </c>
      <c r="S369" s="76">
        <f t="shared" si="226"/>
        <v>0</v>
      </c>
      <c r="T369" s="76">
        <f t="shared" si="227"/>
        <v>0</v>
      </c>
      <c r="U369" s="76">
        <f t="shared" si="228"/>
        <v>0</v>
      </c>
      <c r="V369" s="109">
        <f t="shared" si="229"/>
        <v>0</v>
      </c>
      <c r="W369" s="62"/>
      <c r="X369" s="78">
        <f t="shared" si="210"/>
        <v>3.125E-2</v>
      </c>
      <c r="Y369" s="73">
        <f t="shared" si="230"/>
        <v>0</v>
      </c>
      <c r="Z369" s="74">
        <f t="shared" si="231"/>
        <v>0.29166666666666669</v>
      </c>
      <c r="AA369" s="75">
        <f t="shared" si="232"/>
        <v>0</v>
      </c>
      <c r="AB369" s="63" t="str">
        <f t="shared" si="233"/>
        <v/>
      </c>
      <c r="AC369" s="148">
        <f t="shared" si="211"/>
        <v>0</v>
      </c>
      <c r="AD369" s="107" t="str">
        <f t="shared" si="212"/>
        <v/>
      </c>
      <c r="AE369" s="180">
        <f t="shared" si="234"/>
        <v>0</v>
      </c>
      <c r="AF369" s="73"/>
      <c r="AG369" s="525"/>
      <c r="AH369" s="73"/>
      <c r="AI369" s="73" t="str">
        <f t="shared" si="245"/>
        <v/>
      </c>
      <c r="AJ369" s="64">
        <f t="shared" si="213"/>
        <v>0</v>
      </c>
      <c r="AK369" s="64">
        <f t="shared" si="214"/>
        <v>0</v>
      </c>
      <c r="AL369" s="64" t="str">
        <f t="shared" si="215"/>
        <v/>
      </c>
      <c r="AM369">
        <f t="shared" si="216"/>
        <v>3</v>
      </c>
      <c r="AN369" s="85">
        <f>SUM($AD$6:AD369)</f>
        <v>0</v>
      </c>
      <c r="AO369" s="85">
        <f t="shared" ca="1" si="235"/>
        <v>0</v>
      </c>
      <c r="AP369" s="89">
        <f t="shared" si="236"/>
        <v>0</v>
      </c>
      <c r="AQ369" s="89">
        <f t="shared" si="237"/>
        <v>0</v>
      </c>
      <c r="AR369" s="89">
        <f t="shared" si="238"/>
        <v>0</v>
      </c>
      <c r="AS369" s="88">
        <f t="shared" si="239"/>
        <v>30</v>
      </c>
      <c r="AT369" s="88">
        <f t="shared" ca="1" si="240"/>
        <v>30</v>
      </c>
      <c r="AU369" s="98">
        <f t="shared" si="241"/>
        <v>0</v>
      </c>
      <c r="AV369" s="88">
        <f t="shared" si="242"/>
        <v>0</v>
      </c>
      <c r="AW369" t="b">
        <f>OR((F369&gt;0),(NOT(ISBLANK(H369))),SUM(H369:H$373),SUM(G369:G$373))</f>
        <v>0</v>
      </c>
      <c r="AX369" t="b">
        <f t="shared" ca="1" si="217"/>
        <v>0</v>
      </c>
      <c r="AY369" s="519">
        <f t="shared" si="243"/>
        <v>-0.29166666666666669</v>
      </c>
      <c r="AZ369" s="180">
        <f>SUM(AY$5:AY369)</f>
        <v>-73.499999999999943</v>
      </c>
      <c r="BA369" s="567"/>
      <c r="BB369" s="567">
        <f t="shared" si="218"/>
        <v>0</v>
      </c>
      <c r="BC369" s="567"/>
    </row>
    <row r="370" spans="1:55" ht="15.75">
      <c r="A370" s="260">
        <f t="shared" si="244"/>
        <v>45198</v>
      </c>
      <c r="B370" s="261">
        <f t="shared" si="219"/>
        <v>45198</v>
      </c>
      <c r="C370" s="262">
        <f>IF(A370="","",NumberOfWeek(A370))</f>
        <v>39</v>
      </c>
      <c r="D370" s="263">
        <f t="shared" si="220"/>
        <v>45169</v>
      </c>
      <c r="E370" s="273" t="str">
        <f t="shared" si="221"/>
        <v/>
      </c>
      <c r="F370" s="5"/>
      <c r="G370" s="6" t="str">
        <f t="shared" si="206"/>
        <v/>
      </c>
      <c r="H370" s="7"/>
      <c r="I370" s="7">
        <f t="shared" si="222"/>
        <v>0</v>
      </c>
      <c r="J370" s="76">
        <f t="shared" si="223"/>
        <v>0</v>
      </c>
      <c r="K370" s="7"/>
      <c r="L370" s="7">
        <f t="shared" si="224"/>
        <v>0</v>
      </c>
      <c r="M370" s="76">
        <f t="shared" si="207"/>
        <v>0</v>
      </c>
      <c r="N370" s="76"/>
      <c r="O370" s="76">
        <f t="shared" si="208"/>
        <v>0</v>
      </c>
      <c r="P370" s="76"/>
      <c r="Q370" s="76">
        <f t="shared" si="209"/>
        <v>0</v>
      </c>
      <c r="R370" s="76">
        <f t="shared" si="225"/>
        <v>0</v>
      </c>
      <c r="S370" s="76">
        <f t="shared" si="226"/>
        <v>0</v>
      </c>
      <c r="T370" s="76">
        <f t="shared" si="227"/>
        <v>0</v>
      </c>
      <c r="U370" s="76">
        <f t="shared" si="228"/>
        <v>0</v>
      </c>
      <c r="V370" s="109">
        <f t="shared" si="229"/>
        <v>0</v>
      </c>
      <c r="W370" s="62"/>
      <c r="X370" s="78">
        <f t="shared" si="210"/>
        <v>3.125E-2</v>
      </c>
      <c r="Y370" s="73">
        <f t="shared" si="230"/>
        <v>0</v>
      </c>
      <c r="Z370" s="74">
        <f t="shared" si="231"/>
        <v>0.29166666666666669</v>
      </c>
      <c r="AA370" s="75">
        <f t="shared" si="232"/>
        <v>0</v>
      </c>
      <c r="AB370" s="63" t="str">
        <f t="shared" si="233"/>
        <v/>
      </c>
      <c r="AC370" s="148">
        <f t="shared" si="211"/>
        <v>0</v>
      </c>
      <c r="AD370" s="107" t="str">
        <f t="shared" si="212"/>
        <v/>
      </c>
      <c r="AE370" s="180">
        <f t="shared" si="234"/>
        <v>0</v>
      </c>
      <c r="AF370" s="73"/>
      <c r="AG370" s="525"/>
      <c r="AH370" s="73"/>
      <c r="AI370" s="73" t="str">
        <f t="shared" si="245"/>
        <v/>
      </c>
      <c r="AJ370" s="64">
        <f t="shared" si="213"/>
        <v>0</v>
      </c>
      <c r="AK370" s="64">
        <f t="shared" si="214"/>
        <v>0</v>
      </c>
      <c r="AL370" s="64" t="str">
        <f t="shared" si="215"/>
        <v/>
      </c>
      <c r="AM370">
        <f t="shared" si="216"/>
        <v>4</v>
      </c>
      <c r="AN370" s="85">
        <f>SUM($AD$6:AD370)</f>
        <v>0</v>
      </c>
      <c r="AO370" s="85">
        <f t="shared" ca="1" si="235"/>
        <v>0</v>
      </c>
      <c r="AP370" s="89">
        <f t="shared" si="236"/>
        <v>0</v>
      </c>
      <c r="AQ370" s="89">
        <f t="shared" si="237"/>
        <v>0</v>
      </c>
      <c r="AR370" s="89">
        <f t="shared" si="238"/>
        <v>0</v>
      </c>
      <c r="AS370" s="88">
        <f t="shared" si="239"/>
        <v>30</v>
      </c>
      <c r="AT370" s="88">
        <f t="shared" ca="1" si="240"/>
        <v>30</v>
      </c>
      <c r="AU370" s="98">
        <f t="shared" si="241"/>
        <v>0</v>
      </c>
      <c r="AV370" s="88">
        <f t="shared" si="242"/>
        <v>0</v>
      </c>
      <c r="AW370" t="b">
        <f>OR((F370&gt;0),(NOT(ISBLANK(H370))),SUM(H370:H$373),SUM(G370:G$373))</f>
        <v>0</v>
      </c>
      <c r="AX370" t="b">
        <f t="shared" ca="1" si="217"/>
        <v>0</v>
      </c>
      <c r="AY370" s="519">
        <f t="shared" si="243"/>
        <v>-0.29166666666666669</v>
      </c>
      <c r="AZ370" s="180">
        <f>SUM(AY$5:AY370)</f>
        <v>-73.791666666666615</v>
      </c>
      <c r="BA370" s="567"/>
      <c r="BB370" s="567">
        <f t="shared" si="218"/>
        <v>0</v>
      </c>
      <c r="BC370" s="567"/>
    </row>
    <row r="371" spans="1:55" ht="15.75">
      <c r="A371" s="260" t="str">
        <f t="shared" si="244"/>
        <v/>
      </c>
      <c r="B371" s="261" t="str">
        <f t="shared" si="219"/>
        <v/>
      </c>
      <c r="C371" s="262" t="str">
        <f>IF(A371="","",NumberOfWeek(A371))</f>
        <v/>
      </c>
      <c r="D371" s="263" t="str">
        <f t="shared" si="220"/>
        <v/>
      </c>
      <c r="E371" s="273" t="str">
        <f t="shared" si="221"/>
        <v/>
      </c>
      <c r="F371" s="5"/>
      <c r="G371" s="6" t="str">
        <f t="shared" si="206"/>
        <v/>
      </c>
      <c r="H371" s="7"/>
      <c r="I371" s="7">
        <f t="shared" si="222"/>
        <v>0</v>
      </c>
      <c r="J371" s="76">
        <f t="shared" si="223"/>
        <v>0</v>
      </c>
      <c r="K371" s="7"/>
      <c r="L371" s="7">
        <f t="shared" si="224"/>
        <v>0</v>
      </c>
      <c r="M371" s="76">
        <f t="shared" si="207"/>
        <v>0</v>
      </c>
      <c r="N371" s="76"/>
      <c r="O371" s="76">
        <f t="shared" si="208"/>
        <v>0</v>
      </c>
      <c r="P371" s="76"/>
      <c r="Q371" s="76">
        <f t="shared" si="209"/>
        <v>0</v>
      </c>
      <c r="R371" s="76">
        <f t="shared" si="225"/>
        <v>0</v>
      </c>
      <c r="S371" s="76">
        <f t="shared" si="226"/>
        <v>0</v>
      </c>
      <c r="T371" s="76">
        <f t="shared" si="227"/>
        <v>0</v>
      </c>
      <c r="U371" s="76">
        <f t="shared" si="228"/>
        <v>0</v>
      </c>
      <c r="V371" s="109">
        <f t="shared" si="229"/>
        <v>0</v>
      </c>
      <c r="W371" s="62"/>
      <c r="X371" s="78">
        <f t="shared" si="210"/>
        <v>3.125E-2</v>
      </c>
      <c r="Y371" s="73">
        <f t="shared" si="230"/>
        <v>0</v>
      </c>
      <c r="Z371" s="74" t="str">
        <f t="shared" si="231"/>
        <v/>
      </c>
      <c r="AA371" s="75">
        <f t="shared" si="232"/>
        <v>0</v>
      </c>
      <c r="AB371" s="63" t="str">
        <f t="shared" si="233"/>
        <v/>
      </c>
      <c r="AC371" s="148">
        <f t="shared" si="211"/>
        <v>0</v>
      </c>
      <c r="AD371" s="107" t="str">
        <f t="shared" si="212"/>
        <v/>
      </c>
      <c r="AE371" s="180">
        <f t="shared" si="234"/>
        <v>0</v>
      </c>
      <c r="AF371" s="73"/>
      <c r="AG371" s="525"/>
      <c r="AH371" s="73"/>
      <c r="AI371" s="73" t="str">
        <f t="shared" si="245"/>
        <v/>
      </c>
      <c r="AJ371" s="64">
        <f t="shared" si="213"/>
        <v>0</v>
      </c>
      <c r="AK371" s="64">
        <f t="shared" si="214"/>
        <v>0</v>
      </c>
      <c r="AL371" s="64" t="str">
        <f t="shared" si="215"/>
        <v/>
      </c>
      <c r="AM371">
        <f t="shared" si="216"/>
        <v>0</v>
      </c>
      <c r="AN371" s="85">
        <f>SUM($AD$6:AD371)</f>
        <v>0</v>
      </c>
      <c r="AO371" s="85">
        <f t="shared" ca="1" si="235"/>
        <v>0</v>
      </c>
      <c r="AP371" s="89">
        <f t="shared" si="236"/>
        <v>0</v>
      </c>
      <c r="AQ371" s="89">
        <f t="shared" si="237"/>
        <v>0</v>
      </c>
      <c r="AR371" s="89">
        <f t="shared" si="238"/>
        <v>0</v>
      </c>
      <c r="AS371" s="88" t="str">
        <f t="shared" si="239"/>
        <v/>
      </c>
      <c r="AT371" s="88" t="str">
        <f t="shared" ca="1" si="240"/>
        <v/>
      </c>
      <c r="AU371" s="98">
        <f t="shared" si="241"/>
        <v>0</v>
      </c>
      <c r="AV371" s="88">
        <f t="shared" si="242"/>
        <v>0</v>
      </c>
      <c r="AW371" t="b">
        <f>OR((F371&gt;0),(NOT(ISBLANK(H371))),SUM(H371:H$373),SUM(G371:G$373))</f>
        <v>0</v>
      </c>
      <c r="AX371" t="b">
        <f t="shared" ca="1" si="217"/>
        <v>0</v>
      </c>
      <c r="AY371" s="519">
        <f t="shared" si="243"/>
        <v>0</v>
      </c>
      <c r="AZ371" s="180">
        <f>SUM(AY$5:AY371)</f>
        <v>-73.791666666666615</v>
      </c>
      <c r="BA371" s="567"/>
      <c r="BB371" s="567">
        <f t="shared" si="218"/>
        <v>0</v>
      </c>
      <c r="BC371" s="567"/>
    </row>
    <row r="372" spans="1:55" ht="15.75">
      <c r="A372" s="260" t="str">
        <f t="shared" si="244"/>
        <v/>
      </c>
      <c r="B372" s="261" t="str">
        <f t="shared" si="219"/>
        <v/>
      </c>
      <c r="C372" s="262" t="str">
        <f>IF(A372="","",NumberOfWeek(A372))</f>
        <v/>
      </c>
      <c r="D372" s="263" t="str">
        <f t="shared" si="220"/>
        <v/>
      </c>
      <c r="E372" s="273" t="str">
        <f t="shared" si="221"/>
        <v/>
      </c>
      <c r="F372" s="5"/>
      <c r="G372" s="6" t="str">
        <f t="shared" si="206"/>
        <v/>
      </c>
      <c r="H372" s="7"/>
      <c r="I372" s="7">
        <f t="shared" si="222"/>
        <v>0</v>
      </c>
      <c r="J372" s="76">
        <f t="shared" si="223"/>
        <v>0</v>
      </c>
      <c r="K372" s="7"/>
      <c r="L372" s="7">
        <f t="shared" si="224"/>
        <v>0</v>
      </c>
      <c r="M372" s="76">
        <f t="shared" si="207"/>
        <v>0</v>
      </c>
      <c r="N372" s="76"/>
      <c r="O372" s="76">
        <f t="shared" si="208"/>
        <v>0</v>
      </c>
      <c r="P372" s="76"/>
      <c r="Q372" s="76">
        <f t="shared" si="209"/>
        <v>0</v>
      </c>
      <c r="R372" s="76">
        <f t="shared" si="225"/>
        <v>0</v>
      </c>
      <c r="S372" s="76">
        <f t="shared" si="226"/>
        <v>0</v>
      </c>
      <c r="T372" s="76">
        <f t="shared" si="227"/>
        <v>0</v>
      </c>
      <c r="U372" s="76">
        <f t="shared" si="228"/>
        <v>0</v>
      </c>
      <c r="V372" s="109">
        <f t="shared" si="229"/>
        <v>0</v>
      </c>
      <c r="W372" s="62"/>
      <c r="X372" s="78">
        <f t="shared" si="210"/>
        <v>3.125E-2</v>
      </c>
      <c r="Y372" s="73">
        <f t="shared" si="230"/>
        <v>0</v>
      </c>
      <c r="Z372" s="74" t="str">
        <f t="shared" si="231"/>
        <v/>
      </c>
      <c r="AA372" s="75">
        <f t="shared" si="232"/>
        <v>0</v>
      </c>
      <c r="AB372" s="63" t="str">
        <f t="shared" si="233"/>
        <v/>
      </c>
      <c r="AC372" s="148">
        <f t="shared" si="211"/>
        <v>0</v>
      </c>
      <c r="AD372" s="107" t="str">
        <f t="shared" si="212"/>
        <v/>
      </c>
      <c r="AE372" s="180">
        <f t="shared" si="234"/>
        <v>0</v>
      </c>
      <c r="AF372" s="73"/>
      <c r="AG372" s="525"/>
      <c r="AH372" s="73"/>
      <c r="AI372" s="73" t="str">
        <f t="shared" si="245"/>
        <v/>
      </c>
      <c r="AJ372" s="64">
        <f t="shared" si="213"/>
        <v>0</v>
      </c>
      <c r="AK372" s="64">
        <f t="shared" si="214"/>
        <v>0</v>
      </c>
      <c r="AL372" s="64" t="str">
        <f t="shared" si="215"/>
        <v/>
      </c>
      <c r="AM372">
        <f t="shared" si="216"/>
        <v>0</v>
      </c>
      <c r="AN372" s="85">
        <f>SUM($AD$6:AD372)</f>
        <v>0</v>
      </c>
      <c r="AO372" s="85">
        <f t="shared" ca="1" si="235"/>
        <v>0</v>
      </c>
      <c r="AP372" s="89">
        <f t="shared" si="236"/>
        <v>0</v>
      </c>
      <c r="AQ372" s="89">
        <f t="shared" si="237"/>
        <v>0</v>
      </c>
      <c r="AR372" s="89">
        <f t="shared" si="238"/>
        <v>0</v>
      </c>
      <c r="AS372" s="88" t="str">
        <f t="shared" si="239"/>
        <v/>
      </c>
      <c r="AT372" s="88" t="str">
        <f t="shared" ca="1" si="240"/>
        <v/>
      </c>
      <c r="AU372" s="98">
        <f t="shared" si="241"/>
        <v>0</v>
      </c>
      <c r="AV372" s="88">
        <f t="shared" si="242"/>
        <v>0</v>
      </c>
      <c r="AW372" t="b">
        <f>OR((F372&gt;0),(NOT(ISBLANK(H372))),SUM(H372:H$373),SUM(G372:G$373))</f>
        <v>0</v>
      </c>
      <c r="AX372" t="b">
        <f t="shared" ca="1" si="217"/>
        <v>0</v>
      </c>
      <c r="AY372" s="519">
        <f t="shared" si="243"/>
        <v>0</v>
      </c>
      <c r="AZ372" s="180">
        <f>SUM(AY$5:AY372)</f>
        <v>-73.791666666666615</v>
      </c>
      <c r="BA372" s="567"/>
      <c r="BB372" s="567">
        <f t="shared" si="218"/>
        <v>0</v>
      </c>
      <c r="BC372" s="567"/>
    </row>
    <row r="373" spans="1:55" ht="15.75">
      <c r="A373" s="260" t="str">
        <f t="shared" si="244"/>
        <v/>
      </c>
      <c r="B373" s="261" t="str">
        <f t="shared" si="219"/>
        <v/>
      </c>
      <c r="C373" s="262" t="str">
        <f>IF(A373="","",NumberOfWeek(A373))</f>
        <v/>
      </c>
      <c r="D373" s="263" t="str">
        <f t="shared" si="220"/>
        <v/>
      </c>
      <c r="E373" s="273" t="str">
        <f t="shared" si="221"/>
        <v/>
      </c>
      <c r="F373" s="5"/>
      <c r="G373" s="6" t="str">
        <f t="shared" si="206"/>
        <v/>
      </c>
      <c r="H373" s="7"/>
      <c r="I373" s="7">
        <f t="shared" si="222"/>
        <v>0</v>
      </c>
      <c r="J373" s="76">
        <f t="shared" si="223"/>
        <v>0</v>
      </c>
      <c r="K373" s="7"/>
      <c r="L373" s="7">
        <f t="shared" si="224"/>
        <v>0</v>
      </c>
      <c r="M373" s="76">
        <f t="shared" si="207"/>
        <v>0</v>
      </c>
      <c r="N373" s="76"/>
      <c r="O373" s="76">
        <f t="shared" si="208"/>
        <v>0</v>
      </c>
      <c r="P373" s="76"/>
      <c r="Q373" s="76">
        <f t="shared" si="209"/>
        <v>0</v>
      </c>
      <c r="R373" s="76">
        <f t="shared" si="225"/>
        <v>0</v>
      </c>
      <c r="S373" s="76">
        <f t="shared" si="226"/>
        <v>0</v>
      </c>
      <c r="T373" s="76">
        <f t="shared" si="227"/>
        <v>0</v>
      </c>
      <c r="U373" s="76">
        <f t="shared" si="228"/>
        <v>0</v>
      </c>
      <c r="V373" s="109">
        <f t="shared" si="229"/>
        <v>0</v>
      </c>
      <c r="W373" s="62"/>
      <c r="X373" s="78">
        <f t="shared" si="210"/>
        <v>3.125E-2</v>
      </c>
      <c r="Y373" s="73">
        <f t="shared" si="230"/>
        <v>0</v>
      </c>
      <c r="Z373" s="74" t="str">
        <f t="shared" si="231"/>
        <v/>
      </c>
      <c r="AA373" s="75">
        <f t="shared" si="232"/>
        <v>0</v>
      </c>
      <c r="AB373" s="63" t="str">
        <f t="shared" si="233"/>
        <v/>
      </c>
      <c r="AC373" s="148">
        <f t="shared" si="211"/>
        <v>0</v>
      </c>
      <c r="AD373" s="107" t="str">
        <f t="shared" si="212"/>
        <v/>
      </c>
      <c r="AE373" s="180">
        <f t="shared" si="234"/>
        <v>0</v>
      </c>
      <c r="AF373" s="73"/>
      <c r="AG373" s="525"/>
      <c r="AH373" s="73"/>
      <c r="AI373" s="73" t="str">
        <f t="shared" si="245"/>
        <v/>
      </c>
      <c r="AJ373" s="64">
        <f t="shared" si="213"/>
        <v>0</v>
      </c>
      <c r="AK373" s="64">
        <f t="shared" si="214"/>
        <v>0</v>
      </c>
      <c r="AL373" s="64" t="str">
        <f t="shared" si="215"/>
        <v/>
      </c>
      <c r="AM373">
        <f t="shared" si="216"/>
        <v>0</v>
      </c>
      <c r="AN373" s="85">
        <f>SUM($AD$6:AD373)</f>
        <v>0</v>
      </c>
      <c r="AO373" s="85">
        <f t="shared" ca="1" si="235"/>
        <v>0</v>
      </c>
      <c r="AP373" s="89">
        <f t="shared" si="236"/>
        <v>0</v>
      </c>
      <c r="AQ373" s="89">
        <f t="shared" si="237"/>
        <v>0</v>
      </c>
      <c r="AR373" s="89">
        <f t="shared" si="238"/>
        <v>0</v>
      </c>
      <c r="AS373" s="88" t="str">
        <f t="shared" si="239"/>
        <v/>
      </c>
      <c r="AT373" s="88" t="str">
        <f t="shared" ca="1" si="240"/>
        <v/>
      </c>
      <c r="AU373" s="98">
        <f t="shared" si="241"/>
        <v>0</v>
      </c>
      <c r="AV373" s="88">
        <f t="shared" si="242"/>
        <v>0</v>
      </c>
      <c r="AW373" t="b">
        <f>OR((F373&gt;0),(NOT(ISBLANK(H373))),SUM(H373:H$373),SUM(G373:G$373))</f>
        <v>0</v>
      </c>
      <c r="AX373" t="b">
        <f t="shared" ca="1" si="217"/>
        <v>0</v>
      </c>
      <c r="AY373" s="519">
        <f t="shared" si="243"/>
        <v>0</v>
      </c>
      <c r="AZ373" s="180">
        <f>SUM(AY$5:AY373)</f>
        <v>-73.791666666666615</v>
      </c>
      <c r="BA373" s="567"/>
      <c r="BB373" s="567">
        <f t="shared" si="218"/>
        <v>0</v>
      </c>
      <c r="BC373" s="567"/>
    </row>
    <row r="374" spans="1:55" s="1" customFormat="1" ht="12.75" customHeight="1">
      <c r="A374" s="8"/>
      <c r="B374" s="8"/>
      <c r="C374" s="8"/>
      <c r="D374" s="9"/>
      <c r="E374" s="619">
        <f>SUBTOTAL(3,F6:F373)</f>
        <v>0</v>
      </c>
      <c r="F374" s="619"/>
      <c r="G374" s="8"/>
      <c r="H374" s="550" t="s">
        <v>219</v>
      </c>
      <c r="I374" s="274"/>
      <c r="J374" s="275"/>
      <c r="K374" s="275"/>
      <c r="L374" s="275"/>
      <c r="M374" s="275"/>
      <c r="N374" s="275"/>
      <c r="O374" s="275"/>
      <c r="P374" s="275"/>
      <c r="Q374" s="275"/>
      <c r="R374" s="275"/>
      <c r="S374" s="275"/>
      <c r="T374" s="275"/>
      <c r="U374" s="275"/>
      <c r="V374" s="276">
        <f>SUBTOTAL(9,V6:V373)</f>
        <v>0</v>
      </c>
      <c r="W374" s="277"/>
      <c r="X374" s="270"/>
      <c r="Y374" s="276">
        <f>SUBTOTAL(9,Y6:Y373)</f>
        <v>0</v>
      </c>
      <c r="Z374" s="271"/>
      <c r="AA374" s="278">
        <f>SUBTOTAL(9,AA6:AA373)</f>
        <v>0</v>
      </c>
      <c r="AB374" s="277"/>
      <c r="AC374" s="272"/>
      <c r="AD374" s="431">
        <f>SUBTOTAL(9,AD6:AD373)</f>
        <v>0</v>
      </c>
      <c r="AE374"/>
      <c r="AF374" s="276">
        <f>SUBTOTAL(9,AF6:AF373)</f>
        <v>0</v>
      </c>
      <c r="AG374" s="276"/>
      <c r="AH374" s="276"/>
      <c r="AI374" s="276">
        <f>SUBTOTAL(9,AI6:AI373)</f>
        <v>0</v>
      </c>
      <c r="AP374" s="8">
        <f>SUBTOTAL(9,AP6:AP373)</f>
        <v>0</v>
      </c>
      <c r="AQ374" s="8">
        <f>SUBTOTAL(9,AQ6:AQ373)</f>
        <v>0</v>
      </c>
      <c r="AR374" s="8">
        <f>SUBTOTAL(9,AR6:AR373)</f>
        <v>0</v>
      </c>
      <c r="BA374" s="569"/>
      <c r="BB374" s="569"/>
      <c r="BC374" s="569"/>
    </row>
    <row r="375" spans="1:55" ht="9.9499999999999993" customHeight="1">
      <c r="A375" s="8"/>
      <c r="B375" s="8"/>
      <c r="C375" s="8"/>
      <c r="D375" s="9"/>
      <c r="E375" s="268"/>
      <c r="G375" s="8"/>
      <c r="H375" s="8"/>
      <c r="I375" s="8"/>
      <c r="J375" s="8"/>
      <c r="K375" s="8"/>
      <c r="L375" s="8"/>
      <c r="M375" s="10"/>
      <c r="N375" s="10"/>
      <c r="O375" s="10"/>
      <c r="P375" s="10"/>
      <c r="Q375" s="10"/>
      <c r="R375" s="10"/>
      <c r="S375" s="10"/>
      <c r="T375" s="10"/>
      <c r="U375" s="10"/>
      <c r="V375" s="10"/>
      <c r="X375" s="10"/>
      <c r="Z375" s="86"/>
      <c r="AA375" s="11"/>
      <c r="AB375" s="1"/>
      <c r="AC375" s="12"/>
      <c r="AF375" s="10"/>
      <c r="AG375" s="10"/>
      <c r="AH375" s="10"/>
      <c r="AI375" s="10"/>
      <c r="BA375" s="570"/>
      <c r="BB375" s="570"/>
      <c r="BC375" s="570"/>
    </row>
    <row r="376" spans="1:55" ht="11.25" customHeight="1">
      <c r="A376" s="288" t="s">
        <v>19</v>
      </c>
      <c r="B376" s="289"/>
      <c r="C376" s="289"/>
      <c r="D376" s="290"/>
      <c r="E376" s="268"/>
      <c r="G376" s="8"/>
      <c r="H376" s="288" t="s">
        <v>23</v>
      </c>
      <c r="I376" s="288"/>
      <c r="J376" s="291"/>
      <c r="K376" s="289"/>
      <c r="L376" s="289"/>
      <c r="M376" s="292"/>
      <c r="N376" s="292"/>
      <c r="O376" s="292"/>
      <c r="P376" s="292"/>
      <c r="Q376" s="292"/>
      <c r="R376" s="292"/>
      <c r="S376" s="292"/>
      <c r="T376" s="292"/>
      <c r="U376" s="292"/>
      <c r="V376" s="292"/>
      <c r="W376" s="291"/>
      <c r="X376" s="292"/>
      <c r="Y376" s="291"/>
      <c r="Z376" s="293"/>
      <c r="AA376" s="294"/>
      <c r="AB376" s="295"/>
      <c r="AC376" s="296"/>
      <c r="AD376" s="291"/>
      <c r="AF376" s="10"/>
      <c r="AG376" s="10"/>
      <c r="AH376" s="10"/>
      <c r="AI376" s="10"/>
      <c r="BA376" s="570"/>
      <c r="BB376" s="570"/>
      <c r="BC376" s="570"/>
    </row>
    <row r="377" spans="1:55">
      <c r="A377" s="219">
        <f>B_Vorjahr_hhmm</f>
        <v>0</v>
      </c>
      <c r="B377" s="217" t="s">
        <v>20</v>
      </c>
      <c r="C377" s="218"/>
      <c r="D377" s="224"/>
      <c r="E377" s="268"/>
      <c r="F377" s="3"/>
      <c r="G377" s="13"/>
      <c r="H377" s="214" t="s">
        <v>94</v>
      </c>
      <c r="I377" s="516"/>
      <c r="J377" s="215"/>
      <c r="K377" s="215"/>
      <c r="L377" s="215"/>
      <c r="M377" s="216"/>
      <c r="N377" s="216"/>
      <c r="O377" s="216"/>
      <c r="P377" s="216"/>
      <c r="Q377" s="216"/>
      <c r="R377" s="216"/>
      <c r="S377" s="216"/>
      <c r="T377" s="216"/>
      <c r="U377" s="216"/>
      <c r="V377" s="15">
        <f>SUM(V6:V373)</f>
        <v>0</v>
      </c>
      <c r="W377" s="16"/>
      <c r="X377" s="1"/>
      <c r="AA377" s="204">
        <f>SUM(AA6:AA373)</f>
        <v>0</v>
      </c>
      <c r="AB377" s="14"/>
      <c r="AD377" s="17">
        <f>SUM(AD6:AD373)</f>
        <v>0</v>
      </c>
      <c r="BA377" s="47"/>
      <c r="BB377" s="47"/>
      <c r="BC377" s="47"/>
    </row>
    <row r="378" spans="1:55">
      <c r="A378" s="220">
        <f>B_UrlaubVJRest</f>
        <v>0</v>
      </c>
      <c r="B378" s="214" t="s">
        <v>95</v>
      </c>
      <c r="C378" s="218"/>
      <c r="D378" s="223"/>
      <c r="G378" s="18"/>
      <c r="H378" s="217" t="s">
        <v>96</v>
      </c>
      <c r="I378" s="218"/>
      <c r="J378" s="218"/>
      <c r="K378" s="218"/>
      <c r="L378" s="218"/>
      <c r="M378" s="215"/>
      <c r="N378" s="426"/>
      <c r="O378" s="426"/>
      <c r="P378" s="426"/>
      <c r="Q378" s="426"/>
      <c r="R378" s="426"/>
      <c r="S378" s="426"/>
      <c r="T378" s="426"/>
      <c r="U378" s="426"/>
      <c r="V378" s="207">
        <f>SUM(Y6:Y373)</f>
        <v>0</v>
      </c>
      <c r="W378" s="208"/>
      <c r="X378" s="1"/>
      <c r="BA378" s="47"/>
      <c r="BB378" s="47"/>
      <c r="BC378" s="47"/>
    </row>
    <row r="379" spans="1:55">
      <c r="A379" s="288"/>
      <c r="B379" s="288"/>
      <c r="C379" s="288"/>
      <c r="D379" s="288"/>
      <c r="E379" s="268"/>
      <c r="F379" s="3"/>
      <c r="G379" s="18"/>
      <c r="H379" s="214" t="s">
        <v>26</v>
      </c>
      <c r="I379" s="516"/>
      <c r="J379" s="218"/>
      <c r="K379" s="218"/>
      <c r="L379" s="218"/>
      <c r="M379" s="216"/>
      <c r="N379" s="216"/>
      <c r="O379" s="216"/>
      <c r="P379" s="216"/>
      <c r="Q379" s="216"/>
      <c r="R379" s="216"/>
      <c r="S379" s="216"/>
      <c r="T379" s="216"/>
      <c r="U379" s="216"/>
      <c r="V379" s="280">
        <f>SUM(AF5:AF373)</f>
        <v>0</v>
      </c>
      <c r="W379" s="211"/>
      <c r="BA379" s="47"/>
      <c r="BB379" s="47"/>
      <c r="BC379" s="47"/>
    </row>
    <row r="380" spans="1:55">
      <c r="A380" s="220">
        <f>COUNTIF(F6:F373,Krank)-COUNTIF(F6:F373,"J")</f>
        <v>0</v>
      </c>
      <c r="B380" s="217" t="s">
        <v>24</v>
      </c>
      <c r="C380" s="222"/>
      <c r="D380" s="223"/>
      <c r="E380" s="268"/>
      <c r="F380" s="3"/>
      <c r="G380" s="18"/>
      <c r="H380" s="217" t="s">
        <v>13</v>
      </c>
      <c r="I380" s="218"/>
      <c r="J380" s="218"/>
      <c r="K380" s="218"/>
      <c r="L380" s="218"/>
      <c r="M380" s="216"/>
      <c r="N380" s="427"/>
      <c r="O380" s="427"/>
      <c r="P380" s="427"/>
      <c r="Q380" s="427"/>
      <c r="R380" s="427"/>
      <c r="S380" s="427"/>
      <c r="T380" s="427"/>
      <c r="U380" s="427"/>
      <c r="V380" s="209">
        <f>xVorjahrSaldo+V377-V378-V379</f>
        <v>0</v>
      </c>
      <c r="W380" s="210" t="str">
        <f>IF(V380&lt;0,"*","")</f>
        <v/>
      </c>
      <c r="Y380" s="616">
        <f>V380/B_WorkTime</f>
        <v>0</v>
      </c>
      <c r="Z380" s="617"/>
      <c r="AA380" s="618"/>
      <c r="BA380" s="47"/>
      <c r="BB380" s="47"/>
      <c r="BC380" s="47"/>
    </row>
    <row r="381" spans="1:55">
      <c r="A381" s="220">
        <f>(FREQUENCY(G6:G373,0)-FREQUENCY(G6:G373,-1))+(FREQUENCY(G6:G373,83)-FREQUENCY(G6:G373,82))</f>
        <v>0</v>
      </c>
      <c r="B381" s="214" t="s">
        <v>21</v>
      </c>
      <c r="C381" s="222"/>
      <c r="D381" s="223"/>
      <c r="G381" s="19"/>
      <c r="H381" s="217" t="s">
        <v>25</v>
      </c>
      <c r="I381" s="218"/>
      <c r="J381" s="218"/>
      <c r="K381" s="218"/>
      <c r="L381" s="218"/>
      <c r="M381" s="215"/>
      <c r="N381" s="426"/>
      <c r="O381" s="426"/>
      <c r="P381" s="426"/>
      <c r="Q381" s="426"/>
      <c r="R381" s="426"/>
      <c r="S381" s="426"/>
      <c r="T381" s="426"/>
      <c r="U381" s="426"/>
      <c r="V381" s="212">
        <f>COUNTIF(F6:F373,Urlaub)</f>
        <v>0</v>
      </c>
      <c r="W381" s="16"/>
      <c r="X381" s="203"/>
      <c r="AA381" s="46"/>
      <c r="BA381" s="47"/>
      <c r="BB381" s="47"/>
      <c r="BC381" s="47"/>
    </row>
    <row r="382" spans="1:55">
      <c r="A382" s="221">
        <f>IF(AND(V377&gt;0,A381&gt;0),V377 / A381,0)</f>
        <v>0</v>
      </c>
      <c r="B382" s="214" t="s">
        <v>22</v>
      </c>
      <c r="C382" s="222"/>
      <c r="D382" s="223"/>
      <c r="F382" s="3"/>
      <c r="H382" s="214" t="s">
        <v>98</v>
      </c>
      <c r="I382" s="516"/>
      <c r="J382" s="215"/>
      <c r="K382" s="215"/>
      <c r="L382" s="215"/>
      <c r="M382" s="428"/>
      <c r="N382" s="428"/>
      <c r="O382" s="428"/>
      <c r="P382" s="428"/>
      <c r="Q382" s="428"/>
      <c r="R382" s="428"/>
      <c r="S382" s="428"/>
      <c r="T382" s="428"/>
      <c r="U382" s="428"/>
      <c r="V382" s="205">
        <f>A378+B_UrlaubNeu-V381</f>
        <v>30</v>
      </c>
      <c r="W382" s="206"/>
      <c r="X382" s="8"/>
      <c r="AA382" s="21"/>
      <c r="AC382" s="8"/>
      <c r="BA382" s="47"/>
      <c r="BB382" s="47"/>
      <c r="BC382" s="47"/>
    </row>
    <row r="383" spans="1:55">
      <c r="A383" s="483">
        <f>SUMIF($AM$6:$AM$373,6,$AP$6:$AP$373)</f>
        <v>0</v>
      </c>
      <c r="B383" s="214" t="s">
        <v>66</v>
      </c>
      <c r="C383" s="222"/>
      <c r="D383" s="223"/>
      <c r="H383" s="214" t="s">
        <v>65</v>
      </c>
      <c r="I383" s="516"/>
      <c r="J383" s="215"/>
      <c r="K383" s="215"/>
      <c r="L383" s="215"/>
      <c r="M383" s="428"/>
      <c r="N383" s="428"/>
      <c r="O383" s="428"/>
      <c r="P383" s="428"/>
      <c r="Q383" s="428"/>
      <c r="R383" s="428"/>
      <c r="S383" s="428"/>
      <c r="T383" s="428"/>
      <c r="U383" s="428"/>
      <c r="V383" s="205">
        <f>COUNTIF(F6:F375,Gleittag)</f>
        <v>0</v>
      </c>
      <c r="W383" s="206"/>
      <c r="AD383" s="22"/>
      <c r="BA383" s="47"/>
      <c r="BB383" s="47"/>
      <c r="BC383" s="47"/>
    </row>
    <row r="384" spans="1:55">
      <c r="A384" s="483">
        <f>SUMIF($AM$6:$AM$373,7,$AP$6:$AP$373)</f>
        <v>0</v>
      </c>
      <c r="B384" s="214" t="s">
        <v>67</v>
      </c>
      <c r="C384" s="222"/>
      <c r="D384" s="223"/>
      <c r="J384" s="20"/>
      <c r="BA384" s="47"/>
      <c r="BB384" s="47"/>
      <c r="BC384" s="47"/>
    </row>
    <row r="385" spans="1:55">
      <c r="A385" s="483">
        <f>SUMIF($AM$6:$AM$373,8,$AP$6:$AP$373)</f>
        <v>0</v>
      </c>
      <c r="B385" s="214" t="s">
        <v>2</v>
      </c>
      <c r="C385" s="222"/>
      <c r="D385" s="223"/>
      <c r="BA385" s="47"/>
      <c r="BB385" s="47"/>
      <c r="BC385" s="47"/>
    </row>
    <row r="386" spans="1:55">
      <c r="A386" s="288" t="s">
        <v>207</v>
      </c>
      <c r="B386" s="288"/>
      <c r="C386" s="288"/>
      <c r="D386" s="288"/>
      <c r="BA386" s="47"/>
      <c r="BB386" s="47"/>
      <c r="BC386" s="47"/>
    </row>
    <row r="387" spans="1:55">
      <c r="A387" s="220">
        <f>COUNTIF($BA:$BA,C387)</f>
        <v>1</v>
      </c>
      <c r="B387" s="530">
        <f>IFERROR(A387/$A$391,0)</f>
        <v>0</v>
      </c>
      <c r="C387" s="217" t="str">
        <f>INDEX(B_Arbeitsort,1)</f>
        <v>Büro</v>
      </c>
      <c r="D387" s="223"/>
      <c r="BA387" s="47"/>
      <c r="BB387" s="47"/>
      <c r="BC387" s="47"/>
    </row>
    <row r="388" spans="1:55">
      <c r="A388" s="220">
        <f>COUNTIF($BA:$BA,C388)</f>
        <v>1</v>
      </c>
      <c r="B388" s="530">
        <f>IFERROR(A388/$A$391,0)</f>
        <v>0</v>
      </c>
      <c r="C388" s="217" t="str">
        <f>INDEX(B_Arbeitsort,2)</f>
        <v>HomeOffice (Mobiles Arbeiten)</v>
      </c>
      <c r="D388" s="223"/>
      <c r="BA388" s="47"/>
      <c r="BB388" s="47"/>
      <c r="BC388" s="47"/>
    </row>
    <row r="389" spans="1:55">
      <c r="A389" s="220">
        <f>COUNTIF($BA:$BA,C389)</f>
        <v>1</v>
      </c>
      <c r="B389" s="530">
        <f>IFERROR(A389/$A$391,0)</f>
        <v>0</v>
      </c>
      <c r="C389" s="217" t="str">
        <f>INDEX(B_Arbeitsort,3)</f>
        <v>Kunde</v>
      </c>
      <c r="D389" s="223"/>
      <c r="BA389" s="47"/>
      <c r="BB389" s="47"/>
      <c r="BC389" s="47"/>
    </row>
    <row r="390" spans="1:55">
      <c r="A390" s="220">
        <f>COUNTIF($BA:$BA,C390)</f>
        <v>1</v>
      </c>
      <c r="B390" s="530">
        <f>IFERROR(A390/$A$391,0)</f>
        <v>0</v>
      </c>
      <c r="C390" s="217" t="str">
        <f>INDEX(B_Arbeitsort,4)</f>
        <v>Dienstreise</v>
      </c>
      <c r="D390" s="223"/>
    </row>
    <row r="391" spans="1:55">
      <c r="A391" s="531">
        <f>(FREQUENCY(G6:G373,0)-FREQUENCY(G6:G373,-1))+(FREQUENCY(G6:G373,83)-FREQUENCY(G6:G373,82))</f>
        <v>0</v>
      </c>
      <c r="B391" s="530">
        <v>1</v>
      </c>
      <c r="C391" s="214" t="s">
        <v>21</v>
      </c>
      <c r="D391" s="223"/>
    </row>
    <row r="393" spans="1:55">
      <c r="A393" s="549" t="s">
        <v>218</v>
      </c>
      <c r="B393" s="549"/>
      <c r="C393" s="549"/>
      <c r="D393" s="549"/>
      <c r="E393" s="549"/>
    </row>
    <row r="394" spans="1:55">
      <c r="A394" s="551" cm="1">
        <f t="array" aca="1" ref="A394" ca="1">SUMPRODUCT(SUBTOTAL(3,OFFSET(b_Arbeitsort_index,ROW(b_Arbeitsort_index)-MIN(ROW(b_Arbeitsort_index)),,1))*(b_Arbeitsort_index=F394))</f>
        <v>1</v>
      </c>
      <c r="B394" s="552">
        <f ca="1">IFERROR(A394/$A$398,0)</f>
        <v>0.25</v>
      </c>
      <c r="C394" s="553" t="str">
        <f>INDEX(B_Arbeitsort,1)</f>
        <v>Büro</v>
      </c>
      <c r="D394" s="554"/>
      <c r="E394" s="555"/>
      <c r="F394" s="548">
        <f>MATCH(C394,B_Arbeitsort,0)</f>
        <v>1</v>
      </c>
    </row>
    <row r="395" spans="1:55">
      <c r="A395" s="551" cm="1">
        <f t="array" aca="1" ref="A395" ca="1">SUMPRODUCT(SUBTOTAL(3,OFFSET(b_Arbeitsort_index,ROW(b_Arbeitsort_index)-MIN(ROW(b_Arbeitsort_index)),,1))*(b_Arbeitsort_index=F395))</f>
        <v>1</v>
      </c>
      <c r="B395" s="552">
        <f ca="1">IFERROR(A395/$A$398,0)</f>
        <v>0.25</v>
      </c>
      <c r="C395" s="553" t="str">
        <f>INDEX(B_Arbeitsort,2)</f>
        <v>HomeOffice (Mobiles Arbeiten)</v>
      </c>
      <c r="D395" s="554"/>
      <c r="E395" s="555"/>
      <c r="F395" s="548">
        <f>MATCH(C395,B_Arbeitsort,0)</f>
        <v>2</v>
      </c>
    </row>
    <row r="396" spans="1:55">
      <c r="A396" s="551" cm="1">
        <f t="array" aca="1" ref="A396" ca="1">SUMPRODUCT(SUBTOTAL(3,OFFSET(b_Arbeitsort_index,ROW(b_Arbeitsort_index)-MIN(ROW(b_Arbeitsort_index)),,1))*(b_Arbeitsort_index=F396))</f>
        <v>1</v>
      </c>
      <c r="B396" s="552">
        <f ca="1">IFERROR(A396/$A$398,0)</f>
        <v>0.25</v>
      </c>
      <c r="C396" s="553" t="str">
        <f>INDEX(B_Arbeitsort,3)</f>
        <v>Kunde</v>
      </c>
      <c r="D396" s="554"/>
      <c r="E396" s="555"/>
      <c r="F396" s="548">
        <f>MATCH(C396,B_Arbeitsort,0)</f>
        <v>3</v>
      </c>
    </row>
    <row r="397" spans="1:55">
      <c r="A397" s="551" cm="1">
        <f t="array" aca="1" ref="A397" ca="1">SUMPRODUCT(SUBTOTAL(3,OFFSET(b_Arbeitsort_index,ROW(b_Arbeitsort_index)-MIN(ROW(b_Arbeitsort_index)),,1))*(b_Arbeitsort_index=F397))</f>
        <v>1</v>
      </c>
      <c r="B397" s="552">
        <f ca="1">IFERROR(A397/$A$398,0)</f>
        <v>0.25</v>
      </c>
      <c r="C397" s="553" t="str">
        <f>INDEX(B_Arbeitsort,4)</f>
        <v>Dienstreise</v>
      </c>
      <c r="D397" s="554"/>
      <c r="E397" s="555"/>
      <c r="F397" s="548">
        <f>MATCH(C397,B_Arbeitsort,0)</f>
        <v>4</v>
      </c>
    </row>
    <row r="398" spans="1:55">
      <c r="A398" s="556">
        <f ca="1">SUM(A394:A397)</f>
        <v>4</v>
      </c>
      <c r="B398" s="283" t="s">
        <v>220</v>
      </c>
      <c r="C398" s="548"/>
      <c r="D398" s="548"/>
      <c r="E398" s="548"/>
      <c r="F398" s="548"/>
    </row>
  </sheetData>
  <autoFilter ref="A4:BC373" xr:uid="{00000000-0001-0000-0400-000000000000}">
    <filterColumn colId="31" showButton="0"/>
  </autoFilter>
  <dataConsolidate/>
  <mergeCells count="4">
    <mergeCell ref="C3:D3"/>
    <mergeCell ref="Y380:AA380"/>
    <mergeCell ref="E374:F374"/>
    <mergeCell ref="AF4:AG4"/>
  </mergeCells>
  <phoneticPr fontId="0" type="noConversion"/>
  <conditionalFormatting sqref="E5:I5 AC5:AE5 K5:L5 N5:O5 R5:AA5">
    <cfRule type="expression" dxfId="32" priority="68" stopIfTrue="1">
      <formula>INDIRECT(ADDRESS(ROW(),COLUMN(xDay)))&gt;5</formula>
    </cfRule>
  </conditionalFormatting>
  <conditionalFormatting sqref="AB5">
    <cfRule type="expression" dxfId="31" priority="69" stopIfTrue="1">
      <formula>INDIRECT(ADDRESS(ROW(),COLUMN(xDay)))&gt;5</formula>
    </cfRule>
    <cfRule type="cellIs" dxfId="30" priority="70" stopIfTrue="1" operator="lessThan">
      <formula>0</formula>
    </cfRule>
  </conditionalFormatting>
  <conditionalFormatting sqref="AA377">
    <cfRule type="cellIs" dxfId="29" priority="71" stopIfTrue="1" operator="lessThan">
      <formula>0</formula>
    </cfRule>
  </conditionalFormatting>
  <conditionalFormatting sqref="AJ6:AV373">
    <cfRule type="expression" dxfId="28" priority="72" stopIfTrue="1">
      <formula>INDIRECT(ADDRESS(ROW(),COLUMN(xDay)))&gt;5</formula>
    </cfRule>
  </conditionalFormatting>
  <conditionalFormatting sqref="Q6:AD373 AF6:AI373 BA6:BC373 A6:O373">
    <cfRule type="expression" dxfId="27" priority="73" stopIfTrue="1">
      <formula>INDIRECT(ADDRESS(ROW(),COLUMN(xDay)))&gt;5</formula>
    </cfRule>
  </conditionalFormatting>
  <conditionalFormatting sqref="AE6:AE373">
    <cfRule type="expression" dxfId="26" priority="74" stopIfTrue="1">
      <formula>INDIRECT(ADDRESS(ROW(),COLUMN(xDay)))&gt;5</formula>
    </cfRule>
  </conditionalFormatting>
  <conditionalFormatting sqref="C12">
    <cfRule type="expression" dxfId="25" priority="67" stopIfTrue="1">
      <formula>INDIRECT(ADDRESS(ROW(),COLUMN(xDay)))&gt;5</formula>
    </cfRule>
  </conditionalFormatting>
  <conditionalFormatting sqref="J5">
    <cfRule type="expression" dxfId="24" priority="66" stopIfTrue="1">
      <formula>INDIRECT(ADDRESS(ROW(),COLUMN(xDay)))&gt;5</formula>
    </cfRule>
  </conditionalFormatting>
  <conditionalFormatting sqref="M5">
    <cfRule type="expression" dxfId="23" priority="65" stopIfTrue="1">
      <formula>INDIRECT(ADDRESS(ROW(),COLUMN(xDay)))&gt;5</formula>
    </cfRule>
  </conditionalFormatting>
  <conditionalFormatting sqref="Q5">
    <cfRule type="expression" dxfId="22" priority="64" stopIfTrue="1">
      <formula>INDIRECT(ADDRESS(ROW(),COLUMN(xDay)))&gt;5</formula>
    </cfRule>
  </conditionalFormatting>
  <conditionalFormatting sqref="P5">
    <cfRule type="expression" dxfId="21" priority="62" stopIfTrue="1">
      <formula>INDIRECT(ADDRESS(ROW(),COLUMN(xDay)))&gt;5</formula>
    </cfRule>
  </conditionalFormatting>
  <conditionalFormatting sqref="P6:P373">
    <cfRule type="expression" dxfId="20" priority="63" stopIfTrue="1">
      <formula>INDIRECT(ADDRESS(ROW(),COLUMN(xDay)))&gt;5</formula>
    </cfRule>
  </conditionalFormatting>
  <conditionalFormatting sqref="Y6:Y373 AA6:AA373 AE6:AE373">
    <cfRule type="expression" dxfId="19" priority="17">
      <formula>AND(ISBLANK($F6),ISBLANK($H6),NOT($AX6))</formula>
    </cfRule>
    <cfRule type="expression" dxfId="18" priority="18">
      <formula>AND(ISBLANK($F6),ISBLANK($H6),($AX6))</formula>
    </cfRule>
    <cfRule type="expression" dxfId="17" priority="19">
      <formula>AND(ISBLANK($F6),ISBLANK($H6),($AX6))</formula>
    </cfRule>
    <cfRule type="expression" dxfId="16" priority="20">
      <formula>AND(ISBLANK($F6),ISBLANK($H6),NOT($AX6))</formula>
    </cfRule>
  </conditionalFormatting>
  <conditionalFormatting sqref="L6:L373">
    <cfRule type="expression" dxfId="15" priority="15">
      <formula>AND(ISBLANK($K6),($AX6))</formula>
    </cfRule>
    <cfRule type="expression" dxfId="14" priority="16">
      <formula>AND(ISBLANK($K6),NOT($AX6))</formula>
    </cfRule>
  </conditionalFormatting>
  <conditionalFormatting sqref="I6:I373">
    <cfRule type="expression" dxfId="13" priority="43">
      <formula>AND(ISBLANK($H6),($AX6))</formula>
    </cfRule>
    <cfRule type="expression" dxfId="12" priority="44">
      <formula>AND(ISBLANK($H6),NOT($AX6))</formula>
    </cfRule>
  </conditionalFormatting>
  <conditionalFormatting sqref="AZ6:AZ373">
    <cfRule type="expression" dxfId="11" priority="11" stopIfTrue="1">
      <formula>INDIRECT(ADDRESS(ROW(),COLUMN(xDay)))&gt;5</formula>
    </cfRule>
  </conditionalFormatting>
  <conditionalFormatting sqref="AZ6:AZ373">
    <cfRule type="expression" dxfId="10" priority="6">
      <formula>AND(ISBLANK($F6),ISBLANK($H6),NOT($AX6))</formula>
    </cfRule>
    <cfRule type="expression" dxfId="9" priority="7">
      <formula>AND(ISBLANK($F6),ISBLANK($H6),($AX6))</formula>
    </cfRule>
    <cfRule type="expression" dxfId="8" priority="8">
      <formula>AND(ISBLANK($F6),ISBLANK($H6),($AX6))</formula>
    </cfRule>
    <cfRule type="expression" dxfId="7" priority="9">
      <formula>AND(ISBLANK($F6),ISBLANK($H6),NOT($AX6))</formula>
    </cfRule>
  </conditionalFormatting>
  <conditionalFormatting sqref="AF5:AY5">
    <cfRule type="expression" dxfId="6" priority="5" stopIfTrue="1">
      <formula>INDIRECT(ADDRESS(ROW(),COLUMN(xDay)))&gt;5</formula>
    </cfRule>
  </conditionalFormatting>
  <conditionalFormatting sqref="V6:V373">
    <cfRule type="expression" dxfId="5" priority="3">
      <formula>B_MarkIstueberlauf&lt;V6</formula>
    </cfRule>
  </conditionalFormatting>
  <conditionalFormatting sqref="AZ5">
    <cfRule type="expression" dxfId="4" priority="2" stopIfTrue="1">
      <formula>INDIRECT(ADDRESS(ROW(),COLUMN(xDay)))&gt;5</formula>
    </cfRule>
  </conditionalFormatting>
  <conditionalFormatting sqref="BA5:BC5">
    <cfRule type="expression" dxfId="3" priority="1" stopIfTrue="1">
      <formula>INDIRECT(ADDRESS(ROW(),COLUMN(xDay)))&gt;5</formula>
    </cfRule>
  </conditionalFormatting>
  <dataValidations count="3">
    <dataValidation type="list" allowBlank="1" showInputMessage="1" showErrorMessage="1" sqref="AG6:AG373" xr:uid="{6C338DD1-5300-4E3D-879F-2A2019A1BAF4}">
      <formula1>"-,+"</formula1>
    </dataValidation>
    <dataValidation type="list" allowBlank="1" showInputMessage="1" showErrorMessage="1" promptTitle="Arbeitsort" prompt="Bitte Arbeitsort aus dem Menü auswählen." sqref="BA6:BA373" xr:uid="{DCC91309-BAA2-42BC-A793-1E18C0A0976E}">
      <formula1>B_Arbeitsort</formula1>
    </dataValidation>
    <dataValidation allowBlank="1" showInputMessage="1" showErrorMessage="1" promptTitle="Arbeitsort" prompt="Bitte Arbeitsort aus dem Menü auswählen." sqref="BA5" xr:uid="{134C38A6-4D85-4613-888E-E498EB8539BE}"/>
  </dataValidations>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baseColWidth="10" defaultColWidth="11.5703125" defaultRowHeight="12.75"/>
  <cols>
    <col min="1" max="1" width="7" customWidth="1"/>
    <col min="2" max="2" width="14.5703125" style="143" customWidth="1"/>
    <col min="3" max="3" width="3.85546875" style="143" customWidth="1"/>
    <col min="4" max="5" width="11.42578125" style="144" customWidth="1"/>
  </cols>
  <sheetData>
    <row r="1" spans="2:7" ht="18.75" customHeight="1">
      <c r="B1" s="382" t="str">
        <f>Einstellungen!B3</f>
        <v>Name:</v>
      </c>
      <c r="C1" s="143" t="str">
        <f>B_PersonName</f>
        <v>Mustermann</v>
      </c>
      <c r="D1" s="383"/>
      <c r="F1" s="384" t="str">
        <f>Einstellungen!B4</f>
        <v>Abteilung:</v>
      </c>
      <c r="G1" s="147" t="str">
        <f>B_Department</f>
        <v>Siemens</v>
      </c>
    </row>
    <row r="4" spans="2:7">
      <c r="B4" s="143" t="str">
        <f>Arbeitszeit!AE4</f>
        <v>Saldo</v>
      </c>
      <c r="D4" s="143" t="str">
        <f>Arbeitszeit!AN4</f>
        <v>sum &gt; 10 Std</v>
      </c>
    </row>
    <row r="5" spans="2:7">
      <c r="B5" s="437">
        <f>Arbeitszeit!AE5</f>
        <v>0</v>
      </c>
      <c r="D5" s="144">
        <f>Arbeitszeit!AN8</f>
        <v>0</v>
      </c>
    </row>
    <row r="6" spans="2:7">
      <c r="B6" s="437">
        <f>B5+Arbeitszeit!AA6-Arbeitszeit!AF6</f>
        <v>0</v>
      </c>
      <c r="D6" s="143">
        <f t="shared" ref="D6:D69" si="0">db_jSumOverMax</f>
        <v>0</v>
      </c>
    </row>
    <row r="7" spans="2:7">
      <c r="B7" s="437">
        <f>B6+Arbeitszeit!AA7-Arbeitszeit!AF7</f>
        <v>0</v>
      </c>
      <c r="D7" s="143">
        <f t="shared" si="0"/>
        <v>0</v>
      </c>
    </row>
    <row r="8" spans="2:7">
      <c r="B8" s="437">
        <f>B7+Arbeitszeit!AA8-Arbeitszeit!AF8</f>
        <v>0</v>
      </c>
      <c r="D8" s="143">
        <f t="shared" si="0"/>
        <v>0</v>
      </c>
    </row>
    <row r="9" spans="2:7">
      <c r="B9" s="437">
        <f>B8+Arbeitszeit!AA9-Arbeitszeit!AF9</f>
        <v>0</v>
      </c>
      <c r="D9" s="143">
        <f t="shared" si="0"/>
        <v>0</v>
      </c>
    </row>
    <row r="10" spans="2:7">
      <c r="B10" s="437">
        <f>B9+Arbeitszeit!AA10-Arbeitszeit!AF10</f>
        <v>0</v>
      </c>
      <c r="D10" s="143">
        <f t="shared" si="0"/>
        <v>0</v>
      </c>
    </row>
    <row r="11" spans="2:7">
      <c r="B11" s="437">
        <f>B10+Arbeitszeit!AA11-Arbeitszeit!AF11</f>
        <v>0</v>
      </c>
      <c r="D11" s="143">
        <f t="shared" si="0"/>
        <v>0</v>
      </c>
    </row>
    <row r="12" spans="2:7">
      <c r="B12" s="437">
        <f>B11+Arbeitszeit!AA12-Arbeitszeit!AF12</f>
        <v>0</v>
      </c>
      <c r="D12" s="143">
        <f t="shared" si="0"/>
        <v>0</v>
      </c>
    </row>
    <row r="13" spans="2:7">
      <c r="B13" s="437">
        <f>B12+Arbeitszeit!AA13-Arbeitszeit!AF13</f>
        <v>0</v>
      </c>
      <c r="D13" s="143">
        <f t="shared" si="0"/>
        <v>0</v>
      </c>
    </row>
    <row r="14" spans="2:7">
      <c r="B14" s="437">
        <f>B13+Arbeitszeit!AA14-Arbeitszeit!AF14</f>
        <v>0</v>
      </c>
      <c r="D14" s="143">
        <f t="shared" si="0"/>
        <v>0</v>
      </c>
    </row>
    <row r="15" spans="2:7">
      <c r="B15" s="437">
        <f>B14+Arbeitszeit!AA15-Arbeitszeit!AF15</f>
        <v>0</v>
      </c>
      <c r="D15" s="143">
        <f t="shared" si="0"/>
        <v>0</v>
      </c>
    </row>
    <row r="16" spans="2:7">
      <c r="B16" s="437">
        <f>B15+Arbeitszeit!AA16-Arbeitszeit!AF16</f>
        <v>0</v>
      </c>
      <c r="D16" s="143">
        <f t="shared" si="0"/>
        <v>0</v>
      </c>
    </row>
    <row r="17" spans="2:11">
      <c r="B17" s="437">
        <f>B16+Arbeitszeit!AA17-Arbeitszeit!AF17</f>
        <v>0</v>
      </c>
      <c r="D17" s="143">
        <f t="shared" si="0"/>
        <v>0</v>
      </c>
    </row>
    <row r="18" spans="2:11">
      <c r="B18" s="437">
        <f>B17+Arbeitszeit!AA18-Arbeitszeit!AF18</f>
        <v>0</v>
      </c>
      <c r="D18" s="143">
        <f t="shared" si="0"/>
        <v>0</v>
      </c>
    </row>
    <row r="19" spans="2:11">
      <c r="B19" s="437">
        <f>B18+Arbeitszeit!AA19-Arbeitszeit!AF19</f>
        <v>0</v>
      </c>
      <c r="D19" s="143">
        <f t="shared" si="0"/>
        <v>0</v>
      </c>
      <c r="J19" s="64">
        <v>0.58333333333333337</v>
      </c>
      <c r="K19" s="451">
        <v>0.6875</v>
      </c>
    </row>
    <row r="20" spans="2:11">
      <c r="B20" s="437">
        <f>B19+Arbeitszeit!AA20-Arbeitszeit!AF20</f>
        <v>0</v>
      </c>
      <c r="D20" s="143">
        <f t="shared" si="0"/>
        <v>0</v>
      </c>
    </row>
    <row r="21" spans="2:11">
      <c r="B21" s="437">
        <f>B20+Arbeitszeit!AA21-Arbeitszeit!AF21</f>
        <v>0</v>
      </c>
      <c r="D21" s="143">
        <f t="shared" si="0"/>
        <v>0</v>
      </c>
    </row>
    <row r="22" spans="2:11">
      <c r="B22" s="437">
        <f>B21+Arbeitszeit!AA22-Arbeitszeit!AF22</f>
        <v>0</v>
      </c>
      <c r="D22" s="143">
        <f t="shared" si="0"/>
        <v>0</v>
      </c>
    </row>
    <row r="23" spans="2:11">
      <c r="B23" s="437">
        <f>B22+Arbeitszeit!AA23-Arbeitszeit!AF23</f>
        <v>0</v>
      </c>
      <c r="D23" s="143">
        <f t="shared" si="0"/>
        <v>0</v>
      </c>
    </row>
    <row r="24" spans="2:11">
      <c r="B24" s="437">
        <f>B23+Arbeitszeit!AA24-Arbeitszeit!AF24</f>
        <v>0</v>
      </c>
      <c r="D24" s="143">
        <f t="shared" si="0"/>
        <v>0</v>
      </c>
    </row>
    <row r="25" spans="2:11">
      <c r="B25" s="437">
        <f>B24+Arbeitszeit!AA25-Arbeitszeit!AF25</f>
        <v>0</v>
      </c>
      <c r="D25" s="143">
        <f t="shared" si="0"/>
        <v>0</v>
      </c>
    </row>
    <row r="26" spans="2:11">
      <c r="B26" s="437">
        <f>B25+Arbeitszeit!AA26-Arbeitszeit!AF26</f>
        <v>0</v>
      </c>
      <c r="D26" s="143">
        <f t="shared" si="0"/>
        <v>0</v>
      </c>
    </row>
    <row r="27" spans="2:11">
      <c r="B27" s="437">
        <f>B26+Arbeitszeit!AA27-Arbeitszeit!AF27</f>
        <v>0</v>
      </c>
      <c r="D27" s="143">
        <f t="shared" si="0"/>
        <v>0</v>
      </c>
    </row>
    <row r="28" spans="2:11">
      <c r="B28" s="437">
        <f>B27+Arbeitszeit!AA28-Arbeitszeit!AF28</f>
        <v>0</v>
      </c>
      <c r="D28" s="143">
        <f t="shared" si="0"/>
        <v>0</v>
      </c>
    </row>
    <row r="29" spans="2:11">
      <c r="B29" s="437">
        <f>B28+Arbeitszeit!AA29-Arbeitszeit!AF29</f>
        <v>0</v>
      </c>
      <c r="D29" s="143">
        <f t="shared" si="0"/>
        <v>0</v>
      </c>
    </row>
    <row r="30" spans="2:11">
      <c r="B30" s="437">
        <f>B29+Arbeitszeit!AA30-Arbeitszeit!AF30</f>
        <v>0</v>
      </c>
      <c r="D30" s="143">
        <f t="shared" si="0"/>
        <v>0</v>
      </c>
    </row>
    <row r="31" spans="2:11">
      <c r="B31" s="437">
        <f>B30+Arbeitszeit!AA31-Arbeitszeit!AF31</f>
        <v>0</v>
      </c>
      <c r="D31" s="143">
        <f t="shared" si="0"/>
        <v>0</v>
      </c>
    </row>
    <row r="32" spans="2:11">
      <c r="B32" s="437">
        <f>B31+Arbeitszeit!AA32-Arbeitszeit!AF32</f>
        <v>0</v>
      </c>
      <c r="D32" s="143">
        <f t="shared" si="0"/>
        <v>0</v>
      </c>
    </row>
    <row r="33" spans="2:4">
      <c r="B33" s="437">
        <f>B32+Arbeitszeit!AA33-Arbeitszeit!AF33</f>
        <v>0</v>
      </c>
      <c r="D33" s="143">
        <f t="shared" si="0"/>
        <v>0</v>
      </c>
    </row>
    <row r="34" spans="2:4">
      <c r="B34" s="437">
        <f>B33+Arbeitszeit!AA34-Arbeitszeit!AF34</f>
        <v>0</v>
      </c>
      <c r="D34" s="143">
        <f t="shared" si="0"/>
        <v>0</v>
      </c>
    </row>
    <row r="35" spans="2:4">
      <c r="B35" s="437">
        <f>B34+Arbeitszeit!AA35-Arbeitszeit!AF35</f>
        <v>0</v>
      </c>
      <c r="D35" s="143">
        <f t="shared" si="0"/>
        <v>0</v>
      </c>
    </row>
    <row r="36" spans="2:4">
      <c r="B36" s="437">
        <f>B35+Arbeitszeit!AA36-Arbeitszeit!AF36</f>
        <v>0</v>
      </c>
      <c r="D36" s="143">
        <f t="shared" si="0"/>
        <v>0</v>
      </c>
    </row>
    <row r="37" spans="2:4">
      <c r="B37" s="437">
        <f>B36+Arbeitszeit!AA37-Arbeitszeit!AF37</f>
        <v>0</v>
      </c>
      <c r="D37" s="143">
        <f t="shared" si="0"/>
        <v>0</v>
      </c>
    </row>
    <row r="38" spans="2:4">
      <c r="B38" s="437">
        <f>B37+Arbeitszeit!AA38-Arbeitszeit!AF38</f>
        <v>0</v>
      </c>
      <c r="D38" s="143">
        <f t="shared" si="0"/>
        <v>0</v>
      </c>
    </row>
    <row r="39" spans="2:4">
      <c r="B39" s="437">
        <f>B38+Arbeitszeit!AA39-Arbeitszeit!AF39</f>
        <v>0</v>
      </c>
      <c r="D39" s="143">
        <f t="shared" si="0"/>
        <v>0</v>
      </c>
    </row>
    <row r="40" spans="2:4">
      <c r="B40" s="437">
        <f>B39+Arbeitszeit!AA40-Arbeitszeit!AF40</f>
        <v>0</v>
      </c>
      <c r="D40" s="143">
        <f t="shared" si="0"/>
        <v>0</v>
      </c>
    </row>
    <row r="41" spans="2:4">
      <c r="B41" s="437">
        <f>B40+Arbeitszeit!AA41-Arbeitszeit!AF41</f>
        <v>0</v>
      </c>
      <c r="D41" s="143">
        <f t="shared" si="0"/>
        <v>0</v>
      </c>
    </row>
    <row r="42" spans="2:4">
      <c r="B42" s="437">
        <f>B41+Arbeitszeit!AA42-Arbeitszeit!AF42</f>
        <v>0</v>
      </c>
      <c r="D42" s="143">
        <f t="shared" si="0"/>
        <v>0</v>
      </c>
    </row>
    <row r="43" spans="2:4">
      <c r="B43" s="437">
        <f>B42+Arbeitszeit!AA43-Arbeitszeit!AF43</f>
        <v>0</v>
      </c>
      <c r="D43" s="143">
        <f t="shared" si="0"/>
        <v>0</v>
      </c>
    </row>
    <row r="44" spans="2:4">
      <c r="B44" s="437">
        <f>B43+Arbeitszeit!AA44-Arbeitszeit!AF44</f>
        <v>0</v>
      </c>
      <c r="D44" s="143">
        <f t="shared" si="0"/>
        <v>0</v>
      </c>
    </row>
    <row r="45" spans="2:4">
      <c r="B45" s="437">
        <f>B44+Arbeitszeit!AA45-Arbeitszeit!AF45</f>
        <v>0</v>
      </c>
      <c r="D45" s="143">
        <f t="shared" si="0"/>
        <v>0</v>
      </c>
    </row>
    <row r="46" spans="2:4">
      <c r="B46" s="437">
        <f>B45+Arbeitszeit!AA46-Arbeitszeit!AF46</f>
        <v>0</v>
      </c>
      <c r="D46" s="143">
        <f t="shared" si="0"/>
        <v>0</v>
      </c>
    </row>
    <row r="47" spans="2:4">
      <c r="B47" s="437">
        <f>B46+Arbeitszeit!AA47-Arbeitszeit!AF47</f>
        <v>0</v>
      </c>
      <c r="D47" s="143">
        <f t="shared" si="0"/>
        <v>0</v>
      </c>
    </row>
    <row r="48" spans="2:4">
      <c r="B48" s="437">
        <f>B47+Arbeitszeit!AA48-Arbeitszeit!AF48</f>
        <v>0</v>
      </c>
      <c r="D48" s="143">
        <f t="shared" si="0"/>
        <v>0</v>
      </c>
    </row>
    <row r="49" spans="2:4">
      <c r="B49" s="437">
        <f>B48+Arbeitszeit!AA49-Arbeitszeit!AF49</f>
        <v>0</v>
      </c>
      <c r="D49" s="143">
        <f t="shared" si="0"/>
        <v>0</v>
      </c>
    </row>
    <row r="50" spans="2:4">
      <c r="B50" s="437">
        <f>B49+Arbeitszeit!AA50-Arbeitszeit!AF50</f>
        <v>0</v>
      </c>
      <c r="D50" s="143">
        <f t="shared" si="0"/>
        <v>0</v>
      </c>
    </row>
    <row r="51" spans="2:4">
      <c r="B51" s="437">
        <f>B50+Arbeitszeit!AA51-Arbeitszeit!AF51</f>
        <v>0</v>
      </c>
      <c r="D51" s="143">
        <f t="shared" si="0"/>
        <v>0</v>
      </c>
    </row>
    <row r="52" spans="2:4">
      <c r="B52" s="437">
        <f>B51+Arbeitszeit!AA52-Arbeitszeit!AF52</f>
        <v>0</v>
      </c>
      <c r="D52" s="143">
        <f t="shared" si="0"/>
        <v>0</v>
      </c>
    </row>
    <row r="53" spans="2:4">
      <c r="B53" s="437">
        <f>B52+Arbeitszeit!AA53-Arbeitszeit!AF53</f>
        <v>0</v>
      </c>
      <c r="D53" s="143">
        <f t="shared" si="0"/>
        <v>0</v>
      </c>
    </row>
    <row r="54" spans="2:4">
      <c r="B54" s="437">
        <f>B53+Arbeitszeit!AA54-Arbeitszeit!AF54</f>
        <v>0</v>
      </c>
      <c r="D54" s="143">
        <f t="shared" si="0"/>
        <v>0</v>
      </c>
    </row>
    <row r="55" spans="2:4">
      <c r="B55" s="437">
        <f>B54+Arbeitszeit!AA55-Arbeitszeit!AF55</f>
        <v>0</v>
      </c>
      <c r="D55" s="143">
        <f t="shared" si="0"/>
        <v>0</v>
      </c>
    </row>
    <row r="56" spans="2:4">
      <c r="B56" s="437">
        <f>B55+Arbeitszeit!AA56-Arbeitszeit!AF56</f>
        <v>0</v>
      </c>
      <c r="D56" s="143">
        <f t="shared" si="0"/>
        <v>0</v>
      </c>
    </row>
    <row r="57" spans="2:4">
      <c r="B57" s="437">
        <f>B56+Arbeitszeit!AA57-Arbeitszeit!AF57</f>
        <v>0</v>
      </c>
      <c r="D57" s="143">
        <f t="shared" si="0"/>
        <v>0</v>
      </c>
    </row>
    <row r="58" spans="2:4">
      <c r="B58" s="437">
        <f>B57+Arbeitszeit!AA58-Arbeitszeit!AF58</f>
        <v>0</v>
      </c>
      <c r="D58" s="143">
        <f t="shared" si="0"/>
        <v>0</v>
      </c>
    </row>
    <row r="59" spans="2:4">
      <c r="B59" s="437">
        <f>B58+Arbeitszeit!AA59-Arbeitszeit!AF59</f>
        <v>0</v>
      </c>
      <c r="D59" s="143">
        <f t="shared" si="0"/>
        <v>0</v>
      </c>
    </row>
    <row r="60" spans="2:4">
      <c r="B60" s="437">
        <f>B59+Arbeitszeit!AA60-Arbeitszeit!AF60</f>
        <v>0</v>
      </c>
      <c r="D60" s="143">
        <f t="shared" si="0"/>
        <v>0</v>
      </c>
    </row>
    <row r="61" spans="2:4">
      <c r="B61" s="437">
        <f>B60+Arbeitszeit!AA61-Arbeitszeit!AF61</f>
        <v>0</v>
      </c>
      <c r="D61" s="143">
        <f t="shared" si="0"/>
        <v>0</v>
      </c>
    </row>
    <row r="62" spans="2:4">
      <c r="B62" s="437">
        <f>B61+Arbeitszeit!AA62-Arbeitszeit!AF62</f>
        <v>0</v>
      </c>
      <c r="D62" s="143">
        <f t="shared" si="0"/>
        <v>0</v>
      </c>
    </row>
    <row r="63" spans="2:4">
      <c r="B63" s="437">
        <f>B62+Arbeitszeit!AA63-Arbeitszeit!AF63</f>
        <v>0</v>
      </c>
      <c r="D63" s="143">
        <f t="shared" si="0"/>
        <v>0</v>
      </c>
    </row>
    <row r="64" spans="2:4">
      <c r="B64" s="437">
        <f>B63+Arbeitszeit!AA64-Arbeitszeit!AF64</f>
        <v>0</v>
      </c>
      <c r="D64" s="143">
        <f t="shared" si="0"/>
        <v>0</v>
      </c>
    </row>
    <row r="65" spans="2:4">
      <c r="B65" s="437">
        <f>B64+Arbeitszeit!AA65-Arbeitszeit!AF65</f>
        <v>0</v>
      </c>
      <c r="D65" s="143">
        <f t="shared" si="0"/>
        <v>0</v>
      </c>
    </row>
    <row r="66" spans="2:4">
      <c r="B66" s="437">
        <f>B65+Arbeitszeit!AA66-Arbeitszeit!AF66</f>
        <v>0</v>
      </c>
      <c r="D66" s="143">
        <f t="shared" si="0"/>
        <v>0</v>
      </c>
    </row>
    <row r="67" spans="2:4">
      <c r="B67" s="437">
        <f>B66+Arbeitszeit!AA67-Arbeitszeit!AF67</f>
        <v>0</v>
      </c>
      <c r="D67" s="143">
        <f t="shared" si="0"/>
        <v>0</v>
      </c>
    </row>
    <row r="68" spans="2:4">
      <c r="B68" s="437">
        <f>B67+Arbeitszeit!AA68-Arbeitszeit!AF68</f>
        <v>0</v>
      </c>
      <c r="D68" s="143">
        <f t="shared" si="0"/>
        <v>0</v>
      </c>
    </row>
    <row r="69" spans="2:4">
      <c r="B69" s="437">
        <f>B68+Arbeitszeit!AA69-Arbeitszeit!AF69</f>
        <v>0</v>
      </c>
      <c r="D69" s="143">
        <f t="shared" si="0"/>
        <v>0</v>
      </c>
    </row>
    <row r="70" spans="2:4">
      <c r="B70" s="437">
        <f>B69+Arbeitszeit!AA70-Arbeitszeit!AF70</f>
        <v>0</v>
      </c>
      <c r="D70" s="143">
        <f t="shared" ref="D70:D133" si="1">db_jSumOverMax</f>
        <v>0</v>
      </c>
    </row>
    <row r="71" spans="2:4">
      <c r="B71" s="437">
        <f>B70+Arbeitszeit!AA71-Arbeitszeit!AF71</f>
        <v>0</v>
      </c>
      <c r="D71" s="143">
        <f t="shared" si="1"/>
        <v>0</v>
      </c>
    </row>
    <row r="72" spans="2:4">
      <c r="B72" s="437">
        <f>B71+Arbeitszeit!AA72-Arbeitszeit!AF72</f>
        <v>0</v>
      </c>
      <c r="D72" s="143">
        <f t="shared" si="1"/>
        <v>0</v>
      </c>
    </row>
    <row r="73" spans="2:4">
      <c r="B73" s="437">
        <f>B72+Arbeitszeit!AA73-Arbeitszeit!AF73</f>
        <v>0</v>
      </c>
      <c r="D73" s="143">
        <f t="shared" si="1"/>
        <v>0</v>
      </c>
    </row>
    <row r="74" spans="2:4">
      <c r="B74" s="437">
        <f>B73+Arbeitszeit!AA74-Arbeitszeit!AF74</f>
        <v>0</v>
      </c>
      <c r="D74" s="143">
        <f t="shared" si="1"/>
        <v>0</v>
      </c>
    </row>
    <row r="75" spans="2:4">
      <c r="B75" s="437">
        <f>B74+Arbeitszeit!AA75-Arbeitszeit!AF75</f>
        <v>0</v>
      </c>
      <c r="D75" s="143">
        <f t="shared" si="1"/>
        <v>0</v>
      </c>
    </row>
    <row r="76" spans="2:4">
      <c r="B76" s="437">
        <f>B75+Arbeitszeit!AA76-Arbeitszeit!AF76</f>
        <v>0</v>
      </c>
      <c r="D76" s="143">
        <f t="shared" si="1"/>
        <v>0</v>
      </c>
    </row>
    <row r="77" spans="2:4">
      <c r="B77" s="437">
        <f>B76+Arbeitszeit!AA77-Arbeitszeit!AF77</f>
        <v>0</v>
      </c>
      <c r="D77" s="143">
        <f t="shared" si="1"/>
        <v>0</v>
      </c>
    </row>
    <row r="78" spans="2:4">
      <c r="B78" s="437">
        <f>B77+Arbeitszeit!AA78-Arbeitszeit!AF78</f>
        <v>0</v>
      </c>
      <c r="D78" s="143">
        <f t="shared" si="1"/>
        <v>0</v>
      </c>
    </row>
    <row r="79" spans="2:4">
      <c r="B79" s="437">
        <f>B78+Arbeitszeit!AA79-Arbeitszeit!AF79</f>
        <v>0</v>
      </c>
      <c r="D79" s="143">
        <f t="shared" si="1"/>
        <v>0</v>
      </c>
    </row>
    <row r="80" spans="2:4">
      <c r="B80" s="437">
        <f>B79+Arbeitszeit!AA80-Arbeitszeit!AF80</f>
        <v>0</v>
      </c>
      <c r="D80" s="143">
        <f t="shared" si="1"/>
        <v>0</v>
      </c>
    </row>
    <row r="81" spans="2:4">
      <c r="B81" s="437">
        <f>B80+Arbeitszeit!AA81-Arbeitszeit!AF81</f>
        <v>0</v>
      </c>
      <c r="D81" s="143">
        <f t="shared" si="1"/>
        <v>0</v>
      </c>
    </row>
    <row r="82" spans="2:4">
      <c r="B82" s="437">
        <f>B81+Arbeitszeit!AA82-Arbeitszeit!AF82</f>
        <v>0</v>
      </c>
      <c r="D82" s="143">
        <f t="shared" si="1"/>
        <v>0</v>
      </c>
    </row>
    <row r="83" spans="2:4">
      <c r="B83" s="437">
        <f>B82+Arbeitszeit!AA83-Arbeitszeit!AF83</f>
        <v>0</v>
      </c>
      <c r="D83" s="143">
        <f t="shared" si="1"/>
        <v>0</v>
      </c>
    </row>
    <row r="84" spans="2:4">
      <c r="B84" s="437">
        <f>B83+Arbeitszeit!AA84-Arbeitszeit!AF84</f>
        <v>0</v>
      </c>
      <c r="D84" s="143">
        <f t="shared" si="1"/>
        <v>0</v>
      </c>
    </row>
    <row r="85" spans="2:4">
      <c r="B85" s="437">
        <f>B84+Arbeitszeit!AA85-Arbeitszeit!AF85</f>
        <v>0</v>
      </c>
      <c r="D85" s="143">
        <f t="shared" si="1"/>
        <v>0</v>
      </c>
    </row>
    <row r="86" spans="2:4">
      <c r="B86" s="437">
        <f>B85+Arbeitszeit!AA86-Arbeitszeit!AF86</f>
        <v>0</v>
      </c>
      <c r="D86" s="143">
        <f t="shared" si="1"/>
        <v>0</v>
      </c>
    </row>
    <row r="87" spans="2:4">
      <c r="B87" s="437">
        <f>B86+Arbeitszeit!AA87-Arbeitszeit!AF87</f>
        <v>0</v>
      </c>
      <c r="D87" s="143">
        <f t="shared" si="1"/>
        <v>0</v>
      </c>
    </row>
    <row r="88" spans="2:4">
      <c r="B88" s="437">
        <f>B87+Arbeitszeit!AA88-Arbeitszeit!AF88</f>
        <v>0</v>
      </c>
      <c r="D88" s="143">
        <f t="shared" si="1"/>
        <v>0</v>
      </c>
    </row>
    <row r="89" spans="2:4">
      <c r="B89" s="437">
        <f>B88+Arbeitszeit!AA89-Arbeitszeit!AF89</f>
        <v>0</v>
      </c>
      <c r="D89" s="143">
        <f t="shared" si="1"/>
        <v>0</v>
      </c>
    </row>
    <row r="90" spans="2:4">
      <c r="B90" s="437">
        <f>B89+Arbeitszeit!AA90-Arbeitszeit!AF90</f>
        <v>0</v>
      </c>
      <c r="D90" s="143">
        <f t="shared" si="1"/>
        <v>0</v>
      </c>
    </row>
    <row r="91" spans="2:4">
      <c r="B91" s="437">
        <f>B90+Arbeitszeit!AA91-Arbeitszeit!AF91</f>
        <v>0</v>
      </c>
      <c r="D91" s="143">
        <f t="shared" si="1"/>
        <v>0</v>
      </c>
    </row>
    <row r="92" spans="2:4">
      <c r="B92" s="437">
        <f>B91+Arbeitszeit!AA92-Arbeitszeit!AF92</f>
        <v>0</v>
      </c>
      <c r="D92" s="143">
        <f t="shared" si="1"/>
        <v>0</v>
      </c>
    </row>
    <row r="93" spans="2:4">
      <c r="B93" s="437">
        <f>B92+Arbeitszeit!AA93-Arbeitszeit!AF93</f>
        <v>0</v>
      </c>
      <c r="D93" s="143">
        <f t="shared" si="1"/>
        <v>0</v>
      </c>
    </row>
    <row r="94" spans="2:4">
      <c r="B94" s="437">
        <f>B93+Arbeitszeit!AA94-Arbeitszeit!AF94</f>
        <v>0</v>
      </c>
      <c r="D94" s="143">
        <f t="shared" si="1"/>
        <v>0</v>
      </c>
    </row>
    <row r="95" spans="2:4">
      <c r="B95" s="437">
        <f>B94+Arbeitszeit!AA95-Arbeitszeit!AF95</f>
        <v>0</v>
      </c>
      <c r="D95" s="143">
        <f t="shared" si="1"/>
        <v>0</v>
      </c>
    </row>
    <row r="96" spans="2:4">
      <c r="B96" s="437">
        <f>B95+Arbeitszeit!AA96-Arbeitszeit!AF96</f>
        <v>0</v>
      </c>
      <c r="D96" s="143">
        <f t="shared" si="1"/>
        <v>0</v>
      </c>
    </row>
    <row r="97" spans="2:4">
      <c r="B97" s="437">
        <f>B96+Arbeitszeit!AA97-Arbeitszeit!AF97</f>
        <v>0</v>
      </c>
      <c r="D97" s="143">
        <f t="shared" si="1"/>
        <v>0</v>
      </c>
    </row>
    <row r="98" spans="2:4">
      <c r="B98" s="437">
        <f>B97+Arbeitszeit!AA98-Arbeitszeit!AF98</f>
        <v>0</v>
      </c>
      <c r="D98" s="143">
        <f t="shared" si="1"/>
        <v>0</v>
      </c>
    </row>
    <row r="99" spans="2:4">
      <c r="B99" s="437">
        <f>B98+Arbeitszeit!AA99-Arbeitszeit!AF99</f>
        <v>0</v>
      </c>
      <c r="D99" s="143">
        <f t="shared" si="1"/>
        <v>0</v>
      </c>
    </row>
    <row r="100" spans="2:4">
      <c r="B100" s="437">
        <f>B99+Arbeitszeit!AA100-Arbeitszeit!AF100</f>
        <v>0</v>
      </c>
      <c r="D100" s="143">
        <f t="shared" si="1"/>
        <v>0</v>
      </c>
    </row>
    <row r="101" spans="2:4">
      <c r="B101" s="437">
        <f>B100+Arbeitszeit!AA101-Arbeitszeit!AF101</f>
        <v>0</v>
      </c>
      <c r="D101" s="143">
        <f t="shared" si="1"/>
        <v>0</v>
      </c>
    </row>
    <row r="102" spans="2:4">
      <c r="B102" s="437">
        <f>B101+Arbeitszeit!AA102-Arbeitszeit!AF102</f>
        <v>0</v>
      </c>
      <c r="D102" s="143">
        <f t="shared" si="1"/>
        <v>0</v>
      </c>
    </row>
    <row r="103" spans="2:4">
      <c r="B103" s="437">
        <f>B102+Arbeitszeit!AA103-Arbeitszeit!AF103</f>
        <v>0</v>
      </c>
      <c r="D103" s="143">
        <f t="shared" si="1"/>
        <v>0</v>
      </c>
    </row>
    <row r="104" spans="2:4">
      <c r="B104" s="437">
        <f>B103+Arbeitszeit!AA104-Arbeitszeit!AF104</f>
        <v>0</v>
      </c>
      <c r="D104" s="143">
        <f t="shared" si="1"/>
        <v>0</v>
      </c>
    </row>
    <row r="105" spans="2:4">
      <c r="B105" s="437">
        <f>B104+Arbeitszeit!AA105-Arbeitszeit!AF105</f>
        <v>0</v>
      </c>
      <c r="D105" s="143">
        <f t="shared" si="1"/>
        <v>0</v>
      </c>
    </row>
    <row r="106" spans="2:4">
      <c r="B106" s="437">
        <f>B105+Arbeitszeit!AA106-Arbeitszeit!AF106</f>
        <v>0</v>
      </c>
      <c r="D106" s="143">
        <f t="shared" si="1"/>
        <v>0</v>
      </c>
    </row>
    <row r="107" spans="2:4">
      <c r="B107" s="437">
        <f>B106+Arbeitszeit!AA107-Arbeitszeit!AF107</f>
        <v>0</v>
      </c>
      <c r="D107" s="143">
        <f t="shared" si="1"/>
        <v>0</v>
      </c>
    </row>
    <row r="108" spans="2:4">
      <c r="B108" s="437">
        <f>B107+Arbeitszeit!AA108-Arbeitszeit!AF108</f>
        <v>0</v>
      </c>
      <c r="D108" s="143">
        <f t="shared" si="1"/>
        <v>0</v>
      </c>
    </row>
    <row r="109" spans="2:4">
      <c r="B109" s="437">
        <f>B108+Arbeitszeit!AA109-Arbeitszeit!AF109</f>
        <v>0</v>
      </c>
      <c r="D109" s="143">
        <f t="shared" si="1"/>
        <v>0</v>
      </c>
    </row>
    <row r="110" spans="2:4">
      <c r="B110" s="437">
        <f>B109+Arbeitszeit!AA110-Arbeitszeit!AF110</f>
        <v>0</v>
      </c>
      <c r="D110" s="143">
        <f t="shared" si="1"/>
        <v>0</v>
      </c>
    </row>
    <row r="111" spans="2:4">
      <c r="B111" s="437">
        <f>B110+Arbeitszeit!AA111-Arbeitszeit!AF111</f>
        <v>0</v>
      </c>
      <c r="D111" s="143">
        <f t="shared" si="1"/>
        <v>0</v>
      </c>
    </row>
    <row r="112" spans="2:4">
      <c r="B112" s="437">
        <f>B111+Arbeitszeit!AA112-Arbeitszeit!AF112</f>
        <v>0</v>
      </c>
      <c r="D112" s="143">
        <f t="shared" si="1"/>
        <v>0</v>
      </c>
    </row>
    <row r="113" spans="2:4">
      <c r="B113" s="437">
        <f>B112+Arbeitszeit!AA113-Arbeitszeit!AF113</f>
        <v>0</v>
      </c>
      <c r="D113" s="143">
        <f t="shared" si="1"/>
        <v>0</v>
      </c>
    </row>
    <row r="114" spans="2:4">
      <c r="B114" s="437">
        <f>B113+Arbeitszeit!AA114-Arbeitszeit!AF114</f>
        <v>0</v>
      </c>
      <c r="D114" s="143">
        <f t="shared" si="1"/>
        <v>0</v>
      </c>
    </row>
    <row r="115" spans="2:4">
      <c r="B115" s="437">
        <f>B114+Arbeitszeit!AA115-Arbeitszeit!AF115</f>
        <v>0</v>
      </c>
      <c r="D115" s="143">
        <f t="shared" si="1"/>
        <v>0</v>
      </c>
    </row>
    <row r="116" spans="2:4">
      <c r="B116" s="437">
        <f>B115+Arbeitszeit!AA116-Arbeitszeit!AF116</f>
        <v>0</v>
      </c>
      <c r="D116" s="143">
        <f t="shared" si="1"/>
        <v>0</v>
      </c>
    </row>
    <row r="117" spans="2:4">
      <c r="B117" s="437">
        <f>B116+Arbeitszeit!AA117-Arbeitszeit!AF117</f>
        <v>0</v>
      </c>
      <c r="D117" s="143">
        <f t="shared" si="1"/>
        <v>0</v>
      </c>
    </row>
    <row r="118" spans="2:4">
      <c r="B118" s="437">
        <f>B117+Arbeitszeit!AA118-Arbeitszeit!AF118</f>
        <v>0</v>
      </c>
      <c r="D118" s="143">
        <f t="shared" si="1"/>
        <v>0</v>
      </c>
    </row>
    <row r="119" spans="2:4">
      <c r="B119" s="437">
        <f>B118+Arbeitszeit!AA119-Arbeitszeit!AF119</f>
        <v>0</v>
      </c>
      <c r="D119" s="143">
        <f t="shared" si="1"/>
        <v>0</v>
      </c>
    </row>
    <row r="120" spans="2:4">
      <c r="B120" s="437">
        <f>B119+Arbeitszeit!AA120-Arbeitszeit!AF120</f>
        <v>0</v>
      </c>
      <c r="D120" s="143">
        <f t="shared" si="1"/>
        <v>0</v>
      </c>
    </row>
    <row r="121" spans="2:4">
      <c r="B121" s="437">
        <f>B120+Arbeitszeit!AA121-Arbeitszeit!AF121</f>
        <v>0</v>
      </c>
      <c r="D121" s="143">
        <f t="shared" si="1"/>
        <v>0</v>
      </c>
    </row>
    <row r="122" spans="2:4">
      <c r="B122" s="437">
        <f>B121+Arbeitszeit!AA122-Arbeitszeit!AF122</f>
        <v>0</v>
      </c>
      <c r="D122" s="143">
        <f t="shared" si="1"/>
        <v>0</v>
      </c>
    </row>
    <row r="123" spans="2:4">
      <c r="B123" s="437">
        <f>B122+Arbeitszeit!AA123-Arbeitszeit!AF123</f>
        <v>0</v>
      </c>
      <c r="D123" s="143">
        <f t="shared" si="1"/>
        <v>0</v>
      </c>
    </row>
    <row r="124" spans="2:4">
      <c r="B124" s="437">
        <f>B123+Arbeitszeit!AA124-Arbeitszeit!AF124</f>
        <v>0</v>
      </c>
      <c r="D124" s="143">
        <f t="shared" si="1"/>
        <v>0</v>
      </c>
    </row>
    <row r="125" spans="2:4">
      <c r="B125" s="437">
        <f>B124+Arbeitszeit!AA125-Arbeitszeit!AF125</f>
        <v>0</v>
      </c>
      <c r="D125" s="143">
        <f t="shared" si="1"/>
        <v>0</v>
      </c>
    </row>
    <row r="126" spans="2:4">
      <c r="B126" s="437">
        <f>B125+Arbeitszeit!AA126-Arbeitszeit!AF126</f>
        <v>0</v>
      </c>
      <c r="D126" s="143">
        <f t="shared" si="1"/>
        <v>0</v>
      </c>
    </row>
    <row r="127" spans="2:4">
      <c r="B127" s="437">
        <f>B126+Arbeitszeit!AA127-Arbeitszeit!AF127</f>
        <v>0</v>
      </c>
      <c r="D127" s="143">
        <f t="shared" si="1"/>
        <v>0</v>
      </c>
    </row>
    <row r="128" spans="2:4">
      <c r="B128" s="437">
        <f>B127+Arbeitszeit!AA128-Arbeitszeit!AF128</f>
        <v>0</v>
      </c>
      <c r="D128" s="143">
        <f t="shared" si="1"/>
        <v>0</v>
      </c>
    </row>
    <row r="129" spans="2:4">
      <c r="B129" s="437">
        <f>B128+Arbeitszeit!AA129-Arbeitszeit!AF129</f>
        <v>0</v>
      </c>
      <c r="D129" s="143">
        <f t="shared" si="1"/>
        <v>0</v>
      </c>
    </row>
    <row r="130" spans="2:4">
      <c r="B130" s="437">
        <f>B129+Arbeitszeit!AA130-Arbeitszeit!AF130</f>
        <v>0</v>
      </c>
      <c r="D130" s="143">
        <f t="shared" si="1"/>
        <v>0</v>
      </c>
    </row>
    <row r="131" spans="2:4">
      <c r="B131" s="437">
        <f>B130+Arbeitszeit!AA131-Arbeitszeit!AF131</f>
        <v>0</v>
      </c>
      <c r="D131" s="143">
        <f t="shared" si="1"/>
        <v>0</v>
      </c>
    </row>
    <row r="132" spans="2:4">
      <c r="B132" s="437">
        <f>B131+Arbeitszeit!AA132-Arbeitszeit!AF132</f>
        <v>0</v>
      </c>
      <c r="D132" s="143">
        <f t="shared" si="1"/>
        <v>0</v>
      </c>
    </row>
    <row r="133" spans="2:4">
      <c r="B133" s="437">
        <f>B132+Arbeitszeit!AA133-Arbeitszeit!AF133</f>
        <v>0</v>
      </c>
      <c r="D133" s="143">
        <f t="shared" si="1"/>
        <v>0</v>
      </c>
    </row>
    <row r="134" spans="2:4">
      <c r="B134" s="437">
        <f>B133+Arbeitszeit!AA134-Arbeitszeit!AF134</f>
        <v>0</v>
      </c>
      <c r="D134" s="143">
        <f t="shared" ref="D134:D197" si="2">db_jSumOverMax</f>
        <v>0</v>
      </c>
    </row>
    <row r="135" spans="2:4">
      <c r="B135" s="437">
        <f>B134+Arbeitszeit!AA135-Arbeitszeit!AF135</f>
        <v>0</v>
      </c>
      <c r="D135" s="143">
        <f t="shared" si="2"/>
        <v>0</v>
      </c>
    </row>
    <row r="136" spans="2:4">
      <c r="B136" s="437">
        <f>B135+Arbeitszeit!AA136-Arbeitszeit!AF136</f>
        <v>0</v>
      </c>
      <c r="D136" s="143">
        <f t="shared" si="2"/>
        <v>0</v>
      </c>
    </row>
    <row r="137" spans="2:4">
      <c r="B137" s="437">
        <f>B136+Arbeitszeit!AA137-Arbeitszeit!AF137</f>
        <v>0</v>
      </c>
      <c r="D137" s="143">
        <f t="shared" si="2"/>
        <v>0</v>
      </c>
    </row>
    <row r="138" spans="2:4">
      <c r="B138" s="437">
        <f>B137+Arbeitszeit!AA138-Arbeitszeit!AF138</f>
        <v>0</v>
      </c>
      <c r="D138" s="143">
        <f t="shared" si="2"/>
        <v>0</v>
      </c>
    </row>
    <row r="139" spans="2:4">
      <c r="B139" s="437">
        <f>B138+Arbeitszeit!AA139-Arbeitszeit!AF139</f>
        <v>0</v>
      </c>
      <c r="D139" s="143">
        <f t="shared" si="2"/>
        <v>0</v>
      </c>
    </row>
    <row r="140" spans="2:4">
      <c r="B140" s="437">
        <f>B139+Arbeitszeit!AA140-Arbeitszeit!AF140</f>
        <v>0</v>
      </c>
      <c r="D140" s="143">
        <f t="shared" si="2"/>
        <v>0</v>
      </c>
    </row>
    <row r="141" spans="2:4">
      <c r="B141" s="437">
        <f>B140+Arbeitszeit!AA141-Arbeitszeit!AF141</f>
        <v>0</v>
      </c>
      <c r="D141" s="143">
        <f t="shared" si="2"/>
        <v>0</v>
      </c>
    </row>
    <row r="142" spans="2:4">
      <c r="B142" s="437">
        <f>B141+Arbeitszeit!AA142-Arbeitszeit!AF142</f>
        <v>0</v>
      </c>
      <c r="D142" s="143">
        <f t="shared" si="2"/>
        <v>0</v>
      </c>
    </row>
    <row r="143" spans="2:4">
      <c r="B143" s="437">
        <f>B142+Arbeitszeit!AA143-Arbeitszeit!AF143</f>
        <v>0</v>
      </c>
      <c r="D143" s="143">
        <f t="shared" si="2"/>
        <v>0</v>
      </c>
    </row>
    <row r="144" spans="2:4">
      <c r="B144" s="437">
        <f>B143+Arbeitszeit!AA144-Arbeitszeit!AF144</f>
        <v>0</v>
      </c>
      <c r="D144" s="143">
        <f t="shared" si="2"/>
        <v>0</v>
      </c>
    </row>
    <row r="145" spans="2:4">
      <c r="B145" s="437">
        <f>B144+Arbeitszeit!AA145-Arbeitszeit!AF145</f>
        <v>0</v>
      </c>
      <c r="D145" s="143">
        <f t="shared" si="2"/>
        <v>0</v>
      </c>
    </row>
    <row r="146" spans="2:4">
      <c r="B146" s="437">
        <f>B145+Arbeitszeit!AA146-Arbeitszeit!AF146</f>
        <v>0</v>
      </c>
      <c r="D146" s="143">
        <f t="shared" si="2"/>
        <v>0</v>
      </c>
    </row>
    <row r="147" spans="2:4">
      <c r="B147" s="437">
        <f>B146+Arbeitszeit!AA147-Arbeitszeit!AF147</f>
        <v>0</v>
      </c>
      <c r="D147" s="143">
        <f t="shared" si="2"/>
        <v>0</v>
      </c>
    </row>
    <row r="148" spans="2:4">
      <c r="B148" s="437">
        <f>B147+Arbeitszeit!AA148-Arbeitszeit!AF148</f>
        <v>0</v>
      </c>
      <c r="D148" s="143">
        <f t="shared" si="2"/>
        <v>0</v>
      </c>
    </row>
    <row r="149" spans="2:4">
      <c r="B149" s="437">
        <f>B148+Arbeitszeit!AA149-Arbeitszeit!AF149</f>
        <v>0</v>
      </c>
      <c r="D149" s="143">
        <f t="shared" si="2"/>
        <v>0</v>
      </c>
    </row>
    <row r="150" spans="2:4">
      <c r="B150" s="437">
        <f>B149+Arbeitszeit!AA150-Arbeitszeit!AF150</f>
        <v>0</v>
      </c>
      <c r="D150" s="143">
        <f t="shared" si="2"/>
        <v>0</v>
      </c>
    </row>
    <row r="151" spans="2:4">
      <c r="B151" s="437">
        <f>B150+Arbeitszeit!AA151-Arbeitszeit!AF151</f>
        <v>0</v>
      </c>
      <c r="D151" s="143">
        <f t="shared" si="2"/>
        <v>0</v>
      </c>
    </row>
    <row r="152" spans="2:4">
      <c r="B152" s="437">
        <f>B151+Arbeitszeit!AA152-Arbeitszeit!AF152</f>
        <v>0</v>
      </c>
      <c r="D152" s="143">
        <f t="shared" si="2"/>
        <v>0</v>
      </c>
    </row>
    <row r="153" spans="2:4">
      <c r="B153" s="437">
        <f>B152+Arbeitszeit!AA153-Arbeitszeit!AF153</f>
        <v>0</v>
      </c>
      <c r="D153" s="143">
        <f t="shared" si="2"/>
        <v>0</v>
      </c>
    </row>
    <row r="154" spans="2:4">
      <c r="B154" s="437">
        <f>B153+Arbeitszeit!AA154-Arbeitszeit!AF154</f>
        <v>0</v>
      </c>
      <c r="D154" s="143">
        <f t="shared" si="2"/>
        <v>0</v>
      </c>
    </row>
    <row r="155" spans="2:4">
      <c r="B155" s="437">
        <f>B154+Arbeitszeit!AA155-Arbeitszeit!AF155</f>
        <v>0</v>
      </c>
      <c r="D155" s="143">
        <f t="shared" si="2"/>
        <v>0</v>
      </c>
    </row>
    <row r="156" spans="2:4">
      <c r="B156" s="437">
        <f>B155+Arbeitszeit!AA156-Arbeitszeit!AF156</f>
        <v>0</v>
      </c>
      <c r="D156" s="143">
        <f t="shared" si="2"/>
        <v>0</v>
      </c>
    </row>
    <row r="157" spans="2:4">
      <c r="B157" s="437">
        <f>B156+Arbeitszeit!AA157-Arbeitszeit!AF157</f>
        <v>0</v>
      </c>
      <c r="D157" s="143">
        <f t="shared" si="2"/>
        <v>0</v>
      </c>
    </row>
    <row r="158" spans="2:4">
      <c r="B158" s="437">
        <f>B157+Arbeitszeit!AA158-Arbeitszeit!AF158</f>
        <v>0</v>
      </c>
      <c r="D158" s="143">
        <f t="shared" si="2"/>
        <v>0</v>
      </c>
    </row>
    <row r="159" spans="2:4">
      <c r="B159" s="437">
        <f>B158+Arbeitszeit!AA159-Arbeitszeit!AF159</f>
        <v>0</v>
      </c>
      <c r="D159" s="143">
        <f t="shared" si="2"/>
        <v>0</v>
      </c>
    </row>
    <row r="160" spans="2:4">
      <c r="B160" s="437">
        <f>B159+Arbeitszeit!AA160-Arbeitszeit!AF160</f>
        <v>0</v>
      </c>
      <c r="D160" s="143">
        <f t="shared" si="2"/>
        <v>0</v>
      </c>
    </row>
    <row r="161" spans="2:4">
      <c r="B161" s="437">
        <f>B160+Arbeitszeit!AA161-Arbeitszeit!AF161</f>
        <v>0</v>
      </c>
      <c r="D161" s="143">
        <f t="shared" si="2"/>
        <v>0</v>
      </c>
    </row>
    <row r="162" spans="2:4">
      <c r="B162" s="437">
        <f>B161+Arbeitszeit!AA162-Arbeitszeit!AF162</f>
        <v>0</v>
      </c>
      <c r="D162" s="143">
        <f t="shared" si="2"/>
        <v>0</v>
      </c>
    </row>
    <row r="163" spans="2:4">
      <c r="B163" s="437">
        <f>B162+Arbeitszeit!AA163-Arbeitszeit!AF163</f>
        <v>0</v>
      </c>
      <c r="D163" s="143">
        <f t="shared" si="2"/>
        <v>0</v>
      </c>
    </row>
    <row r="164" spans="2:4">
      <c r="B164" s="437">
        <f>B163+Arbeitszeit!AA164-Arbeitszeit!AF164</f>
        <v>0</v>
      </c>
      <c r="D164" s="143">
        <f t="shared" si="2"/>
        <v>0</v>
      </c>
    </row>
    <row r="165" spans="2:4">
      <c r="B165" s="437">
        <f>B164+Arbeitszeit!AA165-Arbeitszeit!AF165</f>
        <v>0</v>
      </c>
      <c r="D165" s="143">
        <f t="shared" si="2"/>
        <v>0</v>
      </c>
    </row>
    <row r="166" spans="2:4">
      <c r="B166" s="437">
        <f>B165+Arbeitszeit!AA166-Arbeitszeit!AF166</f>
        <v>0</v>
      </c>
      <c r="D166" s="143">
        <f t="shared" si="2"/>
        <v>0</v>
      </c>
    </row>
    <row r="167" spans="2:4">
      <c r="B167" s="437">
        <f>B166+Arbeitszeit!AA167-Arbeitszeit!AF167</f>
        <v>0</v>
      </c>
      <c r="D167" s="143">
        <f t="shared" si="2"/>
        <v>0</v>
      </c>
    </row>
    <row r="168" spans="2:4">
      <c r="B168" s="437">
        <f>B167+Arbeitszeit!AA168-Arbeitszeit!AF168</f>
        <v>0</v>
      </c>
      <c r="D168" s="143">
        <f t="shared" si="2"/>
        <v>0</v>
      </c>
    </row>
    <row r="169" spans="2:4">
      <c r="B169" s="437">
        <f>B168+Arbeitszeit!AA169-Arbeitszeit!AF169</f>
        <v>0</v>
      </c>
      <c r="D169" s="143">
        <f t="shared" si="2"/>
        <v>0</v>
      </c>
    </row>
    <row r="170" spans="2:4">
      <c r="B170" s="437">
        <f>B169+Arbeitszeit!AA170-Arbeitszeit!AF170</f>
        <v>0</v>
      </c>
      <c r="D170" s="143">
        <f t="shared" si="2"/>
        <v>0</v>
      </c>
    </row>
    <row r="171" spans="2:4">
      <c r="B171" s="437">
        <f>B170+Arbeitszeit!AA171-Arbeitszeit!AF171</f>
        <v>0</v>
      </c>
      <c r="D171" s="143">
        <f t="shared" si="2"/>
        <v>0</v>
      </c>
    </row>
    <row r="172" spans="2:4">
      <c r="B172" s="437">
        <f>B171+Arbeitszeit!AA172-Arbeitszeit!AF172</f>
        <v>0</v>
      </c>
      <c r="D172" s="143">
        <f t="shared" si="2"/>
        <v>0</v>
      </c>
    </row>
    <row r="173" spans="2:4">
      <c r="B173" s="437">
        <f>B172+Arbeitszeit!AA173-Arbeitszeit!AF173</f>
        <v>0</v>
      </c>
      <c r="D173" s="143">
        <f t="shared" si="2"/>
        <v>0</v>
      </c>
    </row>
    <row r="174" spans="2:4">
      <c r="B174" s="437">
        <f>B173+Arbeitszeit!AA174-Arbeitszeit!AF174</f>
        <v>0</v>
      </c>
      <c r="D174" s="143">
        <f t="shared" si="2"/>
        <v>0</v>
      </c>
    </row>
    <row r="175" spans="2:4">
      <c r="B175" s="437">
        <f>B174+Arbeitszeit!AA175-Arbeitszeit!AF175</f>
        <v>0</v>
      </c>
      <c r="D175" s="143">
        <f t="shared" si="2"/>
        <v>0</v>
      </c>
    </row>
    <row r="176" spans="2:4">
      <c r="B176" s="437">
        <f>B175+Arbeitszeit!AA176-Arbeitszeit!AF176</f>
        <v>0</v>
      </c>
      <c r="D176" s="143">
        <f t="shared" si="2"/>
        <v>0</v>
      </c>
    </row>
    <row r="177" spans="2:4">
      <c r="B177" s="437">
        <f>B176+Arbeitszeit!AA177-Arbeitszeit!AF177</f>
        <v>0</v>
      </c>
      <c r="D177" s="143">
        <f t="shared" si="2"/>
        <v>0</v>
      </c>
    </row>
    <row r="178" spans="2:4">
      <c r="B178" s="437">
        <f>B177+Arbeitszeit!AA178-Arbeitszeit!AF178</f>
        <v>0</v>
      </c>
      <c r="D178" s="143">
        <f t="shared" si="2"/>
        <v>0</v>
      </c>
    </row>
    <row r="179" spans="2:4">
      <c r="B179" s="437">
        <f>B178+Arbeitszeit!AA179-Arbeitszeit!AF179</f>
        <v>0</v>
      </c>
      <c r="D179" s="143">
        <f t="shared" si="2"/>
        <v>0</v>
      </c>
    </row>
    <row r="180" spans="2:4">
      <c r="B180" s="437">
        <f>B179+Arbeitszeit!AA180-Arbeitszeit!AF180</f>
        <v>0</v>
      </c>
      <c r="D180" s="143">
        <f t="shared" si="2"/>
        <v>0</v>
      </c>
    </row>
    <row r="181" spans="2:4">
      <c r="B181" s="437">
        <f>B180+Arbeitszeit!AA181-Arbeitszeit!AF181</f>
        <v>0</v>
      </c>
      <c r="D181" s="143">
        <f t="shared" si="2"/>
        <v>0</v>
      </c>
    </row>
    <row r="182" spans="2:4">
      <c r="B182" s="437">
        <f>B181+Arbeitszeit!AA182-Arbeitszeit!AF182</f>
        <v>0</v>
      </c>
      <c r="D182" s="143">
        <f t="shared" si="2"/>
        <v>0</v>
      </c>
    </row>
    <row r="183" spans="2:4">
      <c r="B183" s="437">
        <f>B182+Arbeitszeit!AA183-Arbeitszeit!AF183</f>
        <v>0</v>
      </c>
      <c r="D183" s="143">
        <f t="shared" si="2"/>
        <v>0</v>
      </c>
    </row>
    <row r="184" spans="2:4">
      <c r="B184" s="437">
        <f>B183+Arbeitszeit!AA184-Arbeitszeit!AF184</f>
        <v>0</v>
      </c>
      <c r="D184" s="143">
        <f t="shared" si="2"/>
        <v>0</v>
      </c>
    </row>
    <row r="185" spans="2:4">
      <c r="B185" s="437">
        <f>B184+Arbeitszeit!AA185-Arbeitszeit!AF185</f>
        <v>0</v>
      </c>
      <c r="D185" s="143">
        <f t="shared" si="2"/>
        <v>0</v>
      </c>
    </row>
    <row r="186" spans="2:4">
      <c r="B186" s="437">
        <f>B185+Arbeitszeit!AA186-Arbeitszeit!AF186</f>
        <v>0</v>
      </c>
      <c r="D186" s="143">
        <f t="shared" si="2"/>
        <v>0</v>
      </c>
    </row>
    <row r="187" spans="2:4">
      <c r="B187" s="437">
        <f>B186+Arbeitszeit!AA187-Arbeitszeit!AF187</f>
        <v>0</v>
      </c>
      <c r="D187" s="143">
        <f t="shared" si="2"/>
        <v>0</v>
      </c>
    </row>
    <row r="188" spans="2:4">
      <c r="B188" s="437">
        <f>B187+Arbeitszeit!AA188-Arbeitszeit!AF188</f>
        <v>0</v>
      </c>
      <c r="D188" s="143">
        <f t="shared" si="2"/>
        <v>0</v>
      </c>
    </row>
    <row r="189" spans="2:4">
      <c r="B189" s="437">
        <f>B188+Arbeitszeit!AA189-Arbeitszeit!AF189</f>
        <v>0</v>
      </c>
      <c r="D189" s="143">
        <f t="shared" si="2"/>
        <v>0</v>
      </c>
    </row>
    <row r="190" spans="2:4">
      <c r="B190" s="437">
        <f>B189+Arbeitszeit!AA190-Arbeitszeit!AF190</f>
        <v>0</v>
      </c>
      <c r="D190" s="143">
        <f t="shared" si="2"/>
        <v>0</v>
      </c>
    </row>
    <row r="191" spans="2:4">
      <c r="B191" s="437">
        <f>B190+Arbeitszeit!AA191-Arbeitszeit!AF191</f>
        <v>0</v>
      </c>
      <c r="D191" s="143">
        <f t="shared" si="2"/>
        <v>0</v>
      </c>
    </row>
    <row r="192" spans="2:4">
      <c r="B192" s="437">
        <f>B191+Arbeitszeit!AA192-Arbeitszeit!AF192</f>
        <v>0</v>
      </c>
      <c r="D192" s="143">
        <f t="shared" si="2"/>
        <v>0</v>
      </c>
    </row>
    <row r="193" spans="2:4">
      <c r="B193" s="437">
        <f>B192+Arbeitszeit!AA193-Arbeitszeit!AF193</f>
        <v>0</v>
      </c>
      <c r="D193" s="143">
        <f t="shared" si="2"/>
        <v>0</v>
      </c>
    </row>
    <row r="194" spans="2:4">
      <c r="B194" s="437">
        <f>B193+Arbeitszeit!AA194-Arbeitszeit!AF194</f>
        <v>0</v>
      </c>
      <c r="D194" s="143">
        <f t="shared" si="2"/>
        <v>0</v>
      </c>
    </row>
    <row r="195" spans="2:4">
      <c r="B195" s="437">
        <f>B194+Arbeitszeit!AA195-Arbeitszeit!AF195</f>
        <v>0</v>
      </c>
      <c r="D195" s="143">
        <f t="shared" si="2"/>
        <v>0</v>
      </c>
    </row>
    <row r="196" spans="2:4">
      <c r="B196" s="437">
        <f>B195+Arbeitszeit!AA196-Arbeitszeit!AF196</f>
        <v>0</v>
      </c>
      <c r="D196" s="143">
        <f t="shared" si="2"/>
        <v>0</v>
      </c>
    </row>
    <row r="197" spans="2:4">
      <c r="B197" s="437">
        <f>B196+Arbeitszeit!AA197-Arbeitszeit!AF197</f>
        <v>0</v>
      </c>
      <c r="D197" s="143">
        <f t="shared" si="2"/>
        <v>0</v>
      </c>
    </row>
    <row r="198" spans="2:4">
      <c r="B198" s="437">
        <f>B197+Arbeitszeit!AA198-Arbeitszeit!AF198</f>
        <v>0</v>
      </c>
      <c r="D198" s="143">
        <f t="shared" ref="D198:D261" si="3">db_jSumOverMax</f>
        <v>0</v>
      </c>
    </row>
    <row r="199" spans="2:4">
      <c r="B199" s="437">
        <f>B198+Arbeitszeit!AA199-Arbeitszeit!AF199</f>
        <v>0</v>
      </c>
      <c r="D199" s="143">
        <f t="shared" si="3"/>
        <v>0</v>
      </c>
    </row>
    <row r="200" spans="2:4">
      <c r="B200" s="437">
        <f>B199+Arbeitszeit!AA200-Arbeitszeit!AF200</f>
        <v>0</v>
      </c>
      <c r="D200" s="143">
        <f t="shared" si="3"/>
        <v>0</v>
      </c>
    </row>
    <row r="201" spans="2:4">
      <c r="B201" s="437">
        <f>B200+Arbeitszeit!AA201-Arbeitszeit!AF201</f>
        <v>0</v>
      </c>
      <c r="D201" s="143">
        <f t="shared" si="3"/>
        <v>0</v>
      </c>
    </row>
    <row r="202" spans="2:4">
      <c r="B202" s="437">
        <f>B201+Arbeitszeit!AA202-Arbeitszeit!AF202</f>
        <v>0</v>
      </c>
      <c r="D202" s="143">
        <f t="shared" si="3"/>
        <v>0</v>
      </c>
    </row>
    <row r="203" spans="2:4">
      <c r="B203" s="437">
        <f>B202+Arbeitszeit!AA203-Arbeitszeit!AF203</f>
        <v>0</v>
      </c>
      <c r="D203" s="143">
        <f t="shared" si="3"/>
        <v>0</v>
      </c>
    </row>
    <row r="204" spans="2:4">
      <c r="B204" s="437">
        <f>B203+Arbeitszeit!AA204-Arbeitszeit!AF204</f>
        <v>0</v>
      </c>
      <c r="D204" s="143">
        <f t="shared" si="3"/>
        <v>0</v>
      </c>
    </row>
    <row r="205" spans="2:4">
      <c r="B205" s="437">
        <f>B204+Arbeitszeit!AA205-Arbeitszeit!AF205</f>
        <v>0</v>
      </c>
      <c r="D205" s="143">
        <f t="shared" si="3"/>
        <v>0</v>
      </c>
    </row>
    <row r="206" spans="2:4">
      <c r="B206" s="437">
        <f>B205+Arbeitszeit!AA206-Arbeitszeit!AF206</f>
        <v>0</v>
      </c>
      <c r="D206" s="143">
        <f t="shared" si="3"/>
        <v>0</v>
      </c>
    </row>
    <row r="207" spans="2:4">
      <c r="B207" s="437">
        <f>B206+Arbeitszeit!AA207-Arbeitszeit!AF207</f>
        <v>0</v>
      </c>
      <c r="D207" s="143">
        <f t="shared" si="3"/>
        <v>0</v>
      </c>
    </row>
    <row r="208" spans="2:4">
      <c r="B208" s="437">
        <f>B207+Arbeitszeit!AA208-Arbeitszeit!AF208</f>
        <v>0</v>
      </c>
      <c r="D208" s="143">
        <f t="shared" si="3"/>
        <v>0</v>
      </c>
    </row>
    <row r="209" spans="2:4">
      <c r="B209" s="437">
        <f>B208+Arbeitszeit!AA209-Arbeitszeit!AF209</f>
        <v>0</v>
      </c>
      <c r="D209" s="143">
        <f t="shared" si="3"/>
        <v>0</v>
      </c>
    </row>
    <row r="210" spans="2:4">
      <c r="B210" s="437">
        <f>B209+Arbeitszeit!AA210-Arbeitszeit!AF210</f>
        <v>0</v>
      </c>
      <c r="D210" s="143">
        <f t="shared" si="3"/>
        <v>0</v>
      </c>
    </row>
    <row r="211" spans="2:4">
      <c r="B211" s="437">
        <f>B210+Arbeitszeit!AA211-Arbeitszeit!AF211</f>
        <v>0</v>
      </c>
      <c r="D211" s="143">
        <f t="shared" si="3"/>
        <v>0</v>
      </c>
    </row>
    <row r="212" spans="2:4">
      <c r="B212" s="437">
        <f>B211+Arbeitszeit!AA212-Arbeitszeit!AF212</f>
        <v>0</v>
      </c>
      <c r="D212" s="143">
        <f t="shared" si="3"/>
        <v>0</v>
      </c>
    </row>
    <row r="213" spans="2:4">
      <c r="B213" s="437">
        <f>B212+Arbeitszeit!AA213-Arbeitszeit!AF213</f>
        <v>0</v>
      </c>
      <c r="D213" s="143">
        <f t="shared" si="3"/>
        <v>0</v>
      </c>
    </row>
    <row r="214" spans="2:4">
      <c r="B214" s="437">
        <f>B213+Arbeitszeit!AA214-Arbeitszeit!AF214</f>
        <v>0</v>
      </c>
      <c r="D214" s="143">
        <f t="shared" si="3"/>
        <v>0</v>
      </c>
    </row>
    <row r="215" spans="2:4">
      <c r="B215" s="437">
        <f>B214+Arbeitszeit!AA215-Arbeitszeit!AF215</f>
        <v>0</v>
      </c>
      <c r="D215" s="143">
        <f t="shared" si="3"/>
        <v>0</v>
      </c>
    </row>
    <row r="216" spans="2:4">
      <c r="B216" s="437">
        <f>B215+Arbeitszeit!AA216-Arbeitszeit!AF216</f>
        <v>0</v>
      </c>
      <c r="D216" s="143">
        <f t="shared" si="3"/>
        <v>0</v>
      </c>
    </row>
    <row r="217" spans="2:4">
      <c r="B217" s="437">
        <f>B216+Arbeitszeit!AA217-Arbeitszeit!AF217</f>
        <v>0</v>
      </c>
      <c r="D217" s="143">
        <f t="shared" si="3"/>
        <v>0</v>
      </c>
    </row>
    <row r="218" spans="2:4">
      <c r="B218" s="437">
        <f>B217+Arbeitszeit!AA218-Arbeitszeit!AF218</f>
        <v>0</v>
      </c>
      <c r="D218" s="143">
        <f t="shared" si="3"/>
        <v>0</v>
      </c>
    </row>
    <row r="219" spans="2:4">
      <c r="B219" s="437">
        <f>B218+Arbeitszeit!AA219-Arbeitszeit!AF219</f>
        <v>0</v>
      </c>
      <c r="D219" s="143">
        <f t="shared" si="3"/>
        <v>0</v>
      </c>
    </row>
    <row r="220" spans="2:4">
      <c r="B220" s="437">
        <f>B219+Arbeitszeit!AA220-Arbeitszeit!AF220</f>
        <v>0</v>
      </c>
      <c r="D220" s="143">
        <f t="shared" si="3"/>
        <v>0</v>
      </c>
    </row>
    <row r="221" spans="2:4">
      <c r="B221" s="437">
        <f>B220+Arbeitszeit!AA221-Arbeitszeit!AF221</f>
        <v>0</v>
      </c>
      <c r="D221" s="143">
        <f t="shared" si="3"/>
        <v>0</v>
      </c>
    </row>
    <row r="222" spans="2:4">
      <c r="B222" s="437">
        <f>B221+Arbeitszeit!AA222-Arbeitszeit!AF222</f>
        <v>0</v>
      </c>
      <c r="D222" s="143">
        <f t="shared" si="3"/>
        <v>0</v>
      </c>
    </row>
    <row r="223" spans="2:4">
      <c r="B223" s="437">
        <f>B222+Arbeitszeit!AA223-Arbeitszeit!AF223</f>
        <v>0</v>
      </c>
      <c r="D223" s="143">
        <f t="shared" si="3"/>
        <v>0</v>
      </c>
    </row>
    <row r="224" spans="2:4">
      <c r="B224" s="437">
        <f>B223+Arbeitszeit!AA224-Arbeitszeit!AF224</f>
        <v>0</v>
      </c>
      <c r="D224" s="143">
        <f t="shared" si="3"/>
        <v>0</v>
      </c>
    </row>
    <row r="225" spans="2:4">
      <c r="B225" s="437">
        <f>B224+Arbeitszeit!AA225-Arbeitszeit!AF225</f>
        <v>0</v>
      </c>
      <c r="D225" s="143">
        <f t="shared" si="3"/>
        <v>0</v>
      </c>
    </row>
    <row r="226" spans="2:4">
      <c r="B226" s="437">
        <f>B225+Arbeitszeit!AA226-Arbeitszeit!AF226</f>
        <v>0</v>
      </c>
      <c r="D226" s="143">
        <f t="shared" si="3"/>
        <v>0</v>
      </c>
    </row>
    <row r="227" spans="2:4">
      <c r="B227" s="437">
        <f>B226+Arbeitszeit!AA227-Arbeitszeit!AF227</f>
        <v>0</v>
      </c>
      <c r="D227" s="143">
        <f t="shared" si="3"/>
        <v>0</v>
      </c>
    </row>
    <row r="228" spans="2:4">
      <c r="B228" s="437">
        <f>B227+Arbeitszeit!AA228-Arbeitszeit!AF228</f>
        <v>0</v>
      </c>
      <c r="D228" s="143">
        <f t="shared" si="3"/>
        <v>0</v>
      </c>
    </row>
    <row r="229" spans="2:4">
      <c r="B229" s="437">
        <f>B228+Arbeitszeit!AA229-Arbeitszeit!AF229</f>
        <v>0</v>
      </c>
      <c r="D229" s="143">
        <f t="shared" si="3"/>
        <v>0</v>
      </c>
    </row>
    <row r="230" spans="2:4">
      <c r="B230" s="437">
        <f>B229+Arbeitszeit!AA230-Arbeitszeit!AF230</f>
        <v>0</v>
      </c>
      <c r="D230" s="143">
        <f t="shared" si="3"/>
        <v>0</v>
      </c>
    </row>
    <row r="231" spans="2:4">
      <c r="B231" s="437">
        <f>B230+Arbeitszeit!AA231-Arbeitszeit!AF231</f>
        <v>0</v>
      </c>
      <c r="D231" s="143">
        <f t="shared" si="3"/>
        <v>0</v>
      </c>
    </row>
    <row r="232" spans="2:4">
      <c r="B232" s="437">
        <f>B231+Arbeitszeit!AA232-Arbeitszeit!AF232</f>
        <v>0</v>
      </c>
      <c r="D232" s="143">
        <f t="shared" si="3"/>
        <v>0</v>
      </c>
    </row>
    <row r="233" spans="2:4">
      <c r="B233" s="437">
        <f>B232+Arbeitszeit!AA233-Arbeitszeit!AF233</f>
        <v>0</v>
      </c>
      <c r="D233" s="143">
        <f t="shared" si="3"/>
        <v>0</v>
      </c>
    </row>
    <row r="234" spans="2:4">
      <c r="B234" s="437">
        <f>B233+Arbeitszeit!AA234-Arbeitszeit!AF234</f>
        <v>0</v>
      </c>
      <c r="D234" s="143">
        <f t="shared" si="3"/>
        <v>0</v>
      </c>
    </row>
    <row r="235" spans="2:4">
      <c r="B235" s="437">
        <f>B234+Arbeitszeit!AA235-Arbeitszeit!AF235</f>
        <v>0</v>
      </c>
      <c r="D235" s="143">
        <f t="shared" si="3"/>
        <v>0</v>
      </c>
    </row>
    <row r="236" spans="2:4">
      <c r="B236" s="437">
        <f>B235+Arbeitszeit!AA236-Arbeitszeit!AF236</f>
        <v>0</v>
      </c>
      <c r="D236" s="143">
        <f t="shared" si="3"/>
        <v>0</v>
      </c>
    </row>
    <row r="237" spans="2:4">
      <c r="B237" s="437">
        <f>B236+Arbeitszeit!AA237-Arbeitszeit!AF237</f>
        <v>0</v>
      </c>
      <c r="D237" s="143">
        <f t="shared" si="3"/>
        <v>0</v>
      </c>
    </row>
    <row r="238" spans="2:4">
      <c r="B238" s="437">
        <f>B237+Arbeitszeit!AA238-Arbeitszeit!AF238</f>
        <v>0</v>
      </c>
      <c r="D238" s="143">
        <f t="shared" si="3"/>
        <v>0</v>
      </c>
    </row>
    <row r="239" spans="2:4">
      <c r="B239" s="437">
        <f>B238+Arbeitszeit!AA239-Arbeitszeit!AF239</f>
        <v>0</v>
      </c>
      <c r="D239" s="143">
        <f t="shared" si="3"/>
        <v>0</v>
      </c>
    </row>
    <row r="240" spans="2:4">
      <c r="B240" s="437">
        <f>B239+Arbeitszeit!AA240-Arbeitszeit!AF240</f>
        <v>0</v>
      </c>
      <c r="D240" s="143">
        <f t="shared" si="3"/>
        <v>0</v>
      </c>
    </row>
    <row r="241" spans="2:4">
      <c r="B241" s="437">
        <f>B240+Arbeitszeit!AA241-Arbeitszeit!AF241</f>
        <v>0</v>
      </c>
      <c r="D241" s="143">
        <f t="shared" si="3"/>
        <v>0</v>
      </c>
    </row>
    <row r="242" spans="2:4">
      <c r="B242" s="437">
        <f>B241+Arbeitszeit!AA242-Arbeitszeit!AF242</f>
        <v>0</v>
      </c>
      <c r="D242" s="143">
        <f t="shared" si="3"/>
        <v>0</v>
      </c>
    </row>
    <row r="243" spans="2:4">
      <c r="B243" s="437">
        <f>B242+Arbeitszeit!AA243-Arbeitszeit!AF243</f>
        <v>0</v>
      </c>
      <c r="D243" s="143">
        <f t="shared" si="3"/>
        <v>0</v>
      </c>
    </row>
    <row r="244" spans="2:4">
      <c r="B244" s="437">
        <f>B243+Arbeitszeit!AA244-Arbeitszeit!AF244</f>
        <v>0</v>
      </c>
      <c r="D244" s="143">
        <f t="shared" si="3"/>
        <v>0</v>
      </c>
    </row>
    <row r="245" spans="2:4">
      <c r="B245" s="437">
        <f>B244+Arbeitszeit!AA245-Arbeitszeit!AF245</f>
        <v>0</v>
      </c>
      <c r="D245" s="143">
        <f t="shared" si="3"/>
        <v>0</v>
      </c>
    </row>
    <row r="246" spans="2:4">
      <c r="B246" s="437">
        <f>B245+Arbeitszeit!AA246-Arbeitszeit!AF246</f>
        <v>0</v>
      </c>
      <c r="D246" s="143">
        <f t="shared" si="3"/>
        <v>0</v>
      </c>
    </row>
    <row r="247" spans="2:4">
      <c r="B247" s="437">
        <f>B246+Arbeitszeit!AA247-Arbeitszeit!AF247</f>
        <v>0</v>
      </c>
      <c r="D247" s="143">
        <f t="shared" si="3"/>
        <v>0</v>
      </c>
    </row>
    <row r="248" spans="2:4">
      <c r="B248" s="437">
        <f>B247+Arbeitszeit!AA248-Arbeitszeit!AF248</f>
        <v>0</v>
      </c>
      <c r="D248" s="143">
        <f t="shared" si="3"/>
        <v>0</v>
      </c>
    </row>
    <row r="249" spans="2:4">
      <c r="B249" s="437">
        <f>B248+Arbeitszeit!AA249-Arbeitszeit!AF249</f>
        <v>0</v>
      </c>
      <c r="D249" s="143">
        <f t="shared" si="3"/>
        <v>0</v>
      </c>
    </row>
    <row r="250" spans="2:4">
      <c r="B250" s="437">
        <f>B249+Arbeitszeit!AA250-Arbeitszeit!AF250</f>
        <v>0</v>
      </c>
      <c r="D250" s="143">
        <f t="shared" si="3"/>
        <v>0</v>
      </c>
    </row>
    <row r="251" spans="2:4">
      <c r="B251" s="437">
        <f>B250+Arbeitszeit!AA251-Arbeitszeit!AF251</f>
        <v>0</v>
      </c>
      <c r="D251" s="143">
        <f t="shared" si="3"/>
        <v>0</v>
      </c>
    </row>
    <row r="252" spans="2:4">
      <c r="B252" s="437">
        <f>B251+Arbeitszeit!AA252-Arbeitszeit!AF252</f>
        <v>0</v>
      </c>
      <c r="D252" s="143">
        <f t="shared" si="3"/>
        <v>0</v>
      </c>
    </row>
    <row r="253" spans="2:4">
      <c r="B253" s="437">
        <f>B252+Arbeitszeit!AA253-Arbeitszeit!AF253</f>
        <v>0</v>
      </c>
      <c r="D253" s="143">
        <f t="shared" si="3"/>
        <v>0</v>
      </c>
    </row>
    <row r="254" spans="2:4">
      <c r="B254" s="437">
        <f>B253+Arbeitszeit!AA254-Arbeitszeit!AF254</f>
        <v>0</v>
      </c>
      <c r="D254" s="143">
        <f t="shared" si="3"/>
        <v>0</v>
      </c>
    </row>
    <row r="255" spans="2:4">
      <c r="B255" s="437">
        <f>B254+Arbeitszeit!AA255-Arbeitszeit!AF255</f>
        <v>0</v>
      </c>
      <c r="D255" s="143">
        <f t="shared" si="3"/>
        <v>0</v>
      </c>
    </row>
    <row r="256" spans="2:4">
      <c r="B256" s="437">
        <f>B255+Arbeitszeit!AA256-Arbeitszeit!AF256</f>
        <v>0</v>
      </c>
      <c r="D256" s="143">
        <f t="shared" si="3"/>
        <v>0</v>
      </c>
    </row>
    <row r="257" spans="2:4">
      <c r="B257" s="437">
        <f>B256+Arbeitszeit!AA257-Arbeitszeit!AF257</f>
        <v>0</v>
      </c>
      <c r="D257" s="143">
        <f t="shared" si="3"/>
        <v>0</v>
      </c>
    </row>
    <row r="258" spans="2:4">
      <c r="B258" s="437">
        <f>B257+Arbeitszeit!AA258-Arbeitszeit!AF258</f>
        <v>0</v>
      </c>
      <c r="D258" s="143">
        <f t="shared" si="3"/>
        <v>0</v>
      </c>
    </row>
    <row r="259" spans="2:4">
      <c r="B259" s="437">
        <f>B258+Arbeitszeit!AA259-Arbeitszeit!AF259</f>
        <v>0</v>
      </c>
      <c r="D259" s="143">
        <f t="shared" si="3"/>
        <v>0</v>
      </c>
    </row>
    <row r="260" spans="2:4">
      <c r="B260" s="437">
        <f>B259+Arbeitszeit!AA260-Arbeitszeit!AF260</f>
        <v>0</v>
      </c>
      <c r="D260" s="143">
        <f t="shared" si="3"/>
        <v>0</v>
      </c>
    </row>
    <row r="261" spans="2:4">
      <c r="B261" s="437">
        <f>B260+Arbeitszeit!AA261-Arbeitszeit!AF261</f>
        <v>0</v>
      </c>
      <c r="D261" s="143">
        <f t="shared" si="3"/>
        <v>0</v>
      </c>
    </row>
    <row r="262" spans="2:4">
      <c r="B262" s="437">
        <f>B261+Arbeitszeit!AA262-Arbeitszeit!AF262</f>
        <v>0</v>
      </c>
      <c r="D262" s="143">
        <f t="shared" ref="D262:D325" si="4">db_jSumOverMax</f>
        <v>0</v>
      </c>
    </row>
    <row r="263" spans="2:4">
      <c r="B263" s="437">
        <f>B262+Arbeitszeit!AA263-Arbeitszeit!AF263</f>
        <v>0</v>
      </c>
      <c r="D263" s="143">
        <f t="shared" si="4"/>
        <v>0</v>
      </c>
    </row>
    <row r="264" spans="2:4">
      <c r="B264" s="437">
        <f>B263+Arbeitszeit!AA264-Arbeitszeit!AF264</f>
        <v>0</v>
      </c>
      <c r="D264" s="143">
        <f t="shared" si="4"/>
        <v>0</v>
      </c>
    </row>
    <row r="265" spans="2:4">
      <c r="B265" s="437">
        <f>B264+Arbeitszeit!AA265-Arbeitszeit!AF265</f>
        <v>0</v>
      </c>
      <c r="D265" s="143">
        <f t="shared" si="4"/>
        <v>0</v>
      </c>
    </row>
    <row r="266" spans="2:4">
      <c r="B266" s="437">
        <f>B265+Arbeitszeit!AA266-Arbeitszeit!AF266</f>
        <v>0</v>
      </c>
      <c r="D266" s="143">
        <f t="shared" si="4"/>
        <v>0</v>
      </c>
    </row>
    <row r="267" spans="2:4">
      <c r="B267" s="437">
        <f>B266+Arbeitszeit!AA267-Arbeitszeit!AF267</f>
        <v>0</v>
      </c>
      <c r="D267" s="143">
        <f t="shared" si="4"/>
        <v>0</v>
      </c>
    </row>
    <row r="268" spans="2:4">
      <c r="B268" s="437">
        <f>B267+Arbeitszeit!AA268-Arbeitszeit!AF268</f>
        <v>0</v>
      </c>
      <c r="D268" s="143">
        <f t="shared" si="4"/>
        <v>0</v>
      </c>
    </row>
    <row r="269" spans="2:4">
      <c r="B269" s="437">
        <f>B268+Arbeitszeit!AA269-Arbeitszeit!AF269</f>
        <v>0</v>
      </c>
      <c r="D269" s="143">
        <f t="shared" si="4"/>
        <v>0</v>
      </c>
    </row>
    <row r="270" spans="2:4">
      <c r="B270" s="437">
        <f>B269+Arbeitszeit!AA270-Arbeitszeit!AF270</f>
        <v>0</v>
      </c>
      <c r="D270" s="143">
        <f t="shared" si="4"/>
        <v>0</v>
      </c>
    </row>
    <row r="271" spans="2:4">
      <c r="B271" s="437">
        <f>B270+Arbeitszeit!AA271-Arbeitszeit!AF271</f>
        <v>0</v>
      </c>
      <c r="D271" s="143">
        <f t="shared" si="4"/>
        <v>0</v>
      </c>
    </row>
    <row r="272" spans="2:4">
      <c r="B272" s="437">
        <f>B271+Arbeitszeit!AA272-Arbeitszeit!AF272</f>
        <v>0</v>
      </c>
      <c r="D272" s="143">
        <f t="shared" si="4"/>
        <v>0</v>
      </c>
    </row>
    <row r="273" spans="2:4">
      <c r="B273" s="437">
        <f>B272+Arbeitszeit!AA273-Arbeitszeit!AF273</f>
        <v>0</v>
      </c>
      <c r="D273" s="143">
        <f t="shared" si="4"/>
        <v>0</v>
      </c>
    </row>
    <row r="274" spans="2:4">
      <c r="B274" s="437">
        <f>B273+Arbeitszeit!AA274-Arbeitszeit!AF274</f>
        <v>0</v>
      </c>
      <c r="D274" s="143">
        <f t="shared" si="4"/>
        <v>0</v>
      </c>
    </row>
    <row r="275" spans="2:4">
      <c r="B275" s="437">
        <f>B274+Arbeitszeit!AA275-Arbeitszeit!AF275</f>
        <v>0</v>
      </c>
      <c r="D275" s="143">
        <f t="shared" si="4"/>
        <v>0</v>
      </c>
    </row>
    <row r="276" spans="2:4">
      <c r="B276" s="437">
        <f>B275+Arbeitszeit!AA276-Arbeitszeit!AF276</f>
        <v>0</v>
      </c>
      <c r="D276" s="143">
        <f t="shared" si="4"/>
        <v>0</v>
      </c>
    </row>
    <row r="277" spans="2:4">
      <c r="B277" s="437">
        <f>B276+Arbeitszeit!AA277-Arbeitszeit!AF277</f>
        <v>0</v>
      </c>
      <c r="D277" s="143">
        <f t="shared" si="4"/>
        <v>0</v>
      </c>
    </row>
    <row r="278" spans="2:4">
      <c r="B278" s="437">
        <f>B277+Arbeitszeit!AA278-Arbeitszeit!AF278</f>
        <v>0</v>
      </c>
      <c r="D278" s="143">
        <f t="shared" si="4"/>
        <v>0</v>
      </c>
    </row>
    <row r="279" spans="2:4">
      <c r="B279" s="437">
        <f>B278+Arbeitszeit!AA279-Arbeitszeit!AF279</f>
        <v>0</v>
      </c>
      <c r="D279" s="143">
        <f t="shared" si="4"/>
        <v>0</v>
      </c>
    </row>
    <row r="280" spans="2:4">
      <c r="B280" s="437">
        <f>B279+Arbeitszeit!AA280-Arbeitszeit!AF280</f>
        <v>0</v>
      </c>
      <c r="D280" s="143">
        <f t="shared" si="4"/>
        <v>0</v>
      </c>
    </row>
    <row r="281" spans="2:4">
      <c r="B281" s="437">
        <f>B280+Arbeitszeit!AA281-Arbeitszeit!AF281</f>
        <v>0</v>
      </c>
      <c r="D281" s="143">
        <f t="shared" si="4"/>
        <v>0</v>
      </c>
    </row>
    <row r="282" spans="2:4">
      <c r="B282" s="437">
        <f>B281+Arbeitszeit!AA282-Arbeitszeit!AF282</f>
        <v>0</v>
      </c>
      <c r="D282" s="143">
        <f t="shared" si="4"/>
        <v>0</v>
      </c>
    </row>
    <row r="283" spans="2:4">
      <c r="B283" s="437">
        <f>B282+Arbeitszeit!AA283-Arbeitszeit!AF283</f>
        <v>0</v>
      </c>
      <c r="D283" s="143">
        <f t="shared" si="4"/>
        <v>0</v>
      </c>
    </row>
    <row r="284" spans="2:4">
      <c r="B284" s="437">
        <f>B283+Arbeitszeit!AA284-Arbeitszeit!AF284</f>
        <v>0</v>
      </c>
      <c r="D284" s="143">
        <f t="shared" si="4"/>
        <v>0</v>
      </c>
    </row>
    <row r="285" spans="2:4">
      <c r="B285" s="437">
        <f>B284+Arbeitszeit!AA285-Arbeitszeit!AF285</f>
        <v>0</v>
      </c>
      <c r="D285" s="143">
        <f t="shared" si="4"/>
        <v>0</v>
      </c>
    </row>
    <row r="286" spans="2:4">
      <c r="B286" s="437">
        <f>B285+Arbeitszeit!AA286-Arbeitszeit!AF286</f>
        <v>0</v>
      </c>
      <c r="D286" s="143">
        <f t="shared" si="4"/>
        <v>0</v>
      </c>
    </row>
    <row r="287" spans="2:4">
      <c r="B287" s="437">
        <f>B286+Arbeitszeit!AA287-Arbeitszeit!AF287</f>
        <v>0</v>
      </c>
      <c r="D287" s="143">
        <f t="shared" si="4"/>
        <v>0</v>
      </c>
    </row>
    <row r="288" spans="2:4">
      <c r="B288" s="437">
        <f>B287+Arbeitszeit!AA288-Arbeitszeit!AF288</f>
        <v>0</v>
      </c>
      <c r="D288" s="143">
        <f t="shared" si="4"/>
        <v>0</v>
      </c>
    </row>
    <row r="289" spans="2:4">
      <c r="B289" s="437">
        <f>B288+Arbeitszeit!AA289-Arbeitszeit!AF289</f>
        <v>0</v>
      </c>
      <c r="D289" s="143">
        <f t="shared" si="4"/>
        <v>0</v>
      </c>
    </row>
    <row r="290" spans="2:4">
      <c r="B290" s="437">
        <f>B289+Arbeitszeit!AA290-Arbeitszeit!AF290</f>
        <v>0</v>
      </c>
      <c r="D290" s="143">
        <f t="shared" si="4"/>
        <v>0</v>
      </c>
    </row>
    <row r="291" spans="2:4">
      <c r="B291" s="437">
        <f>B290+Arbeitszeit!AA291-Arbeitszeit!AF291</f>
        <v>0</v>
      </c>
      <c r="D291" s="143">
        <f t="shared" si="4"/>
        <v>0</v>
      </c>
    </row>
    <row r="292" spans="2:4">
      <c r="B292" s="437">
        <f>B291+Arbeitszeit!AA292-Arbeitszeit!AF292</f>
        <v>0</v>
      </c>
      <c r="D292" s="143">
        <f t="shared" si="4"/>
        <v>0</v>
      </c>
    </row>
    <row r="293" spans="2:4">
      <c r="B293" s="437">
        <f>B292+Arbeitszeit!AA293-Arbeitszeit!AF293</f>
        <v>0</v>
      </c>
      <c r="D293" s="143">
        <f t="shared" si="4"/>
        <v>0</v>
      </c>
    </row>
    <row r="294" spans="2:4">
      <c r="B294" s="437">
        <f>B293+Arbeitszeit!AA294-Arbeitszeit!AF294</f>
        <v>0</v>
      </c>
      <c r="D294" s="143">
        <f t="shared" si="4"/>
        <v>0</v>
      </c>
    </row>
    <row r="295" spans="2:4">
      <c r="B295" s="437">
        <f>B294+Arbeitszeit!AA295-Arbeitszeit!AF295</f>
        <v>0</v>
      </c>
      <c r="D295" s="143">
        <f t="shared" si="4"/>
        <v>0</v>
      </c>
    </row>
    <row r="296" spans="2:4">
      <c r="B296" s="437">
        <f>B295+Arbeitszeit!AA296-Arbeitszeit!AF296</f>
        <v>0</v>
      </c>
      <c r="D296" s="143">
        <f t="shared" si="4"/>
        <v>0</v>
      </c>
    </row>
    <row r="297" spans="2:4">
      <c r="B297" s="437">
        <f>B296+Arbeitszeit!AA297-Arbeitszeit!AF297</f>
        <v>0</v>
      </c>
      <c r="D297" s="143">
        <f t="shared" si="4"/>
        <v>0</v>
      </c>
    </row>
    <row r="298" spans="2:4">
      <c r="B298" s="437">
        <f>B297+Arbeitszeit!AA298-Arbeitszeit!AF298</f>
        <v>0</v>
      </c>
      <c r="D298" s="143">
        <f t="shared" si="4"/>
        <v>0</v>
      </c>
    </row>
    <row r="299" spans="2:4">
      <c r="B299" s="437">
        <f>B298+Arbeitszeit!AA299-Arbeitszeit!AF299</f>
        <v>0</v>
      </c>
      <c r="D299" s="143">
        <f t="shared" si="4"/>
        <v>0</v>
      </c>
    </row>
    <row r="300" spans="2:4">
      <c r="B300" s="437">
        <f>B299+Arbeitszeit!AA300-Arbeitszeit!AF300</f>
        <v>0</v>
      </c>
      <c r="D300" s="143">
        <f t="shared" si="4"/>
        <v>0</v>
      </c>
    </row>
    <row r="301" spans="2:4">
      <c r="B301" s="437">
        <f>B300+Arbeitszeit!AA301-Arbeitszeit!AF301</f>
        <v>0</v>
      </c>
      <c r="D301" s="143">
        <f t="shared" si="4"/>
        <v>0</v>
      </c>
    </row>
    <row r="302" spans="2:4">
      <c r="B302" s="437">
        <f>B301+Arbeitszeit!AA302-Arbeitszeit!AF302</f>
        <v>0</v>
      </c>
      <c r="D302" s="143">
        <f t="shared" si="4"/>
        <v>0</v>
      </c>
    </row>
    <row r="303" spans="2:4">
      <c r="B303" s="437">
        <f>B302+Arbeitszeit!AA303-Arbeitszeit!AF303</f>
        <v>0</v>
      </c>
      <c r="D303" s="143">
        <f t="shared" si="4"/>
        <v>0</v>
      </c>
    </row>
    <row r="304" spans="2:4">
      <c r="B304" s="437">
        <f>B303+Arbeitszeit!AA304-Arbeitszeit!AF304</f>
        <v>0</v>
      </c>
      <c r="D304" s="143">
        <f t="shared" si="4"/>
        <v>0</v>
      </c>
    </row>
    <row r="305" spans="2:4">
      <c r="B305" s="437">
        <f>B304+Arbeitszeit!AA305-Arbeitszeit!AF305</f>
        <v>0</v>
      </c>
      <c r="D305" s="143">
        <f t="shared" si="4"/>
        <v>0</v>
      </c>
    </row>
    <row r="306" spans="2:4">
      <c r="B306" s="437">
        <f>B305+Arbeitszeit!AA306-Arbeitszeit!AF306</f>
        <v>0</v>
      </c>
      <c r="D306" s="143">
        <f t="shared" si="4"/>
        <v>0</v>
      </c>
    </row>
    <row r="307" spans="2:4">
      <c r="B307" s="437">
        <f>B306+Arbeitszeit!AA307-Arbeitszeit!AF307</f>
        <v>0</v>
      </c>
      <c r="D307" s="143">
        <f t="shared" si="4"/>
        <v>0</v>
      </c>
    </row>
    <row r="308" spans="2:4">
      <c r="B308" s="437">
        <f>B307+Arbeitszeit!AA308-Arbeitszeit!AF308</f>
        <v>0</v>
      </c>
      <c r="D308" s="143">
        <f t="shared" si="4"/>
        <v>0</v>
      </c>
    </row>
    <row r="309" spans="2:4">
      <c r="B309" s="437">
        <f>B308+Arbeitszeit!AA309-Arbeitszeit!AF309</f>
        <v>0</v>
      </c>
      <c r="D309" s="143">
        <f t="shared" si="4"/>
        <v>0</v>
      </c>
    </row>
    <row r="310" spans="2:4">
      <c r="B310" s="437">
        <f>B309+Arbeitszeit!AA310-Arbeitszeit!AF310</f>
        <v>0</v>
      </c>
      <c r="D310" s="143">
        <f t="shared" si="4"/>
        <v>0</v>
      </c>
    </row>
    <row r="311" spans="2:4">
      <c r="B311" s="437">
        <f>B310+Arbeitszeit!AA311-Arbeitszeit!AF311</f>
        <v>0</v>
      </c>
      <c r="D311" s="143">
        <f t="shared" si="4"/>
        <v>0</v>
      </c>
    </row>
    <row r="312" spans="2:4">
      <c r="B312" s="437">
        <f>B311+Arbeitszeit!AA312-Arbeitszeit!AF312</f>
        <v>0</v>
      </c>
      <c r="D312" s="143">
        <f t="shared" si="4"/>
        <v>0</v>
      </c>
    </row>
    <row r="313" spans="2:4">
      <c r="B313" s="437">
        <f>B312+Arbeitszeit!AA313-Arbeitszeit!AF313</f>
        <v>0</v>
      </c>
      <c r="D313" s="143">
        <f t="shared" si="4"/>
        <v>0</v>
      </c>
    </row>
    <row r="314" spans="2:4">
      <c r="B314" s="437">
        <f>B313+Arbeitszeit!AA314-Arbeitszeit!AF314</f>
        <v>0</v>
      </c>
      <c r="D314" s="143">
        <f t="shared" si="4"/>
        <v>0</v>
      </c>
    </row>
    <row r="315" spans="2:4">
      <c r="B315" s="437">
        <f>B314+Arbeitszeit!AA315-Arbeitszeit!AF315</f>
        <v>0</v>
      </c>
      <c r="D315" s="143">
        <f t="shared" si="4"/>
        <v>0</v>
      </c>
    </row>
    <row r="316" spans="2:4">
      <c r="B316" s="437">
        <f>B315+Arbeitszeit!AA316-Arbeitszeit!AF316</f>
        <v>0</v>
      </c>
      <c r="D316" s="143">
        <f t="shared" si="4"/>
        <v>0</v>
      </c>
    </row>
    <row r="317" spans="2:4">
      <c r="B317" s="437">
        <f>B316+Arbeitszeit!AA317-Arbeitszeit!AF317</f>
        <v>0</v>
      </c>
      <c r="D317" s="143">
        <f t="shared" si="4"/>
        <v>0</v>
      </c>
    </row>
    <row r="318" spans="2:4">
      <c r="B318" s="437">
        <f>B317+Arbeitszeit!AA318-Arbeitszeit!AF318</f>
        <v>0</v>
      </c>
      <c r="D318" s="143">
        <f t="shared" si="4"/>
        <v>0</v>
      </c>
    </row>
    <row r="319" spans="2:4">
      <c r="B319" s="437">
        <f>B318+Arbeitszeit!AA319-Arbeitszeit!AF319</f>
        <v>0</v>
      </c>
      <c r="D319" s="143">
        <f t="shared" si="4"/>
        <v>0</v>
      </c>
    </row>
    <row r="320" spans="2:4">
      <c r="B320" s="437">
        <f>B319+Arbeitszeit!AA320-Arbeitszeit!AF320</f>
        <v>0</v>
      </c>
      <c r="D320" s="143">
        <f t="shared" si="4"/>
        <v>0</v>
      </c>
    </row>
    <row r="321" spans="2:4">
      <c r="B321" s="437">
        <f>B320+Arbeitszeit!AA321-Arbeitszeit!AF321</f>
        <v>0</v>
      </c>
      <c r="D321" s="143">
        <f t="shared" si="4"/>
        <v>0</v>
      </c>
    </row>
    <row r="322" spans="2:4">
      <c r="B322" s="437">
        <f>B321+Arbeitszeit!AA322-Arbeitszeit!AF322</f>
        <v>0</v>
      </c>
      <c r="D322" s="143">
        <f t="shared" si="4"/>
        <v>0</v>
      </c>
    </row>
    <row r="323" spans="2:4">
      <c r="B323" s="437">
        <f>B322+Arbeitszeit!AA323-Arbeitszeit!AF323</f>
        <v>0</v>
      </c>
      <c r="D323" s="143">
        <f t="shared" si="4"/>
        <v>0</v>
      </c>
    </row>
    <row r="324" spans="2:4">
      <c r="B324" s="437">
        <f>B323+Arbeitszeit!AA324-Arbeitszeit!AF324</f>
        <v>0</v>
      </c>
      <c r="D324" s="143">
        <f t="shared" si="4"/>
        <v>0</v>
      </c>
    </row>
    <row r="325" spans="2:4">
      <c r="B325" s="437">
        <f>B324+Arbeitszeit!AA325-Arbeitszeit!AF325</f>
        <v>0</v>
      </c>
      <c r="D325" s="143">
        <f t="shared" si="4"/>
        <v>0</v>
      </c>
    </row>
    <row r="326" spans="2:4">
      <c r="B326" s="437">
        <f>B325+Arbeitszeit!AA326-Arbeitszeit!AF326</f>
        <v>0</v>
      </c>
      <c r="D326" s="143">
        <f t="shared" ref="D326:D373" si="5">db_jSumOverMax</f>
        <v>0</v>
      </c>
    </row>
    <row r="327" spans="2:4">
      <c r="B327" s="437">
        <f>B326+Arbeitszeit!AA327-Arbeitszeit!AF327</f>
        <v>0</v>
      </c>
      <c r="D327" s="143">
        <f t="shared" si="5"/>
        <v>0</v>
      </c>
    </row>
    <row r="328" spans="2:4">
      <c r="B328" s="437">
        <f>B327+Arbeitszeit!AA328-Arbeitszeit!AF328</f>
        <v>0</v>
      </c>
      <c r="D328" s="143">
        <f t="shared" si="5"/>
        <v>0</v>
      </c>
    </row>
    <row r="329" spans="2:4">
      <c r="B329" s="437">
        <f>B328+Arbeitszeit!AA329-Arbeitszeit!AF329</f>
        <v>0</v>
      </c>
      <c r="D329" s="143">
        <f t="shared" si="5"/>
        <v>0</v>
      </c>
    </row>
    <row r="330" spans="2:4">
      <c r="B330" s="437">
        <f>B329+Arbeitszeit!AA330-Arbeitszeit!AF330</f>
        <v>0</v>
      </c>
      <c r="D330" s="143">
        <f t="shared" si="5"/>
        <v>0</v>
      </c>
    </row>
    <row r="331" spans="2:4">
      <c r="B331" s="437">
        <f>B330+Arbeitszeit!AA331-Arbeitszeit!AF331</f>
        <v>0</v>
      </c>
      <c r="D331" s="143">
        <f t="shared" si="5"/>
        <v>0</v>
      </c>
    </row>
    <row r="332" spans="2:4">
      <c r="B332" s="437">
        <f>B331+Arbeitszeit!AA332-Arbeitszeit!AF332</f>
        <v>0</v>
      </c>
      <c r="D332" s="143">
        <f t="shared" si="5"/>
        <v>0</v>
      </c>
    </row>
    <row r="333" spans="2:4">
      <c r="B333" s="437">
        <f>B332+Arbeitszeit!AA333-Arbeitszeit!AF333</f>
        <v>0</v>
      </c>
      <c r="D333" s="143">
        <f t="shared" si="5"/>
        <v>0</v>
      </c>
    </row>
    <row r="334" spans="2:4">
      <c r="B334" s="437">
        <f>B333+Arbeitszeit!AA334-Arbeitszeit!AF334</f>
        <v>0</v>
      </c>
      <c r="D334" s="143">
        <f t="shared" si="5"/>
        <v>0</v>
      </c>
    </row>
    <row r="335" spans="2:4">
      <c r="B335" s="437">
        <f>B334+Arbeitszeit!AA335-Arbeitszeit!AF335</f>
        <v>0</v>
      </c>
      <c r="D335" s="143">
        <f t="shared" si="5"/>
        <v>0</v>
      </c>
    </row>
    <row r="336" spans="2:4">
      <c r="B336" s="437">
        <f>B335+Arbeitszeit!AA336-Arbeitszeit!AF336</f>
        <v>0</v>
      </c>
      <c r="D336" s="143">
        <f t="shared" si="5"/>
        <v>0</v>
      </c>
    </row>
    <row r="337" spans="2:4">
      <c r="B337" s="437">
        <f>B336+Arbeitszeit!AA337-Arbeitszeit!AF337</f>
        <v>0</v>
      </c>
      <c r="D337" s="143">
        <f t="shared" si="5"/>
        <v>0</v>
      </c>
    </row>
    <row r="338" spans="2:4">
      <c r="B338" s="437">
        <f>B337+Arbeitszeit!AA338-Arbeitszeit!AF338</f>
        <v>0</v>
      </c>
      <c r="D338" s="143">
        <f t="shared" si="5"/>
        <v>0</v>
      </c>
    </row>
    <row r="339" spans="2:4">
      <c r="B339" s="437">
        <f>B338+Arbeitszeit!AA339-Arbeitszeit!AF339</f>
        <v>0</v>
      </c>
      <c r="D339" s="143">
        <f t="shared" si="5"/>
        <v>0</v>
      </c>
    </row>
    <row r="340" spans="2:4">
      <c r="B340" s="437">
        <f>B339+Arbeitszeit!AA340-Arbeitszeit!AF340</f>
        <v>0</v>
      </c>
      <c r="D340" s="143">
        <f t="shared" si="5"/>
        <v>0</v>
      </c>
    </row>
    <row r="341" spans="2:4">
      <c r="B341" s="437">
        <f>B340+Arbeitszeit!AA341-Arbeitszeit!AF341</f>
        <v>0</v>
      </c>
      <c r="D341" s="143">
        <f t="shared" si="5"/>
        <v>0</v>
      </c>
    </row>
    <row r="342" spans="2:4">
      <c r="B342" s="437">
        <f>B341+Arbeitszeit!AA342-Arbeitszeit!AF342</f>
        <v>0</v>
      </c>
      <c r="D342" s="143">
        <f t="shared" si="5"/>
        <v>0</v>
      </c>
    </row>
    <row r="343" spans="2:4">
      <c r="B343" s="437">
        <f>B342+Arbeitszeit!AA343-Arbeitszeit!AF343</f>
        <v>0</v>
      </c>
      <c r="D343" s="143">
        <f t="shared" si="5"/>
        <v>0</v>
      </c>
    </row>
    <row r="344" spans="2:4">
      <c r="B344" s="437">
        <f>B343+Arbeitszeit!AA344-Arbeitszeit!AF344</f>
        <v>0</v>
      </c>
      <c r="D344" s="143">
        <f t="shared" si="5"/>
        <v>0</v>
      </c>
    </row>
    <row r="345" spans="2:4">
      <c r="B345" s="437">
        <f>B344+Arbeitszeit!AA345-Arbeitszeit!AF345</f>
        <v>0</v>
      </c>
      <c r="D345" s="143">
        <f t="shared" si="5"/>
        <v>0</v>
      </c>
    </row>
    <row r="346" spans="2:4">
      <c r="B346" s="437">
        <f>B345+Arbeitszeit!AA346-Arbeitszeit!AF346</f>
        <v>0</v>
      </c>
      <c r="D346" s="143">
        <f t="shared" si="5"/>
        <v>0</v>
      </c>
    </row>
    <row r="347" spans="2:4">
      <c r="B347" s="437">
        <f>B346+Arbeitszeit!AA347-Arbeitszeit!AF347</f>
        <v>0</v>
      </c>
      <c r="D347" s="143">
        <f t="shared" si="5"/>
        <v>0</v>
      </c>
    </row>
    <row r="348" spans="2:4">
      <c r="B348" s="437">
        <f>B347+Arbeitszeit!AA348-Arbeitszeit!AF348</f>
        <v>0</v>
      </c>
      <c r="D348" s="143">
        <f t="shared" si="5"/>
        <v>0</v>
      </c>
    </row>
    <row r="349" spans="2:4">
      <c r="B349" s="437">
        <f>B348+Arbeitszeit!AA349-Arbeitszeit!AF349</f>
        <v>0</v>
      </c>
      <c r="D349" s="143">
        <f t="shared" si="5"/>
        <v>0</v>
      </c>
    </row>
    <row r="350" spans="2:4">
      <c r="B350" s="437">
        <f>B349+Arbeitszeit!AA350-Arbeitszeit!AF350</f>
        <v>0</v>
      </c>
      <c r="D350" s="143">
        <f t="shared" si="5"/>
        <v>0</v>
      </c>
    </row>
    <row r="351" spans="2:4">
      <c r="B351" s="437">
        <f>B350+Arbeitszeit!AA351-Arbeitszeit!AF351</f>
        <v>0</v>
      </c>
      <c r="D351" s="143">
        <f t="shared" si="5"/>
        <v>0</v>
      </c>
    </row>
    <row r="352" spans="2:4">
      <c r="B352" s="437">
        <f>B351+Arbeitszeit!AA352-Arbeitszeit!AF352</f>
        <v>0</v>
      </c>
      <c r="D352" s="143">
        <f t="shared" si="5"/>
        <v>0</v>
      </c>
    </row>
    <row r="353" spans="2:4">
      <c r="B353" s="437">
        <f>B352+Arbeitszeit!AA353-Arbeitszeit!AF353</f>
        <v>0</v>
      </c>
      <c r="D353" s="143">
        <f t="shared" si="5"/>
        <v>0</v>
      </c>
    </row>
    <row r="354" spans="2:4">
      <c r="B354" s="437">
        <f>B353+Arbeitszeit!AA354-Arbeitszeit!AF354</f>
        <v>0</v>
      </c>
      <c r="D354" s="143">
        <f t="shared" si="5"/>
        <v>0</v>
      </c>
    </row>
    <row r="355" spans="2:4">
      <c r="B355" s="437">
        <f>B354+Arbeitszeit!AA355-Arbeitszeit!AF355</f>
        <v>0</v>
      </c>
      <c r="D355" s="143">
        <f t="shared" si="5"/>
        <v>0</v>
      </c>
    </row>
    <row r="356" spans="2:4">
      <c r="B356" s="437">
        <f>B355+Arbeitszeit!AA356-Arbeitszeit!AF356</f>
        <v>0</v>
      </c>
      <c r="D356" s="143">
        <f t="shared" si="5"/>
        <v>0</v>
      </c>
    </row>
    <row r="357" spans="2:4">
      <c r="B357" s="437">
        <f>B356+Arbeitszeit!AA357-Arbeitszeit!AF357</f>
        <v>0</v>
      </c>
      <c r="D357" s="143">
        <f t="shared" si="5"/>
        <v>0</v>
      </c>
    </row>
    <row r="358" spans="2:4">
      <c r="B358" s="437">
        <f>B357+Arbeitszeit!AA358-Arbeitszeit!AF358</f>
        <v>0</v>
      </c>
      <c r="D358" s="143">
        <f t="shared" si="5"/>
        <v>0</v>
      </c>
    </row>
    <row r="359" spans="2:4">
      <c r="B359" s="437">
        <f>B358+Arbeitszeit!AA359-Arbeitszeit!AF359</f>
        <v>0</v>
      </c>
      <c r="D359" s="143">
        <f t="shared" si="5"/>
        <v>0</v>
      </c>
    </row>
    <row r="360" spans="2:4">
      <c r="B360" s="437">
        <f>B359+Arbeitszeit!AA360-Arbeitszeit!AF360</f>
        <v>0</v>
      </c>
      <c r="D360" s="143">
        <f t="shared" si="5"/>
        <v>0</v>
      </c>
    </row>
    <row r="361" spans="2:4">
      <c r="B361" s="437">
        <f>B360+Arbeitszeit!AA361-Arbeitszeit!AF361</f>
        <v>0</v>
      </c>
      <c r="D361" s="143">
        <f t="shared" si="5"/>
        <v>0</v>
      </c>
    </row>
    <row r="362" spans="2:4">
      <c r="B362" s="437">
        <f>B361+Arbeitszeit!AA362-Arbeitszeit!AF362</f>
        <v>0</v>
      </c>
      <c r="D362" s="143">
        <f t="shared" si="5"/>
        <v>0</v>
      </c>
    </row>
    <row r="363" spans="2:4">
      <c r="B363" s="437">
        <f>B362+Arbeitszeit!AA363-Arbeitszeit!AF363</f>
        <v>0</v>
      </c>
      <c r="D363" s="143">
        <f t="shared" si="5"/>
        <v>0</v>
      </c>
    </row>
    <row r="364" spans="2:4">
      <c r="B364" s="437">
        <f>B363+Arbeitszeit!AA364-Arbeitszeit!AF364</f>
        <v>0</v>
      </c>
      <c r="D364" s="143">
        <f t="shared" si="5"/>
        <v>0</v>
      </c>
    </row>
    <row r="365" spans="2:4">
      <c r="B365" s="437">
        <f>B364+Arbeitszeit!AA365-Arbeitszeit!AF365</f>
        <v>0</v>
      </c>
      <c r="D365" s="143">
        <f t="shared" si="5"/>
        <v>0</v>
      </c>
    </row>
    <row r="366" spans="2:4">
      <c r="B366" s="437">
        <f>B365+Arbeitszeit!AA366-Arbeitszeit!AF366</f>
        <v>0</v>
      </c>
      <c r="D366" s="143">
        <f t="shared" si="5"/>
        <v>0</v>
      </c>
    </row>
    <row r="367" spans="2:4">
      <c r="B367" s="437">
        <f>B366+Arbeitszeit!AA367-Arbeitszeit!AF367</f>
        <v>0</v>
      </c>
      <c r="D367" s="143">
        <f t="shared" si="5"/>
        <v>0</v>
      </c>
    </row>
    <row r="368" spans="2:4">
      <c r="B368" s="437">
        <f>B367+Arbeitszeit!AA368-Arbeitszeit!AF368</f>
        <v>0</v>
      </c>
      <c r="D368" s="143">
        <f t="shared" si="5"/>
        <v>0</v>
      </c>
    </row>
    <row r="369" spans="2:4">
      <c r="B369" s="437">
        <f>B368+Arbeitszeit!AA369-Arbeitszeit!AF369</f>
        <v>0</v>
      </c>
      <c r="D369" s="143">
        <f t="shared" si="5"/>
        <v>0</v>
      </c>
    </row>
    <row r="370" spans="2:4">
      <c r="B370" s="437">
        <f>B369+Arbeitszeit!AA370-Arbeitszeit!AF370</f>
        <v>0</v>
      </c>
      <c r="D370" s="143">
        <f t="shared" si="5"/>
        <v>0</v>
      </c>
    </row>
    <row r="371" spans="2:4">
      <c r="B371" s="437">
        <f>B370+Arbeitszeit!AA371-Arbeitszeit!AF371</f>
        <v>0</v>
      </c>
      <c r="D371" s="143">
        <f t="shared" si="5"/>
        <v>0</v>
      </c>
    </row>
    <row r="372" spans="2:4">
      <c r="B372" s="437">
        <f>B371+Arbeitszeit!AA372-Arbeitszeit!AF372</f>
        <v>0</v>
      </c>
      <c r="D372" s="143">
        <f t="shared" si="5"/>
        <v>0</v>
      </c>
    </row>
    <row r="373" spans="2:4">
      <c r="B373" s="437">
        <f>B372+Arbeitszeit!AA373-Arbeitszeit!AF373</f>
        <v>0</v>
      </c>
      <c r="D373" s="143">
        <f t="shared" si="5"/>
        <v>0</v>
      </c>
    </row>
    <row r="374" spans="2:4">
      <c r="B374" s="437"/>
      <c r="D374" s="143"/>
    </row>
    <row r="375" spans="2:4">
      <c r="D375" s="143"/>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59"/>
  <sheetViews>
    <sheetView showZeros="0" zoomScale="95" zoomScaleNormal="95" workbookViewId="0">
      <pane xSplit="4" ySplit="3" topLeftCell="E4" activePane="bottomRight" state="frozenSplit"/>
      <selection pane="topRight" activeCell="E1" sqref="E1"/>
      <selection pane="bottomLeft" activeCell="A3" sqref="A3"/>
      <selection pane="bottomRight" activeCell="D75" sqref="D75"/>
    </sheetView>
  </sheetViews>
  <sheetFormatPr baseColWidth="10" defaultColWidth="11.5703125" defaultRowHeight="12.75"/>
  <cols>
    <col min="1" max="1" width="11.7109375" customWidth="1"/>
    <col min="2" max="2" width="0.85546875" customWidth="1"/>
    <col min="3" max="3" width="7" customWidth="1"/>
    <col min="4" max="4" width="19.140625" customWidth="1"/>
    <col min="5" max="16" width="4.7109375" customWidth="1"/>
    <col min="17" max="17" width="3.5703125" style="400" hidden="1" customWidth="1"/>
    <col min="18" max="18" width="7" customWidth="1"/>
    <col min="19" max="19" width="34.28515625" bestFit="1" customWidth="1"/>
  </cols>
  <sheetData>
    <row r="1" spans="1:19">
      <c r="A1" s="1" t="s">
        <v>81</v>
      </c>
      <c r="B1" s="1"/>
      <c r="C1" s="2" t="str">
        <f>B_PersonName</f>
        <v>Mustermann</v>
      </c>
      <c r="F1" s="4" t="s">
        <v>82</v>
      </c>
      <c r="G1" s="2" t="str">
        <f>B_Department</f>
        <v>Siemens</v>
      </c>
    </row>
    <row r="2" spans="1:19" ht="13.5" thickBot="1">
      <c r="A2" s="104" t="str">
        <f ca="1">CELL("filename",A2)</f>
        <v>https://d.docs.live.net/c89853cd948112b7/Dokumente/Siemens/Glaz ab 2026/[vGlaz2026 - FY27 Aufgaben50.xlsm]AufgabenM</v>
      </c>
      <c r="B2" s="104"/>
      <c r="D2" s="3"/>
    </row>
    <row r="3" spans="1:19" ht="51" customHeight="1" thickBot="1">
      <c r="A3" s="401">
        <f>Arbeitszeit!xJahr</f>
        <v>44834</v>
      </c>
      <c r="B3" s="402"/>
      <c r="C3" s="435" t="s">
        <v>60</v>
      </c>
      <c r="D3" s="436" t="s">
        <v>61</v>
      </c>
      <c r="E3" s="432">
        <f>Arbeitszeit!xJahr</f>
        <v>44834</v>
      </c>
      <c r="F3" s="432">
        <f t="shared" ref="F3:Q3" si="0">DATE(YEAR(E3),MONTH(E3)+1,1)</f>
        <v>44865</v>
      </c>
      <c r="G3" s="432">
        <f t="shared" si="0"/>
        <v>44895</v>
      </c>
      <c r="H3" s="432">
        <f t="shared" si="0"/>
        <v>44926</v>
      </c>
      <c r="I3" s="432">
        <f t="shared" si="0"/>
        <v>44957</v>
      </c>
      <c r="J3" s="432">
        <f t="shared" si="0"/>
        <v>44985</v>
      </c>
      <c r="K3" s="432">
        <f t="shared" si="0"/>
        <v>45016</v>
      </c>
      <c r="L3" s="432">
        <f t="shared" si="0"/>
        <v>45046</v>
      </c>
      <c r="M3" s="432">
        <f t="shared" si="0"/>
        <v>45077</v>
      </c>
      <c r="N3" s="432">
        <f t="shared" si="0"/>
        <v>45107</v>
      </c>
      <c r="O3" s="432">
        <f t="shared" si="0"/>
        <v>45138</v>
      </c>
      <c r="P3" s="432">
        <f t="shared" si="0"/>
        <v>45169</v>
      </c>
      <c r="Q3" s="433">
        <f t="shared" si="0"/>
        <v>45199</v>
      </c>
      <c r="R3" s="434" t="s">
        <v>62</v>
      </c>
      <c r="S3" s="403" t="s">
        <v>10</v>
      </c>
    </row>
    <row r="4" spans="1:19">
      <c r="A4" s="416" t="str">
        <f>INDEX(g_NameAufgaben,$B4)</f>
        <v>Urlaub</v>
      </c>
      <c r="B4" s="404">
        <v>1</v>
      </c>
      <c r="C4" s="420"/>
      <c r="D4" s="405"/>
      <c r="E4" s="438">
        <f t="shared" ref="E4:P4" ca="1" si="1">SUM(OFFSET(db_Aufgaben,MATCH(E$3,db_Aufgaben_Zeit,0)+1,($B4-1)*2,F$3-E$3,1))</f>
        <v>0</v>
      </c>
      <c r="F4" s="438">
        <f t="shared" ca="1" si="1"/>
        <v>0</v>
      </c>
      <c r="G4" s="438">
        <f t="shared" ca="1" si="1"/>
        <v>0</v>
      </c>
      <c r="H4" s="438">
        <f t="shared" ca="1" si="1"/>
        <v>0</v>
      </c>
      <c r="I4" s="438">
        <f t="shared" ca="1" si="1"/>
        <v>0</v>
      </c>
      <c r="J4" s="438">
        <f t="shared" ca="1" si="1"/>
        <v>0</v>
      </c>
      <c r="K4" s="438">
        <f t="shared" ca="1" si="1"/>
        <v>0</v>
      </c>
      <c r="L4" s="438">
        <f t="shared" ca="1" si="1"/>
        <v>0</v>
      </c>
      <c r="M4" s="438">
        <f t="shared" ca="1" si="1"/>
        <v>0</v>
      </c>
      <c r="N4" s="438">
        <f t="shared" ca="1" si="1"/>
        <v>0</v>
      </c>
      <c r="O4" s="438">
        <f t="shared" ca="1" si="1"/>
        <v>0</v>
      </c>
      <c r="P4" s="438">
        <f t="shared" ca="1" si="1"/>
        <v>0</v>
      </c>
      <c r="Q4" s="439"/>
      <c r="R4" s="440">
        <f t="shared" ref="R4:R23" ca="1" si="2">SUM(E4:P4)</f>
        <v>0</v>
      </c>
      <c r="S4" s="406"/>
    </row>
    <row r="5" spans="1:19">
      <c r="A5" s="417" t="str">
        <f t="shared" ref="A5:A56" si="3">INDEX(g_NameAufgaben,$B5)</f>
        <v>Krank</v>
      </c>
      <c r="B5" s="407">
        <v>2</v>
      </c>
      <c r="C5" s="421"/>
      <c r="D5" s="111"/>
      <c r="E5" s="441">
        <f t="shared" ref="E5:P5" ca="1" si="4">SUM(OFFSET(db_Aufgaben,MATCH(E$3,db_Aufgaben_Zeit,0)+1,($B5-1)*2,F$3-E$3,1))</f>
        <v>0</v>
      </c>
      <c r="F5" s="441">
        <f t="shared" ca="1" si="4"/>
        <v>0</v>
      </c>
      <c r="G5" s="441">
        <f t="shared" ca="1" si="4"/>
        <v>0</v>
      </c>
      <c r="H5" s="441">
        <f t="shared" ca="1" si="4"/>
        <v>0</v>
      </c>
      <c r="I5" s="441">
        <f t="shared" ca="1" si="4"/>
        <v>0</v>
      </c>
      <c r="J5" s="441">
        <f t="shared" ca="1" si="4"/>
        <v>0</v>
      </c>
      <c r="K5" s="441">
        <f t="shared" ca="1" si="4"/>
        <v>0</v>
      </c>
      <c r="L5" s="441">
        <f t="shared" ca="1" si="4"/>
        <v>0</v>
      </c>
      <c r="M5" s="441">
        <f t="shared" ca="1" si="4"/>
        <v>0</v>
      </c>
      <c r="N5" s="441">
        <f t="shared" ca="1" si="4"/>
        <v>0</v>
      </c>
      <c r="O5" s="441">
        <f t="shared" ca="1" si="4"/>
        <v>0</v>
      </c>
      <c r="P5" s="441">
        <f t="shared" ca="1" si="4"/>
        <v>0</v>
      </c>
      <c r="Q5" s="442"/>
      <c r="R5" s="443">
        <f t="shared" ca="1" si="2"/>
        <v>0</v>
      </c>
      <c r="S5" s="408"/>
    </row>
    <row r="6" spans="1:19">
      <c r="A6" s="418" t="str">
        <f t="shared" si="3"/>
        <v>Allgemein</v>
      </c>
      <c r="B6" s="409">
        <v>3</v>
      </c>
      <c r="C6" s="422"/>
      <c r="D6" s="410"/>
      <c r="E6" s="444">
        <f t="shared" ref="E6:P6" ca="1" si="5">SUM(OFFSET(db_Aufgaben,MATCH(E$3,db_Aufgaben_Zeit,0)+1,($B6-1)*2,F$3-E$3,1))</f>
        <v>0</v>
      </c>
      <c r="F6" s="444">
        <f t="shared" ca="1" si="5"/>
        <v>0</v>
      </c>
      <c r="G6" s="444">
        <f t="shared" ca="1" si="5"/>
        <v>0</v>
      </c>
      <c r="H6" s="444">
        <f t="shared" ca="1" si="5"/>
        <v>0</v>
      </c>
      <c r="I6" s="444">
        <f t="shared" ca="1" si="5"/>
        <v>0</v>
      </c>
      <c r="J6" s="444">
        <f t="shared" ca="1" si="5"/>
        <v>0</v>
      </c>
      <c r="K6" s="444">
        <f t="shared" ca="1" si="5"/>
        <v>0</v>
      </c>
      <c r="L6" s="444">
        <f t="shared" ca="1" si="5"/>
        <v>0</v>
      </c>
      <c r="M6" s="444">
        <f t="shared" ca="1" si="5"/>
        <v>0</v>
      </c>
      <c r="N6" s="444">
        <f t="shared" ca="1" si="5"/>
        <v>0</v>
      </c>
      <c r="O6" s="444">
        <f t="shared" ca="1" si="5"/>
        <v>0</v>
      </c>
      <c r="P6" s="444">
        <f t="shared" ca="1" si="5"/>
        <v>0</v>
      </c>
      <c r="Q6" s="445"/>
      <c r="R6" s="446">
        <f t="shared" ca="1" si="2"/>
        <v>0</v>
      </c>
      <c r="S6" s="411"/>
    </row>
    <row r="7" spans="1:19">
      <c r="A7" s="419" t="str">
        <f t="shared" si="3"/>
        <v>Aufgabe 01</v>
      </c>
      <c r="B7" s="412">
        <v>4</v>
      </c>
      <c r="C7" s="423"/>
      <c r="D7" s="413">
        <f t="shared" ref="D7:D49" si="6">INDEX(g_Aufgaben,$B7,9)</f>
        <v>0</v>
      </c>
      <c r="E7" s="447">
        <f t="shared" ref="E7:P7" ca="1" si="7">SUM(OFFSET(db_Aufgaben,MATCH(E$3,db_Aufgaben_Zeit,0)+1,($B7-1)*2,F$3-E$3,1))</f>
        <v>0</v>
      </c>
      <c r="F7" s="447">
        <f t="shared" ca="1" si="7"/>
        <v>0</v>
      </c>
      <c r="G7" s="447">
        <f t="shared" ca="1" si="7"/>
        <v>0</v>
      </c>
      <c r="H7" s="447">
        <f t="shared" ca="1" si="7"/>
        <v>0</v>
      </c>
      <c r="I7" s="447">
        <f t="shared" ca="1" si="7"/>
        <v>0</v>
      </c>
      <c r="J7" s="447">
        <f t="shared" ca="1" si="7"/>
        <v>0</v>
      </c>
      <c r="K7" s="447">
        <f t="shared" ca="1" si="7"/>
        <v>0</v>
      </c>
      <c r="L7" s="447">
        <f t="shared" ca="1" si="7"/>
        <v>0</v>
      </c>
      <c r="M7" s="447">
        <f t="shared" ca="1" si="7"/>
        <v>0</v>
      </c>
      <c r="N7" s="447">
        <f t="shared" ca="1" si="7"/>
        <v>0</v>
      </c>
      <c r="O7" s="447">
        <f t="shared" ca="1" si="7"/>
        <v>0</v>
      </c>
      <c r="P7" s="447">
        <f t="shared" ca="1" si="7"/>
        <v>0</v>
      </c>
      <c r="Q7" s="448"/>
      <c r="R7" s="449">
        <f t="shared" ca="1" si="2"/>
        <v>0</v>
      </c>
      <c r="S7" s="450">
        <f t="shared" ref="S7:S49" si="8">INDEX(g_Aufgaben,$B7,3)</f>
        <v>0</v>
      </c>
    </row>
    <row r="8" spans="1:19">
      <c r="A8" s="419" t="str">
        <f t="shared" si="3"/>
        <v>Aufgabe 02</v>
      </c>
      <c r="B8" s="412">
        <v>5</v>
      </c>
      <c r="C8" s="423"/>
      <c r="D8" s="413">
        <f t="shared" si="6"/>
        <v>0</v>
      </c>
      <c r="E8" s="447">
        <f t="shared" ref="E8:P8" ca="1" si="9">SUM(OFFSET(db_Aufgaben,MATCH(E$3,db_Aufgaben_Zeit,0)+1,($B8-1)*2,F$3-E$3,1))</f>
        <v>0</v>
      </c>
      <c r="F8" s="447">
        <f t="shared" ca="1" si="9"/>
        <v>0</v>
      </c>
      <c r="G8" s="447">
        <f t="shared" ca="1" si="9"/>
        <v>0</v>
      </c>
      <c r="H8" s="447">
        <f t="shared" ca="1" si="9"/>
        <v>0</v>
      </c>
      <c r="I8" s="447">
        <f t="shared" ca="1" si="9"/>
        <v>0</v>
      </c>
      <c r="J8" s="447">
        <f t="shared" ca="1" si="9"/>
        <v>0</v>
      </c>
      <c r="K8" s="447">
        <f t="shared" ca="1" si="9"/>
        <v>0</v>
      </c>
      <c r="L8" s="447">
        <f t="shared" ca="1" si="9"/>
        <v>0</v>
      </c>
      <c r="M8" s="447">
        <f t="shared" ca="1" si="9"/>
        <v>0</v>
      </c>
      <c r="N8" s="447">
        <f t="shared" ca="1" si="9"/>
        <v>0</v>
      </c>
      <c r="O8" s="447">
        <f t="shared" ca="1" si="9"/>
        <v>0</v>
      </c>
      <c r="P8" s="447">
        <f t="shared" ca="1" si="9"/>
        <v>0</v>
      </c>
      <c r="Q8" s="448"/>
      <c r="R8" s="449">
        <f t="shared" ca="1" si="2"/>
        <v>0</v>
      </c>
      <c r="S8" s="450">
        <f t="shared" si="8"/>
        <v>0</v>
      </c>
    </row>
    <row r="9" spans="1:19">
      <c r="A9" s="419" t="str">
        <f t="shared" si="3"/>
        <v>Aufgabe 03</v>
      </c>
      <c r="B9" s="412">
        <v>6</v>
      </c>
      <c r="C9" s="423"/>
      <c r="D9" s="413">
        <f t="shared" si="6"/>
        <v>0</v>
      </c>
      <c r="E9" s="447">
        <f t="shared" ref="E9:P9" ca="1" si="10">SUM(OFFSET(db_Aufgaben,MATCH(E$3,db_Aufgaben_Zeit,0)+1,($B9-1)*2,F$3-E$3,1))</f>
        <v>0</v>
      </c>
      <c r="F9" s="447">
        <f t="shared" ca="1" si="10"/>
        <v>0</v>
      </c>
      <c r="G9" s="447">
        <f t="shared" ca="1" si="10"/>
        <v>0</v>
      </c>
      <c r="H9" s="447">
        <f t="shared" ca="1" si="10"/>
        <v>0</v>
      </c>
      <c r="I9" s="447">
        <f t="shared" ca="1" si="10"/>
        <v>0</v>
      </c>
      <c r="J9" s="447">
        <f t="shared" ca="1" si="10"/>
        <v>0</v>
      </c>
      <c r="K9" s="447">
        <f t="shared" ca="1" si="10"/>
        <v>0</v>
      </c>
      <c r="L9" s="447">
        <f t="shared" ca="1" si="10"/>
        <v>0</v>
      </c>
      <c r="M9" s="447">
        <f t="shared" ca="1" si="10"/>
        <v>0</v>
      </c>
      <c r="N9" s="447">
        <f t="shared" ca="1" si="10"/>
        <v>0</v>
      </c>
      <c r="O9" s="447">
        <f t="shared" ca="1" si="10"/>
        <v>0</v>
      </c>
      <c r="P9" s="447">
        <f t="shared" ca="1" si="10"/>
        <v>0</v>
      </c>
      <c r="Q9" s="448"/>
      <c r="R9" s="449">
        <f t="shared" ca="1" si="2"/>
        <v>0</v>
      </c>
      <c r="S9" s="450">
        <f t="shared" si="8"/>
        <v>0</v>
      </c>
    </row>
    <row r="10" spans="1:19">
      <c r="A10" s="419" t="str">
        <f t="shared" si="3"/>
        <v>Aufgabe 04</v>
      </c>
      <c r="B10" s="412">
        <v>7</v>
      </c>
      <c r="C10" s="423"/>
      <c r="D10" s="413">
        <f t="shared" si="6"/>
        <v>0</v>
      </c>
      <c r="E10" s="447">
        <f t="shared" ref="E10:P10" ca="1" si="11">SUM(OFFSET(db_Aufgaben,MATCH(E$3,db_Aufgaben_Zeit,0)+1,($B10-1)*2,F$3-E$3,1))</f>
        <v>0</v>
      </c>
      <c r="F10" s="447">
        <f t="shared" ca="1" si="11"/>
        <v>0</v>
      </c>
      <c r="G10" s="447">
        <f t="shared" ca="1" si="11"/>
        <v>0</v>
      </c>
      <c r="H10" s="447">
        <f t="shared" ca="1" si="11"/>
        <v>0</v>
      </c>
      <c r="I10" s="447">
        <f t="shared" ca="1" si="11"/>
        <v>0</v>
      </c>
      <c r="J10" s="447">
        <f t="shared" ca="1" si="11"/>
        <v>0</v>
      </c>
      <c r="K10" s="447">
        <f t="shared" ca="1" si="11"/>
        <v>0</v>
      </c>
      <c r="L10" s="447">
        <f t="shared" ca="1" si="11"/>
        <v>0</v>
      </c>
      <c r="M10" s="447">
        <f t="shared" ca="1" si="11"/>
        <v>0</v>
      </c>
      <c r="N10" s="447">
        <f t="shared" ca="1" si="11"/>
        <v>0</v>
      </c>
      <c r="O10" s="447">
        <f t="shared" ca="1" si="11"/>
        <v>0</v>
      </c>
      <c r="P10" s="447">
        <f t="shared" ca="1" si="11"/>
        <v>0</v>
      </c>
      <c r="Q10" s="448"/>
      <c r="R10" s="449">
        <f t="shared" ca="1" si="2"/>
        <v>0</v>
      </c>
      <c r="S10" s="450">
        <f t="shared" si="8"/>
        <v>0</v>
      </c>
    </row>
    <row r="11" spans="1:19">
      <c r="A11" s="419" t="str">
        <f t="shared" si="3"/>
        <v>Aufgabe 05</v>
      </c>
      <c r="B11" s="412">
        <v>8</v>
      </c>
      <c r="C11" s="423"/>
      <c r="D11" s="413">
        <f t="shared" si="6"/>
        <v>0</v>
      </c>
      <c r="E11" s="447">
        <f t="shared" ref="E11:P11" ca="1" si="12">SUM(OFFSET(db_Aufgaben,MATCH(E$3,db_Aufgaben_Zeit,0)+1,($B11-1)*2,F$3-E$3,1))</f>
        <v>0</v>
      </c>
      <c r="F11" s="447">
        <f t="shared" ca="1" si="12"/>
        <v>0</v>
      </c>
      <c r="G11" s="447">
        <f t="shared" ca="1" si="12"/>
        <v>0</v>
      </c>
      <c r="H11" s="447">
        <f t="shared" ca="1" si="12"/>
        <v>0</v>
      </c>
      <c r="I11" s="447">
        <f t="shared" ca="1" si="12"/>
        <v>0</v>
      </c>
      <c r="J11" s="447">
        <f t="shared" ca="1" si="12"/>
        <v>0</v>
      </c>
      <c r="K11" s="447">
        <f t="shared" ca="1" si="12"/>
        <v>0</v>
      </c>
      <c r="L11" s="447">
        <f t="shared" ca="1" si="12"/>
        <v>0</v>
      </c>
      <c r="M11" s="447">
        <f t="shared" ca="1" si="12"/>
        <v>0</v>
      </c>
      <c r="N11" s="447">
        <f t="shared" ca="1" si="12"/>
        <v>0</v>
      </c>
      <c r="O11" s="447">
        <f t="shared" ca="1" si="12"/>
        <v>0</v>
      </c>
      <c r="P11" s="447">
        <f t="shared" ca="1" si="12"/>
        <v>0</v>
      </c>
      <c r="Q11" s="448"/>
      <c r="R11" s="449">
        <f t="shared" ca="1" si="2"/>
        <v>0</v>
      </c>
      <c r="S11" s="450">
        <f t="shared" si="8"/>
        <v>0</v>
      </c>
    </row>
    <row r="12" spans="1:19">
      <c r="A12" s="419" t="str">
        <f t="shared" si="3"/>
        <v>Aufgabe 06</v>
      </c>
      <c r="B12" s="412">
        <v>9</v>
      </c>
      <c r="C12" s="423"/>
      <c r="D12" s="413">
        <f t="shared" si="6"/>
        <v>0</v>
      </c>
      <c r="E12" s="447">
        <f t="shared" ref="E12:P12" ca="1" si="13">SUM(OFFSET(db_Aufgaben,MATCH(E$3,db_Aufgaben_Zeit,0)+1,($B12-1)*2,F$3-E$3,1))</f>
        <v>0</v>
      </c>
      <c r="F12" s="447">
        <f t="shared" ca="1" si="13"/>
        <v>0</v>
      </c>
      <c r="G12" s="447">
        <f t="shared" ca="1" si="13"/>
        <v>0</v>
      </c>
      <c r="H12" s="447">
        <f t="shared" ca="1" si="13"/>
        <v>0</v>
      </c>
      <c r="I12" s="447">
        <f t="shared" ca="1" si="13"/>
        <v>0</v>
      </c>
      <c r="J12" s="447">
        <f t="shared" ca="1" si="13"/>
        <v>0</v>
      </c>
      <c r="K12" s="447">
        <f t="shared" ca="1" si="13"/>
        <v>0</v>
      </c>
      <c r="L12" s="447">
        <f t="shared" ca="1" si="13"/>
        <v>0</v>
      </c>
      <c r="M12" s="447">
        <f t="shared" ca="1" si="13"/>
        <v>0</v>
      </c>
      <c r="N12" s="447">
        <f t="shared" ca="1" si="13"/>
        <v>0</v>
      </c>
      <c r="O12" s="447">
        <f t="shared" ca="1" si="13"/>
        <v>0</v>
      </c>
      <c r="P12" s="447">
        <f t="shared" ca="1" si="13"/>
        <v>0</v>
      </c>
      <c r="Q12" s="448"/>
      <c r="R12" s="449">
        <f t="shared" ca="1" si="2"/>
        <v>0</v>
      </c>
      <c r="S12" s="450">
        <f t="shared" si="8"/>
        <v>0</v>
      </c>
    </row>
    <row r="13" spans="1:19">
      <c r="A13" s="419" t="str">
        <f t="shared" si="3"/>
        <v>Aufgabe 07</v>
      </c>
      <c r="B13" s="412">
        <v>10</v>
      </c>
      <c r="C13" s="423"/>
      <c r="D13" s="413">
        <f t="shared" si="6"/>
        <v>0</v>
      </c>
      <c r="E13" s="447">
        <f t="shared" ref="E13:P13" ca="1" si="14">SUM(OFFSET(db_Aufgaben,MATCH(E$3,db_Aufgaben_Zeit,0)+1,($B13-1)*2,F$3-E$3,1))</f>
        <v>0</v>
      </c>
      <c r="F13" s="447">
        <f t="shared" ca="1" si="14"/>
        <v>0</v>
      </c>
      <c r="G13" s="447">
        <f t="shared" ca="1" si="14"/>
        <v>0</v>
      </c>
      <c r="H13" s="447">
        <f t="shared" ca="1" si="14"/>
        <v>0</v>
      </c>
      <c r="I13" s="447">
        <f t="shared" ca="1" si="14"/>
        <v>0</v>
      </c>
      <c r="J13" s="447">
        <f t="shared" ca="1" si="14"/>
        <v>0</v>
      </c>
      <c r="K13" s="447">
        <f t="shared" ca="1" si="14"/>
        <v>0</v>
      </c>
      <c r="L13" s="447">
        <f t="shared" ca="1" si="14"/>
        <v>0</v>
      </c>
      <c r="M13" s="447">
        <f t="shared" ca="1" si="14"/>
        <v>0</v>
      </c>
      <c r="N13" s="447">
        <f t="shared" ca="1" si="14"/>
        <v>0</v>
      </c>
      <c r="O13" s="447">
        <f t="shared" ca="1" si="14"/>
        <v>0</v>
      </c>
      <c r="P13" s="447">
        <f t="shared" ca="1" si="14"/>
        <v>0</v>
      </c>
      <c r="Q13" s="448"/>
      <c r="R13" s="449">
        <f t="shared" ca="1" si="2"/>
        <v>0</v>
      </c>
      <c r="S13" s="450">
        <f t="shared" si="8"/>
        <v>0</v>
      </c>
    </row>
    <row r="14" spans="1:19">
      <c r="A14" s="419" t="str">
        <f t="shared" si="3"/>
        <v>Aufgabe 08</v>
      </c>
      <c r="B14" s="412">
        <v>11</v>
      </c>
      <c r="C14" s="423"/>
      <c r="D14" s="413">
        <f t="shared" si="6"/>
        <v>0</v>
      </c>
      <c r="E14" s="447">
        <f t="shared" ref="E14:P14" ca="1" si="15">SUM(OFFSET(db_Aufgaben,MATCH(E$3,db_Aufgaben_Zeit,0)+1,($B14-1)*2,F$3-E$3,1))</f>
        <v>0</v>
      </c>
      <c r="F14" s="447">
        <f t="shared" ca="1" si="15"/>
        <v>0</v>
      </c>
      <c r="G14" s="447">
        <f t="shared" ca="1" si="15"/>
        <v>0</v>
      </c>
      <c r="H14" s="447">
        <f t="shared" ca="1" si="15"/>
        <v>0</v>
      </c>
      <c r="I14" s="447">
        <f t="shared" ca="1" si="15"/>
        <v>0</v>
      </c>
      <c r="J14" s="447">
        <f t="shared" ca="1" si="15"/>
        <v>0</v>
      </c>
      <c r="K14" s="447">
        <f t="shared" ca="1" si="15"/>
        <v>0</v>
      </c>
      <c r="L14" s="447">
        <f t="shared" ca="1" si="15"/>
        <v>0</v>
      </c>
      <c r="M14" s="447">
        <f t="shared" ca="1" si="15"/>
        <v>0</v>
      </c>
      <c r="N14" s="447">
        <f t="shared" ca="1" si="15"/>
        <v>0</v>
      </c>
      <c r="O14" s="447">
        <f t="shared" ca="1" si="15"/>
        <v>0</v>
      </c>
      <c r="P14" s="447">
        <f t="shared" ca="1" si="15"/>
        <v>0</v>
      </c>
      <c r="Q14" s="448"/>
      <c r="R14" s="449">
        <f t="shared" ca="1" si="2"/>
        <v>0</v>
      </c>
      <c r="S14" s="450">
        <f t="shared" si="8"/>
        <v>0</v>
      </c>
    </row>
    <row r="15" spans="1:19">
      <c r="A15" s="419" t="str">
        <f t="shared" si="3"/>
        <v>Aufgabe 09</v>
      </c>
      <c r="B15" s="412">
        <v>12</v>
      </c>
      <c r="C15" s="423"/>
      <c r="D15" s="413">
        <f t="shared" si="6"/>
        <v>0</v>
      </c>
      <c r="E15" s="447">
        <f t="shared" ref="E15:P15" ca="1" si="16">SUM(OFFSET(db_Aufgaben,MATCH(E$3,db_Aufgaben_Zeit,0)+1,($B15-1)*2,F$3-E$3,1))</f>
        <v>0</v>
      </c>
      <c r="F15" s="447">
        <f t="shared" ca="1" si="16"/>
        <v>0</v>
      </c>
      <c r="G15" s="447">
        <f t="shared" ca="1" si="16"/>
        <v>0</v>
      </c>
      <c r="H15" s="447">
        <f t="shared" ca="1" si="16"/>
        <v>0</v>
      </c>
      <c r="I15" s="447">
        <f t="shared" ca="1" si="16"/>
        <v>0</v>
      </c>
      <c r="J15" s="447">
        <f t="shared" ca="1" si="16"/>
        <v>0</v>
      </c>
      <c r="K15" s="447">
        <f t="shared" ca="1" si="16"/>
        <v>0</v>
      </c>
      <c r="L15" s="447">
        <f t="shared" ca="1" si="16"/>
        <v>0</v>
      </c>
      <c r="M15" s="447">
        <f t="shared" ca="1" si="16"/>
        <v>0</v>
      </c>
      <c r="N15" s="447">
        <f t="shared" ca="1" si="16"/>
        <v>0</v>
      </c>
      <c r="O15" s="447">
        <f t="shared" ca="1" si="16"/>
        <v>0</v>
      </c>
      <c r="P15" s="447">
        <f t="shared" ca="1" si="16"/>
        <v>0</v>
      </c>
      <c r="Q15" s="448"/>
      <c r="R15" s="449">
        <f t="shared" ca="1" si="2"/>
        <v>0</v>
      </c>
      <c r="S15" s="450">
        <f t="shared" si="8"/>
        <v>0</v>
      </c>
    </row>
    <row r="16" spans="1:19">
      <c r="A16" s="419" t="str">
        <f t="shared" si="3"/>
        <v>Aufgabe 10</v>
      </c>
      <c r="B16" s="412">
        <v>13</v>
      </c>
      <c r="C16" s="423"/>
      <c r="D16" s="413">
        <f t="shared" si="6"/>
        <v>0</v>
      </c>
      <c r="E16" s="447">
        <f t="shared" ref="E16:P16" ca="1" si="17">SUM(OFFSET(db_Aufgaben,MATCH(E$3,db_Aufgaben_Zeit,0)+1,($B16-1)*2,F$3-E$3,1))</f>
        <v>0</v>
      </c>
      <c r="F16" s="447">
        <f t="shared" ca="1" si="17"/>
        <v>0</v>
      </c>
      <c r="G16" s="447">
        <f t="shared" ca="1" si="17"/>
        <v>0</v>
      </c>
      <c r="H16" s="447">
        <f t="shared" ca="1" si="17"/>
        <v>0</v>
      </c>
      <c r="I16" s="447">
        <f t="shared" ca="1" si="17"/>
        <v>0</v>
      </c>
      <c r="J16" s="447">
        <f t="shared" ca="1" si="17"/>
        <v>0</v>
      </c>
      <c r="K16" s="447">
        <f t="shared" ca="1" si="17"/>
        <v>0</v>
      </c>
      <c r="L16" s="447">
        <f t="shared" ca="1" si="17"/>
        <v>0</v>
      </c>
      <c r="M16" s="447">
        <f t="shared" ca="1" si="17"/>
        <v>0</v>
      </c>
      <c r="N16" s="447">
        <f t="shared" ca="1" si="17"/>
        <v>0</v>
      </c>
      <c r="O16" s="447">
        <f t="shared" ca="1" si="17"/>
        <v>0</v>
      </c>
      <c r="P16" s="447">
        <f t="shared" ca="1" si="17"/>
        <v>0</v>
      </c>
      <c r="Q16" s="448"/>
      <c r="R16" s="449">
        <f t="shared" ca="1" si="2"/>
        <v>0</v>
      </c>
      <c r="S16" s="450">
        <f t="shared" si="8"/>
        <v>0</v>
      </c>
    </row>
    <row r="17" spans="1:19">
      <c r="A17" s="419" t="str">
        <f t="shared" si="3"/>
        <v>Aufgabe 11</v>
      </c>
      <c r="B17" s="412">
        <v>14</v>
      </c>
      <c r="C17" s="423"/>
      <c r="D17" s="413">
        <f t="shared" si="6"/>
        <v>0</v>
      </c>
      <c r="E17" s="447">
        <f t="shared" ref="E17:P17" ca="1" si="18">SUM(OFFSET(db_Aufgaben,MATCH(E$3,db_Aufgaben_Zeit,0)+1,($B17-1)*2,F$3-E$3,1))</f>
        <v>0</v>
      </c>
      <c r="F17" s="447">
        <f t="shared" ca="1" si="18"/>
        <v>0</v>
      </c>
      <c r="G17" s="447">
        <f t="shared" ca="1" si="18"/>
        <v>0</v>
      </c>
      <c r="H17" s="447">
        <f t="shared" ca="1" si="18"/>
        <v>0</v>
      </c>
      <c r="I17" s="447">
        <f t="shared" ca="1" si="18"/>
        <v>0</v>
      </c>
      <c r="J17" s="447">
        <f t="shared" ca="1" si="18"/>
        <v>0</v>
      </c>
      <c r="K17" s="447">
        <f t="shared" ca="1" si="18"/>
        <v>0</v>
      </c>
      <c r="L17" s="447">
        <f t="shared" ca="1" si="18"/>
        <v>0</v>
      </c>
      <c r="M17" s="447">
        <f t="shared" ca="1" si="18"/>
        <v>0</v>
      </c>
      <c r="N17" s="447">
        <f t="shared" ca="1" si="18"/>
        <v>0</v>
      </c>
      <c r="O17" s="447">
        <f t="shared" ca="1" si="18"/>
        <v>0</v>
      </c>
      <c r="P17" s="447">
        <f t="shared" ca="1" si="18"/>
        <v>0</v>
      </c>
      <c r="Q17" s="448"/>
      <c r="R17" s="449">
        <f t="shared" ca="1" si="2"/>
        <v>0</v>
      </c>
      <c r="S17" s="450">
        <f t="shared" si="8"/>
        <v>0</v>
      </c>
    </row>
    <row r="18" spans="1:19">
      <c r="A18" s="419" t="str">
        <f t="shared" si="3"/>
        <v>Aufgabe 12</v>
      </c>
      <c r="B18" s="412">
        <v>15</v>
      </c>
      <c r="C18" s="423"/>
      <c r="D18" s="413">
        <f t="shared" si="6"/>
        <v>0</v>
      </c>
      <c r="E18" s="447">
        <f t="shared" ref="E18:P18" ca="1" si="19">SUM(OFFSET(db_Aufgaben,MATCH(E$3,db_Aufgaben_Zeit,0)+1,($B18-1)*2,F$3-E$3,1))</f>
        <v>0</v>
      </c>
      <c r="F18" s="447">
        <f t="shared" ca="1" si="19"/>
        <v>0</v>
      </c>
      <c r="G18" s="447">
        <f t="shared" ca="1" si="19"/>
        <v>0</v>
      </c>
      <c r="H18" s="447">
        <f t="shared" ca="1" si="19"/>
        <v>0</v>
      </c>
      <c r="I18" s="447">
        <f t="shared" ca="1" si="19"/>
        <v>0</v>
      </c>
      <c r="J18" s="447">
        <f t="shared" ca="1" si="19"/>
        <v>0</v>
      </c>
      <c r="K18" s="447">
        <f t="shared" ca="1" si="19"/>
        <v>0</v>
      </c>
      <c r="L18" s="447">
        <f t="shared" ca="1" si="19"/>
        <v>0</v>
      </c>
      <c r="M18" s="447">
        <f t="shared" ca="1" si="19"/>
        <v>0</v>
      </c>
      <c r="N18" s="447">
        <f t="shared" ca="1" si="19"/>
        <v>0</v>
      </c>
      <c r="O18" s="447">
        <f t="shared" ca="1" si="19"/>
        <v>0</v>
      </c>
      <c r="P18" s="447">
        <f t="shared" ca="1" si="19"/>
        <v>0</v>
      </c>
      <c r="Q18" s="448"/>
      <c r="R18" s="449">
        <f t="shared" ca="1" si="2"/>
        <v>0</v>
      </c>
      <c r="S18" s="450">
        <f t="shared" si="8"/>
        <v>0</v>
      </c>
    </row>
    <row r="19" spans="1:19">
      <c r="A19" s="419" t="str">
        <f t="shared" si="3"/>
        <v>Aufgabe 13</v>
      </c>
      <c r="B19" s="412">
        <v>16</v>
      </c>
      <c r="C19" s="423"/>
      <c r="D19" s="413">
        <f t="shared" si="6"/>
        <v>0</v>
      </c>
      <c r="E19" s="447">
        <f t="shared" ref="E19:P19" ca="1" si="20">SUM(OFFSET(db_Aufgaben,MATCH(E$3,db_Aufgaben_Zeit,0)+1,($B19-1)*2,F$3-E$3,1))</f>
        <v>0</v>
      </c>
      <c r="F19" s="447">
        <f t="shared" ca="1" si="20"/>
        <v>0</v>
      </c>
      <c r="G19" s="447">
        <f t="shared" ca="1" si="20"/>
        <v>0</v>
      </c>
      <c r="H19" s="447">
        <f t="shared" ca="1" si="20"/>
        <v>0</v>
      </c>
      <c r="I19" s="447">
        <f t="shared" ca="1" si="20"/>
        <v>0</v>
      </c>
      <c r="J19" s="447">
        <f t="shared" ca="1" si="20"/>
        <v>0</v>
      </c>
      <c r="K19" s="447">
        <f t="shared" ca="1" si="20"/>
        <v>0</v>
      </c>
      <c r="L19" s="447">
        <f t="shared" ca="1" si="20"/>
        <v>0</v>
      </c>
      <c r="M19" s="447">
        <f t="shared" ca="1" si="20"/>
        <v>0</v>
      </c>
      <c r="N19" s="447">
        <f t="shared" ca="1" si="20"/>
        <v>0</v>
      </c>
      <c r="O19" s="447">
        <f t="shared" ca="1" si="20"/>
        <v>0</v>
      </c>
      <c r="P19" s="447">
        <f t="shared" ca="1" si="20"/>
        <v>0</v>
      </c>
      <c r="Q19" s="448"/>
      <c r="R19" s="449">
        <f t="shared" ca="1" si="2"/>
        <v>0</v>
      </c>
      <c r="S19" s="450">
        <f t="shared" si="8"/>
        <v>0</v>
      </c>
    </row>
    <row r="20" spans="1:19">
      <c r="A20" s="419" t="str">
        <f t="shared" si="3"/>
        <v>Aufgabe 14</v>
      </c>
      <c r="B20" s="412">
        <v>17</v>
      </c>
      <c r="C20" s="423"/>
      <c r="D20" s="413">
        <f t="shared" si="6"/>
        <v>0</v>
      </c>
      <c r="E20" s="447">
        <f t="shared" ref="E20:P20" ca="1" si="21">SUM(OFFSET(db_Aufgaben,MATCH(E$3,db_Aufgaben_Zeit,0)+1,($B20-1)*2,F$3-E$3,1))</f>
        <v>0</v>
      </c>
      <c r="F20" s="447">
        <f t="shared" ca="1" si="21"/>
        <v>0</v>
      </c>
      <c r="G20" s="447">
        <f t="shared" ca="1" si="21"/>
        <v>0</v>
      </c>
      <c r="H20" s="447">
        <f t="shared" ca="1" si="21"/>
        <v>0</v>
      </c>
      <c r="I20" s="447">
        <f t="shared" ca="1" si="21"/>
        <v>0</v>
      </c>
      <c r="J20" s="447">
        <f t="shared" ca="1" si="21"/>
        <v>0</v>
      </c>
      <c r="K20" s="447">
        <f t="shared" ca="1" si="21"/>
        <v>0</v>
      </c>
      <c r="L20" s="447">
        <f t="shared" ca="1" si="21"/>
        <v>0</v>
      </c>
      <c r="M20" s="447">
        <f t="shared" ca="1" si="21"/>
        <v>0</v>
      </c>
      <c r="N20" s="447">
        <f t="shared" ca="1" si="21"/>
        <v>0</v>
      </c>
      <c r="O20" s="447">
        <f t="shared" ca="1" si="21"/>
        <v>0</v>
      </c>
      <c r="P20" s="447">
        <f t="shared" ca="1" si="21"/>
        <v>0</v>
      </c>
      <c r="Q20" s="448"/>
      <c r="R20" s="449">
        <f t="shared" ca="1" si="2"/>
        <v>0</v>
      </c>
      <c r="S20" s="450">
        <f t="shared" si="8"/>
        <v>0</v>
      </c>
    </row>
    <row r="21" spans="1:19">
      <c r="A21" s="419" t="str">
        <f t="shared" si="3"/>
        <v>Aufgabe 15</v>
      </c>
      <c r="B21" s="412">
        <v>18</v>
      </c>
      <c r="C21" s="423"/>
      <c r="D21" s="413">
        <f t="shared" si="6"/>
        <v>0</v>
      </c>
      <c r="E21" s="447">
        <f t="shared" ref="E21:P21" ca="1" si="22">SUM(OFFSET(db_Aufgaben,MATCH(E$3,db_Aufgaben_Zeit,0)+1,($B21-1)*2,F$3-E$3,1))</f>
        <v>0</v>
      </c>
      <c r="F21" s="447">
        <f t="shared" ca="1" si="22"/>
        <v>0</v>
      </c>
      <c r="G21" s="447">
        <f t="shared" ca="1" si="22"/>
        <v>0</v>
      </c>
      <c r="H21" s="447">
        <f t="shared" ca="1" si="22"/>
        <v>0</v>
      </c>
      <c r="I21" s="447">
        <f t="shared" ca="1" si="22"/>
        <v>0</v>
      </c>
      <c r="J21" s="447">
        <f t="shared" ca="1" si="22"/>
        <v>0</v>
      </c>
      <c r="K21" s="447">
        <f t="shared" ca="1" si="22"/>
        <v>0</v>
      </c>
      <c r="L21" s="447">
        <f t="shared" ca="1" si="22"/>
        <v>0</v>
      </c>
      <c r="M21" s="447">
        <f t="shared" ca="1" si="22"/>
        <v>0</v>
      </c>
      <c r="N21" s="447">
        <f t="shared" ca="1" si="22"/>
        <v>0</v>
      </c>
      <c r="O21" s="447">
        <f t="shared" ca="1" si="22"/>
        <v>0</v>
      </c>
      <c r="P21" s="447">
        <f t="shared" ca="1" si="22"/>
        <v>0</v>
      </c>
      <c r="Q21" s="448"/>
      <c r="R21" s="449">
        <f t="shared" ca="1" si="2"/>
        <v>0</v>
      </c>
      <c r="S21" s="450">
        <f t="shared" si="8"/>
        <v>0</v>
      </c>
    </row>
    <row r="22" spans="1:19">
      <c r="A22" s="419" t="str">
        <f t="shared" si="3"/>
        <v>Aufgabe 16</v>
      </c>
      <c r="B22" s="412">
        <v>19</v>
      </c>
      <c r="C22" s="423"/>
      <c r="D22" s="413">
        <f t="shared" si="6"/>
        <v>0</v>
      </c>
      <c r="E22" s="447">
        <f t="shared" ref="E22:P22" ca="1" si="23">SUM(OFFSET(db_Aufgaben,MATCH(E$3,db_Aufgaben_Zeit,0)+1,($B22-1)*2,F$3-E$3,1))</f>
        <v>0</v>
      </c>
      <c r="F22" s="447">
        <f t="shared" ca="1" si="23"/>
        <v>0</v>
      </c>
      <c r="G22" s="447">
        <f t="shared" ca="1" si="23"/>
        <v>0</v>
      </c>
      <c r="H22" s="447">
        <f t="shared" ca="1" si="23"/>
        <v>0</v>
      </c>
      <c r="I22" s="447">
        <f t="shared" ca="1" si="23"/>
        <v>0</v>
      </c>
      <c r="J22" s="447">
        <f t="shared" ca="1" si="23"/>
        <v>0</v>
      </c>
      <c r="K22" s="447">
        <f t="shared" ca="1" si="23"/>
        <v>0</v>
      </c>
      <c r="L22" s="447">
        <f t="shared" ca="1" si="23"/>
        <v>0</v>
      </c>
      <c r="M22" s="447">
        <f t="shared" ca="1" si="23"/>
        <v>0</v>
      </c>
      <c r="N22" s="447">
        <f t="shared" ca="1" si="23"/>
        <v>0</v>
      </c>
      <c r="O22" s="447">
        <f t="shared" ca="1" si="23"/>
        <v>0</v>
      </c>
      <c r="P22" s="447">
        <f t="shared" ca="1" si="23"/>
        <v>0</v>
      </c>
      <c r="Q22" s="448"/>
      <c r="R22" s="449">
        <f t="shared" ca="1" si="2"/>
        <v>0</v>
      </c>
      <c r="S22" s="450">
        <f t="shared" si="8"/>
        <v>0</v>
      </c>
    </row>
    <row r="23" spans="1:19">
      <c r="A23" s="419" t="str">
        <f t="shared" si="3"/>
        <v>Aufgabe 17</v>
      </c>
      <c r="B23" s="412">
        <v>20</v>
      </c>
      <c r="C23" s="423"/>
      <c r="D23" s="413">
        <f t="shared" si="6"/>
        <v>0</v>
      </c>
      <c r="E23" s="447">
        <f t="shared" ref="E23:P23" ca="1" si="24">SUM(OFFSET(db_Aufgaben,MATCH(E$3,db_Aufgaben_Zeit,0)+1,($B23-1)*2,F$3-E$3,1))</f>
        <v>0</v>
      </c>
      <c r="F23" s="447">
        <f t="shared" ca="1" si="24"/>
        <v>0</v>
      </c>
      <c r="G23" s="447">
        <f t="shared" ca="1" si="24"/>
        <v>0</v>
      </c>
      <c r="H23" s="447">
        <f t="shared" ca="1" si="24"/>
        <v>0</v>
      </c>
      <c r="I23" s="447">
        <f t="shared" ca="1" si="24"/>
        <v>0</v>
      </c>
      <c r="J23" s="447">
        <f t="shared" ca="1" si="24"/>
        <v>0</v>
      </c>
      <c r="K23" s="447">
        <f t="shared" ca="1" si="24"/>
        <v>0</v>
      </c>
      <c r="L23" s="447">
        <f t="shared" ca="1" si="24"/>
        <v>0</v>
      </c>
      <c r="M23" s="447">
        <f t="shared" ca="1" si="24"/>
        <v>0</v>
      </c>
      <c r="N23" s="447">
        <f t="shared" ca="1" si="24"/>
        <v>0</v>
      </c>
      <c r="O23" s="447">
        <f t="shared" ca="1" si="24"/>
        <v>0</v>
      </c>
      <c r="P23" s="447">
        <f t="shared" ca="1" si="24"/>
        <v>0</v>
      </c>
      <c r="Q23" s="448"/>
      <c r="R23" s="449">
        <f t="shared" ca="1" si="2"/>
        <v>0</v>
      </c>
      <c r="S23" s="450">
        <f t="shared" si="8"/>
        <v>0</v>
      </c>
    </row>
    <row r="24" spans="1:19">
      <c r="A24" s="419" t="str">
        <f t="shared" si="3"/>
        <v>Aufgabe 18</v>
      </c>
      <c r="B24" s="412">
        <v>21</v>
      </c>
      <c r="C24" s="423"/>
      <c r="D24" s="413">
        <f t="shared" si="6"/>
        <v>0</v>
      </c>
      <c r="E24" s="447">
        <f t="shared" ref="E24:P39" ca="1" si="25">SUM(OFFSET(db_Aufgaben,MATCH(E$3,db_Aufgaben_Zeit,0)+1,($B24-1)*2,F$3-E$3,1))</f>
        <v>0</v>
      </c>
      <c r="F24" s="447">
        <f t="shared" ca="1" si="25"/>
        <v>0</v>
      </c>
      <c r="G24" s="447">
        <f t="shared" ca="1" si="25"/>
        <v>0</v>
      </c>
      <c r="H24" s="447">
        <f t="shared" ca="1" si="25"/>
        <v>0</v>
      </c>
      <c r="I24" s="447">
        <f t="shared" ca="1" si="25"/>
        <v>0</v>
      </c>
      <c r="J24" s="447">
        <f t="shared" ca="1" si="25"/>
        <v>0</v>
      </c>
      <c r="K24" s="447">
        <f t="shared" ca="1" si="25"/>
        <v>0</v>
      </c>
      <c r="L24" s="447">
        <f t="shared" ca="1" si="25"/>
        <v>0</v>
      </c>
      <c r="M24" s="447">
        <f t="shared" ca="1" si="25"/>
        <v>0</v>
      </c>
      <c r="N24" s="447">
        <f t="shared" ca="1" si="25"/>
        <v>0</v>
      </c>
      <c r="O24" s="447">
        <f t="shared" ca="1" si="25"/>
        <v>0</v>
      </c>
      <c r="P24" s="447">
        <f t="shared" ca="1" si="25"/>
        <v>0</v>
      </c>
      <c r="Q24" s="448"/>
      <c r="R24" s="449">
        <f ca="1">SUM(E24:P24)</f>
        <v>0</v>
      </c>
      <c r="S24" s="450">
        <f t="shared" si="8"/>
        <v>0</v>
      </c>
    </row>
    <row r="25" spans="1:19">
      <c r="A25" s="419" t="str">
        <f t="shared" si="3"/>
        <v>Aufgabe 19</v>
      </c>
      <c r="B25" s="412">
        <v>22</v>
      </c>
      <c r="C25" s="423"/>
      <c r="D25" s="413">
        <f t="shared" si="6"/>
        <v>0</v>
      </c>
      <c r="E25" s="447">
        <f t="shared" ca="1" si="25"/>
        <v>0</v>
      </c>
      <c r="F25" s="447">
        <f t="shared" ca="1" si="25"/>
        <v>0</v>
      </c>
      <c r="G25" s="447">
        <f t="shared" ca="1" si="25"/>
        <v>0</v>
      </c>
      <c r="H25" s="447">
        <f t="shared" ca="1" si="25"/>
        <v>0</v>
      </c>
      <c r="I25" s="447">
        <f t="shared" ca="1" si="25"/>
        <v>0</v>
      </c>
      <c r="J25" s="447">
        <f t="shared" ca="1" si="25"/>
        <v>0</v>
      </c>
      <c r="K25" s="447">
        <f t="shared" ca="1" si="25"/>
        <v>0</v>
      </c>
      <c r="L25" s="447">
        <f t="shared" ca="1" si="25"/>
        <v>0</v>
      </c>
      <c r="M25" s="447">
        <f t="shared" ca="1" si="25"/>
        <v>0</v>
      </c>
      <c r="N25" s="447">
        <f t="shared" ca="1" si="25"/>
        <v>0</v>
      </c>
      <c r="O25" s="447">
        <f t="shared" ca="1" si="25"/>
        <v>0</v>
      </c>
      <c r="P25" s="447">
        <f t="shared" ca="1" si="25"/>
        <v>0</v>
      </c>
      <c r="Q25" s="448"/>
      <c r="R25" s="449">
        <f t="shared" ref="R25:R49" ca="1" si="26">SUM(E25:P25)</f>
        <v>0</v>
      </c>
      <c r="S25" s="450">
        <f t="shared" si="8"/>
        <v>0</v>
      </c>
    </row>
    <row r="26" spans="1:19">
      <c r="A26" s="419" t="str">
        <f t="shared" si="3"/>
        <v>Aufgabe 20</v>
      </c>
      <c r="B26" s="412">
        <v>23</v>
      </c>
      <c r="C26" s="423"/>
      <c r="D26" s="413">
        <f t="shared" si="6"/>
        <v>0</v>
      </c>
      <c r="E26" s="447">
        <f t="shared" ca="1" si="25"/>
        <v>0</v>
      </c>
      <c r="F26" s="447">
        <f t="shared" ca="1" si="25"/>
        <v>0</v>
      </c>
      <c r="G26" s="447">
        <f t="shared" ca="1" si="25"/>
        <v>0</v>
      </c>
      <c r="H26" s="447">
        <f t="shared" ca="1" si="25"/>
        <v>0</v>
      </c>
      <c r="I26" s="447">
        <f t="shared" ca="1" si="25"/>
        <v>0</v>
      </c>
      <c r="J26" s="447">
        <f t="shared" ca="1" si="25"/>
        <v>0</v>
      </c>
      <c r="K26" s="447">
        <f t="shared" ca="1" si="25"/>
        <v>0</v>
      </c>
      <c r="L26" s="447">
        <f t="shared" ca="1" si="25"/>
        <v>0</v>
      </c>
      <c r="M26" s="447">
        <f t="shared" ca="1" si="25"/>
        <v>0</v>
      </c>
      <c r="N26" s="447">
        <f t="shared" ca="1" si="25"/>
        <v>0</v>
      </c>
      <c r="O26" s="447">
        <f t="shared" ca="1" si="25"/>
        <v>0</v>
      </c>
      <c r="P26" s="447">
        <f t="shared" ca="1" si="25"/>
        <v>0</v>
      </c>
      <c r="Q26" s="448"/>
      <c r="R26" s="449">
        <f t="shared" ca="1" si="26"/>
        <v>0</v>
      </c>
      <c r="S26" s="450">
        <f t="shared" si="8"/>
        <v>0</v>
      </c>
    </row>
    <row r="27" spans="1:19">
      <c r="A27" s="419" t="str">
        <f t="shared" si="3"/>
        <v>Aufgabe 21</v>
      </c>
      <c r="B27" s="412">
        <v>24</v>
      </c>
      <c r="C27" s="423"/>
      <c r="D27" s="413">
        <f t="shared" si="6"/>
        <v>0</v>
      </c>
      <c r="E27" s="447">
        <f t="shared" ca="1" si="25"/>
        <v>0</v>
      </c>
      <c r="F27" s="447">
        <f t="shared" ca="1" si="25"/>
        <v>0</v>
      </c>
      <c r="G27" s="447">
        <f t="shared" ca="1" si="25"/>
        <v>0</v>
      </c>
      <c r="H27" s="447">
        <f t="shared" ca="1" si="25"/>
        <v>0</v>
      </c>
      <c r="I27" s="447">
        <f t="shared" ca="1" si="25"/>
        <v>0</v>
      </c>
      <c r="J27" s="447">
        <f t="shared" ca="1" si="25"/>
        <v>0</v>
      </c>
      <c r="K27" s="447">
        <f t="shared" ca="1" si="25"/>
        <v>0</v>
      </c>
      <c r="L27" s="447">
        <f t="shared" ca="1" si="25"/>
        <v>0</v>
      </c>
      <c r="M27" s="447">
        <f t="shared" ca="1" si="25"/>
        <v>0</v>
      </c>
      <c r="N27" s="447">
        <f t="shared" ca="1" si="25"/>
        <v>0</v>
      </c>
      <c r="O27" s="447">
        <f t="shared" ca="1" si="25"/>
        <v>0</v>
      </c>
      <c r="P27" s="447">
        <f t="shared" ca="1" si="25"/>
        <v>0</v>
      </c>
      <c r="Q27" s="448"/>
      <c r="R27" s="449">
        <f t="shared" ca="1" si="26"/>
        <v>0</v>
      </c>
      <c r="S27" s="450">
        <f t="shared" si="8"/>
        <v>0</v>
      </c>
    </row>
    <row r="28" spans="1:19">
      <c r="A28" s="419" t="str">
        <f t="shared" si="3"/>
        <v>Aufgabe 22</v>
      </c>
      <c r="B28" s="412">
        <v>25</v>
      </c>
      <c r="C28" s="423"/>
      <c r="D28" s="413">
        <f t="shared" si="6"/>
        <v>0</v>
      </c>
      <c r="E28" s="447">
        <f t="shared" ca="1" si="25"/>
        <v>0</v>
      </c>
      <c r="F28" s="447">
        <f t="shared" ca="1" si="25"/>
        <v>0</v>
      </c>
      <c r="G28" s="447">
        <f t="shared" ca="1" si="25"/>
        <v>0</v>
      </c>
      <c r="H28" s="447">
        <f t="shared" ca="1" si="25"/>
        <v>0</v>
      </c>
      <c r="I28" s="447">
        <f t="shared" ca="1" si="25"/>
        <v>0</v>
      </c>
      <c r="J28" s="447">
        <f t="shared" ca="1" si="25"/>
        <v>0</v>
      </c>
      <c r="K28" s="447">
        <f t="shared" ca="1" si="25"/>
        <v>0</v>
      </c>
      <c r="L28" s="447">
        <f t="shared" ca="1" si="25"/>
        <v>0</v>
      </c>
      <c r="M28" s="447">
        <f t="shared" ca="1" si="25"/>
        <v>0</v>
      </c>
      <c r="N28" s="447">
        <f t="shared" ca="1" si="25"/>
        <v>0</v>
      </c>
      <c r="O28" s="447">
        <f t="shared" ca="1" si="25"/>
        <v>0</v>
      </c>
      <c r="P28" s="447">
        <f t="shared" ca="1" si="25"/>
        <v>0</v>
      </c>
      <c r="Q28" s="448"/>
      <c r="R28" s="449">
        <f t="shared" ca="1" si="26"/>
        <v>0</v>
      </c>
      <c r="S28" s="450">
        <f t="shared" si="8"/>
        <v>0</v>
      </c>
    </row>
    <row r="29" spans="1:19">
      <c r="A29" s="419" t="str">
        <f t="shared" si="3"/>
        <v>Aufgabe 23</v>
      </c>
      <c r="B29" s="412">
        <v>26</v>
      </c>
      <c r="C29" s="423"/>
      <c r="D29" s="413">
        <f t="shared" si="6"/>
        <v>0</v>
      </c>
      <c r="E29" s="447">
        <f t="shared" ca="1" si="25"/>
        <v>0</v>
      </c>
      <c r="F29" s="447">
        <f t="shared" ca="1" si="25"/>
        <v>0</v>
      </c>
      <c r="G29" s="447">
        <f t="shared" ca="1" si="25"/>
        <v>0</v>
      </c>
      <c r="H29" s="447">
        <f t="shared" ca="1" si="25"/>
        <v>0</v>
      </c>
      <c r="I29" s="447">
        <f t="shared" ca="1" si="25"/>
        <v>0</v>
      </c>
      <c r="J29" s="447">
        <f t="shared" ca="1" si="25"/>
        <v>0</v>
      </c>
      <c r="K29" s="447">
        <f t="shared" ca="1" si="25"/>
        <v>0</v>
      </c>
      <c r="L29" s="447">
        <f t="shared" ca="1" si="25"/>
        <v>0</v>
      </c>
      <c r="M29" s="447">
        <f t="shared" ca="1" si="25"/>
        <v>0</v>
      </c>
      <c r="N29" s="447">
        <f t="shared" ca="1" si="25"/>
        <v>0</v>
      </c>
      <c r="O29" s="447">
        <f t="shared" ca="1" si="25"/>
        <v>0</v>
      </c>
      <c r="P29" s="447">
        <f t="shared" ca="1" si="25"/>
        <v>0</v>
      </c>
      <c r="Q29" s="448"/>
      <c r="R29" s="449">
        <f t="shared" ca="1" si="26"/>
        <v>0</v>
      </c>
      <c r="S29" s="450">
        <f t="shared" si="8"/>
        <v>0</v>
      </c>
    </row>
    <row r="30" spans="1:19">
      <c r="A30" s="419" t="str">
        <f t="shared" si="3"/>
        <v>Aufgabe 24</v>
      </c>
      <c r="B30" s="412">
        <v>27</v>
      </c>
      <c r="C30" s="423"/>
      <c r="D30" s="413">
        <f t="shared" si="6"/>
        <v>0</v>
      </c>
      <c r="E30" s="447">
        <f t="shared" ca="1" si="25"/>
        <v>0</v>
      </c>
      <c r="F30" s="447">
        <f t="shared" ca="1" si="25"/>
        <v>0</v>
      </c>
      <c r="G30" s="447">
        <f t="shared" ca="1" si="25"/>
        <v>0</v>
      </c>
      <c r="H30" s="447">
        <f t="shared" ca="1" si="25"/>
        <v>0</v>
      </c>
      <c r="I30" s="447">
        <f t="shared" ca="1" si="25"/>
        <v>0</v>
      </c>
      <c r="J30" s="447">
        <f t="shared" ca="1" si="25"/>
        <v>0</v>
      </c>
      <c r="K30" s="447">
        <f t="shared" ca="1" si="25"/>
        <v>0</v>
      </c>
      <c r="L30" s="447">
        <f t="shared" ca="1" si="25"/>
        <v>0</v>
      </c>
      <c r="M30" s="447">
        <f t="shared" ca="1" si="25"/>
        <v>0</v>
      </c>
      <c r="N30" s="447">
        <f t="shared" ca="1" si="25"/>
        <v>0</v>
      </c>
      <c r="O30" s="447">
        <f t="shared" ca="1" si="25"/>
        <v>0</v>
      </c>
      <c r="P30" s="447">
        <f t="shared" ca="1" si="25"/>
        <v>0</v>
      </c>
      <c r="Q30" s="448"/>
      <c r="R30" s="449">
        <f t="shared" ca="1" si="26"/>
        <v>0</v>
      </c>
      <c r="S30" s="450">
        <f t="shared" si="8"/>
        <v>0</v>
      </c>
    </row>
    <row r="31" spans="1:19">
      <c r="A31" s="419" t="str">
        <f t="shared" si="3"/>
        <v>Aufgabe 25</v>
      </c>
      <c r="B31" s="412">
        <v>28</v>
      </c>
      <c r="C31" s="423"/>
      <c r="D31" s="413">
        <f t="shared" si="6"/>
        <v>0</v>
      </c>
      <c r="E31" s="447">
        <f t="shared" ca="1" si="25"/>
        <v>0</v>
      </c>
      <c r="F31" s="447">
        <f t="shared" ca="1" si="25"/>
        <v>0</v>
      </c>
      <c r="G31" s="447">
        <f t="shared" ca="1" si="25"/>
        <v>0</v>
      </c>
      <c r="H31" s="447">
        <f t="shared" ca="1" si="25"/>
        <v>0</v>
      </c>
      <c r="I31" s="447">
        <f t="shared" ca="1" si="25"/>
        <v>0</v>
      </c>
      <c r="J31" s="447">
        <f t="shared" ca="1" si="25"/>
        <v>0</v>
      </c>
      <c r="K31" s="447">
        <f t="shared" ca="1" si="25"/>
        <v>0</v>
      </c>
      <c r="L31" s="447">
        <f t="shared" ca="1" si="25"/>
        <v>0</v>
      </c>
      <c r="M31" s="447">
        <f t="shared" ca="1" si="25"/>
        <v>0</v>
      </c>
      <c r="N31" s="447">
        <f t="shared" ca="1" si="25"/>
        <v>0</v>
      </c>
      <c r="O31" s="447">
        <f t="shared" ca="1" si="25"/>
        <v>0</v>
      </c>
      <c r="P31" s="447">
        <f t="shared" ca="1" si="25"/>
        <v>0</v>
      </c>
      <c r="Q31" s="448"/>
      <c r="R31" s="449">
        <f t="shared" ca="1" si="26"/>
        <v>0</v>
      </c>
      <c r="S31" s="450">
        <f t="shared" si="8"/>
        <v>0</v>
      </c>
    </row>
    <row r="32" spans="1:19">
      <c r="A32" s="419" t="str">
        <f t="shared" si="3"/>
        <v>Aufgabe 26</v>
      </c>
      <c r="B32" s="412">
        <v>29</v>
      </c>
      <c r="C32" s="423"/>
      <c r="D32" s="413">
        <f t="shared" si="6"/>
        <v>0</v>
      </c>
      <c r="E32" s="447">
        <f t="shared" ca="1" si="25"/>
        <v>0</v>
      </c>
      <c r="F32" s="447">
        <f t="shared" ca="1" si="25"/>
        <v>0</v>
      </c>
      <c r="G32" s="447">
        <f t="shared" ca="1" si="25"/>
        <v>0</v>
      </c>
      <c r="H32" s="447">
        <f t="shared" ca="1" si="25"/>
        <v>0</v>
      </c>
      <c r="I32" s="447">
        <f t="shared" ca="1" si="25"/>
        <v>0</v>
      </c>
      <c r="J32" s="447">
        <f t="shared" ca="1" si="25"/>
        <v>0</v>
      </c>
      <c r="K32" s="447">
        <f t="shared" ca="1" si="25"/>
        <v>0</v>
      </c>
      <c r="L32" s="447">
        <f t="shared" ca="1" si="25"/>
        <v>0</v>
      </c>
      <c r="M32" s="447">
        <f t="shared" ca="1" si="25"/>
        <v>0</v>
      </c>
      <c r="N32" s="447">
        <f t="shared" ca="1" si="25"/>
        <v>0</v>
      </c>
      <c r="O32" s="447">
        <f t="shared" ca="1" si="25"/>
        <v>0</v>
      </c>
      <c r="P32" s="447">
        <f t="shared" ca="1" si="25"/>
        <v>0</v>
      </c>
      <c r="Q32" s="448"/>
      <c r="R32" s="449">
        <f t="shared" ca="1" si="26"/>
        <v>0</v>
      </c>
      <c r="S32" s="450">
        <f t="shared" si="8"/>
        <v>0</v>
      </c>
    </row>
    <row r="33" spans="1:19">
      <c r="A33" s="419" t="str">
        <f t="shared" si="3"/>
        <v>Aufgabe 27</v>
      </c>
      <c r="B33" s="412">
        <v>30</v>
      </c>
      <c r="C33" s="423"/>
      <c r="D33" s="413">
        <f t="shared" si="6"/>
        <v>0</v>
      </c>
      <c r="E33" s="447">
        <f t="shared" ca="1" si="25"/>
        <v>0</v>
      </c>
      <c r="F33" s="447">
        <f t="shared" ca="1" si="25"/>
        <v>0</v>
      </c>
      <c r="G33" s="447">
        <f t="shared" ca="1" si="25"/>
        <v>0</v>
      </c>
      <c r="H33" s="447">
        <f t="shared" ca="1" si="25"/>
        <v>0</v>
      </c>
      <c r="I33" s="447">
        <f t="shared" ca="1" si="25"/>
        <v>0</v>
      </c>
      <c r="J33" s="447">
        <f t="shared" ca="1" si="25"/>
        <v>0</v>
      </c>
      <c r="K33" s="447">
        <f t="shared" ca="1" si="25"/>
        <v>0</v>
      </c>
      <c r="L33" s="447">
        <f t="shared" ca="1" si="25"/>
        <v>0</v>
      </c>
      <c r="M33" s="447">
        <f t="shared" ca="1" si="25"/>
        <v>0</v>
      </c>
      <c r="N33" s="447">
        <f t="shared" ca="1" si="25"/>
        <v>0</v>
      </c>
      <c r="O33" s="447">
        <f t="shared" ca="1" si="25"/>
        <v>0</v>
      </c>
      <c r="P33" s="447">
        <f t="shared" ca="1" si="25"/>
        <v>0</v>
      </c>
      <c r="Q33" s="448"/>
      <c r="R33" s="449">
        <f t="shared" ca="1" si="26"/>
        <v>0</v>
      </c>
      <c r="S33" s="450">
        <f t="shared" si="8"/>
        <v>0</v>
      </c>
    </row>
    <row r="34" spans="1:19">
      <c r="A34" s="419" t="str">
        <f t="shared" si="3"/>
        <v>Aufgabe 28</v>
      </c>
      <c r="B34" s="412">
        <v>31</v>
      </c>
      <c r="C34" s="423"/>
      <c r="D34" s="413">
        <f t="shared" si="6"/>
        <v>0</v>
      </c>
      <c r="E34" s="447">
        <f t="shared" ca="1" si="25"/>
        <v>0</v>
      </c>
      <c r="F34" s="447">
        <f t="shared" ca="1" si="25"/>
        <v>0</v>
      </c>
      <c r="G34" s="447">
        <f t="shared" ca="1" si="25"/>
        <v>0</v>
      </c>
      <c r="H34" s="447">
        <f t="shared" ca="1" si="25"/>
        <v>0</v>
      </c>
      <c r="I34" s="447">
        <f t="shared" ca="1" si="25"/>
        <v>0</v>
      </c>
      <c r="J34" s="447">
        <f t="shared" ca="1" si="25"/>
        <v>0</v>
      </c>
      <c r="K34" s="447">
        <f t="shared" ca="1" si="25"/>
        <v>0</v>
      </c>
      <c r="L34" s="447">
        <f t="shared" ca="1" si="25"/>
        <v>0</v>
      </c>
      <c r="M34" s="447">
        <f t="shared" ca="1" si="25"/>
        <v>0</v>
      </c>
      <c r="N34" s="447">
        <f t="shared" ca="1" si="25"/>
        <v>0</v>
      </c>
      <c r="O34" s="447">
        <f t="shared" ca="1" si="25"/>
        <v>0</v>
      </c>
      <c r="P34" s="447">
        <f t="shared" ca="1" si="25"/>
        <v>0</v>
      </c>
      <c r="Q34" s="448"/>
      <c r="R34" s="449">
        <f t="shared" ca="1" si="26"/>
        <v>0</v>
      </c>
      <c r="S34" s="450">
        <f t="shared" si="8"/>
        <v>0</v>
      </c>
    </row>
    <row r="35" spans="1:19">
      <c r="A35" s="419" t="str">
        <f t="shared" si="3"/>
        <v>Aufgabe 29</v>
      </c>
      <c r="B35" s="412">
        <v>32</v>
      </c>
      <c r="C35" s="423"/>
      <c r="D35" s="413">
        <f t="shared" si="6"/>
        <v>0</v>
      </c>
      <c r="E35" s="447">
        <f t="shared" ca="1" si="25"/>
        <v>0</v>
      </c>
      <c r="F35" s="447">
        <f t="shared" ca="1" si="25"/>
        <v>0</v>
      </c>
      <c r="G35" s="447">
        <f t="shared" ca="1" si="25"/>
        <v>0</v>
      </c>
      <c r="H35" s="447">
        <f t="shared" ca="1" si="25"/>
        <v>0</v>
      </c>
      <c r="I35" s="447">
        <f t="shared" ca="1" si="25"/>
        <v>0</v>
      </c>
      <c r="J35" s="447">
        <f t="shared" ca="1" si="25"/>
        <v>0</v>
      </c>
      <c r="K35" s="447">
        <f t="shared" ca="1" si="25"/>
        <v>0</v>
      </c>
      <c r="L35" s="447">
        <f t="shared" ca="1" si="25"/>
        <v>0</v>
      </c>
      <c r="M35" s="447">
        <f t="shared" ca="1" si="25"/>
        <v>0</v>
      </c>
      <c r="N35" s="447">
        <f t="shared" ca="1" si="25"/>
        <v>0</v>
      </c>
      <c r="O35" s="447">
        <f t="shared" ca="1" si="25"/>
        <v>0</v>
      </c>
      <c r="P35" s="447">
        <f t="shared" ca="1" si="25"/>
        <v>0</v>
      </c>
      <c r="Q35" s="448"/>
      <c r="R35" s="449">
        <f t="shared" ca="1" si="26"/>
        <v>0</v>
      </c>
      <c r="S35" s="450">
        <f t="shared" si="8"/>
        <v>0</v>
      </c>
    </row>
    <row r="36" spans="1:19">
      <c r="A36" s="419" t="str">
        <f t="shared" si="3"/>
        <v>Aufgabe 30</v>
      </c>
      <c r="B36" s="412">
        <v>33</v>
      </c>
      <c r="C36" s="423"/>
      <c r="D36" s="413">
        <f t="shared" si="6"/>
        <v>0</v>
      </c>
      <c r="E36" s="447">
        <f t="shared" ca="1" si="25"/>
        <v>0</v>
      </c>
      <c r="F36" s="447">
        <f t="shared" ca="1" si="25"/>
        <v>0</v>
      </c>
      <c r="G36" s="447">
        <f t="shared" ca="1" si="25"/>
        <v>0</v>
      </c>
      <c r="H36" s="447">
        <f t="shared" ca="1" si="25"/>
        <v>0</v>
      </c>
      <c r="I36" s="447">
        <f t="shared" ca="1" si="25"/>
        <v>0</v>
      </c>
      <c r="J36" s="447">
        <f t="shared" ca="1" si="25"/>
        <v>0</v>
      </c>
      <c r="K36" s="447">
        <f t="shared" ca="1" si="25"/>
        <v>0</v>
      </c>
      <c r="L36" s="447">
        <f t="shared" ca="1" si="25"/>
        <v>0</v>
      </c>
      <c r="M36" s="447">
        <f t="shared" ca="1" si="25"/>
        <v>0</v>
      </c>
      <c r="N36" s="447">
        <f t="shared" ca="1" si="25"/>
        <v>0</v>
      </c>
      <c r="O36" s="447">
        <f t="shared" ca="1" si="25"/>
        <v>0</v>
      </c>
      <c r="P36" s="447">
        <f t="shared" ca="1" si="25"/>
        <v>0</v>
      </c>
      <c r="Q36" s="448"/>
      <c r="R36" s="449">
        <f t="shared" ca="1" si="26"/>
        <v>0</v>
      </c>
      <c r="S36" s="450">
        <f t="shared" si="8"/>
        <v>0</v>
      </c>
    </row>
    <row r="37" spans="1:19">
      <c r="A37" s="419" t="str">
        <f t="shared" si="3"/>
        <v>Aufgabe 31</v>
      </c>
      <c r="B37" s="412">
        <v>34</v>
      </c>
      <c r="C37" s="423"/>
      <c r="D37" s="413">
        <f t="shared" si="6"/>
        <v>0</v>
      </c>
      <c r="E37" s="447">
        <f t="shared" ca="1" si="25"/>
        <v>0</v>
      </c>
      <c r="F37" s="447">
        <f t="shared" ca="1" si="25"/>
        <v>0</v>
      </c>
      <c r="G37" s="447">
        <f t="shared" ca="1" si="25"/>
        <v>0</v>
      </c>
      <c r="H37" s="447">
        <f t="shared" ca="1" si="25"/>
        <v>0</v>
      </c>
      <c r="I37" s="447">
        <f t="shared" ca="1" si="25"/>
        <v>0</v>
      </c>
      <c r="J37" s="447">
        <f t="shared" ca="1" si="25"/>
        <v>0</v>
      </c>
      <c r="K37" s="447">
        <f t="shared" ca="1" si="25"/>
        <v>0</v>
      </c>
      <c r="L37" s="447">
        <f t="shared" ca="1" si="25"/>
        <v>0</v>
      </c>
      <c r="M37" s="447">
        <f t="shared" ca="1" si="25"/>
        <v>0</v>
      </c>
      <c r="N37" s="447">
        <f t="shared" ca="1" si="25"/>
        <v>0</v>
      </c>
      <c r="O37" s="447">
        <f t="shared" ca="1" si="25"/>
        <v>0</v>
      </c>
      <c r="P37" s="447">
        <f t="shared" ca="1" si="25"/>
        <v>0</v>
      </c>
      <c r="Q37" s="448"/>
      <c r="R37" s="449">
        <f t="shared" ca="1" si="26"/>
        <v>0</v>
      </c>
      <c r="S37" s="450">
        <f t="shared" si="8"/>
        <v>0</v>
      </c>
    </row>
    <row r="38" spans="1:19">
      <c r="A38" s="419" t="str">
        <f t="shared" si="3"/>
        <v>Aufgabe 32</v>
      </c>
      <c r="B38" s="412">
        <v>35</v>
      </c>
      <c r="C38" s="423"/>
      <c r="D38" s="413">
        <f t="shared" si="6"/>
        <v>0</v>
      </c>
      <c r="E38" s="447">
        <f t="shared" ca="1" si="25"/>
        <v>0</v>
      </c>
      <c r="F38" s="447">
        <f t="shared" ca="1" si="25"/>
        <v>0</v>
      </c>
      <c r="G38" s="447">
        <f t="shared" ca="1" si="25"/>
        <v>0</v>
      </c>
      <c r="H38" s="447">
        <f t="shared" ca="1" si="25"/>
        <v>0</v>
      </c>
      <c r="I38" s="447">
        <f t="shared" ca="1" si="25"/>
        <v>0</v>
      </c>
      <c r="J38" s="447">
        <f t="shared" ca="1" si="25"/>
        <v>0</v>
      </c>
      <c r="K38" s="447">
        <f t="shared" ca="1" si="25"/>
        <v>0</v>
      </c>
      <c r="L38" s="447">
        <f t="shared" ca="1" si="25"/>
        <v>0</v>
      </c>
      <c r="M38" s="447">
        <f t="shared" ca="1" si="25"/>
        <v>0</v>
      </c>
      <c r="N38" s="447">
        <f t="shared" ca="1" si="25"/>
        <v>0</v>
      </c>
      <c r="O38" s="447">
        <f t="shared" ca="1" si="25"/>
        <v>0</v>
      </c>
      <c r="P38" s="447">
        <f t="shared" ca="1" si="25"/>
        <v>0</v>
      </c>
      <c r="Q38" s="448"/>
      <c r="R38" s="449">
        <f t="shared" ca="1" si="26"/>
        <v>0</v>
      </c>
      <c r="S38" s="450">
        <f t="shared" si="8"/>
        <v>0</v>
      </c>
    </row>
    <row r="39" spans="1:19">
      <c r="A39" s="419" t="str">
        <f t="shared" si="3"/>
        <v>Aufgabe 33</v>
      </c>
      <c r="B39" s="412">
        <v>36</v>
      </c>
      <c r="C39" s="423"/>
      <c r="D39" s="413">
        <f t="shared" si="6"/>
        <v>0</v>
      </c>
      <c r="E39" s="447">
        <f t="shared" ca="1" si="25"/>
        <v>0</v>
      </c>
      <c r="F39" s="447">
        <f t="shared" ca="1" si="25"/>
        <v>0</v>
      </c>
      <c r="G39" s="447">
        <f t="shared" ca="1" si="25"/>
        <v>0</v>
      </c>
      <c r="H39" s="447">
        <f t="shared" ca="1" si="25"/>
        <v>0</v>
      </c>
      <c r="I39" s="447">
        <f t="shared" ca="1" si="25"/>
        <v>0</v>
      </c>
      <c r="J39" s="447">
        <f t="shared" ca="1" si="25"/>
        <v>0</v>
      </c>
      <c r="K39" s="447">
        <f t="shared" ca="1" si="25"/>
        <v>0</v>
      </c>
      <c r="L39" s="447">
        <f t="shared" ca="1" si="25"/>
        <v>0</v>
      </c>
      <c r="M39" s="447">
        <f t="shared" ca="1" si="25"/>
        <v>0</v>
      </c>
      <c r="N39" s="447">
        <f t="shared" ca="1" si="25"/>
        <v>0</v>
      </c>
      <c r="O39" s="447">
        <f t="shared" ca="1" si="25"/>
        <v>0</v>
      </c>
      <c r="P39" s="447">
        <f t="shared" ca="1" si="25"/>
        <v>0</v>
      </c>
      <c r="Q39" s="448"/>
      <c r="R39" s="449">
        <f t="shared" ca="1" si="26"/>
        <v>0</v>
      </c>
      <c r="S39" s="450">
        <f t="shared" si="8"/>
        <v>0</v>
      </c>
    </row>
    <row r="40" spans="1:19">
      <c r="A40" s="419" t="str">
        <f t="shared" si="3"/>
        <v>Aufgabe 34</v>
      </c>
      <c r="B40" s="412">
        <v>37</v>
      </c>
      <c r="C40" s="423"/>
      <c r="D40" s="413">
        <f t="shared" si="6"/>
        <v>0</v>
      </c>
      <c r="E40" s="447">
        <f t="shared" ref="E40:E49" ca="1" si="27">SUM(OFFSET(db_Aufgaben,MATCH(E$3,db_Aufgaben_Zeit,0)+1,($B40-1)*2,F$3-E$3,1))</f>
        <v>0</v>
      </c>
      <c r="F40" s="447">
        <f t="shared" ref="F40:F49" ca="1" si="28">SUM(OFFSET(db_Aufgaben,MATCH(F$3,db_Aufgaben_Zeit,0)+1,($B40-1)*2,G$3-F$3,1))</f>
        <v>0</v>
      </c>
      <c r="G40" s="447">
        <f t="shared" ref="G40:G49" ca="1" si="29">SUM(OFFSET(db_Aufgaben,MATCH(G$3,db_Aufgaben_Zeit,0)+1,($B40-1)*2,H$3-G$3,1))</f>
        <v>0</v>
      </c>
      <c r="H40" s="447">
        <f t="shared" ref="H40:H49" ca="1" si="30">SUM(OFFSET(db_Aufgaben,MATCH(H$3,db_Aufgaben_Zeit,0)+1,($B40-1)*2,I$3-H$3,1))</f>
        <v>0</v>
      </c>
      <c r="I40" s="447">
        <f t="shared" ref="I40:I49" ca="1" si="31">SUM(OFFSET(db_Aufgaben,MATCH(I$3,db_Aufgaben_Zeit,0)+1,($B40-1)*2,J$3-I$3,1))</f>
        <v>0</v>
      </c>
      <c r="J40" s="447">
        <f t="shared" ref="J40:J49" ca="1" si="32">SUM(OFFSET(db_Aufgaben,MATCH(J$3,db_Aufgaben_Zeit,0)+1,($B40-1)*2,K$3-J$3,1))</f>
        <v>0</v>
      </c>
      <c r="K40" s="447">
        <f t="shared" ref="K40:K49" ca="1" si="33">SUM(OFFSET(db_Aufgaben,MATCH(K$3,db_Aufgaben_Zeit,0)+1,($B40-1)*2,L$3-K$3,1))</f>
        <v>0</v>
      </c>
      <c r="L40" s="447">
        <f t="shared" ref="L40:L49" ca="1" si="34">SUM(OFFSET(db_Aufgaben,MATCH(L$3,db_Aufgaben_Zeit,0)+1,($B40-1)*2,M$3-L$3,1))</f>
        <v>0</v>
      </c>
      <c r="M40" s="447">
        <f t="shared" ref="M40:M49" ca="1" si="35">SUM(OFFSET(db_Aufgaben,MATCH(M$3,db_Aufgaben_Zeit,0)+1,($B40-1)*2,N$3-M$3,1))</f>
        <v>0</v>
      </c>
      <c r="N40" s="447">
        <f t="shared" ref="N40:N49" ca="1" si="36">SUM(OFFSET(db_Aufgaben,MATCH(N$3,db_Aufgaben_Zeit,0)+1,($B40-1)*2,O$3-N$3,1))</f>
        <v>0</v>
      </c>
      <c r="O40" s="447">
        <f t="shared" ref="O40:O49" ca="1" si="37">SUM(OFFSET(db_Aufgaben,MATCH(O$3,db_Aufgaben_Zeit,0)+1,($B40-1)*2,P$3-O$3,1))</f>
        <v>0</v>
      </c>
      <c r="P40" s="447">
        <f t="shared" ref="P40:P49" ca="1" si="38">SUM(OFFSET(db_Aufgaben,MATCH(P$3,db_Aufgaben_Zeit,0)+1,($B40-1)*2,Q$3-P$3,1))</f>
        <v>0</v>
      </c>
      <c r="Q40" s="448"/>
      <c r="R40" s="449">
        <f t="shared" ca="1" si="26"/>
        <v>0</v>
      </c>
      <c r="S40" s="450">
        <f t="shared" si="8"/>
        <v>0</v>
      </c>
    </row>
    <row r="41" spans="1:19">
      <c r="A41" s="419" t="str">
        <f t="shared" si="3"/>
        <v>Aufgabe 35</v>
      </c>
      <c r="B41" s="412">
        <v>38</v>
      </c>
      <c r="C41" s="423"/>
      <c r="D41" s="413">
        <f t="shared" si="6"/>
        <v>0</v>
      </c>
      <c r="E41" s="447">
        <f t="shared" ca="1" si="27"/>
        <v>0</v>
      </c>
      <c r="F41" s="447">
        <f t="shared" ca="1" si="28"/>
        <v>0</v>
      </c>
      <c r="G41" s="447">
        <f t="shared" ca="1" si="29"/>
        <v>0</v>
      </c>
      <c r="H41" s="447">
        <f t="shared" ca="1" si="30"/>
        <v>0</v>
      </c>
      <c r="I41" s="447">
        <f t="shared" ca="1" si="31"/>
        <v>0</v>
      </c>
      <c r="J41" s="447">
        <f t="shared" ca="1" si="32"/>
        <v>0</v>
      </c>
      <c r="K41" s="447">
        <f t="shared" ca="1" si="33"/>
        <v>0</v>
      </c>
      <c r="L41" s="447">
        <f t="shared" ca="1" si="34"/>
        <v>0</v>
      </c>
      <c r="M41" s="447">
        <f t="shared" ca="1" si="35"/>
        <v>0</v>
      </c>
      <c r="N41" s="447">
        <f t="shared" ca="1" si="36"/>
        <v>0</v>
      </c>
      <c r="O41" s="447">
        <f t="shared" ca="1" si="37"/>
        <v>0</v>
      </c>
      <c r="P41" s="447">
        <f t="shared" ca="1" si="38"/>
        <v>0</v>
      </c>
      <c r="Q41" s="448"/>
      <c r="R41" s="449">
        <f t="shared" ca="1" si="26"/>
        <v>0</v>
      </c>
      <c r="S41" s="450">
        <f t="shared" si="8"/>
        <v>0</v>
      </c>
    </row>
    <row r="42" spans="1:19">
      <c r="A42" s="419" t="str">
        <f t="shared" si="3"/>
        <v>Aufgabe 36</v>
      </c>
      <c r="B42" s="412">
        <v>39</v>
      </c>
      <c r="C42" s="423"/>
      <c r="D42" s="413">
        <f t="shared" si="6"/>
        <v>0</v>
      </c>
      <c r="E42" s="447">
        <f t="shared" ca="1" si="27"/>
        <v>0</v>
      </c>
      <c r="F42" s="447">
        <f t="shared" ca="1" si="28"/>
        <v>0</v>
      </c>
      <c r="G42" s="447">
        <f t="shared" ca="1" si="29"/>
        <v>0</v>
      </c>
      <c r="H42" s="447">
        <f t="shared" ca="1" si="30"/>
        <v>0</v>
      </c>
      <c r="I42" s="447">
        <f t="shared" ca="1" si="31"/>
        <v>0</v>
      </c>
      <c r="J42" s="447">
        <f t="shared" ca="1" si="32"/>
        <v>0</v>
      </c>
      <c r="K42" s="447">
        <f t="shared" ca="1" si="33"/>
        <v>0</v>
      </c>
      <c r="L42" s="447">
        <f t="shared" ca="1" si="34"/>
        <v>0</v>
      </c>
      <c r="M42" s="447">
        <f t="shared" ca="1" si="35"/>
        <v>0</v>
      </c>
      <c r="N42" s="447">
        <f t="shared" ca="1" si="36"/>
        <v>0</v>
      </c>
      <c r="O42" s="447">
        <f t="shared" ca="1" si="37"/>
        <v>0</v>
      </c>
      <c r="P42" s="447">
        <f t="shared" ca="1" si="38"/>
        <v>0</v>
      </c>
      <c r="Q42" s="448"/>
      <c r="R42" s="449">
        <f t="shared" ca="1" si="26"/>
        <v>0</v>
      </c>
      <c r="S42" s="450">
        <f t="shared" si="8"/>
        <v>0</v>
      </c>
    </row>
    <row r="43" spans="1:19">
      <c r="A43" s="419" t="str">
        <f t="shared" si="3"/>
        <v>Aufgabe 37</v>
      </c>
      <c r="B43" s="412">
        <v>40</v>
      </c>
      <c r="C43" s="423"/>
      <c r="D43" s="413">
        <f t="shared" si="6"/>
        <v>0</v>
      </c>
      <c r="E43" s="447">
        <f t="shared" ca="1" si="27"/>
        <v>0</v>
      </c>
      <c r="F43" s="447">
        <f t="shared" ca="1" si="28"/>
        <v>0</v>
      </c>
      <c r="G43" s="447">
        <f t="shared" ca="1" si="29"/>
        <v>0</v>
      </c>
      <c r="H43" s="447">
        <f t="shared" ca="1" si="30"/>
        <v>0</v>
      </c>
      <c r="I43" s="447">
        <f t="shared" ca="1" si="31"/>
        <v>0</v>
      </c>
      <c r="J43" s="447">
        <f t="shared" ca="1" si="32"/>
        <v>0</v>
      </c>
      <c r="K43" s="447">
        <f t="shared" ca="1" si="33"/>
        <v>0</v>
      </c>
      <c r="L43" s="447">
        <f t="shared" ca="1" si="34"/>
        <v>0</v>
      </c>
      <c r="M43" s="447">
        <f t="shared" ca="1" si="35"/>
        <v>0</v>
      </c>
      <c r="N43" s="447">
        <f t="shared" ca="1" si="36"/>
        <v>0</v>
      </c>
      <c r="O43" s="447">
        <f t="shared" ca="1" si="37"/>
        <v>0</v>
      </c>
      <c r="P43" s="447">
        <f t="shared" ca="1" si="38"/>
        <v>0</v>
      </c>
      <c r="Q43" s="448"/>
      <c r="R43" s="449">
        <f t="shared" ca="1" si="26"/>
        <v>0</v>
      </c>
      <c r="S43" s="450">
        <f t="shared" si="8"/>
        <v>0</v>
      </c>
    </row>
    <row r="44" spans="1:19">
      <c r="A44" s="419" t="str">
        <f t="shared" si="3"/>
        <v>Aufgabe 38</v>
      </c>
      <c r="B44" s="412">
        <v>41</v>
      </c>
      <c r="C44" s="423"/>
      <c r="D44" s="413">
        <f t="shared" si="6"/>
        <v>0</v>
      </c>
      <c r="E44" s="447">
        <f t="shared" ca="1" si="27"/>
        <v>0</v>
      </c>
      <c r="F44" s="447">
        <f t="shared" ca="1" si="28"/>
        <v>0</v>
      </c>
      <c r="G44" s="447">
        <f t="shared" ca="1" si="29"/>
        <v>0</v>
      </c>
      <c r="H44" s="447">
        <f t="shared" ca="1" si="30"/>
        <v>0</v>
      </c>
      <c r="I44" s="447">
        <f t="shared" ca="1" si="31"/>
        <v>0</v>
      </c>
      <c r="J44" s="447">
        <f t="shared" ca="1" si="32"/>
        <v>0</v>
      </c>
      <c r="K44" s="447">
        <f t="shared" ca="1" si="33"/>
        <v>0</v>
      </c>
      <c r="L44" s="447">
        <f t="shared" ca="1" si="34"/>
        <v>0</v>
      </c>
      <c r="M44" s="447">
        <f t="shared" ca="1" si="35"/>
        <v>0</v>
      </c>
      <c r="N44" s="447">
        <f t="shared" ca="1" si="36"/>
        <v>0</v>
      </c>
      <c r="O44" s="447">
        <f t="shared" ca="1" si="37"/>
        <v>0</v>
      </c>
      <c r="P44" s="447">
        <f t="shared" ca="1" si="38"/>
        <v>0</v>
      </c>
      <c r="Q44" s="448"/>
      <c r="R44" s="449">
        <f t="shared" ca="1" si="26"/>
        <v>0</v>
      </c>
      <c r="S44" s="450">
        <f t="shared" si="8"/>
        <v>0</v>
      </c>
    </row>
    <row r="45" spans="1:19">
      <c r="A45" s="419" t="str">
        <f t="shared" si="3"/>
        <v>Aufgabe 39</v>
      </c>
      <c r="B45" s="412">
        <v>42</v>
      </c>
      <c r="C45" s="423"/>
      <c r="D45" s="413">
        <f t="shared" si="6"/>
        <v>0</v>
      </c>
      <c r="E45" s="447">
        <f t="shared" ca="1" si="27"/>
        <v>0</v>
      </c>
      <c r="F45" s="447">
        <f t="shared" ca="1" si="28"/>
        <v>0</v>
      </c>
      <c r="G45" s="447">
        <f t="shared" ca="1" si="29"/>
        <v>0</v>
      </c>
      <c r="H45" s="447">
        <f t="shared" ca="1" si="30"/>
        <v>0</v>
      </c>
      <c r="I45" s="447">
        <f t="shared" ca="1" si="31"/>
        <v>0</v>
      </c>
      <c r="J45" s="447">
        <f t="shared" ca="1" si="32"/>
        <v>0</v>
      </c>
      <c r="K45" s="447">
        <f t="shared" ca="1" si="33"/>
        <v>0</v>
      </c>
      <c r="L45" s="447">
        <f t="shared" ca="1" si="34"/>
        <v>0</v>
      </c>
      <c r="M45" s="447">
        <f t="shared" ca="1" si="35"/>
        <v>0</v>
      </c>
      <c r="N45" s="447">
        <f t="shared" ca="1" si="36"/>
        <v>0</v>
      </c>
      <c r="O45" s="447">
        <f t="shared" ca="1" si="37"/>
        <v>0</v>
      </c>
      <c r="P45" s="447">
        <f t="shared" ca="1" si="38"/>
        <v>0</v>
      </c>
      <c r="Q45" s="448"/>
      <c r="R45" s="449">
        <f t="shared" ca="1" si="26"/>
        <v>0</v>
      </c>
      <c r="S45" s="450">
        <f t="shared" si="8"/>
        <v>0</v>
      </c>
    </row>
    <row r="46" spans="1:19">
      <c r="A46" s="419" t="str">
        <f t="shared" si="3"/>
        <v>Aufgabe 40</v>
      </c>
      <c r="B46" s="412">
        <v>43</v>
      </c>
      <c r="C46" s="423"/>
      <c r="D46" s="413">
        <f t="shared" si="6"/>
        <v>0</v>
      </c>
      <c r="E46" s="447">
        <f t="shared" ca="1" si="27"/>
        <v>0</v>
      </c>
      <c r="F46" s="447">
        <f t="shared" ca="1" si="28"/>
        <v>0</v>
      </c>
      <c r="G46" s="447">
        <f t="shared" ca="1" si="29"/>
        <v>0</v>
      </c>
      <c r="H46" s="447">
        <f t="shared" ca="1" si="30"/>
        <v>0</v>
      </c>
      <c r="I46" s="447">
        <f t="shared" ca="1" si="31"/>
        <v>0</v>
      </c>
      <c r="J46" s="447">
        <f t="shared" ca="1" si="32"/>
        <v>0</v>
      </c>
      <c r="K46" s="447">
        <f t="shared" ca="1" si="33"/>
        <v>0</v>
      </c>
      <c r="L46" s="447">
        <f t="shared" ca="1" si="34"/>
        <v>0</v>
      </c>
      <c r="M46" s="447">
        <f t="shared" ca="1" si="35"/>
        <v>0</v>
      </c>
      <c r="N46" s="447">
        <f t="shared" ca="1" si="36"/>
        <v>0</v>
      </c>
      <c r="O46" s="447">
        <f t="shared" ca="1" si="37"/>
        <v>0</v>
      </c>
      <c r="P46" s="447">
        <f t="shared" ca="1" si="38"/>
        <v>0</v>
      </c>
      <c r="Q46" s="448"/>
      <c r="R46" s="449">
        <f t="shared" ca="1" si="26"/>
        <v>0</v>
      </c>
      <c r="S46" s="450">
        <f t="shared" si="8"/>
        <v>0</v>
      </c>
    </row>
    <row r="47" spans="1:19">
      <c r="A47" s="419" t="str">
        <f t="shared" si="3"/>
        <v>Aufgabe 41</v>
      </c>
      <c r="B47" s="412">
        <v>44</v>
      </c>
      <c r="C47" s="423"/>
      <c r="D47" s="413">
        <f t="shared" si="6"/>
        <v>0</v>
      </c>
      <c r="E47" s="447">
        <f t="shared" ca="1" si="27"/>
        <v>0</v>
      </c>
      <c r="F47" s="447">
        <f t="shared" ca="1" si="28"/>
        <v>0</v>
      </c>
      <c r="G47" s="447">
        <f t="shared" ca="1" si="29"/>
        <v>0</v>
      </c>
      <c r="H47" s="447">
        <f t="shared" ca="1" si="30"/>
        <v>0</v>
      </c>
      <c r="I47" s="447">
        <f t="shared" ca="1" si="31"/>
        <v>0</v>
      </c>
      <c r="J47" s="447">
        <f t="shared" ca="1" si="32"/>
        <v>0</v>
      </c>
      <c r="K47" s="447">
        <f t="shared" ca="1" si="33"/>
        <v>0</v>
      </c>
      <c r="L47" s="447">
        <f t="shared" ca="1" si="34"/>
        <v>0</v>
      </c>
      <c r="M47" s="447">
        <f t="shared" ca="1" si="35"/>
        <v>0</v>
      </c>
      <c r="N47" s="447">
        <f t="shared" ca="1" si="36"/>
        <v>0</v>
      </c>
      <c r="O47" s="447">
        <f t="shared" ca="1" si="37"/>
        <v>0</v>
      </c>
      <c r="P47" s="447">
        <f t="shared" ca="1" si="38"/>
        <v>0</v>
      </c>
      <c r="Q47" s="448"/>
      <c r="R47" s="449">
        <f t="shared" ca="1" si="26"/>
        <v>0</v>
      </c>
      <c r="S47" s="450">
        <f t="shared" si="8"/>
        <v>0</v>
      </c>
    </row>
    <row r="48" spans="1:19">
      <c r="A48" s="419" t="str">
        <f t="shared" si="3"/>
        <v>Aufgabe 42</v>
      </c>
      <c r="B48" s="412">
        <v>45</v>
      </c>
      <c r="C48" s="423"/>
      <c r="D48" s="413">
        <f t="shared" si="6"/>
        <v>0</v>
      </c>
      <c r="E48" s="447">
        <f t="shared" ca="1" si="27"/>
        <v>0</v>
      </c>
      <c r="F48" s="447">
        <f t="shared" ca="1" si="28"/>
        <v>0</v>
      </c>
      <c r="G48" s="447">
        <f t="shared" ca="1" si="29"/>
        <v>0</v>
      </c>
      <c r="H48" s="447">
        <f t="shared" ca="1" si="30"/>
        <v>0</v>
      </c>
      <c r="I48" s="447">
        <f t="shared" ca="1" si="31"/>
        <v>0</v>
      </c>
      <c r="J48" s="447">
        <f t="shared" ca="1" si="32"/>
        <v>0</v>
      </c>
      <c r="K48" s="447">
        <f t="shared" ca="1" si="33"/>
        <v>0</v>
      </c>
      <c r="L48" s="447">
        <f t="shared" ca="1" si="34"/>
        <v>0</v>
      </c>
      <c r="M48" s="447">
        <f t="shared" ca="1" si="35"/>
        <v>0</v>
      </c>
      <c r="N48" s="447">
        <f t="shared" ca="1" si="36"/>
        <v>0</v>
      </c>
      <c r="O48" s="447">
        <f t="shared" ca="1" si="37"/>
        <v>0</v>
      </c>
      <c r="P48" s="447">
        <f t="shared" ca="1" si="38"/>
        <v>0</v>
      </c>
      <c r="Q48" s="448"/>
      <c r="R48" s="449">
        <f t="shared" ca="1" si="26"/>
        <v>0</v>
      </c>
      <c r="S48" s="450">
        <f t="shared" si="8"/>
        <v>0</v>
      </c>
    </row>
    <row r="49" spans="1:19">
      <c r="A49" s="419" t="str">
        <f t="shared" si="3"/>
        <v>Aufgabe 43</v>
      </c>
      <c r="B49" s="412">
        <v>46</v>
      </c>
      <c r="C49" s="423"/>
      <c r="D49" s="413">
        <f t="shared" si="6"/>
        <v>0</v>
      </c>
      <c r="E49" s="447">
        <f t="shared" ca="1" si="27"/>
        <v>0</v>
      </c>
      <c r="F49" s="447">
        <f t="shared" ca="1" si="28"/>
        <v>0</v>
      </c>
      <c r="G49" s="447">
        <f t="shared" ca="1" si="29"/>
        <v>0</v>
      </c>
      <c r="H49" s="447">
        <f t="shared" ca="1" si="30"/>
        <v>0</v>
      </c>
      <c r="I49" s="447">
        <f t="shared" ca="1" si="31"/>
        <v>0</v>
      </c>
      <c r="J49" s="447">
        <f t="shared" ca="1" si="32"/>
        <v>0</v>
      </c>
      <c r="K49" s="447">
        <f t="shared" ca="1" si="33"/>
        <v>0</v>
      </c>
      <c r="L49" s="447">
        <f t="shared" ca="1" si="34"/>
        <v>0</v>
      </c>
      <c r="M49" s="447">
        <f t="shared" ca="1" si="35"/>
        <v>0</v>
      </c>
      <c r="N49" s="447">
        <f t="shared" ca="1" si="36"/>
        <v>0</v>
      </c>
      <c r="O49" s="447">
        <f t="shared" ca="1" si="37"/>
        <v>0</v>
      </c>
      <c r="P49" s="447">
        <f t="shared" ca="1" si="38"/>
        <v>0</v>
      </c>
      <c r="Q49" s="448"/>
      <c r="R49" s="449">
        <f t="shared" ca="1" si="26"/>
        <v>0</v>
      </c>
      <c r="S49" s="450">
        <f t="shared" si="8"/>
        <v>0</v>
      </c>
    </row>
    <row r="50" spans="1:19">
      <c r="A50" s="419" t="str">
        <f t="shared" si="3"/>
        <v>Aufgabe 44</v>
      </c>
      <c r="B50" s="412">
        <v>47</v>
      </c>
      <c r="C50" s="423"/>
      <c r="D50" s="413"/>
      <c r="E50" s="447"/>
      <c r="F50" s="447"/>
      <c r="G50" s="447"/>
      <c r="H50" s="447"/>
      <c r="I50" s="447"/>
      <c r="J50" s="447"/>
      <c r="K50" s="447"/>
      <c r="L50" s="447"/>
      <c r="M50" s="447"/>
      <c r="N50" s="447"/>
      <c r="O50" s="447"/>
      <c r="P50" s="447"/>
      <c r="Q50" s="448"/>
      <c r="R50" s="449"/>
      <c r="S50" s="450"/>
    </row>
    <row r="51" spans="1:19">
      <c r="A51" s="419" t="str">
        <f t="shared" si="3"/>
        <v>Aufgabe 45</v>
      </c>
      <c r="B51" s="412">
        <v>48</v>
      </c>
      <c r="C51" s="423"/>
      <c r="D51" s="413"/>
      <c r="E51" s="447"/>
      <c r="F51" s="447"/>
      <c r="G51" s="447"/>
      <c r="H51" s="447"/>
      <c r="I51" s="447"/>
      <c r="J51" s="447"/>
      <c r="K51" s="447"/>
      <c r="L51" s="447"/>
      <c r="M51" s="447"/>
      <c r="N51" s="447"/>
      <c r="O51" s="447"/>
      <c r="P51" s="447"/>
      <c r="Q51" s="448"/>
      <c r="R51" s="449"/>
      <c r="S51" s="450"/>
    </row>
    <row r="52" spans="1:19">
      <c r="A52" s="419" t="str">
        <f t="shared" si="3"/>
        <v>Aufgabe 46</v>
      </c>
      <c r="B52" s="412">
        <v>49</v>
      </c>
      <c r="C52" s="423"/>
      <c r="D52" s="413"/>
      <c r="E52" s="447"/>
      <c r="F52" s="447"/>
      <c r="G52" s="447"/>
      <c r="H52" s="447"/>
      <c r="I52" s="447"/>
      <c r="J52" s="447"/>
      <c r="K52" s="447"/>
      <c r="L52" s="447"/>
      <c r="M52" s="447"/>
      <c r="N52" s="447"/>
      <c r="O52" s="447"/>
      <c r="P52" s="447"/>
      <c r="Q52" s="448"/>
      <c r="R52" s="449"/>
      <c r="S52" s="450"/>
    </row>
    <row r="53" spans="1:19">
      <c r="A53" s="419" t="str">
        <f t="shared" si="3"/>
        <v>Aufgabe 47</v>
      </c>
      <c r="B53" s="412">
        <v>50</v>
      </c>
      <c r="C53" s="423"/>
      <c r="D53" s="413"/>
      <c r="E53" s="447"/>
      <c r="F53" s="447"/>
      <c r="G53" s="447"/>
      <c r="H53" s="447"/>
      <c r="I53" s="447"/>
      <c r="J53" s="447"/>
      <c r="K53" s="447"/>
      <c r="L53" s="447"/>
      <c r="M53" s="447"/>
      <c r="N53" s="447"/>
      <c r="O53" s="447"/>
      <c r="P53" s="447"/>
      <c r="Q53" s="448"/>
      <c r="R53" s="449"/>
      <c r="S53" s="450"/>
    </row>
    <row r="54" spans="1:19">
      <c r="A54" s="419" t="str">
        <f t="shared" si="3"/>
        <v>Aufgabe 48</v>
      </c>
      <c r="B54" s="412">
        <v>51</v>
      </c>
      <c r="C54" s="423"/>
      <c r="D54" s="413"/>
      <c r="E54" s="447"/>
      <c r="F54" s="447"/>
      <c r="G54" s="447"/>
      <c r="H54" s="447"/>
      <c r="I54" s="447"/>
      <c r="J54" s="447"/>
      <c r="K54" s="447"/>
      <c r="L54" s="447"/>
      <c r="M54" s="447"/>
      <c r="N54" s="447"/>
      <c r="O54" s="447"/>
      <c r="P54" s="447"/>
      <c r="Q54" s="448"/>
      <c r="R54" s="449"/>
      <c r="S54" s="450"/>
    </row>
    <row r="55" spans="1:19">
      <c r="A55" s="419" t="str">
        <f t="shared" si="3"/>
        <v>Aufgabe 49</v>
      </c>
      <c r="B55" s="412">
        <v>52</v>
      </c>
      <c r="C55" s="423"/>
      <c r="D55" s="413"/>
      <c r="E55" s="447"/>
      <c r="F55" s="447"/>
      <c r="G55" s="447"/>
      <c r="H55" s="447"/>
      <c r="I55" s="447"/>
      <c r="J55" s="447"/>
      <c r="K55" s="447"/>
      <c r="L55" s="447"/>
      <c r="M55" s="447"/>
      <c r="N55" s="447"/>
      <c r="O55" s="447"/>
      <c r="P55" s="447"/>
      <c r="Q55" s="448"/>
      <c r="R55" s="449"/>
      <c r="S55" s="450"/>
    </row>
    <row r="56" spans="1:19">
      <c r="A56" s="419" t="str">
        <f t="shared" si="3"/>
        <v>Aufgabe 50</v>
      </c>
      <c r="B56" s="412">
        <v>53</v>
      </c>
      <c r="C56" s="423"/>
      <c r="D56" s="413"/>
      <c r="E56" s="447"/>
      <c r="F56" s="447"/>
      <c r="G56" s="447"/>
      <c r="H56" s="447"/>
      <c r="I56" s="447"/>
      <c r="J56" s="447"/>
      <c r="K56" s="447"/>
      <c r="L56" s="447"/>
      <c r="M56" s="447"/>
      <c r="N56" s="447"/>
      <c r="O56" s="447"/>
      <c r="P56" s="447"/>
      <c r="Q56" s="448"/>
      <c r="R56" s="449"/>
      <c r="S56" s="450"/>
    </row>
    <row r="57" spans="1:19" ht="5.25" customHeight="1" thickBot="1">
      <c r="C57" s="424"/>
      <c r="R57" s="414"/>
    </row>
    <row r="58" spans="1:19" ht="13.5" thickBot="1">
      <c r="A58" s="415"/>
      <c r="B58" s="415"/>
      <c r="C58" s="415"/>
      <c r="D58" s="415"/>
      <c r="E58" s="456">
        <f t="shared" ref="E58:P58" ca="1" si="39">SUBTOTAL(9,E4:E57)</f>
        <v>0</v>
      </c>
      <c r="F58" s="456">
        <f t="shared" ca="1" si="39"/>
        <v>0</v>
      </c>
      <c r="G58" s="456">
        <f t="shared" ca="1" si="39"/>
        <v>0</v>
      </c>
      <c r="H58" s="456">
        <f t="shared" ca="1" si="39"/>
        <v>0</v>
      </c>
      <c r="I58" s="456">
        <f t="shared" ca="1" si="39"/>
        <v>0</v>
      </c>
      <c r="J58" s="456">
        <f t="shared" ca="1" si="39"/>
        <v>0</v>
      </c>
      <c r="K58" s="456">
        <f t="shared" ca="1" si="39"/>
        <v>0</v>
      </c>
      <c r="L58" s="456">
        <f t="shared" ca="1" si="39"/>
        <v>0</v>
      </c>
      <c r="M58" s="456">
        <f t="shared" ca="1" si="39"/>
        <v>0</v>
      </c>
      <c r="N58" s="456">
        <f t="shared" ca="1" si="39"/>
        <v>0</v>
      </c>
      <c r="O58" s="456">
        <f t="shared" ca="1" si="39"/>
        <v>0</v>
      </c>
      <c r="P58" s="456">
        <f t="shared" ca="1" si="39"/>
        <v>0</v>
      </c>
      <c r="Q58" s="457"/>
      <c r="R58" s="458">
        <f ca="1">SUBTOTAL(9,R4:R57)</f>
        <v>0</v>
      </c>
      <c r="S58" s="415"/>
    </row>
    <row r="59" spans="1:19" ht="13.5" thickBot="1">
      <c r="D59" s="573" t="s">
        <v>254</v>
      </c>
      <c r="E59" s="571">
        <f ca="1">SUBTOTAL(9,E7:E57)</f>
        <v>0</v>
      </c>
      <c r="F59" s="572">
        <f t="shared" ref="F59:P59" ca="1" si="40">SUBTOTAL(9,F7:F57)</f>
        <v>0</v>
      </c>
      <c r="G59" s="572">
        <f t="shared" ca="1" si="40"/>
        <v>0</v>
      </c>
      <c r="H59" s="572">
        <f t="shared" ca="1" si="40"/>
        <v>0</v>
      </c>
      <c r="I59" s="572">
        <f t="shared" ca="1" si="40"/>
        <v>0</v>
      </c>
      <c r="J59" s="572">
        <f t="shared" ca="1" si="40"/>
        <v>0</v>
      </c>
      <c r="K59" s="572">
        <f t="shared" ca="1" si="40"/>
        <v>0</v>
      </c>
      <c r="L59" s="572">
        <f t="shared" ca="1" si="40"/>
        <v>0</v>
      </c>
      <c r="M59" s="572">
        <f t="shared" ca="1" si="40"/>
        <v>0</v>
      </c>
      <c r="N59" s="572">
        <f t="shared" ca="1" si="40"/>
        <v>0</v>
      </c>
      <c r="O59" s="572">
        <f t="shared" ca="1" si="40"/>
        <v>0</v>
      </c>
      <c r="P59" s="454">
        <f t="shared" ca="1" si="40"/>
        <v>0</v>
      </c>
      <c r="Q59" s="454">
        <f t="shared" ref="Q59" si="41">SUBTOTAL(9,Q7:Q23)</f>
        <v>0</v>
      </c>
      <c r="R59" s="455">
        <f ca="1">SUBTOTAL(9,R7:R57)</f>
        <v>0</v>
      </c>
    </row>
  </sheetData>
  <autoFilter ref="A3:S56"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78"/>
  <sheetViews>
    <sheetView showGridLines="0" zoomScale="90" workbookViewId="0">
      <selection activeCell="D18" sqref="D18"/>
    </sheetView>
  </sheetViews>
  <sheetFormatPr baseColWidth="10" defaultColWidth="11.42578125" defaultRowHeight="12.75"/>
  <cols>
    <col min="1" max="1" width="2.28515625" style="23" customWidth="1"/>
    <col min="2" max="2" width="16.28515625" style="24" bestFit="1" customWidth="1"/>
    <col min="3" max="3" width="2.140625" style="23" customWidth="1"/>
    <col min="4" max="4" width="16.42578125" style="23" customWidth="1"/>
    <col min="5" max="5" width="5.7109375" style="23" customWidth="1"/>
    <col min="6" max="6" width="20" style="23" customWidth="1"/>
    <col min="7" max="7" width="1.5703125" style="23" customWidth="1"/>
    <col min="8" max="8" width="10" style="23" customWidth="1"/>
    <col min="9" max="9" width="5.7109375" style="23" customWidth="1"/>
    <col min="10" max="10" width="13.5703125" style="23" customWidth="1"/>
    <col min="11" max="11" width="1" style="23" customWidth="1"/>
    <col min="12" max="12" width="10.5703125" style="23" customWidth="1"/>
    <col min="13" max="13" width="3.85546875" style="23" hidden="1" customWidth="1"/>
    <col min="14" max="14" width="5.140625" style="23" customWidth="1"/>
    <col min="15" max="15" width="15.7109375" style="60" customWidth="1"/>
    <col min="16" max="16" width="1.28515625" style="23" customWidth="1"/>
    <col min="17" max="17" width="13" style="23" customWidth="1"/>
    <col min="18" max="16384" width="11.42578125" style="23"/>
  </cols>
  <sheetData>
    <row r="1" spans="2:17" ht="20.25">
      <c r="B1" s="592" t="s">
        <v>107</v>
      </c>
      <c r="C1" s="592"/>
      <c r="D1" s="592"/>
      <c r="F1" s="592" t="s">
        <v>109</v>
      </c>
      <c r="G1" s="592"/>
      <c r="H1" s="592"/>
      <c r="J1" s="592" t="s">
        <v>118</v>
      </c>
      <c r="K1" s="592"/>
      <c r="L1" s="592"/>
      <c r="O1" s="592" t="s">
        <v>168</v>
      </c>
      <c r="P1" s="592"/>
      <c r="Q1" s="599"/>
    </row>
    <row r="2" spans="2:17" ht="15" customHeight="1">
      <c r="B2" s="267" t="str">
        <f ca="1">CELL("filename",B2)</f>
        <v>https://d.docs.live.net/c89853cd948112b7/Dokumente/Siemens/Glaz ab 2026/[vGlaz2026 - FY27 Aufgaben50.xlsm]Einstellungen</v>
      </c>
      <c r="O2" s="598" t="s">
        <v>42</v>
      </c>
      <c r="P2" s="598"/>
      <c r="Q2" s="598"/>
    </row>
    <row r="3" spans="2:17">
      <c r="B3" s="25" t="s">
        <v>81</v>
      </c>
      <c r="C3" s="26"/>
      <c r="D3" s="521" t="s">
        <v>200</v>
      </c>
      <c r="F3" s="81" t="s">
        <v>56</v>
      </c>
      <c r="G3" s="27"/>
      <c r="H3" s="33">
        <v>0</v>
      </c>
      <c r="J3" s="25" t="s">
        <v>119</v>
      </c>
      <c r="K3" s="26"/>
      <c r="L3" s="68">
        <v>0.29166666666666669</v>
      </c>
      <c r="M3" s="57">
        <f t="shared" ref="M3:M9" si="0">IF(L3&gt;0,1,0)</f>
        <v>1</v>
      </c>
      <c r="O3" s="120" t="s">
        <v>165</v>
      </c>
      <c r="P3" s="330" t="s">
        <v>150</v>
      </c>
      <c r="Q3" s="121">
        <v>0</v>
      </c>
    </row>
    <row r="4" spans="2:17" ht="13.5" thickBot="1">
      <c r="B4" s="34" t="s">
        <v>102</v>
      </c>
      <c r="C4" s="32"/>
      <c r="D4" s="523" t="s">
        <v>202</v>
      </c>
      <c r="F4" s="31" t="s">
        <v>149</v>
      </c>
      <c r="G4" s="32"/>
      <c r="H4" s="33">
        <v>30</v>
      </c>
      <c r="J4" s="34" t="s">
        <v>120</v>
      </c>
      <c r="K4" s="32"/>
      <c r="L4" s="68">
        <v>0.29166666666666669</v>
      </c>
      <c r="M4" s="57">
        <f t="shared" si="0"/>
        <v>1</v>
      </c>
      <c r="O4" s="131" t="s">
        <v>167</v>
      </c>
      <c r="P4" s="331" t="s">
        <v>150</v>
      </c>
      <c r="Q4" s="127">
        <v>1</v>
      </c>
    </row>
    <row r="5" spans="2:17" ht="14.25" thickTop="1" thickBot="1">
      <c r="B5" s="485" t="s">
        <v>175</v>
      </c>
      <c r="C5" s="30"/>
      <c r="D5" s="522" t="s">
        <v>201</v>
      </c>
      <c r="F5" s="29" t="s">
        <v>57</v>
      </c>
      <c r="G5" s="82"/>
      <c r="H5" s="28">
        <f>H3+H4</f>
        <v>30</v>
      </c>
      <c r="J5" s="34" t="s">
        <v>121</v>
      </c>
      <c r="K5" s="32"/>
      <c r="L5" s="68">
        <v>0.29166666666666669</v>
      </c>
      <c r="M5" s="57">
        <f t="shared" si="0"/>
        <v>1</v>
      </c>
      <c r="O5" s="132" t="s">
        <v>169</v>
      </c>
      <c r="P5" s="332" t="s">
        <v>150</v>
      </c>
      <c r="Q5" s="125">
        <v>2</v>
      </c>
    </row>
    <row r="6" spans="2:17" ht="13.5" thickTop="1">
      <c r="B6" s="25" t="s">
        <v>103</v>
      </c>
      <c r="C6" s="26"/>
      <c r="D6" s="71">
        <f>L10/M10</f>
        <v>0.29166666666666669</v>
      </c>
      <c r="F6" s="31" t="s">
        <v>97</v>
      </c>
      <c r="G6" s="32"/>
      <c r="H6" s="33">
        <v>0</v>
      </c>
      <c r="J6" s="34" t="s">
        <v>122</v>
      </c>
      <c r="K6" s="32"/>
      <c r="L6" s="68">
        <v>0.29166666666666669</v>
      </c>
      <c r="M6" s="57">
        <f t="shared" si="0"/>
        <v>1</v>
      </c>
      <c r="O6" s="133" t="s">
        <v>0</v>
      </c>
      <c r="P6" s="333" t="s">
        <v>150</v>
      </c>
      <c r="Q6" s="126">
        <v>3</v>
      </c>
    </row>
    <row r="7" spans="2:17" ht="13.5" thickBot="1">
      <c r="B7" s="34" t="s">
        <v>104</v>
      </c>
      <c r="C7" s="32"/>
      <c r="D7" s="72">
        <v>0.41666666666666669</v>
      </c>
      <c r="F7" s="31" t="s">
        <v>145</v>
      </c>
      <c r="G7" s="32"/>
      <c r="H7" s="33">
        <v>0</v>
      </c>
      <c r="J7" s="34" t="s">
        <v>123</v>
      </c>
      <c r="K7" s="32"/>
      <c r="L7" s="68">
        <v>0.29166666666666669</v>
      </c>
      <c r="M7" s="57">
        <f t="shared" si="0"/>
        <v>1</v>
      </c>
      <c r="O7" s="34" t="s">
        <v>166</v>
      </c>
      <c r="P7" s="84" t="s">
        <v>150</v>
      </c>
      <c r="Q7" s="61">
        <v>7</v>
      </c>
    </row>
    <row r="8" spans="2:17" ht="14.25" thickTop="1" thickBot="1">
      <c r="B8" s="518" t="s">
        <v>196</v>
      </c>
      <c r="C8" s="32"/>
      <c r="D8" s="72">
        <v>0.25</v>
      </c>
      <c r="F8" s="80" t="s">
        <v>148</v>
      </c>
      <c r="G8" s="30"/>
      <c r="H8" s="79">
        <f>B_VorJahr_hh/24+B_VorJahr_mm/24/60</f>
        <v>0</v>
      </c>
      <c r="J8" s="51" t="s">
        <v>124</v>
      </c>
      <c r="K8" s="52"/>
      <c r="L8" s="69"/>
      <c r="M8" s="57">
        <f t="shared" si="0"/>
        <v>0</v>
      </c>
      <c r="O8" s="134" t="s">
        <v>164</v>
      </c>
      <c r="P8" s="338" t="s">
        <v>150</v>
      </c>
      <c r="Q8" s="128">
        <v>8</v>
      </c>
    </row>
    <row r="9" spans="2:17" ht="14.25" thickTop="1" thickBot="1">
      <c r="B9" s="518" t="s">
        <v>197</v>
      </c>
      <c r="C9" s="32"/>
      <c r="D9" s="72">
        <v>2.0833333333333332E-2</v>
      </c>
      <c r="H9" s="202" t="str">
        <f>IF(OR(AND(B_VorJahr_hh&gt;0,B_VorJahr_mm&lt;0),AND(B_VorJahr_hh&lt;0,B_VorJahr_mm&gt;0)),"!?Vorzeichen hh-mm?!","")</f>
        <v/>
      </c>
      <c r="J9" s="53" t="s">
        <v>125</v>
      </c>
      <c r="K9" s="54"/>
      <c r="L9" s="70"/>
      <c r="M9" s="57">
        <f t="shared" si="0"/>
        <v>0</v>
      </c>
      <c r="O9" s="138" t="s">
        <v>12</v>
      </c>
      <c r="P9" s="425" t="s">
        <v>150</v>
      </c>
      <c r="Q9" s="137">
        <v>71</v>
      </c>
    </row>
    <row r="10" spans="2:17" ht="14.25" thickTop="1" thickBot="1">
      <c r="B10" s="518" t="s">
        <v>194</v>
      </c>
      <c r="C10" s="32"/>
      <c r="D10" s="72">
        <v>0.375</v>
      </c>
      <c r="F10" s="35" t="s">
        <v>48</v>
      </c>
      <c r="G10" s="36"/>
      <c r="H10" s="37"/>
      <c r="J10" s="50" t="s">
        <v>126</v>
      </c>
      <c r="K10" s="55"/>
      <c r="L10" s="56">
        <f>SUM(L3:L9)</f>
        <v>1.4583333333333335</v>
      </c>
      <c r="M10" s="57">
        <f>SUM(M3:M9)</f>
        <v>5</v>
      </c>
      <c r="O10" s="135" t="s">
        <v>101</v>
      </c>
      <c r="P10" s="334" t="s">
        <v>150</v>
      </c>
      <c r="Q10" s="130">
        <v>75</v>
      </c>
    </row>
    <row r="11" spans="2:17" ht="14.25" thickTop="1" thickBot="1">
      <c r="B11" s="518" t="s">
        <v>195</v>
      </c>
      <c r="C11" s="32"/>
      <c r="D11" s="72">
        <v>1.0416666666666666E-2</v>
      </c>
      <c r="M11" s="49"/>
      <c r="O11" s="136" t="s">
        <v>100</v>
      </c>
      <c r="P11" s="335" t="s">
        <v>150</v>
      </c>
      <c r="Q11" s="129">
        <v>85</v>
      </c>
    </row>
    <row r="12" spans="2:17" ht="13.5" thickBot="1">
      <c r="B12" s="34" t="s">
        <v>106</v>
      </c>
      <c r="C12" s="32"/>
      <c r="D12" s="72">
        <v>0</v>
      </c>
      <c r="E12" s="179" t="str">
        <f>IF(ISTEXT(B_Year),"???","")</f>
        <v/>
      </c>
      <c r="F12" s="354" t="s">
        <v>207</v>
      </c>
      <c r="G12" s="529"/>
      <c r="H12" s="361"/>
      <c r="O12" s="337" t="s">
        <v>1</v>
      </c>
      <c r="P12" s="336" t="s">
        <v>150</v>
      </c>
      <c r="Q12" s="329" t="str">
        <f>""</f>
        <v/>
      </c>
    </row>
    <row r="13" spans="2:17">
      <c r="B13" s="34" t="s">
        <v>105</v>
      </c>
      <c r="C13" s="32"/>
      <c r="D13" s="72">
        <v>0</v>
      </c>
      <c r="F13" s="545" t="s">
        <v>208</v>
      </c>
      <c r="G13" s="546"/>
      <c r="H13" s="547"/>
      <c r="O13" s="123"/>
      <c r="P13" s="122"/>
      <c r="Q13" s="124"/>
    </row>
    <row r="14" spans="2:17">
      <c r="B14" s="29" t="s">
        <v>204</v>
      </c>
      <c r="C14" s="30"/>
      <c r="D14" s="524">
        <v>0.38541666666666669</v>
      </c>
      <c r="F14" s="542" t="s">
        <v>216</v>
      </c>
      <c r="G14" s="543"/>
      <c r="H14" s="544"/>
      <c r="O14" s="123"/>
      <c r="P14" s="122"/>
      <c r="Q14" s="124"/>
    </row>
    <row r="15" spans="2:17">
      <c r="B15" s="123"/>
      <c r="D15" s="538"/>
      <c r="F15" s="542" t="s">
        <v>214</v>
      </c>
      <c r="G15" s="543"/>
      <c r="H15" s="544"/>
      <c r="O15" s="123"/>
      <c r="P15" s="122"/>
      <c r="Q15" s="124"/>
    </row>
    <row r="16" spans="2:17" ht="13.5" thickBot="1">
      <c r="F16" s="539" t="s">
        <v>215</v>
      </c>
      <c r="G16" s="540"/>
      <c r="H16" s="541"/>
      <c r="O16" s="123"/>
      <c r="P16" s="122"/>
      <c r="Q16" s="124"/>
    </row>
    <row r="17" spans="1:18" s="356" customFormat="1" ht="13.5" thickBot="1">
      <c r="B17" s="35" t="s">
        <v>34</v>
      </c>
      <c r="C17" s="36"/>
      <c r="D17" s="140">
        <v>44834</v>
      </c>
      <c r="E17" s="23"/>
      <c r="F17" s="468" t="s">
        <v>209</v>
      </c>
      <c r="G17" s="23"/>
      <c r="H17" s="23"/>
      <c r="J17" s="354" t="s">
        <v>9</v>
      </c>
      <c r="K17" s="355"/>
      <c r="L17" s="593" t="s">
        <v>46</v>
      </c>
      <c r="M17" s="594"/>
      <c r="N17" s="594"/>
      <c r="O17" s="594"/>
      <c r="P17" s="594"/>
      <c r="Q17" s="361"/>
    </row>
    <row r="18" spans="1:18">
      <c r="A18" s="356"/>
      <c r="B18" s="123"/>
      <c r="D18" s="537"/>
      <c r="J18" s="349" t="s">
        <v>100</v>
      </c>
      <c r="K18" s="43"/>
      <c r="L18" s="595" t="s">
        <v>49</v>
      </c>
      <c r="M18" s="596"/>
      <c r="N18" s="596"/>
      <c r="O18" s="596"/>
      <c r="P18" s="596"/>
      <c r="Q18" s="597"/>
    </row>
    <row r="19" spans="1:18">
      <c r="A19" s="356"/>
      <c r="B19" s="123"/>
      <c r="D19" s="537"/>
      <c r="J19" s="359" t="s">
        <v>101</v>
      </c>
      <c r="K19" s="360"/>
      <c r="L19" s="600" t="s">
        <v>50</v>
      </c>
      <c r="M19" s="601"/>
      <c r="N19" s="601"/>
      <c r="O19" s="601"/>
      <c r="P19" s="601"/>
      <c r="Q19" s="602"/>
    </row>
    <row r="20" spans="1:18">
      <c r="B20" s="45" t="s">
        <v>59</v>
      </c>
      <c r="E20" s="356"/>
      <c r="F20" s="356"/>
      <c r="G20" s="356"/>
      <c r="H20" s="356"/>
      <c r="J20" s="352" t="s">
        <v>111</v>
      </c>
      <c r="K20" s="353"/>
      <c r="L20" s="603" t="s">
        <v>51</v>
      </c>
      <c r="M20" s="604"/>
      <c r="N20" s="604"/>
      <c r="O20" s="604"/>
      <c r="P20" s="604"/>
      <c r="Q20" s="605"/>
    </row>
    <row r="21" spans="1:18">
      <c r="J21" s="496" t="s">
        <v>180</v>
      </c>
      <c r="K21" s="351"/>
      <c r="L21" s="606"/>
      <c r="M21" s="607"/>
      <c r="N21" s="607"/>
      <c r="O21" s="607"/>
      <c r="P21" s="607"/>
      <c r="Q21" s="608"/>
      <c r="R21" s="459"/>
    </row>
    <row r="22" spans="1:18">
      <c r="B22" s="38" t="s">
        <v>257</v>
      </c>
      <c r="C22" s="39"/>
      <c r="D22" s="39"/>
      <c r="E22" s="39"/>
      <c r="F22" s="39"/>
      <c r="G22" s="39"/>
      <c r="H22" s="40"/>
      <c r="J22" s="497" t="s">
        <v>181</v>
      </c>
      <c r="K22" s="358"/>
      <c r="L22" s="582"/>
      <c r="M22" s="583"/>
      <c r="N22" s="583"/>
      <c r="O22" s="583"/>
      <c r="P22" s="583"/>
      <c r="Q22" s="584"/>
      <c r="R22" s="459"/>
    </row>
    <row r="23" spans="1:18">
      <c r="B23" s="41"/>
      <c r="C23" s="42"/>
      <c r="D23" s="42"/>
      <c r="E23" s="42"/>
      <c r="F23" s="42"/>
      <c r="G23" s="42"/>
      <c r="H23" s="43"/>
      <c r="J23" s="496" t="s">
        <v>182</v>
      </c>
      <c r="K23" s="351"/>
      <c r="L23" s="606"/>
      <c r="M23" s="607"/>
      <c r="N23" s="607"/>
      <c r="O23" s="607"/>
      <c r="P23" s="607"/>
      <c r="Q23" s="608"/>
      <c r="R23" s="459"/>
    </row>
    <row r="24" spans="1:18">
      <c r="B24" s="41" t="s">
        <v>115</v>
      </c>
      <c r="C24" s="42" t="s">
        <v>116</v>
      </c>
      <c r="D24" s="42"/>
      <c r="E24" s="42"/>
      <c r="F24" s="42"/>
      <c r="G24" s="42"/>
      <c r="H24" s="43"/>
      <c r="J24" s="497" t="s">
        <v>183</v>
      </c>
      <c r="K24" s="358"/>
      <c r="L24" s="582"/>
      <c r="M24" s="583"/>
      <c r="N24" s="583"/>
      <c r="O24" s="583"/>
      <c r="P24" s="583"/>
      <c r="Q24" s="584"/>
      <c r="R24" s="459"/>
    </row>
    <row r="25" spans="1:18">
      <c r="B25" s="41"/>
      <c r="C25" s="557" t="s">
        <v>256</v>
      </c>
      <c r="D25" s="42"/>
      <c r="E25" s="42"/>
      <c r="F25" s="42"/>
      <c r="G25" s="42"/>
      <c r="H25" s="43"/>
      <c r="J25" s="496" t="s">
        <v>184</v>
      </c>
      <c r="K25" s="351"/>
      <c r="L25" s="606"/>
      <c r="M25" s="607"/>
      <c r="N25" s="607"/>
      <c r="O25" s="607"/>
      <c r="P25" s="607"/>
      <c r="Q25" s="608"/>
      <c r="R25" s="459"/>
    </row>
    <row r="26" spans="1:18">
      <c r="B26" s="41"/>
      <c r="C26" s="42"/>
      <c r="D26" s="42"/>
      <c r="E26" s="42"/>
      <c r="F26" s="42"/>
      <c r="G26" s="42"/>
      <c r="H26" s="43"/>
      <c r="J26" s="497" t="s">
        <v>185</v>
      </c>
      <c r="K26" s="358"/>
      <c r="L26" s="582"/>
      <c r="M26" s="583"/>
      <c r="N26" s="583"/>
      <c r="O26" s="583"/>
      <c r="P26" s="583"/>
      <c r="Q26" s="584"/>
      <c r="R26" s="459"/>
    </row>
    <row r="27" spans="1:18">
      <c r="B27" s="41"/>
      <c r="C27" s="42" t="s">
        <v>58</v>
      </c>
      <c r="D27" s="42"/>
      <c r="E27" s="42"/>
      <c r="F27" s="42"/>
      <c r="G27" s="42"/>
      <c r="H27" s="43"/>
      <c r="J27" s="496" t="s">
        <v>186</v>
      </c>
      <c r="K27" s="351"/>
      <c r="L27" s="606"/>
      <c r="M27" s="607"/>
      <c r="N27" s="607"/>
      <c r="O27" s="607"/>
      <c r="P27" s="607"/>
      <c r="Q27" s="608"/>
      <c r="R27" s="459"/>
    </row>
    <row r="28" spans="1:18" ht="12.75" customHeight="1">
      <c r="B28" s="41"/>
      <c r="C28" s="557" t="s">
        <v>221</v>
      </c>
      <c r="D28" s="42"/>
      <c r="E28" s="42"/>
      <c r="F28" s="42"/>
      <c r="G28" s="42"/>
      <c r="H28" s="43"/>
      <c r="J28" s="497" t="s">
        <v>187</v>
      </c>
      <c r="K28" s="358"/>
      <c r="L28" s="582"/>
      <c r="M28" s="583"/>
      <c r="N28" s="583"/>
      <c r="O28" s="583"/>
      <c r="P28" s="583"/>
      <c r="Q28" s="584"/>
      <c r="R28" s="459"/>
    </row>
    <row r="29" spans="1:18">
      <c r="B29" s="41"/>
      <c r="C29" s="42"/>
      <c r="D29" s="42"/>
      <c r="E29" s="42"/>
      <c r="F29" s="42"/>
      <c r="G29" s="42"/>
      <c r="H29" s="43"/>
      <c r="J29" s="496" t="s">
        <v>188</v>
      </c>
      <c r="K29" s="351"/>
      <c r="L29" s="606"/>
      <c r="M29" s="607"/>
      <c r="N29" s="607"/>
      <c r="O29" s="607"/>
      <c r="P29" s="607"/>
      <c r="Q29" s="608"/>
      <c r="R29" s="459"/>
    </row>
    <row r="30" spans="1:18">
      <c r="B30" s="585" t="s">
        <v>253</v>
      </c>
      <c r="C30" s="586"/>
      <c r="D30" s="586"/>
      <c r="E30" s="586"/>
      <c r="F30" s="586"/>
      <c r="G30" s="586"/>
      <c r="H30" s="587"/>
      <c r="J30" s="357" t="s">
        <v>72</v>
      </c>
      <c r="K30" s="358"/>
      <c r="L30" s="582"/>
      <c r="M30" s="583"/>
      <c r="N30" s="583"/>
      <c r="O30" s="583"/>
      <c r="P30" s="583"/>
      <c r="Q30" s="584"/>
      <c r="R30" s="459"/>
    </row>
    <row r="31" spans="1:18">
      <c r="B31" s="588"/>
      <c r="C31" s="586"/>
      <c r="D31" s="586"/>
      <c r="E31" s="586"/>
      <c r="F31" s="586"/>
      <c r="G31" s="586"/>
      <c r="H31" s="587"/>
      <c r="J31" s="350" t="s">
        <v>73</v>
      </c>
      <c r="K31" s="351"/>
      <c r="L31" s="606"/>
      <c r="M31" s="607"/>
      <c r="N31" s="607"/>
      <c r="O31" s="607"/>
      <c r="P31" s="607"/>
      <c r="Q31" s="608"/>
      <c r="R31" s="459"/>
    </row>
    <row r="32" spans="1:18">
      <c r="B32" s="588"/>
      <c r="C32" s="586"/>
      <c r="D32" s="586"/>
      <c r="E32" s="586"/>
      <c r="F32" s="586"/>
      <c r="G32" s="586"/>
      <c r="H32" s="587"/>
      <c r="J32" s="357" t="s">
        <v>74</v>
      </c>
      <c r="K32" s="358"/>
      <c r="L32" s="582"/>
      <c r="M32" s="583"/>
      <c r="N32" s="583"/>
      <c r="O32" s="583"/>
      <c r="P32" s="583"/>
      <c r="Q32" s="584"/>
      <c r="R32" s="459"/>
    </row>
    <row r="33" spans="2:18">
      <c r="B33" s="588"/>
      <c r="C33" s="586"/>
      <c r="D33" s="586"/>
      <c r="E33" s="586"/>
      <c r="F33" s="586"/>
      <c r="G33" s="586"/>
      <c r="H33" s="587"/>
      <c r="J33" s="350" t="s">
        <v>75</v>
      </c>
      <c r="K33" s="351"/>
      <c r="L33" s="606"/>
      <c r="M33" s="607"/>
      <c r="N33" s="607"/>
      <c r="O33" s="607"/>
      <c r="P33" s="607"/>
      <c r="Q33" s="608"/>
      <c r="R33" s="459"/>
    </row>
    <row r="34" spans="2:18">
      <c r="B34" s="588"/>
      <c r="C34" s="586"/>
      <c r="D34" s="586"/>
      <c r="E34" s="586"/>
      <c r="F34" s="586"/>
      <c r="G34" s="586"/>
      <c r="H34" s="587"/>
      <c r="J34" s="357" t="s">
        <v>76</v>
      </c>
      <c r="K34" s="358"/>
      <c r="L34" s="582"/>
      <c r="M34" s="583"/>
      <c r="N34" s="583"/>
      <c r="O34" s="583"/>
      <c r="P34" s="583"/>
      <c r="Q34" s="584"/>
      <c r="R34" s="459"/>
    </row>
    <row r="35" spans="2:18">
      <c r="B35" s="588"/>
      <c r="C35" s="586"/>
      <c r="D35" s="586"/>
      <c r="E35" s="586"/>
      <c r="F35" s="586"/>
      <c r="G35" s="586"/>
      <c r="H35" s="587"/>
      <c r="J35" s="350" t="s">
        <v>77</v>
      </c>
      <c r="K35" s="351"/>
      <c r="L35" s="606"/>
      <c r="M35" s="607"/>
      <c r="N35" s="607"/>
      <c r="O35" s="607"/>
      <c r="P35" s="607"/>
      <c r="Q35" s="608"/>
      <c r="R35" s="459"/>
    </row>
    <row r="36" spans="2:18">
      <c r="B36" s="588"/>
      <c r="C36" s="586"/>
      <c r="D36" s="586"/>
      <c r="E36" s="586"/>
      <c r="F36" s="586"/>
      <c r="G36" s="586"/>
      <c r="H36" s="587"/>
      <c r="J36" s="357" t="s">
        <v>78</v>
      </c>
      <c r="K36" s="358"/>
      <c r="L36" s="582"/>
      <c r="M36" s="583"/>
      <c r="N36" s="583"/>
      <c r="O36" s="583"/>
      <c r="P36" s="583"/>
      <c r="Q36" s="584"/>
      <c r="R36" s="459"/>
    </row>
    <row r="37" spans="2:18">
      <c r="B37" s="588"/>
      <c r="C37" s="586"/>
      <c r="D37" s="586"/>
      <c r="E37" s="586"/>
      <c r="F37" s="586"/>
      <c r="G37" s="586"/>
      <c r="H37" s="587"/>
      <c r="J37" s="350" t="s">
        <v>138</v>
      </c>
      <c r="K37" s="351"/>
      <c r="L37" s="606"/>
      <c r="M37" s="607"/>
      <c r="N37" s="607"/>
      <c r="O37" s="607"/>
      <c r="P37" s="607"/>
      <c r="Q37" s="608"/>
      <c r="R37" s="459"/>
    </row>
    <row r="38" spans="2:18">
      <c r="B38" s="588"/>
      <c r="C38" s="586"/>
      <c r="D38" s="586"/>
      <c r="E38" s="586"/>
      <c r="F38" s="586"/>
      <c r="G38" s="586"/>
      <c r="H38" s="587"/>
      <c r="J38" s="357" t="s">
        <v>79</v>
      </c>
      <c r="K38" s="358"/>
      <c r="L38" s="582"/>
      <c r="M38" s="583"/>
      <c r="N38" s="583"/>
      <c r="O38" s="583"/>
      <c r="P38" s="583"/>
      <c r="Q38" s="584"/>
      <c r="R38" s="459"/>
    </row>
    <row r="39" spans="2:18">
      <c r="B39" s="588"/>
      <c r="C39" s="586"/>
      <c r="D39" s="586"/>
      <c r="E39" s="586"/>
      <c r="F39" s="586"/>
      <c r="G39" s="586"/>
      <c r="H39" s="587"/>
      <c r="J39" s="566" t="s">
        <v>80</v>
      </c>
      <c r="K39" s="351"/>
      <c r="L39" s="606"/>
      <c r="M39" s="607"/>
      <c r="N39" s="607"/>
      <c r="O39" s="607"/>
      <c r="P39" s="607"/>
      <c r="Q39" s="608"/>
      <c r="R39" s="459"/>
    </row>
    <row r="40" spans="2:18">
      <c r="B40" s="588"/>
      <c r="C40" s="586"/>
      <c r="D40" s="586"/>
      <c r="E40" s="586"/>
      <c r="F40" s="586"/>
      <c r="G40" s="586"/>
      <c r="H40" s="587"/>
      <c r="J40" s="357" t="s">
        <v>222</v>
      </c>
      <c r="K40" s="358"/>
      <c r="L40" s="582"/>
      <c r="M40" s="583"/>
      <c r="N40" s="583"/>
      <c r="O40" s="583"/>
      <c r="P40" s="583"/>
      <c r="Q40" s="584"/>
    </row>
    <row r="41" spans="2:18">
      <c r="B41" s="588"/>
      <c r="C41" s="586"/>
      <c r="D41" s="586"/>
      <c r="E41" s="586"/>
      <c r="F41" s="586"/>
      <c r="G41" s="586"/>
      <c r="H41" s="587"/>
      <c r="J41" s="350" t="s">
        <v>223</v>
      </c>
      <c r="K41" s="351"/>
      <c r="L41" s="606"/>
      <c r="M41" s="607"/>
      <c r="N41" s="607"/>
      <c r="O41" s="607"/>
      <c r="P41" s="607"/>
      <c r="Q41" s="608"/>
    </row>
    <row r="42" spans="2:18">
      <c r="B42" s="588"/>
      <c r="C42" s="586"/>
      <c r="D42" s="586"/>
      <c r="E42" s="586"/>
      <c r="F42" s="586"/>
      <c r="G42" s="586"/>
      <c r="H42" s="587"/>
      <c r="J42" s="357" t="s">
        <v>224</v>
      </c>
      <c r="K42" s="358"/>
      <c r="L42" s="582"/>
      <c r="M42" s="583"/>
      <c r="N42" s="583"/>
      <c r="O42" s="583"/>
      <c r="P42" s="583"/>
      <c r="Q42" s="584"/>
    </row>
    <row r="43" spans="2:18">
      <c r="B43" s="588"/>
      <c r="C43" s="586"/>
      <c r="D43" s="586"/>
      <c r="E43" s="586"/>
      <c r="F43" s="586"/>
      <c r="G43" s="586"/>
      <c r="H43" s="587"/>
      <c r="J43" s="350" t="s">
        <v>225</v>
      </c>
      <c r="K43" s="351"/>
      <c r="L43" s="606"/>
      <c r="M43" s="607"/>
      <c r="N43" s="607"/>
      <c r="O43" s="607"/>
      <c r="P43" s="607"/>
      <c r="Q43" s="608"/>
    </row>
    <row r="44" spans="2:18">
      <c r="B44" s="588"/>
      <c r="C44" s="586"/>
      <c r="D44" s="586"/>
      <c r="E44" s="586"/>
      <c r="F44" s="586"/>
      <c r="G44" s="586"/>
      <c r="H44" s="587"/>
      <c r="J44" s="357" t="s">
        <v>226</v>
      </c>
      <c r="K44" s="358"/>
      <c r="L44" s="582"/>
      <c r="M44" s="583"/>
      <c r="N44" s="583"/>
      <c r="O44" s="583"/>
      <c r="P44" s="583"/>
      <c r="Q44" s="584"/>
    </row>
    <row r="45" spans="2:18">
      <c r="B45" s="588"/>
      <c r="C45" s="586"/>
      <c r="D45" s="586"/>
      <c r="E45" s="586"/>
      <c r="F45" s="586"/>
      <c r="G45" s="586"/>
      <c r="H45" s="587"/>
      <c r="J45" s="350" t="s">
        <v>227</v>
      </c>
      <c r="K45" s="351"/>
      <c r="L45" s="606"/>
      <c r="M45" s="607"/>
      <c r="N45" s="607"/>
      <c r="O45" s="607"/>
      <c r="P45" s="607"/>
      <c r="Q45" s="608"/>
    </row>
    <row r="46" spans="2:18">
      <c r="B46" s="588"/>
      <c r="C46" s="586"/>
      <c r="D46" s="586"/>
      <c r="E46" s="586"/>
      <c r="F46" s="586"/>
      <c r="G46" s="586"/>
      <c r="H46" s="587"/>
      <c r="I46" s="24"/>
      <c r="J46" s="357" t="s">
        <v>228</v>
      </c>
      <c r="K46" s="358"/>
      <c r="L46" s="582"/>
      <c r="M46" s="583"/>
      <c r="N46" s="583"/>
      <c r="O46" s="583"/>
      <c r="P46" s="583"/>
      <c r="Q46" s="584"/>
    </row>
    <row r="47" spans="2:18" ht="12.75" customHeight="1">
      <c r="B47" s="588"/>
      <c r="C47" s="586"/>
      <c r="D47" s="586"/>
      <c r="E47" s="586"/>
      <c r="F47" s="586"/>
      <c r="G47" s="586"/>
      <c r="H47" s="587"/>
      <c r="I47" s="24"/>
      <c r="J47" s="350" t="s">
        <v>229</v>
      </c>
      <c r="K47" s="351"/>
      <c r="L47" s="606"/>
      <c r="M47" s="607"/>
      <c r="N47" s="607"/>
      <c r="O47" s="607"/>
      <c r="P47" s="607"/>
      <c r="Q47" s="608"/>
    </row>
    <row r="48" spans="2:18" ht="12.75" customHeight="1">
      <c r="B48" s="588"/>
      <c r="C48" s="586"/>
      <c r="D48" s="586"/>
      <c r="E48" s="586"/>
      <c r="F48" s="586"/>
      <c r="G48" s="586"/>
      <c r="H48" s="587"/>
      <c r="I48" s="24"/>
      <c r="J48" s="357" t="s">
        <v>230</v>
      </c>
      <c r="K48" s="358"/>
      <c r="L48" s="582"/>
      <c r="M48" s="583"/>
      <c r="N48" s="583"/>
      <c r="O48" s="583"/>
      <c r="P48" s="583"/>
      <c r="Q48" s="584"/>
    </row>
    <row r="49" spans="1:17" ht="12.75" customHeight="1">
      <c r="B49" s="589"/>
      <c r="C49" s="590"/>
      <c r="D49" s="590"/>
      <c r="E49" s="590"/>
      <c r="F49" s="590"/>
      <c r="G49" s="590"/>
      <c r="H49" s="591"/>
      <c r="I49" s="24"/>
      <c r="J49" s="350" t="s">
        <v>231</v>
      </c>
      <c r="K49" s="351"/>
      <c r="L49" s="606"/>
      <c r="M49" s="607"/>
      <c r="N49" s="607"/>
      <c r="O49" s="607"/>
      <c r="P49" s="607"/>
      <c r="Q49" s="608"/>
    </row>
    <row r="50" spans="1:17">
      <c r="A50" s="44"/>
      <c r="C50" s="24"/>
      <c r="D50" s="24"/>
      <c r="E50" s="24"/>
      <c r="F50" s="24"/>
      <c r="G50" s="24"/>
      <c r="H50" s="24"/>
      <c r="J50" s="357" t="s">
        <v>232</v>
      </c>
      <c r="K50" s="358"/>
      <c r="L50" s="582"/>
      <c r="M50" s="583"/>
      <c r="N50" s="583"/>
      <c r="O50" s="583"/>
      <c r="P50" s="583"/>
      <c r="Q50" s="584"/>
    </row>
    <row r="51" spans="1:17">
      <c r="J51" s="350" t="s">
        <v>233</v>
      </c>
      <c r="K51" s="351"/>
      <c r="L51" s="606"/>
      <c r="M51" s="607"/>
      <c r="N51" s="607"/>
      <c r="O51" s="607"/>
      <c r="P51" s="607"/>
      <c r="Q51" s="608"/>
    </row>
    <row r="52" spans="1:17">
      <c r="J52" s="357" t="s">
        <v>234</v>
      </c>
      <c r="K52" s="358"/>
      <c r="L52" s="582"/>
      <c r="M52" s="583"/>
      <c r="N52" s="583"/>
      <c r="O52" s="583"/>
      <c r="P52" s="583"/>
      <c r="Q52" s="584"/>
    </row>
    <row r="53" spans="1:17">
      <c r="J53" s="350" t="s">
        <v>235</v>
      </c>
      <c r="K53" s="351"/>
      <c r="L53" s="606"/>
      <c r="M53" s="607"/>
      <c r="N53" s="607"/>
      <c r="O53" s="607"/>
      <c r="P53" s="607"/>
      <c r="Q53" s="608"/>
    </row>
    <row r="54" spans="1:17">
      <c r="J54" s="357" t="s">
        <v>236</v>
      </c>
      <c r="K54" s="358"/>
      <c r="L54" s="582"/>
      <c r="M54" s="583"/>
      <c r="N54" s="583"/>
      <c r="O54" s="583"/>
      <c r="P54" s="583"/>
      <c r="Q54" s="584"/>
    </row>
    <row r="55" spans="1:17">
      <c r="J55" s="350" t="s">
        <v>237</v>
      </c>
      <c r="K55" s="351"/>
      <c r="L55" s="606"/>
      <c r="M55" s="607"/>
      <c r="N55" s="607"/>
      <c r="O55" s="607"/>
      <c r="P55" s="607"/>
      <c r="Q55" s="608"/>
    </row>
    <row r="56" spans="1:17">
      <c r="J56" s="357" t="s">
        <v>238</v>
      </c>
      <c r="K56" s="358"/>
      <c r="L56" s="582"/>
      <c r="M56" s="583"/>
      <c r="N56" s="583"/>
      <c r="O56" s="583"/>
      <c r="P56" s="583"/>
      <c r="Q56" s="584"/>
    </row>
    <row r="57" spans="1:17">
      <c r="J57" s="350" t="s">
        <v>239</v>
      </c>
      <c r="K57" s="351"/>
      <c r="L57" s="606"/>
      <c r="M57" s="607"/>
      <c r="N57" s="607"/>
      <c r="O57" s="607"/>
      <c r="P57" s="607"/>
      <c r="Q57" s="608"/>
    </row>
    <row r="58" spans="1:17">
      <c r="J58" s="357" t="s">
        <v>240</v>
      </c>
      <c r="K58" s="358"/>
      <c r="L58" s="582"/>
      <c r="M58" s="583"/>
      <c r="N58" s="583"/>
      <c r="O58" s="583"/>
      <c r="P58" s="583"/>
      <c r="Q58" s="584"/>
    </row>
    <row r="59" spans="1:17">
      <c r="J59" s="350" t="s">
        <v>241</v>
      </c>
      <c r="K59" s="351"/>
      <c r="L59" s="606"/>
      <c r="M59" s="607"/>
      <c r="N59" s="607"/>
      <c r="O59" s="607"/>
      <c r="P59" s="607"/>
      <c r="Q59" s="608"/>
    </row>
    <row r="60" spans="1:17">
      <c r="J60" s="357" t="s">
        <v>242</v>
      </c>
      <c r="K60" s="358"/>
      <c r="L60" s="582"/>
      <c r="M60" s="583"/>
      <c r="N60" s="583"/>
      <c r="O60" s="583"/>
      <c r="P60" s="583"/>
      <c r="Q60" s="584"/>
    </row>
    <row r="61" spans="1:17">
      <c r="J61" s="350" t="s">
        <v>243</v>
      </c>
      <c r="K61" s="351"/>
      <c r="L61" s="606"/>
      <c r="M61" s="607"/>
      <c r="N61" s="607"/>
      <c r="O61" s="607"/>
      <c r="P61" s="607"/>
      <c r="Q61" s="608"/>
    </row>
    <row r="62" spans="1:17">
      <c r="J62" s="357" t="s">
        <v>244</v>
      </c>
      <c r="K62" s="358"/>
      <c r="L62" s="582"/>
      <c r="M62" s="583"/>
      <c r="N62" s="583"/>
      <c r="O62" s="583"/>
      <c r="P62" s="583"/>
      <c r="Q62" s="584"/>
    </row>
    <row r="63" spans="1:17">
      <c r="J63" s="350" t="s">
        <v>245</v>
      </c>
      <c r="K63" s="351"/>
      <c r="L63" s="606"/>
      <c r="M63" s="607"/>
      <c r="N63" s="607"/>
      <c r="O63" s="607"/>
      <c r="P63" s="607"/>
      <c r="Q63" s="608"/>
    </row>
    <row r="64" spans="1:17">
      <c r="J64" s="357" t="s">
        <v>246</v>
      </c>
      <c r="K64" s="358"/>
      <c r="L64" s="582"/>
      <c r="M64" s="583"/>
      <c r="N64" s="583"/>
      <c r="O64" s="583"/>
      <c r="P64" s="583"/>
      <c r="Q64" s="584"/>
    </row>
    <row r="65" spans="10:17">
      <c r="J65" s="350" t="s">
        <v>247</v>
      </c>
      <c r="K65" s="351"/>
      <c r="L65" s="606"/>
      <c r="M65" s="607"/>
      <c r="N65" s="607"/>
      <c r="O65" s="607"/>
      <c r="P65" s="607"/>
      <c r="Q65" s="608"/>
    </row>
    <row r="66" spans="10:17">
      <c r="J66" s="357" t="s">
        <v>248</v>
      </c>
      <c r="K66" s="358"/>
      <c r="L66" s="582"/>
      <c r="M66" s="583"/>
      <c r="N66" s="583"/>
      <c r="O66" s="583"/>
      <c r="P66" s="583"/>
      <c r="Q66" s="584"/>
    </row>
    <row r="67" spans="10:17">
      <c r="J67" s="566" t="s">
        <v>249</v>
      </c>
      <c r="K67" s="351"/>
      <c r="L67" s="606"/>
      <c r="M67" s="607"/>
      <c r="N67" s="607"/>
      <c r="O67" s="607"/>
      <c r="P67" s="607"/>
      <c r="Q67" s="608"/>
    </row>
    <row r="68" spans="10:17">
      <c r="J68" s="357" t="s">
        <v>250</v>
      </c>
      <c r="K68" s="358"/>
      <c r="L68" s="582"/>
      <c r="M68" s="583"/>
      <c r="N68" s="583"/>
      <c r="O68" s="583"/>
      <c r="P68" s="583"/>
      <c r="Q68" s="584"/>
    </row>
    <row r="69" spans="10:17">
      <c r="J69" s="566" t="s">
        <v>251</v>
      </c>
      <c r="K69" s="351"/>
      <c r="L69" s="606"/>
      <c r="M69" s="607"/>
      <c r="N69" s="607"/>
      <c r="O69" s="607"/>
      <c r="P69" s="607"/>
      <c r="Q69" s="608"/>
    </row>
    <row r="70" spans="10:17">
      <c r="J70" s="357" t="s">
        <v>252</v>
      </c>
      <c r="K70" s="358"/>
      <c r="L70" s="582"/>
      <c r="M70" s="583"/>
      <c r="N70" s="583"/>
      <c r="O70" s="583"/>
      <c r="P70" s="583"/>
      <c r="Q70" s="584"/>
    </row>
    <row r="71" spans="10:17">
      <c r="J71" s="559" t="s">
        <v>203</v>
      </c>
      <c r="K71" s="560"/>
      <c r="L71" s="560"/>
      <c r="M71" s="560"/>
      <c r="N71" s="560"/>
      <c r="O71" s="561"/>
      <c r="P71" s="562"/>
      <c r="Q71" s="563"/>
    </row>
    <row r="72" spans="10:17">
      <c r="O72" s="123"/>
      <c r="P72" s="122"/>
      <c r="Q72" s="124"/>
    </row>
    <row r="73" spans="10:17">
      <c r="O73" s="123"/>
      <c r="P73" s="122"/>
      <c r="Q73" s="124"/>
    </row>
    <row r="74" spans="10:17">
      <c r="O74" s="23"/>
    </row>
    <row r="75" spans="10:17">
      <c r="O75" s="23"/>
    </row>
    <row r="76" spans="10:17">
      <c r="O76" s="23"/>
    </row>
    <row r="77" spans="10:17">
      <c r="O77" s="23"/>
    </row>
    <row r="78" spans="10:17">
      <c r="O78" s="23"/>
    </row>
  </sheetData>
  <mergeCells count="60">
    <mergeCell ref="L69:Q69"/>
    <mergeCell ref="L61:Q61"/>
    <mergeCell ref="L67:Q67"/>
    <mergeCell ref="L68:Q68"/>
    <mergeCell ref="L62:Q62"/>
    <mergeCell ref="L63:Q63"/>
    <mergeCell ref="L64:Q64"/>
    <mergeCell ref="L65:Q65"/>
    <mergeCell ref="L66:Q66"/>
    <mergeCell ref="L56:Q56"/>
    <mergeCell ref="L57:Q57"/>
    <mergeCell ref="L58:Q58"/>
    <mergeCell ref="L59:Q59"/>
    <mergeCell ref="L60:Q60"/>
    <mergeCell ref="L51:Q51"/>
    <mergeCell ref="L52:Q52"/>
    <mergeCell ref="L53:Q53"/>
    <mergeCell ref="L54:Q54"/>
    <mergeCell ref="L55:Q55"/>
    <mergeCell ref="L46:Q46"/>
    <mergeCell ref="L47:Q47"/>
    <mergeCell ref="L48:Q48"/>
    <mergeCell ref="L49:Q49"/>
    <mergeCell ref="L50:Q50"/>
    <mergeCell ref="L41:Q41"/>
    <mergeCell ref="L42:Q42"/>
    <mergeCell ref="L43:Q43"/>
    <mergeCell ref="L44:Q44"/>
    <mergeCell ref="L45:Q45"/>
    <mergeCell ref="L36:Q36"/>
    <mergeCell ref="L37:Q37"/>
    <mergeCell ref="L38:Q38"/>
    <mergeCell ref="L39:Q39"/>
    <mergeCell ref="L40:Q40"/>
    <mergeCell ref="L30:Q30"/>
    <mergeCell ref="L31:Q31"/>
    <mergeCell ref="L33:Q33"/>
    <mergeCell ref="L34:Q34"/>
    <mergeCell ref="L35:Q35"/>
    <mergeCell ref="L25:Q25"/>
    <mergeCell ref="L26:Q26"/>
    <mergeCell ref="L27:Q27"/>
    <mergeCell ref="L28:Q28"/>
    <mergeCell ref="L29:Q29"/>
    <mergeCell ref="L70:Q70"/>
    <mergeCell ref="B30:H49"/>
    <mergeCell ref="B1:D1"/>
    <mergeCell ref="F1:H1"/>
    <mergeCell ref="J1:L1"/>
    <mergeCell ref="L17:P17"/>
    <mergeCell ref="L18:Q18"/>
    <mergeCell ref="O2:Q2"/>
    <mergeCell ref="O1:Q1"/>
    <mergeCell ref="L19:Q19"/>
    <mergeCell ref="L20:Q20"/>
    <mergeCell ref="L32:Q32"/>
    <mergeCell ref="L21:Q21"/>
    <mergeCell ref="L22:Q22"/>
    <mergeCell ref="L23:Q23"/>
    <mergeCell ref="L24:Q24"/>
  </mergeCells>
  <phoneticPr fontId="0" type="noConversion"/>
  <pageMargins left="0.78740157499999996" right="0.78740157499999996" top="0.984251969" bottom="0.984251969" header="0.4921259845" footer="0.4921259845"/>
  <pageSetup orientation="portrait" horizontalDpi="240" verticalDpi="144" r:id="rId1"/>
  <headerFooter alignWithMargins="0"/>
  <ignoredErrors>
    <ignoredError sqref="E12"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C17"/>
  <sheetViews>
    <sheetView workbookViewId="0">
      <selection activeCell="B22" sqref="B22"/>
    </sheetView>
  </sheetViews>
  <sheetFormatPr baseColWidth="10" defaultColWidth="11.5703125" defaultRowHeight="12.75"/>
  <cols>
    <col min="1" max="1" width="3" customWidth="1"/>
    <col min="2" max="2" width="22.140625" customWidth="1"/>
    <col min="3" max="3" width="23.7109375" customWidth="1"/>
    <col min="4" max="4" width="36.140625" customWidth="1"/>
  </cols>
  <sheetData>
    <row r="1" spans="2:3">
      <c r="B1" s="47"/>
    </row>
    <row r="2" spans="2:3" ht="16.5" thickBot="1">
      <c r="B2" s="367" t="s">
        <v>2</v>
      </c>
    </row>
    <row r="3" spans="2:3" ht="13.5" thickBot="1">
      <c r="B3" s="365" t="s">
        <v>141</v>
      </c>
      <c r="C3" s="366" t="s">
        <v>142</v>
      </c>
    </row>
    <row r="4" spans="2:3">
      <c r="B4" s="464">
        <f>IF(DATE(YEAR(B_Year),10,3)&lt;B_Year,DATE(YEAR(B_Year)+1,10,3),DATE(YEAR(B_Year),10,3))</f>
        <v>44836</v>
      </c>
      <c r="C4" s="399" t="s">
        <v>133</v>
      </c>
    </row>
    <row r="5" spans="2:3">
      <c r="B5" s="465">
        <f>IF(DATE(YEAR(B_Year),11,1)&lt;B_Year,DATE(YEAR(B_Year)+1,11,1),DATE(YEAR(B_Year),11,1))</f>
        <v>44865</v>
      </c>
      <c r="C5" s="399" t="s">
        <v>134</v>
      </c>
    </row>
    <row r="6" spans="2:3">
      <c r="B6" s="464">
        <f>IF(DATE(YEAR(B_Year),12,25)&lt;B_Year,DATE(YEAR(B_Year)+1,12,25),DATE(YEAR(B_Year),12,25))</f>
        <v>44919</v>
      </c>
      <c r="C6" s="399" t="s">
        <v>135</v>
      </c>
    </row>
    <row r="7" spans="2:3">
      <c r="B7" s="465">
        <f>IF(DATE(YEAR(B_Year),12,26)&lt;B_Year,DATE(YEAR(B_Year)+1,12,26),DATE(YEAR(B_Year),12,26))</f>
        <v>44920</v>
      </c>
      <c r="C7" s="399" t="s">
        <v>136</v>
      </c>
    </row>
    <row r="8" spans="2:3">
      <c r="B8" s="464">
        <f>IF(DATE(YEAR(B_Year),1,1)&lt;B_Year,DATE(YEAR(B_Year)+1,1,1),DATE(YEAR(B_Year),1,1))</f>
        <v>44926</v>
      </c>
      <c r="C8" s="399" t="s">
        <v>137</v>
      </c>
    </row>
    <row r="9" spans="2:3">
      <c r="B9" s="464">
        <f>IF(DATE(YEAR(B_Year),1,6)&lt;B_Year,DATE(YEAR(B_Year)+1,1,6),DATE(YEAR(B_Year),1,6))</f>
        <v>44931</v>
      </c>
      <c r="C9" s="399" t="s">
        <v>143</v>
      </c>
    </row>
    <row r="10" spans="2:3">
      <c r="B10" s="465">
        <f>IF(Karfreitag(YEAR(B_Year))&lt;B_Year,Karfreitag(YEAR(B_Year)+1),Karfreitag(YEAR(B_Year)))</f>
        <v>45010</v>
      </c>
      <c r="C10" s="399" t="s">
        <v>128</v>
      </c>
    </row>
    <row r="11" spans="2:3">
      <c r="B11" s="465">
        <f>IF(OsterSon(YEAR(B_Year))&lt;B_Year,OsterSon(YEAR(B_Year)+1),OsterSon(YEAR(B_Year)))</f>
        <v>45012</v>
      </c>
      <c r="C11" s="399" t="s">
        <v>54</v>
      </c>
    </row>
    <row r="12" spans="2:3">
      <c r="B12" s="465">
        <f>IF(OsterMon(YEAR(B_Year))&lt;B_Year,OsterMon(YEAR(B_Year)+1),OsterMon(YEAR(B_Year)))</f>
        <v>45013</v>
      </c>
      <c r="C12" s="399" t="s">
        <v>129</v>
      </c>
    </row>
    <row r="13" spans="2:3">
      <c r="B13" s="464">
        <f>IF(DATE(YEAR(B_Year),5,1)&lt;B_Year,DATE(YEAR(B_Year)+1,5,1),DATE(YEAR(B_Year),5,1))</f>
        <v>45046</v>
      </c>
      <c r="C13" s="399" t="s">
        <v>132</v>
      </c>
    </row>
    <row r="14" spans="2:3">
      <c r="B14" s="465">
        <f>IF(Himmelfahrt(YEAR(B_Year))&lt;B_Year,Himmelfahrt(YEAR(B_Year)+1),Himmelfahrt(YEAR(B_Year)))</f>
        <v>45051</v>
      </c>
      <c r="C14" s="399" t="s">
        <v>130</v>
      </c>
    </row>
    <row r="15" spans="2:3">
      <c r="B15" s="465">
        <f>IF(PfingstSon(YEAR(B_Year))&lt;B_Year,PfingstSon(YEAR(B_Year)+1),PfingstSon(YEAR(B_Year)))</f>
        <v>45061</v>
      </c>
      <c r="C15" s="399" t="s">
        <v>55</v>
      </c>
    </row>
    <row r="16" spans="2:3">
      <c r="B16" s="465">
        <f>IF(PfingstMon(YEAR(B_Year))&lt;B_Year,PfingstMon(YEAR(B_Year)+1),PfingstMon(YEAR(B_Year)))</f>
        <v>45062</v>
      </c>
      <c r="C16" s="399" t="s">
        <v>131</v>
      </c>
    </row>
    <row r="17" spans="2:3" ht="13.5" thickBot="1">
      <c r="B17" s="580">
        <f>IF(Fronleichnam(YEAR(B_Year))&lt;B_Year,Fronleichnam(YEAR(B_Year)+1),Fronleichnam(YEAR(B_Year)))</f>
        <v>45072</v>
      </c>
      <c r="C17" s="581" t="s">
        <v>144</v>
      </c>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ignoredErrors>
    <ignoredError sqref="B7:B8 B9:B17 B4:B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R30"/>
  <sheetViews>
    <sheetView showGridLines="0" workbookViewId="0">
      <selection activeCell="Q4" sqref="Q4"/>
    </sheetView>
  </sheetViews>
  <sheetFormatPr baseColWidth="10" defaultColWidth="11.42578125" defaultRowHeight="12.75"/>
  <cols>
    <col min="1" max="1" width="10.42578125" style="144" customWidth="1"/>
    <col min="2" max="2" width="5.28515625" style="144" customWidth="1"/>
    <col min="3" max="3" width="6.7109375" style="144" customWidth="1"/>
    <col min="4" max="4" width="5.28515625" style="144" customWidth="1"/>
    <col min="5" max="5" width="6.7109375" style="144" customWidth="1"/>
    <col min="6" max="6" width="9.140625" style="144" bestFit="1" customWidth="1"/>
    <col min="7" max="7" width="6.5703125" style="144" customWidth="1"/>
    <col min="8" max="8" width="12.7109375" style="144" customWidth="1"/>
    <col min="9" max="9" width="6.5703125" style="144" customWidth="1"/>
    <col min="10" max="10" width="8.5703125" style="144" customWidth="1"/>
    <col min="11" max="11" width="6.5703125" style="144" customWidth="1"/>
    <col min="12" max="12" width="7.7109375" style="144" customWidth="1"/>
    <col min="13" max="13" width="7.85546875" style="144" bestFit="1" customWidth="1"/>
    <col min="14" max="14" width="5.7109375" style="144" customWidth="1"/>
    <col min="15" max="18" width="6.7109375" style="144" customWidth="1"/>
    <col min="19" max="19" width="8.42578125" style="144" customWidth="1"/>
    <col min="20" max="20" width="7.28515625" style="144" customWidth="1"/>
    <col min="21" max="21" width="5.85546875" style="144" bestFit="1" customWidth="1"/>
    <col min="22" max="23" width="4.7109375" style="144" customWidth="1"/>
    <col min="24" max="24" width="7.140625" style="144" customWidth="1"/>
    <col min="25" max="25" width="8.140625" style="144" customWidth="1"/>
    <col min="26" max="16384" width="11.42578125" style="144"/>
  </cols>
  <sheetData>
    <row r="1" spans="1:18">
      <c r="A1" s="149" t="s">
        <v>81</v>
      </c>
      <c r="B1" s="150" t="str">
        <f>B_PersonName</f>
        <v>Mustermann</v>
      </c>
      <c r="D1" s="150"/>
      <c r="F1" s="151" t="s">
        <v>82</v>
      </c>
      <c r="G1" s="144" t="str">
        <f>B_Department</f>
        <v>Siemens</v>
      </c>
    </row>
    <row r="2" spans="1:18" ht="13.5" thickBot="1">
      <c r="A2" s="393" t="str">
        <f ca="1">CELL("filename",A2)</f>
        <v>https://d.docs.live.net/c89853cd948112b7/Dokumente/Siemens/Glaz ab 2026/[vGlaz2026 - FY27 Aufgaben50.xlsm]Übersicht</v>
      </c>
      <c r="B2" s="152"/>
      <c r="D2" s="152"/>
      <c r="K2" s="152"/>
    </row>
    <row r="3" spans="1:18" ht="14.25" thickTop="1" thickBot="1">
      <c r="A3" s="394">
        <f>B_Year</f>
        <v>44834</v>
      </c>
      <c r="B3" s="394" t="s">
        <v>127</v>
      </c>
      <c r="C3" s="624">
        <f>Arbeitszeit!xJahrEnd</f>
        <v>45198</v>
      </c>
      <c r="D3" s="625"/>
      <c r="E3" s="153"/>
      <c r="K3" s="154"/>
    </row>
    <row r="4" spans="1:18" s="392" customFormat="1" ht="27.75" customHeight="1" thickTop="1">
      <c r="A4" s="398" t="s">
        <v>155</v>
      </c>
      <c r="B4" s="395" t="s">
        <v>52</v>
      </c>
      <c r="C4" s="396" t="s">
        <v>3</v>
      </c>
      <c r="D4" s="396" t="s">
        <v>5</v>
      </c>
      <c r="E4" s="395" t="s">
        <v>4</v>
      </c>
      <c r="F4" s="395" t="s">
        <v>53</v>
      </c>
      <c r="G4" s="395" t="s">
        <v>90</v>
      </c>
      <c r="H4" s="397" t="s">
        <v>91</v>
      </c>
      <c r="I4" s="397" t="s">
        <v>92</v>
      </c>
      <c r="J4" s="395" t="str">
        <f>Arbeitszeit!AD4</f>
        <v>&gt; 10 Std</v>
      </c>
      <c r="K4" s="395" t="s">
        <v>156</v>
      </c>
      <c r="L4" s="397" t="s">
        <v>6</v>
      </c>
      <c r="M4" s="395" t="s">
        <v>7</v>
      </c>
      <c r="N4" s="395" t="s">
        <v>101</v>
      </c>
      <c r="O4" s="395" t="s">
        <v>100</v>
      </c>
      <c r="P4" s="395" t="str">
        <f>INDEX(B_Arbeitsort,1)</f>
        <v>Büro</v>
      </c>
      <c r="Q4" s="395" t="str">
        <f>INDEX(B_Arbeitsort,2)</f>
        <v>HomeOffice (Mobiles Arbeiten)</v>
      </c>
      <c r="R4" s="395" t="str">
        <f>INDEX(B_Arbeitsort,3)</f>
        <v>Kunde</v>
      </c>
    </row>
    <row r="5" spans="1:18">
      <c r="A5" s="391">
        <f>xJahr-1</f>
        <v>44833</v>
      </c>
      <c r="B5" s="155"/>
      <c r="C5" s="156"/>
      <c r="D5" s="155"/>
      <c r="E5" s="157"/>
      <c r="F5" s="158"/>
      <c r="G5" s="158"/>
      <c r="H5" s="158"/>
      <c r="I5" s="158"/>
      <c r="J5" s="159"/>
      <c r="K5" s="156"/>
      <c r="L5" s="158"/>
      <c r="M5" s="156">
        <f>A21</f>
        <v>0</v>
      </c>
      <c r="N5" s="161"/>
      <c r="O5" s="161"/>
      <c r="P5" s="161"/>
      <c r="Q5" s="161"/>
      <c r="R5" s="161"/>
    </row>
    <row r="6" spans="1:18">
      <c r="A6" s="391">
        <f>xJahr</f>
        <v>44834</v>
      </c>
      <c r="B6" s="162">
        <f>C6/B_WorkTime</f>
        <v>0</v>
      </c>
      <c r="C6" s="160">
        <f>SUMIF(R_Monat,$A6,R_Soll)</f>
        <v>0</v>
      </c>
      <c r="D6" s="162">
        <f>E6/B_WorkTime</f>
        <v>0</v>
      </c>
      <c r="E6" s="160">
        <f>SUMIF(R_Monat,$A6,R_Ist)</f>
        <v>0</v>
      </c>
      <c r="F6" s="160">
        <f>SUMIF(R_Monat,$A6,R_ArbDiff)</f>
        <v>0</v>
      </c>
      <c r="G6" s="160">
        <f>IF(C6&gt;E6,E6,C6)</f>
        <v>0</v>
      </c>
      <c r="H6" s="160">
        <f t="shared" ref="H6:H17" si="0">IF(F6&gt;0,F6,0)</f>
        <v>0</v>
      </c>
      <c r="I6" s="160">
        <f>IF(F6&lt;0,F6,0)</f>
        <v>0</v>
      </c>
      <c r="J6" s="163">
        <f>SUMIF(R_Monat,$A6,R_ArbMax)</f>
        <v>0</v>
      </c>
      <c r="K6" s="160">
        <f t="shared" ref="K6:K17" si="1">SUMIF(R_Monat,$A6,R_Korrekt)</f>
        <v>0</v>
      </c>
      <c r="L6" s="160">
        <f t="shared" ref="L6:L17" si="2">F6+J6</f>
        <v>0</v>
      </c>
      <c r="M6" s="160">
        <f t="shared" ref="M6:M17" si="3">M5+F6-K6</f>
        <v>0</v>
      </c>
      <c r="N6" s="164">
        <f>SUMIF(R_Monat,$A6,R_Krank)</f>
        <v>0</v>
      </c>
      <c r="O6" s="164">
        <f>SUMIF(R_Monat,$A6,R_Urlaub)</f>
        <v>0</v>
      </c>
      <c r="P6" s="164">
        <f>COUNTIFS(Arbeitszeit!$D:$D,$A6,Arbeitszeit!$BA:$BA,P$4)</f>
        <v>1</v>
      </c>
      <c r="Q6" s="164">
        <f>COUNTIFS(Arbeitszeit!$D:$D,$A6,Arbeitszeit!$BA:$BA,Q$4)</f>
        <v>1</v>
      </c>
      <c r="R6" s="164">
        <f>COUNTIFS(Arbeitszeit!$D:$D,$A6,Arbeitszeit!$BA:$BA,R$4)</f>
        <v>1</v>
      </c>
    </row>
    <row r="7" spans="1:18">
      <c r="A7" s="391">
        <f>DATE(YEAR(A6),MONTH(A6)+1,1)</f>
        <v>44865</v>
      </c>
      <c r="B7" s="162">
        <f t="shared" ref="B7:D17" si="4">C7/B_WorkTime</f>
        <v>0</v>
      </c>
      <c r="C7" s="160">
        <f t="shared" ref="C7:C17" si="5">SUMIF(R_Monat,$A7,R_Soll)</f>
        <v>0</v>
      </c>
      <c r="D7" s="162">
        <f t="shared" si="4"/>
        <v>0</v>
      </c>
      <c r="E7" s="160">
        <f t="shared" ref="E7:E17" si="6">SUMIF(R_Monat,$A7,R_Ist)</f>
        <v>0</v>
      </c>
      <c r="F7" s="160">
        <f t="shared" ref="F7:F17" si="7">SUMIF(R_Monat,$A7,R_ArbDiff)</f>
        <v>0</v>
      </c>
      <c r="G7" s="160">
        <f t="shared" ref="G7:G17" si="8">IF(C7&gt;E7,E7,C7)</f>
        <v>0</v>
      </c>
      <c r="H7" s="160">
        <f t="shared" si="0"/>
        <v>0</v>
      </c>
      <c r="I7" s="160">
        <f t="shared" ref="I7:I17" si="9">IF(F7&lt;0,F7,0)</f>
        <v>0</v>
      </c>
      <c r="J7" s="163">
        <f t="shared" ref="J7:J17" si="10">SUMIF(R_Monat,$A7,R_ArbMax)</f>
        <v>0</v>
      </c>
      <c r="K7" s="160">
        <f t="shared" si="1"/>
        <v>0</v>
      </c>
      <c r="L7" s="160">
        <f t="shared" si="2"/>
        <v>0</v>
      </c>
      <c r="M7" s="160">
        <f t="shared" si="3"/>
        <v>0</v>
      </c>
      <c r="N7" s="164">
        <f t="shared" ref="N7:N17" si="11">SUMIF(R_Monat,$A7,R_Krank)</f>
        <v>0</v>
      </c>
      <c r="O7" s="164">
        <f t="shared" ref="O7:O17" si="12">SUMIF(R_Monat,$A7,R_Urlaub)</f>
        <v>0</v>
      </c>
      <c r="P7" s="164">
        <f>COUNTIFS(Arbeitszeit!$D:$D,$A7,Arbeitszeit!$BA:$BA,P$4)</f>
        <v>0</v>
      </c>
      <c r="Q7" s="164">
        <f>COUNTIFS(Arbeitszeit!$D:$D,$A7,Arbeitszeit!$BA:$BA,Q$4)</f>
        <v>0</v>
      </c>
      <c r="R7" s="164">
        <f>COUNTIFS(Arbeitszeit!$D:$D,$A7,Arbeitszeit!$BA:$BA,R$4)</f>
        <v>0</v>
      </c>
    </row>
    <row r="8" spans="1:18">
      <c r="A8" s="391">
        <f t="shared" ref="A8:A17" si="13">DATE(YEAR(A7),MONTH(A7)+1,1)</f>
        <v>44895</v>
      </c>
      <c r="B8" s="162">
        <f t="shared" si="4"/>
        <v>0</v>
      </c>
      <c r="C8" s="160">
        <f t="shared" si="5"/>
        <v>0</v>
      </c>
      <c r="D8" s="162">
        <f t="shared" si="4"/>
        <v>0</v>
      </c>
      <c r="E8" s="160">
        <f t="shared" si="6"/>
        <v>0</v>
      </c>
      <c r="F8" s="160">
        <f t="shared" si="7"/>
        <v>0</v>
      </c>
      <c r="G8" s="160">
        <f t="shared" si="8"/>
        <v>0</v>
      </c>
      <c r="H8" s="160">
        <f t="shared" si="0"/>
        <v>0</v>
      </c>
      <c r="I8" s="160">
        <f t="shared" si="9"/>
        <v>0</v>
      </c>
      <c r="J8" s="163">
        <f t="shared" si="10"/>
        <v>0</v>
      </c>
      <c r="K8" s="160">
        <f t="shared" si="1"/>
        <v>0</v>
      </c>
      <c r="L8" s="160">
        <f t="shared" si="2"/>
        <v>0</v>
      </c>
      <c r="M8" s="160">
        <f t="shared" si="3"/>
        <v>0</v>
      </c>
      <c r="N8" s="164">
        <f t="shared" si="11"/>
        <v>0</v>
      </c>
      <c r="O8" s="164">
        <f t="shared" si="12"/>
        <v>0</v>
      </c>
      <c r="P8" s="164">
        <f>COUNTIFS(Arbeitszeit!$D:$D,$A8,Arbeitszeit!$BA:$BA,P$4)</f>
        <v>0</v>
      </c>
      <c r="Q8" s="164">
        <f>COUNTIFS(Arbeitszeit!$D:$D,$A8,Arbeitszeit!$BA:$BA,Q$4)</f>
        <v>0</v>
      </c>
      <c r="R8" s="164">
        <f>COUNTIFS(Arbeitszeit!$D:$D,$A8,Arbeitszeit!$BA:$BA,R$4)</f>
        <v>0</v>
      </c>
    </row>
    <row r="9" spans="1:18">
      <c r="A9" s="391">
        <f t="shared" si="13"/>
        <v>44926</v>
      </c>
      <c r="B9" s="162">
        <f t="shared" si="4"/>
        <v>0</v>
      </c>
      <c r="C9" s="160">
        <f t="shared" si="5"/>
        <v>0</v>
      </c>
      <c r="D9" s="162">
        <f t="shared" si="4"/>
        <v>0</v>
      </c>
      <c r="E9" s="160">
        <f t="shared" si="6"/>
        <v>0</v>
      </c>
      <c r="F9" s="160">
        <f t="shared" si="7"/>
        <v>0</v>
      </c>
      <c r="G9" s="160">
        <f t="shared" si="8"/>
        <v>0</v>
      </c>
      <c r="H9" s="160">
        <f t="shared" si="0"/>
        <v>0</v>
      </c>
      <c r="I9" s="160">
        <f t="shared" si="9"/>
        <v>0</v>
      </c>
      <c r="J9" s="163">
        <f t="shared" si="10"/>
        <v>0</v>
      </c>
      <c r="K9" s="160">
        <f t="shared" si="1"/>
        <v>0</v>
      </c>
      <c r="L9" s="160">
        <f t="shared" si="2"/>
        <v>0</v>
      </c>
      <c r="M9" s="160">
        <f t="shared" si="3"/>
        <v>0</v>
      </c>
      <c r="N9" s="164">
        <f t="shared" si="11"/>
        <v>0</v>
      </c>
      <c r="O9" s="164">
        <f t="shared" si="12"/>
        <v>0</v>
      </c>
      <c r="P9" s="164">
        <f>COUNTIFS(Arbeitszeit!$D:$D,$A9,Arbeitszeit!$BA:$BA,P$4)</f>
        <v>0</v>
      </c>
      <c r="Q9" s="164">
        <f>COUNTIFS(Arbeitszeit!$D:$D,$A9,Arbeitszeit!$BA:$BA,Q$4)</f>
        <v>0</v>
      </c>
      <c r="R9" s="164">
        <f>COUNTIFS(Arbeitszeit!$D:$D,$A9,Arbeitszeit!$BA:$BA,R$4)</f>
        <v>0</v>
      </c>
    </row>
    <row r="10" spans="1:18">
      <c r="A10" s="391">
        <f t="shared" si="13"/>
        <v>44957</v>
      </c>
      <c r="B10" s="162">
        <f t="shared" si="4"/>
        <v>0</v>
      </c>
      <c r="C10" s="160">
        <f t="shared" si="5"/>
        <v>0</v>
      </c>
      <c r="D10" s="162">
        <f t="shared" si="4"/>
        <v>0</v>
      </c>
      <c r="E10" s="160">
        <f t="shared" si="6"/>
        <v>0</v>
      </c>
      <c r="F10" s="160">
        <f t="shared" si="7"/>
        <v>0</v>
      </c>
      <c r="G10" s="160">
        <f t="shared" si="8"/>
        <v>0</v>
      </c>
      <c r="H10" s="160">
        <f t="shared" si="0"/>
        <v>0</v>
      </c>
      <c r="I10" s="160">
        <f t="shared" si="9"/>
        <v>0</v>
      </c>
      <c r="J10" s="163">
        <f t="shared" si="10"/>
        <v>0</v>
      </c>
      <c r="K10" s="160">
        <f t="shared" si="1"/>
        <v>0</v>
      </c>
      <c r="L10" s="160">
        <f t="shared" si="2"/>
        <v>0</v>
      </c>
      <c r="M10" s="160">
        <f t="shared" si="3"/>
        <v>0</v>
      </c>
      <c r="N10" s="164">
        <f t="shared" si="11"/>
        <v>0</v>
      </c>
      <c r="O10" s="164">
        <f t="shared" si="12"/>
        <v>0</v>
      </c>
      <c r="P10" s="164">
        <f>COUNTIFS(Arbeitszeit!$D:$D,$A10,Arbeitszeit!$BA:$BA,P$4)</f>
        <v>0</v>
      </c>
      <c r="Q10" s="164">
        <f>COUNTIFS(Arbeitszeit!$D:$D,$A10,Arbeitszeit!$BA:$BA,Q$4)</f>
        <v>0</v>
      </c>
      <c r="R10" s="164">
        <f>COUNTIFS(Arbeitszeit!$D:$D,$A10,Arbeitszeit!$BA:$BA,R$4)</f>
        <v>0</v>
      </c>
    </row>
    <row r="11" spans="1:18">
      <c r="A11" s="391">
        <f t="shared" si="13"/>
        <v>44985</v>
      </c>
      <c r="B11" s="162">
        <f t="shared" si="4"/>
        <v>0</v>
      </c>
      <c r="C11" s="160">
        <f t="shared" si="5"/>
        <v>0</v>
      </c>
      <c r="D11" s="162">
        <f t="shared" si="4"/>
        <v>0</v>
      </c>
      <c r="E11" s="160">
        <f t="shared" si="6"/>
        <v>0</v>
      </c>
      <c r="F11" s="160">
        <f t="shared" si="7"/>
        <v>0</v>
      </c>
      <c r="G11" s="160">
        <f t="shared" si="8"/>
        <v>0</v>
      </c>
      <c r="H11" s="160">
        <f t="shared" si="0"/>
        <v>0</v>
      </c>
      <c r="I11" s="160">
        <f t="shared" si="9"/>
        <v>0</v>
      </c>
      <c r="J11" s="163">
        <f t="shared" si="10"/>
        <v>0</v>
      </c>
      <c r="K11" s="160">
        <f t="shared" si="1"/>
        <v>0</v>
      </c>
      <c r="L11" s="160">
        <f t="shared" si="2"/>
        <v>0</v>
      </c>
      <c r="M11" s="160">
        <f t="shared" si="3"/>
        <v>0</v>
      </c>
      <c r="N11" s="164">
        <f t="shared" si="11"/>
        <v>0</v>
      </c>
      <c r="O11" s="164">
        <f t="shared" si="12"/>
        <v>0</v>
      </c>
      <c r="P11" s="164">
        <f>COUNTIFS(Arbeitszeit!$D:$D,$A11,Arbeitszeit!$BA:$BA,P$4)</f>
        <v>0</v>
      </c>
      <c r="Q11" s="164">
        <f>COUNTIFS(Arbeitszeit!$D:$D,$A11,Arbeitszeit!$BA:$BA,Q$4)</f>
        <v>0</v>
      </c>
      <c r="R11" s="164">
        <f>COUNTIFS(Arbeitszeit!$D:$D,$A11,Arbeitszeit!$BA:$BA,R$4)</f>
        <v>0</v>
      </c>
    </row>
    <row r="12" spans="1:18">
      <c r="A12" s="391">
        <f t="shared" si="13"/>
        <v>45016</v>
      </c>
      <c r="B12" s="162">
        <f t="shared" si="4"/>
        <v>0</v>
      </c>
      <c r="C12" s="160">
        <f t="shared" si="5"/>
        <v>0</v>
      </c>
      <c r="D12" s="162">
        <f t="shared" si="4"/>
        <v>0</v>
      </c>
      <c r="E12" s="160">
        <f t="shared" si="6"/>
        <v>0</v>
      </c>
      <c r="F12" s="160">
        <f t="shared" si="7"/>
        <v>0</v>
      </c>
      <c r="G12" s="160">
        <f t="shared" si="8"/>
        <v>0</v>
      </c>
      <c r="H12" s="160">
        <f t="shared" si="0"/>
        <v>0</v>
      </c>
      <c r="I12" s="160">
        <f t="shared" si="9"/>
        <v>0</v>
      </c>
      <c r="J12" s="163">
        <f t="shared" si="10"/>
        <v>0</v>
      </c>
      <c r="K12" s="160">
        <f t="shared" si="1"/>
        <v>0</v>
      </c>
      <c r="L12" s="160">
        <f t="shared" si="2"/>
        <v>0</v>
      </c>
      <c r="M12" s="160">
        <f t="shared" si="3"/>
        <v>0</v>
      </c>
      <c r="N12" s="164">
        <f t="shared" si="11"/>
        <v>0</v>
      </c>
      <c r="O12" s="164">
        <f t="shared" si="12"/>
        <v>0</v>
      </c>
      <c r="P12" s="164">
        <f>COUNTIFS(Arbeitszeit!$D:$D,$A12,Arbeitszeit!$BA:$BA,P$4)</f>
        <v>0</v>
      </c>
      <c r="Q12" s="164">
        <f>COUNTIFS(Arbeitszeit!$D:$D,$A12,Arbeitszeit!$BA:$BA,Q$4)</f>
        <v>0</v>
      </c>
      <c r="R12" s="164">
        <f>COUNTIFS(Arbeitszeit!$D:$D,$A12,Arbeitszeit!$BA:$BA,R$4)</f>
        <v>0</v>
      </c>
    </row>
    <row r="13" spans="1:18">
      <c r="A13" s="391">
        <f t="shared" si="13"/>
        <v>45046</v>
      </c>
      <c r="B13" s="162">
        <f t="shared" si="4"/>
        <v>0</v>
      </c>
      <c r="C13" s="160">
        <f t="shared" si="5"/>
        <v>0</v>
      </c>
      <c r="D13" s="162">
        <f t="shared" si="4"/>
        <v>0</v>
      </c>
      <c r="E13" s="160">
        <f t="shared" si="6"/>
        <v>0</v>
      </c>
      <c r="F13" s="160">
        <f t="shared" si="7"/>
        <v>0</v>
      </c>
      <c r="G13" s="160">
        <f t="shared" si="8"/>
        <v>0</v>
      </c>
      <c r="H13" s="160">
        <f t="shared" si="0"/>
        <v>0</v>
      </c>
      <c r="I13" s="160">
        <f t="shared" si="9"/>
        <v>0</v>
      </c>
      <c r="J13" s="163">
        <f t="shared" si="10"/>
        <v>0</v>
      </c>
      <c r="K13" s="160">
        <f t="shared" si="1"/>
        <v>0</v>
      </c>
      <c r="L13" s="160">
        <f t="shared" si="2"/>
        <v>0</v>
      </c>
      <c r="M13" s="160">
        <f t="shared" si="3"/>
        <v>0</v>
      </c>
      <c r="N13" s="164">
        <f t="shared" si="11"/>
        <v>0</v>
      </c>
      <c r="O13" s="164">
        <f t="shared" si="12"/>
        <v>0</v>
      </c>
      <c r="P13" s="164">
        <f>COUNTIFS(Arbeitszeit!$D:$D,$A13,Arbeitszeit!$BA:$BA,P$4)</f>
        <v>0</v>
      </c>
      <c r="Q13" s="164">
        <f>COUNTIFS(Arbeitszeit!$D:$D,$A13,Arbeitszeit!$BA:$BA,Q$4)</f>
        <v>0</v>
      </c>
      <c r="R13" s="164">
        <f>COUNTIFS(Arbeitszeit!$D:$D,$A13,Arbeitszeit!$BA:$BA,R$4)</f>
        <v>0</v>
      </c>
    </row>
    <row r="14" spans="1:18">
      <c r="A14" s="391">
        <f t="shared" si="13"/>
        <v>45077</v>
      </c>
      <c r="B14" s="162">
        <f t="shared" si="4"/>
        <v>0</v>
      </c>
      <c r="C14" s="160">
        <f t="shared" si="5"/>
        <v>0</v>
      </c>
      <c r="D14" s="162">
        <f t="shared" si="4"/>
        <v>0</v>
      </c>
      <c r="E14" s="160">
        <f t="shared" si="6"/>
        <v>0</v>
      </c>
      <c r="F14" s="160">
        <f t="shared" si="7"/>
        <v>0</v>
      </c>
      <c r="G14" s="160">
        <f t="shared" si="8"/>
        <v>0</v>
      </c>
      <c r="H14" s="160">
        <f t="shared" si="0"/>
        <v>0</v>
      </c>
      <c r="I14" s="160">
        <f t="shared" si="9"/>
        <v>0</v>
      </c>
      <c r="J14" s="163">
        <f t="shared" si="10"/>
        <v>0</v>
      </c>
      <c r="K14" s="160">
        <f t="shared" si="1"/>
        <v>0</v>
      </c>
      <c r="L14" s="160">
        <f t="shared" si="2"/>
        <v>0</v>
      </c>
      <c r="M14" s="160">
        <f t="shared" si="3"/>
        <v>0</v>
      </c>
      <c r="N14" s="164">
        <f t="shared" si="11"/>
        <v>0</v>
      </c>
      <c r="O14" s="164">
        <f t="shared" si="12"/>
        <v>0</v>
      </c>
      <c r="P14" s="164">
        <f>COUNTIFS(Arbeitszeit!$D:$D,$A14,Arbeitszeit!$BA:$BA,P$4)</f>
        <v>0</v>
      </c>
      <c r="Q14" s="164">
        <f>COUNTIFS(Arbeitszeit!$D:$D,$A14,Arbeitszeit!$BA:$BA,Q$4)</f>
        <v>0</v>
      </c>
      <c r="R14" s="164">
        <f>COUNTIFS(Arbeitszeit!$D:$D,$A14,Arbeitszeit!$BA:$BA,R$4)</f>
        <v>0</v>
      </c>
    </row>
    <row r="15" spans="1:18">
      <c r="A15" s="391">
        <f t="shared" si="13"/>
        <v>45107</v>
      </c>
      <c r="B15" s="162">
        <f t="shared" si="4"/>
        <v>0</v>
      </c>
      <c r="C15" s="160">
        <f t="shared" si="5"/>
        <v>0</v>
      </c>
      <c r="D15" s="162">
        <f t="shared" si="4"/>
        <v>0</v>
      </c>
      <c r="E15" s="160">
        <f t="shared" si="6"/>
        <v>0</v>
      </c>
      <c r="F15" s="160">
        <f t="shared" si="7"/>
        <v>0</v>
      </c>
      <c r="G15" s="160">
        <f t="shared" si="8"/>
        <v>0</v>
      </c>
      <c r="H15" s="160">
        <f t="shared" si="0"/>
        <v>0</v>
      </c>
      <c r="I15" s="160">
        <f t="shared" si="9"/>
        <v>0</v>
      </c>
      <c r="J15" s="163">
        <f t="shared" si="10"/>
        <v>0</v>
      </c>
      <c r="K15" s="160">
        <f t="shared" si="1"/>
        <v>0</v>
      </c>
      <c r="L15" s="160">
        <f t="shared" si="2"/>
        <v>0</v>
      </c>
      <c r="M15" s="160">
        <f t="shared" si="3"/>
        <v>0</v>
      </c>
      <c r="N15" s="164">
        <f t="shared" si="11"/>
        <v>0</v>
      </c>
      <c r="O15" s="164">
        <f t="shared" si="12"/>
        <v>0</v>
      </c>
      <c r="P15" s="164">
        <f>COUNTIFS(Arbeitszeit!$D:$D,$A15,Arbeitszeit!$BA:$BA,P$4)</f>
        <v>0</v>
      </c>
      <c r="Q15" s="164">
        <f>COUNTIFS(Arbeitszeit!$D:$D,$A15,Arbeitszeit!$BA:$BA,Q$4)</f>
        <v>0</v>
      </c>
      <c r="R15" s="164">
        <f>COUNTIFS(Arbeitszeit!$D:$D,$A15,Arbeitszeit!$BA:$BA,R$4)</f>
        <v>0</v>
      </c>
    </row>
    <row r="16" spans="1:18">
      <c r="A16" s="391">
        <f t="shared" si="13"/>
        <v>45138</v>
      </c>
      <c r="B16" s="162">
        <f t="shared" si="4"/>
        <v>0</v>
      </c>
      <c r="C16" s="160">
        <f t="shared" si="5"/>
        <v>0</v>
      </c>
      <c r="D16" s="162">
        <f t="shared" si="4"/>
        <v>0</v>
      </c>
      <c r="E16" s="160">
        <f t="shared" si="6"/>
        <v>0</v>
      </c>
      <c r="F16" s="160">
        <f t="shared" si="7"/>
        <v>0</v>
      </c>
      <c r="G16" s="160">
        <f t="shared" si="8"/>
        <v>0</v>
      </c>
      <c r="H16" s="160">
        <f t="shared" si="0"/>
        <v>0</v>
      </c>
      <c r="I16" s="160">
        <f t="shared" si="9"/>
        <v>0</v>
      </c>
      <c r="J16" s="163">
        <f t="shared" si="10"/>
        <v>0</v>
      </c>
      <c r="K16" s="160">
        <f t="shared" si="1"/>
        <v>0</v>
      </c>
      <c r="L16" s="160">
        <f t="shared" si="2"/>
        <v>0</v>
      </c>
      <c r="M16" s="160">
        <f t="shared" si="3"/>
        <v>0</v>
      </c>
      <c r="N16" s="164">
        <f t="shared" si="11"/>
        <v>0</v>
      </c>
      <c r="O16" s="164">
        <f t="shared" si="12"/>
        <v>0</v>
      </c>
      <c r="P16" s="164">
        <f>COUNTIFS(Arbeitszeit!$D:$D,$A16,Arbeitszeit!$BA:$BA,P$4)</f>
        <v>0</v>
      </c>
      <c r="Q16" s="164">
        <f>COUNTIFS(Arbeitszeit!$D:$D,$A16,Arbeitszeit!$BA:$BA,Q$4)</f>
        <v>0</v>
      </c>
      <c r="R16" s="164">
        <f>COUNTIFS(Arbeitszeit!$D:$D,$A16,Arbeitszeit!$BA:$BA,R$4)</f>
        <v>0</v>
      </c>
    </row>
    <row r="17" spans="1:18">
      <c r="A17" s="391">
        <f t="shared" si="13"/>
        <v>45169</v>
      </c>
      <c r="B17" s="162">
        <f t="shared" si="4"/>
        <v>0</v>
      </c>
      <c r="C17" s="160">
        <f t="shared" si="5"/>
        <v>0</v>
      </c>
      <c r="D17" s="162">
        <f t="shared" si="4"/>
        <v>0</v>
      </c>
      <c r="E17" s="160">
        <f t="shared" si="6"/>
        <v>0</v>
      </c>
      <c r="F17" s="160">
        <f t="shared" si="7"/>
        <v>0</v>
      </c>
      <c r="G17" s="160">
        <f t="shared" si="8"/>
        <v>0</v>
      </c>
      <c r="H17" s="160">
        <f t="shared" si="0"/>
        <v>0</v>
      </c>
      <c r="I17" s="160">
        <f t="shared" si="9"/>
        <v>0</v>
      </c>
      <c r="J17" s="163">
        <f t="shared" si="10"/>
        <v>0</v>
      </c>
      <c r="K17" s="160">
        <f t="shared" si="1"/>
        <v>0</v>
      </c>
      <c r="L17" s="160">
        <f t="shared" si="2"/>
        <v>0</v>
      </c>
      <c r="M17" s="160">
        <f t="shared" si="3"/>
        <v>0</v>
      </c>
      <c r="N17" s="164">
        <f t="shared" si="11"/>
        <v>0</v>
      </c>
      <c r="O17" s="164">
        <f t="shared" si="12"/>
        <v>0</v>
      </c>
      <c r="P17" s="164">
        <f>COUNTIFS(Arbeitszeit!$D:$D,$A17,Arbeitszeit!$BA:$BA,P$4)</f>
        <v>0</v>
      </c>
      <c r="Q17" s="164">
        <f>COUNTIFS(Arbeitszeit!$D:$D,$A17,Arbeitszeit!$BA:$BA,Q$4)</f>
        <v>0</v>
      </c>
      <c r="R17" s="164">
        <f>COUNTIFS(Arbeitszeit!$D:$D,$A17,Arbeitszeit!$BA:$BA,R$4)</f>
        <v>0</v>
      </c>
    </row>
    <row r="18" spans="1:18">
      <c r="A18" s="248" t="s">
        <v>139</v>
      </c>
      <c r="B18" s="166">
        <f>SUBTOTAL(9,B6:B17)</f>
        <v>0</v>
      </c>
      <c r="C18" s="167">
        <f>SUBTOTAL(9,C6:C17)</f>
        <v>0</v>
      </c>
      <c r="D18" s="166">
        <f>SUBTOTAL(9,D6:D17)</f>
        <v>0</v>
      </c>
      <c r="E18" s="167">
        <f>SUBTOTAL(9,E6:E17)</f>
        <v>0</v>
      </c>
      <c r="F18" s="167">
        <f t="shared" ref="F18:L18" si="14">SUBTOTAL(9,F6:F17)</f>
        <v>0</v>
      </c>
      <c r="G18" s="167">
        <f t="shared" si="14"/>
        <v>0</v>
      </c>
      <c r="H18" s="167">
        <f t="shared" si="14"/>
        <v>0</v>
      </c>
      <c r="I18" s="167">
        <f t="shared" si="14"/>
        <v>0</v>
      </c>
      <c r="J18" s="167">
        <f t="shared" si="14"/>
        <v>0</v>
      </c>
      <c r="K18" s="167">
        <f>SUBTOTAL(9,K6:K17)</f>
        <v>0</v>
      </c>
      <c r="L18" s="167">
        <f t="shared" si="14"/>
        <v>0</v>
      </c>
      <c r="M18" s="167">
        <f>SUBTOTAL(1,M6:M17)</f>
        <v>0</v>
      </c>
      <c r="N18" s="168">
        <f>SUBTOTAL(9,N6:N17)</f>
        <v>0</v>
      </c>
      <c r="O18" s="168">
        <f>SUBTOTAL(9,O6:O17)</f>
        <v>0</v>
      </c>
      <c r="P18" s="168">
        <f>SUBTOTAL(9,P6:P17)</f>
        <v>1</v>
      </c>
      <c r="Q18" s="168">
        <f>SUBTOTAL(9,Q6:Q17)</f>
        <v>1</v>
      </c>
      <c r="R18" s="168">
        <f>SUBTOTAL(9,R6:R17)</f>
        <v>1</v>
      </c>
    </row>
    <row r="19" spans="1:18" ht="5.25" customHeight="1">
      <c r="A19" s="165"/>
      <c r="B19" s="165"/>
      <c r="D19" s="165"/>
      <c r="E19" s="169"/>
      <c r="G19" s="170"/>
      <c r="H19" s="170"/>
      <c r="I19" s="170"/>
      <c r="J19" s="170"/>
      <c r="K19" s="171"/>
      <c r="L19" s="169"/>
      <c r="M19" s="169"/>
      <c r="O19" s="172"/>
      <c r="P19" s="149"/>
      <c r="Q19" s="173"/>
    </row>
    <row r="20" spans="1:18" ht="12" customHeight="1">
      <c r="A20" s="385" t="s">
        <v>19</v>
      </c>
      <c r="B20" s="386"/>
      <c r="C20" s="387"/>
      <c r="D20" s="386"/>
      <c r="E20" s="388"/>
      <c r="G20" s="170"/>
      <c r="H20" s="385" t="s">
        <v>23</v>
      </c>
      <c r="I20" s="389"/>
      <c r="J20" s="389"/>
      <c r="K20" s="390"/>
      <c r="L20" s="388"/>
      <c r="M20" s="388"/>
      <c r="N20" s="387"/>
      <c r="O20" s="172"/>
      <c r="P20" s="149"/>
      <c r="Q20" s="173"/>
    </row>
    <row r="21" spans="1:18">
      <c r="A21" s="231">
        <f>B_Vorjahr_hhmm</f>
        <v>0</v>
      </c>
      <c r="B21" s="233" t="s">
        <v>29</v>
      </c>
      <c r="C21" s="234"/>
      <c r="D21" s="235"/>
      <c r="E21" s="236"/>
      <c r="G21" s="153"/>
      <c r="H21" s="245" t="str">
        <f>Arbeitszeit!H377</f>
        <v>Summe IST-Anwesenheit</v>
      </c>
      <c r="I21" s="246"/>
      <c r="J21" s="247"/>
      <c r="K21" s="247"/>
      <c r="L21" s="247"/>
      <c r="M21" s="174">
        <f>SUM(E6:E17)</f>
        <v>0</v>
      </c>
      <c r="N21" s="175"/>
      <c r="O21" s="149"/>
    </row>
    <row r="22" spans="1:18">
      <c r="A22" s="230">
        <f>B_UrlaubVJRest</f>
        <v>0</v>
      </c>
      <c r="B22" s="237" t="s">
        <v>95</v>
      </c>
      <c r="C22" s="238"/>
      <c r="D22" s="239"/>
      <c r="E22" s="240"/>
      <c r="G22" s="149"/>
      <c r="H22" s="245" t="str">
        <f>Arbeitszeit!H378</f>
        <v>Summe Soll-Arbeitszeit</v>
      </c>
      <c r="I22" s="234"/>
      <c r="J22" s="246"/>
      <c r="K22" s="246"/>
      <c r="L22" s="246"/>
      <c r="M22" s="174">
        <f>SUM(C6:C17)</f>
        <v>0</v>
      </c>
      <c r="N22" s="175"/>
      <c r="O22" s="176">
        <f>M21-M22</f>
        <v>0</v>
      </c>
      <c r="P22" s="144" t="s">
        <v>89</v>
      </c>
    </row>
    <row r="23" spans="1:18">
      <c r="B23" s="226"/>
      <c r="C23" s="226"/>
      <c r="D23" s="171"/>
      <c r="F23" s="227"/>
      <c r="G23" s="149"/>
      <c r="H23" s="245" t="s">
        <v>30</v>
      </c>
      <c r="I23" s="234"/>
      <c r="J23" s="246"/>
      <c r="K23" s="246"/>
      <c r="L23" s="246"/>
      <c r="M23" s="174">
        <f>SUM(K5:K17)</f>
        <v>0</v>
      </c>
      <c r="N23" s="175"/>
      <c r="O23" s="176">
        <f>SUM(J6:J17)</f>
        <v>0</v>
      </c>
      <c r="P23" s="229" t="str">
        <f>J4</f>
        <v>&gt; 10 Std</v>
      </c>
    </row>
    <row r="24" spans="1:18">
      <c r="G24" s="149"/>
      <c r="H24" s="245" t="str">
        <f>Arbeitszeit!H380</f>
        <v>Gleitzeit-Saldo aktuell</v>
      </c>
      <c r="I24" s="234"/>
      <c r="J24" s="246"/>
      <c r="K24" s="246"/>
      <c r="L24" s="246"/>
      <c r="M24" s="174">
        <f>A21+M21-M22-M23</f>
        <v>0</v>
      </c>
      <c r="N24" s="175" t="str">
        <f>IF(M24&lt;0,"*","")</f>
        <v/>
      </c>
      <c r="O24" s="622">
        <f>M24/B_WorkTime</f>
        <v>0</v>
      </c>
      <c r="P24" s="623"/>
    </row>
    <row r="25" spans="1:18">
      <c r="C25" s="228"/>
      <c r="D25" s="171"/>
      <c r="H25" s="245" t="str">
        <f>Arbeitszeit!B380</f>
        <v>Krankheitstage</v>
      </c>
      <c r="I25" s="234"/>
      <c r="J25" s="246"/>
      <c r="K25" s="246"/>
      <c r="L25" s="246"/>
      <c r="M25" s="177">
        <f>SUM(N6:N17)</f>
        <v>0</v>
      </c>
      <c r="N25" s="175"/>
      <c r="O25" s="149"/>
    </row>
    <row r="26" spans="1:18">
      <c r="A26" s="230">
        <f>B_UrlaubNeu</f>
        <v>30</v>
      </c>
      <c r="B26" s="241" t="s">
        <v>11</v>
      </c>
      <c r="C26" s="242"/>
      <c r="D26" s="235"/>
      <c r="E26" s="240"/>
      <c r="G26" s="171"/>
      <c r="H26" s="245" t="str">
        <f>Arbeitszeit!H381</f>
        <v>genommene Urlaubstage</v>
      </c>
      <c r="I26" s="234"/>
      <c r="J26" s="246"/>
      <c r="K26" s="246"/>
      <c r="L26" s="246"/>
      <c r="M26" s="177">
        <f>SUM(O6:O17)</f>
        <v>0</v>
      </c>
      <c r="N26" s="175"/>
    </row>
    <row r="27" spans="1:18">
      <c r="H27" s="245" t="s">
        <v>98</v>
      </c>
      <c r="I27" s="234"/>
      <c r="J27" s="246"/>
      <c r="K27" s="246"/>
      <c r="L27" s="246"/>
      <c r="M27" s="177">
        <f>A22+B_UrlaubNeu-M26</f>
        <v>30</v>
      </c>
      <c r="N27" s="175"/>
      <c r="O27" s="149"/>
    </row>
    <row r="28" spans="1:18">
      <c r="B28" s="151"/>
      <c r="L28" s="170"/>
    </row>
    <row r="29" spans="1:18">
      <c r="A29" s="230">
        <f>SUM(B6:B17)</f>
        <v>0</v>
      </c>
      <c r="B29" s="243" t="s">
        <v>21</v>
      </c>
      <c r="C29" s="239"/>
      <c r="D29" s="239"/>
      <c r="E29" s="240"/>
      <c r="H29" s="532" t="s">
        <v>211</v>
      </c>
      <c r="I29" s="533"/>
      <c r="J29" s="534"/>
      <c r="K29" s="534"/>
      <c r="L29" s="534"/>
      <c r="M29" s="535">
        <f>P18</f>
        <v>1</v>
      </c>
      <c r="N29" s="536"/>
      <c r="O29" s="178"/>
    </row>
    <row r="30" spans="1:18">
      <c r="A30" s="232">
        <f>IF(SUM(E6:E17)&gt;0,SUM(E6:E17) / A29,0)</f>
        <v>0</v>
      </c>
      <c r="B30" s="237" t="s">
        <v>22</v>
      </c>
      <c r="C30" s="244"/>
      <c r="D30" s="239"/>
      <c r="E30" s="240"/>
      <c r="H30" s="532" t="s">
        <v>212</v>
      </c>
      <c r="I30" s="533"/>
      <c r="J30" s="534"/>
      <c r="K30" s="534"/>
      <c r="L30" s="534"/>
      <c r="M30" s="535">
        <f>Q18</f>
        <v>1</v>
      </c>
      <c r="N30" s="536"/>
    </row>
  </sheetData>
  <mergeCells count="2">
    <mergeCell ref="O24:P24"/>
    <mergeCell ref="C3:D3"/>
  </mergeCells>
  <phoneticPr fontId="0" type="noConversion"/>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Metadata/LabelInfo.xml><?xml version="1.0" encoding="utf-8"?>
<clbl:labelList xmlns:clbl="http://schemas.microsoft.com/office/2020/mipLabelMetadata">
  <clbl:label id="{a59b6cd5-d141-4a33-8bf1-0ca04484304f}" enabled="1" method="Standard" siteId="{38ae3bcd-9579-4fd4-adda-b42e1495d55a}"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127</vt:i4>
      </vt:variant>
    </vt:vector>
  </HeadingPairs>
  <TitlesOfParts>
    <vt:vector size="137" baseType="lpstr">
      <vt:lpstr>Classic</vt:lpstr>
      <vt:lpstr>Kalender</vt:lpstr>
      <vt:lpstr>Transport</vt:lpstr>
      <vt:lpstr>Aufgaben</vt:lpstr>
      <vt:lpstr>Arbeitszeit</vt:lpstr>
      <vt:lpstr>Diagramm</vt:lpstr>
      <vt:lpstr>AufgabenM</vt:lpstr>
      <vt:lpstr>Einstellungen</vt:lpstr>
      <vt:lpstr>Feiertage</vt:lpstr>
      <vt:lpstr>Übersicht</vt:lpstr>
      <vt:lpstr>A_Aufgaben</vt:lpstr>
      <vt:lpstr>A_Aufgabendatum</vt:lpstr>
      <vt:lpstr>A_Aufgabenende</vt:lpstr>
      <vt:lpstr>A_Endedatum</vt:lpstr>
      <vt:lpstr>A_Monatsende</vt:lpstr>
      <vt:lpstr>Arbeitszeit</vt:lpstr>
      <vt:lpstr>B_Arbeitsort</vt:lpstr>
      <vt:lpstr>b_Arbeitsort_index</vt:lpstr>
      <vt:lpstr>AufgabenM!B_Department</vt:lpstr>
      <vt:lpstr>B_Department</vt:lpstr>
      <vt:lpstr>B_MarkIstueberlauf</vt:lpstr>
      <vt:lpstr>B_OverTime</vt:lpstr>
      <vt:lpstr>B_Pause1Dauer</vt:lpstr>
      <vt:lpstr>B_Pause1Nach</vt:lpstr>
      <vt:lpstr>B_Pause2Dauer</vt:lpstr>
      <vt:lpstr>B_Pause2Nach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db_JAbwesend</vt:lpstr>
      <vt:lpstr>db_JAbzug</vt:lpstr>
      <vt:lpstr>db_JAbzugAuto</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Arbeitszeit!xJahr</vt:lpstr>
      <vt:lpstr>Übersicht!xJahr</vt:lpstr>
      <vt:lpstr>Arbeitszeit!xJahrEnd</vt:lpstr>
      <vt:lpstr>Arbeitszeit!xNoWorkTime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Andreas Hofer</cp:lastModifiedBy>
  <cp:lastPrinted>2009-07-03T06:08:48Z</cp:lastPrinted>
  <dcterms:created xsi:type="dcterms:W3CDTF">1998-12-01T06:37:17Z</dcterms:created>
  <dcterms:modified xsi:type="dcterms:W3CDTF">2026-09-21T08:58:45Z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MSIP_Label_a59b6cd5-d141-4a33-8bf1-0ca04484304f_Enabled">
    <vt:lpwstr>true</vt:lpwstr>
  </property>
  <property fmtid="{D5CDD505-2E9C-101B-9397-08002B2CF9AE}" pid="4" name="MSIP_Label_a59b6cd5-d141-4a33-8bf1-0ca04484304f_SetDate">
    <vt:lpwstr>2022-05-30T14:17:53Z</vt:lpwstr>
  </property>
  <property fmtid="{D5CDD505-2E9C-101B-9397-08002B2CF9AE}" pid="5" name="MSIP_Label_a59b6cd5-d141-4a33-8bf1-0ca04484304f_Method">
    <vt:lpwstr>Standard</vt:lpwstr>
  </property>
  <property fmtid="{D5CDD505-2E9C-101B-9397-08002B2CF9AE}" pid="6" name="MSIP_Label_a59b6cd5-d141-4a33-8bf1-0ca04484304f_Name">
    <vt:lpwstr>restricted-default</vt:lpwstr>
  </property>
  <property fmtid="{D5CDD505-2E9C-101B-9397-08002B2CF9AE}" pid="7" name="MSIP_Label_a59b6cd5-d141-4a33-8bf1-0ca04484304f_SiteId">
    <vt:lpwstr>38ae3bcd-9579-4fd4-adda-b42e1495d55a</vt:lpwstr>
  </property>
  <property fmtid="{D5CDD505-2E9C-101B-9397-08002B2CF9AE}" pid="8" name="MSIP_Label_a59b6cd5-d141-4a33-8bf1-0ca04484304f_ActionId">
    <vt:lpwstr>cb447535-193c-4911-94cf-0a0f44bd3f94</vt:lpwstr>
  </property>
  <property fmtid="{D5CDD505-2E9C-101B-9397-08002B2CF9AE}" pid="9" name="MSIP_Label_a59b6cd5-d141-4a33-8bf1-0ca04484304f_ContentBits">
    <vt:lpwstr>0</vt:lpwstr>
  </property>
  <property fmtid="{D5CDD505-2E9C-101B-9397-08002B2CF9AE}" pid="10" name="Document_Confidentiality">
    <vt:lpwstr>Restricted</vt:lpwstr>
  </property>
</Properties>
</file>